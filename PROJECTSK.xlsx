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4875F24-C4FA-4895-9051-BA8893AEB254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customers" sheetId="5" r:id="rId1"/>
    <sheet name="Sheet5" sheetId="20" r:id="rId2"/>
    <sheet name="MONTH REVENUE" sheetId="21" r:id="rId3"/>
    <sheet name="orders" sheetId="6" r:id="rId4"/>
    <sheet name="Sheet7" sheetId="22" r:id="rId5"/>
    <sheet name="order_item" sheetId="3" r:id="rId6"/>
    <sheet name="menu" sheetId="1" r:id="rId7"/>
    <sheet name="CUSTOMER_TYPE" sheetId="18" r:id="rId8"/>
    <sheet name="PIVOT_CATAGORY" sheetId="17" r:id="rId9"/>
    <sheet name="Channel Revenue" sheetId="10" r:id="rId10"/>
    <sheet name="SUMMAEY" sheetId="7" r:id="rId11"/>
  </sheets>
  <definedNames>
    <definedName name="JJJ">PIVOT_CATAGORY!$A$3</definedName>
  </definedNames>
  <calcPr calcId="191029"/>
  <pivotCaches>
    <pivotCache cacheId="34" r:id="rId12"/>
    <pivotCache cacheId="59" r:id="rId13"/>
    <pivotCache cacheId="57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0" l="1"/>
  <c r="F4" i="20"/>
  <c r="D5" i="18"/>
  <c r="D6" i="18"/>
  <c r="D7" i="18"/>
  <c r="D4" i="18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2" i="6"/>
  <c r="D2" i="7"/>
  <c r="B5" i="7"/>
  <c r="B4" i="7"/>
  <c r="B3" i="7"/>
  <c r="B2" i="7"/>
  <c r="B6" i="7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B9" i="7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G2" i="3"/>
  <c r="F2" i="3"/>
  <c r="E3" i="1"/>
  <c r="H3440" i="3" s="1"/>
  <c r="I3440" i="3" s="1"/>
  <c r="E4" i="1"/>
  <c r="H3376" i="3" s="1"/>
  <c r="I3376" i="3" s="1"/>
  <c r="E5" i="1"/>
  <c r="H3277" i="3" s="1"/>
  <c r="I3277" i="3" s="1"/>
  <c r="E6" i="1"/>
  <c r="H3262" i="3" s="1"/>
  <c r="I3262" i="3" s="1"/>
  <c r="E7" i="1"/>
  <c r="E8" i="1"/>
  <c r="H3452" i="3" s="1"/>
  <c r="I3452" i="3" s="1"/>
  <c r="E9" i="1"/>
  <c r="H3235" i="3" s="1"/>
  <c r="I3235" i="3" s="1"/>
  <c r="E10" i="1"/>
  <c r="H3434" i="3" s="1"/>
  <c r="I3434" i="3" s="1"/>
  <c r="E11" i="1"/>
  <c r="H3441" i="3" s="1"/>
  <c r="I3441" i="3" s="1"/>
  <c r="E12" i="1"/>
  <c r="H3312" i="3" s="1"/>
  <c r="I3312" i="3" s="1"/>
  <c r="E13" i="1"/>
  <c r="H3361" i="3" s="1"/>
  <c r="I3361" i="3" s="1"/>
  <c r="E14" i="1"/>
  <c r="H3282" i="3" s="1"/>
  <c r="I3282" i="3" s="1"/>
  <c r="E15" i="1"/>
  <c r="H3241" i="3" s="1"/>
  <c r="I3241" i="3" s="1"/>
  <c r="E16" i="1"/>
  <c r="H3268" i="3" s="1"/>
  <c r="I3268" i="3" s="1"/>
  <c r="E17" i="1"/>
  <c r="H3465" i="3" s="1"/>
  <c r="I3465" i="3" s="1"/>
  <c r="E18" i="1"/>
  <c r="H3286" i="3" s="1"/>
  <c r="I3286" i="3" s="1"/>
  <c r="E19" i="1"/>
  <c r="H3293" i="3" s="1"/>
  <c r="I3293" i="3" s="1"/>
  <c r="E20" i="1"/>
  <c r="H3424" i="3" s="1"/>
  <c r="I3424" i="3" s="1"/>
  <c r="E21" i="1"/>
  <c r="H3304" i="3" s="1"/>
  <c r="I3304" i="3" s="1"/>
  <c r="E22" i="1"/>
  <c r="H3442" i="3" s="1"/>
  <c r="I3442" i="3" s="1"/>
  <c r="E23" i="1"/>
  <c r="E24" i="1"/>
  <c r="H3284" i="3" s="1"/>
  <c r="I3284" i="3" s="1"/>
  <c r="E25" i="1"/>
  <c r="H3288" i="3" s="1"/>
  <c r="I3288" i="3" s="1"/>
  <c r="E26" i="1"/>
  <c r="H3330" i="3" s="1"/>
  <c r="I3330" i="3" s="1"/>
  <c r="E27" i="1"/>
  <c r="H3310" i="3" s="1"/>
  <c r="I3310" i="3" s="1"/>
  <c r="E28" i="1"/>
  <c r="H3556" i="3" s="1"/>
  <c r="I3556" i="3" s="1"/>
  <c r="E29" i="1"/>
  <c r="H3933" i="3" s="1"/>
  <c r="I3933" i="3" s="1"/>
  <c r="E2" i="1"/>
  <c r="H3322" i="3" s="1"/>
  <c r="I3322" i="3" s="1"/>
  <c r="H46" i="3" l="1"/>
  <c r="I46" i="3" s="1"/>
  <c r="H294" i="3"/>
  <c r="I294" i="3" s="1"/>
  <c r="H462" i="3"/>
  <c r="I462" i="3" s="1"/>
  <c r="H602" i="3"/>
  <c r="I602" i="3" s="1"/>
  <c r="H678" i="3"/>
  <c r="I678" i="3" s="1"/>
  <c r="H722" i="3"/>
  <c r="I722" i="3" s="1"/>
  <c r="H774" i="3"/>
  <c r="I774" i="3" s="1"/>
  <c r="H822" i="3"/>
  <c r="I822" i="3" s="1"/>
  <c r="H850" i="3"/>
  <c r="I850" i="3" s="1"/>
  <c r="H950" i="3"/>
  <c r="I950" i="3" s="1"/>
  <c r="H1002" i="3"/>
  <c r="I1002" i="3" s="1"/>
  <c r="H1082" i="3"/>
  <c r="I1082" i="3" s="1"/>
  <c r="H1086" i="3"/>
  <c r="I1086" i="3" s="1"/>
  <c r="H1278" i="3"/>
  <c r="I1278" i="3" s="1"/>
  <c r="H1282" i="3"/>
  <c r="I1282" i="3" s="1"/>
  <c r="H1314" i="3"/>
  <c r="I1314" i="3" s="1"/>
  <c r="H1330" i="3"/>
  <c r="I1330" i="3" s="1"/>
  <c r="H1514" i="3"/>
  <c r="I1514" i="3" s="1"/>
  <c r="H1518" i="3"/>
  <c r="I1518" i="3" s="1"/>
  <c r="H1542" i="3"/>
  <c r="I1542" i="3" s="1"/>
  <c r="H1598" i="3"/>
  <c r="I1598" i="3" s="1"/>
  <c r="H40" i="3"/>
  <c r="I40" i="3" s="1"/>
  <c r="H236" i="3"/>
  <c r="I236" i="3" s="1"/>
  <c r="H432" i="3"/>
  <c r="I432" i="3" s="1"/>
  <c r="H492" i="3"/>
  <c r="I492" i="3" s="1"/>
  <c r="H752" i="3"/>
  <c r="I752" i="3" s="1"/>
  <c r="H756" i="3"/>
  <c r="I756" i="3" s="1"/>
  <c r="H812" i="3"/>
  <c r="I812" i="3" s="1"/>
  <c r="H836" i="3"/>
  <c r="I836" i="3" s="1"/>
  <c r="H872" i="3"/>
  <c r="I872" i="3" s="1"/>
  <c r="H912" i="3"/>
  <c r="I912" i="3" s="1"/>
  <c r="H928" i="3"/>
  <c r="I928" i="3" s="1"/>
  <c r="H964" i="3"/>
  <c r="I964" i="3" s="1"/>
  <c r="H1100" i="3"/>
  <c r="I1100" i="3" s="1"/>
  <c r="H1180" i="3"/>
  <c r="I1180" i="3" s="1"/>
  <c r="H1232" i="3"/>
  <c r="I1232" i="3" s="1"/>
  <c r="H1352" i="3"/>
  <c r="I1352" i="3" s="1"/>
  <c r="H1416" i="3"/>
  <c r="I1416" i="3" s="1"/>
  <c r="H1436" i="3"/>
  <c r="I1436" i="3" s="1"/>
  <c r="H385" i="3"/>
  <c r="I385" i="3" s="1"/>
  <c r="H69" i="3"/>
  <c r="I69" i="3" s="1"/>
  <c r="H101" i="3"/>
  <c r="I101" i="3" s="1"/>
  <c r="H389" i="3"/>
  <c r="I389" i="3" s="1"/>
  <c r="H541" i="3"/>
  <c r="I541" i="3" s="1"/>
  <c r="H549" i="3"/>
  <c r="I549" i="3" s="1"/>
  <c r="H363" i="3"/>
  <c r="I363" i="3" s="1"/>
  <c r="H395" i="3"/>
  <c r="I395" i="3" s="1"/>
  <c r="H609" i="3"/>
  <c r="I609" i="3" s="1"/>
  <c r="H649" i="3"/>
  <c r="I649" i="3" s="1"/>
  <c r="H689" i="3"/>
  <c r="I689" i="3" s="1"/>
  <c r="H761" i="3"/>
  <c r="I761" i="3" s="1"/>
  <c r="H127" i="3"/>
  <c r="I127" i="3" s="1"/>
  <c r="H159" i="3"/>
  <c r="I159" i="3" s="1"/>
  <c r="H931" i="3"/>
  <c r="I931" i="3" s="1"/>
  <c r="H1035" i="3"/>
  <c r="I1035" i="3" s="1"/>
  <c r="H1051" i="3"/>
  <c r="I1051" i="3" s="1"/>
  <c r="H1115" i="3"/>
  <c r="I1115" i="3" s="1"/>
  <c r="H51" i="3"/>
  <c r="I51" i="3" s="1"/>
  <c r="H163" i="3"/>
  <c r="I163" i="3" s="1"/>
  <c r="H387" i="3"/>
  <c r="I387" i="3" s="1"/>
  <c r="H701" i="3"/>
  <c r="I701" i="3" s="1"/>
  <c r="H741" i="3"/>
  <c r="I741" i="3" s="1"/>
  <c r="H1229" i="3"/>
  <c r="I1229" i="3" s="1"/>
  <c r="H1237" i="3"/>
  <c r="I1237" i="3" s="1"/>
  <c r="H1319" i="3"/>
  <c r="I1319" i="3" s="1"/>
  <c r="H1638" i="3"/>
  <c r="I1638" i="3" s="1"/>
  <c r="H1670" i="3"/>
  <c r="I1670" i="3" s="1"/>
  <c r="H1743" i="3"/>
  <c r="I1743" i="3" s="1"/>
  <c r="H1887" i="3"/>
  <c r="I1887" i="3" s="1"/>
  <c r="H1931" i="3"/>
  <c r="I1931" i="3" s="1"/>
  <c r="H1987" i="3"/>
  <c r="I1987" i="3" s="1"/>
  <c r="H2011" i="3"/>
  <c r="I2011" i="3" s="1"/>
  <c r="H2179" i="3"/>
  <c r="I2179" i="3" s="1"/>
  <c r="H2191" i="3"/>
  <c r="I2191" i="3" s="1"/>
  <c r="H1441" i="3"/>
  <c r="I1441" i="3" s="1"/>
  <c r="H1650" i="3"/>
  <c r="I1650" i="3" s="1"/>
  <c r="H1700" i="3"/>
  <c r="I1700" i="3" s="1"/>
  <c r="H1760" i="3"/>
  <c r="I1760" i="3" s="1"/>
  <c r="H1824" i="3"/>
  <c r="I1824" i="3" s="1"/>
  <c r="H2096" i="3"/>
  <c r="I2096" i="3" s="1"/>
  <c r="H2108" i="3"/>
  <c r="I2108" i="3" s="1"/>
  <c r="H2236" i="3"/>
  <c r="I2236" i="3" s="1"/>
  <c r="H2272" i="3"/>
  <c r="I2272" i="3" s="1"/>
  <c r="H2428" i="3"/>
  <c r="I2428" i="3" s="1"/>
  <c r="H2564" i="3"/>
  <c r="I2564" i="3" s="1"/>
  <c r="H1183" i="3"/>
  <c r="I1183" i="3" s="1"/>
  <c r="H1307" i="3"/>
  <c r="I1307" i="3" s="1"/>
  <c r="H1467" i="3"/>
  <c r="I1467" i="3" s="1"/>
  <c r="H1539" i="3"/>
  <c r="I1539" i="3" s="1"/>
  <c r="H1563" i="3"/>
  <c r="I1563" i="3" s="1"/>
  <c r="H1627" i="3"/>
  <c r="I1627" i="3" s="1"/>
  <c r="H1709" i="3"/>
  <c r="I1709" i="3" s="1"/>
  <c r="H1897" i="3"/>
  <c r="I1897" i="3" s="1"/>
  <c r="H1917" i="3"/>
  <c r="I1917" i="3" s="1"/>
  <c r="H1933" i="3"/>
  <c r="I1933" i="3" s="1"/>
  <c r="H2153" i="3"/>
  <c r="I2153" i="3" s="1"/>
  <c r="H2165" i="3"/>
  <c r="I2165" i="3" s="1"/>
  <c r="H2257" i="3"/>
  <c r="I2257" i="3" s="1"/>
  <c r="H2329" i="3"/>
  <c r="I2329" i="3" s="1"/>
  <c r="H2337" i="3"/>
  <c r="I2337" i="3" s="1"/>
  <c r="H2461" i="3"/>
  <c r="I2461" i="3" s="1"/>
  <c r="H2469" i="3"/>
  <c r="I2469" i="3" s="1"/>
  <c r="H1842" i="3"/>
  <c r="I1842" i="3" s="1"/>
  <c r="H2098" i="3"/>
  <c r="I2098" i="3" s="1"/>
  <c r="H1159" i="3"/>
  <c r="I1159" i="3" s="1"/>
  <c r="H1461" i="3"/>
  <c r="I1461" i="3" s="1"/>
  <c r="H1647" i="3"/>
  <c r="I1647" i="3" s="1"/>
  <c r="H2022" i="3"/>
  <c r="I2022" i="3" s="1"/>
  <c r="H2370" i="3"/>
  <c r="I2370" i="3" s="1"/>
  <c r="H935" i="3"/>
  <c r="I935" i="3" s="1"/>
  <c r="H1405" i="3"/>
  <c r="I1405" i="3" s="1"/>
  <c r="H1994" i="3"/>
  <c r="I1994" i="3" s="1"/>
  <c r="H2298" i="3"/>
  <c r="I2298" i="3" s="1"/>
  <c r="H1605" i="3"/>
  <c r="I1605" i="3" s="1"/>
  <c r="H2062" i="3"/>
  <c r="I2062" i="3" s="1"/>
  <c r="H2398" i="3"/>
  <c r="I2398" i="3" s="1"/>
  <c r="H2534" i="3"/>
  <c r="I2534" i="3" s="1"/>
  <c r="H2669" i="3"/>
  <c r="I2669" i="3" s="1"/>
  <c r="H2697" i="3"/>
  <c r="I2697" i="3" s="1"/>
  <c r="H2785" i="3"/>
  <c r="I2785" i="3" s="1"/>
  <c r="H2825" i="3"/>
  <c r="I2825" i="3" s="1"/>
  <c r="H2829" i="3"/>
  <c r="I2829" i="3" s="1"/>
  <c r="H3033" i="3"/>
  <c r="I3033" i="3" s="1"/>
  <c r="H3077" i="3"/>
  <c r="I3077" i="3" s="1"/>
  <c r="H3129" i="3"/>
  <c r="I3129" i="3" s="1"/>
  <c r="H2555" i="3"/>
  <c r="I2555" i="3" s="1"/>
  <c r="H2878" i="3"/>
  <c r="I2878" i="3" s="1"/>
  <c r="H2890" i="3"/>
  <c r="I2890" i="3" s="1"/>
  <c r="H2934" i="3"/>
  <c r="I2934" i="3" s="1"/>
  <c r="H3006" i="3"/>
  <c r="I3006" i="3" s="1"/>
  <c r="H3042" i="3"/>
  <c r="I3042" i="3" s="1"/>
  <c r="H3054" i="3"/>
  <c r="I3054" i="3" s="1"/>
  <c r="H3126" i="3"/>
  <c r="I3126" i="3" s="1"/>
  <c r="H3218" i="3"/>
  <c r="I3218" i="3" s="1"/>
  <c r="H2613" i="3"/>
  <c r="I2613" i="3" s="1"/>
  <c r="H2679" i="3"/>
  <c r="I2679" i="3" s="1"/>
  <c r="H2811" i="3"/>
  <c r="I2811" i="3" s="1"/>
  <c r="H2907" i="3"/>
  <c r="I2907" i="3" s="1"/>
  <c r="H3031" i="3"/>
  <c r="I3031" i="3" s="1"/>
  <c r="H3067" i="3"/>
  <c r="I3067" i="3" s="1"/>
  <c r="H2531" i="3"/>
  <c r="I2531" i="3" s="1"/>
  <c r="H2559" i="3"/>
  <c r="I2559" i="3" s="1"/>
  <c r="H2603" i="3"/>
  <c r="I2603" i="3" s="1"/>
  <c r="H2630" i="3"/>
  <c r="I2630" i="3" s="1"/>
  <c r="H2812" i="3"/>
  <c r="I2812" i="3" s="1"/>
  <c r="H2820" i="3"/>
  <c r="I2820" i="3" s="1"/>
  <c r="H2988" i="3"/>
  <c r="I2988" i="3" s="1"/>
  <c r="H3016" i="3"/>
  <c r="I3016" i="3" s="1"/>
  <c r="H3036" i="3"/>
  <c r="I3036" i="3" s="1"/>
  <c r="H3080" i="3"/>
  <c r="I3080" i="3" s="1"/>
  <c r="H6" i="3"/>
  <c r="I6" i="3" s="1"/>
  <c r="H34" i="3"/>
  <c r="I34" i="3" s="1"/>
  <c r="H338" i="3"/>
  <c r="I338" i="3" s="1"/>
  <c r="H466" i="3"/>
  <c r="I466" i="3" s="1"/>
  <c r="H522" i="3"/>
  <c r="I522" i="3" s="1"/>
  <c r="H550" i="3"/>
  <c r="I550" i="3" s="1"/>
  <c r="H718" i="3"/>
  <c r="I718" i="3" s="1"/>
  <c r="H794" i="3"/>
  <c r="I794" i="3" s="1"/>
  <c r="H998" i="3"/>
  <c r="I998" i="3" s="1"/>
  <c r="H1106" i="3"/>
  <c r="I1106" i="3" s="1"/>
  <c r="H1158" i="3"/>
  <c r="I1158" i="3" s="1"/>
  <c r="H1182" i="3"/>
  <c r="I1182" i="3" s="1"/>
  <c r="H1286" i="3"/>
  <c r="I1286" i="3" s="1"/>
  <c r="H1546" i="3"/>
  <c r="I1546" i="3" s="1"/>
  <c r="H20" i="3"/>
  <c r="I20" i="3" s="1"/>
  <c r="H252" i="3"/>
  <c r="I252" i="3" s="1"/>
  <c r="H320" i="3"/>
  <c r="I320" i="3" s="1"/>
  <c r="H344" i="3"/>
  <c r="I344" i="3" s="1"/>
  <c r="H388" i="3"/>
  <c r="I388" i="3" s="1"/>
  <c r="H456" i="3"/>
  <c r="I456" i="3" s="1"/>
  <c r="H476" i="3"/>
  <c r="I476" i="3" s="1"/>
  <c r="H536" i="3"/>
  <c r="I536" i="3" s="1"/>
  <c r="H572" i="3"/>
  <c r="I572" i="3" s="1"/>
  <c r="H708" i="3"/>
  <c r="I708" i="3" s="1"/>
  <c r="H800" i="3"/>
  <c r="I800" i="3" s="1"/>
  <c r="H1128" i="3"/>
  <c r="I1128" i="3" s="1"/>
  <c r="H1256" i="3"/>
  <c r="I1256" i="3" s="1"/>
  <c r="H1588" i="3"/>
  <c r="I1588" i="3" s="1"/>
  <c r="H1620" i="3"/>
  <c r="I1620" i="3" s="1"/>
  <c r="H1624" i="3"/>
  <c r="I1624" i="3" s="1"/>
  <c r="H241" i="3"/>
  <c r="I241" i="3" s="1"/>
  <c r="H289" i="3"/>
  <c r="I289" i="3" s="1"/>
  <c r="H545" i="3"/>
  <c r="I545" i="3" s="1"/>
  <c r="H205" i="3"/>
  <c r="I205" i="3" s="1"/>
  <c r="H261" i="3"/>
  <c r="I261" i="3" s="1"/>
  <c r="H365" i="3"/>
  <c r="I365" i="3" s="1"/>
  <c r="H397" i="3"/>
  <c r="I397" i="3" s="1"/>
  <c r="H43" i="3"/>
  <c r="I43" i="3" s="1"/>
  <c r="H187" i="3"/>
  <c r="I187" i="3" s="1"/>
  <c r="H443" i="3"/>
  <c r="I443" i="3" s="1"/>
  <c r="H475" i="3"/>
  <c r="I475" i="3" s="1"/>
  <c r="H617" i="3"/>
  <c r="I617" i="3" s="1"/>
  <c r="H665" i="3"/>
  <c r="I665" i="3" s="1"/>
  <c r="H673" i="3"/>
  <c r="I673" i="3" s="1"/>
  <c r="H945" i="3"/>
  <c r="I945" i="3" s="1"/>
  <c r="H1161" i="3"/>
  <c r="I1161" i="3" s="1"/>
  <c r="H771" i="3"/>
  <c r="I771" i="3" s="1"/>
  <c r="H859" i="3"/>
  <c r="I859" i="3" s="1"/>
  <c r="H939" i="3"/>
  <c r="I939" i="3" s="1"/>
  <c r="H621" i="3"/>
  <c r="I621" i="3" s="1"/>
  <c r="H933" i="3"/>
  <c r="I933" i="3" s="1"/>
  <c r="H981" i="3"/>
  <c r="I981" i="3" s="1"/>
  <c r="H71" i="3"/>
  <c r="I71" i="3" s="1"/>
  <c r="H327" i="3"/>
  <c r="I327" i="3" s="1"/>
  <c r="H1335" i="3"/>
  <c r="I1335" i="3" s="1"/>
  <c r="H1455" i="3"/>
  <c r="I1455" i="3" s="1"/>
  <c r="H1631" i="3"/>
  <c r="I1631" i="3" s="1"/>
  <c r="H1654" i="3"/>
  <c r="I1654" i="3" s="1"/>
  <c r="H1767" i="3"/>
  <c r="I1767" i="3" s="1"/>
  <c r="H1871" i="3"/>
  <c r="I1871" i="3" s="1"/>
  <c r="H1903" i="3"/>
  <c r="I1903" i="3" s="1"/>
  <c r="H2203" i="3"/>
  <c r="I2203" i="3" s="1"/>
  <c r="H2211" i="3"/>
  <c r="I2211" i="3" s="1"/>
  <c r="H2283" i="3"/>
  <c r="I2283" i="3" s="1"/>
  <c r="H2291" i="3"/>
  <c r="I2291" i="3" s="1"/>
  <c r="H1207" i="3"/>
  <c r="I1207" i="3" s="1"/>
  <c r="H1281" i="3"/>
  <c r="I1281" i="3" s="1"/>
  <c r="H1425" i="3"/>
  <c r="I1425" i="3" s="1"/>
  <c r="H1645" i="3"/>
  <c r="I1645" i="3" s="1"/>
  <c r="H1804" i="3"/>
  <c r="I1804" i="3" s="1"/>
  <c r="H1820" i="3"/>
  <c r="I1820" i="3" s="1"/>
  <c r="H1848" i="3"/>
  <c r="I1848" i="3" s="1"/>
  <c r="H1920" i="3"/>
  <c r="I1920" i="3" s="1"/>
  <c r="H2160" i="3"/>
  <c r="I2160" i="3" s="1"/>
  <c r="H2268" i="3"/>
  <c r="I2268" i="3" s="1"/>
  <c r="H2356" i="3"/>
  <c r="I2356" i="3" s="1"/>
  <c r="H2368" i="3"/>
  <c r="I2368" i="3" s="1"/>
  <c r="H2456" i="3"/>
  <c r="I2456" i="3" s="1"/>
  <c r="H2508" i="3"/>
  <c r="I2508" i="3" s="1"/>
  <c r="H2628" i="3"/>
  <c r="I2628" i="3" s="1"/>
  <c r="H103" i="3"/>
  <c r="I103" i="3" s="1"/>
  <c r="H231" i="3"/>
  <c r="I231" i="3" s="1"/>
  <c r="H423" i="3"/>
  <c r="I423" i="3" s="1"/>
  <c r="H1347" i="3"/>
  <c r="I1347" i="3" s="1"/>
  <c r="H1483" i="3"/>
  <c r="I1483" i="3" s="1"/>
  <c r="H1697" i="3"/>
  <c r="I1697" i="3" s="1"/>
  <c r="H1729" i="3"/>
  <c r="I1729" i="3" s="1"/>
  <c r="H1853" i="3"/>
  <c r="I1853" i="3" s="1"/>
  <c r="H1865" i="3"/>
  <c r="I1865" i="3" s="1"/>
  <c r="H1913" i="3"/>
  <c r="I1913" i="3" s="1"/>
  <c r="H1957" i="3"/>
  <c r="I1957" i="3" s="1"/>
  <c r="H1973" i="3"/>
  <c r="I1973" i="3" s="1"/>
  <c r="H2021" i="3"/>
  <c r="I2021" i="3" s="1"/>
  <c r="H2045" i="3"/>
  <c r="I2045" i="3" s="1"/>
  <c r="H2121" i="3"/>
  <c r="I2121" i="3" s="1"/>
  <c r="H2157" i="3"/>
  <c r="I2157" i="3" s="1"/>
  <c r="H2345" i="3"/>
  <c r="I2345" i="3" s="1"/>
  <c r="H2397" i="3"/>
  <c r="I2397" i="3" s="1"/>
  <c r="H2481" i="3"/>
  <c r="I2481" i="3" s="1"/>
  <c r="H2593" i="3"/>
  <c r="I2593" i="3" s="1"/>
  <c r="H119" i="3"/>
  <c r="I119" i="3" s="1"/>
  <c r="H1485" i="3"/>
  <c r="I1485" i="3" s="1"/>
  <c r="H2447" i="3"/>
  <c r="I2447" i="3" s="1"/>
  <c r="H2463" i="3"/>
  <c r="I2463" i="3" s="1"/>
  <c r="H1301" i="3"/>
  <c r="I1301" i="3" s="1"/>
  <c r="H1429" i="3"/>
  <c r="I1429" i="3" s="1"/>
  <c r="H1669" i="3"/>
  <c r="I1669" i="3" s="1"/>
  <c r="H1830" i="3"/>
  <c r="I1830" i="3" s="1"/>
  <c r="H2166" i="3"/>
  <c r="I2166" i="3" s="1"/>
  <c r="H2506" i="3"/>
  <c r="I2506" i="3" s="1"/>
  <c r="H2387" i="3"/>
  <c r="I2387" i="3" s="1"/>
  <c r="H2475" i="3"/>
  <c r="I2475" i="3" s="1"/>
  <c r="H1710" i="3"/>
  <c r="I1710" i="3" s="1"/>
  <c r="H2094" i="3"/>
  <c r="I2094" i="3" s="1"/>
  <c r="H2238" i="3"/>
  <c r="I2238" i="3" s="1"/>
  <c r="H2302" i="3"/>
  <c r="I2302" i="3" s="1"/>
  <c r="H2605" i="3"/>
  <c r="I2605" i="3" s="1"/>
  <c r="H2729" i="3"/>
  <c r="I2729" i="3" s="1"/>
  <c r="H2761" i="3"/>
  <c r="I2761" i="3" s="1"/>
  <c r="H2957" i="3"/>
  <c r="I2957" i="3" s="1"/>
  <c r="H3009" i="3"/>
  <c r="I3009" i="3" s="1"/>
  <c r="H3053" i="3"/>
  <c r="I3053" i="3" s="1"/>
  <c r="H2587" i="3"/>
  <c r="I2587" i="3" s="1"/>
  <c r="H2638" i="3"/>
  <c r="I2638" i="3" s="1"/>
  <c r="H2654" i="3"/>
  <c r="I2654" i="3" s="1"/>
  <c r="H2674" i="3"/>
  <c r="I2674" i="3" s="1"/>
  <c r="H2686" i="3"/>
  <c r="I2686" i="3" s="1"/>
  <c r="H2810" i="3"/>
  <c r="I2810" i="3" s="1"/>
  <c r="H2974" i="3"/>
  <c r="I2974" i="3" s="1"/>
  <c r="H3034" i="3"/>
  <c r="I3034" i="3" s="1"/>
  <c r="H3114" i="3"/>
  <c r="I3114" i="3" s="1"/>
  <c r="H3194" i="3"/>
  <c r="I3194" i="3" s="1"/>
  <c r="H2743" i="3"/>
  <c r="I2743" i="3" s="1"/>
  <c r="H2791" i="3"/>
  <c r="I2791" i="3" s="1"/>
  <c r="H2871" i="3"/>
  <c r="I2871" i="3" s="1"/>
  <c r="H2875" i="3"/>
  <c r="I2875" i="3" s="1"/>
  <c r="H2951" i="3"/>
  <c r="I2951" i="3" s="1"/>
  <c r="H3091" i="3"/>
  <c r="I3091" i="3" s="1"/>
  <c r="H3183" i="3"/>
  <c r="I3183" i="3" s="1"/>
  <c r="H2692" i="3"/>
  <c r="I2692" i="3" s="1"/>
  <c r="H2748" i="3"/>
  <c r="I2748" i="3" s="1"/>
  <c r="H2872" i="3"/>
  <c r="I2872" i="3" s="1"/>
  <c r="H2920" i="3"/>
  <c r="I2920" i="3" s="1"/>
  <c r="H3120" i="3"/>
  <c r="I3120" i="3" s="1"/>
  <c r="H3124" i="3"/>
  <c r="I3124" i="3" s="1"/>
  <c r="H3164" i="3"/>
  <c r="I3164" i="3" s="1"/>
  <c r="H4586" i="3"/>
  <c r="I4586" i="3" s="1"/>
  <c r="H4582" i="3"/>
  <c r="I4582" i="3" s="1"/>
  <c r="H4578" i="3"/>
  <c r="I4578" i="3" s="1"/>
  <c r="H4574" i="3"/>
  <c r="I4574" i="3" s="1"/>
  <c r="H4570" i="3"/>
  <c r="I4570" i="3" s="1"/>
  <c r="H4566" i="3"/>
  <c r="I4566" i="3" s="1"/>
  <c r="H4562" i="3"/>
  <c r="I4562" i="3" s="1"/>
  <c r="H4558" i="3"/>
  <c r="I4558" i="3" s="1"/>
  <c r="H4554" i="3"/>
  <c r="I4554" i="3" s="1"/>
  <c r="H4550" i="3"/>
  <c r="I4550" i="3" s="1"/>
  <c r="H4546" i="3"/>
  <c r="I4546" i="3" s="1"/>
  <c r="H4542" i="3"/>
  <c r="I4542" i="3" s="1"/>
  <c r="H4538" i="3"/>
  <c r="I4538" i="3" s="1"/>
  <c r="H4534" i="3"/>
  <c r="I4534" i="3" s="1"/>
  <c r="H4530" i="3"/>
  <c r="I4530" i="3" s="1"/>
  <c r="H4526" i="3"/>
  <c r="I4526" i="3" s="1"/>
  <c r="H4522" i="3"/>
  <c r="I4522" i="3" s="1"/>
  <c r="H4518" i="3"/>
  <c r="I4518" i="3" s="1"/>
  <c r="H4514" i="3"/>
  <c r="I4514" i="3" s="1"/>
  <c r="H4510" i="3"/>
  <c r="I4510" i="3" s="1"/>
  <c r="H4506" i="3"/>
  <c r="I4506" i="3" s="1"/>
  <c r="H4502" i="3"/>
  <c r="I4502" i="3" s="1"/>
  <c r="H4498" i="3"/>
  <c r="I4498" i="3" s="1"/>
  <c r="H4494" i="3"/>
  <c r="I4494" i="3" s="1"/>
  <c r="H4490" i="3"/>
  <c r="I4490" i="3" s="1"/>
  <c r="H4486" i="3"/>
  <c r="I4486" i="3" s="1"/>
  <c r="H4482" i="3"/>
  <c r="I4482" i="3" s="1"/>
  <c r="H4478" i="3"/>
  <c r="I4478" i="3" s="1"/>
  <c r="H4474" i="3"/>
  <c r="I4474" i="3" s="1"/>
  <c r="H4470" i="3"/>
  <c r="I4470" i="3" s="1"/>
  <c r="H4466" i="3"/>
  <c r="I4466" i="3" s="1"/>
  <c r="H4462" i="3"/>
  <c r="I4462" i="3" s="1"/>
  <c r="H4458" i="3"/>
  <c r="I4458" i="3" s="1"/>
  <c r="H4454" i="3"/>
  <c r="I4454" i="3" s="1"/>
  <c r="H4450" i="3"/>
  <c r="I4450" i="3" s="1"/>
  <c r="H4446" i="3"/>
  <c r="I4446" i="3" s="1"/>
  <c r="H4442" i="3"/>
  <c r="I4442" i="3" s="1"/>
  <c r="H4438" i="3"/>
  <c r="I4438" i="3" s="1"/>
  <c r="H4434" i="3"/>
  <c r="I4434" i="3" s="1"/>
  <c r="H4430" i="3"/>
  <c r="I4430" i="3" s="1"/>
  <c r="H4426" i="3"/>
  <c r="I4426" i="3" s="1"/>
  <c r="H4422" i="3"/>
  <c r="I4422" i="3" s="1"/>
  <c r="H4418" i="3"/>
  <c r="I4418" i="3" s="1"/>
  <c r="H4414" i="3"/>
  <c r="I4414" i="3" s="1"/>
  <c r="H4410" i="3"/>
  <c r="I4410" i="3" s="1"/>
  <c r="H4406" i="3"/>
  <c r="I4406" i="3" s="1"/>
  <c r="H4402" i="3"/>
  <c r="I4402" i="3" s="1"/>
  <c r="H4398" i="3"/>
  <c r="I4398" i="3" s="1"/>
  <c r="H4394" i="3"/>
  <c r="I4394" i="3" s="1"/>
  <c r="H4390" i="3"/>
  <c r="I4390" i="3" s="1"/>
  <c r="H4386" i="3"/>
  <c r="I4386" i="3" s="1"/>
  <c r="H4382" i="3"/>
  <c r="I4382" i="3" s="1"/>
  <c r="H4378" i="3"/>
  <c r="I4378" i="3" s="1"/>
  <c r="H4374" i="3"/>
  <c r="I4374" i="3" s="1"/>
  <c r="H4370" i="3"/>
  <c r="I4370" i="3" s="1"/>
  <c r="H4366" i="3"/>
  <c r="I4366" i="3" s="1"/>
  <c r="H4362" i="3"/>
  <c r="I4362" i="3" s="1"/>
  <c r="H4358" i="3"/>
  <c r="I4358" i="3" s="1"/>
  <c r="H4354" i="3"/>
  <c r="I4354" i="3" s="1"/>
  <c r="H4350" i="3"/>
  <c r="I4350" i="3" s="1"/>
  <c r="H4346" i="3"/>
  <c r="I4346" i="3" s="1"/>
  <c r="H4342" i="3"/>
  <c r="I4342" i="3" s="1"/>
  <c r="H4338" i="3"/>
  <c r="I4338" i="3" s="1"/>
  <c r="H4334" i="3"/>
  <c r="I4334" i="3" s="1"/>
  <c r="H4330" i="3"/>
  <c r="I4330" i="3" s="1"/>
  <c r="H4326" i="3"/>
  <c r="I4326" i="3" s="1"/>
  <c r="H4322" i="3"/>
  <c r="I4322" i="3" s="1"/>
  <c r="H4318" i="3"/>
  <c r="I4318" i="3" s="1"/>
  <c r="H4314" i="3"/>
  <c r="I4314" i="3" s="1"/>
  <c r="H4310" i="3"/>
  <c r="I4310" i="3" s="1"/>
  <c r="H4306" i="3"/>
  <c r="I4306" i="3" s="1"/>
  <c r="H4302" i="3"/>
  <c r="I4302" i="3" s="1"/>
  <c r="H4298" i="3"/>
  <c r="I4298" i="3" s="1"/>
  <c r="H4294" i="3"/>
  <c r="I4294" i="3" s="1"/>
  <c r="H4290" i="3"/>
  <c r="I4290" i="3" s="1"/>
  <c r="H4286" i="3"/>
  <c r="I4286" i="3" s="1"/>
  <c r="H4282" i="3"/>
  <c r="I4282" i="3" s="1"/>
  <c r="H4278" i="3"/>
  <c r="I4278" i="3" s="1"/>
  <c r="H4274" i="3"/>
  <c r="I4274" i="3" s="1"/>
  <c r="H4270" i="3"/>
  <c r="I4270" i="3" s="1"/>
  <c r="H4266" i="3"/>
  <c r="I4266" i="3" s="1"/>
  <c r="H4262" i="3"/>
  <c r="I4262" i="3" s="1"/>
  <c r="H4258" i="3"/>
  <c r="I4258" i="3" s="1"/>
  <c r="H4254" i="3"/>
  <c r="I4254" i="3" s="1"/>
  <c r="H4250" i="3"/>
  <c r="I4250" i="3" s="1"/>
  <c r="H4246" i="3"/>
  <c r="I4246" i="3" s="1"/>
  <c r="H4242" i="3"/>
  <c r="I4242" i="3" s="1"/>
  <c r="H4238" i="3"/>
  <c r="I4238" i="3" s="1"/>
  <c r="H4234" i="3"/>
  <c r="I4234" i="3" s="1"/>
  <c r="H4230" i="3"/>
  <c r="I4230" i="3" s="1"/>
  <c r="H4226" i="3"/>
  <c r="I4226" i="3" s="1"/>
  <c r="H4222" i="3"/>
  <c r="I4222" i="3" s="1"/>
  <c r="H4218" i="3"/>
  <c r="I4218" i="3" s="1"/>
  <c r="H4214" i="3"/>
  <c r="I4214" i="3" s="1"/>
  <c r="H4210" i="3"/>
  <c r="I4210" i="3" s="1"/>
  <c r="H4206" i="3"/>
  <c r="I4206" i="3" s="1"/>
  <c r="H4202" i="3"/>
  <c r="I4202" i="3" s="1"/>
  <c r="H4198" i="3"/>
  <c r="I4198" i="3" s="1"/>
  <c r="H4194" i="3"/>
  <c r="I4194" i="3" s="1"/>
  <c r="H4190" i="3"/>
  <c r="I4190" i="3" s="1"/>
  <c r="H4186" i="3"/>
  <c r="I4186" i="3" s="1"/>
  <c r="H4182" i="3"/>
  <c r="I4182" i="3" s="1"/>
  <c r="H4178" i="3"/>
  <c r="I4178" i="3" s="1"/>
  <c r="H4174" i="3"/>
  <c r="I4174" i="3" s="1"/>
  <c r="H4170" i="3"/>
  <c r="I4170" i="3" s="1"/>
  <c r="H4166" i="3"/>
  <c r="I4166" i="3" s="1"/>
  <c r="H4162" i="3"/>
  <c r="I4162" i="3" s="1"/>
  <c r="H4158" i="3"/>
  <c r="I4158" i="3" s="1"/>
  <c r="H4154" i="3"/>
  <c r="I4154" i="3" s="1"/>
  <c r="H4150" i="3"/>
  <c r="I4150" i="3" s="1"/>
  <c r="H4146" i="3"/>
  <c r="I4146" i="3" s="1"/>
  <c r="H4142" i="3"/>
  <c r="I4142" i="3" s="1"/>
  <c r="H4138" i="3"/>
  <c r="I4138" i="3" s="1"/>
  <c r="H4134" i="3"/>
  <c r="I4134" i="3" s="1"/>
  <c r="H4130" i="3"/>
  <c r="I4130" i="3" s="1"/>
  <c r="H4126" i="3"/>
  <c r="I4126" i="3" s="1"/>
  <c r="H4122" i="3"/>
  <c r="I4122" i="3" s="1"/>
  <c r="H4118" i="3"/>
  <c r="I4118" i="3" s="1"/>
  <c r="H4114" i="3"/>
  <c r="I4114" i="3" s="1"/>
  <c r="H4110" i="3"/>
  <c r="I4110" i="3" s="1"/>
  <c r="H4106" i="3"/>
  <c r="I4106" i="3" s="1"/>
  <c r="H4102" i="3"/>
  <c r="I4102" i="3" s="1"/>
  <c r="H4098" i="3"/>
  <c r="I4098" i="3" s="1"/>
  <c r="H4094" i="3"/>
  <c r="I4094" i="3" s="1"/>
  <c r="H4090" i="3"/>
  <c r="I4090" i="3" s="1"/>
  <c r="H4086" i="3"/>
  <c r="I4086" i="3" s="1"/>
  <c r="H4082" i="3"/>
  <c r="I4082" i="3" s="1"/>
  <c r="H4078" i="3"/>
  <c r="I4078" i="3" s="1"/>
  <c r="H4074" i="3"/>
  <c r="I4074" i="3" s="1"/>
  <c r="H4070" i="3"/>
  <c r="I4070" i="3" s="1"/>
  <c r="H4066" i="3"/>
  <c r="I4066" i="3" s="1"/>
  <c r="H4062" i="3"/>
  <c r="I4062" i="3" s="1"/>
  <c r="H4058" i="3"/>
  <c r="I4058" i="3" s="1"/>
  <c r="H4054" i="3"/>
  <c r="I4054" i="3" s="1"/>
  <c r="H4050" i="3"/>
  <c r="I4050" i="3" s="1"/>
  <c r="H4046" i="3"/>
  <c r="I4046" i="3" s="1"/>
  <c r="H4042" i="3"/>
  <c r="I4042" i="3" s="1"/>
  <c r="H4038" i="3"/>
  <c r="I4038" i="3" s="1"/>
  <c r="H4034" i="3"/>
  <c r="I4034" i="3" s="1"/>
  <c r="H4030" i="3"/>
  <c r="I4030" i="3" s="1"/>
  <c r="H4026" i="3"/>
  <c r="I4026" i="3" s="1"/>
  <c r="H4022" i="3"/>
  <c r="I4022" i="3" s="1"/>
  <c r="H4018" i="3"/>
  <c r="I4018" i="3" s="1"/>
  <c r="H4014" i="3"/>
  <c r="I4014" i="3" s="1"/>
  <c r="H4010" i="3"/>
  <c r="I4010" i="3" s="1"/>
  <c r="H4006" i="3"/>
  <c r="I4006" i="3" s="1"/>
  <c r="H4002" i="3"/>
  <c r="I4002" i="3" s="1"/>
  <c r="H3998" i="3"/>
  <c r="I3998" i="3" s="1"/>
  <c r="H3994" i="3"/>
  <c r="I3994" i="3" s="1"/>
  <c r="H3990" i="3"/>
  <c r="I3990" i="3" s="1"/>
  <c r="H3986" i="3"/>
  <c r="I3986" i="3" s="1"/>
  <c r="H3982" i="3"/>
  <c r="I3982" i="3" s="1"/>
  <c r="H3978" i="3"/>
  <c r="I3978" i="3" s="1"/>
  <c r="H3974" i="3"/>
  <c r="I3974" i="3" s="1"/>
  <c r="H3970" i="3"/>
  <c r="I3970" i="3" s="1"/>
  <c r="H3966" i="3"/>
  <c r="I3966" i="3" s="1"/>
  <c r="H3962" i="3"/>
  <c r="I3962" i="3" s="1"/>
  <c r="H3958" i="3"/>
  <c r="I3958" i="3" s="1"/>
  <c r="H3954" i="3"/>
  <c r="I3954" i="3" s="1"/>
  <c r="H3950" i="3"/>
  <c r="I3950" i="3" s="1"/>
  <c r="H3946" i="3"/>
  <c r="I3946" i="3" s="1"/>
  <c r="H3942" i="3"/>
  <c r="I3942" i="3" s="1"/>
  <c r="H3938" i="3"/>
  <c r="I3938" i="3" s="1"/>
  <c r="H3934" i="3"/>
  <c r="I3934" i="3" s="1"/>
  <c r="H3930" i="3"/>
  <c r="I3930" i="3" s="1"/>
  <c r="H3926" i="3"/>
  <c r="I3926" i="3" s="1"/>
  <c r="H3922" i="3"/>
  <c r="I3922" i="3" s="1"/>
  <c r="H3918" i="3"/>
  <c r="I3918" i="3" s="1"/>
  <c r="H3914" i="3"/>
  <c r="I3914" i="3" s="1"/>
  <c r="H3910" i="3"/>
  <c r="I3910" i="3" s="1"/>
  <c r="H3906" i="3"/>
  <c r="I3906" i="3" s="1"/>
  <c r="H3902" i="3"/>
  <c r="I3902" i="3" s="1"/>
  <c r="H3898" i="3"/>
  <c r="I3898" i="3" s="1"/>
  <c r="H3894" i="3"/>
  <c r="I3894" i="3" s="1"/>
  <c r="H3890" i="3"/>
  <c r="I3890" i="3" s="1"/>
  <c r="H3886" i="3"/>
  <c r="I3886" i="3" s="1"/>
  <c r="H3882" i="3"/>
  <c r="I3882" i="3" s="1"/>
  <c r="H3878" i="3"/>
  <c r="I3878" i="3" s="1"/>
  <c r="H3874" i="3"/>
  <c r="I3874" i="3" s="1"/>
  <c r="H3870" i="3"/>
  <c r="I3870" i="3" s="1"/>
  <c r="H3866" i="3"/>
  <c r="I3866" i="3" s="1"/>
  <c r="H3862" i="3"/>
  <c r="I3862" i="3" s="1"/>
  <c r="H3858" i="3"/>
  <c r="I3858" i="3" s="1"/>
  <c r="H3854" i="3"/>
  <c r="I3854" i="3" s="1"/>
  <c r="H3850" i="3"/>
  <c r="I3850" i="3" s="1"/>
  <c r="H3846" i="3"/>
  <c r="I3846" i="3" s="1"/>
  <c r="H3842" i="3"/>
  <c r="I3842" i="3" s="1"/>
  <c r="H3838" i="3"/>
  <c r="I3838" i="3" s="1"/>
  <c r="H3834" i="3"/>
  <c r="I3834" i="3" s="1"/>
  <c r="H3830" i="3"/>
  <c r="I3830" i="3" s="1"/>
  <c r="H3826" i="3"/>
  <c r="I3826" i="3" s="1"/>
  <c r="H3822" i="3"/>
  <c r="I3822" i="3" s="1"/>
  <c r="H3818" i="3"/>
  <c r="I3818" i="3" s="1"/>
  <c r="H3814" i="3"/>
  <c r="I3814" i="3" s="1"/>
  <c r="H3810" i="3"/>
  <c r="I3810" i="3" s="1"/>
  <c r="H3806" i="3"/>
  <c r="I3806" i="3" s="1"/>
  <c r="H3802" i="3"/>
  <c r="I3802" i="3" s="1"/>
  <c r="H3798" i="3"/>
  <c r="I3798" i="3" s="1"/>
  <c r="H3794" i="3"/>
  <c r="I3794" i="3" s="1"/>
  <c r="H3790" i="3"/>
  <c r="I3790" i="3" s="1"/>
  <c r="H3786" i="3"/>
  <c r="I3786" i="3" s="1"/>
  <c r="H3782" i="3"/>
  <c r="I3782" i="3" s="1"/>
  <c r="H3778" i="3"/>
  <c r="I3778" i="3" s="1"/>
  <c r="H3774" i="3"/>
  <c r="I3774" i="3" s="1"/>
  <c r="H3770" i="3"/>
  <c r="I3770" i="3" s="1"/>
  <c r="H3766" i="3"/>
  <c r="I3766" i="3" s="1"/>
  <c r="H3762" i="3"/>
  <c r="I3762" i="3" s="1"/>
  <c r="H3758" i="3"/>
  <c r="I3758" i="3" s="1"/>
  <c r="H3754" i="3"/>
  <c r="I3754" i="3" s="1"/>
  <c r="H3750" i="3"/>
  <c r="I3750" i="3" s="1"/>
  <c r="H3746" i="3"/>
  <c r="I3746" i="3" s="1"/>
  <c r="H3742" i="3"/>
  <c r="I3742" i="3" s="1"/>
  <c r="H3738" i="3"/>
  <c r="I3738" i="3" s="1"/>
  <c r="H3734" i="3"/>
  <c r="I3734" i="3" s="1"/>
  <c r="H3730" i="3"/>
  <c r="I3730" i="3" s="1"/>
  <c r="H3726" i="3"/>
  <c r="I3726" i="3" s="1"/>
  <c r="H3722" i="3"/>
  <c r="I3722" i="3" s="1"/>
  <c r="H3718" i="3"/>
  <c r="I3718" i="3" s="1"/>
  <c r="H3714" i="3"/>
  <c r="I3714" i="3" s="1"/>
  <c r="H3710" i="3"/>
  <c r="I3710" i="3" s="1"/>
  <c r="H3706" i="3"/>
  <c r="I3706" i="3" s="1"/>
  <c r="H3702" i="3"/>
  <c r="I3702" i="3" s="1"/>
  <c r="H3698" i="3"/>
  <c r="I3698" i="3" s="1"/>
  <c r="H3694" i="3"/>
  <c r="I3694" i="3" s="1"/>
  <c r="H3690" i="3"/>
  <c r="I3690" i="3" s="1"/>
  <c r="H3686" i="3"/>
  <c r="I3686" i="3" s="1"/>
  <c r="H3682" i="3"/>
  <c r="I3682" i="3" s="1"/>
  <c r="H3678" i="3"/>
  <c r="I3678" i="3" s="1"/>
  <c r="H3674" i="3"/>
  <c r="I3674" i="3" s="1"/>
  <c r="H3670" i="3"/>
  <c r="I3670" i="3" s="1"/>
  <c r="H3666" i="3"/>
  <c r="I3666" i="3" s="1"/>
  <c r="H3662" i="3"/>
  <c r="I3662" i="3" s="1"/>
  <c r="H3658" i="3"/>
  <c r="I3658" i="3" s="1"/>
  <c r="H3654" i="3"/>
  <c r="I3654" i="3" s="1"/>
  <c r="H3650" i="3"/>
  <c r="I3650" i="3" s="1"/>
  <c r="H3646" i="3"/>
  <c r="I3646" i="3" s="1"/>
  <c r="H3642" i="3"/>
  <c r="I3642" i="3" s="1"/>
  <c r="H3638" i="3"/>
  <c r="I3638" i="3" s="1"/>
  <c r="H3634" i="3"/>
  <c r="I3634" i="3" s="1"/>
  <c r="H3630" i="3"/>
  <c r="I3630" i="3" s="1"/>
  <c r="H3626" i="3"/>
  <c r="I3626" i="3" s="1"/>
  <c r="H3622" i="3"/>
  <c r="I3622" i="3" s="1"/>
  <c r="H3618" i="3"/>
  <c r="I3618" i="3" s="1"/>
  <c r="H3614" i="3"/>
  <c r="I3614" i="3" s="1"/>
  <c r="H3610" i="3"/>
  <c r="I3610" i="3" s="1"/>
  <c r="H3606" i="3"/>
  <c r="I3606" i="3" s="1"/>
  <c r="H3602" i="3"/>
  <c r="I3602" i="3" s="1"/>
  <c r="H3598" i="3"/>
  <c r="I3598" i="3" s="1"/>
  <c r="H3594" i="3"/>
  <c r="I3594" i="3" s="1"/>
  <c r="H3590" i="3"/>
  <c r="I3590" i="3" s="1"/>
  <c r="H3586" i="3"/>
  <c r="I3586" i="3" s="1"/>
  <c r="H3582" i="3"/>
  <c r="I3582" i="3" s="1"/>
  <c r="H3578" i="3"/>
  <c r="I3578" i="3" s="1"/>
  <c r="H3574" i="3"/>
  <c r="I3574" i="3" s="1"/>
  <c r="H3570" i="3"/>
  <c r="I3570" i="3" s="1"/>
  <c r="H3566" i="3"/>
  <c r="I3566" i="3" s="1"/>
  <c r="H3562" i="3"/>
  <c r="I3562" i="3" s="1"/>
  <c r="H3558" i="3"/>
  <c r="I3558" i="3" s="1"/>
  <c r="H3554" i="3"/>
  <c r="I3554" i="3" s="1"/>
  <c r="H3550" i="3"/>
  <c r="I3550" i="3" s="1"/>
  <c r="H3546" i="3"/>
  <c r="I3546" i="3" s="1"/>
  <c r="H3542" i="3"/>
  <c r="I3542" i="3" s="1"/>
  <c r="H3538" i="3"/>
  <c r="I3538" i="3" s="1"/>
  <c r="H3534" i="3"/>
  <c r="I3534" i="3" s="1"/>
  <c r="H3530" i="3"/>
  <c r="I3530" i="3" s="1"/>
  <c r="H3526" i="3"/>
  <c r="I3526" i="3" s="1"/>
  <c r="H3522" i="3"/>
  <c r="I3522" i="3" s="1"/>
  <c r="H3518" i="3"/>
  <c r="I3518" i="3" s="1"/>
  <c r="H3514" i="3"/>
  <c r="I3514" i="3" s="1"/>
  <c r="H3510" i="3"/>
  <c r="I3510" i="3" s="1"/>
  <c r="H3506" i="3"/>
  <c r="I3506" i="3" s="1"/>
  <c r="H3502" i="3"/>
  <c r="I3502" i="3" s="1"/>
  <c r="H3498" i="3"/>
  <c r="I3498" i="3" s="1"/>
  <c r="H3494" i="3"/>
  <c r="I3494" i="3" s="1"/>
  <c r="H3490" i="3"/>
  <c r="I3490" i="3" s="1"/>
  <c r="H3486" i="3"/>
  <c r="I3486" i="3" s="1"/>
  <c r="H3482" i="3"/>
  <c r="I3482" i="3" s="1"/>
  <c r="H3478" i="3"/>
  <c r="I3478" i="3" s="1"/>
  <c r="H3474" i="3"/>
  <c r="I3474" i="3" s="1"/>
  <c r="H3470" i="3"/>
  <c r="I3470" i="3" s="1"/>
  <c r="H3466" i="3"/>
  <c r="I3466" i="3" s="1"/>
  <c r="H3462" i="3"/>
  <c r="I3462" i="3" s="1"/>
  <c r="H3458" i="3"/>
  <c r="I3458" i="3" s="1"/>
  <c r="H3454" i="3"/>
  <c r="I3454" i="3" s="1"/>
  <c r="H3450" i="3"/>
  <c r="I3450" i="3" s="1"/>
  <c r="H3446" i="3"/>
  <c r="I3446" i="3" s="1"/>
  <c r="H3438" i="3"/>
  <c r="I3438" i="3" s="1"/>
  <c r="H3430" i="3"/>
  <c r="I3430" i="3" s="1"/>
  <c r="H3426" i="3"/>
  <c r="I3426" i="3" s="1"/>
  <c r="H3422" i="3"/>
  <c r="I3422" i="3" s="1"/>
  <c r="H3418" i="3"/>
  <c r="I3418" i="3" s="1"/>
  <c r="H3414" i="3"/>
  <c r="I3414" i="3" s="1"/>
  <c r="H3410" i="3"/>
  <c r="I3410" i="3" s="1"/>
  <c r="H3406" i="3"/>
  <c r="I3406" i="3" s="1"/>
  <c r="H3402" i="3"/>
  <c r="I3402" i="3" s="1"/>
  <c r="H3398" i="3"/>
  <c r="I3398" i="3" s="1"/>
  <c r="H3394" i="3"/>
  <c r="I3394" i="3" s="1"/>
  <c r="H3390" i="3"/>
  <c r="I3390" i="3" s="1"/>
  <c r="H3386" i="3"/>
  <c r="I3386" i="3" s="1"/>
  <c r="H3382" i="3"/>
  <c r="I3382" i="3" s="1"/>
  <c r="H3378" i="3"/>
  <c r="I3378" i="3" s="1"/>
  <c r="H3374" i="3"/>
  <c r="I3374" i="3" s="1"/>
  <c r="H3370" i="3"/>
  <c r="I3370" i="3" s="1"/>
  <c r="H3366" i="3"/>
  <c r="I3366" i="3" s="1"/>
  <c r="H3362" i="3"/>
  <c r="I3362" i="3" s="1"/>
  <c r="H3358" i="3"/>
  <c r="I3358" i="3" s="1"/>
  <c r="H3354" i="3"/>
  <c r="I3354" i="3" s="1"/>
  <c r="H3350" i="3"/>
  <c r="I3350" i="3" s="1"/>
  <c r="H3346" i="3"/>
  <c r="I3346" i="3" s="1"/>
  <c r="H3342" i="3"/>
  <c r="I3342" i="3" s="1"/>
  <c r="H3338" i="3"/>
  <c r="I3338" i="3" s="1"/>
  <c r="H3334" i="3"/>
  <c r="I3334" i="3" s="1"/>
  <c r="H3326" i="3"/>
  <c r="I3326" i="3" s="1"/>
  <c r="H3318" i="3"/>
  <c r="I3318" i="3" s="1"/>
  <c r="H3314" i="3"/>
  <c r="I3314" i="3" s="1"/>
  <c r="H3306" i="3"/>
  <c r="I3306" i="3" s="1"/>
  <c r="H3302" i="3"/>
  <c r="I3302" i="3" s="1"/>
  <c r="H3298" i="3"/>
  <c r="I3298" i="3" s="1"/>
  <c r="H3294" i="3"/>
  <c r="I3294" i="3" s="1"/>
  <c r="H3290" i="3"/>
  <c r="I3290" i="3" s="1"/>
  <c r="H3278" i="3"/>
  <c r="I3278" i="3" s="1"/>
  <c r="H3274" i="3"/>
  <c r="I3274" i="3" s="1"/>
  <c r="H3270" i="3"/>
  <c r="I3270" i="3" s="1"/>
  <c r="H3266" i="3"/>
  <c r="I3266" i="3" s="1"/>
  <c r="H3258" i="3"/>
  <c r="I3258" i="3" s="1"/>
  <c r="H3253" i="3"/>
  <c r="I3253" i="3" s="1"/>
  <c r="H3245" i="3"/>
  <c r="I3245" i="3" s="1"/>
  <c r="H3237" i="3"/>
  <c r="I3237" i="3" s="1"/>
  <c r="H334" i="3"/>
  <c r="I334" i="3" s="1"/>
  <c r="H346" i="3"/>
  <c r="I346" i="3" s="1"/>
  <c r="H370" i="3"/>
  <c r="I370" i="3" s="1"/>
  <c r="H770" i="3"/>
  <c r="I770" i="3" s="1"/>
  <c r="H778" i="3"/>
  <c r="I778" i="3" s="1"/>
  <c r="H1270" i="3"/>
  <c r="I1270" i="3" s="1"/>
  <c r="H1490" i="3"/>
  <c r="I1490" i="3" s="1"/>
  <c r="H48" i="3"/>
  <c r="I48" i="3" s="1"/>
  <c r="H288" i="3"/>
  <c r="I288" i="3" s="1"/>
  <c r="H420" i="3"/>
  <c r="I420" i="3" s="1"/>
  <c r="H428" i="3"/>
  <c r="I428" i="3" s="1"/>
  <c r="H472" i="3"/>
  <c r="I472" i="3" s="1"/>
  <c r="H720" i="3"/>
  <c r="I720" i="3" s="1"/>
  <c r="H920" i="3"/>
  <c r="I920" i="3" s="1"/>
  <c r="H976" i="3"/>
  <c r="I976" i="3" s="1"/>
  <c r="H1056" i="3"/>
  <c r="I1056" i="3" s="1"/>
  <c r="H1144" i="3"/>
  <c r="I1144" i="3" s="1"/>
  <c r="H1200" i="3"/>
  <c r="I1200" i="3" s="1"/>
  <c r="H1236" i="3"/>
  <c r="I1236" i="3" s="1"/>
  <c r="H529" i="3"/>
  <c r="I529" i="3" s="1"/>
  <c r="H585" i="3"/>
  <c r="I585" i="3" s="1"/>
  <c r="H587" i="3"/>
  <c r="I587" i="3" s="1"/>
  <c r="H625" i="3"/>
  <c r="I625" i="3" s="1"/>
  <c r="H641" i="3"/>
  <c r="I641" i="3" s="1"/>
  <c r="H1105" i="3"/>
  <c r="I1105" i="3" s="1"/>
  <c r="H431" i="3"/>
  <c r="I431" i="3" s="1"/>
  <c r="H511" i="3"/>
  <c r="I511" i="3" s="1"/>
  <c r="H923" i="3"/>
  <c r="I923" i="3" s="1"/>
  <c r="H987" i="3"/>
  <c r="I987" i="3" s="1"/>
  <c r="H1155" i="3"/>
  <c r="I1155" i="3" s="1"/>
  <c r="H259" i="3"/>
  <c r="I259" i="3" s="1"/>
  <c r="H563" i="3"/>
  <c r="I563" i="3" s="1"/>
  <c r="H669" i="3"/>
  <c r="I669" i="3" s="1"/>
  <c r="H693" i="3"/>
  <c r="I693" i="3" s="1"/>
  <c r="H757" i="3"/>
  <c r="I757" i="3" s="1"/>
  <c r="H1157" i="3"/>
  <c r="I1157" i="3" s="1"/>
  <c r="H7" i="3"/>
  <c r="I7" i="3" s="1"/>
  <c r="H879" i="3"/>
  <c r="I879" i="3" s="1"/>
  <c r="H1167" i="3"/>
  <c r="I1167" i="3" s="1"/>
  <c r="H1431" i="3"/>
  <c r="I1431" i="3" s="1"/>
  <c r="H1591" i="3"/>
  <c r="I1591" i="3" s="1"/>
  <c r="H1687" i="3"/>
  <c r="I1687" i="3" s="1"/>
  <c r="H1739" i="3"/>
  <c r="I1739" i="3" s="1"/>
  <c r="H1759" i="3"/>
  <c r="I1759" i="3" s="1"/>
  <c r="H1763" i="3"/>
  <c r="I1763" i="3" s="1"/>
  <c r="H1807" i="3"/>
  <c r="I1807" i="3" s="1"/>
  <c r="H1967" i="3"/>
  <c r="I1967" i="3" s="1"/>
  <c r="H2115" i="3"/>
  <c r="I2115" i="3" s="1"/>
  <c r="H2175" i="3"/>
  <c r="I2175" i="3" s="1"/>
  <c r="H1724" i="3"/>
  <c r="I1724" i="3" s="1"/>
  <c r="H1872" i="3"/>
  <c r="I1872" i="3" s="1"/>
  <c r="H2048" i="3"/>
  <c r="I2048" i="3" s="1"/>
  <c r="H2420" i="3"/>
  <c r="I2420" i="3" s="1"/>
  <c r="H2608" i="3"/>
  <c r="I2608" i="3" s="1"/>
  <c r="H831" i="3"/>
  <c r="I831" i="3" s="1"/>
  <c r="H1443" i="3"/>
  <c r="I1443" i="3" s="1"/>
  <c r="H1657" i="3"/>
  <c r="I1657" i="3" s="1"/>
  <c r="H1757" i="3"/>
  <c r="I1757" i="3" s="1"/>
  <c r="H1837" i="3"/>
  <c r="I1837" i="3" s="1"/>
  <c r="H2133" i="3"/>
  <c r="I2133" i="3" s="1"/>
  <c r="H2449" i="3"/>
  <c r="I2449" i="3" s="1"/>
  <c r="H2537" i="3"/>
  <c r="I2537" i="3" s="1"/>
  <c r="H2541" i="3"/>
  <c r="I2541" i="3" s="1"/>
  <c r="H2549" i="3"/>
  <c r="I2549" i="3" s="1"/>
  <c r="H2573" i="3"/>
  <c r="I2573" i="3" s="1"/>
  <c r="H55" i="3"/>
  <c r="I55" i="3" s="1"/>
  <c r="H1421" i="3"/>
  <c r="I1421" i="3" s="1"/>
  <c r="H2018" i="3"/>
  <c r="I2018" i="3" s="1"/>
  <c r="H647" i="3"/>
  <c r="I647" i="3" s="1"/>
  <c r="H903" i="3"/>
  <c r="I903" i="3" s="1"/>
  <c r="H1686" i="3"/>
  <c r="I1686" i="3" s="1"/>
  <c r="H2074" i="3"/>
  <c r="I2074" i="3" s="1"/>
  <c r="H2403" i="3"/>
  <c r="I2403" i="3" s="1"/>
  <c r="H1413" i="3"/>
  <c r="I1413" i="3" s="1"/>
  <c r="H2078" i="3"/>
  <c r="I2078" i="3" s="1"/>
  <c r="H2631" i="3"/>
  <c r="I2631" i="3" s="1"/>
  <c r="H2709" i="3"/>
  <c r="I2709" i="3" s="1"/>
  <c r="H2773" i="3"/>
  <c r="I2773" i="3" s="1"/>
  <c r="H2909" i="3"/>
  <c r="I2909" i="3" s="1"/>
  <c r="H2925" i="3"/>
  <c r="I2925" i="3" s="1"/>
  <c r="H3041" i="3"/>
  <c r="I3041" i="3" s="1"/>
  <c r="H3085" i="3"/>
  <c r="I3085" i="3" s="1"/>
  <c r="H3145" i="3"/>
  <c r="I3145" i="3" s="1"/>
  <c r="H2547" i="3"/>
  <c r="I2547" i="3" s="1"/>
  <c r="H2643" i="3"/>
  <c r="I2643" i="3" s="1"/>
  <c r="H2666" i="3"/>
  <c r="I2666" i="3" s="1"/>
  <c r="H2702" i="3"/>
  <c r="I2702" i="3" s="1"/>
  <c r="H2790" i="3"/>
  <c r="I2790" i="3" s="1"/>
  <c r="H2834" i="3"/>
  <c r="I2834" i="3" s="1"/>
  <c r="H3050" i="3"/>
  <c r="I3050" i="3" s="1"/>
  <c r="H3094" i="3"/>
  <c r="I3094" i="3" s="1"/>
  <c r="H3182" i="3"/>
  <c r="I3182" i="3" s="1"/>
  <c r="H2747" i="3"/>
  <c r="I2747" i="3" s="1"/>
  <c r="H2755" i="3"/>
  <c r="I2755" i="3" s="1"/>
  <c r="H2783" i="3"/>
  <c r="I2783" i="3" s="1"/>
  <c r="H2947" i="3"/>
  <c r="I2947" i="3" s="1"/>
  <c r="H2551" i="3"/>
  <c r="I2551" i="3" s="1"/>
  <c r="H2760" i="3"/>
  <c r="I2760" i="3" s="1"/>
  <c r="H2892" i="3"/>
  <c r="I2892" i="3" s="1"/>
  <c r="H2944" i="3"/>
  <c r="I2944" i="3" s="1"/>
  <c r="H3008" i="3"/>
  <c r="I3008" i="3" s="1"/>
  <c r="H350" i="3"/>
  <c r="I350" i="3" s="1"/>
  <c r="H638" i="3"/>
  <c r="I638" i="3" s="1"/>
  <c r="H730" i="3"/>
  <c r="I730" i="3" s="1"/>
  <c r="H938" i="3"/>
  <c r="I938" i="3" s="1"/>
  <c r="H1006" i="3"/>
  <c r="I1006" i="3" s="1"/>
  <c r="H1014" i="3"/>
  <c r="I1014" i="3" s="1"/>
  <c r="H1078" i="3"/>
  <c r="I1078" i="3" s="1"/>
  <c r="H1134" i="3"/>
  <c r="I1134" i="3" s="1"/>
  <c r="H1138" i="3"/>
  <c r="I1138" i="3" s="1"/>
  <c r="H1198" i="3"/>
  <c r="I1198" i="3" s="1"/>
  <c r="H1310" i="3"/>
  <c r="I1310" i="3" s="1"/>
  <c r="H1350" i="3"/>
  <c r="I1350" i="3" s="1"/>
  <c r="H1422" i="3"/>
  <c r="I1422" i="3" s="1"/>
  <c r="H84" i="3"/>
  <c r="I84" i="3" s="1"/>
  <c r="H168" i="3"/>
  <c r="I168" i="3" s="1"/>
  <c r="H272" i="3"/>
  <c r="I272" i="3" s="1"/>
  <c r="H316" i="3"/>
  <c r="I316" i="3" s="1"/>
  <c r="H368" i="3"/>
  <c r="I368" i="3" s="1"/>
  <c r="H384" i="3"/>
  <c r="I384" i="3" s="1"/>
  <c r="H680" i="3"/>
  <c r="I680" i="3" s="1"/>
  <c r="H688" i="3"/>
  <c r="I688" i="3" s="1"/>
  <c r="H908" i="3"/>
  <c r="I908" i="3" s="1"/>
  <c r="H1008" i="3"/>
  <c r="I1008" i="3" s="1"/>
  <c r="H1460" i="3"/>
  <c r="I1460" i="3" s="1"/>
  <c r="H1580" i="3"/>
  <c r="I1580" i="3" s="1"/>
  <c r="H1600" i="3"/>
  <c r="I1600" i="3" s="1"/>
  <c r="H53" i="3"/>
  <c r="I53" i="3" s="1"/>
  <c r="H245" i="3"/>
  <c r="I245" i="3" s="1"/>
  <c r="H461" i="3"/>
  <c r="I461" i="3" s="1"/>
  <c r="H59" i="3"/>
  <c r="I59" i="3" s="1"/>
  <c r="H267" i="3"/>
  <c r="I267" i="3" s="1"/>
  <c r="H601" i="3"/>
  <c r="I601" i="3" s="1"/>
  <c r="H705" i="3"/>
  <c r="I705" i="3" s="1"/>
  <c r="H721" i="3"/>
  <c r="I721" i="3" s="1"/>
  <c r="H207" i="3"/>
  <c r="I207" i="3" s="1"/>
  <c r="H835" i="3"/>
  <c r="I835" i="3" s="1"/>
  <c r="H605" i="3"/>
  <c r="I605" i="3" s="1"/>
  <c r="H797" i="3"/>
  <c r="I797" i="3" s="1"/>
  <c r="H1021" i="3"/>
  <c r="I1021" i="3" s="1"/>
  <c r="H1093" i="3"/>
  <c r="I1093" i="3" s="1"/>
  <c r="H783" i="3"/>
  <c r="I783" i="3" s="1"/>
  <c r="H1255" i="3"/>
  <c r="I1255" i="3" s="1"/>
  <c r="H1327" i="3"/>
  <c r="I1327" i="3" s="1"/>
  <c r="H1375" i="3"/>
  <c r="I1375" i="3" s="1"/>
  <c r="H1995" i="3"/>
  <c r="I1995" i="3" s="1"/>
  <c r="H2067" i="3"/>
  <c r="I2067" i="3" s="1"/>
  <c r="H2359" i="3"/>
  <c r="I2359" i="3" s="1"/>
  <c r="H1175" i="3"/>
  <c r="I1175" i="3" s="1"/>
  <c r="H1513" i="3"/>
  <c r="I1513" i="3" s="1"/>
  <c r="H1609" i="3"/>
  <c r="I1609" i="3" s="1"/>
  <c r="H1688" i="3"/>
  <c r="I1688" i="3" s="1"/>
  <c r="H1708" i="3"/>
  <c r="I1708" i="3" s="1"/>
  <c r="H2284" i="3"/>
  <c r="I2284" i="3" s="1"/>
  <c r="H2344" i="3"/>
  <c r="I2344" i="3" s="1"/>
  <c r="H2568" i="3"/>
  <c r="I2568" i="3" s="1"/>
  <c r="H2648" i="3"/>
  <c r="I2648" i="3" s="1"/>
  <c r="H359" i="3"/>
  <c r="I359" i="3" s="1"/>
  <c r="H1499" i="3"/>
  <c r="I1499" i="3" s="1"/>
  <c r="H1869" i="3"/>
  <c r="I1869" i="3" s="1"/>
  <c r="H1905" i="3"/>
  <c r="I1905" i="3" s="1"/>
  <c r="H2217" i="3"/>
  <c r="I2217" i="3" s="1"/>
  <c r="H2429" i="3"/>
  <c r="I2429" i="3" s="1"/>
  <c r="H2441" i="3"/>
  <c r="I2441" i="3" s="1"/>
  <c r="H311" i="3"/>
  <c r="I311" i="3" s="1"/>
  <c r="H2162" i="3"/>
  <c r="I2162" i="3" s="1"/>
  <c r="H2375" i="3"/>
  <c r="I2375" i="3" s="1"/>
  <c r="H2415" i="3"/>
  <c r="I2415" i="3" s="1"/>
  <c r="H2439" i="3"/>
  <c r="I2439" i="3" s="1"/>
  <c r="H1365" i="3"/>
  <c r="I1365" i="3" s="1"/>
  <c r="H2006" i="3"/>
  <c r="I2006" i="3" s="1"/>
  <c r="H2054" i="3"/>
  <c r="I2054" i="3" s="1"/>
  <c r="H2198" i="3"/>
  <c r="I2198" i="3" s="1"/>
  <c r="H2214" i="3"/>
  <c r="I2214" i="3" s="1"/>
  <c r="H1373" i="3"/>
  <c r="I1373" i="3" s="1"/>
  <c r="H1850" i="3"/>
  <c r="I1850" i="3" s="1"/>
  <c r="H1541" i="3"/>
  <c r="I1541" i="3" s="1"/>
  <c r="H1742" i="3"/>
  <c r="I1742" i="3" s="1"/>
  <c r="H1886" i="3"/>
  <c r="I1886" i="3" s="1"/>
  <c r="H2510" i="3"/>
  <c r="I2510" i="3" s="1"/>
  <c r="H2721" i="3"/>
  <c r="I2721" i="3" s="1"/>
  <c r="H2745" i="3"/>
  <c r="I2745" i="3" s="1"/>
  <c r="H2797" i="3"/>
  <c r="I2797" i="3" s="1"/>
  <c r="H2913" i="3"/>
  <c r="I2913" i="3" s="1"/>
  <c r="H2750" i="3"/>
  <c r="I2750" i="3" s="1"/>
  <c r="H3062" i="3"/>
  <c r="I3062" i="3" s="1"/>
  <c r="H3142" i="3"/>
  <c r="I3142" i="3" s="1"/>
  <c r="H3234" i="3"/>
  <c r="I3234" i="3" s="1"/>
  <c r="H2645" i="3"/>
  <c r="I2645" i="3" s="1"/>
  <c r="H2779" i="3"/>
  <c r="I2779" i="3" s="1"/>
  <c r="H3103" i="3"/>
  <c r="I3103" i="3" s="1"/>
  <c r="H3139" i="3"/>
  <c r="I3139" i="3" s="1"/>
  <c r="H2756" i="3"/>
  <c r="I2756" i="3" s="1"/>
  <c r="H2928" i="3"/>
  <c r="I2928" i="3" s="1"/>
  <c r="H2956" i="3"/>
  <c r="I2956" i="3" s="1"/>
  <c r="H2992" i="3"/>
  <c r="I2992" i="3" s="1"/>
  <c r="H3132" i="3"/>
  <c r="I3132" i="3" s="1"/>
  <c r="H3172" i="3"/>
  <c r="I3172" i="3" s="1"/>
  <c r="H3192" i="3"/>
  <c r="I3192" i="3" s="1"/>
  <c r="H3240" i="3"/>
  <c r="I3240" i="3" s="1"/>
  <c r="H214" i="3"/>
  <c r="I214" i="3" s="1"/>
  <c r="H322" i="3"/>
  <c r="I322" i="3" s="1"/>
  <c r="H606" i="3"/>
  <c r="I606" i="3" s="1"/>
  <c r="H830" i="3"/>
  <c r="I830" i="3" s="1"/>
  <c r="H854" i="3"/>
  <c r="I854" i="3" s="1"/>
  <c r="H1114" i="3"/>
  <c r="I1114" i="3" s="1"/>
  <c r="H1358" i="3"/>
  <c r="I1358" i="3" s="1"/>
  <c r="H1374" i="3"/>
  <c r="I1374" i="3" s="1"/>
  <c r="H56" i="3"/>
  <c r="I56" i="3" s="1"/>
  <c r="H468" i="3"/>
  <c r="I468" i="3" s="1"/>
  <c r="H736" i="3"/>
  <c r="I736" i="3" s="1"/>
  <c r="H992" i="3"/>
  <c r="I992" i="3" s="1"/>
  <c r="H1048" i="3"/>
  <c r="I1048" i="3" s="1"/>
  <c r="H1108" i="3"/>
  <c r="I1108" i="3" s="1"/>
  <c r="H1356" i="3"/>
  <c r="I1356" i="3" s="1"/>
  <c r="H1672" i="3"/>
  <c r="I1672" i="3" s="1"/>
  <c r="H593" i="3"/>
  <c r="I593" i="3" s="1"/>
  <c r="H109" i="3"/>
  <c r="I109" i="3" s="1"/>
  <c r="H197" i="3"/>
  <c r="I197" i="3" s="1"/>
  <c r="H437" i="3"/>
  <c r="I437" i="3" s="1"/>
  <c r="H633" i="3"/>
  <c r="I633" i="3" s="1"/>
  <c r="H777" i="3"/>
  <c r="I777" i="3" s="1"/>
  <c r="H1017" i="3"/>
  <c r="I1017" i="3" s="1"/>
  <c r="H1139" i="3"/>
  <c r="I1139" i="3" s="1"/>
  <c r="H1163" i="3"/>
  <c r="I1163" i="3" s="1"/>
  <c r="H661" i="3"/>
  <c r="I661" i="3" s="1"/>
  <c r="H391" i="3"/>
  <c r="I391" i="3" s="1"/>
  <c r="H687" i="3"/>
  <c r="I687" i="3" s="1"/>
  <c r="H911" i="3"/>
  <c r="I911" i="3" s="1"/>
  <c r="H1367" i="3"/>
  <c r="I1367" i="3" s="1"/>
  <c r="H1463" i="3"/>
  <c r="I1463" i="3" s="1"/>
  <c r="H1839" i="3"/>
  <c r="I1839" i="3" s="1"/>
  <c r="H1843" i="3"/>
  <c r="I1843" i="3" s="1"/>
  <c r="H1895" i="3"/>
  <c r="I1895" i="3" s="1"/>
  <c r="H1911" i="3"/>
  <c r="I1911" i="3" s="1"/>
  <c r="H2095" i="3"/>
  <c r="I2095" i="3" s="1"/>
  <c r="H151" i="3"/>
  <c r="I151" i="3" s="1"/>
  <c r="H1345" i="3"/>
  <c r="I1345" i="3" s="1"/>
  <c r="H1844" i="3"/>
  <c r="I1844" i="3" s="1"/>
  <c r="H1880" i="3"/>
  <c r="I1880" i="3" s="1"/>
  <c r="H2004" i="3"/>
  <c r="I2004" i="3" s="1"/>
  <c r="H2092" i="3"/>
  <c r="I2092" i="3" s="1"/>
  <c r="H2140" i="3"/>
  <c r="I2140" i="3" s="1"/>
  <c r="H2240" i="3"/>
  <c r="I2240" i="3" s="1"/>
  <c r="H2248" i="3"/>
  <c r="I2248" i="3" s="1"/>
  <c r="H2616" i="3"/>
  <c r="I2616" i="3" s="1"/>
  <c r="H2640" i="3"/>
  <c r="I2640" i="3" s="1"/>
  <c r="H799" i="3"/>
  <c r="I799" i="3" s="1"/>
  <c r="H1929" i="3"/>
  <c r="I1929" i="3" s="1"/>
  <c r="H2013" i="3"/>
  <c r="I2013" i="3" s="1"/>
  <c r="H2025" i="3"/>
  <c r="I2025" i="3" s="1"/>
  <c r="H2161" i="3"/>
  <c r="I2161" i="3" s="1"/>
  <c r="H2189" i="3"/>
  <c r="I2189" i="3" s="1"/>
  <c r="H2437" i="3"/>
  <c r="I2437" i="3" s="1"/>
  <c r="H2529" i="3"/>
  <c r="I2529" i="3" s="1"/>
  <c r="H2569" i="3"/>
  <c r="I2569" i="3" s="1"/>
  <c r="H2114" i="3"/>
  <c r="I2114" i="3" s="1"/>
  <c r="H2527" i="3"/>
  <c r="I2527" i="3" s="1"/>
  <c r="H1798" i="3"/>
  <c r="I1798" i="3" s="1"/>
  <c r="H2038" i="3"/>
  <c r="I2038" i="3" s="1"/>
  <c r="H2402" i="3"/>
  <c r="I2402" i="3" s="1"/>
  <c r="H2106" i="3"/>
  <c r="I2106" i="3" s="1"/>
  <c r="H2170" i="3"/>
  <c r="I2170" i="3" s="1"/>
  <c r="H2158" i="3"/>
  <c r="I2158" i="3" s="1"/>
  <c r="H2491" i="3"/>
  <c r="I2491" i="3" s="1"/>
  <c r="H2665" i="3"/>
  <c r="I2665" i="3" s="1"/>
  <c r="H2921" i="3"/>
  <c r="I2921" i="3" s="1"/>
  <c r="H3117" i="3"/>
  <c r="I3117" i="3" s="1"/>
  <c r="H3121" i="3"/>
  <c r="I3121" i="3" s="1"/>
  <c r="H3201" i="3"/>
  <c r="I3201" i="3" s="1"/>
  <c r="H3209" i="3"/>
  <c r="I3209" i="3" s="1"/>
  <c r="H2682" i="3"/>
  <c r="I2682" i="3" s="1"/>
  <c r="H2730" i="3"/>
  <c r="I2730" i="3" s="1"/>
  <c r="H2814" i="3"/>
  <c r="I2814" i="3" s="1"/>
  <c r="H2818" i="3"/>
  <c r="I2818" i="3" s="1"/>
  <c r="H2854" i="3"/>
  <c r="I2854" i="3" s="1"/>
  <c r="H2902" i="3"/>
  <c r="I2902" i="3" s="1"/>
  <c r="H2946" i="3"/>
  <c r="I2946" i="3" s="1"/>
  <c r="H2663" i="3"/>
  <c r="I2663" i="3" s="1"/>
  <c r="H2695" i="3"/>
  <c r="I2695" i="3" s="1"/>
  <c r="H2803" i="3"/>
  <c r="I2803" i="3" s="1"/>
  <c r="H2915" i="3"/>
  <c r="I2915" i="3" s="1"/>
  <c r="H2963" i="3"/>
  <c r="I2963" i="3" s="1"/>
  <c r="H3223" i="3"/>
  <c r="I3223" i="3" s="1"/>
  <c r="H3231" i="3"/>
  <c r="I3231" i="3" s="1"/>
  <c r="H2728" i="3"/>
  <c r="I2728" i="3" s="1"/>
  <c r="H2796" i="3"/>
  <c r="I2796" i="3" s="1"/>
  <c r="H3160" i="3"/>
  <c r="I3160" i="3" s="1"/>
  <c r="H3168" i="3"/>
  <c r="I3168" i="3" s="1"/>
  <c r="H38" i="3"/>
  <c r="I38" i="3" s="1"/>
  <c r="H278" i="3"/>
  <c r="I278" i="3" s="1"/>
  <c r="H290" i="3"/>
  <c r="I290" i="3" s="1"/>
  <c r="H358" i="3"/>
  <c r="I358" i="3" s="1"/>
  <c r="H474" i="3"/>
  <c r="I474" i="3" s="1"/>
  <c r="H486" i="3"/>
  <c r="I486" i="3" s="1"/>
  <c r="H526" i="3"/>
  <c r="I526" i="3" s="1"/>
  <c r="H610" i="3"/>
  <c r="I610" i="3" s="1"/>
  <c r="H706" i="3"/>
  <c r="I706" i="3" s="1"/>
  <c r="H798" i="3"/>
  <c r="I798" i="3" s="1"/>
  <c r="H878" i="3"/>
  <c r="I878" i="3" s="1"/>
  <c r="H890" i="3"/>
  <c r="I890" i="3" s="1"/>
  <c r="H1034" i="3"/>
  <c r="I1034" i="3" s="1"/>
  <c r="H1058" i="3"/>
  <c r="I1058" i="3" s="1"/>
  <c r="H1210" i="3"/>
  <c r="I1210" i="3" s="1"/>
  <c r="H1254" i="3"/>
  <c r="I1254" i="3" s="1"/>
  <c r="H1318" i="3"/>
  <c r="I1318" i="3" s="1"/>
  <c r="H1322" i="3"/>
  <c r="I1322" i="3" s="1"/>
  <c r="H1394" i="3"/>
  <c r="I1394" i="3" s="1"/>
  <c r="H1442" i="3"/>
  <c r="I1442" i="3" s="1"/>
  <c r="H1510" i="3"/>
  <c r="I1510" i="3" s="1"/>
  <c r="H1622" i="3"/>
  <c r="I1622" i="3" s="1"/>
  <c r="H264" i="3"/>
  <c r="I264" i="3" s="1"/>
  <c r="H424" i="3"/>
  <c r="I424" i="3" s="1"/>
  <c r="H548" i="3"/>
  <c r="I548" i="3" s="1"/>
  <c r="H580" i="3"/>
  <c r="I580" i="3" s="1"/>
  <c r="H932" i="3"/>
  <c r="I932" i="3" s="1"/>
  <c r="H1012" i="3"/>
  <c r="I1012" i="3" s="1"/>
  <c r="H1088" i="3"/>
  <c r="I1088" i="3" s="1"/>
  <c r="H1160" i="3"/>
  <c r="I1160" i="3" s="1"/>
  <c r="H1304" i="3"/>
  <c r="I1304" i="3" s="1"/>
  <c r="H1444" i="3"/>
  <c r="I1444" i="3" s="1"/>
  <c r="H1480" i="3"/>
  <c r="I1480" i="3" s="1"/>
  <c r="H1524" i="3"/>
  <c r="I1524" i="3" s="1"/>
  <c r="H1536" i="3"/>
  <c r="I1536" i="3" s="1"/>
  <c r="H1632" i="3"/>
  <c r="I1632" i="3" s="1"/>
  <c r="H297" i="3"/>
  <c r="I297" i="3" s="1"/>
  <c r="H329" i="3"/>
  <c r="I329" i="3" s="1"/>
  <c r="H505" i="3"/>
  <c r="I505" i="3" s="1"/>
  <c r="H229" i="3"/>
  <c r="I229" i="3" s="1"/>
  <c r="H253" i="3"/>
  <c r="I253" i="3" s="1"/>
  <c r="H349" i="3"/>
  <c r="I349" i="3" s="1"/>
  <c r="H573" i="3"/>
  <c r="I573" i="3" s="1"/>
  <c r="H523" i="3"/>
  <c r="I523" i="3" s="1"/>
  <c r="H737" i="3"/>
  <c r="I737" i="3" s="1"/>
  <c r="H913" i="3"/>
  <c r="I913" i="3" s="1"/>
  <c r="H969" i="3"/>
  <c r="I969" i="3" s="1"/>
  <c r="H1073" i="3"/>
  <c r="I1073" i="3" s="1"/>
  <c r="H527" i="3"/>
  <c r="I527" i="3" s="1"/>
  <c r="H675" i="3"/>
  <c r="I675" i="3" s="1"/>
  <c r="H1043" i="3"/>
  <c r="I1043" i="3" s="1"/>
  <c r="H1187" i="3"/>
  <c r="I1187" i="3" s="1"/>
  <c r="H195" i="3"/>
  <c r="I195" i="3" s="1"/>
  <c r="H595" i="3"/>
  <c r="I595" i="3" s="1"/>
  <c r="H781" i="3"/>
  <c r="I781" i="3" s="1"/>
  <c r="H1287" i="3"/>
  <c r="I1287" i="3" s="1"/>
  <c r="H1423" i="3"/>
  <c r="I1423" i="3" s="1"/>
  <c r="H1447" i="3"/>
  <c r="I1447" i="3" s="1"/>
  <c r="H1495" i="3"/>
  <c r="I1495" i="3" s="1"/>
  <c r="H1675" i="3"/>
  <c r="I1675" i="3" s="1"/>
  <c r="H1731" i="3"/>
  <c r="I1731" i="3" s="1"/>
  <c r="H1947" i="3"/>
  <c r="I1947" i="3" s="1"/>
  <c r="H2163" i="3"/>
  <c r="I2163" i="3" s="1"/>
  <c r="H2303" i="3"/>
  <c r="I2303" i="3" s="1"/>
  <c r="H2323" i="3"/>
  <c r="I2323" i="3" s="1"/>
  <c r="H855" i="3"/>
  <c r="I855" i="3" s="1"/>
  <c r="H919" i="3"/>
  <c r="I919" i="3" s="1"/>
  <c r="H1015" i="3"/>
  <c r="I1015" i="3" s="1"/>
  <c r="H1353" i="3"/>
  <c r="I1353" i="3" s="1"/>
  <c r="H1748" i="3"/>
  <c r="I1748" i="3" s="1"/>
  <c r="H1832" i="3"/>
  <c r="I1832" i="3" s="1"/>
  <c r="H1964" i="3"/>
  <c r="I1964" i="3" s="1"/>
  <c r="H2012" i="3"/>
  <c r="I2012" i="3" s="1"/>
  <c r="H2136" i="3"/>
  <c r="I2136" i="3" s="1"/>
  <c r="H2208" i="3"/>
  <c r="I2208" i="3" s="1"/>
  <c r="H2336" i="3"/>
  <c r="I2336" i="3" s="1"/>
  <c r="H2388" i="3"/>
  <c r="I2388" i="3" s="1"/>
  <c r="H2408" i="3"/>
  <c r="I2408" i="3" s="1"/>
  <c r="H2480" i="3"/>
  <c r="I2480" i="3" s="1"/>
  <c r="H2532" i="3"/>
  <c r="I2532" i="3" s="1"/>
  <c r="H2644" i="3"/>
  <c r="I2644" i="3" s="1"/>
  <c r="H1151" i="3"/>
  <c r="I1151" i="3" s="1"/>
  <c r="H1263" i="3"/>
  <c r="I1263" i="3" s="1"/>
  <c r="H1323" i="3"/>
  <c r="I1323" i="3" s="1"/>
  <c r="H1371" i="3"/>
  <c r="I1371" i="3" s="1"/>
  <c r="H1531" i="3"/>
  <c r="I1531" i="3" s="1"/>
  <c r="H1705" i="3"/>
  <c r="I1705" i="3" s="1"/>
  <c r="H1745" i="3"/>
  <c r="I1745" i="3" s="1"/>
  <c r="H1761" i="3"/>
  <c r="I1761" i="3" s="1"/>
  <c r="H1765" i="3"/>
  <c r="I1765" i="3" s="1"/>
  <c r="H1817" i="3"/>
  <c r="I1817" i="3" s="1"/>
  <c r="H1873" i="3"/>
  <c r="I1873" i="3" s="1"/>
  <c r="H1949" i="3"/>
  <c r="I1949" i="3" s="1"/>
  <c r="H2033" i="3"/>
  <c r="I2033" i="3" s="1"/>
  <c r="H2173" i="3"/>
  <c r="I2173" i="3" s="1"/>
  <c r="H2297" i="3"/>
  <c r="I2297" i="3" s="1"/>
  <c r="H2309" i="3"/>
  <c r="I2309" i="3" s="1"/>
  <c r="H2317" i="3"/>
  <c r="I2317" i="3" s="1"/>
  <c r="H2341" i="3"/>
  <c r="I2341" i="3" s="1"/>
  <c r="H2457" i="3"/>
  <c r="I2457" i="3" s="1"/>
  <c r="H2489" i="3"/>
  <c r="I2489" i="3" s="1"/>
  <c r="H1549" i="3"/>
  <c r="I1549" i="3" s="1"/>
  <c r="H1621" i="3"/>
  <c r="I1621" i="3" s="1"/>
  <c r="H1782" i="3"/>
  <c r="I1782" i="3" s="1"/>
  <c r="H1191" i="3"/>
  <c r="I1191" i="3" s="1"/>
  <c r="H1501" i="3"/>
  <c r="I1501" i="3" s="1"/>
  <c r="H1285" i="3"/>
  <c r="I1285" i="3" s="1"/>
  <c r="H1349" i="3"/>
  <c r="I1349" i="3" s="1"/>
  <c r="H1934" i="3"/>
  <c r="I1934" i="3" s="1"/>
  <c r="H2562" i="3"/>
  <c r="I2562" i="3" s="1"/>
  <c r="H2586" i="3"/>
  <c r="I2586" i="3" s="1"/>
  <c r="H2681" i="3"/>
  <c r="I2681" i="3" s="1"/>
  <c r="H2801" i="3"/>
  <c r="I2801" i="3" s="1"/>
  <c r="H2861" i="3"/>
  <c r="I2861" i="3" s="1"/>
  <c r="H2981" i="3"/>
  <c r="I2981" i="3" s="1"/>
  <c r="H3089" i="3"/>
  <c r="I3089" i="3" s="1"/>
  <c r="H3101" i="3"/>
  <c r="I3101" i="3" s="1"/>
  <c r="H3133" i="3"/>
  <c r="I3133" i="3" s="1"/>
  <c r="H2846" i="3"/>
  <c r="I2846" i="3" s="1"/>
  <c r="H2886" i="3"/>
  <c r="I2886" i="3" s="1"/>
  <c r="H2918" i="3"/>
  <c r="I2918" i="3" s="1"/>
  <c r="H2962" i="3"/>
  <c r="I2962" i="3" s="1"/>
  <c r="H3002" i="3"/>
  <c r="I3002" i="3" s="1"/>
  <c r="H3010" i="3"/>
  <c r="I3010" i="3" s="1"/>
  <c r="H3018" i="3"/>
  <c r="I3018" i="3" s="1"/>
  <c r="H3074" i="3"/>
  <c r="I3074" i="3" s="1"/>
  <c r="H3214" i="3"/>
  <c r="I3214" i="3" s="1"/>
  <c r="H2863" i="3"/>
  <c r="I2863" i="3" s="1"/>
  <c r="H3143" i="3"/>
  <c r="I3143" i="3" s="1"/>
  <c r="H3203" i="3"/>
  <c r="I3203" i="3" s="1"/>
  <c r="H2591" i="3"/>
  <c r="I2591" i="3" s="1"/>
  <c r="H2712" i="3"/>
  <c r="I2712" i="3" s="1"/>
  <c r="H2736" i="3"/>
  <c r="I2736" i="3" s="1"/>
  <c r="H2816" i="3"/>
  <c r="I2816" i="3" s="1"/>
  <c r="H2996" i="3"/>
  <c r="I2996" i="3" s="1"/>
  <c r="H3048" i="3"/>
  <c r="I3048" i="3" s="1"/>
  <c r="H3112" i="3"/>
  <c r="I3112" i="3" s="1"/>
  <c r="H3116" i="3"/>
  <c r="I3116" i="3" s="1"/>
  <c r="H3156" i="3"/>
  <c r="I3156" i="3" s="1"/>
  <c r="H66" i="3"/>
  <c r="I66" i="3" s="1"/>
  <c r="H146" i="3"/>
  <c r="I146" i="3" s="1"/>
  <c r="H170" i="3"/>
  <c r="I170" i="3" s="1"/>
  <c r="H302" i="3"/>
  <c r="I302" i="3" s="1"/>
  <c r="H314" i="3"/>
  <c r="I314" i="3" s="1"/>
  <c r="H434" i="3"/>
  <c r="I434" i="3" s="1"/>
  <c r="H502" i="3"/>
  <c r="I502" i="3" s="1"/>
  <c r="H682" i="3"/>
  <c r="I682" i="3" s="1"/>
  <c r="H746" i="3"/>
  <c r="I746" i="3" s="1"/>
  <c r="H910" i="3"/>
  <c r="I910" i="3" s="1"/>
  <c r="H986" i="3"/>
  <c r="I986" i="3" s="1"/>
  <c r="H1010" i="3"/>
  <c r="I1010" i="3" s="1"/>
  <c r="H1402" i="3"/>
  <c r="I1402" i="3" s="1"/>
  <c r="H1410" i="3"/>
  <c r="I1410" i="3" s="1"/>
  <c r="H1458" i="3"/>
  <c r="I1458" i="3" s="1"/>
  <c r="H1498" i="3"/>
  <c r="I1498" i="3" s="1"/>
  <c r="H224" i="3"/>
  <c r="I224" i="3" s="1"/>
  <c r="H296" i="3"/>
  <c r="I296" i="3" s="1"/>
  <c r="H436" i="3"/>
  <c r="I436" i="3" s="1"/>
  <c r="H500" i="3"/>
  <c r="I500" i="3" s="1"/>
  <c r="H608" i="3"/>
  <c r="I608" i="3" s="1"/>
  <c r="H664" i="3"/>
  <c r="I664" i="3" s="1"/>
  <c r="H696" i="3"/>
  <c r="I696" i="3" s="1"/>
  <c r="H728" i="3"/>
  <c r="I728" i="3" s="1"/>
  <c r="H808" i="3"/>
  <c r="I808" i="3" s="1"/>
  <c r="H876" i="3"/>
  <c r="I876" i="3" s="1"/>
  <c r="H1264" i="3"/>
  <c r="I1264" i="3" s="1"/>
  <c r="H1284" i="3"/>
  <c r="I1284" i="3" s="1"/>
  <c r="H1420" i="3"/>
  <c r="I1420" i="3" s="1"/>
  <c r="H1424" i="3"/>
  <c r="I1424" i="3" s="1"/>
  <c r="H1548" i="3"/>
  <c r="I1548" i="3" s="1"/>
  <c r="H1568" i="3"/>
  <c r="I1568" i="3" s="1"/>
  <c r="H1608" i="3"/>
  <c r="I1608" i="3" s="1"/>
  <c r="H9" i="3"/>
  <c r="I9" i="3" s="1"/>
  <c r="H233" i="3"/>
  <c r="I233" i="3" s="1"/>
  <c r="H321" i="3"/>
  <c r="I321" i="3" s="1"/>
  <c r="H345" i="3"/>
  <c r="I345" i="3" s="1"/>
  <c r="H569" i="3"/>
  <c r="I569" i="3" s="1"/>
  <c r="H155" i="3"/>
  <c r="I155" i="3" s="1"/>
  <c r="H427" i="3"/>
  <c r="I427" i="3" s="1"/>
  <c r="H611" i="3"/>
  <c r="I611" i="3" s="1"/>
  <c r="H483" i="3"/>
  <c r="I483" i="3" s="1"/>
  <c r="H821" i="3"/>
  <c r="I821" i="3" s="1"/>
  <c r="H893" i="3"/>
  <c r="I893" i="3" s="1"/>
  <c r="H1037" i="3"/>
  <c r="I1037" i="3" s="1"/>
  <c r="H1077" i="3"/>
  <c r="I1077" i="3" s="1"/>
  <c r="H1117" i="3"/>
  <c r="I1117" i="3" s="1"/>
  <c r="H1221" i="3"/>
  <c r="I1221" i="3" s="1"/>
  <c r="H1471" i="3"/>
  <c r="I1471" i="3" s="1"/>
  <c r="H1755" i="3"/>
  <c r="I1755" i="3" s="1"/>
  <c r="H1775" i="3"/>
  <c r="I1775" i="3" s="1"/>
  <c r="H1811" i="3"/>
  <c r="I1811" i="3" s="1"/>
  <c r="H2027" i="3"/>
  <c r="I2027" i="3" s="1"/>
  <c r="H2059" i="3"/>
  <c r="I2059" i="3" s="1"/>
  <c r="H2199" i="3"/>
  <c r="I2199" i="3" s="1"/>
  <c r="H2247" i="3"/>
  <c r="I2247" i="3" s="1"/>
  <c r="H2299" i="3"/>
  <c r="I2299" i="3" s="1"/>
  <c r="H2327" i="3"/>
  <c r="I2327" i="3" s="1"/>
  <c r="H1465" i="3"/>
  <c r="I1465" i="3" s="1"/>
  <c r="H1696" i="3"/>
  <c r="I1696" i="3" s="1"/>
  <c r="H1712" i="3"/>
  <c r="I1712" i="3" s="1"/>
  <c r="H1884" i="3"/>
  <c r="I1884" i="3" s="1"/>
  <c r="H2068" i="3"/>
  <c r="I2068" i="3" s="1"/>
  <c r="H2216" i="3"/>
  <c r="I2216" i="3" s="1"/>
  <c r="H2372" i="3"/>
  <c r="I2372" i="3" s="1"/>
  <c r="H2452" i="3"/>
  <c r="I2452" i="3" s="1"/>
  <c r="H2560" i="3"/>
  <c r="I2560" i="3" s="1"/>
  <c r="H551" i="3"/>
  <c r="I551" i="3" s="1"/>
  <c r="H1291" i="3"/>
  <c r="I1291" i="3" s="1"/>
  <c r="H1355" i="3"/>
  <c r="I1355" i="3" s="1"/>
  <c r="H1459" i="3"/>
  <c r="I1459" i="3" s="1"/>
  <c r="H1662" i="3"/>
  <c r="I1662" i="3" s="1"/>
  <c r="H1797" i="3"/>
  <c r="I1797" i="3" s="1"/>
  <c r="H1841" i="3"/>
  <c r="I1841" i="3" s="1"/>
  <c r="H2037" i="3"/>
  <c r="I2037" i="3" s="1"/>
  <c r="H2145" i="3"/>
  <c r="I2145" i="3" s="1"/>
  <c r="H2229" i="3"/>
  <c r="I2229" i="3" s="1"/>
  <c r="H2233" i="3"/>
  <c r="I2233" i="3" s="1"/>
  <c r="H2321" i="3"/>
  <c r="I2321" i="3" s="1"/>
  <c r="H2517" i="3"/>
  <c r="I2517" i="3" s="1"/>
  <c r="H2525" i="3"/>
  <c r="I2525" i="3" s="1"/>
  <c r="H999" i="3"/>
  <c r="I999" i="3" s="1"/>
  <c r="H2178" i="3"/>
  <c r="I2178" i="3" s="1"/>
  <c r="H2471" i="3"/>
  <c r="I2471" i="3" s="1"/>
  <c r="H1766" i="3"/>
  <c r="I1766" i="3" s="1"/>
  <c r="H1846" i="3"/>
  <c r="I1846" i="3" s="1"/>
  <c r="H1910" i="3"/>
  <c r="I1910" i="3" s="1"/>
  <c r="H2102" i="3"/>
  <c r="I2102" i="3" s="1"/>
  <c r="H2490" i="3"/>
  <c r="I2490" i="3" s="1"/>
  <c r="H1914" i="3"/>
  <c r="I1914" i="3" s="1"/>
  <c r="H2122" i="3"/>
  <c r="I2122" i="3" s="1"/>
  <c r="H2419" i="3"/>
  <c r="I2419" i="3" s="1"/>
  <c r="H1822" i="3"/>
  <c r="I1822" i="3" s="1"/>
  <c r="H2406" i="3"/>
  <c r="I2406" i="3" s="1"/>
  <c r="H2701" i="3"/>
  <c r="I2701" i="3" s="1"/>
  <c r="H2781" i="3"/>
  <c r="I2781" i="3" s="1"/>
  <c r="H2889" i="3"/>
  <c r="I2889" i="3" s="1"/>
  <c r="H2937" i="3"/>
  <c r="I2937" i="3" s="1"/>
  <c r="H2945" i="3"/>
  <c r="I2945" i="3" s="1"/>
  <c r="H2973" i="3"/>
  <c r="I2973" i="3" s="1"/>
  <c r="H3001" i="3"/>
  <c r="I3001" i="3" s="1"/>
  <c r="H3061" i="3"/>
  <c r="I3061" i="3" s="1"/>
  <c r="H3093" i="3"/>
  <c r="I3093" i="3" s="1"/>
  <c r="H3157" i="3"/>
  <c r="I3157" i="3" s="1"/>
  <c r="H2690" i="3"/>
  <c r="I2690" i="3" s="1"/>
  <c r="H2870" i="3"/>
  <c r="I2870" i="3" s="1"/>
  <c r="H2994" i="3"/>
  <c r="I2994" i="3" s="1"/>
  <c r="H3078" i="3"/>
  <c r="I3078" i="3" s="1"/>
  <c r="H3086" i="3"/>
  <c r="I3086" i="3" s="1"/>
  <c r="H3190" i="3"/>
  <c r="I3190" i="3" s="1"/>
  <c r="H3250" i="3"/>
  <c r="I3250" i="3" s="1"/>
  <c r="H2574" i="3"/>
  <c r="I2574" i="3" s="1"/>
  <c r="H2699" i="3"/>
  <c r="I2699" i="3" s="1"/>
  <c r="H2763" i="3"/>
  <c r="I2763" i="3" s="1"/>
  <c r="H2831" i="3"/>
  <c r="I2831" i="3" s="1"/>
  <c r="H2923" i="3"/>
  <c r="I2923" i="3" s="1"/>
  <c r="H3039" i="3"/>
  <c r="I3039" i="3" s="1"/>
  <c r="H3219" i="3"/>
  <c r="I3219" i="3" s="1"/>
  <c r="H2625" i="3"/>
  <c r="I2625" i="3" s="1"/>
  <c r="H2804" i="3"/>
  <c r="I2804" i="3" s="1"/>
  <c r="H2856" i="3"/>
  <c r="I2856" i="3" s="1"/>
  <c r="H2908" i="3"/>
  <c r="I2908" i="3" s="1"/>
  <c r="H3028" i="3"/>
  <c r="I3028" i="3" s="1"/>
  <c r="H3044" i="3"/>
  <c r="I3044" i="3" s="1"/>
  <c r="H3144" i="3"/>
  <c r="I3144" i="3" s="1"/>
  <c r="H3152" i="3"/>
  <c r="I3152" i="3" s="1"/>
  <c r="H3252" i="3"/>
  <c r="I3252" i="3" s="1"/>
  <c r="H86" i="3"/>
  <c r="I86" i="3" s="1"/>
  <c r="H218" i="3"/>
  <c r="I218" i="3" s="1"/>
  <c r="H246" i="3"/>
  <c r="I246" i="3" s="1"/>
  <c r="H274" i="3"/>
  <c r="I274" i="3" s="1"/>
  <c r="H330" i="3"/>
  <c r="I330" i="3" s="1"/>
  <c r="H446" i="3"/>
  <c r="I446" i="3" s="1"/>
  <c r="H826" i="3"/>
  <c r="I826" i="3" s="1"/>
  <c r="H866" i="3"/>
  <c r="I866" i="3" s="1"/>
  <c r="H894" i="3"/>
  <c r="I894" i="3" s="1"/>
  <c r="H954" i="3"/>
  <c r="I954" i="3" s="1"/>
  <c r="H978" i="3"/>
  <c r="I978" i="3" s="1"/>
  <c r="H1154" i="3"/>
  <c r="I1154" i="3" s="1"/>
  <c r="H1194" i="3"/>
  <c r="I1194" i="3" s="1"/>
  <c r="H1206" i="3"/>
  <c r="I1206" i="3" s="1"/>
  <c r="H1342" i="3"/>
  <c r="I1342" i="3" s="1"/>
  <c r="H1582" i="3"/>
  <c r="I1582" i="3" s="1"/>
  <c r="H28" i="3"/>
  <c r="I28" i="3" s="1"/>
  <c r="H240" i="3"/>
  <c r="I240" i="3" s="1"/>
  <c r="H632" i="3"/>
  <c r="I632" i="3" s="1"/>
  <c r="H768" i="3"/>
  <c r="I768" i="3" s="1"/>
  <c r="H856" i="3"/>
  <c r="I856" i="3" s="1"/>
  <c r="H900" i="3"/>
  <c r="I900" i="3" s="1"/>
  <c r="H1024" i="3"/>
  <c r="I1024" i="3" s="1"/>
  <c r="H1196" i="3"/>
  <c r="I1196" i="3" s="1"/>
  <c r="H1376" i="3"/>
  <c r="I1376" i="3" s="1"/>
  <c r="H1472" i="3"/>
  <c r="I1472" i="3" s="1"/>
  <c r="H65" i="3"/>
  <c r="I65" i="3" s="1"/>
  <c r="H361" i="3"/>
  <c r="I361" i="3" s="1"/>
  <c r="H425" i="3"/>
  <c r="I425" i="3" s="1"/>
  <c r="H75" i="3"/>
  <c r="I75" i="3" s="1"/>
  <c r="H817" i="3"/>
  <c r="I817" i="3" s="1"/>
  <c r="H1041" i="3"/>
  <c r="I1041" i="3" s="1"/>
  <c r="H1185" i="3"/>
  <c r="I1185" i="3" s="1"/>
  <c r="H1217" i="3"/>
  <c r="I1217" i="3" s="1"/>
  <c r="H191" i="3"/>
  <c r="I191" i="3" s="1"/>
  <c r="H1027" i="3"/>
  <c r="I1027" i="3" s="1"/>
  <c r="H1123" i="3"/>
  <c r="I1123" i="3" s="1"/>
  <c r="H179" i="3"/>
  <c r="I179" i="3" s="1"/>
  <c r="H813" i="3"/>
  <c r="I813" i="3" s="1"/>
  <c r="H853" i="3"/>
  <c r="I853" i="3" s="1"/>
  <c r="H965" i="3"/>
  <c r="I965" i="3" s="1"/>
  <c r="H1085" i="3"/>
  <c r="I1085" i="3" s="1"/>
  <c r="H975" i="3"/>
  <c r="I975" i="3" s="1"/>
  <c r="H1279" i="3"/>
  <c r="I1279" i="3" s="1"/>
  <c r="H1359" i="3"/>
  <c r="I1359" i="3" s="1"/>
  <c r="H1543" i="3"/>
  <c r="I1543" i="3" s="1"/>
  <c r="H1649" i="3"/>
  <c r="I1649" i="3" s="1"/>
  <c r="H1735" i="3"/>
  <c r="I1735" i="3" s="1"/>
  <c r="H1779" i="3"/>
  <c r="I1779" i="3" s="1"/>
  <c r="H2103" i="3"/>
  <c r="I2103" i="3" s="1"/>
  <c r="H2155" i="3"/>
  <c r="I2155" i="3" s="1"/>
  <c r="H2267" i="3"/>
  <c r="I2267" i="3" s="1"/>
  <c r="H2339" i="3"/>
  <c r="I2339" i="3" s="1"/>
  <c r="H1305" i="3"/>
  <c r="I1305" i="3" s="1"/>
  <c r="H1473" i="3"/>
  <c r="I1473" i="3" s="1"/>
  <c r="H1948" i="3"/>
  <c r="I1948" i="3" s="1"/>
  <c r="H2304" i="3"/>
  <c r="I2304" i="3" s="1"/>
  <c r="H2556" i="3"/>
  <c r="I2556" i="3" s="1"/>
  <c r="H1273" i="3"/>
  <c r="I1273" i="3" s="1"/>
  <c r="H1981" i="3"/>
  <c r="I1981" i="3" s="1"/>
  <c r="H2085" i="3"/>
  <c r="I2085" i="3" s="1"/>
  <c r="H2117" i="3"/>
  <c r="I2117" i="3" s="1"/>
  <c r="H2193" i="3"/>
  <c r="I2193" i="3" s="1"/>
  <c r="H2253" i="3"/>
  <c r="I2253" i="3" s="1"/>
  <c r="H2373" i="3"/>
  <c r="I2373" i="3" s="1"/>
  <c r="H2589" i="3"/>
  <c r="I2589" i="3" s="1"/>
  <c r="H1293" i="3"/>
  <c r="I1293" i="3" s="1"/>
  <c r="H1986" i="3"/>
  <c r="I1986" i="3" s="1"/>
  <c r="H1031" i="3"/>
  <c r="I1031" i="3" s="1"/>
  <c r="H1750" i="3"/>
  <c r="I1750" i="3" s="1"/>
  <c r="H1653" i="3"/>
  <c r="I1653" i="3" s="1"/>
  <c r="H1722" i="3"/>
  <c r="I1722" i="3" s="1"/>
  <c r="H1770" i="3"/>
  <c r="I1770" i="3" s="1"/>
  <c r="H2314" i="3"/>
  <c r="I2314" i="3" s="1"/>
  <c r="H1317" i="3"/>
  <c r="I1317" i="3" s="1"/>
  <c r="H1477" i="3"/>
  <c r="I1477" i="3" s="1"/>
  <c r="H1998" i="3"/>
  <c r="I1998" i="3" s="1"/>
  <c r="H2454" i="3"/>
  <c r="I2454" i="3" s="1"/>
  <c r="H2809" i="3"/>
  <c r="I2809" i="3" s="1"/>
  <c r="H2853" i="3"/>
  <c r="I2853" i="3" s="1"/>
  <c r="H2877" i="3"/>
  <c r="I2877" i="3" s="1"/>
  <c r="H2969" i="3"/>
  <c r="I2969" i="3" s="1"/>
  <c r="H2601" i="3"/>
  <c r="I2601" i="3" s="1"/>
  <c r="H2726" i="3"/>
  <c r="I2726" i="3" s="1"/>
  <c r="H2827" i="3"/>
  <c r="I2827" i="3" s="1"/>
  <c r="H3135" i="3"/>
  <c r="I3135" i="3" s="1"/>
  <c r="H3167" i="3"/>
  <c r="I3167" i="3" s="1"/>
  <c r="H2567" i="3"/>
  <c r="I2567" i="3" s="1"/>
  <c r="H3196" i="3"/>
  <c r="I3196" i="3" s="1"/>
  <c r="H3248" i="3"/>
  <c r="I3248" i="3" s="1"/>
  <c r="H4" i="3"/>
  <c r="I4" i="3" s="1"/>
  <c r="H126" i="3"/>
  <c r="I126" i="3" s="1"/>
  <c r="H442" i="3"/>
  <c r="I442" i="3" s="1"/>
  <c r="H654" i="3"/>
  <c r="I654" i="3" s="1"/>
  <c r="H1146" i="3"/>
  <c r="I1146" i="3" s="1"/>
  <c r="H1226" i="3"/>
  <c r="I1226" i="3" s="1"/>
  <c r="H1346" i="3"/>
  <c r="I1346" i="3" s="1"/>
  <c r="H1566" i="3"/>
  <c r="I1566" i="3" s="1"/>
  <c r="H1634" i="3"/>
  <c r="I1634" i="3" s="1"/>
  <c r="H96" i="3"/>
  <c r="I96" i="3" s="1"/>
  <c r="H308" i="3"/>
  <c r="I308" i="3" s="1"/>
  <c r="H396" i="3"/>
  <c r="I396" i="3" s="1"/>
  <c r="H412" i="3"/>
  <c r="I412" i="3" s="1"/>
  <c r="H464" i="3"/>
  <c r="I464" i="3" s="1"/>
  <c r="H948" i="3"/>
  <c r="I948" i="3" s="1"/>
  <c r="H952" i="3"/>
  <c r="I952" i="3" s="1"/>
  <c r="H1368" i="3"/>
  <c r="I1368" i="3" s="1"/>
  <c r="H1488" i="3"/>
  <c r="I1488" i="3" s="1"/>
  <c r="H1516" i="3"/>
  <c r="I1516" i="3" s="1"/>
  <c r="H49" i="3"/>
  <c r="I49" i="3" s="1"/>
  <c r="H161" i="3"/>
  <c r="I161" i="3" s="1"/>
  <c r="H497" i="3"/>
  <c r="I497" i="3" s="1"/>
  <c r="H521" i="3"/>
  <c r="I521" i="3" s="1"/>
  <c r="H5" i="3"/>
  <c r="I5" i="3" s="1"/>
  <c r="H13" i="3"/>
  <c r="I13" i="3" s="1"/>
  <c r="H45" i="3"/>
  <c r="I45" i="3" s="1"/>
  <c r="H833" i="3"/>
  <c r="I833" i="3" s="1"/>
  <c r="H849" i="3"/>
  <c r="I849" i="3" s="1"/>
  <c r="H881" i="3"/>
  <c r="I881" i="3" s="1"/>
  <c r="H867" i="3"/>
  <c r="I867" i="3" s="1"/>
  <c r="H1107" i="3"/>
  <c r="I1107" i="3" s="1"/>
  <c r="H1243" i="3"/>
  <c r="I1243" i="3" s="1"/>
  <c r="H1251" i="3"/>
  <c r="I1251" i="3" s="1"/>
  <c r="H35" i="3"/>
  <c r="I35" i="3" s="1"/>
  <c r="H637" i="3"/>
  <c r="I637" i="3" s="1"/>
  <c r="H709" i="3"/>
  <c r="I709" i="3" s="1"/>
  <c r="H749" i="3"/>
  <c r="I749" i="3" s="1"/>
  <c r="H765" i="3"/>
  <c r="I765" i="3" s="1"/>
  <c r="H1173" i="3"/>
  <c r="I1173" i="3" s="1"/>
  <c r="H1615" i="3"/>
  <c r="I1615" i="3" s="1"/>
  <c r="H1665" i="3"/>
  <c r="I1665" i="3" s="1"/>
  <c r="H1847" i="3"/>
  <c r="I1847" i="3" s="1"/>
  <c r="H1907" i="3"/>
  <c r="I1907" i="3" s="1"/>
  <c r="H2147" i="3"/>
  <c r="I2147" i="3" s="1"/>
  <c r="H2307" i="3"/>
  <c r="I2307" i="3" s="1"/>
  <c r="H279" i="3"/>
  <c r="I279" i="3" s="1"/>
  <c r="H1529" i="3"/>
  <c r="I1529" i="3" s="1"/>
  <c r="H1836" i="3"/>
  <c r="I1836" i="3" s="1"/>
  <c r="H1860" i="3"/>
  <c r="I1860" i="3" s="1"/>
  <c r="H2084" i="3"/>
  <c r="I2084" i="3" s="1"/>
  <c r="H2120" i="3"/>
  <c r="I2120" i="3" s="1"/>
  <c r="H2128" i="3"/>
  <c r="I2128" i="3" s="1"/>
  <c r="H2180" i="3"/>
  <c r="I2180" i="3" s="1"/>
  <c r="H2264" i="3"/>
  <c r="I2264" i="3" s="1"/>
  <c r="H2424" i="3"/>
  <c r="I2424" i="3" s="1"/>
  <c r="H2492" i="3"/>
  <c r="I2492" i="3" s="1"/>
  <c r="H2496" i="3"/>
  <c r="I2496" i="3" s="1"/>
  <c r="H2524" i="3"/>
  <c r="I2524" i="3" s="1"/>
  <c r="H2652" i="3"/>
  <c r="I2652" i="3" s="1"/>
  <c r="H167" i="3"/>
  <c r="I167" i="3" s="1"/>
  <c r="H1491" i="3"/>
  <c r="I1491" i="3" s="1"/>
  <c r="H1603" i="3"/>
  <c r="I1603" i="3" s="1"/>
  <c r="H1781" i="3"/>
  <c r="I1781" i="3" s="1"/>
  <c r="H1833" i="3"/>
  <c r="I1833" i="3" s="1"/>
  <c r="H1969" i="3"/>
  <c r="I1969" i="3" s="1"/>
  <c r="H2093" i="3"/>
  <c r="I2093" i="3" s="1"/>
  <c r="H2325" i="3"/>
  <c r="I2325" i="3" s="1"/>
  <c r="H2485" i="3"/>
  <c r="I2485" i="3" s="1"/>
  <c r="H183" i="3"/>
  <c r="I183" i="3" s="1"/>
  <c r="H2034" i="3"/>
  <c r="I2034" i="3" s="1"/>
  <c r="H2455" i="3"/>
  <c r="I2455" i="3" s="1"/>
  <c r="H2487" i="3"/>
  <c r="I2487" i="3" s="1"/>
  <c r="H1525" i="3"/>
  <c r="I1525" i="3" s="1"/>
  <c r="H1878" i="3"/>
  <c r="I1878" i="3" s="1"/>
  <c r="H2278" i="3"/>
  <c r="I2278" i="3" s="1"/>
  <c r="H2386" i="3"/>
  <c r="I2386" i="3" s="1"/>
  <c r="H1309" i="3"/>
  <c r="I1309" i="3" s="1"/>
  <c r="H2435" i="3"/>
  <c r="I2435" i="3" s="1"/>
  <c r="H1573" i="3"/>
  <c r="I1573" i="3" s="1"/>
  <c r="H1658" i="3"/>
  <c r="I1658" i="3" s="1"/>
  <c r="H2414" i="3"/>
  <c r="I2414" i="3" s="1"/>
  <c r="H2610" i="3"/>
  <c r="I2610" i="3" s="1"/>
  <c r="H2677" i="3"/>
  <c r="I2677" i="3" s="1"/>
  <c r="H2857" i="3"/>
  <c r="I2857" i="3" s="1"/>
  <c r="H2885" i="3"/>
  <c r="I2885" i="3" s="1"/>
  <c r="H2617" i="3"/>
  <c r="I2617" i="3" s="1"/>
  <c r="H2862" i="3"/>
  <c r="I2862" i="3" s="1"/>
  <c r="H3138" i="3"/>
  <c r="I3138" i="3" s="1"/>
  <c r="H2634" i="3"/>
  <c r="I2634" i="3" s="1"/>
  <c r="H2659" i="3"/>
  <c r="I2659" i="3" s="1"/>
  <c r="H2787" i="3"/>
  <c r="I2787" i="3" s="1"/>
  <c r="H2835" i="3"/>
  <c r="I2835" i="3" s="1"/>
  <c r="H2720" i="3"/>
  <c r="I2720" i="3" s="1"/>
  <c r="H2780" i="3"/>
  <c r="I2780" i="3" s="1"/>
  <c r="H2824" i="3"/>
  <c r="I2824" i="3" s="1"/>
  <c r="H2916" i="3"/>
  <c r="I2916" i="3" s="1"/>
  <c r="H2980" i="3"/>
  <c r="I2980" i="3" s="1"/>
  <c r="H3096" i="3"/>
  <c r="I3096" i="3" s="1"/>
  <c r="H62" i="3"/>
  <c r="I62" i="3" s="1"/>
  <c r="H94" i="3"/>
  <c r="I94" i="3" s="1"/>
  <c r="H1262" i="3"/>
  <c r="I1262" i="3" s="1"/>
  <c r="H160" i="3"/>
  <c r="I160" i="3" s="1"/>
  <c r="H196" i="3"/>
  <c r="I196" i="3" s="1"/>
  <c r="H392" i="3"/>
  <c r="I392" i="3" s="1"/>
  <c r="H636" i="3"/>
  <c r="I636" i="3" s="1"/>
  <c r="H660" i="3"/>
  <c r="I660" i="3" s="1"/>
  <c r="H668" i="3"/>
  <c r="I668" i="3" s="1"/>
  <c r="H852" i="3"/>
  <c r="I852" i="3" s="1"/>
  <c r="H896" i="3"/>
  <c r="I896" i="3" s="1"/>
  <c r="H996" i="3"/>
  <c r="I996" i="3" s="1"/>
  <c r="H1216" i="3"/>
  <c r="I1216" i="3" s="1"/>
  <c r="H1224" i="3"/>
  <c r="I1224" i="3" s="1"/>
  <c r="H1320" i="3"/>
  <c r="I1320" i="3" s="1"/>
  <c r="H1592" i="3"/>
  <c r="I1592" i="3" s="1"/>
  <c r="H1628" i="3"/>
  <c r="I1628" i="3" s="1"/>
  <c r="H25" i="3"/>
  <c r="I25" i="3" s="1"/>
  <c r="H153" i="3"/>
  <c r="I153" i="3" s="1"/>
  <c r="H193" i="3"/>
  <c r="I193" i="3" s="1"/>
  <c r="H449" i="3"/>
  <c r="I449" i="3" s="1"/>
  <c r="H125" i="3"/>
  <c r="I125" i="3" s="1"/>
  <c r="H301" i="3"/>
  <c r="I301" i="3" s="1"/>
  <c r="H405" i="3"/>
  <c r="I405" i="3" s="1"/>
  <c r="H825" i="3"/>
  <c r="I825" i="3" s="1"/>
  <c r="H63" i="3"/>
  <c r="I63" i="3" s="1"/>
  <c r="H239" i="3"/>
  <c r="I239" i="3" s="1"/>
  <c r="H271" i="3"/>
  <c r="I271" i="3" s="1"/>
  <c r="H707" i="3"/>
  <c r="I707" i="3" s="1"/>
  <c r="H1259" i="3"/>
  <c r="I1259" i="3" s="1"/>
  <c r="H211" i="3"/>
  <c r="I211" i="3" s="1"/>
  <c r="H243" i="3"/>
  <c r="I243" i="3" s="1"/>
  <c r="H909" i="3"/>
  <c r="I909" i="3" s="1"/>
  <c r="H1101" i="3"/>
  <c r="I1101" i="3" s="1"/>
  <c r="H1125" i="3"/>
  <c r="I1125" i="3" s="1"/>
  <c r="H751" i="3"/>
  <c r="I751" i="3" s="1"/>
  <c r="H1039" i="3"/>
  <c r="I1039" i="3" s="1"/>
  <c r="H1487" i="3"/>
  <c r="I1487" i="3" s="1"/>
  <c r="H1551" i="3"/>
  <c r="I1551" i="3" s="1"/>
  <c r="H2083" i="3"/>
  <c r="I2083" i="3" s="1"/>
  <c r="H2099" i="3"/>
  <c r="I2099" i="3" s="1"/>
  <c r="H2119" i="3"/>
  <c r="I2119" i="3" s="1"/>
  <c r="H2127" i="3"/>
  <c r="I2127" i="3" s="1"/>
  <c r="H2255" i="3"/>
  <c r="I2255" i="3" s="1"/>
  <c r="H983" i="3"/>
  <c r="I983" i="3" s="1"/>
  <c r="H1111" i="3"/>
  <c r="I1111" i="3" s="1"/>
  <c r="H1393" i="3"/>
  <c r="I1393" i="3" s="1"/>
  <c r="H1537" i="3"/>
  <c r="I1537" i="3" s="1"/>
  <c r="H1671" i="3"/>
  <c r="I1671" i="3" s="1"/>
  <c r="H1784" i="3"/>
  <c r="I1784" i="3" s="1"/>
  <c r="H1868" i="3"/>
  <c r="I1868" i="3" s="1"/>
  <c r="H1940" i="3"/>
  <c r="I1940" i="3" s="1"/>
  <c r="H1952" i="3"/>
  <c r="I1952" i="3" s="1"/>
  <c r="H2024" i="3"/>
  <c r="I2024" i="3" s="1"/>
  <c r="H2364" i="3"/>
  <c r="I2364" i="3" s="1"/>
  <c r="H2592" i="3"/>
  <c r="I2592" i="3" s="1"/>
  <c r="H2624" i="3"/>
  <c r="I2624" i="3" s="1"/>
  <c r="H671" i="3"/>
  <c r="I671" i="3" s="1"/>
  <c r="H767" i="3"/>
  <c r="I767" i="3" s="1"/>
  <c r="H1363" i="3"/>
  <c r="I1363" i="3" s="1"/>
  <c r="H1881" i="3"/>
  <c r="I1881" i="3" s="1"/>
  <c r="H2089" i="3"/>
  <c r="I2089" i="3" s="1"/>
  <c r="H2105" i="3"/>
  <c r="I2105" i="3" s="1"/>
  <c r="H2205" i="3"/>
  <c r="I2205" i="3" s="1"/>
  <c r="H2401" i="3"/>
  <c r="I2401" i="3" s="1"/>
  <c r="H2421" i="3"/>
  <c r="I2421" i="3" s="1"/>
  <c r="H1714" i="3"/>
  <c r="I1714" i="3" s="1"/>
  <c r="H1730" i="3"/>
  <c r="I1730" i="3" s="1"/>
  <c r="H1762" i="3"/>
  <c r="I1762" i="3" s="1"/>
  <c r="H2290" i="3"/>
  <c r="I2290" i="3" s="1"/>
  <c r="H2367" i="3"/>
  <c r="I2367" i="3" s="1"/>
  <c r="H2423" i="3"/>
  <c r="I2423" i="3" s="1"/>
  <c r="H1926" i="3"/>
  <c r="I1926" i="3" s="1"/>
  <c r="H1958" i="3"/>
  <c r="I1958" i="3" s="1"/>
  <c r="H2310" i="3"/>
  <c r="I2310" i="3" s="1"/>
  <c r="H2442" i="3"/>
  <c r="I2442" i="3" s="1"/>
  <c r="H1738" i="3"/>
  <c r="I1738" i="3" s="1"/>
  <c r="H1754" i="3"/>
  <c r="I1754" i="3" s="1"/>
  <c r="H1898" i="3"/>
  <c r="I1898" i="3" s="1"/>
  <c r="H1381" i="3"/>
  <c r="I1381" i="3" s="1"/>
  <c r="H1726" i="3"/>
  <c r="I1726" i="3" s="1"/>
  <c r="H1758" i="3"/>
  <c r="I1758" i="3" s="1"/>
  <c r="H2014" i="3"/>
  <c r="I2014" i="3" s="1"/>
  <c r="H2486" i="3"/>
  <c r="I2486" i="3" s="1"/>
  <c r="H2494" i="3"/>
  <c r="I2494" i="3" s="1"/>
  <c r="H2765" i="3"/>
  <c r="I2765" i="3" s="1"/>
  <c r="H2901" i="3"/>
  <c r="I2901" i="3" s="1"/>
  <c r="H2949" i="3"/>
  <c r="I2949" i="3" s="1"/>
  <c r="H2965" i="3"/>
  <c r="I2965" i="3" s="1"/>
  <c r="H3017" i="3"/>
  <c r="I3017" i="3" s="1"/>
  <c r="H3073" i="3"/>
  <c r="I3073" i="3" s="1"/>
  <c r="H3141" i="3"/>
  <c r="I3141" i="3" s="1"/>
  <c r="H2806" i="3"/>
  <c r="I2806" i="3" s="1"/>
  <c r="H2910" i="3"/>
  <c r="I2910" i="3" s="1"/>
  <c r="H2922" i="3"/>
  <c r="I2922" i="3" s="1"/>
  <c r="H2978" i="3"/>
  <c r="I2978" i="3" s="1"/>
  <c r="H3098" i="3"/>
  <c r="I3098" i="3" s="1"/>
  <c r="H3102" i="3"/>
  <c r="I3102" i="3" s="1"/>
  <c r="H3246" i="3"/>
  <c r="I3246" i="3" s="1"/>
  <c r="H2607" i="3"/>
  <c r="I2607" i="3" s="1"/>
  <c r="H2655" i="3"/>
  <c r="I2655" i="3" s="1"/>
  <c r="H2739" i="3"/>
  <c r="I2739" i="3" s="1"/>
  <c r="H2899" i="3"/>
  <c r="I2899" i="3" s="1"/>
  <c r="H2943" i="3"/>
  <c r="I2943" i="3" s="1"/>
  <c r="H3079" i="3"/>
  <c r="I3079" i="3" s="1"/>
  <c r="H3151" i="3"/>
  <c r="I3151" i="3" s="1"/>
  <c r="H3155" i="3"/>
  <c r="I3155" i="3" s="1"/>
  <c r="H2515" i="3"/>
  <c r="I2515" i="3" s="1"/>
  <c r="H2752" i="3"/>
  <c r="I2752" i="3" s="1"/>
  <c r="H2836" i="3"/>
  <c r="I2836" i="3" s="1"/>
  <c r="H2952" i="3"/>
  <c r="I2952" i="3" s="1"/>
  <c r="H3020" i="3"/>
  <c r="I3020" i="3" s="1"/>
  <c r="H3104" i="3"/>
  <c r="I3104" i="3" s="1"/>
  <c r="H3176" i="3"/>
  <c r="I3176" i="3" s="1"/>
  <c r="H3204" i="3"/>
  <c r="I3204" i="3" s="1"/>
  <c r="H4585" i="3"/>
  <c r="I4585" i="3" s="1"/>
  <c r="H4581" i="3"/>
  <c r="I4581" i="3" s="1"/>
  <c r="H4577" i="3"/>
  <c r="I4577" i="3" s="1"/>
  <c r="H4573" i="3"/>
  <c r="I4573" i="3" s="1"/>
  <c r="H4569" i="3"/>
  <c r="I4569" i="3" s="1"/>
  <c r="H4565" i="3"/>
  <c r="I4565" i="3" s="1"/>
  <c r="H4561" i="3"/>
  <c r="I4561" i="3" s="1"/>
  <c r="H4557" i="3"/>
  <c r="I4557" i="3" s="1"/>
  <c r="H4553" i="3"/>
  <c r="I4553" i="3" s="1"/>
  <c r="H4549" i="3"/>
  <c r="I4549" i="3" s="1"/>
  <c r="H4545" i="3"/>
  <c r="I4545" i="3" s="1"/>
  <c r="H4541" i="3"/>
  <c r="I4541" i="3" s="1"/>
  <c r="H4537" i="3"/>
  <c r="I4537" i="3" s="1"/>
  <c r="H4533" i="3"/>
  <c r="I4533" i="3" s="1"/>
  <c r="H4529" i="3"/>
  <c r="I4529" i="3" s="1"/>
  <c r="H4525" i="3"/>
  <c r="I4525" i="3" s="1"/>
  <c r="H4521" i="3"/>
  <c r="I4521" i="3" s="1"/>
  <c r="H4517" i="3"/>
  <c r="I4517" i="3" s="1"/>
  <c r="H4513" i="3"/>
  <c r="I4513" i="3" s="1"/>
  <c r="H4509" i="3"/>
  <c r="I4509" i="3" s="1"/>
  <c r="H4505" i="3"/>
  <c r="I4505" i="3" s="1"/>
  <c r="H4501" i="3"/>
  <c r="I4501" i="3" s="1"/>
  <c r="H4497" i="3"/>
  <c r="I4497" i="3" s="1"/>
  <c r="H4493" i="3"/>
  <c r="I4493" i="3" s="1"/>
  <c r="H4489" i="3"/>
  <c r="I4489" i="3" s="1"/>
  <c r="H4485" i="3"/>
  <c r="I4485" i="3" s="1"/>
  <c r="H4481" i="3"/>
  <c r="I4481" i="3" s="1"/>
  <c r="H4477" i="3"/>
  <c r="I4477" i="3" s="1"/>
  <c r="H4473" i="3"/>
  <c r="I4473" i="3" s="1"/>
  <c r="H4469" i="3"/>
  <c r="I4469" i="3" s="1"/>
  <c r="H4465" i="3"/>
  <c r="I4465" i="3" s="1"/>
  <c r="H4461" i="3"/>
  <c r="I4461" i="3" s="1"/>
  <c r="H4457" i="3"/>
  <c r="I4457" i="3" s="1"/>
  <c r="H4453" i="3"/>
  <c r="I4453" i="3" s="1"/>
  <c r="H4449" i="3"/>
  <c r="I4449" i="3" s="1"/>
  <c r="H4445" i="3"/>
  <c r="I4445" i="3" s="1"/>
  <c r="H4441" i="3"/>
  <c r="I4441" i="3" s="1"/>
  <c r="H4437" i="3"/>
  <c r="I4437" i="3" s="1"/>
  <c r="H4433" i="3"/>
  <c r="I4433" i="3" s="1"/>
  <c r="H4429" i="3"/>
  <c r="I4429" i="3" s="1"/>
  <c r="H4425" i="3"/>
  <c r="I4425" i="3" s="1"/>
  <c r="H4421" i="3"/>
  <c r="I4421" i="3" s="1"/>
  <c r="H4417" i="3"/>
  <c r="I4417" i="3" s="1"/>
  <c r="H4413" i="3"/>
  <c r="I4413" i="3" s="1"/>
  <c r="H4409" i="3"/>
  <c r="I4409" i="3" s="1"/>
  <c r="H4405" i="3"/>
  <c r="I4405" i="3" s="1"/>
  <c r="H4401" i="3"/>
  <c r="I4401" i="3" s="1"/>
  <c r="H4397" i="3"/>
  <c r="I4397" i="3" s="1"/>
  <c r="H4393" i="3"/>
  <c r="I4393" i="3" s="1"/>
  <c r="H4389" i="3"/>
  <c r="I4389" i="3" s="1"/>
  <c r="H4385" i="3"/>
  <c r="I4385" i="3" s="1"/>
  <c r="H4381" i="3"/>
  <c r="I4381" i="3" s="1"/>
  <c r="H4377" i="3"/>
  <c r="I4377" i="3" s="1"/>
  <c r="H4373" i="3"/>
  <c r="I4373" i="3" s="1"/>
  <c r="H4369" i="3"/>
  <c r="I4369" i="3" s="1"/>
  <c r="H4365" i="3"/>
  <c r="I4365" i="3" s="1"/>
  <c r="H4361" i="3"/>
  <c r="I4361" i="3" s="1"/>
  <c r="H4357" i="3"/>
  <c r="I4357" i="3" s="1"/>
  <c r="H4353" i="3"/>
  <c r="I4353" i="3" s="1"/>
  <c r="H4349" i="3"/>
  <c r="I4349" i="3" s="1"/>
  <c r="H4345" i="3"/>
  <c r="I4345" i="3" s="1"/>
  <c r="H4341" i="3"/>
  <c r="I4341" i="3" s="1"/>
  <c r="H4337" i="3"/>
  <c r="I4337" i="3" s="1"/>
  <c r="H4333" i="3"/>
  <c r="I4333" i="3" s="1"/>
  <c r="H4329" i="3"/>
  <c r="I4329" i="3" s="1"/>
  <c r="H4325" i="3"/>
  <c r="I4325" i="3" s="1"/>
  <c r="H4321" i="3"/>
  <c r="I4321" i="3" s="1"/>
  <c r="H4317" i="3"/>
  <c r="I4317" i="3" s="1"/>
  <c r="H4313" i="3"/>
  <c r="I4313" i="3" s="1"/>
  <c r="H4309" i="3"/>
  <c r="I4309" i="3" s="1"/>
  <c r="H4305" i="3"/>
  <c r="I4305" i="3" s="1"/>
  <c r="H4301" i="3"/>
  <c r="I4301" i="3" s="1"/>
  <c r="H4297" i="3"/>
  <c r="I4297" i="3" s="1"/>
  <c r="H4293" i="3"/>
  <c r="I4293" i="3" s="1"/>
  <c r="H4289" i="3"/>
  <c r="I4289" i="3" s="1"/>
  <c r="H4285" i="3"/>
  <c r="I4285" i="3" s="1"/>
  <c r="H4281" i="3"/>
  <c r="I4281" i="3" s="1"/>
  <c r="H4277" i="3"/>
  <c r="I4277" i="3" s="1"/>
  <c r="H4273" i="3"/>
  <c r="I4273" i="3" s="1"/>
  <c r="H4269" i="3"/>
  <c r="I4269" i="3" s="1"/>
  <c r="H4265" i="3"/>
  <c r="I4265" i="3" s="1"/>
  <c r="H4261" i="3"/>
  <c r="I4261" i="3" s="1"/>
  <c r="H4257" i="3"/>
  <c r="I4257" i="3" s="1"/>
  <c r="H4253" i="3"/>
  <c r="I4253" i="3" s="1"/>
  <c r="H4249" i="3"/>
  <c r="I4249" i="3" s="1"/>
  <c r="H4245" i="3"/>
  <c r="I4245" i="3" s="1"/>
  <c r="H4241" i="3"/>
  <c r="I4241" i="3" s="1"/>
  <c r="H4237" i="3"/>
  <c r="I4237" i="3" s="1"/>
  <c r="H4233" i="3"/>
  <c r="I4233" i="3" s="1"/>
  <c r="H4229" i="3"/>
  <c r="I4229" i="3" s="1"/>
  <c r="H4225" i="3"/>
  <c r="I4225" i="3" s="1"/>
  <c r="H4221" i="3"/>
  <c r="I4221" i="3" s="1"/>
  <c r="H4217" i="3"/>
  <c r="I4217" i="3" s="1"/>
  <c r="H4213" i="3"/>
  <c r="I4213" i="3" s="1"/>
  <c r="H4209" i="3"/>
  <c r="I4209" i="3" s="1"/>
  <c r="H4205" i="3"/>
  <c r="I4205" i="3" s="1"/>
  <c r="H4201" i="3"/>
  <c r="I4201" i="3" s="1"/>
  <c r="H4197" i="3"/>
  <c r="I4197" i="3" s="1"/>
  <c r="H4193" i="3"/>
  <c r="I4193" i="3" s="1"/>
  <c r="H4189" i="3"/>
  <c r="I4189" i="3" s="1"/>
  <c r="H4185" i="3"/>
  <c r="I4185" i="3" s="1"/>
  <c r="H4181" i="3"/>
  <c r="I4181" i="3" s="1"/>
  <c r="H4177" i="3"/>
  <c r="I4177" i="3" s="1"/>
  <c r="H4173" i="3"/>
  <c r="I4173" i="3" s="1"/>
  <c r="H4169" i="3"/>
  <c r="I4169" i="3" s="1"/>
  <c r="H4165" i="3"/>
  <c r="I4165" i="3" s="1"/>
  <c r="H4161" i="3"/>
  <c r="I4161" i="3" s="1"/>
  <c r="H4157" i="3"/>
  <c r="I4157" i="3" s="1"/>
  <c r="H4153" i="3"/>
  <c r="I4153" i="3" s="1"/>
  <c r="H4149" i="3"/>
  <c r="I4149" i="3" s="1"/>
  <c r="H4145" i="3"/>
  <c r="I4145" i="3" s="1"/>
  <c r="H4141" i="3"/>
  <c r="I4141" i="3" s="1"/>
  <c r="H4137" i="3"/>
  <c r="I4137" i="3" s="1"/>
  <c r="H4133" i="3"/>
  <c r="I4133" i="3" s="1"/>
  <c r="H4129" i="3"/>
  <c r="I4129" i="3" s="1"/>
  <c r="H4125" i="3"/>
  <c r="I4125" i="3" s="1"/>
  <c r="H4121" i="3"/>
  <c r="I4121" i="3" s="1"/>
  <c r="H4117" i="3"/>
  <c r="I4117" i="3" s="1"/>
  <c r="H4113" i="3"/>
  <c r="I4113" i="3" s="1"/>
  <c r="H4109" i="3"/>
  <c r="I4109" i="3" s="1"/>
  <c r="H4105" i="3"/>
  <c r="I4105" i="3" s="1"/>
  <c r="H4101" i="3"/>
  <c r="I4101" i="3" s="1"/>
  <c r="H4097" i="3"/>
  <c r="I4097" i="3" s="1"/>
  <c r="H4093" i="3"/>
  <c r="I4093" i="3" s="1"/>
  <c r="H4089" i="3"/>
  <c r="I4089" i="3" s="1"/>
  <c r="H4085" i="3"/>
  <c r="I4085" i="3" s="1"/>
  <c r="H4081" i="3"/>
  <c r="I4081" i="3" s="1"/>
  <c r="H4077" i="3"/>
  <c r="I4077" i="3" s="1"/>
  <c r="H4073" i="3"/>
  <c r="I4073" i="3" s="1"/>
  <c r="H4069" i="3"/>
  <c r="I4069" i="3" s="1"/>
  <c r="H4065" i="3"/>
  <c r="I4065" i="3" s="1"/>
  <c r="H4061" i="3"/>
  <c r="I4061" i="3" s="1"/>
  <c r="H4057" i="3"/>
  <c r="I4057" i="3" s="1"/>
  <c r="H4053" i="3"/>
  <c r="I4053" i="3" s="1"/>
  <c r="H4049" i="3"/>
  <c r="I4049" i="3" s="1"/>
  <c r="H4045" i="3"/>
  <c r="I4045" i="3" s="1"/>
  <c r="H4041" i="3"/>
  <c r="I4041" i="3" s="1"/>
  <c r="H4037" i="3"/>
  <c r="I4037" i="3" s="1"/>
  <c r="H4033" i="3"/>
  <c r="I4033" i="3" s="1"/>
  <c r="H4029" i="3"/>
  <c r="I4029" i="3" s="1"/>
  <c r="H4025" i="3"/>
  <c r="I4025" i="3" s="1"/>
  <c r="H4021" i="3"/>
  <c r="I4021" i="3" s="1"/>
  <c r="H4017" i="3"/>
  <c r="I4017" i="3" s="1"/>
  <c r="H4013" i="3"/>
  <c r="I4013" i="3" s="1"/>
  <c r="H4009" i="3"/>
  <c r="I4009" i="3" s="1"/>
  <c r="H4005" i="3"/>
  <c r="I4005" i="3" s="1"/>
  <c r="H4001" i="3"/>
  <c r="I4001" i="3" s="1"/>
  <c r="H3997" i="3"/>
  <c r="I3997" i="3" s="1"/>
  <c r="H3993" i="3"/>
  <c r="I3993" i="3" s="1"/>
  <c r="H3989" i="3"/>
  <c r="I3989" i="3" s="1"/>
  <c r="H3985" i="3"/>
  <c r="I3985" i="3" s="1"/>
  <c r="H3981" i="3"/>
  <c r="I3981" i="3" s="1"/>
  <c r="H3977" i="3"/>
  <c r="I3977" i="3" s="1"/>
  <c r="H3973" i="3"/>
  <c r="I3973" i="3" s="1"/>
  <c r="H3969" i="3"/>
  <c r="I3969" i="3" s="1"/>
  <c r="H3965" i="3"/>
  <c r="I3965" i="3" s="1"/>
  <c r="H3961" i="3"/>
  <c r="I3961" i="3" s="1"/>
  <c r="H3957" i="3"/>
  <c r="I3957" i="3" s="1"/>
  <c r="H3953" i="3"/>
  <c r="I3953" i="3" s="1"/>
  <c r="H3949" i="3"/>
  <c r="I3949" i="3" s="1"/>
  <c r="H3945" i="3"/>
  <c r="I3945" i="3" s="1"/>
  <c r="H3941" i="3"/>
  <c r="I3941" i="3" s="1"/>
  <c r="H3937" i="3"/>
  <c r="I3937" i="3" s="1"/>
  <c r="H3929" i="3"/>
  <c r="I3929" i="3" s="1"/>
  <c r="H3925" i="3"/>
  <c r="I3925" i="3" s="1"/>
  <c r="H3921" i="3"/>
  <c r="I3921" i="3" s="1"/>
  <c r="H3917" i="3"/>
  <c r="I3917" i="3" s="1"/>
  <c r="H3913" i="3"/>
  <c r="I3913" i="3" s="1"/>
  <c r="H3909" i="3"/>
  <c r="I3909" i="3" s="1"/>
  <c r="H3905" i="3"/>
  <c r="I3905" i="3" s="1"/>
  <c r="H3901" i="3"/>
  <c r="I3901" i="3" s="1"/>
  <c r="H3897" i="3"/>
  <c r="I3897" i="3" s="1"/>
  <c r="H3893" i="3"/>
  <c r="I3893" i="3" s="1"/>
  <c r="H3889" i="3"/>
  <c r="I3889" i="3" s="1"/>
  <c r="H3885" i="3"/>
  <c r="I3885" i="3" s="1"/>
  <c r="H3881" i="3"/>
  <c r="I3881" i="3" s="1"/>
  <c r="H3877" i="3"/>
  <c r="I3877" i="3" s="1"/>
  <c r="H3873" i="3"/>
  <c r="I3873" i="3" s="1"/>
  <c r="H3869" i="3"/>
  <c r="I3869" i="3" s="1"/>
  <c r="H3865" i="3"/>
  <c r="I3865" i="3" s="1"/>
  <c r="H3861" i="3"/>
  <c r="I3861" i="3" s="1"/>
  <c r="H3857" i="3"/>
  <c r="I3857" i="3" s="1"/>
  <c r="H3853" i="3"/>
  <c r="I3853" i="3" s="1"/>
  <c r="H3849" i="3"/>
  <c r="I3849" i="3" s="1"/>
  <c r="H3845" i="3"/>
  <c r="I3845" i="3" s="1"/>
  <c r="H3841" i="3"/>
  <c r="I3841" i="3" s="1"/>
  <c r="H3837" i="3"/>
  <c r="I3837" i="3" s="1"/>
  <c r="H3833" i="3"/>
  <c r="I3833" i="3" s="1"/>
  <c r="H3829" i="3"/>
  <c r="I3829" i="3" s="1"/>
  <c r="H3825" i="3"/>
  <c r="I3825" i="3" s="1"/>
  <c r="H3821" i="3"/>
  <c r="I3821" i="3" s="1"/>
  <c r="H3817" i="3"/>
  <c r="I3817" i="3" s="1"/>
  <c r="H3813" i="3"/>
  <c r="I3813" i="3" s="1"/>
  <c r="H3809" i="3"/>
  <c r="I3809" i="3" s="1"/>
  <c r="H3805" i="3"/>
  <c r="I3805" i="3" s="1"/>
  <c r="H3801" i="3"/>
  <c r="I3801" i="3" s="1"/>
  <c r="H3797" i="3"/>
  <c r="I3797" i="3" s="1"/>
  <c r="H3793" i="3"/>
  <c r="I3793" i="3" s="1"/>
  <c r="H3789" i="3"/>
  <c r="I3789" i="3" s="1"/>
  <c r="H3785" i="3"/>
  <c r="I3785" i="3" s="1"/>
  <c r="H3781" i="3"/>
  <c r="I3781" i="3" s="1"/>
  <c r="H3777" i="3"/>
  <c r="I3777" i="3" s="1"/>
  <c r="H3773" i="3"/>
  <c r="I3773" i="3" s="1"/>
  <c r="H3769" i="3"/>
  <c r="I3769" i="3" s="1"/>
  <c r="H3765" i="3"/>
  <c r="I3765" i="3" s="1"/>
  <c r="H3761" i="3"/>
  <c r="I3761" i="3" s="1"/>
  <c r="H3757" i="3"/>
  <c r="I3757" i="3" s="1"/>
  <c r="H3753" i="3"/>
  <c r="I3753" i="3" s="1"/>
  <c r="H3749" i="3"/>
  <c r="I3749" i="3" s="1"/>
  <c r="H3745" i="3"/>
  <c r="I3745" i="3" s="1"/>
  <c r="H3741" i="3"/>
  <c r="I3741" i="3" s="1"/>
  <c r="H3737" i="3"/>
  <c r="I3737" i="3" s="1"/>
  <c r="H3733" i="3"/>
  <c r="I3733" i="3" s="1"/>
  <c r="H3729" i="3"/>
  <c r="I3729" i="3" s="1"/>
  <c r="H3725" i="3"/>
  <c r="I3725" i="3" s="1"/>
  <c r="H3721" i="3"/>
  <c r="I3721" i="3" s="1"/>
  <c r="H3717" i="3"/>
  <c r="I3717" i="3" s="1"/>
  <c r="H3713" i="3"/>
  <c r="I3713" i="3" s="1"/>
  <c r="H3709" i="3"/>
  <c r="I3709" i="3" s="1"/>
  <c r="H3705" i="3"/>
  <c r="I3705" i="3" s="1"/>
  <c r="H3701" i="3"/>
  <c r="I3701" i="3" s="1"/>
  <c r="H3697" i="3"/>
  <c r="I3697" i="3" s="1"/>
  <c r="H3693" i="3"/>
  <c r="I3693" i="3" s="1"/>
  <c r="H3689" i="3"/>
  <c r="I3689" i="3" s="1"/>
  <c r="H3685" i="3"/>
  <c r="I3685" i="3" s="1"/>
  <c r="H3681" i="3"/>
  <c r="I3681" i="3" s="1"/>
  <c r="H3677" i="3"/>
  <c r="I3677" i="3" s="1"/>
  <c r="H3673" i="3"/>
  <c r="I3673" i="3" s="1"/>
  <c r="H3669" i="3"/>
  <c r="I3669" i="3" s="1"/>
  <c r="H3665" i="3"/>
  <c r="I3665" i="3" s="1"/>
  <c r="H3661" i="3"/>
  <c r="I3661" i="3" s="1"/>
  <c r="H3657" i="3"/>
  <c r="I3657" i="3" s="1"/>
  <c r="H3653" i="3"/>
  <c r="I3653" i="3" s="1"/>
  <c r="H3649" i="3"/>
  <c r="I3649" i="3" s="1"/>
  <c r="H3645" i="3"/>
  <c r="I3645" i="3" s="1"/>
  <c r="H3641" i="3"/>
  <c r="I3641" i="3" s="1"/>
  <c r="H3637" i="3"/>
  <c r="I3637" i="3" s="1"/>
  <c r="H3633" i="3"/>
  <c r="I3633" i="3" s="1"/>
  <c r="H3629" i="3"/>
  <c r="I3629" i="3" s="1"/>
  <c r="H3625" i="3"/>
  <c r="I3625" i="3" s="1"/>
  <c r="H3621" i="3"/>
  <c r="I3621" i="3" s="1"/>
  <c r="H3617" i="3"/>
  <c r="I3617" i="3" s="1"/>
  <c r="H3613" i="3"/>
  <c r="I3613" i="3" s="1"/>
  <c r="H3609" i="3"/>
  <c r="I3609" i="3" s="1"/>
  <c r="H3605" i="3"/>
  <c r="I3605" i="3" s="1"/>
  <c r="H3601" i="3"/>
  <c r="I3601" i="3" s="1"/>
  <c r="H3597" i="3"/>
  <c r="I3597" i="3" s="1"/>
  <c r="H3593" i="3"/>
  <c r="I3593" i="3" s="1"/>
  <c r="H3589" i="3"/>
  <c r="I3589" i="3" s="1"/>
  <c r="H3585" i="3"/>
  <c r="I3585" i="3" s="1"/>
  <c r="H3581" i="3"/>
  <c r="I3581" i="3" s="1"/>
  <c r="H3577" i="3"/>
  <c r="I3577" i="3" s="1"/>
  <c r="H3573" i="3"/>
  <c r="I3573" i="3" s="1"/>
  <c r="H3569" i="3"/>
  <c r="I3569" i="3" s="1"/>
  <c r="H3565" i="3"/>
  <c r="I3565" i="3" s="1"/>
  <c r="H3561" i="3"/>
  <c r="I3561" i="3" s="1"/>
  <c r="H3557" i="3"/>
  <c r="I3557" i="3" s="1"/>
  <c r="H3553" i="3"/>
  <c r="I3553" i="3" s="1"/>
  <c r="H3549" i="3"/>
  <c r="I3549" i="3" s="1"/>
  <c r="H3545" i="3"/>
  <c r="I3545" i="3" s="1"/>
  <c r="H3541" i="3"/>
  <c r="I3541" i="3" s="1"/>
  <c r="H3537" i="3"/>
  <c r="I3537" i="3" s="1"/>
  <c r="H3533" i="3"/>
  <c r="I3533" i="3" s="1"/>
  <c r="H3529" i="3"/>
  <c r="I3529" i="3" s="1"/>
  <c r="H3525" i="3"/>
  <c r="I3525" i="3" s="1"/>
  <c r="H3521" i="3"/>
  <c r="I3521" i="3" s="1"/>
  <c r="H3517" i="3"/>
  <c r="I3517" i="3" s="1"/>
  <c r="H3513" i="3"/>
  <c r="I3513" i="3" s="1"/>
  <c r="H3509" i="3"/>
  <c r="I3509" i="3" s="1"/>
  <c r="H3505" i="3"/>
  <c r="I3505" i="3" s="1"/>
  <c r="H3501" i="3"/>
  <c r="I3501" i="3" s="1"/>
  <c r="H3497" i="3"/>
  <c r="I3497" i="3" s="1"/>
  <c r="H3493" i="3"/>
  <c r="I3493" i="3" s="1"/>
  <c r="H3489" i="3"/>
  <c r="I3489" i="3" s="1"/>
  <c r="H3485" i="3"/>
  <c r="I3485" i="3" s="1"/>
  <c r="H3481" i="3"/>
  <c r="I3481" i="3" s="1"/>
  <c r="H3477" i="3"/>
  <c r="I3477" i="3" s="1"/>
  <c r="H3473" i="3"/>
  <c r="I3473" i="3" s="1"/>
  <c r="H3469" i="3"/>
  <c r="I3469" i="3" s="1"/>
  <c r="H3461" i="3"/>
  <c r="I3461" i="3" s="1"/>
  <c r="H3457" i="3"/>
  <c r="I3457" i="3" s="1"/>
  <c r="H3453" i="3"/>
  <c r="I3453" i="3" s="1"/>
  <c r="H3449" i="3"/>
  <c r="I3449" i="3" s="1"/>
  <c r="H3445" i="3"/>
  <c r="I3445" i="3" s="1"/>
  <c r="H3437" i="3"/>
  <c r="I3437" i="3" s="1"/>
  <c r="H3433" i="3"/>
  <c r="I3433" i="3" s="1"/>
  <c r="H3429" i="3"/>
  <c r="I3429" i="3" s="1"/>
  <c r="H3425" i="3"/>
  <c r="I3425" i="3" s="1"/>
  <c r="H3421" i="3"/>
  <c r="I3421" i="3" s="1"/>
  <c r="H3417" i="3"/>
  <c r="I3417" i="3" s="1"/>
  <c r="H3413" i="3"/>
  <c r="I3413" i="3" s="1"/>
  <c r="H3409" i="3"/>
  <c r="I3409" i="3" s="1"/>
  <c r="H3405" i="3"/>
  <c r="I3405" i="3" s="1"/>
  <c r="H3401" i="3"/>
  <c r="I3401" i="3" s="1"/>
  <c r="H3397" i="3"/>
  <c r="I3397" i="3" s="1"/>
  <c r="H3393" i="3"/>
  <c r="I3393" i="3" s="1"/>
  <c r="H3389" i="3"/>
  <c r="I3389" i="3" s="1"/>
  <c r="H3385" i="3"/>
  <c r="I3385" i="3" s="1"/>
  <c r="H3381" i="3"/>
  <c r="I3381" i="3" s="1"/>
  <c r="H3377" i="3"/>
  <c r="I3377" i="3" s="1"/>
  <c r="H3373" i="3"/>
  <c r="I3373" i="3" s="1"/>
  <c r="H3369" i="3"/>
  <c r="I3369" i="3" s="1"/>
  <c r="H3365" i="3"/>
  <c r="I3365" i="3" s="1"/>
  <c r="H3357" i="3"/>
  <c r="I3357" i="3" s="1"/>
  <c r="H3353" i="3"/>
  <c r="I3353" i="3" s="1"/>
  <c r="H3349" i="3"/>
  <c r="I3349" i="3" s="1"/>
  <c r="H3345" i="3"/>
  <c r="I3345" i="3" s="1"/>
  <c r="H3341" i="3"/>
  <c r="I3341" i="3" s="1"/>
  <c r="H3337" i="3"/>
  <c r="I3337" i="3" s="1"/>
  <c r="H3333" i="3"/>
  <c r="I3333" i="3" s="1"/>
  <c r="H3329" i="3"/>
  <c r="I3329" i="3" s="1"/>
  <c r="H3325" i="3"/>
  <c r="I3325" i="3" s="1"/>
  <c r="H3321" i="3"/>
  <c r="I3321" i="3" s="1"/>
  <c r="H3317" i="3"/>
  <c r="I3317" i="3" s="1"/>
  <c r="H3313" i="3"/>
  <c r="I3313" i="3" s="1"/>
  <c r="H3309" i="3"/>
  <c r="I3309" i="3" s="1"/>
  <c r="H3305" i="3"/>
  <c r="I3305" i="3" s="1"/>
  <c r="H3301" i="3"/>
  <c r="I3301" i="3" s="1"/>
  <c r="H3297" i="3"/>
  <c r="I3297" i="3" s="1"/>
  <c r="H3289" i="3"/>
  <c r="I3289" i="3" s="1"/>
  <c r="H3285" i="3"/>
  <c r="I3285" i="3" s="1"/>
  <c r="H3281" i="3"/>
  <c r="I3281" i="3" s="1"/>
  <c r="H3273" i="3"/>
  <c r="I3273" i="3" s="1"/>
  <c r="H3269" i="3"/>
  <c r="I3269" i="3" s="1"/>
  <c r="H3265" i="3"/>
  <c r="I3265" i="3" s="1"/>
  <c r="H3261" i="3"/>
  <c r="I3261" i="3" s="1"/>
  <c r="H3257" i="3"/>
  <c r="I3257" i="3" s="1"/>
  <c r="H3251" i="3"/>
  <c r="I3251" i="3" s="1"/>
  <c r="H3243" i="3"/>
  <c r="I3243" i="3" s="1"/>
  <c r="H22" i="3"/>
  <c r="I22" i="3" s="1"/>
  <c r="H74" i="3"/>
  <c r="I74" i="3" s="1"/>
  <c r="H82" i="3"/>
  <c r="I82" i="3" s="1"/>
  <c r="H190" i="3"/>
  <c r="I190" i="3" s="1"/>
  <c r="H226" i="3"/>
  <c r="I226" i="3" s="1"/>
  <c r="H478" i="3"/>
  <c r="I478" i="3" s="1"/>
  <c r="H510" i="3"/>
  <c r="I510" i="3" s="1"/>
  <c r="H542" i="3"/>
  <c r="I542" i="3" s="1"/>
  <c r="H586" i="3"/>
  <c r="I586" i="3" s="1"/>
  <c r="H686" i="3"/>
  <c r="I686" i="3" s="1"/>
  <c r="H742" i="3"/>
  <c r="I742" i="3" s="1"/>
  <c r="H870" i="3"/>
  <c r="I870" i="3" s="1"/>
  <c r="H874" i="3"/>
  <c r="I874" i="3" s="1"/>
  <c r="H926" i="3"/>
  <c r="I926" i="3" s="1"/>
  <c r="H1110" i="3"/>
  <c r="I1110" i="3" s="1"/>
  <c r="H1174" i="3"/>
  <c r="I1174" i="3" s="1"/>
  <c r="H1386" i="3"/>
  <c r="I1386" i="3" s="1"/>
  <c r="H1462" i="3"/>
  <c r="I1462" i="3" s="1"/>
  <c r="H1470" i="3"/>
  <c r="I1470" i="3" s="1"/>
  <c r="H140" i="3"/>
  <c r="I140" i="3" s="1"/>
  <c r="H188" i="3"/>
  <c r="I188" i="3" s="1"/>
  <c r="H508" i="3"/>
  <c r="I508" i="3" s="1"/>
  <c r="H512" i="3"/>
  <c r="I512" i="3" s="1"/>
  <c r="H576" i="3"/>
  <c r="I576" i="3" s="1"/>
  <c r="H584" i="3"/>
  <c r="I584" i="3" s="1"/>
  <c r="H592" i="3"/>
  <c r="I592" i="3" s="1"/>
  <c r="H600" i="3"/>
  <c r="I600" i="3" s="1"/>
  <c r="H656" i="3"/>
  <c r="I656" i="3" s="1"/>
  <c r="H772" i="3"/>
  <c r="I772" i="3" s="1"/>
  <c r="H1176" i="3"/>
  <c r="I1176" i="3" s="1"/>
  <c r="H1188" i="3"/>
  <c r="I1188" i="3" s="1"/>
  <c r="H1272" i="3"/>
  <c r="I1272" i="3" s="1"/>
  <c r="H1288" i="3"/>
  <c r="I1288" i="3" s="1"/>
  <c r="H1292" i="3"/>
  <c r="I1292" i="3" s="1"/>
  <c r="H1296" i="3"/>
  <c r="I1296" i="3" s="1"/>
  <c r="H1308" i="3"/>
  <c r="I1308" i="3" s="1"/>
  <c r="H1380" i="3"/>
  <c r="I1380" i="3" s="1"/>
  <c r="H1408" i="3"/>
  <c r="I1408" i="3" s="1"/>
  <c r="H1464" i="3"/>
  <c r="I1464" i="3" s="1"/>
  <c r="H1512" i="3"/>
  <c r="I1512" i="3" s="1"/>
  <c r="H169" i="3"/>
  <c r="I169" i="3" s="1"/>
  <c r="H265" i="3"/>
  <c r="I265" i="3" s="1"/>
  <c r="H305" i="3"/>
  <c r="I305" i="3" s="1"/>
  <c r="H489" i="3"/>
  <c r="I489" i="3" s="1"/>
  <c r="H561" i="3"/>
  <c r="I561" i="3" s="1"/>
  <c r="H149" i="3"/>
  <c r="I149" i="3" s="1"/>
  <c r="H293" i="3"/>
  <c r="I293" i="3" s="1"/>
  <c r="H373" i="3"/>
  <c r="I373" i="3" s="1"/>
  <c r="H681" i="3"/>
  <c r="I681" i="3" s="1"/>
  <c r="H793" i="3"/>
  <c r="I793" i="3" s="1"/>
  <c r="H921" i="3"/>
  <c r="I921" i="3" s="1"/>
  <c r="H953" i="3"/>
  <c r="I953" i="3" s="1"/>
  <c r="H1097" i="3"/>
  <c r="I1097" i="3" s="1"/>
  <c r="H1153" i="3"/>
  <c r="I1153" i="3" s="1"/>
  <c r="H1249" i="3"/>
  <c r="I1249" i="3" s="1"/>
  <c r="H383" i="3"/>
  <c r="I383" i="3" s="1"/>
  <c r="H619" i="3"/>
  <c r="I619" i="3" s="1"/>
  <c r="H635" i="3"/>
  <c r="I635" i="3" s="1"/>
  <c r="H1003" i="3"/>
  <c r="I1003" i="3" s="1"/>
  <c r="H1245" i="3"/>
  <c r="I1245" i="3" s="1"/>
  <c r="H135" i="3"/>
  <c r="I135" i="3" s="1"/>
  <c r="H1607" i="3"/>
  <c r="I1607" i="3" s="1"/>
  <c r="H1771" i="3"/>
  <c r="I1771" i="3" s="1"/>
  <c r="H1783" i="3"/>
  <c r="I1783" i="3" s="1"/>
  <c r="H1859" i="3"/>
  <c r="I1859" i="3" s="1"/>
  <c r="H1927" i="3"/>
  <c r="I1927" i="3" s="1"/>
  <c r="H1963" i="3"/>
  <c r="I1963" i="3" s="1"/>
  <c r="H1983" i="3"/>
  <c r="I1983" i="3" s="1"/>
  <c r="H2071" i="3"/>
  <c r="I2071" i="3" s="1"/>
  <c r="H2287" i="3"/>
  <c r="I2287" i="3" s="1"/>
  <c r="H1505" i="3"/>
  <c r="I1505" i="3" s="1"/>
  <c r="H1625" i="3"/>
  <c r="I1625" i="3" s="1"/>
  <c r="H1676" i="3"/>
  <c r="I1676" i="3" s="1"/>
  <c r="H1768" i="3"/>
  <c r="I1768" i="3" s="1"/>
  <c r="H1840" i="3"/>
  <c r="I1840" i="3" s="1"/>
  <c r="H1864" i="3"/>
  <c r="I1864" i="3" s="1"/>
  <c r="H2040" i="3"/>
  <c r="I2040" i="3" s="1"/>
  <c r="H2132" i="3"/>
  <c r="I2132" i="3" s="1"/>
  <c r="H2196" i="3"/>
  <c r="I2196" i="3" s="1"/>
  <c r="H2228" i="3"/>
  <c r="I2228" i="3" s="1"/>
  <c r="H2252" i="3"/>
  <c r="I2252" i="3" s="1"/>
  <c r="H2276" i="3"/>
  <c r="I2276" i="3" s="1"/>
  <c r="H2292" i="3"/>
  <c r="I2292" i="3" s="1"/>
  <c r="H2544" i="3"/>
  <c r="I2544" i="3" s="1"/>
  <c r="H2572" i="3"/>
  <c r="I2572" i="3" s="1"/>
  <c r="H2600" i="3"/>
  <c r="I2600" i="3" s="1"/>
  <c r="H295" i="3"/>
  <c r="I295" i="3" s="1"/>
  <c r="H639" i="3"/>
  <c r="I639" i="3" s="1"/>
  <c r="H1283" i="3"/>
  <c r="I1283" i="3" s="1"/>
  <c r="H1419" i="3"/>
  <c r="I1419" i="3" s="1"/>
  <c r="H1547" i="3"/>
  <c r="I1547" i="3" s="1"/>
  <c r="H1641" i="3"/>
  <c r="I1641" i="3" s="1"/>
  <c r="H1667" i="3"/>
  <c r="I1667" i="3" s="1"/>
  <c r="H1693" i="3"/>
  <c r="I1693" i="3" s="1"/>
  <c r="H1725" i="3"/>
  <c r="I1725" i="3" s="1"/>
  <c r="H1777" i="3"/>
  <c r="I1777" i="3" s="1"/>
  <c r="H2169" i="3"/>
  <c r="I2169" i="3" s="1"/>
  <c r="H2261" i="3"/>
  <c r="I2261" i="3" s="1"/>
  <c r="H2269" i="3"/>
  <c r="I2269" i="3" s="1"/>
  <c r="H2385" i="3"/>
  <c r="I2385" i="3" s="1"/>
  <c r="H2409" i="3"/>
  <c r="I2409" i="3" s="1"/>
  <c r="H2425" i="3"/>
  <c r="I2425" i="3" s="1"/>
  <c r="H2477" i="3"/>
  <c r="I2477" i="3" s="1"/>
  <c r="H615" i="3"/>
  <c r="I615" i="3" s="1"/>
  <c r="H1581" i="3"/>
  <c r="I1581" i="3" s="1"/>
  <c r="H1874" i="3"/>
  <c r="I1874" i="3" s="1"/>
  <c r="H439" i="3"/>
  <c r="I439" i="3" s="1"/>
  <c r="H2118" i="3"/>
  <c r="I2118" i="3" s="1"/>
  <c r="H2326" i="3"/>
  <c r="I2326" i="3" s="1"/>
  <c r="H2450" i="3"/>
  <c r="I2450" i="3" s="1"/>
  <c r="H2458" i="3"/>
  <c r="I2458" i="3" s="1"/>
  <c r="H2482" i="3"/>
  <c r="I2482" i="3" s="1"/>
  <c r="H1818" i="3"/>
  <c r="I1818" i="3" s="1"/>
  <c r="H2126" i="3"/>
  <c r="I2126" i="3" s="1"/>
  <c r="H2222" i="3"/>
  <c r="I2222" i="3" s="1"/>
  <c r="H2470" i="3"/>
  <c r="I2470" i="3" s="1"/>
  <c r="H2621" i="3"/>
  <c r="I2621" i="3" s="1"/>
  <c r="H2813" i="3"/>
  <c r="I2813" i="3" s="1"/>
  <c r="H2817" i="3"/>
  <c r="I2817" i="3" s="1"/>
  <c r="H2662" i="3"/>
  <c r="I2662" i="3" s="1"/>
  <c r="H2706" i="3"/>
  <c r="I2706" i="3" s="1"/>
  <c r="H2822" i="3"/>
  <c r="I2822" i="3" s="1"/>
  <c r="H2850" i="3"/>
  <c r="I2850" i="3" s="1"/>
  <c r="H3226" i="3"/>
  <c r="I3226" i="3" s="1"/>
  <c r="H2879" i="3"/>
  <c r="I2879" i="3" s="1"/>
  <c r="H2999" i="3"/>
  <c r="I2999" i="3" s="1"/>
  <c r="H3043" i="3"/>
  <c r="I3043" i="3" s="1"/>
  <c r="H3099" i="3"/>
  <c r="I3099" i="3" s="1"/>
  <c r="H3123" i="3"/>
  <c r="I3123" i="3" s="1"/>
  <c r="H3159" i="3"/>
  <c r="I3159" i="3" s="1"/>
  <c r="H3207" i="3"/>
  <c r="I3207" i="3" s="1"/>
  <c r="H2609" i="3"/>
  <c r="I2609" i="3" s="1"/>
  <c r="H2968" i="3"/>
  <c r="I2968" i="3" s="1"/>
  <c r="H3052" i="3"/>
  <c r="I3052" i="3" s="1"/>
  <c r="H122" i="3"/>
  <c r="I122" i="3" s="1"/>
  <c r="H262" i="3"/>
  <c r="I262" i="3" s="1"/>
  <c r="H738" i="3"/>
  <c r="I738" i="3" s="1"/>
  <c r="H934" i="3"/>
  <c r="I934" i="3" s="1"/>
  <c r="H1338" i="3"/>
  <c r="I1338" i="3" s="1"/>
  <c r="H1486" i="3"/>
  <c r="I1486" i="3" s="1"/>
  <c r="H1614" i="3"/>
  <c r="I1614" i="3" s="1"/>
  <c r="H460" i="3"/>
  <c r="I460" i="3" s="1"/>
  <c r="H520" i="3"/>
  <c r="I520" i="3" s="1"/>
  <c r="H528" i="3"/>
  <c r="I528" i="3" s="1"/>
  <c r="H604" i="3"/>
  <c r="I604" i="3" s="1"/>
  <c r="H612" i="3"/>
  <c r="I612" i="3" s="1"/>
  <c r="H924" i="3"/>
  <c r="I924" i="3" s="1"/>
  <c r="H1400" i="3"/>
  <c r="I1400" i="3" s="1"/>
  <c r="H1412" i="3"/>
  <c r="I1412" i="3" s="1"/>
  <c r="H1584" i="3"/>
  <c r="I1584" i="3" s="1"/>
  <c r="H1656" i="3"/>
  <c r="I1656" i="3" s="1"/>
  <c r="H33" i="3"/>
  <c r="I33" i="3" s="1"/>
  <c r="H393" i="3"/>
  <c r="I393" i="3" s="1"/>
  <c r="H465" i="3"/>
  <c r="I465" i="3" s="1"/>
  <c r="H537" i="3"/>
  <c r="I537" i="3" s="1"/>
  <c r="H517" i="3"/>
  <c r="I517" i="3" s="1"/>
  <c r="H533" i="3"/>
  <c r="I533" i="3" s="1"/>
  <c r="H589" i="3"/>
  <c r="I589" i="3" s="1"/>
  <c r="H491" i="3"/>
  <c r="I491" i="3" s="1"/>
  <c r="H769" i="3"/>
  <c r="I769" i="3" s="1"/>
  <c r="H447" i="3"/>
  <c r="I447" i="3" s="1"/>
  <c r="H803" i="3"/>
  <c r="I803" i="3" s="1"/>
  <c r="H851" i="3"/>
  <c r="I851" i="3" s="1"/>
  <c r="H907" i="3"/>
  <c r="I907" i="3" s="1"/>
  <c r="H275" i="3"/>
  <c r="I275" i="3" s="1"/>
  <c r="H291" i="3"/>
  <c r="I291" i="3" s="1"/>
  <c r="H451" i="3"/>
  <c r="I451" i="3" s="1"/>
  <c r="H531" i="3"/>
  <c r="I531" i="3" s="1"/>
  <c r="H1133" i="3"/>
  <c r="I1133" i="3" s="1"/>
  <c r="H1197" i="3"/>
  <c r="I1197" i="3" s="1"/>
  <c r="H623" i="3"/>
  <c r="I623" i="3" s="1"/>
  <c r="H943" i="3"/>
  <c r="I943" i="3" s="1"/>
  <c r="H1007" i="3"/>
  <c r="I1007" i="3" s="1"/>
  <c r="H1269" i="3"/>
  <c r="I1269" i="3" s="1"/>
  <c r="H1311" i="3"/>
  <c r="I1311" i="3" s="1"/>
  <c r="H1583" i="3"/>
  <c r="I1583" i="3" s="1"/>
  <c r="H1819" i="3"/>
  <c r="I1819" i="3" s="1"/>
  <c r="H2063" i="3"/>
  <c r="I2063" i="3" s="1"/>
  <c r="H2143" i="3"/>
  <c r="I2143" i="3" s="1"/>
  <c r="H2259" i="3"/>
  <c r="I2259" i="3" s="1"/>
  <c r="H2295" i="3"/>
  <c r="I2295" i="3" s="1"/>
  <c r="H471" i="3"/>
  <c r="I471" i="3" s="1"/>
  <c r="H1417" i="3"/>
  <c r="I1417" i="3" s="1"/>
  <c r="H1553" i="3"/>
  <c r="I1553" i="3" s="1"/>
  <c r="H1684" i="3"/>
  <c r="I1684" i="3" s="1"/>
  <c r="H1728" i="3"/>
  <c r="I1728" i="3" s="1"/>
  <c r="H1780" i="3"/>
  <c r="I1780" i="3" s="1"/>
  <c r="H1856" i="3"/>
  <c r="I1856" i="3" s="1"/>
  <c r="H1924" i="3"/>
  <c r="I1924" i="3" s="1"/>
  <c r="H1936" i="3"/>
  <c r="I1936" i="3" s="1"/>
  <c r="H1988" i="3"/>
  <c r="I1988" i="3" s="1"/>
  <c r="H2100" i="3"/>
  <c r="I2100" i="3" s="1"/>
  <c r="H2220" i="3"/>
  <c r="I2220" i="3" s="1"/>
  <c r="H2312" i="3"/>
  <c r="I2312" i="3" s="1"/>
  <c r="H2396" i="3"/>
  <c r="I2396" i="3" s="1"/>
  <c r="H2400" i="3"/>
  <c r="I2400" i="3" s="1"/>
  <c r="H2432" i="3"/>
  <c r="I2432" i="3" s="1"/>
  <c r="H2584" i="3"/>
  <c r="I2584" i="3" s="1"/>
  <c r="H1379" i="3"/>
  <c r="I1379" i="3" s="1"/>
  <c r="H1733" i="3"/>
  <c r="I1733" i="3" s="1"/>
  <c r="H1801" i="3"/>
  <c r="I1801" i="3" s="1"/>
  <c r="H1889" i="3"/>
  <c r="I1889" i="3" s="1"/>
  <c r="H1953" i="3"/>
  <c r="I1953" i="3" s="1"/>
  <c r="H2109" i="3"/>
  <c r="I2109" i="3" s="1"/>
  <c r="H2413" i="3"/>
  <c r="I2413" i="3" s="1"/>
  <c r="H2417" i="3"/>
  <c r="I2417" i="3" s="1"/>
  <c r="H375" i="3"/>
  <c r="I375" i="3" s="1"/>
  <c r="H775" i="3"/>
  <c r="I775" i="3" s="1"/>
  <c r="H2426" i="3"/>
  <c r="I2426" i="3" s="1"/>
  <c r="H2042" i="3"/>
  <c r="I2042" i="3" s="1"/>
  <c r="H2110" i="3"/>
  <c r="I2110" i="3" s="1"/>
  <c r="H2422" i="3"/>
  <c r="I2422" i="3" s="1"/>
  <c r="H2615" i="3"/>
  <c r="I2615" i="3" s="1"/>
  <c r="H2626" i="3"/>
  <c r="I2626" i="3" s="1"/>
  <c r="H2717" i="3"/>
  <c r="I2717" i="3" s="1"/>
  <c r="H2733" i="3"/>
  <c r="I2733" i="3" s="1"/>
  <c r="H2989" i="3"/>
  <c r="I2989" i="3" s="1"/>
  <c r="H3045" i="3"/>
  <c r="I3045" i="3" s="1"/>
  <c r="H3173" i="3"/>
  <c r="I3173" i="3" s="1"/>
  <c r="H3177" i="3"/>
  <c r="I3177" i="3" s="1"/>
  <c r="H3185" i="3"/>
  <c r="I3185" i="3" s="1"/>
  <c r="H2782" i="3"/>
  <c r="I2782" i="3" s="1"/>
  <c r="H2786" i="3"/>
  <c r="I2786" i="3" s="1"/>
  <c r="H2794" i="3"/>
  <c r="I2794" i="3" s="1"/>
  <c r="H2930" i="3"/>
  <c r="I2930" i="3" s="1"/>
  <c r="H3022" i="3"/>
  <c r="I3022" i="3" s="1"/>
  <c r="H3154" i="3"/>
  <c r="I3154" i="3" s="1"/>
  <c r="H3254" i="3"/>
  <c r="I3254" i="3" s="1"/>
  <c r="H2919" i="3"/>
  <c r="I2919" i="3" s="1"/>
  <c r="H3163" i="3"/>
  <c r="I3163" i="3" s="1"/>
  <c r="H3191" i="3"/>
  <c r="I3191" i="3" s="1"/>
  <c r="H2708" i="3"/>
  <c r="I2708" i="3" s="1"/>
  <c r="H3236" i="3"/>
  <c r="I3236" i="3" s="1"/>
  <c r="H3244" i="3"/>
  <c r="I3244" i="3" s="1"/>
  <c r="H118" i="3"/>
  <c r="I118" i="3" s="1"/>
  <c r="H178" i="3"/>
  <c r="I178" i="3" s="1"/>
  <c r="H202" i="3"/>
  <c r="I202" i="3" s="1"/>
  <c r="H210" i="3"/>
  <c r="I210" i="3" s="1"/>
  <c r="H818" i="3"/>
  <c r="I818" i="3" s="1"/>
  <c r="H970" i="3"/>
  <c r="I970" i="3" s="1"/>
  <c r="H1202" i="3"/>
  <c r="I1202" i="3" s="1"/>
  <c r="H1222" i="3"/>
  <c r="I1222" i="3" s="1"/>
  <c r="H1466" i="3"/>
  <c r="I1466" i="3" s="1"/>
  <c r="H1526" i="3"/>
  <c r="I1526" i="3" s="1"/>
  <c r="H1630" i="3"/>
  <c r="I1630" i="3" s="1"/>
  <c r="H24" i="3"/>
  <c r="I24" i="3" s="1"/>
  <c r="H44" i="3"/>
  <c r="I44" i="3" s="1"/>
  <c r="H108" i="3"/>
  <c r="I108" i="3" s="1"/>
  <c r="H408" i="3"/>
  <c r="I408" i="3" s="1"/>
  <c r="H712" i="3"/>
  <c r="I712" i="3" s="1"/>
  <c r="H716" i="3"/>
  <c r="I716" i="3" s="1"/>
  <c r="H984" i="3"/>
  <c r="I984" i="3" s="1"/>
  <c r="H1360" i="3"/>
  <c r="I1360" i="3" s="1"/>
  <c r="H1428" i="3"/>
  <c r="I1428" i="3" s="1"/>
  <c r="H1468" i="3"/>
  <c r="I1468" i="3" s="1"/>
  <c r="H17" i="3"/>
  <c r="I17" i="3" s="1"/>
  <c r="H73" i="3"/>
  <c r="I73" i="3" s="1"/>
  <c r="H121" i="3"/>
  <c r="I121" i="3" s="1"/>
  <c r="H257" i="3"/>
  <c r="I257" i="3" s="1"/>
  <c r="H457" i="3"/>
  <c r="I457" i="3" s="1"/>
  <c r="H553" i="3"/>
  <c r="I553" i="3" s="1"/>
  <c r="H141" i="3"/>
  <c r="I141" i="3" s="1"/>
  <c r="H379" i="3"/>
  <c r="I379" i="3" s="1"/>
  <c r="H785" i="3"/>
  <c r="I785" i="3" s="1"/>
  <c r="H287" i="3"/>
  <c r="I287" i="3" s="1"/>
  <c r="H739" i="3"/>
  <c r="I739" i="3" s="1"/>
  <c r="H1011" i="3"/>
  <c r="I1011" i="3" s="1"/>
  <c r="H147" i="3"/>
  <c r="I147" i="3" s="1"/>
  <c r="H789" i="3"/>
  <c r="I789" i="3" s="1"/>
  <c r="H877" i="3"/>
  <c r="I877" i="3" s="1"/>
  <c r="H973" i="3"/>
  <c r="I973" i="3" s="1"/>
  <c r="H1559" i="3"/>
  <c r="I1559" i="3" s="1"/>
  <c r="H1715" i="3"/>
  <c r="I1715" i="3" s="1"/>
  <c r="H1795" i="3"/>
  <c r="I1795" i="3" s="1"/>
  <c r="H1891" i="3"/>
  <c r="I1891" i="3" s="1"/>
  <c r="H2015" i="3"/>
  <c r="I2015" i="3" s="1"/>
  <c r="H2183" i="3"/>
  <c r="I2183" i="3" s="1"/>
  <c r="H2363" i="3"/>
  <c r="I2363" i="3" s="1"/>
  <c r="H1143" i="3"/>
  <c r="I1143" i="3" s="1"/>
  <c r="H1297" i="3"/>
  <c r="I1297" i="3" s="1"/>
  <c r="H1633" i="3"/>
  <c r="I1633" i="3" s="1"/>
  <c r="H1744" i="3"/>
  <c r="I1744" i="3" s="1"/>
  <c r="H1752" i="3"/>
  <c r="I1752" i="3" s="1"/>
  <c r="H2028" i="3"/>
  <c r="I2028" i="3" s="1"/>
  <c r="H2056" i="3"/>
  <c r="I2056" i="3" s="1"/>
  <c r="H2244" i="3"/>
  <c r="I2244" i="3" s="1"/>
  <c r="H2288" i="3"/>
  <c r="I2288" i="3" s="1"/>
  <c r="H2436" i="3"/>
  <c r="I2436" i="3" s="1"/>
  <c r="H703" i="3"/>
  <c r="I703" i="3" s="1"/>
  <c r="H1403" i="3"/>
  <c r="I1403" i="3" s="1"/>
  <c r="H1677" i="3"/>
  <c r="I1677" i="3" s="1"/>
  <c r="H1721" i="3"/>
  <c r="I1721" i="3" s="1"/>
  <c r="H1885" i="3"/>
  <c r="I1885" i="3" s="1"/>
  <c r="H2213" i="3"/>
  <c r="I2213" i="3" s="1"/>
  <c r="H2146" i="3"/>
  <c r="I2146" i="3" s="1"/>
  <c r="H1493" i="3"/>
  <c r="I1493" i="3" s="1"/>
  <c r="H1702" i="3"/>
  <c r="I1702" i="3" s="1"/>
  <c r="H2342" i="3"/>
  <c r="I2342" i="3" s="1"/>
  <c r="H2434" i="3"/>
  <c r="I2434" i="3" s="1"/>
  <c r="H2526" i="3"/>
  <c r="I2526" i="3" s="1"/>
  <c r="H2546" i="3"/>
  <c r="I2546" i="3" s="1"/>
  <c r="H2642" i="3"/>
  <c r="I2642" i="3" s="1"/>
  <c r="H2881" i="3"/>
  <c r="I2881" i="3" s="1"/>
  <c r="H2997" i="3"/>
  <c r="I2997" i="3" s="1"/>
  <c r="H3137" i="3"/>
  <c r="I3137" i="3" s="1"/>
  <c r="H3205" i="3"/>
  <c r="I3205" i="3" s="1"/>
  <c r="H2670" i="3"/>
  <c r="I2670" i="3" s="1"/>
  <c r="H2650" i="3"/>
  <c r="I2650" i="3" s="1"/>
  <c r="H2707" i="3"/>
  <c r="I2707" i="3" s="1"/>
  <c r="H2843" i="3"/>
  <c r="I2843" i="3" s="1"/>
  <c r="H3059" i="3"/>
  <c r="I3059" i="3" s="1"/>
  <c r="H3083" i="3"/>
  <c r="I3083" i="3" s="1"/>
  <c r="H3119" i="3"/>
  <c r="I3119" i="3" s="1"/>
  <c r="H2575" i="3"/>
  <c r="I2575" i="3" s="1"/>
  <c r="H2614" i="3"/>
  <c r="I2614" i="3" s="1"/>
  <c r="H2684" i="3"/>
  <c r="I2684" i="3" s="1"/>
  <c r="H2716" i="3"/>
  <c r="I2716" i="3" s="1"/>
  <c r="H2724" i="3"/>
  <c r="I2724" i="3" s="1"/>
  <c r="H2740" i="3"/>
  <c r="I2740" i="3" s="1"/>
  <c r="H2884" i="3"/>
  <c r="I2884" i="3" s="1"/>
  <c r="H2976" i="3"/>
  <c r="I2976" i="3" s="1"/>
  <c r="H10" i="3"/>
  <c r="I10" i="3" s="1"/>
  <c r="H106" i="3"/>
  <c r="I106" i="3" s="1"/>
  <c r="H114" i="3"/>
  <c r="I114" i="3" s="1"/>
  <c r="H266" i="3"/>
  <c r="I266" i="3" s="1"/>
  <c r="H362" i="3"/>
  <c r="I362" i="3" s="1"/>
  <c r="H378" i="3"/>
  <c r="I378" i="3" s="1"/>
  <c r="H382" i="3"/>
  <c r="I382" i="3" s="1"/>
  <c r="H386" i="3"/>
  <c r="I386" i="3" s="1"/>
  <c r="H426" i="3"/>
  <c r="I426" i="3" s="1"/>
  <c r="H438" i="3"/>
  <c r="I438" i="3" s="1"/>
  <c r="H482" i="3"/>
  <c r="I482" i="3" s="1"/>
  <c r="H614" i="3"/>
  <c r="I614" i="3" s="1"/>
  <c r="H666" i="3"/>
  <c r="I666" i="3" s="1"/>
  <c r="H1438" i="3"/>
  <c r="I1438" i="3" s="1"/>
  <c r="H1474" i="3"/>
  <c r="I1474" i="3" s="1"/>
  <c r="H1502" i="3"/>
  <c r="I1502" i="3" s="1"/>
  <c r="H1530" i="3"/>
  <c r="I1530" i="3" s="1"/>
  <c r="H1558" i="3"/>
  <c r="I1558" i="3" s="1"/>
  <c r="H132" i="3"/>
  <c r="I132" i="3" s="1"/>
  <c r="H204" i="3"/>
  <c r="I204" i="3" s="1"/>
  <c r="H616" i="3"/>
  <c r="I616" i="3" s="1"/>
  <c r="H628" i="3"/>
  <c r="I628" i="3" s="1"/>
  <c r="H684" i="3"/>
  <c r="I684" i="3" s="1"/>
  <c r="H692" i="3"/>
  <c r="I692" i="3" s="1"/>
  <c r="H860" i="3"/>
  <c r="I860" i="3" s="1"/>
  <c r="H868" i="3"/>
  <c r="I868" i="3" s="1"/>
  <c r="H888" i="3"/>
  <c r="I888" i="3" s="1"/>
  <c r="H1168" i="3"/>
  <c r="I1168" i="3" s="1"/>
  <c r="H1172" i="3"/>
  <c r="I1172" i="3" s="1"/>
  <c r="H1312" i="3"/>
  <c r="I1312" i="3" s="1"/>
  <c r="H1432" i="3"/>
  <c r="I1432" i="3" s="1"/>
  <c r="H1616" i="3"/>
  <c r="I1616" i="3" s="1"/>
  <c r="H313" i="3"/>
  <c r="I313" i="3" s="1"/>
  <c r="H409" i="3"/>
  <c r="I409" i="3" s="1"/>
  <c r="H29" i="3"/>
  <c r="I29" i="3" s="1"/>
  <c r="H269" i="3"/>
  <c r="I269" i="3" s="1"/>
  <c r="H413" i="3"/>
  <c r="I413" i="3" s="1"/>
  <c r="H453" i="3"/>
  <c r="I453" i="3" s="1"/>
  <c r="H469" i="3"/>
  <c r="I469" i="3" s="1"/>
  <c r="H347" i="3"/>
  <c r="I347" i="3" s="1"/>
  <c r="H459" i="3"/>
  <c r="I459" i="3" s="1"/>
  <c r="H507" i="3"/>
  <c r="I507" i="3" s="1"/>
  <c r="H697" i="3"/>
  <c r="I697" i="3" s="1"/>
  <c r="H1065" i="3"/>
  <c r="I1065" i="3" s="1"/>
  <c r="H463" i="3"/>
  <c r="I463" i="3" s="1"/>
  <c r="H979" i="3"/>
  <c r="I979" i="3" s="1"/>
  <c r="H467" i="3"/>
  <c r="I467" i="3" s="1"/>
  <c r="H579" i="3"/>
  <c r="I579" i="3" s="1"/>
  <c r="H199" i="3"/>
  <c r="I199" i="3" s="1"/>
  <c r="H519" i="3"/>
  <c r="I519" i="3" s="1"/>
  <c r="H1295" i="3"/>
  <c r="I1295" i="3" s="1"/>
  <c r="H1479" i="3"/>
  <c r="I1479" i="3" s="1"/>
  <c r="H1703" i="3"/>
  <c r="I1703" i="3" s="1"/>
  <c r="H1999" i="3"/>
  <c r="I1999" i="3" s="1"/>
  <c r="H2043" i="3"/>
  <c r="I2043" i="3" s="1"/>
  <c r="H2207" i="3"/>
  <c r="I2207" i="3" s="1"/>
  <c r="H2243" i="3"/>
  <c r="I2243" i="3" s="1"/>
  <c r="H727" i="3"/>
  <c r="I727" i="3" s="1"/>
  <c r="H1369" i="3"/>
  <c r="I1369" i="3" s="1"/>
  <c r="H1489" i="3"/>
  <c r="I1489" i="3" s="1"/>
  <c r="H1545" i="3"/>
  <c r="I1545" i="3" s="1"/>
  <c r="H1661" i="3"/>
  <c r="I1661" i="3" s="1"/>
  <c r="H1764" i="3"/>
  <c r="I1764" i="3" s="1"/>
  <c r="H1816" i="3"/>
  <c r="I1816" i="3" s="1"/>
  <c r="H1944" i="3"/>
  <c r="I1944" i="3" s="1"/>
  <c r="H2152" i="3"/>
  <c r="I2152" i="3" s="1"/>
  <c r="H2168" i="3"/>
  <c r="I2168" i="3" s="1"/>
  <c r="H2172" i="3"/>
  <c r="I2172" i="3" s="1"/>
  <c r="H2212" i="3"/>
  <c r="I2212" i="3" s="1"/>
  <c r="H2376" i="3"/>
  <c r="I2376" i="3" s="1"/>
  <c r="H2380" i="3"/>
  <c r="I2380" i="3" s="1"/>
  <c r="H2392" i="3"/>
  <c r="I2392" i="3" s="1"/>
  <c r="H2504" i="3"/>
  <c r="I2504" i="3" s="1"/>
  <c r="H2520" i="3"/>
  <c r="I2520" i="3" s="1"/>
  <c r="H2612" i="3"/>
  <c r="I2612" i="3" s="1"/>
  <c r="H1555" i="3"/>
  <c r="I1555" i="3" s="1"/>
  <c r="H1809" i="3"/>
  <c r="I1809" i="3" s="1"/>
  <c r="H1829" i="3"/>
  <c r="I1829" i="3" s="1"/>
  <c r="H1985" i="3"/>
  <c r="I1985" i="3" s="1"/>
  <c r="H1993" i="3"/>
  <c r="I1993" i="3" s="1"/>
  <c r="H2061" i="3"/>
  <c r="I2061" i="3" s="1"/>
  <c r="H2081" i="3"/>
  <c r="I2081" i="3" s="1"/>
  <c r="H2245" i="3"/>
  <c r="I2245" i="3" s="1"/>
  <c r="H2249" i="3"/>
  <c r="I2249" i="3" s="1"/>
  <c r="H2265" i="3"/>
  <c r="I2265" i="3" s="1"/>
  <c r="H2377" i="3"/>
  <c r="I2377" i="3" s="1"/>
  <c r="H2389" i="3"/>
  <c r="I2389" i="3" s="1"/>
  <c r="H2503" i="3"/>
  <c r="I2503" i="3" s="1"/>
  <c r="H1834" i="3"/>
  <c r="I1834" i="3" s="1"/>
  <c r="H1930" i="3"/>
  <c r="I1930" i="3" s="1"/>
  <c r="H2186" i="3"/>
  <c r="I2186" i="3" s="1"/>
  <c r="H2282" i="3"/>
  <c r="I2282" i="3" s="1"/>
  <c r="H2362" i="3"/>
  <c r="I2362" i="3" s="1"/>
  <c r="H1694" i="3"/>
  <c r="I1694" i="3" s="1"/>
  <c r="H1806" i="3"/>
  <c r="I1806" i="3" s="1"/>
  <c r="H2446" i="3"/>
  <c r="I2446" i="3" s="1"/>
  <c r="H2554" i="3"/>
  <c r="I2554" i="3" s="1"/>
  <c r="H2845" i="3"/>
  <c r="I2845" i="3" s="1"/>
  <c r="H2869" i="3"/>
  <c r="I2869" i="3" s="1"/>
  <c r="H2893" i="3"/>
  <c r="I2893" i="3" s="1"/>
  <c r="H2953" i="3"/>
  <c r="I2953" i="3" s="1"/>
  <c r="H3049" i="3"/>
  <c r="I3049" i="3" s="1"/>
  <c r="H3105" i="3"/>
  <c r="I3105" i="3" s="1"/>
  <c r="H3161" i="3"/>
  <c r="I3161" i="3" s="1"/>
  <c r="H3213" i="3"/>
  <c r="I3213" i="3" s="1"/>
  <c r="H2538" i="3"/>
  <c r="I2538" i="3" s="1"/>
  <c r="H2571" i="3"/>
  <c r="I2571" i="3" s="1"/>
  <c r="H2766" i="3"/>
  <c r="I2766" i="3" s="1"/>
  <c r="H2770" i="3"/>
  <c r="I2770" i="3" s="1"/>
  <c r="H2838" i="3"/>
  <c r="I2838" i="3" s="1"/>
  <c r="H2858" i="3"/>
  <c r="I2858" i="3" s="1"/>
  <c r="H2938" i="3"/>
  <c r="I2938" i="3" s="1"/>
  <c r="H2550" i="3"/>
  <c r="I2550" i="3" s="1"/>
  <c r="H2597" i="3"/>
  <c r="I2597" i="3" s="1"/>
  <c r="H2602" i="3"/>
  <c r="I2602" i="3" s="1"/>
  <c r="H2629" i="3"/>
  <c r="I2629" i="3" s="1"/>
  <c r="H2723" i="3"/>
  <c r="I2723" i="3" s="1"/>
  <c r="H2823" i="3"/>
  <c r="I2823" i="3" s="1"/>
  <c r="H2939" i="3"/>
  <c r="I2939" i="3" s="1"/>
  <c r="H3051" i="3"/>
  <c r="I3051" i="3" s="1"/>
  <c r="H3127" i="3"/>
  <c r="I3127" i="3" s="1"/>
  <c r="H3175" i="3"/>
  <c r="I3175" i="3" s="1"/>
  <c r="H2672" i="3"/>
  <c r="I2672" i="3" s="1"/>
  <c r="H2676" i="3"/>
  <c r="I2676" i="3" s="1"/>
  <c r="H2732" i="3"/>
  <c r="I2732" i="3" s="1"/>
  <c r="H2852" i="3"/>
  <c r="I2852" i="3" s="1"/>
  <c r="H2860" i="3"/>
  <c r="I2860" i="3" s="1"/>
  <c r="H2960" i="3"/>
  <c r="I2960" i="3" s="1"/>
  <c r="H3032" i="3"/>
  <c r="I3032" i="3" s="1"/>
  <c r="H58" i="3"/>
  <c r="I58" i="3" s="1"/>
  <c r="H70" i="3"/>
  <c r="I70" i="3" s="1"/>
  <c r="H166" i="3"/>
  <c r="I166" i="3" s="1"/>
  <c r="H194" i="3"/>
  <c r="I194" i="3" s="1"/>
  <c r="H298" i="3"/>
  <c r="I298" i="3" s="1"/>
  <c r="H458" i="3"/>
  <c r="I458" i="3" s="1"/>
  <c r="H578" i="3"/>
  <c r="I578" i="3" s="1"/>
  <c r="H690" i="3"/>
  <c r="I690" i="3" s="1"/>
  <c r="H714" i="3"/>
  <c r="I714" i="3" s="1"/>
  <c r="H726" i="3"/>
  <c r="I726" i="3" s="1"/>
  <c r="H790" i="3"/>
  <c r="I790" i="3" s="1"/>
  <c r="H862" i="3"/>
  <c r="I862" i="3" s="1"/>
  <c r="H902" i="3"/>
  <c r="I902" i="3" s="1"/>
  <c r="H1302" i="3"/>
  <c r="I1302" i="3" s="1"/>
  <c r="H1602" i="3"/>
  <c r="I1602" i="3" s="1"/>
  <c r="H52" i="3"/>
  <c r="I52" i="3" s="1"/>
  <c r="H128" i="3"/>
  <c r="I128" i="3" s="1"/>
  <c r="H328" i="3"/>
  <c r="I328" i="3" s="1"/>
  <c r="H444" i="3"/>
  <c r="I444" i="3" s="1"/>
  <c r="H552" i="3"/>
  <c r="I552" i="3" s="1"/>
  <c r="H556" i="3"/>
  <c r="I556" i="3" s="1"/>
  <c r="H640" i="3"/>
  <c r="I640" i="3" s="1"/>
  <c r="H880" i="3"/>
  <c r="I880" i="3" s="1"/>
  <c r="H980" i="3"/>
  <c r="I980" i="3" s="1"/>
  <c r="H1028" i="3"/>
  <c r="I1028" i="3" s="1"/>
  <c r="H1032" i="3"/>
  <c r="I1032" i="3" s="1"/>
  <c r="H1044" i="3"/>
  <c r="I1044" i="3" s="1"/>
  <c r="H1268" i="3"/>
  <c r="I1268" i="3" s="1"/>
  <c r="H1388" i="3"/>
  <c r="I1388" i="3" s="1"/>
  <c r="H1404" i="3"/>
  <c r="I1404" i="3" s="1"/>
  <c r="H1572" i="3"/>
  <c r="I1572" i="3" s="1"/>
  <c r="H145" i="3"/>
  <c r="I145" i="3" s="1"/>
  <c r="H185" i="3"/>
  <c r="I185" i="3" s="1"/>
  <c r="H441" i="3"/>
  <c r="I441" i="3" s="1"/>
  <c r="H133" i="3"/>
  <c r="I133" i="3" s="1"/>
  <c r="H213" i="3"/>
  <c r="I213" i="3" s="1"/>
  <c r="H493" i="3"/>
  <c r="I493" i="3" s="1"/>
  <c r="H581" i="3"/>
  <c r="I581" i="3" s="1"/>
  <c r="H11" i="3"/>
  <c r="I11" i="3" s="1"/>
  <c r="H139" i="3"/>
  <c r="I139" i="3" s="1"/>
  <c r="H415" i="3"/>
  <c r="I415" i="3" s="1"/>
  <c r="H479" i="3"/>
  <c r="I479" i="3" s="1"/>
  <c r="H683" i="3"/>
  <c r="I683" i="3" s="1"/>
  <c r="H925" i="3"/>
  <c r="I925" i="3" s="1"/>
  <c r="H1109" i="3"/>
  <c r="I1109" i="3" s="1"/>
  <c r="H1343" i="3"/>
  <c r="I1343" i="3" s="1"/>
  <c r="H1527" i="3"/>
  <c r="I1527" i="3" s="1"/>
  <c r="H1823" i="3"/>
  <c r="I1823" i="3" s="1"/>
  <c r="H1919" i="3"/>
  <c r="I1919" i="3" s="1"/>
  <c r="H2159" i="3"/>
  <c r="I2159" i="3" s="1"/>
  <c r="H2167" i="3"/>
  <c r="I2167" i="3" s="1"/>
  <c r="H2223" i="3"/>
  <c r="I2223" i="3" s="1"/>
  <c r="H2263" i="3"/>
  <c r="I2263" i="3" s="1"/>
  <c r="H343" i="3"/>
  <c r="I343" i="3" s="1"/>
  <c r="H1377" i="3"/>
  <c r="I1377" i="3" s="1"/>
  <c r="H2060" i="3"/>
  <c r="I2060" i="3" s="1"/>
  <c r="H2280" i="3"/>
  <c r="I2280" i="3" s="1"/>
  <c r="H2296" i="3"/>
  <c r="I2296" i="3" s="1"/>
  <c r="H2324" i="3"/>
  <c r="I2324" i="3" s="1"/>
  <c r="H2444" i="3"/>
  <c r="I2444" i="3" s="1"/>
  <c r="H2540" i="3"/>
  <c r="I2540" i="3" s="1"/>
  <c r="H2552" i="3"/>
  <c r="I2552" i="3" s="1"/>
  <c r="H2596" i="3"/>
  <c r="I2596" i="3" s="1"/>
  <c r="H1055" i="3"/>
  <c r="I1055" i="3" s="1"/>
  <c r="H1587" i="3"/>
  <c r="I1587" i="3" s="1"/>
  <c r="H1595" i="3"/>
  <c r="I1595" i="3" s="1"/>
  <c r="H1619" i="3"/>
  <c r="I1619" i="3" s="1"/>
  <c r="H1651" i="3"/>
  <c r="I1651" i="3" s="1"/>
  <c r="H1857" i="3"/>
  <c r="I1857" i="3" s="1"/>
  <c r="H1893" i="3"/>
  <c r="I1893" i="3" s="1"/>
  <c r="H1941" i="3"/>
  <c r="I1941" i="3" s="1"/>
  <c r="H1961" i="3"/>
  <c r="I1961" i="3" s="1"/>
  <c r="H1965" i="3"/>
  <c r="I1965" i="3" s="1"/>
  <c r="H2001" i="3"/>
  <c r="I2001" i="3" s="1"/>
  <c r="H2197" i="3"/>
  <c r="I2197" i="3" s="1"/>
  <c r="H2365" i="3"/>
  <c r="I2365" i="3" s="1"/>
  <c r="H2393" i="3"/>
  <c r="I2393" i="3" s="1"/>
  <c r="H2509" i="3"/>
  <c r="I2509" i="3" s="1"/>
  <c r="H247" i="3"/>
  <c r="I247" i="3" s="1"/>
  <c r="H1938" i="3"/>
  <c r="I1938" i="3" s="1"/>
  <c r="H1954" i="3"/>
  <c r="I1954" i="3" s="1"/>
  <c r="H2050" i="3"/>
  <c r="I2050" i="3" s="1"/>
  <c r="H2246" i="3"/>
  <c r="I2246" i="3" s="1"/>
  <c r="H1437" i="3"/>
  <c r="I1437" i="3" s="1"/>
  <c r="H1882" i="3"/>
  <c r="I1882" i="3" s="1"/>
  <c r="H1445" i="3"/>
  <c r="I1445" i="3" s="1"/>
  <c r="H2030" i="3"/>
  <c r="I2030" i="3" s="1"/>
  <c r="H2206" i="3"/>
  <c r="I2206" i="3" s="1"/>
  <c r="H2478" i="3"/>
  <c r="I2478" i="3" s="1"/>
  <c r="H2570" i="3"/>
  <c r="I2570" i="3" s="1"/>
  <c r="H2578" i="3"/>
  <c r="I2578" i="3" s="1"/>
  <c r="H2685" i="3"/>
  <c r="I2685" i="3" s="1"/>
  <c r="H2821" i="3"/>
  <c r="I2821" i="3" s="1"/>
  <c r="H2874" i="3"/>
  <c r="I2874" i="3" s="1"/>
  <c r="H2970" i="3"/>
  <c r="I2970" i="3" s="1"/>
  <c r="H2667" i="3"/>
  <c r="I2667" i="3" s="1"/>
  <c r="H2687" i="3"/>
  <c r="I2687" i="3" s="1"/>
  <c r="H2715" i="3"/>
  <c r="I2715" i="3" s="1"/>
  <c r="H2771" i="3"/>
  <c r="I2771" i="3" s="1"/>
  <c r="H3007" i="3"/>
  <c r="I3007" i="3" s="1"/>
  <c r="H2660" i="3"/>
  <c r="I2660" i="3" s="1"/>
  <c r="H2844" i="3"/>
  <c r="I2844" i="3" s="1"/>
  <c r="H2868" i="3"/>
  <c r="I2868" i="3" s="1"/>
  <c r="H3040" i="3"/>
  <c r="I3040" i="3" s="1"/>
  <c r="H3220" i="3"/>
  <c r="I3220" i="3" s="1"/>
  <c r="H3232" i="3"/>
  <c r="I3232" i="3" s="1"/>
  <c r="H134" i="3"/>
  <c r="I134" i="3" s="1"/>
  <c r="H150" i="3"/>
  <c r="I150" i="3" s="1"/>
  <c r="H206" i="3"/>
  <c r="I206" i="3" s="1"/>
  <c r="H318" i="3"/>
  <c r="I318" i="3" s="1"/>
  <c r="H342" i="3"/>
  <c r="I342" i="3" s="1"/>
  <c r="H430" i="3"/>
  <c r="I430" i="3" s="1"/>
  <c r="H994" i="3"/>
  <c r="I994" i="3" s="1"/>
  <c r="H1030" i="3"/>
  <c r="I1030" i="3" s="1"/>
  <c r="H1122" i="3"/>
  <c r="I1122" i="3" s="1"/>
  <c r="H1186" i="3"/>
  <c r="I1186" i="3" s="1"/>
  <c r="H1246" i="3"/>
  <c r="I1246" i="3" s="1"/>
  <c r="H1586" i="3"/>
  <c r="I1586" i="3" s="1"/>
  <c r="H12" i="3"/>
  <c r="I12" i="3" s="1"/>
  <c r="H144" i="3"/>
  <c r="I144" i="3" s="1"/>
  <c r="H216" i="3"/>
  <c r="I216" i="3" s="1"/>
  <c r="H352" i="3"/>
  <c r="I352" i="3" s="1"/>
  <c r="H620" i="3"/>
  <c r="I620" i="3" s="1"/>
  <c r="H788" i="3"/>
  <c r="I788" i="3" s="1"/>
  <c r="H844" i="3"/>
  <c r="I844" i="3" s="1"/>
  <c r="H960" i="3"/>
  <c r="I960" i="3" s="1"/>
  <c r="H968" i="3"/>
  <c r="I968" i="3" s="1"/>
  <c r="H1060" i="3"/>
  <c r="I1060" i="3" s="1"/>
  <c r="H1104" i="3"/>
  <c r="I1104" i="3" s="1"/>
  <c r="H57" i="3"/>
  <c r="I57" i="3" s="1"/>
  <c r="H177" i="3"/>
  <c r="I177" i="3" s="1"/>
  <c r="H201" i="3"/>
  <c r="I201" i="3" s="1"/>
  <c r="H209" i="3"/>
  <c r="I209" i="3" s="1"/>
  <c r="H369" i="3"/>
  <c r="I369" i="3" s="1"/>
  <c r="H221" i="3"/>
  <c r="I221" i="3" s="1"/>
  <c r="H171" i="3"/>
  <c r="I171" i="3" s="1"/>
  <c r="H411" i="3"/>
  <c r="I411" i="3" s="1"/>
  <c r="H753" i="3"/>
  <c r="I753" i="3" s="1"/>
  <c r="H175" i="3"/>
  <c r="I175" i="3" s="1"/>
  <c r="H947" i="3"/>
  <c r="I947" i="3" s="1"/>
  <c r="H963" i="3"/>
  <c r="I963" i="3" s="1"/>
  <c r="H1067" i="3"/>
  <c r="I1067" i="3" s="1"/>
  <c r="H83" i="3"/>
  <c r="I83" i="3" s="1"/>
  <c r="H355" i="3"/>
  <c r="I355" i="3" s="1"/>
  <c r="H515" i="3"/>
  <c r="I515" i="3" s="1"/>
  <c r="H733" i="3"/>
  <c r="I733" i="3" s="1"/>
  <c r="H1181" i="3"/>
  <c r="I1181" i="3" s="1"/>
  <c r="H1205" i="3"/>
  <c r="I1205" i="3" s="1"/>
  <c r="H455" i="3"/>
  <c r="I455" i="3" s="1"/>
  <c r="H1727" i="3"/>
  <c r="I1727" i="3" s="1"/>
  <c r="H1747" i="3"/>
  <c r="I1747" i="3" s="1"/>
  <c r="H1935" i="3"/>
  <c r="I1935" i="3" s="1"/>
  <c r="H2055" i="3"/>
  <c r="I2055" i="3" s="1"/>
  <c r="H2151" i="3"/>
  <c r="I2151" i="3" s="1"/>
  <c r="H2275" i="3"/>
  <c r="I2275" i="3" s="1"/>
  <c r="H759" i="3"/>
  <c r="I759" i="3" s="1"/>
  <c r="H1401" i="3"/>
  <c r="I1401" i="3" s="1"/>
  <c r="H1732" i="3"/>
  <c r="I1732" i="3" s="1"/>
  <c r="H1796" i="3"/>
  <c r="I1796" i="3" s="1"/>
  <c r="H1812" i="3"/>
  <c r="I1812" i="3" s="1"/>
  <c r="H1828" i="3"/>
  <c r="I1828" i="3" s="1"/>
  <c r="H1932" i="3"/>
  <c r="I1932" i="3" s="1"/>
  <c r="H2340" i="3"/>
  <c r="I2340" i="3" s="1"/>
  <c r="H2352" i="3"/>
  <c r="I2352" i="3" s="1"/>
  <c r="H2604" i="3"/>
  <c r="I2604" i="3" s="1"/>
  <c r="H735" i="3"/>
  <c r="I735" i="3" s="1"/>
  <c r="H1475" i="3"/>
  <c r="I1475" i="3" s="1"/>
  <c r="H1685" i="3"/>
  <c r="I1685" i="3" s="1"/>
  <c r="H1737" i="3"/>
  <c r="I1737" i="3" s="1"/>
  <c r="H1749" i="3"/>
  <c r="I1749" i="3" s="1"/>
  <c r="H1769" i="3"/>
  <c r="I1769" i="3" s="1"/>
  <c r="H1937" i="3"/>
  <c r="I1937" i="3" s="1"/>
  <c r="H2017" i="3"/>
  <c r="I2017" i="3" s="1"/>
  <c r="H2077" i="3"/>
  <c r="I2077" i="3" s="1"/>
  <c r="H2113" i="3"/>
  <c r="I2113" i="3" s="1"/>
  <c r="H2185" i="3"/>
  <c r="I2185" i="3" s="1"/>
  <c r="H2557" i="3"/>
  <c r="I2557" i="3" s="1"/>
  <c r="H1613" i="3"/>
  <c r="I1613" i="3" s="1"/>
  <c r="H1890" i="3"/>
  <c r="I1890" i="3" s="1"/>
  <c r="H2066" i="3"/>
  <c r="I2066" i="3" s="1"/>
  <c r="H2519" i="3"/>
  <c r="I2519" i="3" s="1"/>
  <c r="H1397" i="3"/>
  <c r="I1397" i="3" s="1"/>
  <c r="H1894" i="3"/>
  <c r="I1894" i="3" s="1"/>
  <c r="H1974" i="3"/>
  <c r="I1974" i="3" s="1"/>
  <c r="H2230" i="3"/>
  <c r="I2230" i="3" s="1"/>
  <c r="H2358" i="3"/>
  <c r="I2358" i="3" s="1"/>
  <c r="H1690" i="3"/>
  <c r="I1690" i="3" s="1"/>
  <c r="H2154" i="3"/>
  <c r="I2154" i="3" s="1"/>
  <c r="H2202" i="3"/>
  <c r="I2202" i="3" s="1"/>
  <c r="H2046" i="3"/>
  <c r="I2046" i="3" s="1"/>
  <c r="H2502" i="3"/>
  <c r="I2502" i="3" s="1"/>
  <c r="H2897" i="3"/>
  <c r="I2897" i="3" s="1"/>
  <c r="H3181" i="3"/>
  <c r="I3181" i="3" s="1"/>
  <c r="H3058" i="3"/>
  <c r="I3058" i="3" s="1"/>
  <c r="H3082" i="3"/>
  <c r="I3082" i="3" s="1"/>
  <c r="H3150" i="3"/>
  <c r="I3150" i="3" s="1"/>
  <c r="H3222" i="3"/>
  <c r="I3222" i="3" s="1"/>
  <c r="H2566" i="3"/>
  <c r="I2566" i="3" s="1"/>
  <c r="H2582" i="3"/>
  <c r="I2582" i="3" s="1"/>
  <c r="H2883" i="3"/>
  <c r="I2883" i="3" s="1"/>
  <c r="H3131" i="3"/>
  <c r="I3131" i="3" s="1"/>
  <c r="H3187" i="3"/>
  <c r="I3187" i="3" s="1"/>
  <c r="H2772" i="3"/>
  <c r="I2772" i="3" s="1"/>
  <c r="H2936" i="3"/>
  <c r="I2936" i="3" s="1"/>
  <c r="H3092" i="3"/>
  <c r="I3092" i="3" s="1"/>
  <c r="H3136" i="3"/>
  <c r="I3136" i="3" s="1"/>
  <c r="H3184" i="3"/>
  <c r="I3184" i="3" s="1"/>
  <c r="H138" i="3"/>
  <c r="I138" i="3" s="1"/>
  <c r="H406" i="3"/>
  <c r="I406" i="3" s="1"/>
  <c r="H470" i="3"/>
  <c r="I470" i="3" s="1"/>
  <c r="H546" i="3"/>
  <c r="I546" i="3" s="1"/>
  <c r="H558" i="3"/>
  <c r="I558" i="3" s="1"/>
  <c r="H570" i="3"/>
  <c r="I570" i="3" s="1"/>
  <c r="H582" i="3"/>
  <c r="I582" i="3" s="1"/>
  <c r="H590" i="3"/>
  <c r="I590" i="3" s="1"/>
  <c r="H618" i="3"/>
  <c r="I618" i="3" s="1"/>
  <c r="H634" i="3"/>
  <c r="I634" i="3" s="1"/>
  <c r="H694" i="3"/>
  <c r="I694" i="3" s="1"/>
  <c r="H710" i="3"/>
  <c r="I710" i="3" s="1"/>
  <c r="H786" i="3"/>
  <c r="I786" i="3" s="1"/>
  <c r="H842" i="3"/>
  <c r="I842" i="3" s="1"/>
  <c r="H918" i="3"/>
  <c r="I918" i="3" s="1"/>
  <c r="H1150" i="3"/>
  <c r="I1150" i="3" s="1"/>
  <c r="H1230" i="3"/>
  <c r="I1230" i="3" s="1"/>
  <c r="H1274" i="3"/>
  <c r="I1274" i="3" s="1"/>
  <c r="H1430" i="3"/>
  <c r="I1430" i="3" s="1"/>
  <c r="H1538" i="3"/>
  <c r="I1538" i="3" s="1"/>
  <c r="H1578" i="3"/>
  <c r="I1578" i="3" s="1"/>
  <c r="H8" i="3"/>
  <c r="I8" i="3" s="1"/>
  <c r="H100" i="3"/>
  <c r="I100" i="3" s="1"/>
  <c r="H116" i="3"/>
  <c r="I116" i="3" s="1"/>
  <c r="H172" i="3"/>
  <c r="I172" i="3" s="1"/>
  <c r="H228" i="3"/>
  <c r="I228" i="3" s="1"/>
  <c r="H232" i="3"/>
  <c r="I232" i="3" s="1"/>
  <c r="H248" i="3"/>
  <c r="I248" i="3" s="1"/>
  <c r="H276" i="3"/>
  <c r="I276" i="3" s="1"/>
  <c r="H292" i="3"/>
  <c r="I292" i="3" s="1"/>
  <c r="H332" i="3"/>
  <c r="I332" i="3" s="1"/>
  <c r="H376" i="3"/>
  <c r="I376" i="3" s="1"/>
  <c r="H380" i="3"/>
  <c r="I380" i="3" s="1"/>
  <c r="H416" i="3"/>
  <c r="I416" i="3" s="1"/>
  <c r="H524" i="3"/>
  <c r="I524" i="3" s="1"/>
  <c r="H648" i="3"/>
  <c r="I648" i="3" s="1"/>
  <c r="H704" i="3"/>
  <c r="I704" i="3" s="1"/>
  <c r="H760" i="3"/>
  <c r="I760" i="3" s="1"/>
  <c r="H824" i="3"/>
  <c r="I824" i="3" s="1"/>
  <c r="H988" i="3"/>
  <c r="I988" i="3" s="1"/>
  <c r="H1072" i="3"/>
  <c r="I1072" i="3" s="1"/>
  <c r="H1076" i="3"/>
  <c r="I1076" i="3" s="1"/>
  <c r="H1152" i="3"/>
  <c r="I1152" i="3" s="1"/>
  <c r="H1192" i="3"/>
  <c r="I1192" i="3" s="1"/>
  <c r="H1528" i="3"/>
  <c r="I1528" i="3" s="1"/>
  <c r="H1552" i="3"/>
  <c r="I1552" i="3" s="1"/>
  <c r="H1604" i="3"/>
  <c r="I1604" i="3" s="1"/>
  <c r="H1652" i="3"/>
  <c r="I1652" i="3" s="1"/>
  <c r="H249" i="3"/>
  <c r="I249" i="3" s="1"/>
  <c r="H473" i="3"/>
  <c r="I473" i="3" s="1"/>
  <c r="H357" i="3"/>
  <c r="I357" i="3" s="1"/>
  <c r="H525" i="3"/>
  <c r="I525" i="3" s="1"/>
  <c r="H123" i="3"/>
  <c r="I123" i="3" s="1"/>
  <c r="H203" i="3"/>
  <c r="I203" i="3" s="1"/>
  <c r="H235" i="3"/>
  <c r="I235" i="3" s="1"/>
  <c r="H809" i="3"/>
  <c r="I809" i="3" s="1"/>
  <c r="H873" i="3"/>
  <c r="I873" i="3" s="1"/>
  <c r="H1001" i="3"/>
  <c r="I1001" i="3" s="1"/>
  <c r="H1049" i="3"/>
  <c r="I1049" i="3" s="1"/>
  <c r="H1145" i="3"/>
  <c r="I1145" i="3" s="1"/>
  <c r="H1225" i="3"/>
  <c r="I1225" i="3" s="1"/>
  <c r="H399" i="3"/>
  <c r="I399" i="3" s="1"/>
  <c r="H827" i="3"/>
  <c r="I827" i="3" s="1"/>
  <c r="H1099" i="3"/>
  <c r="I1099" i="3" s="1"/>
  <c r="H1195" i="3"/>
  <c r="I1195" i="3" s="1"/>
  <c r="H845" i="3"/>
  <c r="I845" i="3" s="1"/>
  <c r="H1351" i="3"/>
  <c r="I1351" i="3" s="1"/>
  <c r="H1867" i="3"/>
  <c r="I1867" i="3" s="1"/>
  <c r="H1879" i="3"/>
  <c r="I1879" i="3" s="1"/>
  <c r="H2019" i="3"/>
  <c r="I2019" i="3" s="1"/>
  <c r="H2227" i="3"/>
  <c r="I2227" i="3" s="1"/>
  <c r="H2231" i="3"/>
  <c r="I2231" i="3" s="1"/>
  <c r="H2251" i="3"/>
  <c r="I2251" i="3" s="1"/>
  <c r="H215" i="3"/>
  <c r="I215" i="3" s="1"/>
  <c r="H1271" i="3"/>
  <c r="I1271" i="3" s="1"/>
  <c r="H1289" i="3"/>
  <c r="I1289" i="3" s="1"/>
  <c r="H1321" i="3"/>
  <c r="I1321" i="3" s="1"/>
  <c r="H1617" i="3"/>
  <c r="I1617" i="3" s="1"/>
  <c r="H1680" i="3"/>
  <c r="I1680" i="3" s="1"/>
  <c r="H1960" i="3"/>
  <c r="I1960" i="3" s="1"/>
  <c r="H1996" i="3"/>
  <c r="I1996" i="3" s="1"/>
  <c r="H2308" i="3"/>
  <c r="I2308" i="3" s="1"/>
  <c r="H2328" i="3"/>
  <c r="I2328" i="3" s="1"/>
  <c r="H2476" i="3"/>
  <c r="I2476" i="3" s="1"/>
  <c r="H2500" i="3"/>
  <c r="I2500" i="3" s="1"/>
  <c r="H2632" i="3"/>
  <c r="I2632" i="3" s="1"/>
  <c r="H487" i="3"/>
  <c r="I487" i="3" s="1"/>
  <c r="H1673" i="3"/>
  <c r="I1673" i="3" s="1"/>
  <c r="H1845" i="3"/>
  <c r="I1845" i="3" s="1"/>
  <c r="H1925" i="3"/>
  <c r="I1925" i="3" s="1"/>
  <c r="H2049" i="3"/>
  <c r="I2049" i="3" s="1"/>
  <c r="H2241" i="3"/>
  <c r="I2241" i="3" s="1"/>
  <c r="H2301" i="3"/>
  <c r="I2301" i="3" s="1"/>
  <c r="H2353" i="3"/>
  <c r="I2353" i="3" s="1"/>
  <c r="H2473" i="3"/>
  <c r="I2473" i="3" s="1"/>
  <c r="H1357" i="3"/>
  <c r="I1357" i="3" s="1"/>
  <c r="H1642" i="3"/>
  <c r="I1642" i="3" s="1"/>
  <c r="H1970" i="3"/>
  <c r="I1970" i="3" s="1"/>
  <c r="H2002" i="3"/>
  <c r="I2002" i="3" s="1"/>
  <c r="H2479" i="3"/>
  <c r="I2479" i="3" s="1"/>
  <c r="H2495" i="3"/>
  <c r="I2495" i="3" s="1"/>
  <c r="H2511" i="3"/>
  <c r="I2511" i="3" s="1"/>
  <c r="H1942" i="3"/>
  <c r="I1942" i="3" s="1"/>
  <c r="H2418" i="3"/>
  <c r="I2418" i="3" s="1"/>
  <c r="H2379" i="3"/>
  <c r="I2379" i="3" s="1"/>
  <c r="H1095" i="3"/>
  <c r="I1095" i="3" s="1"/>
  <c r="H1223" i="3"/>
  <c r="I1223" i="3" s="1"/>
  <c r="H1790" i="3"/>
  <c r="I1790" i="3" s="1"/>
  <c r="H1854" i="3"/>
  <c r="I1854" i="3" s="1"/>
  <c r="H2190" i="3"/>
  <c r="I2190" i="3" s="1"/>
  <c r="H2286" i="3"/>
  <c r="I2286" i="3" s="1"/>
  <c r="H2366" i="3"/>
  <c r="I2366" i="3" s="1"/>
  <c r="H2542" i="3"/>
  <c r="I2542" i="3" s="1"/>
  <c r="H2594" i="3"/>
  <c r="I2594" i="3" s="1"/>
  <c r="H2833" i="3"/>
  <c r="I2833" i="3" s="1"/>
  <c r="H2849" i="3"/>
  <c r="I2849" i="3" s="1"/>
  <c r="H3065" i="3"/>
  <c r="I3065" i="3" s="1"/>
  <c r="H3097" i="3"/>
  <c r="I3097" i="3" s="1"/>
  <c r="H3149" i="3"/>
  <c r="I3149" i="3" s="1"/>
  <c r="H3197" i="3"/>
  <c r="I3197" i="3" s="1"/>
  <c r="H3217" i="3"/>
  <c r="I3217" i="3" s="1"/>
  <c r="H2579" i="3"/>
  <c r="I2579" i="3" s="1"/>
  <c r="H2942" i="3"/>
  <c r="I2942" i="3" s="1"/>
  <c r="H3026" i="3"/>
  <c r="I3026" i="3" s="1"/>
  <c r="H3166" i="3"/>
  <c r="I3166" i="3" s="1"/>
  <c r="H3178" i="3"/>
  <c r="I3178" i="3" s="1"/>
  <c r="H3242" i="3"/>
  <c r="I3242" i="3" s="1"/>
  <c r="H2590" i="3"/>
  <c r="I2590" i="3" s="1"/>
  <c r="H2703" i="3"/>
  <c r="I2703" i="3" s="1"/>
  <c r="H2727" i="3"/>
  <c r="I2727" i="3" s="1"/>
  <c r="H2851" i="3"/>
  <c r="I2851" i="3" s="1"/>
  <c r="H2855" i="3"/>
  <c r="I2855" i="3" s="1"/>
  <c r="H2931" i="3"/>
  <c r="I2931" i="3" s="1"/>
  <c r="H2935" i="3"/>
  <c r="I2935" i="3" s="1"/>
  <c r="H2995" i="3"/>
  <c r="I2995" i="3" s="1"/>
  <c r="H3011" i="3"/>
  <c r="I3011" i="3" s="1"/>
  <c r="H3115" i="3"/>
  <c r="I3115" i="3" s="1"/>
  <c r="H2651" i="3"/>
  <c r="I2651" i="3" s="1"/>
  <c r="H2688" i="3"/>
  <c r="I2688" i="3" s="1"/>
  <c r="H2744" i="3"/>
  <c r="I2744" i="3" s="1"/>
  <c r="H2784" i="3"/>
  <c r="I2784" i="3" s="1"/>
  <c r="H2788" i="3"/>
  <c r="I2788" i="3" s="1"/>
  <c r="H2800" i="3"/>
  <c r="I2800" i="3" s="1"/>
  <c r="H2888" i="3"/>
  <c r="I2888" i="3" s="1"/>
  <c r="H2896" i="3"/>
  <c r="I2896" i="3" s="1"/>
  <c r="H2948" i="3"/>
  <c r="I2948" i="3" s="1"/>
  <c r="H3024" i="3"/>
  <c r="I3024" i="3" s="1"/>
  <c r="H3056" i="3"/>
  <c r="I3056" i="3" s="1"/>
  <c r="H3128" i="3"/>
  <c r="I3128" i="3" s="1"/>
  <c r="H3212" i="3"/>
  <c r="I3212" i="3" s="1"/>
  <c r="H4584" i="3"/>
  <c r="I4584" i="3" s="1"/>
  <c r="H4580" i="3"/>
  <c r="I4580" i="3" s="1"/>
  <c r="H4576" i="3"/>
  <c r="I4576" i="3" s="1"/>
  <c r="H4572" i="3"/>
  <c r="I4572" i="3" s="1"/>
  <c r="H4568" i="3"/>
  <c r="I4568" i="3" s="1"/>
  <c r="H4564" i="3"/>
  <c r="I4564" i="3" s="1"/>
  <c r="H4560" i="3"/>
  <c r="I4560" i="3" s="1"/>
  <c r="H4556" i="3"/>
  <c r="I4556" i="3" s="1"/>
  <c r="H4552" i="3"/>
  <c r="I4552" i="3" s="1"/>
  <c r="H4548" i="3"/>
  <c r="I4548" i="3" s="1"/>
  <c r="H4544" i="3"/>
  <c r="I4544" i="3" s="1"/>
  <c r="H4540" i="3"/>
  <c r="I4540" i="3" s="1"/>
  <c r="H4536" i="3"/>
  <c r="I4536" i="3" s="1"/>
  <c r="H4532" i="3"/>
  <c r="I4532" i="3" s="1"/>
  <c r="H4528" i="3"/>
  <c r="I4528" i="3" s="1"/>
  <c r="H4524" i="3"/>
  <c r="I4524" i="3" s="1"/>
  <c r="H4520" i="3"/>
  <c r="I4520" i="3" s="1"/>
  <c r="H4516" i="3"/>
  <c r="I4516" i="3" s="1"/>
  <c r="H4512" i="3"/>
  <c r="I4512" i="3" s="1"/>
  <c r="H4508" i="3"/>
  <c r="I4508" i="3" s="1"/>
  <c r="H4504" i="3"/>
  <c r="I4504" i="3" s="1"/>
  <c r="H4500" i="3"/>
  <c r="I4500" i="3" s="1"/>
  <c r="H4496" i="3"/>
  <c r="I4496" i="3" s="1"/>
  <c r="H4492" i="3"/>
  <c r="I4492" i="3" s="1"/>
  <c r="H4488" i="3"/>
  <c r="I4488" i="3" s="1"/>
  <c r="H4484" i="3"/>
  <c r="I4484" i="3" s="1"/>
  <c r="H4480" i="3"/>
  <c r="I4480" i="3" s="1"/>
  <c r="H4476" i="3"/>
  <c r="I4476" i="3" s="1"/>
  <c r="H4472" i="3"/>
  <c r="I4472" i="3" s="1"/>
  <c r="H4468" i="3"/>
  <c r="I4468" i="3" s="1"/>
  <c r="H4464" i="3"/>
  <c r="I4464" i="3" s="1"/>
  <c r="H4460" i="3"/>
  <c r="I4460" i="3" s="1"/>
  <c r="H4456" i="3"/>
  <c r="I4456" i="3" s="1"/>
  <c r="H4452" i="3"/>
  <c r="I4452" i="3" s="1"/>
  <c r="H4448" i="3"/>
  <c r="I4448" i="3" s="1"/>
  <c r="H4444" i="3"/>
  <c r="I4444" i="3" s="1"/>
  <c r="H4440" i="3"/>
  <c r="I4440" i="3" s="1"/>
  <c r="H4436" i="3"/>
  <c r="I4436" i="3" s="1"/>
  <c r="H4432" i="3"/>
  <c r="I4432" i="3" s="1"/>
  <c r="H4428" i="3"/>
  <c r="I4428" i="3" s="1"/>
  <c r="H4424" i="3"/>
  <c r="I4424" i="3" s="1"/>
  <c r="H4420" i="3"/>
  <c r="I4420" i="3" s="1"/>
  <c r="H4416" i="3"/>
  <c r="I4416" i="3" s="1"/>
  <c r="H4412" i="3"/>
  <c r="I4412" i="3" s="1"/>
  <c r="H4408" i="3"/>
  <c r="I4408" i="3" s="1"/>
  <c r="H4404" i="3"/>
  <c r="I4404" i="3" s="1"/>
  <c r="H4400" i="3"/>
  <c r="I4400" i="3" s="1"/>
  <c r="H4396" i="3"/>
  <c r="I4396" i="3" s="1"/>
  <c r="H4392" i="3"/>
  <c r="I4392" i="3" s="1"/>
  <c r="H4388" i="3"/>
  <c r="I4388" i="3" s="1"/>
  <c r="H4384" i="3"/>
  <c r="I4384" i="3" s="1"/>
  <c r="H4380" i="3"/>
  <c r="I4380" i="3" s="1"/>
  <c r="H4376" i="3"/>
  <c r="I4376" i="3" s="1"/>
  <c r="H4372" i="3"/>
  <c r="I4372" i="3" s="1"/>
  <c r="H4368" i="3"/>
  <c r="I4368" i="3" s="1"/>
  <c r="H4364" i="3"/>
  <c r="I4364" i="3" s="1"/>
  <c r="H4360" i="3"/>
  <c r="I4360" i="3" s="1"/>
  <c r="H4356" i="3"/>
  <c r="I4356" i="3" s="1"/>
  <c r="H4352" i="3"/>
  <c r="I4352" i="3" s="1"/>
  <c r="H4348" i="3"/>
  <c r="I4348" i="3" s="1"/>
  <c r="H4344" i="3"/>
  <c r="I4344" i="3" s="1"/>
  <c r="H4340" i="3"/>
  <c r="I4340" i="3" s="1"/>
  <c r="H4336" i="3"/>
  <c r="I4336" i="3" s="1"/>
  <c r="H4332" i="3"/>
  <c r="I4332" i="3" s="1"/>
  <c r="H4328" i="3"/>
  <c r="I4328" i="3" s="1"/>
  <c r="H4324" i="3"/>
  <c r="I4324" i="3" s="1"/>
  <c r="H4320" i="3"/>
  <c r="I4320" i="3" s="1"/>
  <c r="H4316" i="3"/>
  <c r="I4316" i="3" s="1"/>
  <c r="H4312" i="3"/>
  <c r="I4312" i="3" s="1"/>
  <c r="H4308" i="3"/>
  <c r="I4308" i="3" s="1"/>
  <c r="H4304" i="3"/>
  <c r="I4304" i="3" s="1"/>
  <c r="H4300" i="3"/>
  <c r="I4300" i="3" s="1"/>
  <c r="H4296" i="3"/>
  <c r="I4296" i="3" s="1"/>
  <c r="H4292" i="3"/>
  <c r="I4292" i="3" s="1"/>
  <c r="H4288" i="3"/>
  <c r="I4288" i="3" s="1"/>
  <c r="H4284" i="3"/>
  <c r="I4284" i="3" s="1"/>
  <c r="H4280" i="3"/>
  <c r="I4280" i="3" s="1"/>
  <c r="H4276" i="3"/>
  <c r="I4276" i="3" s="1"/>
  <c r="H4272" i="3"/>
  <c r="I4272" i="3" s="1"/>
  <c r="H4268" i="3"/>
  <c r="I4268" i="3" s="1"/>
  <c r="H4264" i="3"/>
  <c r="I4264" i="3" s="1"/>
  <c r="H4260" i="3"/>
  <c r="I4260" i="3" s="1"/>
  <c r="H4256" i="3"/>
  <c r="I4256" i="3" s="1"/>
  <c r="H4252" i="3"/>
  <c r="I4252" i="3" s="1"/>
  <c r="H4248" i="3"/>
  <c r="I4248" i="3" s="1"/>
  <c r="H4244" i="3"/>
  <c r="I4244" i="3" s="1"/>
  <c r="H4240" i="3"/>
  <c r="I4240" i="3" s="1"/>
  <c r="H4236" i="3"/>
  <c r="I4236" i="3" s="1"/>
  <c r="H4232" i="3"/>
  <c r="I4232" i="3" s="1"/>
  <c r="H4228" i="3"/>
  <c r="I4228" i="3" s="1"/>
  <c r="H4224" i="3"/>
  <c r="I4224" i="3" s="1"/>
  <c r="H4220" i="3"/>
  <c r="I4220" i="3" s="1"/>
  <c r="H4216" i="3"/>
  <c r="I4216" i="3" s="1"/>
  <c r="H4212" i="3"/>
  <c r="I4212" i="3" s="1"/>
  <c r="H4208" i="3"/>
  <c r="I4208" i="3" s="1"/>
  <c r="H4204" i="3"/>
  <c r="I4204" i="3" s="1"/>
  <c r="H4200" i="3"/>
  <c r="I4200" i="3" s="1"/>
  <c r="H4196" i="3"/>
  <c r="I4196" i="3" s="1"/>
  <c r="H4192" i="3"/>
  <c r="I4192" i="3" s="1"/>
  <c r="H4188" i="3"/>
  <c r="I4188" i="3" s="1"/>
  <c r="H4184" i="3"/>
  <c r="I4184" i="3" s="1"/>
  <c r="H4180" i="3"/>
  <c r="I4180" i="3" s="1"/>
  <c r="H4176" i="3"/>
  <c r="I4176" i="3" s="1"/>
  <c r="H4172" i="3"/>
  <c r="I4172" i="3" s="1"/>
  <c r="H4168" i="3"/>
  <c r="I4168" i="3" s="1"/>
  <c r="H4164" i="3"/>
  <c r="I4164" i="3" s="1"/>
  <c r="H4160" i="3"/>
  <c r="I4160" i="3" s="1"/>
  <c r="H4156" i="3"/>
  <c r="I4156" i="3" s="1"/>
  <c r="H4152" i="3"/>
  <c r="I4152" i="3" s="1"/>
  <c r="H4148" i="3"/>
  <c r="I4148" i="3" s="1"/>
  <c r="H4144" i="3"/>
  <c r="I4144" i="3" s="1"/>
  <c r="H4140" i="3"/>
  <c r="I4140" i="3" s="1"/>
  <c r="H4136" i="3"/>
  <c r="I4136" i="3" s="1"/>
  <c r="H4132" i="3"/>
  <c r="I4132" i="3" s="1"/>
  <c r="H4128" i="3"/>
  <c r="I4128" i="3" s="1"/>
  <c r="H4124" i="3"/>
  <c r="I4124" i="3" s="1"/>
  <c r="H4120" i="3"/>
  <c r="I4120" i="3" s="1"/>
  <c r="H4116" i="3"/>
  <c r="I4116" i="3" s="1"/>
  <c r="H4112" i="3"/>
  <c r="I4112" i="3" s="1"/>
  <c r="H4108" i="3"/>
  <c r="I4108" i="3" s="1"/>
  <c r="H4104" i="3"/>
  <c r="I4104" i="3" s="1"/>
  <c r="H4100" i="3"/>
  <c r="I4100" i="3" s="1"/>
  <c r="H4096" i="3"/>
  <c r="I4096" i="3" s="1"/>
  <c r="H4092" i="3"/>
  <c r="I4092" i="3" s="1"/>
  <c r="H4088" i="3"/>
  <c r="I4088" i="3" s="1"/>
  <c r="H4084" i="3"/>
  <c r="I4084" i="3" s="1"/>
  <c r="H4080" i="3"/>
  <c r="I4080" i="3" s="1"/>
  <c r="H4076" i="3"/>
  <c r="I4076" i="3" s="1"/>
  <c r="H4072" i="3"/>
  <c r="I4072" i="3" s="1"/>
  <c r="H4068" i="3"/>
  <c r="I4068" i="3" s="1"/>
  <c r="H4064" i="3"/>
  <c r="I4064" i="3" s="1"/>
  <c r="H4060" i="3"/>
  <c r="I4060" i="3" s="1"/>
  <c r="H4056" i="3"/>
  <c r="I4056" i="3" s="1"/>
  <c r="H4052" i="3"/>
  <c r="I4052" i="3" s="1"/>
  <c r="H4048" i="3"/>
  <c r="I4048" i="3" s="1"/>
  <c r="H4044" i="3"/>
  <c r="I4044" i="3" s="1"/>
  <c r="H4040" i="3"/>
  <c r="I4040" i="3" s="1"/>
  <c r="H4036" i="3"/>
  <c r="I4036" i="3" s="1"/>
  <c r="H4032" i="3"/>
  <c r="I4032" i="3" s="1"/>
  <c r="H4028" i="3"/>
  <c r="I4028" i="3" s="1"/>
  <c r="H4024" i="3"/>
  <c r="I4024" i="3" s="1"/>
  <c r="H4020" i="3"/>
  <c r="I4020" i="3" s="1"/>
  <c r="H4016" i="3"/>
  <c r="I4016" i="3" s="1"/>
  <c r="H4012" i="3"/>
  <c r="I4012" i="3" s="1"/>
  <c r="H4008" i="3"/>
  <c r="I4008" i="3" s="1"/>
  <c r="H4004" i="3"/>
  <c r="I4004" i="3" s="1"/>
  <c r="H4000" i="3"/>
  <c r="I4000" i="3" s="1"/>
  <c r="H3996" i="3"/>
  <c r="I3996" i="3" s="1"/>
  <c r="H3992" i="3"/>
  <c r="I3992" i="3" s="1"/>
  <c r="H3988" i="3"/>
  <c r="I3988" i="3" s="1"/>
  <c r="H3984" i="3"/>
  <c r="I3984" i="3" s="1"/>
  <c r="H3980" i="3"/>
  <c r="I3980" i="3" s="1"/>
  <c r="H3976" i="3"/>
  <c r="I3976" i="3" s="1"/>
  <c r="H3972" i="3"/>
  <c r="I3972" i="3" s="1"/>
  <c r="H3968" i="3"/>
  <c r="I3968" i="3" s="1"/>
  <c r="H3964" i="3"/>
  <c r="I3964" i="3" s="1"/>
  <c r="H3960" i="3"/>
  <c r="I3960" i="3" s="1"/>
  <c r="H3956" i="3"/>
  <c r="I3956" i="3" s="1"/>
  <c r="H3952" i="3"/>
  <c r="I3952" i="3" s="1"/>
  <c r="H3948" i="3"/>
  <c r="I3948" i="3" s="1"/>
  <c r="H3944" i="3"/>
  <c r="I3944" i="3" s="1"/>
  <c r="H3940" i="3"/>
  <c r="I3940" i="3" s="1"/>
  <c r="H3936" i="3"/>
  <c r="I3936" i="3" s="1"/>
  <c r="H3932" i="3"/>
  <c r="I3932" i="3" s="1"/>
  <c r="H3928" i="3"/>
  <c r="I3928" i="3" s="1"/>
  <c r="H3924" i="3"/>
  <c r="I3924" i="3" s="1"/>
  <c r="H3920" i="3"/>
  <c r="I3920" i="3" s="1"/>
  <c r="H3916" i="3"/>
  <c r="I3916" i="3" s="1"/>
  <c r="H3912" i="3"/>
  <c r="I3912" i="3" s="1"/>
  <c r="H3908" i="3"/>
  <c r="I3908" i="3" s="1"/>
  <c r="H3904" i="3"/>
  <c r="I3904" i="3" s="1"/>
  <c r="H3900" i="3"/>
  <c r="I3900" i="3" s="1"/>
  <c r="H3896" i="3"/>
  <c r="I3896" i="3" s="1"/>
  <c r="H3892" i="3"/>
  <c r="I3892" i="3" s="1"/>
  <c r="H3888" i="3"/>
  <c r="I3888" i="3" s="1"/>
  <c r="H3884" i="3"/>
  <c r="I3884" i="3" s="1"/>
  <c r="H3880" i="3"/>
  <c r="I3880" i="3" s="1"/>
  <c r="H3876" i="3"/>
  <c r="I3876" i="3" s="1"/>
  <c r="H3872" i="3"/>
  <c r="I3872" i="3" s="1"/>
  <c r="H3868" i="3"/>
  <c r="I3868" i="3" s="1"/>
  <c r="H3864" i="3"/>
  <c r="I3864" i="3" s="1"/>
  <c r="H3860" i="3"/>
  <c r="I3860" i="3" s="1"/>
  <c r="H3856" i="3"/>
  <c r="I3856" i="3" s="1"/>
  <c r="H3852" i="3"/>
  <c r="I3852" i="3" s="1"/>
  <c r="H3848" i="3"/>
  <c r="I3848" i="3" s="1"/>
  <c r="H3844" i="3"/>
  <c r="I3844" i="3" s="1"/>
  <c r="H3840" i="3"/>
  <c r="I3840" i="3" s="1"/>
  <c r="H3836" i="3"/>
  <c r="I3836" i="3" s="1"/>
  <c r="H3832" i="3"/>
  <c r="I3832" i="3" s="1"/>
  <c r="H3828" i="3"/>
  <c r="I3828" i="3" s="1"/>
  <c r="H3824" i="3"/>
  <c r="I3824" i="3" s="1"/>
  <c r="H3820" i="3"/>
  <c r="I3820" i="3" s="1"/>
  <c r="H3816" i="3"/>
  <c r="I3816" i="3" s="1"/>
  <c r="H3812" i="3"/>
  <c r="I3812" i="3" s="1"/>
  <c r="H3808" i="3"/>
  <c r="I3808" i="3" s="1"/>
  <c r="H3804" i="3"/>
  <c r="I3804" i="3" s="1"/>
  <c r="H3800" i="3"/>
  <c r="I3800" i="3" s="1"/>
  <c r="H3796" i="3"/>
  <c r="I3796" i="3" s="1"/>
  <c r="H3792" i="3"/>
  <c r="I3792" i="3" s="1"/>
  <c r="H3788" i="3"/>
  <c r="I3788" i="3" s="1"/>
  <c r="H3784" i="3"/>
  <c r="I3784" i="3" s="1"/>
  <c r="H3780" i="3"/>
  <c r="I3780" i="3" s="1"/>
  <c r="H3776" i="3"/>
  <c r="I3776" i="3" s="1"/>
  <c r="H3772" i="3"/>
  <c r="I3772" i="3" s="1"/>
  <c r="H3768" i="3"/>
  <c r="I3768" i="3" s="1"/>
  <c r="H3764" i="3"/>
  <c r="I3764" i="3" s="1"/>
  <c r="H3760" i="3"/>
  <c r="I3760" i="3" s="1"/>
  <c r="H3756" i="3"/>
  <c r="I3756" i="3" s="1"/>
  <c r="H3752" i="3"/>
  <c r="I3752" i="3" s="1"/>
  <c r="H3748" i="3"/>
  <c r="I3748" i="3" s="1"/>
  <c r="H3744" i="3"/>
  <c r="I3744" i="3" s="1"/>
  <c r="H3740" i="3"/>
  <c r="I3740" i="3" s="1"/>
  <c r="H3736" i="3"/>
  <c r="I3736" i="3" s="1"/>
  <c r="H3732" i="3"/>
  <c r="I3732" i="3" s="1"/>
  <c r="H3728" i="3"/>
  <c r="I3728" i="3" s="1"/>
  <c r="H3724" i="3"/>
  <c r="I3724" i="3" s="1"/>
  <c r="H3720" i="3"/>
  <c r="I3720" i="3" s="1"/>
  <c r="H3716" i="3"/>
  <c r="I3716" i="3" s="1"/>
  <c r="H3712" i="3"/>
  <c r="I3712" i="3" s="1"/>
  <c r="H3708" i="3"/>
  <c r="I3708" i="3" s="1"/>
  <c r="H3704" i="3"/>
  <c r="I3704" i="3" s="1"/>
  <c r="H3700" i="3"/>
  <c r="I3700" i="3" s="1"/>
  <c r="H3696" i="3"/>
  <c r="I3696" i="3" s="1"/>
  <c r="H3692" i="3"/>
  <c r="I3692" i="3" s="1"/>
  <c r="H3688" i="3"/>
  <c r="I3688" i="3" s="1"/>
  <c r="H3684" i="3"/>
  <c r="I3684" i="3" s="1"/>
  <c r="H3680" i="3"/>
  <c r="I3680" i="3" s="1"/>
  <c r="H3676" i="3"/>
  <c r="I3676" i="3" s="1"/>
  <c r="H3672" i="3"/>
  <c r="I3672" i="3" s="1"/>
  <c r="H3668" i="3"/>
  <c r="I3668" i="3" s="1"/>
  <c r="H3664" i="3"/>
  <c r="I3664" i="3" s="1"/>
  <c r="H3660" i="3"/>
  <c r="I3660" i="3" s="1"/>
  <c r="H3656" i="3"/>
  <c r="I3656" i="3" s="1"/>
  <c r="H3652" i="3"/>
  <c r="I3652" i="3" s="1"/>
  <c r="H3648" i="3"/>
  <c r="I3648" i="3" s="1"/>
  <c r="H3644" i="3"/>
  <c r="I3644" i="3" s="1"/>
  <c r="H3640" i="3"/>
  <c r="I3640" i="3" s="1"/>
  <c r="H3636" i="3"/>
  <c r="I3636" i="3" s="1"/>
  <c r="H3632" i="3"/>
  <c r="I3632" i="3" s="1"/>
  <c r="H3628" i="3"/>
  <c r="I3628" i="3" s="1"/>
  <c r="H3624" i="3"/>
  <c r="I3624" i="3" s="1"/>
  <c r="H3620" i="3"/>
  <c r="I3620" i="3" s="1"/>
  <c r="H3616" i="3"/>
  <c r="I3616" i="3" s="1"/>
  <c r="H3612" i="3"/>
  <c r="I3612" i="3" s="1"/>
  <c r="H3608" i="3"/>
  <c r="I3608" i="3" s="1"/>
  <c r="H3604" i="3"/>
  <c r="I3604" i="3" s="1"/>
  <c r="H3600" i="3"/>
  <c r="I3600" i="3" s="1"/>
  <c r="H3596" i="3"/>
  <c r="I3596" i="3" s="1"/>
  <c r="H3592" i="3"/>
  <c r="I3592" i="3" s="1"/>
  <c r="H3588" i="3"/>
  <c r="I3588" i="3" s="1"/>
  <c r="H3584" i="3"/>
  <c r="I3584" i="3" s="1"/>
  <c r="H3580" i="3"/>
  <c r="I3580" i="3" s="1"/>
  <c r="H3576" i="3"/>
  <c r="I3576" i="3" s="1"/>
  <c r="H3572" i="3"/>
  <c r="I3572" i="3" s="1"/>
  <c r="H3568" i="3"/>
  <c r="I3568" i="3" s="1"/>
  <c r="H3564" i="3"/>
  <c r="I3564" i="3" s="1"/>
  <c r="H3560" i="3"/>
  <c r="I3560" i="3" s="1"/>
  <c r="H3552" i="3"/>
  <c r="I3552" i="3" s="1"/>
  <c r="H3548" i="3"/>
  <c r="I3548" i="3" s="1"/>
  <c r="H3544" i="3"/>
  <c r="I3544" i="3" s="1"/>
  <c r="H3540" i="3"/>
  <c r="I3540" i="3" s="1"/>
  <c r="H3536" i="3"/>
  <c r="I3536" i="3" s="1"/>
  <c r="H3532" i="3"/>
  <c r="I3532" i="3" s="1"/>
  <c r="H3528" i="3"/>
  <c r="I3528" i="3" s="1"/>
  <c r="H3524" i="3"/>
  <c r="I3524" i="3" s="1"/>
  <c r="H3520" i="3"/>
  <c r="I3520" i="3" s="1"/>
  <c r="H3516" i="3"/>
  <c r="I3516" i="3" s="1"/>
  <c r="H3512" i="3"/>
  <c r="I3512" i="3" s="1"/>
  <c r="H3508" i="3"/>
  <c r="I3508" i="3" s="1"/>
  <c r="H3504" i="3"/>
  <c r="I3504" i="3" s="1"/>
  <c r="H3500" i="3"/>
  <c r="I3500" i="3" s="1"/>
  <c r="H3496" i="3"/>
  <c r="I3496" i="3" s="1"/>
  <c r="H3492" i="3"/>
  <c r="I3492" i="3" s="1"/>
  <c r="H3488" i="3"/>
  <c r="I3488" i="3" s="1"/>
  <c r="H3484" i="3"/>
  <c r="I3484" i="3" s="1"/>
  <c r="H3480" i="3"/>
  <c r="I3480" i="3" s="1"/>
  <c r="H3476" i="3"/>
  <c r="I3476" i="3" s="1"/>
  <c r="H3472" i="3"/>
  <c r="I3472" i="3" s="1"/>
  <c r="H3468" i="3"/>
  <c r="I3468" i="3" s="1"/>
  <c r="H3464" i="3"/>
  <c r="I3464" i="3" s="1"/>
  <c r="H3460" i="3"/>
  <c r="I3460" i="3" s="1"/>
  <c r="H3456" i="3"/>
  <c r="I3456" i="3" s="1"/>
  <c r="H3448" i="3"/>
  <c r="I3448" i="3" s="1"/>
  <c r="H3444" i="3"/>
  <c r="I3444" i="3" s="1"/>
  <c r="H3436" i="3"/>
  <c r="I3436" i="3" s="1"/>
  <c r="H3432" i="3"/>
  <c r="I3432" i="3" s="1"/>
  <c r="H3428" i="3"/>
  <c r="I3428" i="3" s="1"/>
  <c r="H3420" i="3"/>
  <c r="I3420" i="3" s="1"/>
  <c r="H3416" i="3"/>
  <c r="I3416" i="3" s="1"/>
  <c r="H3412" i="3"/>
  <c r="I3412" i="3" s="1"/>
  <c r="H3408" i="3"/>
  <c r="I3408" i="3" s="1"/>
  <c r="H3404" i="3"/>
  <c r="I3404" i="3" s="1"/>
  <c r="H3400" i="3"/>
  <c r="I3400" i="3" s="1"/>
  <c r="H3396" i="3"/>
  <c r="I3396" i="3" s="1"/>
  <c r="H3392" i="3"/>
  <c r="I3392" i="3" s="1"/>
  <c r="H3388" i="3"/>
  <c r="I3388" i="3" s="1"/>
  <c r="H3384" i="3"/>
  <c r="I3384" i="3" s="1"/>
  <c r="H3380" i="3"/>
  <c r="I3380" i="3" s="1"/>
  <c r="H3372" i="3"/>
  <c r="I3372" i="3" s="1"/>
  <c r="H3368" i="3"/>
  <c r="I3368" i="3" s="1"/>
  <c r="H3364" i="3"/>
  <c r="I3364" i="3" s="1"/>
  <c r="H3360" i="3"/>
  <c r="I3360" i="3" s="1"/>
  <c r="H3356" i="3"/>
  <c r="I3356" i="3" s="1"/>
  <c r="H3352" i="3"/>
  <c r="I3352" i="3" s="1"/>
  <c r="H3348" i="3"/>
  <c r="I3348" i="3" s="1"/>
  <c r="H3344" i="3"/>
  <c r="I3344" i="3" s="1"/>
  <c r="H3340" i="3"/>
  <c r="I3340" i="3" s="1"/>
  <c r="H3336" i="3"/>
  <c r="I3336" i="3" s="1"/>
  <c r="H3332" i="3"/>
  <c r="I3332" i="3" s="1"/>
  <c r="H3328" i="3"/>
  <c r="I3328" i="3" s="1"/>
  <c r="H3324" i="3"/>
  <c r="I3324" i="3" s="1"/>
  <c r="H3320" i="3"/>
  <c r="I3320" i="3" s="1"/>
  <c r="H3316" i="3"/>
  <c r="I3316" i="3" s="1"/>
  <c r="H3308" i="3"/>
  <c r="I3308" i="3" s="1"/>
  <c r="H3300" i="3"/>
  <c r="I3300" i="3" s="1"/>
  <c r="H3296" i="3"/>
  <c r="I3296" i="3" s="1"/>
  <c r="H3292" i="3"/>
  <c r="I3292" i="3" s="1"/>
  <c r="H3280" i="3"/>
  <c r="I3280" i="3" s="1"/>
  <c r="H3276" i="3"/>
  <c r="I3276" i="3" s="1"/>
  <c r="H3272" i="3"/>
  <c r="I3272" i="3" s="1"/>
  <c r="H3264" i="3"/>
  <c r="I3264" i="3" s="1"/>
  <c r="H3260" i="3"/>
  <c r="I3260" i="3" s="1"/>
  <c r="H3256" i="3"/>
  <c r="I3256" i="3" s="1"/>
  <c r="H3249" i="3"/>
  <c r="I3249" i="3" s="1"/>
  <c r="H3233" i="3"/>
  <c r="I3233" i="3" s="1"/>
  <c r="H18" i="3"/>
  <c r="I18" i="3" s="1"/>
  <c r="H158" i="3"/>
  <c r="I158" i="3" s="1"/>
  <c r="H238" i="3"/>
  <c r="I238" i="3" s="1"/>
  <c r="H534" i="3"/>
  <c r="I534" i="3" s="1"/>
  <c r="H626" i="3"/>
  <c r="I626" i="3" s="1"/>
  <c r="H846" i="3"/>
  <c r="I846" i="3" s="1"/>
  <c r="H974" i="3"/>
  <c r="I974" i="3" s="1"/>
  <c r="H1026" i="3"/>
  <c r="I1026" i="3" s="1"/>
  <c r="H1046" i="3"/>
  <c r="I1046" i="3" s="1"/>
  <c r="H1094" i="3"/>
  <c r="I1094" i="3" s="1"/>
  <c r="H1238" i="3"/>
  <c r="I1238" i="3" s="1"/>
  <c r="H1290" i="3"/>
  <c r="I1290" i="3" s="1"/>
  <c r="H1550" i="3"/>
  <c r="I1550" i="3" s="1"/>
  <c r="H1594" i="3"/>
  <c r="I1594" i="3" s="1"/>
  <c r="H72" i="3"/>
  <c r="I72" i="3" s="1"/>
  <c r="H88" i="3"/>
  <c r="I88" i="3" s="1"/>
  <c r="H156" i="3"/>
  <c r="I156" i="3" s="1"/>
  <c r="H372" i="3"/>
  <c r="I372" i="3" s="1"/>
  <c r="H488" i="3"/>
  <c r="I488" i="3" s="1"/>
  <c r="H560" i="3"/>
  <c r="I560" i="3" s="1"/>
  <c r="H624" i="3"/>
  <c r="I624" i="3" s="1"/>
  <c r="H652" i="3"/>
  <c r="I652" i="3" s="1"/>
  <c r="H848" i="3"/>
  <c r="I848" i="3" s="1"/>
  <c r="H884" i="3"/>
  <c r="I884" i="3" s="1"/>
  <c r="H1084" i="3"/>
  <c r="I1084" i="3" s="1"/>
  <c r="H1096" i="3"/>
  <c r="I1096" i="3" s="1"/>
  <c r="H1184" i="3"/>
  <c r="I1184" i="3" s="1"/>
  <c r="H1384" i="3"/>
  <c r="I1384" i="3" s="1"/>
  <c r="H1392" i="3"/>
  <c r="I1392" i="3" s="1"/>
  <c r="H337" i="3"/>
  <c r="I337" i="3" s="1"/>
  <c r="H481" i="3"/>
  <c r="I481" i="3" s="1"/>
  <c r="H21" i="3"/>
  <c r="I21" i="3" s="1"/>
  <c r="H285" i="3"/>
  <c r="I285" i="3" s="1"/>
  <c r="H309" i="3"/>
  <c r="I309" i="3" s="1"/>
  <c r="H477" i="3"/>
  <c r="I477" i="3" s="1"/>
  <c r="H597" i="3"/>
  <c r="I597" i="3" s="1"/>
  <c r="H27" i="3"/>
  <c r="I27" i="3" s="1"/>
  <c r="H657" i="3"/>
  <c r="I657" i="3" s="1"/>
  <c r="H801" i="3"/>
  <c r="I801" i="3" s="1"/>
  <c r="H1057" i="3"/>
  <c r="I1057" i="3" s="1"/>
  <c r="H1129" i="3"/>
  <c r="I1129" i="3" s="1"/>
  <c r="H143" i="3"/>
  <c r="I143" i="3" s="1"/>
  <c r="H303" i="3"/>
  <c r="I303" i="3" s="1"/>
  <c r="H575" i="3"/>
  <c r="I575" i="3" s="1"/>
  <c r="H591" i="3"/>
  <c r="I591" i="3" s="1"/>
  <c r="H1147" i="3"/>
  <c r="I1147" i="3" s="1"/>
  <c r="H1267" i="3"/>
  <c r="I1267" i="3" s="1"/>
  <c r="H99" i="3"/>
  <c r="I99" i="3" s="1"/>
  <c r="H685" i="3"/>
  <c r="I685" i="3" s="1"/>
  <c r="H725" i="3"/>
  <c r="I725" i="3" s="1"/>
  <c r="H773" i="3"/>
  <c r="I773" i="3" s="1"/>
  <c r="H1029" i="3"/>
  <c r="I1029" i="3" s="1"/>
  <c r="H1141" i="3"/>
  <c r="I1141" i="3" s="1"/>
  <c r="H263" i="3"/>
  <c r="I263" i="3" s="1"/>
  <c r="H655" i="3"/>
  <c r="I655" i="3" s="1"/>
  <c r="H1623" i="3"/>
  <c r="I1623" i="3" s="1"/>
  <c r="H1643" i="3"/>
  <c r="I1643" i="3" s="1"/>
  <c r="H1695" i="3"/>
  <c r="I1695" i="3" s="1"/>
  <c r="H1699" i="3"/>
  <c r="I1699" i="3" s="1"/>
  <c r="H1831" i="3"/>
  <c r="I1831" i="3" s="1"/>
  <c r="H1899" i="3"/>
  <c r="I1899" i="3" s="1"/>
  <c r="H1991" i="3"/>
  <c r="I1991" i="3" s="1"/>
  <c r="H2003" i="3"/>
  <c r="I2003" i="3" s="1"/>
  <c r="H2035" i="3"/>
  <c r="I2035" i="3" s="1"/>
  <c r="H2311" i="3"/>
  <c r="I2311" i="3" s="1"/>
  <c r="H2351" i="3"/>
  <c r="I2351" i="3" s="1"/>
  <c r="H663" i="3"/>
  <c r="I663" i="3" s="1"/>
  <c r="H1261" i="3"/>
  <c r="I1261" i="3" s="1"/>
  <c r="H1337" i="3"/>
  <c r="I1337" i="3" s="1"/>
  <c r="H1361" i="3"/>
  <c r="I1361" i="3" s="1"/>
  <c r="H1409" i="3"/>
  <c r="I1409" i="3" s="1"/>
  <c r="H1481" i="3"/>
  <c r="I1481" i="3" s="1"/>
  <c r="H1639" i="3"/>
  <c r="I1639" i="3" s="1"/>
  <c r="H1776" i="3"/>
  <c r="I1776" i="3" s="1"/>
  <c r="H1892" i="3"/>
  <c r="I1892" i="3" s="1"/>
  <c r="H1980" i="3"/>
  <c r="I1980" i="3" s="1"/>
  <c r="H2016" i="3"/>
  <c r="I2016" i="3" s="1"/>
  <c r="H2032" i="3"/>
  <c r="I2032" i="3" s="1"/>
  <c r="H2044" i="3"/>
  <c r="I2044" i="3" s="1"/>
  <c r="H2116" i="3"/>
  <c r="I2116" i="3" s="1"/>
  <c r="H2124" i="3"/>
  <c r="I2124" i="3" s="1"/>
  <c r="H2144" i="3"/>
  <c r="I2144" i="3" s="1"/>
  <c r="H2384" i="3"/>
  <c r="I2384" i="3" s="1"/>
  <c r="H2412" i="3"/>
  <c r="I2412" i="3" s="1"/>
  <c r="H2416" i="3"/>
  <c r="I2416" i="3" s="1"/>
  <c r="H1023" i="3"/>
  <c r="I1023" i="3" s="1"/>
  <c r="H1339" i="3"/>
  <c r="I1339" i="3" s="1"/>
  <c r="H1427" i="3"/>
  <c r="I1427" i="3" s="1"/>
  <c r="H1789" i="3"/>
  <c r="I1789" i="3" s="1"/>
  <c r="H2009" i="3"/>
  <c r="I2009" i="3" s="1"/>
  <c r="H2097" i="3"/>
  <c r="I2097" i="3" s="1"/>
  <c r="H2333" i="3"/>
  <c r="I2333" i="3" s="1"/>
  <c r="H2501" i="3"/>
  <c r="I2501" i="3" s="1"/>
  <c r="H1746" i="3"/>
  <c r="I1746" i="3" s="1"/>
  <c r="H1794" i="3"/>
  <c r="I1794" i="3" s="1"/>
  <c r="H1858" i="3"/>
  <c r="I1858" i="3" s="1"/>
  <c r="H2274" i="3"/>
  <c r="I2274" i="3" s="1"/>
  <c r="H1718" i="3"/>
  <c r="I1718" i="3" s="1"/>
  <c r="H1814" i="3"/>
  <c r="I1814" i="3" s="1"/>
  <c r="H2294" i="3"/>
  <c r="I2294" i="3" s="1"/>
  <c r="H2378" i="3"/>
  <c r="I2378" i="3" s="1"/>
  <c r="H2394" i="3"/>
  <c r="I2394" i="3" s="1"/>
  <c r="H2514" i="3"/>
  <c r="I2514" i="3" s="1"/>
  <c r="H1469" i="3"/>
  <c r="I1469" i="3" s="1"/>
  <c r="H1870" i="3"/>
  <c r="I1870" i="3" s="1"/>
  <c r="H1982" i="3"/>
  <c r="I1982" i="3" s="1"/>
  <c r="H2174" i="3"/>
  <c r="I2174" i="3" s="1"/>
  <c r="H2977" i="3"/>
  <c r="I2977" i="3" s="1"/>
  <c r="H3025" i="3"/>
  <c r="I3025" i="3" s="1"/>
  <c r="H2499" i="3"/>
  <c r="I2499" i="3" s="1"/>
  <c r="H2778" i="3"/>
  <c r="I2778" i="3" s="1"/>
  <c r="H2826" i="3"/>
  <c r="I2826" i="3" s="1"/>
  <c r="H2830" i="3"/>
  <c r="I2830" i="3" s="1"/>
  <c r="H2898" i="3"/>
  <c r="I2898" i="3" s="1"/>
  <c r="H2914" i="3"/>
  <c r="I2914" i="3" s="1"/>
  <c r="H2926" i="3"/>
  <c r="I2926" i="3" s="1"/>
  <c r="H2982" i="3"/>
  <c r="I2982" i="3" s="1"/>
  <c r="H3014" i="3"/>
  <c r="I3014" i="3" s="1"/>
  <c r="H3186" i="3"/>
  <c r="I3186" i="3" s="1"/>
  <c r="H2891" i="3"/>
  <c r="I2891" i="3" s="1"/>
  <c r="H2983" i="3"/>
  <c r="I2983" i="3" s="1"/>
  <c r="H3019" i="3"/>
  <c r="I3019" i="3" s="1"/>
  <c r="H3095" i="3"/>
  <c r="I3095" i="3" s="1"/>
  <c r="H2583" i="3"/>
  <c r="I2583" i="3" s="1"/>
  <c r="H2619" i="3"/>
  <c r="I2619" i="3" s="1"/>
  <c r="H2646" i="3"/>
  <c r="I2646" i="3" s="1"/>
  <c r="H2680" i="3"/>
  <c r="I2680" i="3" s="1"/>
  <c r="H2840" i="3"/>
  <c r="I2840" i="3" s="1"/>
  <c r="H2876" i="3"/>
  <c r="I2876" i="3" s="1"/>
  <c r="H3072" i="3"/>
  <c r="I3072" i="3" s="1"/>
  <c r="H3108" i="3"/>
  <c r="I3108" i="3" s="1"/>
  <c r="H3200" i="3"/>
  <c r="I3200" i="3" s="1"/>
  <c r="H254" i="3"/>
  <c r="I254" i="3" s="1"/>
  <c r="H258" i="3"/>
  <c r="I258" i="3" s="1"/>
  <c r="H422" i="3"/>
  <c r="I422" i="3" s="1"/>
  <c r="H506" i="3"/>
  <c r="I506" i="3" s="1"/>
  <c r="H922" i="3"/>
  <c r="I922" i="3" s="1"/>
  <c r="H1054" i="3"/>
  <c r="I1054" i="3" s="1"/>
  <c r="H1102" i="3"/>
  <c r="I1102" i="3" s="1"/>
  <c r="H1130" i="3"/>
  <c r="I1130" i="3" s="1"/>
  <c r="H1214" i="3"/>
  <c r="I1214" i="3" s="1"/>
  <c r="H16" i="3"/>
  <c r="I16" i="3" s="1"/>
  <c r="H136" i="3"/>
  <c r="I136" i="3" s="1"/>
  <c r="H200" i="3"/>
  <c r="I200" i="3" s="1"/>
  <c r="H304" i="3"/>
  <c r="I304" i="3" s="1"/>
  <c r="H440" i="3"/>
  <c r="I440" i="3" s="1"/>
  <c r="H496" i="3"/>
  <c r="I496" i="3" s="1"/>
  <c r="H564" i="3"/>
  <c r="I564" i="3" s="1"/>
  <c r="H816" i="3"/>
  <c r="I816" i="3" s="1"/>
  <c r="H892" i="3"/>
  <c r="I892" i="3" s="1"/>
  <c r="H916" i="3"/>
  <c r="I916" i="3" s="1"/>
  <c r="H1016" i="3"/>
  <c r="I1016" i="3" s="1"/>
  <c r="H1052" i="3"/>
  <c r="I1052" i="3" s="1"/>
  <c r="H1120" i="3"/>
  <c r="I1120" i="3" s="1"/>
  <c r="H1440" i="3"/>
  <c r="I1440" i="3" s="1"/>
  <c r="H1668" i="3"/>
  <c r="I1668" i="3" s="1"/>
  <c r="H217" i="3"/>
  <c r="I217" i="3" s="1"/>
  <c r="H417" i="3"/>
  <c r="I417" i="3" s="1"/>
  <c r="H77" i="3"/>
  <c r="I77" i="3" s="1"/>
  <c r="H841" i="3"/>
  <c r="I841" i="3" s="1"/>
  <c r="H1137" i="3"/>
  <c r="I1137" i="3" s="1"/>
  <c r="H95" i="3"/>
  <c r="I95" i="3" s="1"/>
  <c r="H367" i="3"/>
  <c r="I367" i="3" s="1"/>
  <c r="H643" i="3"/>
  <c r="I643" i="3" s="1"/>
  <c r="H731" i="3"/>
  <c r="I731" i="3" s="1"/>
  <c r="H787" i="3"/>
  <c r="I787" i="3" s="1"/>
  <c r="H795" i="3"/>
  <c r="I795" i="3" s="1"/>
  <c r="H1227" i="3"/>
  <c r="I1227" i="3" s="1"/>
  <c r="H1235" i="3"/>
  <c r="I1235" i="3" s="1"/>
  <c r="H403" i="3"/>
  <c r="I403" i="3" s="1"/>
  <c r="H989" i="3"/>
  <c r="I989" i="3" s="1"/>
  <c r="H1189" i="3"/>
  <c r="I1189" i="3" s="1"/>
  <c r="H1415" i="3"/>
  <c r="I1415" i="3" s="1"/>
  <c r="H1519" i="3"/>
  <c r="I1519" i="3" s="1"/>
  <c r="H1719" i="3"/>
  <c r="I1719" i="3" s="1"/>
  <c r="H1835" i="3"/>
  <c r="I1835" i="3" s="1"/>
  <c r="H1851" i="3"/>
  <c r="I1851" i="3" s="1"/>
  <c r="H1915" i="3"/>
  <c r="I1915" i="3" s="1"/>
  <c r="H2091" i="3"/>
  <c r="I2091" i="3" s="1"/>
  <c r="H2123" i="3"/>
  <c r="I2123" i="3" s="1"/>
  <c r="H2131" i="3"/>
  <c r="I2131" i="3" s="1"/>
  <c r="H2279" i="3"/>
  <c r="I2279" i="3" s="1"/>
  <c r="H631" i="3"/>
  <c r="I631" i="3" s="1"/>
  <c r="H2020" i="3"/>
  <c r="I2020" i="3" s="1"/>
  <c r="H2192" i="3"/>
  <c r="I2192" i="3" s="1"/>
  <c r="H2348" i="3"/>
  <c r="I2348" i="3" s="1"/>
  <c r="H2464" i="3"/>
  <c r="I2464" i="3" s="1"/>
  <c r="H2636" i="3"/>
  <c r="I2636" i="3" s="1"/>
  <c r="H1451" i="3"/>
  <c r="I1451" i="3" s="1"/>
  <c r="H1579" i="3"/>
  <c r="I1579" i="3" s="1"/>
  <c r="H1805" i="3"/>
  <c r="I1805" i="3" s="1"/>
  <c r="H1825" i="3"/>
  <c r="I1825" i="3" s="1"/>
  <c r="H2073" i="3"/>
  <c r="I2073" i="3" s="1"/>
  <c r="H2201" i="3"/>
  <c r="I2201" i="3" s="1"/>
  <c r="H2237" i="3"/>
  <c r="I2237" i="3" s="1"/>
  <c r="H1778" i="3"/>
  <c r="I1778" i="3" s="1"/>
  <c r="H2322" i="3"/>
  <c r="I2322" i="3" s="1"/>
  <c r="H2431" i="3"/>
  <c r="I2431" i="3" s="1"/>
  <c r="H1265" i="3"/>
  <c r="I1265" i="3" s="1"/>
  <c r="H2262" i="3"/>
  <c r="I2262" i="3" s="1"/>
  <c r="H2498" i="3"/>
  <c r="I2498" i="3" s="1"/>
  <c r="H503" i="3"/>
  <c r="I503" i="3" s="1"/>
  <c r="H1533" i="3"/>
  <c r="I1533" i="3" s="1"/>
  <c r="H1978" i="3"/>
  <c r="I1978" i="3" s="1"/>
  <c r="H2395" i="3"/>
  <c r="I2395" i="3" s="1"/>
  <c r="H2483" i="3"/>
  <c r="I2483" i="3" s="1"/>
  <c r="H2270" i="3"/>
  <c r="I2270" i="3" s="1"/>
  <c r="H2334" i="3"/>
  <c r="I2334" i="3" s="1"/>
  <c r="H2518" i="3"/>
  <c r="I2518" i="3" s="1"/>
  <c r="H2647" i="3"/>
  <c r="I2647" i="3" s="1"/>
  <c r="H2757" i="3"/>
  <c r="I2757" i="3" s="1"/>
  <c r="H2841" i="3"/>
  <c r="I2841" i="3" s="1"/>
  <c r="H3005" i="3"/>
  <c r="I3005" i="3" s="1"/>
  <c r="H3069" i="3"/>
  <c r="I3069" i="3" s="1"/>
  <c r="H3153" i="3"/>
  <c r="I3153" i="3" s="1"/>
  <c r="H3165" i="3"/>
  <c r="I3165" i="3" s="1"/>
  <c r="H2523" i="3"/>
  <c r="I2523" i="3" s="1"/>
  <c r="H2633" i="3"/>
  <c r="I2633" i="3" s="1"/>
  <c r="H2906" i="3"/>
  <c r="I2906" i="3" s="1"/>
  <c r="H3118" i="3"/>
  <c r="I3118" i="3" s="1"/>
  <c r="H3134" i="3"/>
  <c r="I3134" i="3" s="1"/>
  <c r="H3230" i="3"/>
  <c r="I3230" i="3" s="1"/>
  <c r="H2507" i="3"/>
  <c r="I2507" i="3" s="1"/>
  <c r="H2639" i="3"/>
  <c r="I2639" i="3" s="1"/>
  <c r="H2799" i="3"/>
  <c r="I2799" i="3" s="1"/>
  <c r="H2895" i="3"/>
  <c r="I2895" i="3" s="1"/>
  <c r="H2991" i="3"/>
  <c r="I2991" i="3" s="1"/>
  <c r="H3003" i="3"/>
  <c r="I3003" i="3" s="1"/>
  <c r="H3087" i="3"/>
  <c r="I3087" i="3" s="1"/>
  <c r="H3171" i="3"/>
  <c r="I3171" i="3" s="1"/>
  <c r="H3211" i="3"/>
  <c r="I3211" i="3" s="1"/>
  <c r="H2848" i="3"/>
  <c r="I2848" i="3" s="1"/>
  <c r="H2880" i="3"/>
  <c r="I2880" i="3" s="1"/>
  <c r="H26" i="3"/>
  <c r="I26" i="3" s="1"/>
  <c r="H530" i="3"/>
  <c r="I530" i="3" s="1"/>
  <c r="H566" i="3"/>
  <c r="I566" i="3" s="1"/>
  <c r="H630" i="3"/>
  <c r="I630" i="3" s="1"/>
  <c r="H670" i="3"/>
  <c r="I670" i="3" s="1"/>
  <c r="H886" i="3"/>
  <c r="I886" i="3" s="1"/>
  <c r="H958" i="3"/>
  <c r="I958" i="3" s="1"/>
  <c r="H990" i="3"/>
  <c r="I990" i="3" s="1"/>
  <c r="H1170" i="3"/>
  <c r="I1170" i="3" s="1"/>
  <c r="H1190" i="3"/>
  <c r="I1190" i="3" s="1"/>
  <c r="H1266" i="3"/>
  <c r="I1266" i="3" s="1"/>
  <c r="H1406" i="3"/>
  <c r="I1406" i="3" s="1"/>
  <c r="H280" i="3"/>
  <c r="I280" i="3" s="1"/>
  <c r="H792" i="3"/>
  <c r="I792" i="3" s="1"/>
  <c r="H1004" i="3"/>
  <c r="I1004" i="3" s="1"/>
  <c r="H1164" i="3"/>
  <c r="I1164" i="3" s="1"/>
  <c r="H1248" i="3"/>
  <c r="I1248" i="3" s="1"/>
  <c r="H1280" i="3"/>
  <c r="I1280" i="3" s="1"/>
  <c r="H1336" i="3"/>
  <c r="I1336" i="3" s="1"/>
  <c r="H1348" i="3"/>
  <c r="I1348" i="3" s="1"/>
  <c r="H1520" i="3"/>
  <c r="I1520" i="3" s="1"/>
  <c r="H1564" i="3"/>
  <c r="I1564" i="3" s="1"/>
  <c r="H1636" i="3"/>
  <c r="I1636" i="3" s="1"/>
  <c r="H61" i="3"/>
  <c r="I61" i="3" s="1"/>
  <c r="H91" i="3"/>
  <c r="I91" i="3" s="1"/>
  <c r="H857" i="3"/>
  <c r="I857" i="3" s="1"/>
  <c r="H1193" i="3"/>
  <c r="I1193" i="3" s="1"/>
  <c r="H1257" i="3"/>
  <c r="I1257" i="3" s="1"/>
  <c r="H111" i="3"/>
  <c r="I111" i="3" s="1"/>
  <c r="H227" i="3"/>
  <c r="I227" i="3" s="1"/>
  <c r="H653" i="3"/>
  <c r="I653" i="3" s="1"/>
  <c r="H861" i="3"/>
  <c r="I861" i="3" s="1"/>
  <c r="H869" i="3"/>
  <c r="I869" i="3" s="1"/>
  <c r="H1135" i="3"/>
  <c r="I1135" i="3" s="1"/>
  <c r="H1231" i="3"/>
  <c r="I1231" i="3" s="1"/>
  <c r="H1303" i="3"/>
  <c r="I1303" i="3" s="1"/>
  <c r="H1391" i="3"/>
  <c r="I1391" i="3" s="1"/>
  <c r="H1711" i="3"/>
  <c r="I1711" i="3" s="1"/>
  <c r="H1883" i="3"/>
  <c r="I1883" i="3" s="1"/>
  <c r="H2107" i="3"/>
  <c r="I2107" i="3" s="1"/>
  <c r="H2215" i="3"/>
  <c r="I2215" i="3" s="1"/>
  <c r="H2335" i="3"/>
  <c r="I2335" i="3" s="1"/>
  <c r="H1239" i="3"/>
  <c r="I1239" i="3" s="1"/>
  <c r="H1736" i="3"/>
  <c r="I1736" i="3" s="1"/>
  <c r="H1888" i="3"/>
  <c r="I1888" i="3" s="1"/>
  <c r="H2088" i="3"/>
  <c r="I2088" i="3" s="1"/>
  <c r="H2224" i="3"/>
  <c r="I2224" i="3" s="1"/>
  <c r="H2548" i="3"/>
  <c r="I2548" i="3" s="1"/>
  <c r="H1215" i="3"/>
  <c r="I1215" i="3" s="1"/>
  <c r="H2149" i="3"/>
  <c r="I2149" i="3" s="1"/>
  <c r="H2273" i="3"/>
  <c r="I2273" i="3" s="1"/>
  <c r="H2513" i="3"/>
  <c r="I2513" i="3" s="1"/>
  <c r="H1698" i="3"/>
  <c r="I1698" i="3" s="1"/>
  <c r="H1826" i="3"/>
  <c r="I1826" i="3" s="1"/>
  <c r="H1589" i="3"/>
  <c r="I1589" i="3" s="1"/>
  <c r="H1990" i="3"/>
  <c r="I1990" i="3" s="1"/>
  <c r="H2466" i="3"/>
  <c r="I2466" i="3" s="1"/>
  <c r="H1597" i="3"/>
  <c r="I1597" i="3" s="1"/>
  <c r="H1706" i="3"/>
  <c r="I1706" i="3" s="1"/>
  <c r="H2090" i="3"/>
  <c r="I2090" i="3" s="1"/>
  <c r="H1509" i="3"/>
  <c r="I1509" i="3" s="1"/>
  <c r="H2350" i="3"/>
  <c r="I2350" i="3" s="1"/>
  <c r="H2661" i="3"/>
  <c r="I2661" i="3" s="1"/>
  <c r="H2689" i="3"/>
  <c r="I2689" i="3" s="1"/>
  <c r="H2693" i="3"/>
  <c r="I2693" i="3" s="1"/>
  <c r="H2993" i="3"/>
  <c r="I2993" i="3" s="1"/>
  <c r="H2678" i="3"/>
  <c r="I2678" i="3" s="1"/>
  <c r="H2722" i="3"/>
  <c r="I2722" i="3" s="1"/>
  <c r="H2894" i="3"/>
  <c r="I2894" i="3" s="1"/>
  <c r="H2958" i="3"/>
  <c r="I2958" i="3" s="1"/>
  <c r="H3130" i="3"/>
  <c r="I3130" i="3" s="1"/>
  <c r="H3202" i="3"/>
  <c r="I3202" i="3" s="1"/>
  <c r="H2618" i="3"/>
  <c r="I2618" i="3" s="1"/>
  <c r="H2711" i="3"/>
  <c r="I2711" i="3" s="1"/>
  <c r="H3047" i="3"/>
  <c r="I3047" i="3" s="1"/>
  <c r="H3111" i="3"/>
  <c r="I3111" i="3" s="1"/>
  <c r="H2641" i="3"/>
  <c r="I2641" i="3" s="1"/>
  <c r="H2704" i="3"/>
  <c r="I2704" i="3" s="1"/>
  <c r="H2792" i="3"/>
  <c r="I2792" i="3" s="1"/>
  <c r="H42" i="3"/>
  <c r="I42" i="3" s="1"/>
  <c r="H78" i="3"/>
  <c r="I78" i="3" s="1"/>
  <c r="H450" i="3"/>
  <c r="I450" i="3" s="1"/>
  <c r="H518" i="3"/>
  <c r="I518" i="3" s="1"/>
  <c r="H594" i="3"/>
  <c r="I594" i="3" s="1"/>
  <c r="H762" i="3"/>
  <c r="I762" i="3" s="1"/>
  <c r="H858" i="3"/>
  <c r="I858" i="3" s="1"/>
  <c r="H914" i="3"/>
  <c r="I914" i="3" s="1"/>
  <c r="H1218" i="3"/>
  <c r="I1218" i="3" s="1"/>
  <c r="H1234" i="3"/>
  <c r="I1234" i="3" s="1"/>
  <c r="H1250" i="3"/>
  <c r="I1250" i="3" s="1"/>
  <c r="H1326" i="3"/>
  <c r="I1326" i="3" s="1"/>
  <c r="H1382" i="3"/>
  <c r="I1382" i="3" s="1"/>
  <c r="H1478" i="3"/>
  <c r="I1478" i="3" s="1"/>
  <c r="H1482" i="3"/>
  <c r="I1482" i="3" s="1"/>
  <c r="H1494" i="3"/>
  <c r="I1494" i="3" s="1"/>
  <c r="H1626" i="3"/>
  <c r="I1626" i="3" s="1"/>
  <c r="H36" i="3"/>
  <c r="I36" i="3" s="1"/>
  <c r="H176" i="3"/>
  <c r="I176" i="3" s="1"/>
  <c r="H244" i="3"/>
  <c r="I244" i="3" s="1"/>
  <c r="H268" i="3"/>
  <c r="I268" i="3" s="1"/>
  <c r="H284" i="3"/>
  <c r="I284" i="3" s="1"/>
  <c r="H452" i="3"/>
  <c r="I452" i="3" s="1"/>
  <c r="H484" i="3"/>
  <c r="I484" i="3" s="1"/>
  <c r="H644" i="3"/>
  <c r="I644" i="3" s="1"/>
  <c r="H672" i="3"/>
  <c r="I672" i="3" s="1"/>
  <c r="H804" i="3"/>
  <c r="I804" i="3" s="1"/>
  <c r="H864" i="3"/>
  <c r="I864" i="3" s="1"/>
  <c r="H904" i="3"/>
  <c r="I904" i="3" s="1"/>
  <c r="H944" i="3"/>
  <c r="I944" i="3" s="1"/>
  <c r="H1000" i="3"/>
  <c r="I1000" i="3" s="1"/>
  <c r="H1020" i="3"/>
  <c r="I1020" i="3" s="1"/>
  <c r="H1064" i="3"/>
  <c r="I1064" i="3" s="1"/>
  <c r="H1156" i="3"/>
  <c r="I1156" i="3" s="1"/>
  <c r="H1300" i="3"/>
  <c r="I1300" i="3" s="1"/>
  <c r="H1344" i="3"/>
  <c r="I1344" i="3" s="1"/>
  <c r="H1484" i="3"/>
  <c r="I1484" i="3" s="1"/>
  <c r="H129" i="3"/>
  <c r="I129" i="3" s="1"/>
  <c r="H273" i="3"/>
  <c r="I273" i="3" s="1"/>
  <c r="H557" i="3"/>
  <c r="I557" i="3" s="1"/>
  <c r="H251" i="3"/>
  <c r="I251" i="3" s="1"/>
  <c r="H315" i="3"/>
  <c r="I315" i="3" s="1"/>
  <c r="H961" i="3"/>
  <c r="I961" i="3" s="1"/>
  <c r="H993" i="3"/>
  <c r="I993" i="3" s="1"/>
  <c r="H1089" i="3"/>
  <c r="I1089" i="3" s="1"/>
  <c r="H1121" i="3"/>
  <c r="I1121" i="3" s="1"/>
  <c r="H1177" i="3"/>
  <c r="I1177" i="3" s="1"/>
  <c r="H1201" i="3"/>
  <c r="I1201" i="3" s="1"/>
  <c r="H1233" i="3"/>
  <c r="I1233" i="3" s="1"/>
  <c r="H47" i="3"/>
  <c r="I47" i="3" s="1"/>
  <c r="H319" i="3"/>
  <c r="I319" i="3" s="1"/>
  <c r="H495" i="3"/>
  <c r="I495" i="3" s="1"/>
  <c r="H691" i="3"/>
  <c r="I691" i="3" s="1"/>
  <c r="H747" i="3"/>
  <c r="I747" i="3" s="1"/>
  <c r="H1083" i="3"/>
  <c r="I1083" i="3" s="1"/>
  <c r="H67" i="3"/>
  <c r="I67" i="3" s="1"/>
  <c r="H997" i="3"/>
  <c r="I997" i="3" s="1"/>
  <c r="H1005" i="3"/>
  <c r="I1005" i="3" s="1"/>
  <c r="H1045" i="3"/>
  <c r="I1045" i="3" s="1"/>
  <c r="H1061" i="3"/>
  <c r="I1061" i="3" s="1"/>
  <c r="H1149" i="3"/>
  <c r="I1149" i="3" s="1"/>
  <c r="H1165" i="3"/>
  <c r="I1165" i="3" s="1"/>
  <c r="H1071" i="3"/>
  <c r="I1071" i="3" s="1"/>
  <c r="H1599" i="3"/>
  <c r="I1599" i="3" s="1"/>
  <c r="H1691" i="3"/>
  <c r="I1691" i="3" s="1"/>
  <c r="H1707" i="3"/>
  <c r="I1707" i="3" s="1"/>
  <c r="H1787" i="3"/>
  <c r="I1787" i="3" s="1"/>
  <c r="H1803" i="3"/>
  <c r="I1803" i="3" s="1"/>
  <c r="H1971" i="3"/>
  <c r="I1971" i="3" s="1"/>
  <c r="H1975" i="3"/>
  <c r="I1975" i="3" s="1"/>
  <c r="H2031" i="3"/>
  <c r="I2031" i="3" s="1"/>
  <c r="H2355" i="3"/>
  <c r="I2355" i="3" s="1"/>
  <c r="H87" i="3"/>
  <c r="I87" i="3" s="1"/>
  <c r="H791" i="3"/>
  <c r="I791" i="3" s="1"/>
  <c r="H887" i="3"/>
  <c r="I887" i="3" s="1"/>
  <c r="H1313" i="3"/>
  <c r="I1313" i="3" s="1"/>
  <c r="H1577" i="3"/>
  <c r="I1577" i="3" s="1"/>
  <c r="H1756" i="3"/>
  <c r="I1756" i="3" s="1"/>
  <c r="H1792" i="3"/>
  <c r="I1792" i="3" s="1"/>
  <c r="H1808" i="3"/>
  <c r="I1808" i="3" s="1"/>
  <c r="H1852" i="3"/>
  <c r="I1852" i="3" s="1"/>
  <c r="H1912" i="3"/>
  <c r="I1912" i="3" s="1"/>
  <c r="H2156" i="3"/>
  <c r="I2156" i="3" s="1"/>
  <c r="H2256" i="3"/>
  <c r="I2256" i="3" s="1"/>
  <c r="H2468" i="3"/>
  <c r="I2468" i="3" s="1"/>
  <c r="H2484" i="3"/>
  <c r="I2484" i="3" s="1"/>
  <c r="H2580" i="3"/>
  <c r="I2580" i="3" s="1"/>
  <c r="H863" i="3"/>
  <c r="I863" i="3" s="1"/>
  <c r="H991" i="3"/>
  <c r="I991" i="3" s="1"/>
  <c r="H1119" i="3"/>
  <c r="I1119" i="3" s="1"/>
  <c r="H1247" i="3"/>
  <c r="I1247" i="3" s="1"/>
  <c r="H1395" i="3"/>
  <c r="I1395" i="3" s="1"/>
  <c r="H1435" i="3"/>
  <c r="I1435" i="3" s="1"/>
  <c r="H1515" i="3"/>
  <c r="I1515" i="3" s="1"/>
  <c r="H1646" i="3"/>
  <c r="I1646" i="3" s="1"/>
  <c r="H1713" i="3"/>
  <c r="I1713" i="3" s="1"/>
  <c r="H1773" i="3"/>
  <c r="I1773" i="3" s="1"/>
  <c r="H1813" i="3"/>
  <c r="I1813" i="3" s="1"/>
  <c r="H2005" i="3"/>
  <c r="I2005" i="3" s="1"/>
  <c r="H2101" i="3"/>
  <c r="I2101" i="3" s="1"/>
  <c r="H2141" i="3"/>
  <c r="I2141" i="3" s="1"/>
  <c r="H2349" i="3"/>
  <c r="I2349" i="3" s="1"/>
  <c r="H2465" i="3"/>
  <c r="I2465" i="3" s="1"/>
  <c r="H2553" i="3"/>
  <c r="I2553" i="3" s="1"/>
  <c r="H1517" i="3"/>
  <c r="I1517" i="3" s="1"/>
  <c r="H2383" i="3"/>
  <c r="I2383" i="3" s="1"/>
  <c r="H1557" i="3"/>
  <c r="I1557" i="3" s="1"/>
  <c r="H1862" i="3"/>
  <c r="I1862" i="3" s="1"/>
  <c r="H1946" i="3"/>
  <c r="I1946" i="3" s="1"/>
  <c r="H2138" i="3"/>
  <c r="I2138" i="3" s="1"/>
  <c r="H2427" i="3"/>
  <c r="I2427" i="3" s="1"/>
  <c r="H2459" i="3"/>
  <c r="I2459" i="3" s="1"/>
  <c r="H839" i="3"/>
  <c r="I839" i="3" s="1"/>
  <c r="H2374" i="3"/>
  <c r="I2374" i="3" s="1"/>
  <c r="H2438" i="3"/>
  <c r="I2438" i="3" s="1"/>
  <c r="H2462" i="3"/>
  <c r="I2462" i="3" s="1"/>
  <c r="H2741" i="3"/>
  <c r="I2741" i="3" s="1"/>
  <c r="H2805" i="3"/>
  <c r="I2805" i="3" s="1"/>
  <c r="H3029" i="3"/>
  <c r="I3029" i="3" s="1"/>
  <c r="H3169" i="3"/>
  <c r="I3169" i="3" s="1"/>
  <c r="H3189" i="3"/>
  <c r="I3189" i="3" s="1"/>
  <c r="H2563" i="3"/>
  <c r="I2563" i="3" s="1"/>
  <c r="H2734" i="3"/>
  <c r="I2734" i="3" s="1"/>
  <c r="H2950" i="3"/>
  <c r="I2950" i="3" s="1"/>
  <c r="H3038" i="3"/>
  <c r="I3038" i="3" s="1"/>
  <c r="H3070" i="3"/>
  <c r="I3070" i="3" s="1"/>
  <c r="H3106" i="3"/>
  <c r="I3106" i="3" s="1"/>
  <c r="H2671" i="3"/>
  <c r="I2671" i="3" s="1"/>
  <c r="H2691" i="3"/>
  <c r="I2691" i="3" s="1"/>
  <c r="H2735" i="3"/>
  <c r="I2735" i="3" s="1"/>
  <c r="H2775" i="3"/>
  <c r="I2775" i="3" s="1"/>
  <c r="H2795" i="3"/>
  <c r="I2795" i="3" s="1"/>
  <c r="H2887" i="3"/>
  <c r="I2887" i="3" s="1"/>
  <c r="H2903" i="3"/>
  <c r="I2903" i="3" s="1"/>
  <c r="H2927" i="3"/>
  <c r="I2927" i="3" s="1"/>
  <c r="H2967" i="3"/>
  <c r="I2967" i="3" s="1"/>
  <c r="H3023" i="3"/>
  <c r="I3023" i="3" s="1"/>
  <c r="H3199" i="3"/>
  <c r="I3199" i="3" s="1"/>
  <c r="H2700" i="3"/>
  <c r="I2700" i="3" s="1"/>
  <c r="H2828" i="3"/>
  <c r="I2828" i="3" s="1"/>
  <c r="H3064" i="3"/>
  <c r="I3064" i="3" s="1"/>
  <c r="H3188" i="3"/>
  <c r="I3188" i="3" s="1"/>
  <c r="H3228" i="3"/>
  <c r="I3228" i="3" s="1"/>
  <c r="H14" i="3"/>
  <c r="I14" i="3" s="1"/>
  <c r="H50" i="3"/>
  <c r="I50" i="3" s="1"/>
  <c r="H90" i="3"/>
  <c r="I90" i="3" s="1"/>
  <c r="H98" i="3"/>
  <c r="I98" i="3" s="1"/>
  <c r="H242" i="3"/>
  <c r="I242" i="3" s="1"/>
  <c r="H270" i="3"/>
  <c r="I270" i="3" s="1"/>
  <c r="H698" i="3"/>
  <c r="I698" i="3" s="1"/>
  <c r="H802" i="3"/>
  <c r="I802" i="3" s="1"/>
  <c r="H942" i="3"/>
  <c r="I942" i="3" s="1"/>
  <c r="H1066" i="3"/>
  <c r="I1066" i="3" s="1"/>
  <c r="H1090" i="3"/>
  <c r="I1090" i="3" s="1"/>
  <c r="H1118" i="3"/>
  <c r="I1118" i="3" s="1"/>
  <c r="H1142" i="3"/>
  <c r="I1142" i="3" s="1"/>
  <c r="H1242" i="3"/>
  <c r="I1242" i="3" s="1"/>
  <c r="H1590" i="3"/>
  <c r="I1590" i="3" s="1"/>
  <c r="H104" i="3"/>
  <c r="I104" i="3" s="1"/>
  <c r="H212" i="3"/>
  <c r="I212" i="3" s="1"/>
  <c r="H348" i="3"/>
  <c r="I348" i="3" s="1"/>
  <c r="H480" i="3"/>
  <c r="I480" i="3" s="1"/>
  <c r="H764" i="3"/>
  <c r="I764" i="3" s="1"/>
  <c r="H956" i="3"/>
  <c r="I956" i="3" s="1"/>
  <c r="H1332" i="3"/>
  <c r="I1332" i="3" s="1"/>
  <c r="H81" i="3"/>
  <c r="I81" i="3" s="1"/>
  <c r="H225" i="3"/>
  <c r="I225" i="3" s="1"/>
  <c r="H281" i="3"/>
  <c r="I281" i="3" s="1"/>
  <c r="H93" i="3"/>
  <c r="I93" i="3" s="1"/>
  <c r="H117" i="3"/>
  <c r="I117" i="3" s="1"/>
  <c r="H157" i="3"/>
  <c r="I157" i="3" s="1"/>
  <c r="H189" i="3"/>
  <c r="I189" i="3" s="1"/>
  <c r="H237" i="3"/>
  <c r="I237" i="3" s="1"/>
  <c r="H429" i="3"/>
  <c r="I429" i="3" s="1"/>
  <c r="H485" i="3"/>
  <c r="I485" i="3" s="1"/>
  <c r="H745" i="3"/>
  <c r="I745" i="3" s="1"/>
  <c r="H889" i="3"/>
  <c r="I889" i="3" s="1"/>
  <c r="H905" i="3"/>
  <c r="I905" i="3" s="1"/>
  <c r="H1033" i="3"/>
  <c r="I1033" i="3" s="1"/>
  <c r="H603" i="3"/>
  <c r="I603" i="3" s="1"/>
  <c r="H667" i="3"/>
  <c r="I667" i="3" s="1"/>
  <c r="H755" i="3"/>
  <c r="I755" i="3" s="1"/>
  <c r="H819" i="3"/>
  <c r="I819" i="3" s="1"/>
  <c r="H915" i="3"/>
  <c r="I915" i="3" s="1"/>
  <c r="H971" i="3"/>
  <c r="I971" i="3" s="1"/>
  <c r="H1275" i="3"/>
  <c r="I1275" i="3" s="1"/>
  <c r="H805" i="3"/>
  <c r="I805" i="3" s="1"/>
  <c r="H885" i="3"/>
  <c r="I885" i="3" s="1"/>
  <c r="H901" i="3"/>
  <c r="I901" i="3" s="1"/>
  <c r="H1069" i="3"/>
  <c r="I1069" i="3" s="1"/>
  <c r="H1535" i="3"/>
  <c r="I1535" i="3" s="1"/>
  <c r="H1923" i="3"/>
  <c r="I1923" i="3" s="1"/>
  <c r="H1951" i="3"/>
  <c r="I1951" i="3" s="1"/>
  <c r="H2135" i="3"/>
  <c r="I2135" i="3" s="1"/>
  <c r="H2139" i="3"/>
  <c r="I2139" i="3" s="1"/>
  <c r="H1561" i="3"/>
  <c r="I1561" i="3" s="1"/>
  <c r="H1704" i="3"/>
  <c r="I1704" i="3" s="1"/>
  <c r="H1740" i="3"/>
  <c r="I1740" i="3" s="1"/>
  <c r="H1876" i="3"/>
  <c r="I1876" i="3" s="1"/>
  <c r="H2076" i="3"/>
  <c r="I2076" i="3" s="1"/>
  <c r="H2300" i="3"/>
  <c r="I2300" i="3" s="1"/>
  <c r="H2332" i="3"/>
  <c r="I2332" i="3" s="1"/>
  <c r="H2448" i="3"/>
  <c r="I2448" i="3" s="1"/>
  <c r="H895" i="3"/>
  <c r="I895" i="3" s="1"/>
  <c r="H1507" i="3"/>
  <c r="I1507" i="3" s="1"/>
  <c r="H1861" i="3"/>
  <c r="I1861" i="3" s="1"/>
  <c r="H2357" i="3"/>
  <c r="I2357" i="3" s="1"/>
  <c r="H2581" i="3"/>
  <c r="I2581" i="3" s="1"/>
  <c r="H2585" i="3"/>
  <c r="I2585" i="3" s="1"/>
  <c r="H2194" i="3"/>
  <c r="I2194" i="3" s="1"/>
  <c r="H2182" i="3"/>
  <c r="I2182" i="3" s="1"/>
  <c r="H679" i="3"/>
  <c r="I679" i="3" s="1"/>
  <c r="H2218" i="3"/>
  <c r="I2218" i="3" s="1"/>
  <c r="H2705" i="3"/>
  <c r="I2705" i="3" s="1"/>
  <c r="H2961" i="3"/>
  <c r="I2961" i="3" s="1"/>
  <c r="H2595" i="3"/>
  <c r="I2595" i="3" s="1"/>
  <c r="H2714" i="3"/>
  <c r="I2714" i="3" s="1"/>
  <c r="H2754" i="3"/>
  <c r="I2754" i="3" s="1"/>
  <c r="H2990" i="3"/>
  <c r="I2990" i="3" s="1"/>
  <c r="H2539" i="3"/>
  <c r="I2539" i="3" s="1"/>
  <c r="H2683" i="3"/>
  <c r="I2683" i="3" s="1"/>
  <c r="H2767" i="3"/>
  <c r="I2767" i="3" s="1"/>
  <c r="H2839" i="3"/>
  <c r="I2839" i="3" s="1"/>
  <c r="H3063" i="3"/>
  <c r="I3063" i="3" s="1"/>
  <c r="H2904" i="3"/>
  <c r="I2904" i="3" s="1"/>
  <c r="H2972" i="3"/>
  <c r="I2972" i="3" s="1"/>
  <c r="H3208" i="3"/>
  <c r="I3208" i="3" s="1"/>
  <c r="H30" i="3"/>
  <c r="I30" i="3" s="1"/>
  <c r="H54" i="3"/>
  <c r="I54" i="3" s="1"/>
  <c r="H174" i="3"/>
  <c r="I174" i="3" s="1"/>
  <c r="H182" i="3"/>
  <c r="I182" i="3" s="1"/>
  <c r="H250" i="3"/>
  <c r="I250" i="3" s="1"/>
  <c r="H286" i="3"/>
  <c r="I286" i="3" s="1"/>
  <c r="H306" i="3"/>
  <c r="I306" i="3" s="1"/>
  <c r="H366" i="3"/>
  <c r="I366" i="3" s="1"/>
  <c r="H398" i="3"/>
  <c r="I398" i="3" s="1"/>
  <c r="H658" i="3"/>
  <c r="I658" i="3" s="1"/>
  <c r="H766" i="3"/>
  <c r="I766" i="3" s="1"/>
  <c r="H782" i="3"/>
  <c r="I782" i="3" s="1"/>
  <c r="H806" i="3"/>
  <c r="I806" i="3" s="1"/>
  <c r="H962" i="3"/>
  <c r="I962" i="3" s="1"/>
  <c r="H1022" i="3"/>
  <c r="I1022" i="3" s="1"/>
  <c r="H1038" i="3"/>
  <c r="I1038" i="3" s="1"/>
  <c r="H1074" i="3"/>
  <c r="I1074" i="3" s="1"/>
  <c r="H1098" i="3"/>
  <c r="I1098" i="3" s="1"/>
  <c r="H1354" i="3"/>
  <c r="I1354" i="3" s="1"/>
  <c r="H1450" i="3"/>
  <c r="I1450" i="3" s="1"/>
  <c r="H1562" i="3"/>
  <c r="I1562" i="3" s="1"/>
  <c r="H1570" i="3"/>
  <c r="I1570" i="3" s="1"/>
  <c r="H1606" i="3"/>
  <c r="I1606" i="3" s="1"/>
  <c r="H76" i="3"/>
  <c r="I76" i="3" s="1"/>
  <c r="H92" i="3"/>
  <c r="I92" i="3" s="1"/>
  <c r="H152" i="3"/>
  <c r="I152" i="3" s="1"/>
  <c r="H180" i="3"/>
  <c r="I180" i="3" s="1"/>
  <c r="H184" i="3"/>
  <c r="I184" i="3" s="1"/>
  <c r="H300" i="3"/>
  <c r="I300" i="3" s="1"/>
  <c r="H312" i="3"/>
  <c r="I312" i="3" s="1"/>
  <c r="H356" i="3"/>
  <c r="I356" i="3" s="1"/>
  <c r="H364" i="3"/>
  <c r="I364" i="3" s="1"/>
  <c r="H796" i="3"/>
  <c r="I796" i="3" s="1"/>
  <c r="H820" i="3"/>
  <c r="I820" i="3" s="1"/>
  <c r="H828" i="3"/>
  <c r="I828" i="3" s="1"/>
  <c r="H972" i="3"/>
  <c r="I972" i="3" s="1"/>
  <c r="H1116" i="3"/>
  <c r="I1116" i="3" s="1"/>
  <c r="H1136" i="3"/>
  <c r="I1136" i="3" s="1"/>
  <c r="H1208" i="3"/>
  <c r="I1208" i="3" s="1"/>
  <c r="H1276" i="3"/>
  <c r="I1276" i="3" s="1"/>
  <c r="H1316" i="3"/>
  <c r="I1316" i="3" s="1"/>
  <c r="H1324" i="3"/>
  <c r="I1324" i="3" s="1"/>
  <c r="H1372" i="3"/>
  <c r="I1372" i="3" s="1"/>
  <c r="H1492" i="3"/>
  <c r="I1492" i="3" s="1"/>
  <c r="H1532" i="3"/>
  <c r="I1532" i="3" s="1"/>
  <c r="H1556" i="3"/>
  <c r="I1556" i="3" s="1"/>
  <c r="H1648" i="3"/>
  <c r="I1648" i="3" s="1"/>
  <c r="H1660" i="3"/>
  <c r="I1660" i="3" s="1"/>
  <c r="H105" i="3"/>
  <c r="I105" i="3" s="1"/>
  <c r="H377" i="3"/>
  <c r="I377" i="3" s="1"/>
  <c r="H85" i="3"/>
  <c r="I85" i="3" s="1"/>
  <c r="H539" i="3"/>
  <c r="I539" i="3" s="1"/>
  <c r="H555" i="3"/>
  <c r="I555" i="3" s="1"/>
  <c r="H929" i="3"/>
  <c r="I929" i="3" s="1"/>
  <c r="H255" i="3"/>
  <c r="I255" i="3" s="1"/>
  <c r="H351" i="3"/>
  <c r="I351" i="3" s="1"/>
  <c r="H559" i="3"/>
  <c r="I559" i="3" s="1"/>
  <c r="H627" i="3"/>
  <c r="I627" i="3" s="1"/>
  <c r="H883" i="3"/>
  <c r="I883" i="3" s="1"/>
  <c r="H891" i="3"/>
  <c r="I891" i="3" s="1"/>
  <c r="H1131" i="3"/>
  <c r="I1131" i="3" s="1"/>
  <c r="H323" i="3"/>
  <c r="I323" i="3" s="1"/>
  <c r="H629" i="3"/>
  <c r="I629" i="3" s="1"/>
  <c r="H677" i="3"/>
  <c r="I677" i="3" s="1"/>
  <c r="H829" i="3"/>
  <c r="I829" i="3" s="1"/>
  <c r="H837" i="3"/>
  <c r="I837" i="3" s="1"/>
  <c r="H941" i="3"/>
  <c r="I941" i="3" s="1"/>
  <c r="H1213" i="3"/>
  <c r="I1213" i="3" s="1"/>
  <c r="H583" i="3"/>
  <c r="I583" i="3" s="1"/>
  <c r="H815" i="3"/>
  <c r="I815" i="3" s="1"/>
  <c r="H847" i="3"/>
  <c r="I847" i="3" s="1"/>
  <c r="H1503" i="3"/>
  <c r="I1503" i="3" s="1"/>
  <c r="H1723" i="3"/>
  <c r="I1723" i="3" s="1"/>
  <c r="H1815" i="3"/>
  <c r="I1815" i="3" s="1"/>
  <c r="H1943" i="3"/>
  <c r="I1943" i="3" s="1"/>
  <c r="H2023" i="3"/>
  <c r="I2023" i="3" s="1"/>
  <c r="H2187" i="3"/>
  <c r="I2187" i="3" s="1"/>
  <c r="H2195" i="3"/>
  <c r="I2195" i="3" s="1"/>
  <c r="H2319" i="3"/>
  <c r="I2319" i="3" s="1"/>
  <c r="H1047" i="3"/>
  <c r="I1047" i="3" s="1"/>
  <c r="H1385" i="3"/>
  <c r="I1385" i="3" s="1"/>
  <c r="H1497" i="3"/>
  <c r="I1497" i="3" s="1"/>
  <c r="H1521" i="3"/>
  <c r="I1521" i="3" s="1"/>
  <c r="H1772" i="3"/>
  <c r="I1772" i="3" s="1"/>
  <c r="H1900" i="3"/>
  <c r="I1900" i="3" s="1"/>
  <c r="H1992" i="3"/>
  <c r="I1992" i="3" s="1"/>
  <c r="H2036" i="3"/>
  <c r="I2036" i="3" s="1"/>
  <c r="H2080" i="3"/>
  <c r="I2080" i="3" s="1"/>
  <c r="H2204" i="3"/>
  <c r="I2204" i="3" s="1"/>
  <c r="H2440" i="3"/>
  <c r="I2440" i="3" s="1"/>
  <c r="H2472" i="3"/>
  <c r="I2472" i="3" s="1"/>
  <c r="H2528" i="3"/>
  <c r="I2528" i="3" s="1"/>
  <c r="H2536" i="3"/>
  <c r="I2536" i="3" s="1"/>
  <c r="H2588" i="3"/>
  <c r="I2588" i="3" s="1"/>
  <c r="H1087" i="3"/>
  <c r="I1087" i="3" s="1"/>
  <c r="H1611" i="3"/>
  <c r="I1611" i="3" s="1"/>
  <c r="H1681" i="3"/>
  <c r="I1681" i="3" s="1"/>
  <c r="H1689" i="3"/>
  <c r="I1689" i="3" s="1"/>
  <c r="H1717" i="3"/>
  <c r="I1717" i="3" s="1"/>
  <c r="H1849" i="3"/>
  <c r="I1849" i="3" s="1"/>
  <c r="H1977" i="3"/>
  <c r="I1977" i="3" s="1"/>
  <c r="H2177" i="3"/>
  <c r="I2177" i="3" s="1"/>
  <c r="H2209" i="3"/>
  <c r="I2209" i="3" s="1"/>
  <c r="H2305" i="3"/>
  <c r="I2305" i="3" s="1"/>
  <c r="H2313" i="3"/>
  <c r="I2313" i="3" s="1"/>
  <c r="H2361" i="3"/>
  <c r="I2361" i="3" s="1"/>
  <c r="H2433" i="3"/>
  <c r="I2433" i="3" s="1"/>
  <c r="H2497" i="3"/>
  <c r="I2497" i="3" s="1"/>
  <c r="H1906" i="3"/>
  <c r="I1906" i="3" s="1"/>
  <c r="H2130" i="3"/>
  <c r="I2130" i="3" s="1"/>
  <c r="H2354" i="3"/>
  <c r="I2354" i="3" s="1"/>
  <c r="H1333" i="3"/>
  <c r="I1333" i="3" s="1"/>
  <c r="H2070" i="3"/>
  <c r="I2070" i="3" s="1"/>
  <c r="H2134" i="3"/>
  <c r="I2134" i="3" s="1"/>
  <c r="H2150" i="3"/>
  <c r="I2150" i="3" s="1"/>
  <c r="H2410" i="3"/>
  <c r="I2410" i="3" s="1"/>
  <c r="H1063" i="3"/>
  <c r="I1063" i="3" s="1"/>
  <c r="H1565" i="3"/>
  <c r="I1565" i="3" s="1"/>
  <c r="H1786" i="3"/>
  <c r="I1786" i="3" s="1"/>
  <c r="H2010" i="3"/>
  <c r="I2010" i="3" s="1"/>
  <c r="H2330" i="3"/>
  <c r="I2330" i="3" s="1"/>
  <c r="H2371" i="3"/>
  <c r="I2371" i="3" s="1"/>
  <c r="H2443" i="3"/>
  <c r="I2443" i="3" s="1"/>
  <c r="H711" i="3"/>
  <c r="I711" i="3" s="1"/>
  <c r="H1774" i="3"/>
  <c r="I1774" i="3" s="1"/>
  <c r="H1918" i="3"/>
  <c r="I1918" i="3" s="1"/>
  <c r="H1950" i="3"/>
  <c r="I1950" i="3" s="1"/>
  <c r="H1966" i="3"/>
  <c r="I1966" i="3" s="1"/>
  <c r="H2390" i="3"/>
  <c r="I2390" i="3" s="1"/>
  <c r="H2599" i="3"/>
  <c r="I2599" i="3" s="1"/>
  <c r="H2725" i="3"/>
  <c r="I2725" i="3" s="1"/>
  <c r="H2737" i="3"/>
  <c r="I2737" i="3" s="1"/>
  <c r="H2933" i="3"/>
  <c r="I2933" i="3" s="1"/>
  <c r="H3193" i="3"/>
  <c r="I3193" i="3" s="1"/>
  <c r="H3221" i="3"/>
  <c r="I3221" i="3" s="1"/>
  <c r="H3225" i="3"/>
  <c r="I3225" i="3" s="1"/>
  <c r="H2611" i="3"/>
  <c r="I2611" i="3" s="1"/>
  <c r="H2658" i="3"/>
  <c r="I2658" i="3" s="1"/>
  <c r="H3066" i="3"/>
  <c r="I3066" i="3" s="1"/>
  <c r="H3090" i="3"/>
  <c r="I3090" i="3" s="1"/>
  <c r="H3170" i="3"/>
  <c r="I3170" i="3" s="1"/>
  <c r="H2719" i="3"/>
  <c r="I2719" i="3" s="1"/>
  <c r="H2847" i="3"/>
  <c r="I2847" i="3" s="1"/>
  <c r="H2867" i="3"/>
  <c r="I2867" i="3" s="1"/>
  <c r="H2959" i="3"/>
  <c r="I2959" i="3" s="1"/>
  <c r="H2987" i="3"/>
  <c r="I2987" i="3" s="1"/>
  <c r="H3027" i="3"/>
  <c r="I3027" i="3" s="1"/>
  <c r="H3075" i="3"/>
  <c r="I3075" i="3" s="1"/>
  <c r="H3107" i="3"/>
  <c r="I3107" i="3" s="1"/>
  <c r="H3195" i="3"/>
  <c r="I3195" i="3" s="1"/>
  <c r="H2864" i="3"/>
  <c r="I2864" i="3" s="1"/>
  <c r="H2940" i="3"/>
  <c r="I2940" i="3" s="1"/>
  <c r="H2964" i="3"/>
  <c r="I2964" i="3" s="1"/>
  <c r="H3000" i="3"/>
  <c r="I3000" i="3" s="1"/>
  <c r="H3012" i="3"/>
  <c r="I3012" i="3" s="1"/>
  <c r="H3068" i="3"/>
  <c r="I3068" i="3" s="1"/>
  <c r="H3148" i="3"/>
  <c r="I3148" i="3" s="1"/>
  <c r="H3180" i="3"/>
  <c r="I3180" i="3" s="1"/>
  <c r="H3216" i="3"/>
  <c r="I3216" i="3" s="1"/>
  <c r="H102" i="3"/>
  <c r="I102" i="3" s="1"/>
  <c r="H110" i="3"/>
  <c r="I110" i="3" s="1"/>
  <c r="H154" i="3"/>
  <c r="I154" i="3" s="1"/>
  <c r="H390" i="3"/>
  <c r="I390" i="3" s="1"/>
  <c r="H402" i="3"/>
  <c r="I402" i="3" s="1"/>
  <c r="H414" i="3"/>
  <c r="I414" i="3" s="1"/>
  <c r="H514" i="3"/>
  <c r="I514" i="3" s="1"/>
  <c r="H562" i="3"/>
  <c r="I562" i="3" s="1"/>
  <c r="H622" i="3"/>
  <c r="I622" i="3" s="1"/>
  <c r="H642" i="3"/>
  <c r="I642" i="3" s="1"/>
  <c r="H734" i="3"/>
  <c r="I734" i="3" s="1"/>
  <c r="H834" i="3"/>
  <c r="I834" i="3" s="1"/>
  <c r="H838" i="3"/>
  <c r="I838" i="3" s="1"/>
  <c r="H906" i="3"/>
  <c r="I906" i="3" s="1"/>
  <c r="H1070" i="3"/>
  <c r="I1070" i="3" s="1"/>
  <c r="H1126" i="3"/>
  <c r="I1126" i="3" s="1"/>
  <c r="H1162" i="3"/>
  <c r="I1162" i="3" s="1"/>
  <c r="H1362" i="3"/>
  <c r="I1362" i="3" s="1"/>
  <c r="H1370" i="3"/>
  <c r="I1370" i="3" s="1"/>
  <c r="H1414" i="3"/>
  <c r="I1414" i="3" s="1"/>
  <c r="H1454" i="3"/>
  <c r="I1454" i="3" s="1"/>
  <c r="H32" i="3"/>
  <c r="I32" i="3" s="1"/>
  <c r="H60" i="3"/>
  <c r="I60" i="3" s="1"/>
  <c r="H64" i="3"/>
  <c r="I64" i="3" s="1"/>
  <c r="H220" i="3"/>
  <c r="I220" i="3" s="1"/>
  <c r="H324" i="3"/>
  <c r="I324" i="3" s="1"/>
  <c r="H360" i="3"/>
  <c r="I360" i="3" s="1"/>
  <c r="H404" i="3"/>
  <c r="I404" i="3" s="1"/>
  <c r="H516" i="3"/>
  <c r="I516" i="3" s="1"/>
  <c r="H544" i="3"/>
  <c r="I544" i="3" s="1"/>
  <c r="H568" i="3"/>
  <c r="I568" i="3" s="1"/>
  <c r="H596" i="3"/>
  <c r="I596" i="3" s="1"/>
  <c r="H732" i="3"/>
  <c r="I732" i="3" s="1"/>
  <c r="H748" i="3"/>
  <c r="I748" i="3" s="1"/>
  <c r="H1036" i="3"/>
  <c r="I1036" i="3" s="1"/>
  <c r="H1040" i="3"/>
  <c r="I1040" i="3" s="1"/>
  <c r="H1132" i="3"/>
  <c r="I1132" i="3" s="1"/>
  <c r="H1204" i="3"/>
  <c r="I1204" i="3" s="1"/>
  <c r="H1220" i="3"/>
  <c r="I1220" i="3" s="1"/>
  <c r="H1260" i="3"/>
  <c r="I1260" i="3" s="1"/>
  <c r="H1340" i="3"/>
  <c r="I1340" i="3" s="1"/>
  <c r="H1396" i="3"/>
  <c r="I1396" i="3" s="1"/>
  <c r="H1448" i="3"/>
  <c r="I1448" i="3" s="1"/>
  <c r="H1504" i="3"/>
  <c r="I1504" i="3" s="1"/>
  <c r="H1508" i="3"/>
  <c r="I1508" i="3" s="1"/>
  <c r="H1540" i="3"/>
  <c r="I1540" i="3" s="1"/>
  <c r="H1612" i="3"/>
  <c r="I1612" i="3" s="1"/>
  <c r="H41" i="3"/>
  <c r="I41" i="3" s="1"/>
  <c r="H401" i="3"/>
  <c r="I401" i="3" s="1"/>
  <c r="H577" i="3"/>
  <c r="I577" i="3" s="1"/>
  <c r="H165" i="3"/>
  <c r="I165" i="3" s="1"/>
  <c r="H341" i="3"/>
  <c r="I341" i="3" s="1"/>
  <c r="H509" i="3"/>
  <c r="I509" i="3" s="1"/>
  <c r="H897" i="3"/>
  <c r="I897" i="3" s="1"/>
  <c r="H977" i="3"/>
  <c r="I977" i="3" s="1"/>
  <c r="H1009" i="3"/>
  <c r="I1009" i="3" s="1"/>
  <c r="H15" i="3"/>
  <c r="I15" i="3" s="1"/>
  <c r="H659" i="3"/>
  <c r="I659" i="3" s="1"/>
  <c r="H699" i="3"/>
  <c r="I699" i="3" s="1"/>
  <c r="H875" i="3"/>
  <c r="I875" i="3" s="1"/>
  <c r="H1059" i="3"/>
  <c r="I1059" i="3" s="1"/>
  <c r="H1091" i="3"/>
  <c r="I1091" i="3" s="1"/>
  <c r="H1171" i="3"/>
  <c r="I1171" i="3" s="1"/>
  <c r="H19" i="3"/>
  <c r="I19" i="3" s="1"/>
  <c r="H339" i="3"/>
  <c r="I339" i="3" s="1"/>
  <c r="H435" i="3"/>
  <c r="I435" i="3" s="1"/>
  <c r="H499" i="3"/>
  <c r="I499" i="3" s="1"/>
  <c r="H1013" i="3"/>
  <c r="I1013" i="3" s="1"/>
  <c r="H1053" i="3"/>
  <c r="I1053" i="3" s="1"/>
  <c r="H719" i="3"/>
  <c r="I719" i="3" s="1"/>
  <c r="H1103" i="3"/>
  <c r="I1103" i="3" s="1"/>
  <c r="H1399" i="3"/>
  <c r="I1399" i="3" s="1"/>
  <c r="H1439" i="3"/>
  <c r="I1439" i="3" s="1"/>
  <c r="H1567" i="3"/>
  <c r="I1567" i="3" s="1"/>
  <c r="H1683" i="3"/>
  <c r="I1683" i="3" s="1"/>
  <c r="H2007" i="3"/>
  <c r="I2007" i="3" s="1"/>
  <c r="H2075" i="3"/>
  <c r="I2075" i="3" s="1"/>
  <c r="H2219" i="3"/>
  <c r="I2219" i="3" s="1"/>
  <c r="H23" i="3"/>
  <c r="I23" i="3" s="1"/>
  <c r="H535" i="3"/>
  <c r="I535" i="3" s="1"/>
  <c r="H695" i="3"/>
  <c r="I695" i="3" s="1"/>
  <c r="H823" i="3"/>
  <c r="I823" i="3" s="1"/>
  <c r="H951" i="3"/>
  <c r="I951" i="3" s="1"/>
  <c r="H1079" i="3"/>
  <c r="I1079" i="3" s="1"/>
  <c r="H1433" i="3"/>
  <c r="I1433" i="3" s="1"/>
  <c r="H1585" i="3"/>
  <c r="I1585" i="3" s="1"/>
  <c r="H1655" i="3"/>
  <c r="I1655" i="3" s="1"/>
  <c r="H1800" i="3"/>
  <c r="I1800" i="3" s="1"/>
  <c r="H1928" i="3"/>
  <c r="I1928" i="3" s="1"/>
  <c r="H1968" i="3"/>
  <c r="I1968" i="3" s="1"/>
  <c r="H1972" i="3"/>
  <c r="I1972" i="3" s="1"/>
  <c r="H1984" i="3"/>
  <c r="I1984" i="3" s="1"/>
  <c r="H2000" i="3"/>
  <c r="I2000" i="3" s="1"/>
  <c r="H2052" i="3"/>
  <c r="I2052" i="3" s="1"/>
  <c r="H2112" i="3"/>
  <c r="I2112" i="3" s="1"/>
  <c r="H2188" i="3"/>
  <c r="I2188" i="3" s="1"/>
  <c r="H2516" i="3"/>
  <c r="I2516" i="3" s="1"/>
  <c r="H2620" i="3"/>
  <c r="I2620" i="3" s="1"/>
  <c r="H1387" i="3"/>
  <c r="I1387" i="3" s="1"/>
  <c r="H1741" i="3"/>
  <c r="I1741" i="3" s="1"/>
  <c r="H2041" i="3"/>
  <c r="I2041" i="3" s="1"/>
  <c r="H2137" i="3"/>
  <c r="I2137" i="3" s="1"/>
  <c r="H2277" i="3"/>
  <c r="I2277" i="3" s="1"/>
  <c r="H2405" i="3"/>
  <c r="I2405" i="3" s="1"/>
  <c r="H2533" i="3"/>
  <c r="I2533" i="3" s="1"/>
  <c r="H2565" i="3"/>
  <c r="I2565" i="3" s="1"/>
  <c r="H2577" i="3"/>
  <c r="I2577" i="3" s="1"/>
  <c r="H1810" i="3"/>
  <c r="I1810" i="3" s="1"/>
  <c r="H2258" i="3"/>
  <c r="I2258" i="3" s="1"/>
  <c r="H2474" i="3"/>
  <c r="I2474" i="3" s="1"/>
  <c r="H2451" i="3"/>
  <c r="I2451" i="3" s="1"/>
  <c r="H2467" i="3"/>
  <c r="I2467" i="3" s="1"/>
  <c r="H1678" i="3"/>
  <c r="I1678" i="3" s="1"/>
  <c r="H1838" i="3"/>
  <c r="I1838" i="3" s="1"/>
  <c r="H1902" i="3"/>
  <c r="I1902" i="3" s="1"/>
  <c r="H2142" i="3"/>
  <c r="I2142" i="3" s="1"/>
  <c r="H2382" i="3"/>
  <c r="I2382" i="3" s="1"/>
  <c r="H2749" i="3"/>
  <c r="I2749" i="3" s="1"/>
  <c r="H2789" i="3"/>
  <c r="I2789" i="3" s="1"/>
  <c r="H2873" i="3"/>
  <c r="I2873" i="3" s="1"/>
  <c r="H2905" i="3"/>
  <c r="I2905" i="3" s="1"/>
  <c r="H2929" i="3"/>
  <c r="I2929" i="3" s="1"/>
  <c r="H3081" i="3"/>
  <c r="I3081" i="3" s="1"/>
  <c r="H3109" i="3"/>
  <c r="I3109" i="3" s="1"/>
  <c r="H2622" i="3"/>
  <c r="I2622" i="3" s="1"/>
  <c r="H2694" i="3"/>
  <c r="I2694" i="3" s="1"/>
  <c r="H2698" i="3"/>
  <c r="I2698" i="3" s="1"/>
  <c r="H2746" i="3"/>
  <c r="I2746" i="3" s="1"/>
  <c r="H2798" i="3"/>
  <c r="I2798" i="3" s="1"/>
  <c r="H2802" i="3"/>
  <c r="I2802" i="3" s="1"/>
  <c r="H2954" i="3"/>
  <c r="I2954" i="3" s="1"/>
  <c r="H2966" i="3"/>
  <c r="I2966" i="3" s="1"/>
  <c r="H3162" i="3"/>
  <c r="I3162" i="3" s="1"/>
  <c r="H2807" i="3"/>
  <c r="I2807" i="3" s="1"/>
  <c r="H2859" i="3"/>
  <c r="I2859" i="3" s="1"/>
  <c r="H2975" i="3"/>
  <c r="I2975" i="3" s="1"/>
  <c r="H3227" i="3"/>
  <c r="I3227" i="3" s="1"/>
  <c r="H2912" i="3"/>
  <c r="I2912" i="3" s="1"/>
  <c r="H2924" i="3"/>
  <c r="I2924" i="3" s="1"/>
  <c r="H2984" i="3"/>
  <c r="I2984" i="3" s="1"/>
  <c r="H3004" i="3"/>
  <c r="I3004" i="3" s="1"/>
  <c r="H130" i="3"/>
  <c r="I130" i="3" s="1"/>
  <c r="H162" i="3"/>
  <c r="I162" i="3" s="1"/>
  <c r="H186" i="3"/>
  <c r="I186" i="3" s="1"/>
  <c r="H198" i="3"/>
  <c r="I198" i="3" s="1"/>
  <c r="H222" i="3"/>
  <c r="I222" i="3" s="1"/>
  <c r="H234" i="3"/>
  <c r="I234" i="3" s="1"/>
  <c r="H310" i="3"/>
  <c r="I310" i="3" s="1"/>
  <c r="H326" i="3"/>
  <c r="I326" i="3" s="1"/>
  <c r="H394" i="3"/>
  <c r="I394" i="3" s="1"/>
  <c r="H410" i="3"/>
  <c r="I410" i="3" s="1"/>
  <c r="H490" i="3"/>
  <c r="I490" i="3" s="1"/>
  <c r="H494" i="3"/>
  <c r="I494" i="3" s="1"/>
  <c r="H646" i="3"/>
  <c r="I646" i="3" s="1"/>
  <c r="H650" i="3"/>
  <c r="I650" i="3" s="1"/>
  <c r="H810" i="3"/>
  <c r="I810" i="3" s="1"/>
  <c r="H814" i="3"/>
  <c r="I814" i="3" s="1"/>
  <c r="H930" i="3"/>
  <c r="I930" i="3" s="1"/>
  <c r="H1062" i="3"/>
  <c r="I1062" i="3" s="1"/>
  <c r="H1166" i="3"/>
  <c r="I1166" i="3" s="1"/>
  <c r="H1294" i="3"/>
  <c r="I1294" i="3" s="1"/>
  <c r="H1298" i="3"/>
  <c r="I1298" i="3" s="1"/>
  <c r="H1306" i="3"/>
  <c r="I1306" i="3" s="1"/>
  <c r="H1398" i="3"/>
  <c r="I1398" i="3" s="1"/>
  <c r="H1506" i="3"/>
  <c r="I1506" i="3" s="1"/>
  <c r="H1554" i="3"/>
  <c r="I1554" i="3" s="1"/>
  <c r="H3" i="3"/>
  <c r="I3" i="3" s="1"/>
  <c r="H80" i="3"/>
  <c r="I80" i="3" s="1"/>
  <c r="H112" i="3"/>
  <c r="I112" i="3" s="1"/>
  <c r="H124" i="3"/>
  <c r="I124" i="3" s="1"/>
  <c r="H148" i="3"/>
  <c r="I148" i="3" s="1"/>
  <c r="H164" i="3"/>
  <c r="I164" i="3" s="1"/>
  <c r="H540" i="3"/>
  <c r="I540" i="3" s="1"/>
  <c r="H724" i="3"/>
  <c r="I724" i="3" s="1"/>
  <c r="H776" i="3"/>
  <c r="I776" i="3" s="1"/>
  <c r="H1068" i="3"/>
  <c r="I1068" i="3" s="1"/>
  <c r="H1080" i="3"/>
  <c r="I1080" i="3" s="1"/>
  <c r="H1092" i="3"/>
  <c r="I1092" i="3" s="1"/>
  <c r="H1112" i="3"/>
  <c r="I1112" i="3" s="1"/>
  <c r="H1148" i="3"/>
  <c r="I1148" i="3" s="1"/>
  <c r="H1228" i="3"/>
  <c r="I1228" i="3" s="1"/>
  <c r="H1240" i="3"/>
  <c r="I1240" i="3" s="1"/>
  <c r="H1244" i="3"/>
  <c r="I1244" i="3" s="1"/>
  <c r="H1252" i="3"/>
  <c r="I1252" i="3" s="1"/>
  <c r="H1364" i="3"/>
  <c r="I1364" i="3" s="1"/>
  <c r="H1452" i="3"/>
  <c r="I1452" i="3" s="1"/>
  <c r="H1496" i="3"/>
  <c r="I1496" i="3" s="1"/>
  <c r="H1596" i="3"/>
  <c r="I1596" i="3" s="1"/>
  <c r="H1640" i="3"/>
  <c r="I1640" i="3" s="1"/>
  <c r="H137" i="3"/>
  <c r="I137" i="3" s="1"/>
  <c r="H353" i="3"/>
  <c r="I353" i="3" s="1"/>
  <c r="H37" i="3"/>
  <c r="I37" i="3" s="1"/>
  <c r="H173" i="3"/>
  <c r="I173" i="3" s="1"/>
  <c r="H333" i="3"/>
  <c r="I333" i="3" s="1"/>
  <c r="H501" i="3"/>
  <c r="I501" i="3" s="1"/>
  <c r="H565" i="3"/>
  <c r="I565" i="3" s="1"/>
  <c r="H299" i="3"/>
  <c r="I299" i="3" s="1"/>
  <c r="H331" i="3"/>
  <c r="I331" i="3" s="1"/>
  <c r="H729" i="3"/>
  <c r="I729" i="3" s="1"/>
  <c r="H865" i="3"/>
  <c r="I865" i="3" s="1"/>
  <c r="H985" i="3"/>
  <c r="I985" i="3" s="1"/>
  <c r="H1169" i="3"/>
  <c r="I1169" i="3" s="1"/>
  <c r="H715" i="3"/>
  <c r="I715" i="3" s="1"/>
  <c r="H723" i="3"/>
  <c r="I723" i="3" s="1"/>
  <c r="H995" i="3"/>
  <c r="I995" i="3" s="1"/>
  <c r="H1203" i="3"/>
  <c r="I1203" i="3" s="1"/>
  <c r="H115" i="3"/>
  <c r="I115" i="3" s="1"/>
  <c r="H613" i="3"/>
  <c r="I613" i="3" s="1"/>
  <c r="H717" i="3"/>
  <c r="I717" i="3" s="1"/>
  <c r="H917" i="3"/>
  <c r="I917" i="3" s="1"/>
  <c r="H1383" i="3"/>
  <c r="I1383" i="3" s="1"/>
  <c r="H1679" i="3"/>
  <c r="I1679" i="3" s="1"/>
  <c r="H1827" i="3"/>
  <c r="I1827" i="3" s="1"/>
  <c r="H1875" i="3"/>
  <c r="I1875" i="3" s="1"/>
  <c r="H1939" i="3"/>
  <c r="I1939" i="3" s="1"/>
  <c r="H1959" i="3"/>
  <c r="I1959" i="3" s="1"/>
  <c r="H1979" i="3"/>
  <c r="I1979" i="3" s="1"/>
  <c r="H2047" i="3"/>
  <c r="I2047" i="3" s="1"/>
  <c r="H2051" i="3"/>
  <c r="I2051" i="3" s="1"/>
  <c r="H2087" i="3"/>
  <c r="I2087" i="3" s="1"/>
  <c r="H2111" i="3"/>
  <c r="I2111" i="3" s="1"/>
  <c r="H2171" i="3"/>
  <c r="I2171" i="3" s="1"/>
  <c r="H2315" i="3"/>
  <c r="I2315" i="3" s="1"/>
  <c r="H1601" i="3"/>
  <c r="I1601" i="3" s="1"/>
  <c r="H1692" i="3"/>
  <c r="I1692" i="3" s="1"/>
  <c r="H1896" i="3"/>
  <c r="I1896" i="3" s="1"/>
  <c r="H1956" i="3"/>
  <c r="I1956" i="3" s="1"/>
  <c r="H2008" i="3"/>
  <c r="I2008" i="3" s="1"/>
  <c r="H2064" i="3"/>
  <c r="I2064" i="3" s="1"/>
  <c r="H2184" i="3"/>
  <c r="I2184" i="3" s="1"/>
  <c r="H2260" i="3"/>
  <c r="I2260" i="3" s="1"/>
  <c r="H39" i="3"/>
  <c r="I39" i="3" s="1"/>
  <c r="H607" i="3"/>
  <c r="I607" i="3" s="1"/>
  <c r="H959" i="3"/>
  <c r="I959" i="3" s="1"/>
  <c r="H1315" i="3"/>
  <c r="I1315" i="3" s="1"/>
  <c r="H1523" i="3"/>
  <c r="I1523" i="3" s="1"/>
  <c r="H1921" i="3"/>
  <c r="I1921" i="3" s="1"/>
  <c r="H1989" i="3"/>
  <c r="I1989" i="3" s="1"/>
  <c r="H2029" i="3"/>
  <c r="I2029" i="3" s="1"/>
  <c r="H2057" i="3"/>
  <c r="I2057" i="3" s="1"/>
  <c r="H2129" i="3"/>
  <c r="I2129" i="3" s="1"/>
  <c r="H2445" i="3"/>
  <c r="I2445" i="3" s="1"/>
  <c r="H2453" i="3"/>
  <c r="I2453" i="3" s="1"/>
  <c r="H2505" i="3"/>
  <c r="I2505" i="3" s="1"/>
  <c r="H2545" i="3"/>
  <c r="I2545" i="3" s="1"/>
  <c r="H743" i="3"/>
  <c r="I743" i="3" s="1"/>
  <c r="H1127" i="3"/>
  <c r="I1127" i="3" s="1"/>
  <c r="H1389" i="3"/>
  <c r="I1389" i="3" s="1"/>
  <c r="H1663" i="3"/>
  <c r="I1663" i="3" s="1"/>
  <c r="H2082" i="3"/>
  <c r="I2082" i="3" s="1"/>
  <c r="H2306" i="3"/>
  <c r="I2306" i="3" s="1"/>
  <c r="H2391" i="3"/>
  <c r="I2391" i="3" s="1"/>
  <c r="H2086" i="3"/>
  <c r="I2086" i="3" s="1"/>
  <c r="H2234" i="3"/>
  <c r="I2234" i="3" s="1"/>
  <c r="H2522" i="3"/>
  <c r="I2522" i="3" s="1"/>
  <c r="H2535" i="3"/>
  <c r="I2535" i="3" s="1"/>
  <c r="H2637" i="3"/>
  <c r="I2637" i="3" s="1"/>
  <c r="H2653" i="3"/>
  <c r="I2653" i="3" s="1"/>
  <c r="H2657" i="3"/>
  <c r="I2657" i="3" s="1"/>
  <c r="H2793" i="3"/>
  <c r="I2793" i="3" s="1"/>
  <c r="H2837" i="3"/>
  <c r="I2837" i="3" s="1"/>
  <c r="H2865" i="3"/>
  <c r="I2865" i="3" s="1"/>
  <c r="H2941" i="3"/>
  <c r="I2941" i="3" s="1"/>
  <c r="H2985" i="3"/>
  <c r="I2985" i="3" s="1"/>
  <c r="H3037" i="3"/>
  <c r="I3037" i="3" s="1"/>
  <c r="H3113" i="3"/>
  <c r="I3113" i="3" s="1"/>
  <c r="H2627" i="3"/>
  <c r="I2627" i="3" s="1"/>
  <c r="H2710" i="3"/>
  <c r="I2710" i="3" s="1"/>
  <c r="H2738" i="3"/>
  <c r="I2738" i="3" s="1"/>
  <c r="H2842" i="3"/>
  <c r="I2842" i="3" s="1"/>
  <c r="H3146" i="3"/>
  <c r="I3146" i="3" s="1"/>
  <c r="H3158" i="3"/>
  <c r="I3158" i="3" s="1"/>
  <c r="H3174" i="3"/>
  <c r="I3174" i="3" s="1"/>
  <c r="H3238" i="3"/>
  <c r="I3238" i="3" s="1"/>
  <c r="H2558" i="3"/>
  <c r="I2558" i="3" s="1"/>
  <c r="H2623" i="3"/>
  <c r="I2623" i="3" s="1"/>
  <c r="H2759" i="3"/>
  <c r="I2759" i="3" s="1"/>
  <c r="H2815" i="3"/>
  <c r="I2815" i="3" s="1"/>
  <c r="H2819" i="3"/>
  <c r="I2819" i="3" s="1"/>
  <c r="H2911" i="3"/>
  <c r="I2911" i="3" s="1"/>
  <c r="H2971" i="3"/>
  <c r="I2971" i="3" s="1"/>
  <c r="H2979" i="3"/>
  <c r="I2979" i="3" s="1"/>
  <c r="H3055" i="3"/>
  <c r="I3055" i="3" s="1"/>
  <c r="H2598" i="3"/>
  <c r="I2598" i="3" s="1"/>
  <c r="H2664" i="3"/>
  <c r="I2664" i="3" s="1"/>
  <c r="H2768" i="3"/>
  <c r="I2768" i="3" s="1"/>
  <c r="H2832" i="3"/>
  <c r="I2832" i="3" s="1"/>
  <c r="H2900" i="3"/>
  <c r="I2900" i="3" s="1"/>
  <c r="H3084" i="3"/>
  <c r="I3084" i="3" s="1"/>
  <c r="H3088" i="3"/>
  <c r="I3088" i="3" s="1"/>
  <c r="H3224" i="3"/>
  <c r="I3224" i="3" s="1"/>
  <c r="H142" i="3"/>
  <c r="I142" i="3" s="1"/>
  <c r="H598" i="3"/>
  <c r="I598" i="3" s="1"/>
  <c r="H662" i="3"/>
  <c r="I662" i="3" s="1"/>
  <c r="H882" i="3"/>
  <c r="I882" i="3" s="1"/>
  <c r="H1178" i="3"/>
  <c r="I1178" i="3" s="1"/>
  <c r="H1258" i="3"/>
  <c r="I1258" i="3" s="1"/>
  <c r="H1334" i="3"/>
  <c r="I1334" i="3" s="1"/>
  <c r="H1366" i="3"/>
  <c r="I1366" i="3" s="1"/>
  <c r="H1390" i="3"/>
  <c r="I1390" i="3" s="1"/>
  <c r="H1426" i="3"/>
  <c r="I1426" i="3" s="1"/>
  <c r="H1446" i="3"/>
  <c r="I1446" i="3" s="1"/>
  <c r="H1574" i="3"/>
  <c r="I1574" i="3" s="1"/>
  <c r="H192" i="3"/>
  <c r="I192" i="3" s="1"/>
  <c r="H504" i="3"/>
  <c r="I504" i="3" s="1"/>
  <c r="H532" i="3"/>
  <c r="I532" i="3" s="1"/>
  <c r="H676" i="3"/>
  <c r="I676" i="3" s="1"/>
  <c r="H700" i="3"/>
  <c r="I700" i="3" s="1"/>
  <c r="H832" i="3"/>
  <c r="I832" i="3" s="1"/>
  <c r="H1140" i="3"/>
  <c r="I1140" i="3" s="1"/>
  <c r="H1456" i="3"/>
  <c r="I1456" i="3" s="1"/>
  <c r="H1476" i="3"/>
  <c r="I1476" i="3" s="1"/>
  <c r="H1544" i="3"/>
  <c r="I1544" i="3" s="1"/>
  <c r="H1560" i="3"/>
  <c r="I1560" i="3" s="1"/>
  <c r="H1576" i="3"/>
  <c r="I1576" i="3" s="1"/>
  <c r="H1644" i="3"/>
  <c r="I1644" i="3" s="1"/>
  <c r="H89" i="3"/>
  <c r="I89" i="3" s="1"/>
  <c r="H113" i="3"/>
  <c r="I113" i="3" s="1"/>
  <c r="H433" i="3"/>
  <c r="I433" i="3" s="1"/>
  <c r="H317" i="3"/>
  <c r="I317" i="3" s="1"/>
  <c r="H381" i="3"/>
  <c r="I381" i="3" s="1"/>
  <c r="H445" i="3"/>
  <c r="I445" i="3" s="1"/>
  <c r="H219" i="3"/>
  <c r="I219" i="3" s="1"/>
  <c r="H937" i="3"/>
  <c r="I937" i="3" s="1"/>
  <c r="H1025" i="3"/>
  <c r="I1025" i="3" s="1"/>
  <c r="H1241" i="3"/>
  <c r="I1241" i="3" s="1"/>
  <c r="H79" i="3"/>
  <c r="I79" i="3" s="1"/>
  <c r="H543" i="3"/>
  <c r="I543" i="3" s="1"/>
  <c r="H763" i="3"/>
  <c r="I763" i="3" s="1"/>
  <c r="H779" i="3"/>
  <c r="I779" i="3" s="1"/>
  <c r="H1019" i="3"/>
  <c r="I1019" i="3" s="1"/>
  <c r="H1075" i="3"/>
  <c r="I1075" i="3" s="1"/>
  <c r="H1211" i="3"/>
  <c r="I1211" i="3" s="1"/>
  <c r="H1407" i="3"/>
  <c r="I1407" i="3" s="1"/>
  <c r="H1955" i="3"/>
  <c r="I1955" i="3" s="1"/>
  <c r="H1593" i="3"/>
  <c r="I1593" i="3" s="1"/>
  <c r="H1666" i="3"/>
  <c r="I1666" i="3" s="1"/>
  <c r="H1720" i="3"/>
  <c r="I1720" i="3" s="1"/>
  <c r="H1788" i="3"/>
  <c r="I1788" i="3" s="1"/>
  <c r="H1908" i="3"/>
  <c r="I1908" i="3" s="1"/>
  <c r="H1916" i="3"/>
  <c r="I1916" i="3" s="1"/>
  <c r="H2316" i="3"/>
  <c r="I2316" i="3" s="1"/>
  <c r="H2320" i="3"/>
  <c r="I2320" i="3" s="1"/>
  <c r="H2488" i="3"/>
  <c r="I2488" i="3" s="1"/>
  <c r="H2512" i="3"/>
  <c r="I2512" i="3" s="1"/>
  <c r="H2576" i="3"/>
  <c r="I2576" i="3" s="1"/>
  <c r="H1635" i="3"/>
  <c r="I1635" i="3" s="1"/>
  <c r="H1753" i="3"/>
  <c r="I1753" i="3" s="1"/>
  <c r="H1945" i="3"/>
  <c r="I1945" i="3" s="1"/>
  <c r="H2065" i="3"/>
  <c r="I2065" i="3" s="1"/>
  <c r="H2069" i="3"/>
  <c r="I2069" i="3" s="1"/>
  <c r="H2181" i="3"/>
  <c r="I2181" i="3" s="1"/>
  <c r="H2221" i="3"/>
  <c r="I2221" i="3" s="1"/>
  <c r="H2281" i="3"/>
  <c r="I2281" i="3" s="1"/>
  <c r="H871" i="3"/>
  <c r="I871" i="3" s="1"/>
  <c r="H1682" i="3"/>
  <c r="I1682" i="3" s="1"/>
  <c r="H2226" i="3"/>
  <c r="I2226" i="3" s="1"/>
  <c r="H2399" i="3"/>
  <c r="I2399" i="3" s="1"/>
  <c r="H2407" i="3"/>
  <c r="I2407" i="3" s="1"/>
  <c r="H807" i="3"/>
  <c r="I807" i="3" s="1"/>
  <c r="H1629" i="3"/>
  <c r="I1629" i="3" s="1"/>
  <c r="H1802" i="3"/>
  <c r="I1802" i="3" s="1"/>
  <c r="H567" i="3"/>
  <c r="I567" i="3" s="1"/>
  <c r="H3021" i="3"/>
  <c r="I3021" i="3" s="1"/>
  <c r="H3125" i="3"/>
  <c r="I3125" i="3" s="1"/>
  <c r="H2774" i="3"/>
  <c r="I2774" i="3" s="1"/>
  <c r="H2998" i="3"/>
  <c r="I2998" i="3" s="1"/>
  <c r="H2731" i="3"/>
  <c r="I2731" i="3" s="1"/>
  <c r="H2955" i="3"/>
  <c r="I2955" i="3" s="1"/>
  <c r="H3035" i="3"/>
  <c r="I3035" i="3" s="1"/>
  <c r="H3215" i="3"/>
  <c r="I3215" i="3" s="1"/>
  <c r="H2656" i="3"/>
  <c r="I2656" i="3" s="1"/>
  <c r="H2696" i="3"/>
  <c r="I2696" i="3" s="1"/>
  <c r="H2776" i="3"/>
  <c r="I2776" i="3" s="1"/>
  <c r="H3060" i="3"/>
  <c r="I3060" i="3" s="1"/>
  <c r="H3076" i="3"/>
  <c r="I3076" i="3" s="1"/>
  <c r="H3100" i="3"/>
  <c r="I3100" i="3" s="1"/>
  <c r="H230" i="3"/>
  <c r="I230" i="3" s="1"/>
  <c r="H282" i="3"/>
  <c r="I282" i="3" s="1"/>
  <c r="H354" i="3"/>
  <c r="I354" i="3" s="1"/>
  <c r="H374" i="3"/>
  <c r="I374" i="3" s="1"/>
  <c r="H418" i="3"/>
  <c r="I418" i="3" s="1"/>
  <c r="H498" i="3"/>
  <c r="I498" i="3" s="1"/>
  <c r="H538" i="3"/>
  <c r="I538" i="3" s="1"/>
  <c r="H554" i="3"/>
  <c r="I554" i="3" s="1"/>
  <c r="H574" i="3"/>
  <c r="I574" i="3" s="1"/>
  <c r="H702" i="3"/>
  <c r="I702" i="3" s="1"/>
  <c r="H750" i="3"/>
  <c r="I750" i="3" s="1"/>
  <c r="H758" i="3"/>
  <c r="I758" i="3" s="1"/>
  <c r="H898" i="3"/>
  <c r="I898" i="3" s="1"/>
  <c r="H946" i="3"/>
  <c r="I946" i="3" s="1"/>
  <c r="H966" i="3"/>
  <c r="I966" i="3" s="1"/>
  <c r="H1018" i="3"/>
  <c r="I1018" i="3" s="1"/>
  <c r="H1042" i="3"/>
  <c r="I1042" i="3" s="1"/>
  <c r="H1050" i="3"/>
  <c r="I1050" i="3" s="1"/>
  <c r="H1434" i="3"/>
  <c r="I1434" i="3" s="1"/>
  <c r="H1534" i="3"/>
  <c r="I1534" i="3" s="1"/>
  <c r="H68" i="3"/>
  <c r="I68" i="3" s="1"/>
  <c r="H120" i="3"/>
  <c r="I120" i="3" s="1"/>
  <c r="H260" i="3"/>
  <c r="I260" i="3" s="1"/>
  <c r="H400" i="3"/>
  <c r="I400" i="3" s="1"/>
  <c r="H740" i="3"/>
  <c r="I740" i="3" s="1"/>
  <c r="H744" i="3"/>
  <c r="I744" i="3" s="1"/>
  <c r="H784" i="3"/>
  <c r="I784" i="3" s="1"/>
  <c r="H840" i="3"/>
  <c r="I840" i="3" s="1"/>
  <c r="H1124" i="3"/>
  <c r="I1124" i="3" s="1"/>
  <c r="H1664" i="3"/>
  <c r="I1664" i="3" s="1"/>
  <c r="H97" i="3"/>
  <c r="I97" i="3" s="1"/>
  <c r="H181" i="3"/>
  <c r="I181" i="3" s="1"/>
  <c r="H325" i="3"/>
  <c r="I325" i="3" s="1"/>
  <c r="H1081" i="3"/>
  <c r="I1081" i="3" s="1"/>
  <c r="H1209" i="3"/>
  <c r="I1209" i="3" s="1"/>
  <c r="H31" i="3"/>
  <c r="I31" i="3" s="1"/>
  <c r="H335" i="3"/>
  <c r="I335" i="3" s="1"/>
  <c r="H843" i="3"/>
  <c r="I843" i="3" s="1"/>
  <c r="H899" i="3"/>
  <c r="I899" i="3" s="1"/>
  <c r="H955" i="3"/>
  <c r="I955" i="3" s="1"/>
  <c r="H1179" i="3"/>
  <c r="I1179" i="3" s="1"/>
  <c r="H131" i="3"/>
  <c r="I131" i="3" s="1"/>
  <c r="H307" i="3"/>
  <c r="I307" i="3" s="1"/>
  <c r="H645" i="3"/>
  <c r="I645" i="3" s="1"/>
  <c r="H949" i="3"/>
  <c r="I949" i="3" s="1"/>
  <c r="H1511" i="3"/>
  <c r="I1511" i="3" s="1"/>
  <c r="H1575" i="3"/>
  <c r="I1575" i="3" s="1"/>
  <c r="H1659" i="3"/>
  <c r="I1659" i="3" s="1"/>
  <c r="H1863" i="3"/>
  <c r="I1863" i="3" s="1"/>
  <c r="H2079" i="3"/>
  <c r="I2079" i="3" s="1"/>
  <c r="H2235" i="3"/>
  <c r="I2235" i="3" s="1"/>
  <c r="H2331" i="3"/>
  <c r="I2331" i="3" s="1"/>
  <c r="H2343" i="3"/>
  <c r="I2343" i="3" s="1"/>
  <c r="H407" i="3"/>
  <c r="I407" i="3" s="1"/>
  <c r="H1329" i="3"/>
  <c r="I1329" i="3" s="1"/>
  <c r="H1449" i="3"/>
  <c r="I1449" i="3" s="1"/>
  <c r="H1716" i="3"/>
  <c r="I1716" i="3" s="1"/>
  <c r="H1976" i="3"/>
  <c r="I1976" i="3" s="1"/>
  <c r="H2104" i="3"/>
  <c r="I2104" i="3" s="1"/>
  <c r="H2148" i="3"/>
  <c r="I2148" i="3" s="1"/>
  <c r="H2164" i="3"/>
  <c r="I2164" i="3" s="1"/>
  <c r="H2200" i="3"/>
  <c r="I2200" i="3" s="1"/>
  <c r="H2232" i="3"/>
  <c r="I2232" i="3" s="1"/>
  <c r="H2404" i="3"/>
  <c r="I2404" i="3" s="1"/>
  <c r="H2460" i="3"/>
  <c r="I2460" i="3" s="1"/>
  <c r="H927" i="3"/>
  <c r="I927" i="3" s="1"/>
  <c r="H1299" i="3"/>
  <c r="I1299" i="3" s="1"/>
  <c r="H1331" i="3"/>
  <c r="I1331" i="3" s="1"/>
  <c r="H1411" i="3"/>
  <c r="I1411" i="3" s="1"/>
  <c r="H1785" i="3"/>
  <c r="I1785" i="3" s="1"/>
  <c r="H1901" i="3"/>
  <c r="I1901" i="3" s="1"/>
  <c r="H1997" i="3"/>
  <c r="I1997" i="3" s="1"/>
  <c r="H2053" i="3"/>
  <c r="I2053" i="3" s="1"/>
  <c r="H2225" i="3"/>
  <c r="I2225" i="3" s="1"/>
  <c r="H2285" i="3"/>
  <c r="I2285" i="3" s="1"/>
  <c r="H2289" i="3"/>
  <c r="I2289" i="3" s="1"/>
  <c r="H2293" i="3"/>
  <c r="I2293" i="3" s="1"/>
  <c r="H2369" i="3"/>
  <c r="I2369" i="3" s="1"/>
  <c r="H2381" i="3"/>
  <c r="I2381" i="3" s="1"/>
  <c r="H2493" i="3"/>
  <c r="I2493" i="3" s="1"/>
  <c r="H2521" i="3"/>
  <c r="I2521" i="3" s="1"/>
  <c r="H2561" i="3"/>
  <c r="I2561" i="3" s="1"/>
  <c r="H1253" i="3"/>
  <c r="I1253" i="3" s="1"/>
  <c r="H1325" i="3"/>
  <c r="I1325" i="3" s="1"/>
  <c r="H1453" i="3"/>
  <c r="I1453" i="3" s="1"/>
  <c r="H2210" i="3"/>
  <c r="I2210" i="3" s="1"/>
  <c r="H2242" i="3"/>
  <c r="I2242" i="3" s="1"/>
  <c r="H1734" i="3"/>
  <c r="I1734" i="3" s="1"/>
  <c r="H1277" i="3"/>
  <c r="I1277" i="3" s="1"/>
  <c r="H1341" i="3"/>
  <c r="I1341" i="3" s="1"/>
  <c r="H1866" i="3"/>
  <c r="I1866" i="3" s="1"/>
  <c r="H1962" i="3"/>
  <c r="I1962" i="3" s="1"/>
  <c r="H2058" i="3"/>
  <c r="I2058" i="3" s="1"/>
  <c r="H2266" i="3"/>
  <c r="I2266" i="3" s="1"/>
  <c r="H2411" i="3"/>
  <c r="I2411" i="3" s="1"/>
  <c r="H1637" i="3"/>
  <c r="I1637" i="3" s="1"/>
  <c r="H2318" i="3"/>
  <c r="I2318" i="3" s="1"/>
  <c r="H2673" i="3"/>
  <c r="I2673" i="3" s="1"/>
  <c r="H2713" i="3"/>
  <c r="I2713" i="3" s="1"/>
  <c r="H2753" i="3"/>
  <c r="I2753" i="3" s="1"/>
  <c r="H2769" i="3"/>
  <c r="I2769" i="3" s="1"/>
  <c r="H2777" i="3"/>
  <c r="I2777" i="3" s="1"/>
  <c r="H3013" i="3"/>
  <c r="I3013" i="3" s="1"/>
  <c r="H2762" i="3"/>
  <c r="I2762" i="3" s="1"/>
  <c r="H2986" i="3"/>
  <c r="I2986" i="3" s="1"/>
  <c r="H3110" i="3"/>
  <c r="I3110" i="3" s="1"/>
  <c r="H3122" i="3"/>
  <c r="I3122" i="3" s="1"/>
  <c r="H3210" i="3"/>
  <c r="I3210" i="3" s="1"/>
  <c r="H2530" i="3"/>
  <c r="I2530" i="3" s="1"/>
  <c r="H2675" i="3"/>
  <c r="I2675" i="3" s="1"/>
  <c r="H3015" i="3"/>
  <c r="I3015" i="3" s="1"/>
  <c r="H3071" i="3"/>
  <c r="I3071" i="3" s="1"/>
  <c r="H2668" i="3"/>
  <c r="I2668" i="3" s="1"/>
  <c r="H2764" i="3"/>
  <c r="I2764" i="3" s="1"/>
  <c r="H2808" i="3"/>
  <c r="I2808" i="3" s="1"/>
  <c r="H454" i="3"/>
  <c r="I454" i="3" s="1"/>
  <c r="H674" i="3"/>
  <c r="I674" i="3" s="1"/>
  <c r="H754" i="3"/>
  <c r="I754" i="3" s="1"/>
  <c r="H982" i="3"/>
  <c r="I982" i="3" s="1"/>
  <c r="H1378" i="3"/>
  <c r="I1378" i="3" s="1"/>
  <c r="H1418" i="3"/>
  <c r="I1418" i="3" s="1"/>
  <c r="H1522" i="3"/>
  <c r="I1522" i="3" s="1"/>
  <c r="H1610" i="3"/>
  <c r="I1610" i="3" s="1"/>
  <c r="H1618" i="3"/>
  <c r="I1618" i="3" s="1"/>
  <c r="H208" i="3"/>
  <c r="I208" i="3" s="1"/>
  <c r="H256" i="3"/>
  <c r="I256" i="3" s="1"/>
  <c r="H336" i="3"/>
  <c r="I336" i="3" s="1"/>
  <c r="H340" i="3"/>
  <c r="I340" i="3" s="1"/>
  <c r="H448" i="3"/>
  <c r="I448" i="3" s="1"/>
  <c r="H588" i="3"/>
  <c r="I588" i="3" s="1"/>
  <c r="H780" i="3"/>
  <c r="I780" i="3" s="1"/>
  <c r="H936" i="3"/>
  <c r="I936" i="3" s="1"/>
  <c r="H940" i="3"/>
  <c r="I940" i="3" s="1"/>
  <c r="H1212" i="3"/>
  <c r="I1212" i="3" s="1"/>
  <c r="H1328" i="3"/>
  <c r="I1328" i="3" s="1"/>
  <c r="H1500" i="3"/>
  <c r="I1500" i="3" s="1"/>
  <c r="H513" i="3"/>
  <c r="I513" i="3" s="1"/>
  <c r="H277" i="3"/>
  <c r="I277" i="3" s="1"/>
  <c r="H421" i="3"/>
  <c r="I421" i="3" s="1"/>
  <c r="H107" i="3"/>
  <c r="I107" i="3" s="1"/>
  <c r="H283" i="3"/>
  <c r="I283" i="3" s="1"/>
  <c r="H571" i="3"/>
  <c r="I571" i="3" s="1"/>
  <c r="H713" i="3"/>
  <c r="I713" i="3" s="1"/>
  <c r="H1113" i="3"/>
  <c r="I1113" i="3" s="1"/>
  <c r="H223" i="3"/>
  <c r="I223" i="3" s="1"/>
  <c r="H651" i="3"/>
  <c r="I651" i="3" s="1"/>
  <c r="H811" i="3"/>
  <c r="I811" i="3" s="1"/>
  <c r="H1219" i="3"/>
  <c r="I1219" i="3" s="1"/>
  <c r="H371" i="3"/>
  <c r="I371" i="3" s="1"/>
  <c r="H419" i="3"/>
  <c r="I419" i="3" s="1"/>
  <c r="H547" i="3"/>
  <c r="I547" i="3" s="1"/>
  <c r="H957" i="3"/>
  <c r="I957" i="3" s="1"/>
  <c r="H1199" i="3"/>
  <c r="I1199" i="3" s="1"/>
  <c r="H1751" i="3"/>
  <c r="I1751" i="3" s="1"/>
  <c r="H1791" i="3"/>
  <c r="I1791" i="3" s="1"/>
  <c r="H1799" i="3"/>
  <c r="I1799" i="3" s="1"/>
  <c r="H1855" i="3"/>
  <c r="I1855" i="3" s="1"/>
  <c r="H2039" i="3"/>
  <c r="I2039" i="3" s="1"/>
  <c r="H2239" i="3"/>
  <c r="I2239" i="3" s="1"/>
  <c r="H2271" i="3"/>
  <c r="I2271" i="3" s="1"/>
  <c r="H2347" i="3"/>
  <c r="I2347" i="3" s="1"/>
  <c r="H599" i="3"/>
  <c r="I599" i="3" s="1"/>
  <c r="H1457" i="3"/>
  <c r="I1457" i="3" s="1"/>
  <c r="H1569" i="3"/>
  <c r="I1569" i="3" s="1"/>
  <c r="H1904" i="3"/>
  <c r="I1904" i="3" s="1"/>
  <c r="H2072" i="3"/>
  <c r="I2072" i="3" s="1"/>
  <c r="H2176" i="3"/>
  <c r="I2176" i="3" s="1"/>
  <c r="H2360" i="3"/>
  <c r="I2360" i="3" s="1"/>
  <c r="H1571" i="3"/>
  <c r="I1571" i="3" s="1"/>
  <c r="H1701" i="3"/>
  <c r="I1701" i="3" s="1"/>
  <c r="H1793" i="3"/>
  <c r="I1793" i="3" s="1"/>
  <c r="H1821" i="3"/>
  <c r="I1821" i="3" s="1"/>
  <c r="H1877" i="3"/>
  <c r="I1877" i="3" s="1"/>
  <c r="H1909" i="3"/>
  <c r="I1909" i="3" s="1"/>
  <c r="H2125" i="3"/>
  <c r="I2125" i="3" s="1"/>
  <c r="H1922" i="3"/>
  <c r="I1922" i="3" s="1"/>
  <c r="H2338" i="3"/>
  <c r="I2338" i="3" s="1"/>
  <c r="H1674" i="3"/>
  <c r="I1674" i="3" s="1"/>
  <c r="H2026" i="3"/>
  <c r="I2026" i="3" s="1"/>
  <c r="H2250" i="3"/>
  <c r="I2250" i="3" s="1"/>
  <c r="H2346" i="3"/>
  <c r="I2346" i="3" s="1"/>
  <c r="H967" i="3"/>
  <c r="I967" i="3" s="1"/>
  <c r="H2254" i="3"/>
  <c r="I2254" i="3" s="1"/>
  <c r="H2430" i="3"/>
  <c r="I2430" i="3" s="1"/>
  <c r="H2917" i="3"/>
  <c r="I2917" i="3" s="1"/>
  <c r="H3057" i="3"/>
  <c r="I3057" i="3" s="1"/>
  <c r="H2606" i="3"/>
  <c r="I2606" i="3" s="1"/>
  <c r="H2649" i="3"/>
  <c r="I2649" i="3" s="1"/>
  <c r="H2718" i="3"/>
  <c r="I2718" i="3" s="1"/>
  <c r="H2742" i="3"/>
  <c r="I2742" i="3" s="1"/>
  <c r="H2758" i="3"/>
  <c r="I2758" i="3" s="1"/>
  <c r="H2866" i="3"/>
  <c r="I2866" i="3" s="1"/>
  <c r="H2882" i="3"/>
  <c r="I2882" i="3" s="1"/>
  <c r="H3030" i="3"/>
  <c r="I3030" i="3" s="1"/>
  <c r="H3046" i="3"/>
  <c r="I3046" i="3" s="1"/>
  <c r="H3198" i="3"/>
  <c r="I3198" i="3" s="1"/>
  <c r="H3206" i="3"/>
  <c r="I3206" i="3" s="1"/>
  <c r="H2751" i="3"/>
  <c r="I2751" i="3" s="1"/>
  <c r="H3147" i="3"/>
  <c r="I3147" i="3" s="1"/>
  <c r="H3179" i="3"/>
  <c r="I3179" i="3" s="1"/>
  <c r="H2543" i="3"/>
  <c r="I2543" i="3" s="1"/>
  <c r="H2635" i="3"/>
  <c r="I2635" i="3" s="1"/>
  <c r="H2932" i="3"/>
  <c r="I2932" i="3" s="1"/>
  <c r="H3140" i="3"/>
  <c r="I3140" i="3" s="1"/>
  <c r="H2" i="3"/>
  <c r="I2" i="3" s="1"/>
  <c r="H4583" i="3"/>
  <c r="I4583" i="3" s="1"/>
  <c r="H4579" i="3"/>
  <c r="I4579" i="3" s="1"/>
  <c r="H4575" i="3"/>
  <c r="I4575" i="3" s="1"/>
  <c r="H4571" i="3"/>
  <c r="I4571" i="3" s="1"/>
  <c r="H4567" i="3"/>
  <c r="I4567" i="3" s="1"/>
  <c r="H4563" i="3"/>
  <c r="I4563" i="3" s="1"/>
  <c r="H4559" i="3"/>
  <c r="I4559" i="3" s="1"/>
  <c r="H4555" i="3"/>
  <c r="I4555" i="3" s="1"/>
  <c r="H4551" i="3"/>
  <c r="I4551" i="3" s="1"/>
  <c r="H4547" i="3"/>
  <c r="I4547" i="3" s="1"/>
  <c r="H4543" i="3"/>
  <c r="I4543" i="3" s="1"/>
  <c r="H4539" i="3"/>
  <c r="I4539" i="3" s="1"/>
  <c r="H4535" i="3"/>
  <c r="I4535" i="3" s="1"/>
  <c r="H4531" i="3"/>
  <c r="I4531" i="3" s="1"/>
  <c r="H4527" i="3"/>
  <c r="I4527" i="3" s="1"/>
  <c r="H4523" i="3"/>
  <c r="I4523" i="3" s="1"/>
  <c r="H4519" i="3"/>
  <c r="I4519" i="3" s="1"/>
  <c r="H4515" i="3"/>
  <c r="I4515" i="3" s="1"/>
  <c r="H4511" i="3"/>
  <c r="I4511" i="3" s="1"/>
  <c r="H4507" i="3"/>
  <c r="I4507" i="3" s="1"/>
  <c r="H4503" i="3"/>
  <c r="I4503" i="3" s="1"/>
  <c r="H4499" i="3"/>
  <c r="I4499" i="3" s="1"/>
  <c r="H4495" i="3"/>
  <c r="I4495" i="3" s="1"/>
  <c r="H4491" i="3"/>
  <c r="I4491" i="3" s="1"/>
  <c r="H4487" i="3"/>
  <c r="I4487" i="3" s="1"/>
  <c r="H4483" i="3"/>
  <c r="I4483" i="3" s="1"/>
  <c r="H4479" i="3"/>
  <c r="I4479" i="3" s="1"/>
  <c r="H4475" i="3"/>
  <c r="I4475" i="3" s="1"/>
  <c r="H4471" i="3"/>
  <c r="I4471" i="3" s="1"/>
  <c r="H4467" i="3"/>
  <c r="I4467" i="3" s="1"/>
  <c r="H4463" i="3"/>
  <c r="I4463" i="3" s="1"/>
  <c r="H4459" i="3"/>
  <c r="I4459" i="3" s="1"/>
  <c r="H4455" i="3"/>
  <c r="I4455" i="3" s="1"/>
  <c r="H4451" i="3"/>
  <c r="I4451" i="3" s="1"/>
  <c r="H4447" i="3"/>
  <c r="I4447" i="3" s="1"/>
  <c r="H4443" i="3"/>
  <c r="I4443" i="3" s="1"/>
  <c r="H4439" i="3"/>
  <c r="I4439" i="3" s="1"/>
  <c r="H4435" i="3"/>
  <c r="I4435" i="3" s="1"/>
  <c r="H4431" i="3"/>
  <c r="I4431" i="3" s="1"/>
  <c r="H4427" i="3"/>
  <c r="I4427" i="3" s="1"/>
  <c r="H4423" i="3"/>
  <c r="I4423" i="3" s="1"/>
  <c r="H4419" i="3"/>
  <c r="I4419" i="3" s="1"/>
  <c r="H4415" i="3"/>
  <c r="I4415" i="3" s="1"/>
  <c r="H4411" i="3"/>
  <c r="I4411" i="3" s="1"/>
  <c r="H4407" i="3"/>
  <c r="I4407" i="3" s="1"/>
  <c r="H4403" i="3"/>
  <c r="I4403" i="3" s="1"/>
  <c r="H4399" i="3"/>
  <c r="I4399" i="3" s="1"/>
  <c r="H4395" i="3"/>
  <c r="I4395" i="3" s="1"/>
  <c r="H4391" i="3"/>
  <c r="I4391" i="3" s="1"/>
  <c r="H4387" i="3"/>
  <c r="I4387" i="3" s="1"/>
  <c r="H4383" i="3"/>
  <c r="I4383" i="3" s="1"/>
  <c r="H4379" i="3"/>
  <c r="I4379" i="3" s="1"/>
  <c r="H4375" i="3"/>
  <c r="I4375" i="3" s="1"/>
  <c r="H4371" i="3"/>
  <c r="I4371" i="3" s="1"/>
  <c r="H4367" i="3"/>
  <c r="I4367" i="3" s="1"/>
  <c r="H4363" i="3"/>
  <c r="I4363" i="3" s="1"/>
  <c r="H4359" i="3"/>
  <c r="I4359" i="3" s="1"/>
  <c r="H4355" i="3"/>
  <c r="I4355" i="3" s="1"/>
  <c r="H4351" i="3"/>
  <c r="I4351" i="3" s="1"/>
  <c r="H4347" i="3"/>
  <c r="I4347" i="3" s="1"/>
  <c r="H4343" i="3"/>
  <c r="I4343" i="3" s="1"/>
  <c r="H4339" i="3"/>
  <c r="I4339" i="3" s="1"/>
  <c r="H4335" i="3"/>
  <c r="I4335" i="3" s="1"/>
  <c r="H4331" i="3"/>
  <c r="I4331" i="3" s="1"/>
  <c r="H4327" i="3"/>
  <c r="I4327" i="3" s="1"/>
  <c r="H4323" i="3"/>
  <c r="I4323" i="3" s="1"/>
  <c r="H4319" i="3"/>
  <c r="I4319" i="3" s="1"/>
  <c r="H4315" i="3"/>
  <c r="I4315" i="3" s="1"/>
  <c r="H4311" i="3"/>
  <c r="I4311" i="3" s="1"/>
  <c r="H4307" i="3"/>
  <c r="I4307" i="3" s="1"/>
  <c r="H4303" i="3"/>
  <c r="I4303" i="3" s="1"/>
  <c r="H4299" i="3"/>
  <c r="I4299" i="3" s="1"/>
  <c r="H4295" i="3"/>
  <c r="I4295" i="3" s="1"/>
  <c r="H4291" i="3"/>
  <c r="I4291" i="3" s="1"/>
  <c r="H4287" i="3"/>
  <c r="I4287" i="3" s="1"/>
  <c r="H4283" i="3"/>
  <c r="I4283" i="3" s="1"/>
  <c r="H4279" i="3"/>
  <c r="I4279" i="3" s="1"/>
  <c r="H4275" i="3"/>
  <c r="I4275" i="3" s="1"/>
  <c r="H4271" i="3"/>
  <c r="I4271" i="3" s="1"/>
  <c r="H4267" i="3"/>
  <c r="I4267" i="3" s="1"/>
  <c r="H4263" i="3"/>
  <c r="I4263" i="3" s="1"/>
  <c r="H4259" i="3"/>
  <c r="I4259" i="3" s="1"/>
  <c r="H4255" i="3"/>
  <c r="I4255" i="3" s="1"/>
  <c r="H4251" i="3"/>
  <c r="I4251" i="3" s="1"/>
  <c r="H4247" i="3"/>
  <c r="I4247" i="3" s="1"/>
  <c r="H4243" i="3"/>
  <c r="I4243" i="3" s="1"/>
  <c r="H4239" i="3"/>
  <c r="I4239" i="3" s="1"/>
  <c r="H4235" i="3"/>
  <c r="I4235" i="3" s="1"/>
  <c r="H4231" i="3"/>
  <c r="I4231" i="3" s="1"/>
  <c r="H4227" i="3"/>
  <c r="I4227" i="3" s="1"/>
  <c r="H4223" i="3"/>
  <c r="I4223" i="3" s="1"/>
  <c r="H4219" i="3"/>
  <c r="I4219" i="3" s="1"/>
  <c r="H4215" i="3"/>
  <c r="I4215" i="3" s="1"/>
  <c r="H4211" i="3"/>
  <c r="I4211" i="3" s="1"/>
  <c r="H4207" i="3"/>
  <c r="I4207" i="3" s="1"/>
  <c r="H4203" i="3"/>
  <c r="I4203" i="3" s="1"/>
  <c r="H4199" i="3"/>
  <c r="I4199" i="3" s="1"/>
  <c r="H4195" i="3"/>
  <c r="I4195" i="3" s="1"/>
  <c r="H4191" i="3"/>
  <c r="I4191" i="3" s="1"/>
  <c r="H4187" i="3"/>
  <c r="I4187" i="3" s="1"/>
  <c r="H4183" i="3"/>
  <c r="I4183" i="3" s="1"/>
  <c r="H4179" i="3"/>
  <c r="I4179" i="3" s="1"/>
  <c r="H4175" i="3"/>
  <c r="I4175" i="3" s="1"/>
  <c r="H4171" i="3"/>
  <c r="I4171" i="3" s="1"/>
  <c r="H4167" i="3"/>
  <c r="I4167" i="3" s="1"/>
  <c r="H4163" i="3"/>
  <c r="I4163" i="3" s="1"/>
  <c r="H4159" i="3"/>
  <c r="I4159" i="3" s="1"/>
  <c r="H4155" i="3"/>
  <c r="I4155" i="3" s="1"/>
  <c r="H4151" i="3"/>
  <c r="I4151" i="3" s="1"/>
  <c r="H4147" i="3"/>
  <c r="I4147" i="3" s="1"/>
  <c r="H4143" i="3"/>
  <c r="I4143" i="3" s="1"/>
  <c r="H4139" i="3"/>
  <c r="I4139" i="3" s="1"/>
  <c r="H4135" i="3"/>
  <c r="I4135" i="3" s="1"/>
  <c r="H4131" i="3"/>
  <c r="I4131" i="3" s="1"/>
  <c r="H4127" i="3"/>
  <c r="I4127" i="3" s="1"/>
  <c r="H4123" i="3"/>
  <c r="I4123" i="3" s="1"/>
  <c r="H4119" i="3"/>
  <c r="I4119" i="3" s="1"/>
  <c r="H4115" i="3"/>
  <c r="I4115" i="3" s="1"/>
  <c r="H4111" i="3"/>
  <c r="I4111" i="3" s="1"/>
  <c r="H4107" i="3"/>
  <c r="I4107" i="3" s="1"/>
  <c r="H4103" i="3"/>
  <c r="I4103" i="3" s="1"/>
  <c r="H4099" i="3"/>
  <c r="I4099" i="3" s="1"/>
  <c r="H4095" i="3"/>
  <c r="I4095" i="3" s="1"/>
  <c r="H4091" i="3"/>
  <c r="I4091" i="3" s="1"/>
  <c r="H4087" i="3"/>
  <c r="I4087" i="3" s="1"/>
  <c r="H4083" i="3"/>
  <c r="I4083" i="3" s="1"/>
  <c r="H4079" i="3"/>
  <c r="I4079" i="3" s="1"/>
  <c r="H4075" i="3"/>
  <c r="I4075" i="3" s="1"/>
  <c r="H4071" i="3"/>
  <c r="I4071" i="3" s="1"/>
  <c r="H4067" i="3"/>
  <c r="I4067" i="3" s="1"/>
  <c r="H4063" i="3"/>
  <c r="I4063" i="3" s="1"/>
  <c r="H4059" i="3"/>
  <c r="I4059" i="3" s="1"/>
  <c r="H4055" i="3"/>
  <c r="I4055" i="3" s="1"/>
  <c r="H4051" i="3"/>
  <c r="I4051" i="3" s="1"/>
  <c r="H4047" i="3"/>
  <c r="I4047" i="3" s="1"/>
  <c r="H4043" i="3"/>
  <c r="I4043" i="3" s="1"/>
  <c r="H4039" i="3"/>
  <c r="I4039" i="3" s="1"/>
  <c r="H4035" i="3"/>
  <c r="I4035" i="3" s="1"/>
  <c r="H4031" i="3"/>
  <c r="I4031" i="3" s="1"/>
  <c r="H4027" i="3"/>
  <c r="I4027" i="3" s="1"/>
  <c r="H4023" i="3"/>
  <c r="I4023" i="3" s="1"/>
  <c r="H4019" i="3"/>
  <c r="I4019" i="3" s="1"/>
  <c r="H4015" i="3"/>
  <c r="I4015" i="3" s="1"/>
  <c r="H4011" i="3"/>
  <c r="I4011" i="3" s="1"/>
  <c r="H4007" i="3"/>
  <c r="I4007" i="3" s="1"/>
  <c r="H4003" i="3"/>
  <c r="I4003" i="3" s="1"/>
  <c r="H3999" i="3"/>
  <c r="I3999" i="3" s="1"/>
  <c r="H3995" i="3"/>
  <c r="I3995" i="3" s="1"/>
  <c r="H3991" i="3"/>
  <c r="I3991" i="3" s="1"/>
  <c r="H3987" i="3"/>
  <c r="I3987" i="3" s="1"/>
  <c r="H3983" i="3"/>
  <c r="I3983" i="3" s="1"/>
  <c r="H3979" i="3"/>
  <c r="I3979" i="3" s="1"/>
  <c r="H3975" i="3"/>
  <c r="I3975" i="3" s="1"/>
  <c r="H3971" i="3"/>
  <c r="I3971" i="3" s="1"/>
  <c r="H3967" i="3"/>
  <c r="I3967" i="3" s="1"/>
  <c r="H3963" i="3"/>
  <c r="I3963" i="3" s="1"/>
  <c r="H3959" i="3"/>
  <c r="I3959" i="3" s="1"/>
  <c r="H3955" i="3"/>
  <c r="I3955" i="3" s="1"/>
  <c r="H3951" i="3"/>
  <c r="I3951" i="3" s="1"/>
  <c r="H3947" i="3"/>
  <c r="I3947" i="3" s="1"/>
  <c r="H3943" i="3"/>
  <c r="I3943" i="3" s="1"/>
  <c r="H3939" i="3"/>
  <c r="I3939" i="3" s="1"/>
  <c r="H3935" i="3"/>
  <c r="I3935" i="3" s="1"/>
  <c r="H3931" i="3"/>
  <c r="I3931" i="3" s="1"/>
  <c r="H3927" i="3"/>
  <c r="I3927" i="3" s="1"/>
  <c r="H3923" i="3"/>
  <c r="I3923" i="3" s="1"/>
  <c r="H3919" i="3"/>
  <c r="I3919" i="3" s="1"/>
  <c r="H3915" i="3"/>
  <c r="I3915" i="3" s="1"/>
  <c r="H3911" i="3"/>
  <c r="I3911" i="3" s="1"/>
  <c r="H3907" i="3"/>
  <c r="I3907" i="3" s="1"/>
  <c r="H3903" i="3"/>
  <c r="I3903" i="3" s="1"/>
  <c r="H3899" i="3"/>
  <c r="I3899" i="3" s="1"/>
  <c r="H3895" i="3"/>
  <c r="I3895" i="3" s="1"/>
  <c r="H3891" i="3"/>
  <c r="I3891" i="3" s="1"/>
  <c r="H3887" i="3"/>
  <c r="I3887" i="3" s="1"/>
  <c r="H3883" i="3"/>
  <c r="I3883" i="3" s="1"/>
  <c r="H3879" i="3"/>
  <c r="I3879" i="3" s="1"/>
  <c r="H3875" i="3"/>
  <c r="I3875" i="3" s="1"/>
  <c r="H3871" i="3"/>
  <c r="I3871" i="3" s="1"/>
  <c r="H3867" i="3"/>
  <c r="I3867" i="3" s="1"/>
  <c r="H3863" i="3"/>
  <c r="I3863" i="3" s="1"/>
  <c r="H3859" i="3"/>
  <c r="I3859" i="3" s="1"/>
  <c r="H3855" i="3"/>
  <c r="I3855" i="3" s="1"/>
  <c r="H3851" i="3"/>
  <c r="I3851" i="3" s="1"/>
  <c r="H3847" i="3"/>
  <c r="I3847" i="3" s="1"/>
  <c r="H3843" i="3"/>
  <c r="I3843" i="3" s="1"/>
  <c r="H3839" i="3"/>
  <c r="I3839" i="3" s="1"/>
  <c r="H3835" i="3"/>
  <c r="I3835" i="3" s="1"/>
  <c r="H3831" i="3"/>
  <c r="I3831" i="3" s="1"/>
  <c r="H3827" i="3"/>
  <c r="I3827" i="3" s="1"/>
  <c r="H3823" i="3"/>
  <c r="I3823" i="3" s="1"/>
  <c r="H3819" i="3"/>
  <c r="I3819" i="3" s="1"/>
  <c r="H3815" i="3"/>
  <c r="I3815" i="3" s="1"/>
  <c r="H3811" i="3"/>
  <c r="I3811" i="3" s="1"/>
  <c r="H3807" i="3"/>
  <c r="I3807" i="3" s="1"/>
  <c r="H3803" i="3"/>
  <c r="I3803" i="3" s="1"/>
  <c r="H3799" i="3"/>
  <c r="I3799" i="3" s="1"/>
  <c r="H3795" i="3"/>
  <c r="I3795" i="3" s="1"/>
  <c r="H3791" i="3"/>
  <c r="I3791" i="3" s="1"/>
  <c r="H3787" i="3"/>
  <c r="I3787" i="3" s="1"/>
  <c r="H3783" i="3"/>
  <c r="I3783" i="3" s="1"/>
  <c r="H3779" i="3"/>
  <c r="I3779" i="3" s="1"/>
  <c r="H3775" i="3"/>
  <c r="I3775" i="3" s="1"/>
  <c r="H3771" i="3"/>
  <c r="I3771" i="3" s="1"/>
  <c r="H3767" i="3"/>
  <c r="I3767" i="3" s="1"/>
  <c r="H3763" i="3"/>
  <c r="I3763" i="3" s="1"/>
  <c r="H3759" i="3"/>
  <c r="I3759" i="3" s="1"/>
  <c r="H3755" i="3"/>
  <c r="I3755" i="3" s="1"/>
  <c r="H3751" i="3"/>
  <c r="I3751" i="3" s="1"/>
  <c r="H3747" i="3"/>
  <c r="I3747" i="3" s="1"/>
  <c r="H3743" i="3"/>
  <c r="I3743" i="3" s="1"/>
  <c r="H3739" i="3"/>
  <c r="I3739" i="3" s="1"/>
  <c r="H3735" i="3"/>
  <c r="I3735" i="3" s="1"/>
  <c r="H3731" i="3"/>
  <c r="I3731" i="3" s="1"/>
  <c r="H3727" i="3"/>
  <c r="I3727" i="3" s="1"/>
  <c r="H3723" i="3"/>
  <c r="I3723" i="3" s="1"/>
  <c r="H3719" i="3"/>
  <c r="I3719" i="3" s="1"/>
  <c r="H3715" i="3"/>
  <c r="I3715" i="3" s="1"/>
  <c r="H3711" i="3"/>
  <c r="I3711" i="3" s="1"/>
  <c r="H3707" i="3"/>
  <c r="I3707" i="3" s="1"/>
  <c r="H3703" i="3"/>
  <c r="I3703" i="3" s="1"/>
  <c r="H3699" i="3"/>
  <c r="I3699" i="3" s="1"/>
  <c r="H3695" i="3"/>
  <c r="I3695" i="3" s="1"/>
  <c r="H3691" i="3"/>
  <c r="I3691" i="3" s="1"/>
  <c r="H3687" i="3"/>
  <c r="I3687" i="3" s="1"/>
  <c r="H3683" i="3"/>
  <c r="I3683" i="3" s="1"/>
  <c r="H3679" i="3"/>
  <c r="I3679" i="3" s="1"/>
  <c r="H3675" i="3"/>
  <c r="I3675" i="3" s="1"/>
  <c r="H3671" i="3"/>
  <c r="I3671" i="3" s="1"/>
  <c r="H3667" i="3"/>
  <c r="I3667" i="3" s="1"/>
  <c r="H3663" i="3"/>
  <c r="I3663" i="3" s="1"/>
  <c r="H3659" i="3"/>
  <c r="I3659" i="3" s="1"/>
  <c r="H3655" i="3"/>
  <c r="I3655" i="3" s="1"/>
  <c r="H3651" i="3"/>
  <c r="I3651" i="3" s="1"/>
  <c r="H3647" i="3"/>
  <c r="I3647" i="3" s="1"/>
  <c r="H3643" i="3"/>
  <c r="I3643" i="3" s="1"/>
  <c r="H3639" i="3"/>
  <c r="I3639" i="3" s="1"/>
  <c r="H3635" i="3"/>
  <c r="I3635" i="3" s="1"/>
  <c r="H3631" i="3"/>
  <c r="I3631" i="3" s="1"/>
  <c r="H3627" i="3"/>
  <c r="I3627" i="3" s="1"/>
  <c r="H3623" i="3"/>
  <c r="I3623" i="3" s="1"/>
  <c r="H3619" i="3"/>
  <c r="I3619" i="3" s="1"/>
  <c r="H3615" i="3"/>
  <c r="I3615" i="3" s="1"/>
  <c r="H3611" i="3"/>
  <c r="I3611" i="3" s="1"/>
  <c r="H3607" i="3"/>
  <c r="I3607" i="3" s="1"/>
  <c r="H3603" i="3"/>
  <c r="I3603" i="3" s="1"/>
  <c r="H3599" i="3"/>
  <c r="I3599" i="3" s="1"/>
  <c r="H3595" i="3"/>
  <c r="I3595" i="3" s="1"/>
  <c r="H3591" i="3"/>
  <c r="I3591" i="3" s="1"/>
  <c r="H3587" i="3"/>
  <c r="I3587" i="3" s="1"/>
  <c r="H3583" i="3"/>
  <c r="I3583" i="3" s="1"/>
  <c r="H3579" i="3"/>
  <c r="I3579" i="3" s="1"/>
  <c r="H3575" i="3"/>
  <c r="I3575" i="3" s="1"/>
  <c r="H3571" i="3"/>
  <c r="I3571" i="3" s="1"/>
  <c r="H3567" i="3"/>
  <c r="I3567" i="3" s="1"/>
  <c r="H3563" i="3"/>
  <c r="I3563" i="3" s="1"/>
  <c r="H3559" i="3"/>
  <c r="I3559" i="3" s="1"/>
  <c r="H3555" i="3"/>
  <c r="I3555" i="3" s="1"/>
  <c r="H3551" i="3"/>
  <c r="I3551" i="3" s="1"/>
  <c r="H3547" i="3"/>
  <c r="I3547" i="3" s="1"/>
  <c r="H3543" i="3"/>
  <c r="I3543" i="3" s="1"/>
  <c r="H3539" i="3"/>
  <c r="I3539" i="3" s="1"/>
  <c r="H3535" i="3"/>
  <c r="I3535" i="3" s="1"/>
  <c r="H3531" i="3"/>
  <c r="I3531" i="3" s="1"/>
  <c r="H3527" i="3"/>
  <c r="I3527" i="3" s="1"/>
  <c r="H3523" i="3"/>
  <c r="I3523" i="3" s="1"/>
  <c r="H3519" i="3"/>
  <c r="I3519" i="3" s="1"/>
  <c r="H3515" i="3"/>
  <c r="I3515" i="3" s="1"/>
  <c r="H3511" i="3"/>
  <c r="I3511" i="3" s="1"/>
  <c r="H3507" i="3"/>
  <c r="I3507" i="3" s="1"/>
  <c r="H3503" i="3"/>
  <c r="I3503" i="3" s="1"/>
  <c r="H3499" i="3"/>
  <c r="I3499" i="3" s="1"/>
  <c r="H3495" i="3"/>
  <c r="I3495" i="3" s="1"/>
  <c r="H3491" i="3"/>
  <c r="I3491" i="3" s="1"/>
  <c r="H3487" i="3"/>
  <c r="I3487" i="3" s="1"/>
  <c r="H3483" i="3"/>
  <c r="I3483" i="3" s="1"/>
  <c r="H3479" i="3"/>
  <c r="I3479" i="3" s="1"/>
  <c r="H3475" i="3"/>
  <c r="I3475" i="3" s="1"/>
  <c r="H3471" i="3"/>
  <c r="I3471" i="3" s="1"/>
  <c r="H3467" i="3"/>
  <c r="I3467" i="3" s="1"/>
  <c r="H3463" i="3"/>
  <c r="I3463" i="3" s="1"/>
  <c r="H3459" i="3"/>
  <c r="I3459" i="3" s="1"/>
  <c r="H3455" i="3"/>
  <c r="I3455" i="3" s="1"/>
  <c r="H3451" i="3"/>
  <c r="I3451" i="3" s="1"/>
  <c r="H3447" i="3"/>
  <c r="I3447" i="3" s="1"/>
  <c r="H3443" i="3"/>
  <c r="I3443" i="3" s="1"/>
  <c r="H3439" i="3"/>
  <c r="I3439" i="3" s="1"/>
  <c r="H3435" i="3"/>
  <c r="I3435" i="3" s="1"/>
  <c r="H3431" i="3"/>
  <c r="I3431" i="3" s="1"/>
  <c r="H3427" i="3"/>
  <c r="I3427" i="3" s="1"/>
  <c r="H3423" i="3"/>
  <c r="I3423" i="3" s="1"/>
  <c r="H3419" i="3"/>
  <c r="I3419" i="3" s="1"/>
  <c r="H3415" i="3"/>
  <c r="I3415" i="3" s="1"/>
  <c r="H3411" i="3"/>
  <c r="I3411" i="3" s="1"/>
  <c r="H3407" i="3"/>
  <c r="I3407" i="3" s="1"/>
  <c r="H3403" i="3"/>
  <c r="I3403" i="3" s="1"/>
  <c r="H3399" i="3"/>
  <c r="I3399" i="3" s="1"/>
  <c r="H3395" i="3"/>
  <c r="I3395" i="3" s="1"/>
  <c r="H3391" i="3"/>
  <c r="I3391" i="3" s="1"/>
  <c r="H3387" i="3"/>
  <c r="I3387" i="3" s="1"/>
  <c r="H3383" i="3"/>
  <c r="I3383" i="3" s="1"/>
  <c r="H3379" i="3"/>
  <c r="I3379" i="3" s="1"/>
  <c r="H3375" i="3"/>
  <c r="I3375" i="3" s="1"/>
  <c r="H3371" i="3"/>
  <c r="I3371" i="3" s="1"/>
  <c r="H3367" i="3"/>
  <c r="I3367" i="3" s="1"/>
  <c r="H3363" i="3"/>
  <c r="I3363" i="3" s="1"/>
  <c r="H3359" i="3"/>
  <c r="I3359" i="3" s="1"/>
  <c r="H3355" i="3"/>
  <c r="I3355" i="3" s="1"/>
  <c r="H3351" i="3"/>
  <c r="I3351" i="3" s="1"/>
  <c r="H3347" i="3"/>
  <c r="I3347" i="3" s="1"/>
  <c r="H3343" i="3"/>
  <c r="I3343" i="3" s="1"/>
  <c r="H3339" i="3"/>
  <c r="I3339" i="3" s="1"/>
  <c r="H3335" i="3"/>
  <c r="I3335" i="3" s="1"/>
  <c r="H3331" i="3"/>
  <c r="I3331" i="3" s="1"/>
  <c r="H3327" i="3"/>
  <c r="I3327" i="3" s="1"/>
  <c r="H3323" i="3"/>
  <c r="I3323" i="3" s="1"/>
  <c r="H3319" i="3"/>
  <c r="I3319" i="3" s="1"/>
  <c r="H3315" i="3"/>
  <c r="I3315" i="3" s="1"/>
  <c r="H3311" i="3"/>
  <c r="I3311" i="3" s="1"/>
  <c r="H3307" i="3"/>
  <c r="I3307" i="3" s="1"/>
  <c r="H3303" i="3"/>
  <c r="I3303" i="3" s="1"/>
  <c r="H3299" i="3"/>
  <c r="I3299" i="3" s="1"/>
  <c r="H3295" i="3"/>
  <c r="I3295" i="3" s="1"/>
  <c r="H3291" i="3"/>
  <c r="I3291" i="3" s="1"/>
  <c r="H3287" i="3"/>
  <c r="I3287" i="3" s="1"/>
  <c r="H3283" i="3"/>
  <c r="I3283" i="3" s="1"/>
  <c r="H3279" i="3"/>
  <c r="I3279" i="3" s="1"/>
  <c r="H3275" i="3"/>
  <c r="I3275" i="3" s="1"/>
  <c r="H3271" i="3"/>
  <c r="I3271" i="3" s="1"/>
  <c r="H3267" i="3"/>
  <c r="I3267" i="3" s="1"/>
  <c r="H3263" i="3"/>
  <c r="I3263" i="3" s="1"/>
  <c r="H3259" i="3"/>
  <c r="I3259" i="3" s="1"/>
  <c r="H3255" i="3"/>
  <c r="I3255" i="3" s="1"/>
  <c r="H3247" i="3"/>
  <c r="I3247" i="3" s="1"/>
  <c r="H3239" i="3"/>
  <c r="I3239" i="3" s="1"/>
  <c r="H3229" i="3"/>
  <c r="I3229" i="3" s="1"/>
  <c r="B10" i="7"/>
  <c r="B7" i="7" l="1"/>
  <c r="B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<sst xmlns="http://schemas.openxmlformats.org/spreadsheetml/2006/main" count="23286" uniqueCount="7357">
  <si>
    <t>item_id</t>
  </si>
  <si>
    <t>item_name</t>
  </si>
  <si>
    <t>category</t>
  </si>
  <si>
    <t>price</t>
  </si>
  <si>
    <t>profit</t>
  </si>
  <si>
    <t>ITM001</t>
  </si>
  <si>
    <t>Veg Sandwich</t>
  </si>
  <si>
    <t>Sandwich</t>
  </si>
  <si>
    <t>ITM002</t>
  </si>
  <si>
    <t>Paneer Sandwich</t>
  </si>
  <si>
    <t>ITM003</t>
  </si>
  <si>
    <t>Chicken Sandwich</t>
  </si>
  <si>
    <t>ITM004</t>
  </si>
  <si>
    <t>Veg Momos</t>
  </si>
  <si>
    <t>Momos</t>
  </si>
  <si>
    <t>ITM005</t>
  </si>
  <si>
    <t>Chicken Momos</t>
  </si>
  <si>
    <t>ITM006</t>
  </si>
  <si>
    <t>Paneer Momos</t>
  </si>
  <si>
    <t>ITM007</t>
  </si>
  <si>
    <t>Veg Burger</t>
  </si>
  <si>
    <t>Burger</t>
  </si>
  <si>
    <t>ITM008</t>
  </si>
  <si>
    <t>Chicken Burger</t>
  </si>
  <si>
    <t>ITM009</t>
  </si>
  <si>
    <t>Paneer Burger</t>
  </si>
  <si>
    <t>ITM010</t>
  </si>
  <si>
    <t>Veg Roll</t>
  </si>
  <si>
    <t>Rolls</t>
  </si>
  <si>
    <t>ITM011</t>
  </si>
  <si>
    <t>Paneer Roll</t>
  </si>
  <si>
    <t>ITM012</t>
  </si>
  <si>
    <t>Chicken Roll</t>
  </si>
  <si>
    <t>ITM013</t>
  </si>
  <si>
    <t>Spring Roll</t>
  </si>
  <si>
    <t>ITM014</t>
  </si>
  <si>
    <t>Chicken Nuggets</t>
  </si>
  <si>
    <t>Starters</t>
  </si>
  <si>
    <t>ITM015</t>
  </si>
  <si>
    <t>Chicken Wings</t>
  </si>
  <si>
    <t>ITM016</t>
  </si>
  <si>
    <t>Veg Nuggets</t>
  </si>
  <si>
    <t>ITM017</t>
  </si>
  <si>
    <t>Chicken Popcorn</t>
  </si>
  <si>
    <t>ITM018</t>
  </si>
  <si>
    <t>Fried Chicken</t>
  </si>
  <si>
    <t>ITM019</t>
  </si>
  <si>
    <t>Fish Finger</t>
  </si>
  <si>
    <t>ITM020</t>
  </si>
  <si>
    <t>Chicken Lollipop</t>
  </si>
  <si>
    <t>ITM021</t>
  </si>
  <si>
    <t>Grab Lollipop</t>
  </si>
  <si>
    <t>ITM022</t>
  </si>
  <si>
    <t>French Fries</t>
  </si>
  <si>
    <t>ITM023</t>
  </si>
  <si>
    <t>Chicken Strips</t>
  </si>
  <si>
    <t>ITM024</t>
  </si>
  <si>
    <t>Mint Mojito</t>
  </si>
  <si>
    <t>Beverages</t>
  </si>
  <si>
    <t>ITM025</t>
  </si>
  <si>
    <t>Blue Curacao Mojito</t>
  </si>
  <si>
    <t>ITM026</t>
  </si>
  <si>
    <t>Watermelon Mojito</t>
  </si>
  <si>
    <t>ITM027</t>
  </si>
  <si>
    <t>Virgin Mojito</t>
  </si>
  <si>
    <t>ITM028</t>
  </si>
  <si>
    <t>Lemon Juice</t>
  </si>
  <si>
    <t>Regular</t>
  </si>
  <si>
    <t>New Housing Unit, Thanjavur</t>
  </si>
  <si>
    <t>Ravi Kumar</t>
  </si>
  <si>
    <t>CUST0487</t>
  </si>
  <si>
    <t>Old Bus Stand, Thanjavur</t>
  </si>
  <si>
    <t>Sowmiya Sivakumar</t>
  </si>
  <si>
    <t>CUST0486</t>
  </si>
  <si>
    <t>New</t>
  </si>
  <si>
    <t>Old Housing Unit, Thanjavur</t>
  </si>
  <si>
    <t>Sudarshan</t>
  </si>
  <si>
    <t>CUST0485</t>
  </si>
  <si>
    <t>Maris Corner, Thanjavur</t>
  </si>
  <si>
    <t>Balaji</t>
  </si>
  <si>
    <t>CUST0484</t>
  </si>
  <si>
    <t>Indira Nagar, Thanjavur</t>
  </si>
  <si>
    <t>Amirtha Iyer</t>
  </si>
  <si>
    <t>CUST0483</t>
  </si>
  <si>
    <t>S Karthik</t>
  </si>
  <si>
    <t>CUST0482</t>
  </si>
  <si>
    <t>Mariamman Kovil Street, Thanjavur</t>
  </si>
  <si>
    <t>Kumaran Rajendran</t>
  </si>
  <si>
    <t>CUST0481</t>
  </si>
  <si>
    <t>Yashoda</t>
  </si>
  <si>
    <t>CUST0480</t>
  </si>
  <si>
    <t>Premium</t>
  </si>
  <si>
    <t>Karanthai, Thanjavur</t>
  </si>
  <si>
    <t>Yazhini</t>
  </si>
  <si>
    <t>CUST0479</t>
  </si>
  <si>
    <t>Anbarasan</t>
  </si>
  <si>
    <t>CUST0478</t>
  </si>
  <si>
    <t>Railway Station, Thanjavur</t>
  </si>
  <si>
    <t>Aravind Marimuthu</t>
  </si>
  <si>
    <t>CUST0477</t>
  </si>
  <si>
    <t>Aishwarya</t>
  </si>
  <si>
    <t>CUST0476</t>
  </si>
  <si>
    <t>Ovi</t>
  </si>
  <si>
    <t>CUST0475</t>
  </si>
  <si>
    <t>Sundram Nagar, Thanjavur</t>
  </si>
  <si>
    <t>Sathya Baskaran</t>
  </si>
  <si>
    <t>CUST0474</t>
  </si>
  <si>
    <t>Bagavathy</t>
  </si>
  <si>
    <t>CUST0473</t>
  </si>
  <si>
    <t>Archana</t>
  </si>
  <si>
    <t>CUST0472</t>
  </si>
  <si>
    <t>Kannan Ayyappan</t>
  </si>
  <si>
    <t>CUST0471</t>
  </si>
  <si>
    <t>Jayakumar Kumar</t>
  </si>
  <si>
    <t>CUST0470</t>
  </si>
  <si>
    <t>Sundar</t>
  </si>
  <si>
    <t>CUST0469</t>
  </si>
  <si>
    <t>Gandhipuram, Thanjavur</t>
  </si>
  <si>
    <t>Deepa</t>
  </si>
  <si>
    <t>CUST0468</t>
  </si>
  <si>
    <t>Nanjikottai Road, Thanjavur</t>
  </si>
  <si>
    <t>Saravanan Kandasamy</t>
  </si>
  <si>
    <t>CUST0467</t>
  </si>
  <si>
    <t>Parameswaran</t>
  </si>
  <si>
    <t>CUST0466</t>
  </si>
  <si>
    <t>Thiruvaiyaru, Thanjavur</t>
  </si>
  <si>
    <t>Gowri Pillai</t>
  </si>
  <si>
    <t>CUST0465</t>
  </si>
  <si>
    <t>Lokesh Doraiswamy</t>
  </si>
  <si>
    <t>CUST0464</t>
  </si>
  <si>
    <t>Medical College Road, Thanjavur</t>
  </si>
  <si>
    <t>Thiruvengadam Perumal</t>
  </si>
  <si>
    <t>CUST0463</t>
  </si>
  <si>
    <t>Vallam Road, Thanjavur</t>
  </si>
  <si>
    <t>S M Surya</t>
  </si>
  <si>
    <t>CUST0462</t>
  </si>
  <si>
    <t>Ayyampettai, Thanjavur</t>
  </si>
  <si>
    <t>Dinesh</t>
  </si>
  <si>
    <t>CUST0461</t>
  </si>
  <si>
    <t>Kumar Venkat</t>
  </si>
  <si>
    <t>CUST0460</t>
  </si>
  <si>
    <t>Kelavasal, Thanjavur</t>
  </si>
  <si>
    <t>Suresh</t>
  </si>
  <si>
    <t>CUST0459</t>
  </si>
  <si>
    <t>Isaivani</t>
  </si>
  <si>
    <t>CUST0458</t>
  </si>
  <si>
    <t>Gopal</t>
  </si>
  <si>
    <t>CUST0457</t>
  </si>
  <si>
    <t>VOC Nagar, Thanjavur</t>
  </si>
  <si>
    <t>Nagendran</t>
  </si>
  <si>
    <t>CUST0456</t>
  </si>
  <si>
    <t>Thillai Nagar, Thanjavur</t>
  </si>
  <si>
    <t>Karthik</t>
  </si>
  <si>
    <t>CUST0455</t>
  </si>
  <si>
    <t>Adhavan</t>
  </si>
  <si>
    <t>CUST0454</t>
  </si>
  <si>
    <t>Archana Venkat</t>
  </si>
  <si>
    <t>CUST0453</t>
  </si>
  <si>
    <t>Chandrasekar</t>
  </si>
  <si>
    <t>CUST0452</t>
  </si>
  <si>
    <t>Kalpana</t>
  </si>
  <si>
    <t>CUST0451</t>
  </si>
  <si>
    <t>Kumaran</t>
  </si>
  <si>
    <t>CUST0450</t>
  </si>
  <si>
    <t>Kamalam</t>
  </si>
  <si>
    <t>CUST0449</t>
  </si>
  <si>
    <t>Oviya</t>
  </si>
  <si>
    <t>CUST0448</t>
  </si>
  <si>
    <t>Karthika</t>
  </si>
  <si>
    <t>CUST0447</t>
  </si>
  <si>
    <t>Hariharan</t>
  </si>
  <si>
    <t>CUST0446</t>
  </si>
  <si>
    <t>Aravind</t>
  </si>
  <si>
    <t>CUST0445</t>
  </si>
  <si>
    <t>Amaravathi</t>
  </si>
  <si>
    <t>CUST0444</t>
  </si>
  <si>
    <t>Sathya</t>
  </si>
  <si>
    <t>CUST0443</t>
  </si>
  <si>
    <t>CUST0442</t>
  </si>
  <si>
    <t>Manimegalai</t>
  </si>
  <si>
    <t>CUST0441</t>
  </si>
  <si>
    <t>Ravi Perumal</t>
  </si>
  <si>
    <t>CUST0440</t>
  </si>
  <si>
    <t>Ganapathy</t>
  </si>
  <si>
    <t>CUST0439</t>
  </si>
  <si>
    <t>New Bus Stand Road, Thanjavur</t>
  </si>
  <si>
    <t>Chandran</t>
  </si>
  <si>
    <t>CUST0438</t>
  </si>
  <si>
    <t>Nandhini</t>
  </si>
  <si>
    <t>CUST0437</t>
  </si>
  <si>
    <t>Tamil</t>
  </si>
  <si>
    <t>CUST0436</t>
  </si>
  <si>
    <t>Big Bazaar Street, Thanjavur</t>
  </si>
  <si>
    <t>Hema</t>
  </si>
  <si>
    <t>CUST0435</t>
  </si>
  <si>
    <t>Kalaiselvi Elango</t>
  </si>
  <si>
    <t>CUST0434</t>
  </si>
  <si>
    <t>Revathi</t>
  </si>
  <si>
    <t>CUST0433</t>
  </si>
  <si>
    <t>Sivakumar</t>
  </si>
  <si>
    <t>CUST0432</t>
  </si>
  <si>
    <t>Kumar</t>
  </si>
  <si>
    <t>CUST0431</t>
  </si>
  <si>
    <t>CUST0430</t>
  </si>
  <si>
    <t>Gomathi Balan</t>
  </si>
  <si>
    <t>CUST0429</t>
  </si>
  <si>
    <t>Latha Nagarajan</t>
  </si>
  <si>
    <t>CUST0428</t>
  </si>
  <si>
    <t>Iniyan</t>
  </si>
  <si>
    <t>CUST0427</t>
  </si>
  <si>
    <t>Shalini</t>
  </si>
  <si>
    <t>CUST0426</t>
  </si>
  <si>
    <t>Vannarapettai, Thanjavur</t>
  </si>
  <si>
    <t>Vairavan</t>
  </si>
  <si>
    <t>CUST0425</t>
  </si>
  <si>
    <t>Ilakkiya</t>
  </si>
  <si>
    <t>CUST0424</t>
  </si>
  <si>
    <t>Anitha</t>
  </si>
  <si>
    <t>CUST0423</t>
  </si>
  <si>
    <t>Aravindan</t>
  </si>
  <si>
    <t>CUST0422</t>
  </si>
  <si>
    <t>Vasanth Pillai</t>
  </si>
  <si>
    <t>CUST0421</t>
  </si>
  <si>
    <t>Gomathi</t>
  </si>
  <si>
    <t>CUST0420</t>
  </si>
  <si>
    <t>Uma</t>
  </si>
  <si>
    <t>CUST0419</t>
  </si>
  <si>
    <t>Bhavani Ekambaram</t>
  </si>
  <si>
    <t>CUST0418</t>
  </si>
  <si>
    <t>Logeswari Alagappan</t>
  </si>
  <si>
    <t>CUST0417</t>
  </si>
  <si>
    <t>Umapathy Nagarajan</t>
  </si>
  <si>
    <t>CUST0416</t>
  </si>
  <si>
    <t>Thara</t>
  </si>
  <si>
    <t>CUST0415</t>
  </si>
  <si>
    <t>Gowri</t>
  </si>
  <si>
    <t>CUST0414</t>
  </si>
  <si>
    <t>Nilan</t>
  </si>
  <si>
    <t>CUST0413</t>
  </si>
  <si>
    <t>Divya</t>
  </si>
  <si>
    <t>CUST0412</t>
  </si>
  <si>
    <t>Yuvaraj Vijayan</t>
  </si>
  <si>
    <t>CUST0411</t>
  </si>
  <si>
    <t>Selvam</t>
  </si>
  <si>
    <t>CUST0410</t>
  </si>
  <si>
    <t>Priya</t>
  </si>
  <si>
    <t>CUST0409</t>
  </si>
  <si>
    <t>Saraswathi</t>
  </si>
  <si>
    <t>CUST0408</t>
  </si>
  <si>
    <t>Deepika Alagappan</t>
  </si>
  <si>
    <t>CUST0407</t>
  </si>
  <si>
    <t>Nithila</t>
  </si>
  <si>
    <t>CUST0406</t>
  </si>
  <si>
    <t>CUST0405</t>
  </si>
  <si>
    <t>Nagaraj</t>
  </si>
  <si>
    <t>CUST0404</t>
  </si>
  <si>
    <t>Mugilan</t>
  </si>
  <si>
    <t>CUST0403</t>
  </si>
  <si>
    <t>Jeyakumar</t>
  </si>
  <si>
    <t>CUST0402</t>
  </si>
  <si>
    <t>CUST0401</t>
  </si>
  <si>
    <t>CUST0400</t>
  </si>
  <si>
    <t>Kavin</t>
  </si>
  <si>
    <t>CUST0399</t>
  </si>
  <si>
    <t>Nirmala</t>
  </si>
  <si>
    <t>CUST0398</t>
  </si>
  <si>
    <t>Manikandan</t>
  </si>
  <si>
    <t>CUST0397</t>
  </si>
  <si>
    <t>Ilango</t>
  </si>
  <si>
    <t>CUST0396</t>
  </si>
  <si>
    <t>Lalitha Chellappan</t>
  </si>
  <si>
    <t>CUST0395</t>
  </si>
  <si>
    <t>Brindha</t>
  </si>
  <si>
    <t>CUST0394</t>
  </si>
  <si>
    <t>Hemalatha Loganathan</t>
  </si>
  <si>
    <t>CUST0393</t>
  </si>
  <si>
    <t>Dhanalakshmi</t>
  </si>
  <si>
    <t>CUST0392</t>
  </si>
  <si>
    <t>Jagadeesh</t>
  </si>
  <si>
    <t>CUST0391</t>
  </si>
  <si>
    <t>Hemalatha</t>
  </si>
  <si>
    <t>CUST0390</t>
  </si>
  <si>
    <t>CUST0389</t>
  </si>
  <si>
    <t>Nagalakshmi</t>
  </si>
  <si>
    <t>CUST0388</t>
  </si>
  <si>
    <t>Kavipriya Perumal</t>
  </si>
  <si>
    <t>CUST0387</t>
  </si>
  <si>
    <t>Kayalvizhi</t>
  </si>
  <si>
    <t>CUST0386</t>
  </si>
  <si>
    <t>Suvi</t>
  </si>
  <si>
    <t>CUST0385</t>
  </si>
  <si>
    <t>Aishwariya</t>
  </si>
  <si>
    <t>CUST0384</t>
  </si>
  <si>
    <t>Rajalakshmi</t>
  </si>
  <si>
    <t>CUST0383</t>
  </si>
  <si>
    <t>Jothi</t>
  </si>
  <si>
    <t>CUST0382</t>
  </si>
  <si>
    <t>CUST0381</t>
  </si>
  <si>
    <t>Aadhirai Perumal</t>
  </si>
  <si>
    <t>CUST0380</t>
  </si>
  <si>
    <t>Malathi</t>
  </si>
  <si>
    <t>CUST0379</t>
  </si>
  <si>
    <t>Deepika</t>
  </si>
  <si>
    <t>CUST0378</t>
  </si>
  <si>
    <t>Umadevi</t>
  </si>
  <si>
    <t>CUST0377</t>
  </si>
  <si>
    <t>CUST0376</t>
  </si>
  <si>
    <t>Anna Nagar, Thanjavur</t>
  </si>
  <si>
    <t>Indira</t>
  </si>
  <si>
    <t>CUST0375</t>
  </si>
  <si>
    <t>Nandhini Nagarajan</t>
  </si>
  <si>
    <t>CUST0374</t>
  </si>
  <si>
    <t>Harshini</t>
  </si>
  <si>
    <t>CUST0373</t>
  </si>
  <si>
    <t>Manoharan</t>
  </si>
  <si>
    <t>CUST0372</t>
  </si>
  <si>
    <t>Oormila</t>
  </si>
  <si>
    <t>CUST0371</t>
  </si>
  <si>
    <t>Sathish Elango</t>
  </si>
  <si>
    <t>CUST0370</t>
  </si>
  <si>
    <t>Elumalai</t>
  </si>
  <si>
    <t>CUST0369</t>
  </si>
  <si>
    <t>Devika</t>
  </si>
  <si>
    <t>CUST0368</t>
  </si>
  <si>
    <t>CUST0367</t>
  </si>
  <si>
    <t>Sowmiya</t>
  </si>
  <si>
    <t>CUST0366</t>
  </si>
  <si>
    <t>Baskaran</t>
  </si>
  <si>
    <t>CUST0365</t>
  </si>
  <si>
    <t>Deepa Palanisamy</t>
  </si>
  <si>
    <t>CUST0364</t>
  </si>
  <si>
    <t>Kalyani</t>
  </si>
  <si>
    <t>CUST0363</t>
  </si>
  <si>
    <t>CUST0362</t>
  </si>
  <si>
    <t>Geetha</t>
  </si>
  <si>
    <t>CUST0361</t>
  </si>
  <si>
    <t>Arthi Anandan</t>
  </si>
  <si>
    <t>CUST0360</t>
  </si>
  <si>
    <t>CUST0359</t>
  </si>
  <si>
    <t>Umapathy</t>
  </si>
  <si>
    <t>CUST0358</t>
  </si>
  <si>
    <t>Ilanthendral</t>
  </si>
  <si>
    <t>CUST0357</t>
  </si>
  <si>
    <t>Usha</t>
  </si>
  <si>
    <t>CUST0356</t>
  </si>
  <si>
    <t>CUST0355</t>
  </si>
  <si>
    <t>Anitha Muthusamy</t>
  </si>
  <si>
    <t>CUST0354</t>
  </si>
  <si>
    <t>Harini</t>
  </si>
  <si>
    <t>CUST0353</t>
  </si>
  <si>
    <t>Kurinji</t>
  </si>
  <si>
    <t>CUST0352</t>
  </si>
  <si>
    <t>CUST0351</t>
  </si>
  <si>
    <t>Kalidas Vairavan</t>
  </si>
  <si>
    <t>CUST0350</t>
  </si>
  <si>
    <t>Indhu</t>
  </si>
  <si>
    <t>CUST0349</t>
  </si>
  <si>
    <t>Kannan</t>
  </si>
  <si>
    <t>CUST0348</t>
  </si>
  <si>
    <t>Bhuvana Palanisamy</t>
  </si>
  <si>
    <t>CUST0347</t>
  </si>
  <si>
    <t>CUST0346</t>
  </si>
  <si>
    <t>Manoj</t>
  </si>
  <si>
    <t>CUST0345</t>
  </si>
  <si>
    <t>Uthra</t>
  </si>
  <si>
    <t>CUST0344</t>
  </si>
  <si>
    <t>Ezhilarasi</t>
  </si>
  <si>
    <t>CUST0343</t>
  </si>
  <si>
    <t>Mithran</t>
  </si>
  <si>
    <t>CUST0342</t>
  </si>
  <si>
    <t>CUST0341</t>
  </si>
  <si>
    <t>CUST0340</t>
  </si>
  <si>
    <t>Saravanan</t>
  </si>
  <si>
    <t>CUST0339</t>
  </si>
  <si>
    <t>CUST0338</t>
  </si>
  <si>
    <t>Padmavathi</t>
  </si>
  <si>
    <t>CUST0337</t>
  </si>
  <si>
    <t>Hariprakash</t>
  </si>
  <si>
    <t>CUST0336</t>
  </si>
  <si>
    <t>Ezhilan</t>
  </si>
  <si>
    <t>CUST0335</t>
  </si>
  <si>
    <t>CUST0334</t>
  </si>
  <si>
    <t>CUST0333</t>
  </si>
  <si>
    <t>CUST0332</t>
  </si>
  <si>
    <t>CUST0331</t>
  </si>
  <si>
    <t>Lakshmipriya</t>
  </si>
  <si>
    <t>CUST0330</t>
  </si>
  <si>
    <t>Geetha Subramani</t>
  </si>
  <si>
    <t>CUST0329</t>
  </si>
  <si>
    <t>Madhavan</t>
  </si>
  <si>
    <t>CUST0328</t>
  </si>
  <si>
    <t>Nithyakalyani Perumal</t>
  </si>
  <si>
    <t>CUST0327</t>
  </si>
  <si>
    <t>CUST0326</t>
  </si>
  <si>
    <t>CUST0325</t>
  </si>
  <si>
    <t>Chelladurai</t>
  </si>
  <si>
    <t>CUST0324</t>
  </si>
  <si>
    <t>Vasanth</t>
  </si>
  <si>
    <t>CUST0323</t>
  </si>
  <si>
    <t>Ilakkiya Murugan</t>
  </si>
  <si>
    <t>CUST0322</t>
  </si>
  <si>
    <t>CUST0321</t>
  </si>
  <si>
    <t>Ashok</t>
  </si>
  <si>
    <t>CUST0320</t>
  </si>
  <si>
    <t>Elavarasi Selvaraj</t>
  </si>
  <si>
    <t>CUST0319</t>
  </si>
  <si>
    <t>Aarini</t>
  </si>
  <si>
    <t>CUST0318</t>
  </si>
  <si>
    <t>Yamuna Nagarajan</t>
  </si>
  <si>
    <t>CUST0317</t>
  </si>
  <si>
    <t>Muthu</t>
  </si>
  <si>
    <t>CUST0316</t>
  </si>
  <si>
    <t>CUST0315</t>
  </si>
  <si>
    <t>Malarmizhi</t>
  </si>
  <si>
    <t>CUST0314</t>
  </si>
  <si>
    <t>Nithyakalyani</t>
  </si>
  <si>
    <t>CUST0313</t>
  </si>
  <si>
    <t>Logu</t>
  </si>
  <si>
    <t>CUST0312</t>
  </si>
  <si>
    <t>CUST0311</t>
  </si>
  <si>
    <t>CUST0310</t>
  </si>
  <si>
    <t>Vani</t>
  </si>
  <si>
    <t>CUST0309</t>
  </si>
  <si>
    <t>Parthiban</t>
  </si>
  <si>
    <t>CUST0308</t>
  </si>
  <si>
    <t>Kavitha</t>
  </si>
  <si>
    <t>CUST0307</t>
  </si>
  <si>
    <t>Prakash</t>
  </si>
  <si>
    <t>CUST0306</t>
  </si>
  <si>
    <t>Padmanabhan</t>
  </si>
  <si>
    <t>CUST0305</t>
  </si>
  <si>
    <t>Manikandan Pillai</t>
  </si>
  <si>
    <t>CUST0304</t>
  </si>
  <si>
    <t>CUST0303</t>
  </si>
  <si>
    <t>Lakshmi</t>
  </si>
  <si>
    <t>CUST0302</t>
  </si>
  <si>
    <t>Chitra Elango</t>
  </si>
  <si>
    <t>CUST0301</t>
  </si>
  <si>
    <t>CUST0300</t>
  </si>
  <si>
    <t>Anandhi</t>
  </si>
  <si>
    <t>CUST0299</t>
  </si>
  <si>
    <t>Chidambaram Venkat</t>
  </si>
  <si>
    <t>CUST0298</t>
  </si>
  <si>
    <t>Vignesh</t>
  </si>
  <si>
    <t>CUST0297</t>
  </si>
  <si>
    <t>CUST0296</t>
  </si>
  <si>
    <t>Hariprasad</t>
  </si>
  <si>
    <t>CUST0295</t>
  </si>
  <si>
    <t>Divya Ekambaram</t>
  </si>
  <si>
    <t>CUST0294</t>
  </si>
  <si>
    <t>CUST0293</t>
  </si>
  <si>
    <t>CUST0292</t>
  </si>
  <si>
    <t>Ramesh Ponnusamy</t>
  </si>
  <si>
    <t>CUST0291</t>
  </si>
  <si>
    <t>CUST0290</t>
  </si>
  <si>
    <t>CUST0289</t>
  </si>
  <si>
    <t>Oviyan</t>
  </si>
  <si>
    <t>CUST0288</t>
  </si>
  <si>
    <t>CUST0287</t>
  </si>
  <si>
    <t>Rajesh</t>
  </si>
  <si>
    <t>CUST0286</t>
  </si>
  <si>
    <t>Pooja Prasad</t>
  </si>
  <si>
    <t>CUST0285</t>
  </si>
  <si>
    <t>Yoganandhan</t>
  </si>
  <si>
    <t>CUST0284</t>
  </si>
  <si>
    <t>Girish</t>
  </si>
  <si>
    <t>CUST0283</t>
  </si>
  <si>
    <t>Sridharan</t>
  </si>
  <si>
    <t>CUST0282</t>
  </si>
  <si>
    <t>Kavipriya Kandasamy</t>
  </si>
  <si>
    <t>CUST0281</t>
  </si>
  <si>
    <t>Anu</t>
  </si>
  <si>
    <t>CUST0280</t>
  </si>
  <si>
    <t>Abirami</t>
  </si>
  <si>
    <t>CUST0279</t>
  </si>
  <si>
    <t>Arthi Prasad</t>
  </si>
  <si>
    <t>CUST0278</t>
  </si>
  <si>
    <t>CUST0277</t>
  </si>
  <si>
    <t>Vetrivel Venkat</t>
  </si>
  <si>
    <t>CUST0276</t>
  </si>
  <si>
    <t>CUST0275</t>
  </si>
  <si>
    <t>Harish</t>
  </si>
  <si>
    <t>CUST0274</t>
  </si>
  <si>
    <t>CUST0273</t>
  </si>
  <si>
    <t>CUST0272</t>
  </si>
  <si>
    <t>Devaki</t>
  </si>
  <si>
    <t>CUST0271</t>
  </si>
  <si>
    <t>CUST0270</t>
  </si>
  <si>
    <t>CUST0269</t>
  </si>
  <si>
    <t>Indhu Natarajan</t>
  </si>
  <si>
    <t>CUST0268</t>
  </si>
  <si>
    <t>Ragunath</t>
  </si>
  <si>
    <t>CUST0267</t>
  </si>
  <si>
    <t>Muthulakshmi</t>
  </si>
  <si>
    <t>CUST0266</t>
  </si>
  <si>
    <t>CUST0265</t>
  </si>
  <si>
    <t>Thiruvengadam</t>
  </si>
  <si>
    <t>CUST0264</t>
  </si>
  <si>
    <t>Elavarasan</t>
  </si>
  <si>
    <t>CUST0263</t>
  </si>
  <si>
    <t>Thangam</t>
  </si>
  <si>
    <t>CUST0262</t>
  </si>
  <si>
    <t>Ilango Natarajan</t>
  </si>
  <si>
    <t>CUST0261</t>
  </si>
  <si>
    <t>R Madhava</t>
  </si>
  <si>
    <t>CUST0260</t>
  </si>
  <si>
    <t>Naveen</t>
  </si>
  <si>
    <t>CUST0259</t>
  </si>
  <si>
    <t>Senthil</t>
  </si>
  <si>
    <t>CUST0258</t>
  </si>
  <si>
    <t>CUST0257</t>
  </si>
  <si>
    <t>Gunasekaran</t>
  </si>
  <si>
    <t>CUST0256</t>
  </si>
  <si>
    <t>CUST0255</t>
  </si>
  <si>
    <t>CUST0254</t>
  </si>
  <si>
    <t>Valli</t>
  </si>
  <si>
    <t>CUST0253</t>
  </si>
  <si>
    <t>CUST0252</t>
  </si>
  <si>
    <t>CUST0251</t>
  </si>
  <si>
    <t>CUST0250</t>
  </si>
  <si>
    <t>Mahesh Elango</t>
  </si>
  <si>
    <t>CUST0249</t>
  </si>
  <si>
    <t>CUST0248</t>
  </si>
  <si>
    <t>CUST0247</t>
  </si>
  <si>
    <t>CUST0246</t>
  </si>
  <si>
    <t>CUST0245</t>
  </si>
  <si>
    <t>CUST0244</t>
  </si>
  <si>
    <t>CUST0243</t>
  </si>
  <si>
    <t>Adhavan Murugan</t>
  </si>
  <si>
    <t>CUST0242</t>
  </si>
  <si>
    <t>Latha</t>
  </si>
  <si>
    <t>CUST0241</t>
  </si>
  <si>
    <t>Thendral</t>
  </si>
  <si>
    <t>CUST0240</t>
  </si>
  <si>
    <t>Meenakshi</t>
  </si>
  <si>
    <t>CUST0239</t>
  </si>
  <si>
    <t>Easwari</t>
  </si>
  <si>
    <t>CUST0238</t>
  </si>
  <si>
    <t>CUST0237</t>
  </si>
  <si>
    <t>Bala</t>
  </si>
  <si>
    <t>CUST0236</t>
  </si>
  <si>
    <t>Chidambaram</t>
  </si>
  <si>
    <t>CUST0235</t>
  </si>
  <si>
    <t>CUST0234</t>
  </si>
  <si>
    <t>Swathi Shankar</t>
  </si>
  <si>
    <t>CUST0233</t>
  </si>
  <si>
    <t>Meena</t>
  </si>
  <si>
    <t>CUST0232</t>
  </si>
  <si>
    <t>Durga</t>
  </si>
  <si>
    <t>CUST0231</t>
  </si>
  <si>
    <t>CUST0230</t>
  </si>
  <si>
    <t>CUST0229</t>
  </si>
  <si>
    <t>CUST0228</t>
  </si>
  <si>
    <t>Ganesh</t>
  </si>
  <si>
    <t>CUST0227</t>
  </si>
  <si>
    <t>Amudha Duraisamy</t>
  </si>
  <si>
    <t>CUST0226</t>
  </si>
  <si>
    <t>Arulmozhi Vairavan</t>
  </si>
  <si>
    <t>CUST0225</t>
  </si>
  <si>
    <t>CUST0224</t>
  </si>
  <si>
    <t>Chinnaraj</t>
  </si>
  <si>
    <t>CUST0223</t>
  </si>
  <si>
    <t>Ramesh</t>
  </si>
  <si>
    <t>CUST0222</t>
  </si>
  <si>
    <t>CUST0221</t>
  </si>
  <si>
    <t>Nagaraj Chandran</t>
  </si>
  <si>
    <t>CUST0220</t>
  </si>
  <si>
    <t>CUST0219</t>
  </si>
  <si>
    <t>Ulagam</t>
  </si>
  <si>
    <t>CUST0218</t>
  </si>
  <si>
    <t>Gunasekaran Manickam</t>
  </si>
  <si>
    <t>CUST0217</t>
  </si>
  <si>
    <t>Padma</t>
  </si>
  <si>
    <t>CUST0216</t>
  </si>
  <si>
    <t>Poongodi</t>
  </si>
  <si>
    <t>CUST0215</t>
  </si>
  <si>
    <t>CUST0214</t>
  </si>
  <si>
    <t>Elango</t>
  </si>
  <si>
    <t>CUST0213</t>
  </si>
  <si>
    <t>Lalitha</t>
  </si>
  <si>
    <t>CUST0212</t>
  </si>
  <si>
    <t>CUST0211</t>
  </si>
  <si>
    <t>Nithya</t>
  </si>
  <si>
    <t>CUST0210</t>
  </si>
  <si>
    <t>CUST0209</t>
  </si>
  <si>
    <t>Arthi</t>
  </si>
  <si>
    <t>CUST0208</t>
  </si>
  <si>
    <t>Aravindan Kandasamy</t>
  </si>
  <si>
    <t>CUST0207</t>
  </si>
  <si>
    <t>Chinnaraj Kandasamy</t>
  </si>
  <si>
    <t>CUST0206</t>
  </si>
  <si>
    <t>Divya Chidambaram</t>
  </si>
  <si>
    <t>CUST0205</t>
  </si>
  <si>
    <t>CUST0204</t>
  </si>
  <si>
    <t>CUST0203</t>
  </si>
  <si>
    <t>CUST0202</t>
  </si>
  <si>
    <t>Muthulakshmi Rangarajan</t>
  </si>
  <si>
    <t>CUST0201</t>
  </si>
  <si>
    <t>Rani</t>
  </si>
  <si>
    <t>CUST0200</t>
  </si>
  <si>
    <t>CUST0199</t>
  </si>
  <si>
    <t>CUST0198</t>
  </si>
  <si>
    <t>CUST0197</t>
  </si>
  <si>
    <t>CUST0196</t>
  </si>
  <si>
    <t>CUST0195</t>
  </si>
  <si>
    <t>CUST0194</t>
  </si>
  <si>
    <t>CUST0193</t>
  </si>
  <si>
    <t>Pooja</t>
  </si>
  <si>
    <t>CUST0192</t>
  </si>
  <si>
    <t>CUST0191</t>
  </si>
  <si>
    <t>Poongothai Thangavel</t>
  </si>
  <si>
    <t>CUST0190</t>
  </si>
  <si>
    <t>CUST0189</t>
  </si>
  <si>
    <t>Vijay</t>
  </si>
  <si>
    <t>CUST0188</t>
  </si>
  <si>
    <t>CUST0187</t>
  </si>
  <si>
    <t>CUST0186</t>
  </si>
  <si>
    <t>CUST0185</t>
  </si>
  <si>
    <t>Tamizhini</t>
  </si>
  <si>
    <t>CUST0184</t>
  </si>
  <si>
    <t>CUST0183</t>
  </si>
  <si>
    <t>CUST0182</t>
  </si>
  <si>
    <t>Bhavani</t>
  </si>
  <si>
    <t>CUST0181</t>
  </si>
  <si>
    <t>CUST0180</t>
  </si>
  <si>
    <t>Vasuki</t>
  </si>
  <si>
    <t>CUST0179</t>
  </si>
  <si>
    <t>Kalidas</t>
  </si>
  <si>
    <t>CUST0178</t>
  </si>
  <si>
    <t>CUST0177</t>
  </si>
  <si>
    <t>Malathi Vairavan</t>
  </si>
  <si>
    <t>CUST0176</t>
  </si>
  <si>
    <t>Selvam Sundaram</t>
  </si>
  <si>
    <t>CUST0175</t>
  </si>
  <si>
    <t>CUST0174</t>
  </si>
  <si>
    <t>Tamizhini Raj</t>
  </si>
  <si>
    <t>CUST0173</t>
  </si>
  <si>
    <t>Latha Vijayan</t>
  </si>
  <si>
    <t>CUST0172</t>
  </si>
  <si>
    <t>Janani</t>
  </si>
  <si>
    <t>CUST0171</t>
  </si>
  <si>
    <t>CUST0170</t>
  </si>
  <si>
    <t>CUST0169</t>
  </si>
  <si>
    <t>Aarini Kandasamy</t>
  </si>
  <si>
    <t>CUST0168</t>
  </si>
  <si>
    <t>Lakshman</t>
  </si>
  <si>
    <t>CUST0167</t>
  </si>
  <si>
    <t>CUST0166</t>
  </si>
  <si>
    <t>CUST0165</t>
  </si>
  <si>
    <t>CUST0164</t>
  </si>
  <si>
    <t>CUST0163</t>
  </si>
  <si>
    <t>CUST0162</t>
  </si>
  <si>
    <t>CUST0161</t>
  </si>
  <si>
    <t>CUST0160</t>
  </si>
  <si>
    <t>Vani Murugan</t>
  </si>
  <si>
    <t>CUST0159</t>
  </si>
  <si>
    <t>CUST0158</t>
  </si>
  <si>
    <t>CUST0157</t>
  </si>
  <si>
    <t>CUST0156</t>
  </si>
  <si>
    <t>CUST0155</t>
  </si>
  <si>
    <t>CUST0154</t>
  </si>
  <si>
    <t>CUST0153</t>
  </si>
  <si>
    <t>CUST0152</t>
  </si>
  <si>
    <t>CUST0151</t>
  </si>
  <si>
    <t>Neelakandan</t>
  </si>
  <si>
    <t>CUST0150</t>
  </si>
  <si>
    <t>CUST0149</t>
  </si>
  <si>
    <t>CUST0148</t>
  </si>
  <si>
    <t>CUST0147</t>
  </si>
  <si>
    <t>CUST0146</t>
  </si>
  <si>
    <t>Arulmozhi</t>
  </si>
  <si>
    <t>CUST0145</t>
  </si>
  <si>
    <t>Gunasekaran Balan</t>
  </si>
  <si>
    <t>CUST0144</t>
  </si>
  <si>
    <t>Chandran Selvaraj</t>
  </si>
  <si>
    <t>CUST0143</t>
  </si>
  <si>
    <t>CUST0142</t>
  </si>
  <si>
    <t>CUST0141</t>
  </si>
  <si>
    <t>CUST0140</t>
  </si>
  <si>
    <t>Kumar Kumar</t>
  </si>
  <si>
    <t>CUST0139</t>
  </si>
  <si>
    <t>Arun</t>
  </si>
  <si>
    <t>CUST0138</t>
  </si>
  <si>
    <t>CUST0137</t>
  </si>
  <si>
    <t>Jansi</t>
  </si>
  <si>
    <t>CUST0136</t>
  </si>
  <si>
    <t>CUST0135</t>
  </si>
  <si>
    <t>Ilamaran</t>
  </si>
  <si>
    <t>CUST0134</t>
  </si>
  <si>
    <t>CUST0133</t>
  </si>
  <si>
    <t>CUST0132</t>
  </si>
  <si>
    <t>Tharun</t>
  </si>
  <si>
    <t>CUST0131</t>
  </si>
  <si>
    <t>Easwari Ravichandran</t>
  </si>
  <si>
    <t>CUST0130</t>
  </si>
  <si>
    <t>Amudha</t>
  </si>
  <si>
    <t>CUST0129</t>
  </si>
  <si>
    <t>Vetrivel Krishnan</t>
  </si>
  <si>
    <t>CUST0128</t>
  </si>
  <si>
    <t>Balaji Chidambaram</t>
  </si>
  <si>
    <t>CUST0127</t>
  </si>
  <si>
    <t>CUST0126</t>
  </si>
  <si>
    <t>CUST0125</t>
  </si>
  <si>
    <t>CUST0124</t>
  </si>
  <si>
    <t>Aishwarya Raj</t>
  </si>
  <si>
    <t>CUST0123</t>
  </si>
  <si>
    <t>Raghavan</t>
  </si>
  <si>
    <t>CUST0122</t>
  </si>
  <si>
    <t>Pooja Rajendran</t>
  </si>
  <si>
    <t>CUST0121</t>
  </si>
  <si>
    <t>CUST0120</t>
  </si>
  <si>
    <t>Abinaya Ravichandran</t>
  </si>
  <si>
    <t>CUST0119</t>
  </si>
  <si>
    <t>CUST0118</t>
  </si>
  <si>
    <t>Lavanya Marimuthu</t>
  </si>
  <si>
    <t>CUST0117</t>
  </si>
  <si>
    <t>CUST0116</t>
  </si>
  <si>
    <t>Dharani</t>
  </si>
  <si>
    <t>CUST0115</t>
  </si>
  <si>
    <t>Hemanth</t>
  </si>
  <si>
    <t>CUST0114</t>
  </si>
  <si>
    <t>K Dhanush</t>
  </si>
  <si>
    <t>CUST0113</t>
  </si>
  <si>
    <t>CUST0112</t>
  </si>
  <si>
    <t>Chitra</t>
  </si>
  <si>
    <t>CUST0111</t>
  </si>
  <si>
    <t>CUST0110</t>
  </si>
  <si>
    <t>CUST0109</t>
  </si>
  <si>
    <t>CUST0108</t>
  </si>
  <si>
    <t>CUST0107</t>
  </si>
  <si>
    <t>Vetrivel</t>
  </si>
  <si>
    <t>CUST0106</t>
  </si>
  <si>
    <t>CUST0105</t>
  </si>
  <si>
    <t>CUST0104</t>
  </si>
  <si>
    <t>CUST0103</t>
  </si>
  <si>
    <t>Kiruthika</t>
  </si>
  <si>
    <t>CUST0102</t>
  </si>
  <si>
    <t>CUST0101</t>
  </si>
  <si>
    <t>CUST0100</t>
  </si>
  <si>
    <t>Sangeetha</t>
  </si>
  <si>
    <t>CUST0099</t>
  </si>
  <si>
    <t>CUST0098</t>
  </si>
  <si>
    <t>CUST0097</t>
  </si>
  <si>
    <t>CUST0096</t>
  </si>
  <si>
    <t>CUST0095</t>
  </si>
  <si>
    <t>Priya Selvaraj</t>
  </si>
  <si>
    <t>CUST0094</t>
  </si>
  <si>
    <t>Selvan</t>
  </si>
  <si>
    <t>CUST0093</t>
  </si>
  <si>
    <t>CUST0092</t>
  </si>
  <si>
    <t>CUST0091</t>
  </si>
  <si>
    <t>CUST0090</t>
  </si>
  <si>
    <t>CUST0089</t>
  </si>
  <si>
    <t>CUST0088</t>
  </si>
  <si>
    <t>Yuvaraj</t>
  </si>
  <si>
    <t>CUST0087</t>
  </si>
  <si>
    <t>Thulasi Chandran</t>
  </si>
  <si>
    <t>CUST0086</t>
  </si>
  <si>
    <t>CUST0085</t>
  </si>
  <si>
    <t>CUST0084</t>
  </si>
  <si>
    <t>CUST0083</t>
  </si>
  <si>
    <t>CUST0082</t>
  </si>
  <si>
    <t>CUST0081</t>
  </si>
  <si>
    <t>Usha Pillai</t>
  </si>
  <si>
    <t>CUST0080</t>
  </si>
  <si>
    <t>CUST0079</t>
  </si>
  <si>
    <t>Lavanya</t>
  </si>
  <si>
    <t>CUST0078</t>
  </si>
  <si>
    <t>CUST0077</t>
  </si>
  <si>
    <t>CUST0076</t>
  </si>
  <si>
    <t>CUST0075</t>
  </si>
  <si>
    <t>CUST0074</t>
  </si>
  <si>
    <t>Kavipriya</t>
  </si>
  <si>
    <t>CUST0073</t>
  </si>
  <si>
    <t>Logeswari</t>
  </si>
  <si>
    <t>CUST0072</t>
  </si>
  <si>
    <t>CUST0071</t>
  </si>
  <si>
    <t>CUST0070</t>
  </si>
  <si>
    <t>CUST0069</t>
  </si>
  <si>
    <t>CUST0068</t>
  </si>
  <si>
    <t>Meena Venkat</t>
  </si>
  <si>
    <t>CUST0067</t>
  </si>
  <si>
    <t>CUST0066</t>
  </si>
  <si>
    <t>Bhuvana</t>
  </si>
  <si>
    <t>CUST0065</t>
  </si>
  <si>
    <t>Amudha Baskaran</t>
  </si>
  <si>
    <t>CUST0064</t>
  </si>
  <si>
    <t>Valarmathi</t>
  </si>
  <si>
    <t>CUST0063</t>
  </si>
  <si>
    <t>CUST0062</t>
  </si>
  <si>
    <t>CUST0061</t>
  </si>
  <si>
    <t>Devi</t>
  </si>
  <si>
    <t>CUST0060</t>
  </si>
  <si>
    <t>CUST0059</t>
  </si>
  <si>
    <t>Ilamaran Selvaraj</t>
  </si>
  <si>
    <t>CUST0058</t>
  </si>
  <si>
    <t>Indumathi Marimuthu</t>
  </si>
  <si>
    <t>CUST0057</t>
  </si>
  <si>
    <t>CUST0056</t>
  </si>
  <si>
    <t>CUST0055</t>
  </si>
  <si>
    <t>CUST0054</t>
  </si>
  <si>
    <t>CUST0053</t>
  </si>
  <si>
    <t>Aadhirai Elango</t>
  </si>
  <si>
    <t>CUST0052</t>
  </si>
  <si>
    <t>Yamini Krishnan</t>
  </si>
  <si>
    <t>CUST0051</t>
  </si>
  <si>
    <t>Poongodi Subramani</t>
  </si>
  <si>
    <t>CUST0050</t>
  </si>
  <si>
    <t>Mahesh</t>
  </si>
  <si>
    <t>CUST0049</t>
  </si>
  <si>
    <t>CUST0048</t>
  </si>
  <si>
    <t>CUST0047</t>
  </si>
  <si>
    <t>CUST0046</t>
  </si>
  <si>
    <t>CUST0045</t>
  </si>
  <si>
    <t>CUST0044</t>
  </si>
  <si>
    <t>CUST0043</t>
  </si>
  <si>
    <t>Yamini</t>
  </si>
  <si>
    <t>CUST0042</t>
  </si>
  <si>
    <t>CUST0041</t>
  </si>
  <si>
    <t>CUST0040</t>
  </si>
  <si>
    <t>CUST0039</t>
  </si>
  <si>
    <t>CUST0038</t>
  </si>
  <si>
    <t>CUST0037</t>
  </si>
  <si>
    <t>CUST0036</t>
  </si>
  <si>
    <t>Tharun Shankar</t>
  </si>
  <si>
    <t>CUST0035</t>
  </si>
  <si>
    <t>Ezhilan Baskaran</t>
  </si>
  <si>
    <t>CUST0034</t>
  </si>
  <si>
    <t>CUST0033</t>
  </si>
  <si>
    <t>CUST0032</t>
  </si>
  <si>
    <t>CUST0031</t>
  </si>
  <si>
    <t>Thulasi</t>
  </si>
  <si>
    <t>CUST0030</t>
  </si>
  <si>
    <t>Vani Marimuthu</t>
  </si>
  <si>
    <t>CUST0029</t>
  </si>
  <si>
    <t>CUST0028</t>
  </si>
  <si>
    <t>CUST0027</t>
  </si>
  <si>
    <t>CUST0026</t>
  </si>
  <si>
    <t>CUST0025</t>
  </si>
  <si>
    <t>CUST0024</t>
  </si>
  <si>
    <t>Oviyan Nagarajan</t>
  </si>
  <si>
    <t>CUST0023</t>
  </si>
  <si>
    <t>CUST0022</t>
  </si>
  <si>
    <t>CUST0021</t>
  </si>
  <si>
    <t>CUST0020</t>
  </si>
  <si>
    <t>CUST0019</t>
  </si>
  <si>
    <t>CUST0018</t>
  </si>
  <si>
    <t>CUST0017</t>
  </si>
  <si>
    <t>CUST0016</t>
  </si>
  <si>
    <t>CUST0015</t>
  </si>
  <si>
    <t>CUST0014</t>
  </si>
  <si>
    <t>Aarini Ramanathan</t>
  </si>
  <si>
    <t>CUST0013</t>
  </si>
  <si>
    <t>CUST0012</t>
  </si>
  <si>
    <t>CUST0011</t>
  </si>
  <si>
    <t>CUST0010</t>
  </si>
  <si>
    <t>CUST0009</t>
  </si>
  <si>
    <t>CUST0008</t>
  </si>
  <si>
    <t>CUST0007</t>
  </si>
  <si>
    <t>CUST0006</t>
  </si>
  <si>
    <t>Mahesh Chidambaram</t>
  </si>
  <si>
    <t>CUST0005</t>
  </si>
  <si>
    <t>CUST0004</t>
  </si>
  <si>
    <t>CUST0003</t>
  </si>
  <si>
    <t>Poongothai</t>
  </si>
  <si>
    <t>CUST0002</t>
  </si>
  <si>
    <t>CUST0001</t>
  </si>
  <si>
    <t>created_date</t>
  </si>
  <si>
    <t>customer_type</t>
  </si>
  <si>
    <t>address</t>
  </si>
  <si>
    <t>customer_name</t>
  </si>
  <si>
    <t>customer_id</t>
  </si>
  <si>
    <t>ORD2395263</t>
  </si>
  <si>
    <t>OI004585</t>
  </si>
  <si>
    <t>OI004584</t>
  </si>
  <si>
    <t>ORD7669492</t>
  </si>
  <si>
    <t>OI004583</t>
  </si>
  <si>
    <t>OI004582</t>
  </si>
  <si>
    <t>OI004581</t>
  </si>
  <si>
    <t>OI004580</t>
  </si>
  <si>
    <t>ORD7050186</t>
  </si>
  <si>
    <t>OI004579</t>
  </si>
  <si>
    <t>ORD7596826</t>
  </si>
  <si>
    <t>OI004578</t>
  </si>
  <si>
    <t>OI004577</t>
  </si>
  <si>
    <t>OI004576</t>
  </si>
  <si>
    <t>ORD8221267</t>
  </si>
  <si>
    <t>OI004575</t>
  </si>
  <si>
    <t>OI004574</t>
  </si>
  <si>
    <t>ORD8604021</t>
  </si>
  <si>
    <t>OI004573</t>
  </si>
  <si>
    <t>OI004572</t>
  </si>
  <si>
    <t>ORD3554104</t>
  </si>
  <si>
    <t>OI004571</t>
  </si>
  <si>
    <t>OI004570</t>
  </si>
  <si>
    <t>ORD2873480</t>
  </si>
  <si>
    <t>OI004569</t>
  </si>
  <si>
    <t>OI004568</t>
  </si>
  <si>
    <t>ORD1444826</t>
  </si>
  <si>
    <t>OI004567</t>
  </si>
  <si>
    <t>OI004566</t>
  </si>
  <si>
    <t>OI004565</t>
  </si>
  <si>
    <t>ORD6983968</t>
  </si>
  <si>
    <t>OI004564</t>
  </si>
  <si>
    <t>OI004563</t>
  </si>
  <si>
    <t>OI004562</t>
  </si>
  <si>
    <t>OI004561</t>
  </si>
  <si>
    <t>ORD2239574</t>
  </si>
  <si>
    <t>OI004560</t>
  </si>
  <si>
    <t>ORD8860718</t>
  </si>
  <si>
    <t>OI004559</t>
  </si>
  <si>
    <t>OI004558</t>
  </si>
  <si>
    <t>OI004557</t>
  </si>
  <si>
    <t>ORD9704445</t>
  </si>
  <si>
    <t>OI004556</t>
  </si>
  <si>
    <t>OI004555</t>
  </si>
  <si>
    <t>ORD6404262</t>
  </si>
  <si>
    <t>OI004554</t>
  </si>
  <si>
    <t>OI004553</t>
  </si>
  <si>
    <t>ORD1762915</t>
  </si>
  <si>
    <t>OI004552</t>
  </si>
  <si>
    <t>OI004551</t>
  </si>
  <si>
    <t>ORD5847450</t>
  </si>
  <si>
    <t>OI004550</t>
  </si>
  <si>
    <t>OI004549</t>
  </si>
  <si>
    <t>ORD8545277</t>
  </si>
  <si>
    <t>OI004548</t>
  </si>
  <si>
    <t>ORD7538508</t>
  </si>
  <si>
    <t>OI004547</t>
  </si>
  <si>
    <t>OI004546</t>
  </si>
  <si>
    <t>ORD7482581</t>
  </si>
  <si>
    <t>OI004545</t>
  </si>
  <si>
    <t>ORD4883185</t>
  </si>
  <si>
    <t>OI004544</t>
  </si>
  <si>
    <t>OI004543</t>
  </si>
  <si>
    <t>ORD2316876</t>
  </si>
  <si>
    <t>OI004542</t>
  </si>
  <si>
    <t>ORD2710197</t>
  </si>
  <si>
    <t>OI004541</t>
  </si>
  <si>
    <t>OI004540</t>
  </si>
  <si>
    <t>OI004539</t>
  </si>
  <si>
    <t>OI004538</t>
  </si>
  <si>
    <t>ORD7386221</t>
  </si>
  <si>
    <t>OI004537</t>
  </si>
  <si>
    <t>OI004536</t>
  </si>
  <si>
    <t>OI004535</t>
  </si>
  <si>
    <t>OI004534</t>
  </si>
  <si>
    <t>ORD7591537</t>
  </si>
  <si>
    <t>OI004533</t>
  </si>
  <si>
    <t>OI004532</t>
  </si>
  <si>
    <t>ORD8946282</t>
  </si>
  <si>
    <t>OI004531</t>
  </si>
  <si>
    <t>OI004530</t>
  </si>
  <si>
    <t>ORD2925327</t>
  </si>
  <si>
    <t>OI004529</t>
  </si>
  <si>
    <t>OI004528</t>
  </si>
  <si>
    <t>ORD7190164</t>
  </si>
  <si>
    <t>OI004527</t>
  </si>
  <si>
    <t>OI004526</t>
  </si>
  <si>
    <t>OI004525</t>
  </si>
  <si>
    <t>ORD3783903</t>
  </si>
  <si>
    <t>OI004524</t>
  </si>
  <si>
    <t>OI004523</t>
  </si>
  <si>
    <t>ORD7925241</t>
  </si>
  <si>
    <t>OI004522</t>
  </si>
  <si>
    <t>OI004521</t>
  </si>
  <si>
    <t>OI004520</t>
  </si>
  <si>
    <t>ORD2333249</t>
  </si>
  <si>
    <t>OI004519</t>
  </si>
  <si>
    <t>OI004518</t>
  </si>
  <si>
    <t>ORD9321087</t>
  </si>
  <si>
    <t>OI004517</t>
  </si>
  <si>
    <t>OI004516</t>
  </si>
  <si>
    <t>OI004515</t>
  </si>
  <si>
    <t>ORD1965982</t>
  </si>
  <si>
    <t>OI004514</t>
  </si>
  <si>
    <t>OI004513</t>
  </si>
  <si>
    <t>OI004512</t>
  </si>
  <si>
    <t>OI004511</t>
  </si>
  <si>
    <t>ORD5059317</t>
  </si>
  <si>
    <t>OI004510</t>
  </si>
  <si>
    <t>OI004509</t>
  </si>
  <si>
    <t>OI004508</t>
  </si>
  <si>
    <t>ORD8363445</t>
  </si>
  <si>
    <t>OI004507</t>
  </si>
  <si>
    <t>OI004506</t>
  </si>
  <si>
    <t>ORD2694100</t>
  </si>
  <si>
    <t>OI004505</t>
  </si>
  <si>
    <t>OI004504</t>
  </si>
  <si>
    <t>ORD8741856</t>
  </si>
  <si>
    <t>OI004503</t>
  </si>
  <si>
    <t>OI004502</t>
  </si>
  <si>
    <t>ORD7716629</t>
  </si>
  <si>
    <t>OI004501</t>
  </si>
  <si>
    <t>OI004500</t>
  </si>
  <si>
    <t>ORD5871820</t>
  </si>
  <si>
    <t>OI004499</t>
  </si>
  <si>
    <t>OI004498</t>
  </si>
  <si>
    <t>ORD9997668</t>
  </si>
  <si>
    <t>OI004497</t>
  </si>
  <si>
    <t>OI004496</t>
  </si>
  <si>
    <t>ORD9527123</t>
  </si>
  <si>
    <t>OI004495</t>
  </si>
  <si>
    <t>OI004494</t>
  </si>
  <si>
    <t>OI004493</t>
  </si>
  <si>
    <t>ORD9146884</t>
  </si>
  <si>
    <t>OI004492</t>
  </si>
  <si>
    <t>OI004491</t>
  </si>
  <si>
    <t>ORD1705194</t>
  </si>
  <si>
    <t>OI004490</t>
  </si>
  <si>
    <t>ORD6274627</t>
  </si>
  <si>
    <t>OI004489</t>
  </si>
  <si>
    <t>OI004488</t>
  </si>
  <si>
    <t>OI004487</t>
  </si>
  <si>
    <t>ORD7887337</t>
  </si>
  <si>
    <t>OI004486</t>
  </si>
  <si>
    <t>OI004485</t>
  </si>
  <si>
    <t>OI004484</t>
  </si>
  <si>
    <t>OI004483</t>
  </si>
  <si>
    <t>ORD6269035</t>
  </si>
  <si>
    <t>OI004482</t>
  </si>
  <si>
    <t>OI004481</t>
  </si>
  <si>
    <t>ORD6792490</t>
  </si>
  <si>
    <t>OI004480</t>
  </si>
  <si>
    <t>OI004479</t>
  </si>
  <si>
    <t>ORD2320303</t>
  </si>
  <si>
    <t>OI004478</t>
  </si>
  <si>
    <t>OI004477</t>
  </si>
  <si>
    <t>ORD2506164</t>
  </si>
  <si>
    <t>OI004476</t>
  </si>
  <si>
    <t>OI004475</t>
  </si>
  <si>
    <t>OI004474</t>
  </si>
  <si>
    <t>OI004473</t>
  </si>
  <si>
    <t>ORD1363038</t>
  </si>
  <si>
    <t>OI004472</t>
  </si>
  <si>
    <t>OI004471</t>
  </si>
  <si>
    <t>OI004470</t>
  </si>
  <si>
    <t>ORD5651218</t>
  </si>
  <si>
    <t>OI004469</t>
  </si>
  <si>
    <t>OI004468</t>
  </si>
  <si>
    <t>ORD6817661</t>
  </si>
  <si>
    <t>OI004467</t>
  </si>
  <si>
    <t>OI004466</t>
  </si>
  <si>
    <t>ORD4768730</t>
  </si>
  <si>
    <t>OI004465</t>
  </si>
  <si>
    <t>OI004464</t>
  </si>
  <si>
    <t>ORD1880761</t>
  </si>
  <si>
    <t>OI004463</t>
  </si>
  <si>
    <t>OI004462</t>
  </si>
  <si>
    <t>ORD8604820</t>
  </si>
  <si>
    <t>OI004461</t>
  </si>
  <si>
    <t>ORD3743507</t>
  </si>
  <si>
    <t>OI004460</t>
  </si>
  <si>
    <t>OI004459</t>
  </si>
  <si>
    <t>ORD5066077</t>
  </si>
  <si>
    <t>OI004458</t>
  </si>
  <si>
    <t>OI004457</t>
  </si>
  <si>
    <t>OI004456</t>
  </si>
  <si>
    <t>ORD9752729</t>
  </si>
  <si>
    <t>OI004455</t>
  </si>
  <si>
    <t>OI004454</t>
  </si>
  <si>
    <t>ORD2906711</t>
  </si>
  <si>
    <t>OI004453</t>
  </si>
  <si>
    <t>OI004452</t>
  </si>
  <si>
    <t>ORD7922134</t>
  </si>
  <si>
    <t>OI004451</t>
  </si>
  <si>
    <t>OI004450</t>
  </si>
  <si>
    <t>ORD4826119</t>
  </si>
  <si>
    <t>OI004449</t>
  </si>
  <si>
    <t>OI004448</t>
  </si>
  <si>
    <t>ORD4798268</t>
  </si>
  <si>
    <t>OI004447</t>
  </si>
  <si>
    <t>OI004446</t>
  </si>
  <si>
    <t>OI004445</t>
  </si>
  <si>
    <t>ORD7314805</t>
  </si>
  <si>
    <t>OI004444</t>
  </si>
  <si>
    <t>OI004443</t>
  </si>
  <si>
    <t>ORD8285393</t>
  </si>
  <si>
    <t>OI004442</t>
  </si>
  <si>
    <t>OI004441</t>
  </si>
  <si>
    <t>ORD8847442</t>
  </si>
  <si>
    <t>OI004440</t>
  </si>
  <si>
    <t>OI004439</t>
  </si>
  <si>
    <t>ORD8442905</t>
  </si>
  <si>
    <t>OI004438</t>
  </si>
  <si>
    <t>OI004437</t>
  </si>
  <si>
    <t>ORD8549131</t>
  </si>
  <si>
    <t>OI004436</t>
  </si>
  <si>
    <t>OI004435</t>
  </si>
  <si>
    <t>OI004434</t>
  </si>
  <si>
    <t>ORD3166384</t>
  </si>
  <si>
    <t>OI004433</t>
  </si>
  <si>
    <t>ORD9917509</t>
  </si>
  <si>
    <t>OI004432</t>
  </si>
  <si>
    <t>OI004431</t>
  </si>
  <si>
    <t>ORD1175585</t>
  </si>
  <si>
    <t>OI004430</t>
  </si>
  <si>
    <t>ORD4164842</t>
  </si>
  <si>
    <t>OI004429</t>
  </si>
  <si>
    <t>ORD3870871</t>
  </si>
  <si>
    <t>OI004428</t>
  </si>
  <si>
    <t>OI004427</t>
  </si>
  <si>
    <t>OI004426</t>
  </si>
  <si>
    <t>ORD9359905</t>
  </si>
  <si>
    <t>OI004425</t>
  </si>
  <si>
    <t>OI004424</t>
  </si>
  <si>
    <t>ORD3517639</t>
  </si>
  <si>
    <t>OI004423</t>
  </si>
  <si>
    <t>OI004422</t>
  </si>
  <si>
    <t>ORD8165721</t>
  </si>
  <si>
    <t>OI004421</t>
  </si>
  <si>
    <t>OI004420</t>
  </si>
  <si>
    <t>ORD4405484</t>
  </si>
  <si>
    <t>OI004419</t>
  </si>
  <si>
    <t>OI004418</t>
  </si>
  <si>
    <t>ORD6469850</t>
  </si>
  <si>
    <t>OI004417</t>
  </si>
  <si>
    <t>OI004416</t>
  </si>
  <si>
    <t>ORD8493210</t>
  </si>
  <si>
    <t>OI004415</t>
  </si>
  <si>
    <t>OI004414</t>
  </si>
  <si>
    <t>ORD7075197</t>
  </si>
  <si>
    <t>OI004413</t>
  </si>
  <si>
    <t>OI004412</t>
  </si>
  <si>
    <t>OI004411</t>
  </si>
  <si>
    <t>OI004410</t>
  </si>
  <si>
    <t>ORD1553753</t>
  </si>
  <si>
    <t>OI004409</t>
  </si>
  <si>
    <t>OI004408</t>
  </si>
  <si>
    <t>OI004407</t>
  </si>
  <si>
    <t>OI004406</t>
  </si>
  <si>
    <t>ORD1038690</t>
  </si>
  <si>
    <t>OI004405</t>
  </si>
  <si>
    <t>OI004404</t>
  </si>
  <si>
    <t>OI004403</t>
  </si>
  <si>
    <t>ORD3400778</t>
  </si>
  <si>
    <t>OI004402</t>
  </si>
  <si>
    <t>OI004401</t>
  </si>
  <si>
    <t>OI004400</t>
  </si>
  <si>
    <t>ORD8037085</t>
  </si>
  <si>
    <t>OI004399</t>
  </si>
  <si>
    <t>OI004398</t>
  </si>
  <si>
    <t>ORD7312402</t>
  </si>
  <si>
    <t>OI004397</t>
  </si>
  <si>
    <t>OI004396</t>
  </si>
  <si>
    <t>ORD8991958</t>
  </si>
  <si>
    <t>OI004395</t>
  </si>
  <si>
    <t>OI004394</t>
  </si>
  <si>
    <t>ORD1191390</t>
  </si>
  <si>
    <t>OI004393</t>
  </si>
  <si>
    <t>ORD4524697</t>
  </si>
  <si>
    <t>OI004392</t>
  </si>
  <si>
    <t>OI004391</t>
  </si>
  <si>
    <t>ORD8929859</t>
  </si>
  <si>
    <t>OI004390</t>
  </si>
  <si>
    <t>OI004389</t>
  </si>
  <si>
    <t>ORD7493063</t>
  </si>
  <si>
    <t>OI004388</t>
  </si>
  <si>
    <t>OI004387</t>
  </si>
  <si>
    <t>OI004386</t>
  </si>
  <si>
    <t>OI004385</t>
  </si>
  <si>
    <t>ORD9386469</t>
  </si>
  <si>
    <t>OI004384</t>
  </si>
  <si>
    <t>OI004383</t>
  </si>
  <si>
    <t>OI004382</t>
  </si>
  <si>
    <t>ORD8925877</t>
  </si>
  <si>
    <t>OI004381</t>
  </si>
  <si>
    <t>ORD5694522</t>
  </si>
  <si>
    <t>OI004380</t>
  </si>
  <si>
    <t>OI004379</t>
  </si>
  <si>
    <t>ORD6381462</t>
  </si>
  <si>
    <t>OI004378</t>
  </si>
  <si>
    <t>OI004377</t>
  </si>
  <si>
    <t>ORD2366435</t>
  </si>
  <si>
    <t>OI004376</t>
  </si>
  <si>
    <t>OI004375</t>
  </si>
  <si>
    <t>OI004374</t>
  </si>
  <si>
    <t>ORD2483561</t>
  </si>
  <si>
    <t>OI004373</t>
  </si>
  <si>
    <t>OI004372</t>
  </si>
  <si>
    <t>OI004371</t>
  </si>
  <si>
    <t>OI004370</t>
  </si>
  <si>
    <t>ORD2417020</t>
  </si>
  <si>
    <t>OI004369</t>
  </si>
  <si>
    <t>OI004368</t>
  </si>
  <si>
    <t>ORD1175565</t>
  </si>
  <si>
    <t>OI004367</t>
  </si>
  <si>
    <t>OI004366</t>
  </si>
  <si>
    <t>OI004365</t>
  </si>
  <si>
    <t>OI004364</t>
  </si>
  <si>
    <t>ORD7676881</t>
  </si>
  <si>
    <t>OI004363</t>
  </si>
  <si>
    <t>OI004362</t>
  </si>
  <si>
    <t>OI004361</t>
  </si>
  <si>
    <t>ORD7270714</t>
  </si>
  <si>
    <t>OI004360</t>
  </si>
  <si>
    <t>OI004359</t>
  </si>
  <si>
    <t>OI004358</t>
  </si>
  <si>
    <t>ORD1556841</t>
  </si>
  <si>
    <t>OI004357</t>
  </si>
  <si>
    <t>OI004356</t>
  </si>
  <si>
    <t>OI004355</t>
  </si>
  <si>
    <t>ORD8204131</t>
  </si>
  <si>
    <t>OI004354</t>
  </si>
  <si>
    <t>OI004353</t>
  </si>
  <si>
    <t>ORD9659485</t>
  </si>
  <si>
    <t>OI004352</t>
  </si>
  <si>
    <t>OI004351</t>
  </si>
  <si>
    <t>OI004350</t>
  </si>
  <si>
    <t>ORD7260863</t>
  </si>
  <si>
    <t>OI004349</t>
  </si>
  <si>
    <t>ORD7625199</t>
  </si>
  <si>
    <t>OI004348</t>
  </si>
  <si>
    <t>OI004347</t>
  </si>
  <si>
    <t>ORD4327362</t>
  </si>
  <si>
    <t>OI004346</t>
  </si>
  <si>
    <t>OI004345</t>
  </si>
  <si>
    <t>ORD8194732</t>
  </si>
  <si>
    <t>OI004344</t>
  </si>
  <si>
    <t>OI004343</t>
  </si>
  <si>
    <t>ORD8552187</t>
  </si>
  <si>
    <t>OI004342</t>
  </si>
  <si>
    <t>OI004341</t>
  </si>
  <si>
    <t>ORD5577636</t>
  </si>
  <si>
    <t>OI004340</t>
  </si>
  <si>
    <t>OI004339</t>
  </si>
  <si>
    <t>OI004338</t>
  </si>
  <si>
    <t>OI004337</t>
  </si>
  <si>
    <t>ORD2815385</t>
  </si>
  <si>
    <t>OI004336</t>
  </si>
  <si>
    <t>OI004335</t>
  </si>
  <si>
    <t>ORD3373815</t>
  </si>
  <si>
    <t>OI004334</t>
  </si>
  <si>
    <t>OI004333</t>
  </si>
  <si>
    <t>OI004332</t>
  </si>
  <si>
    <t>OI004331</t>
  </si>
  <si>
    <t>ORD7110350</t>
  </si>
  <si>
    <t>OI004330</t>
  </si>
  <si>
    <t>OI004329</t>
  </si>
  <si>
    <t>OI004328</t>
  </si>
  <si>
    <t>OI004327</t>
  </si>
  <si>
    <t>ORD7946545</t>
  </si>
  <si>
    <t>OI004326</t>
  </si>
  <si>
    <t>OI004325</t>
  </si>
  <si>
    <t>OI004324</t>
  </si>
  <si>
    <t>ORD4866878</t>
  </si>
  <si>
    <t>OI004323</t>
  </si>
  <si>
    <t>OI004322</t>
  </si>
  <si>
    <t>OI004321</t>
  </si>
  <si>
    <t>OI004320</t>
  </si>
  <si>
    <t>ORD5194080</t>
  </si>
  <si>
    <t>OI004319</t>
  </si>
  <si>
    <t>OI004318</t>
  </si>
  <si>
    <t>OI004317</t>
  </si>
  <si>
    <t>OI004316</t>
  </si>
  <si>
    <t>ORD7675125</t>
  </si>
  <si>
    <t>OI004315</t>
  </si>
  <si>
    <t>ORD1524116</t>
  </si>
  <si>
    <t>OI004314</t>
  </si>
  <si>
    <t>OI004313</t>
  </si>
  <si>
    <t>OI004312</t>
  </si>
  <si>
    <t>ORD9693979</t>
  </si>
  <si>
    <t>OI004311</t>
  </si>
  <si>
    <t>OI004310</t>
  </si>
  <si>
    <t>ORD9266135</t>
  </si>
  <si>
    <t>OI004309</t>
  </si>
  <si>
    <t>ORD6065908</t>
  </si>
  <si>
    <t>OI004308</t>
  </si>
  <si>
    <t>ORD9183911</t>
  </si>
  <si>
    <t>OI004307</t>
  </si>
  <si>
    <t>OI004306</t>
  </si>
  <si>
    <t>OI004305</t>
  </si>
  <si>
    <t>OI004304</t>
  </si>
  <si>
    <t>ORD6269284</t>
  </si>
  <si>
    <t>OI004303</t>
  </si>
  <si>
    <t>OI004302</t>
  </si>
  <si>
    <t>ORD7128421</t>
  </si>
  <si>
    <t>OI004301</t>
  </si>
  <si>
    <t>OI004300</t>
  </si>
  <si>
    <t>OI004299</t>
  </si>
  <si>
    <t>ORD6587247</t>
  </si>
  <si>
    <t>OI004298</t>
  </si>
  <si>
    <t>OI004297</t>
  </si>
  <si>
    <t>ORD1902080</t>
  </si>
  <si>
    <t>OI004296</t>
  </si>
  <si>
    <t>OI004295</t>
  </si>
  <si>
    <t>ORD8246236</t>
  </si>
  <si>
    <t>OI004294</t>
  </si>
  <si>
    <t>OI004293</t>
  </si>
  <si>
    <t>ORD1615730</t>
  </si>
  <si>
    <t>OI004292</t>
  </si>
  <si>
    <t>ORD8204875</t>
  </si>
  <si>
    <t>OI004291</t>
  </si>
  <si>
    <t>OI004290</t>
  </si>
  <si>
    <t>ORD7285488</t>
  </si>
  <si>
    <t>OI004289</t>
  </si>
  <si>
    <t>ORD7634113</t>
  </si>
  <si>
    <t>OI004288</t>
  </si>
  <si>
    <t>OI004287</t>
  </si>
  <si>
    <t>ORD5125519</t>
  </si>
  <si>
    <t>OI004286</t>
  </si>
  <si>
    <t>OI004285</t>
  </si>
  <si>
    <t>OI004284</t>
  </si>
  <si>
    <t>ORD3569548</t>
  </si>
  <si>
    <t>OI004283</t>
  </si>
  <si>
    <t>OI004282</t>
  </si>
  <si>
    <t>OI004281</t>
  </si>
  <si>
    <t>OI004280</t>
  </si>
  <si>
    <t>ORD8338663</t>
  </si>
  <si>
    <t>OI004279</t>
  </si>
  <si>
    <t>OI004278</t>
  </si>
  <si>
    <t>OI004277</t>
  </si>
  <si>
    <t>OI004276</t>
  </si>
  <si>
    <t>ORD7714998</t>
  </si>
  <si>
    <t>OI004275</t>
  </si>
  <si>
    <t>ORD1827363</t>
  </si>
  <si>
    <t>OI004274</t>
  </si>
  <si>
    <t>OI004273</t>
  </si>
  <si>
    <t>OI004272</t>
  </si>
  <si>
    <t>OI004271</t>
  </si>
  <si>
    <t>ORD3604390</t>
  </si>
  <si>
    <t>OI004270</t>
  </si>
  <si>
    <t>OI004269</t>
  </si>
  <si>
    <t>OI004268</t>
  </si>
  <si>
    <t>OI004267</t>
  </si>
  <si>
    <t>ORD8159977</t>
  </si>
  <si>
    <t>OI004266</t>
  </si>
  <si>
    <t>OI004265</t>
  </si>
  <si>
    <t>OI004264</t>
  </si>
  <si>
    <t>OI004263</t>
  </si>
  <si>
    <t>ORD2976629</t>
  </si>
  <si>
    <t>OI004262</t>
  </si>
  <si>
    <t>OI004261</t>
  </si>
  <si>
    <t>OI004260</t>
  </si>
  <si>
    <t>ORD9196420</t>
  </si>
  <si>
    <t>OI004259</t>
  </si>
  <si>
    <t>OI004258</t>
  </si>
  <si>
    <t>OI004257</t>
  </si>
  <si>
    <t>ORD8968236</t>
  </si>
  <si>
    <t>OI004256</t>
  </si>
  <si>
    <t>OI004255</t>
  </si>
  <si>
    <t>ORD9308229</t>
  </si>
  <si>
    <t>OI004254</t>
  </si>
  <si>
    <t>ORD2858631</t>
  </si>
  <si>
    <t>OI004253</t>
  </si>
  <si>
    <t>OI004252</t>
  </si>
  <si>
    <t>ORD6565483</t>
  </si>
  <si>
    <t>OI004251</t>
  </si>
  <si>
    <t>OI004250</t>
  </si>
  <si>
    <t>OI004249</t>
  </si>
  <si>
    <t>ORD6559653</t>
  </si>
  <si>
    <t>OI004248</t>
  </si>
  <si>
    <t>OI004247</t>
  </si>
  <si>
    <t>ORD3047411</t>
  </si>
  <si>
    <t>OI004246</t>
  </si>
  <si>
    <t>OI004245</t>
  </si>
  <si>
    <t>ORD6524250</t>
  </si>
  <si>
    <t>OI004244</t>
  </si>
  <si>
    <t>OI004243</t>
  </si>
  <si>
    <t>OI004242</t>
  </si>
  <si>
    <t>ORD1386380</t>
  </si>
  <si>
    <t>OI004241</t>
  </si>
  <si>
    <t>OI004240</t>
  </si>
  <si>
    <t>OI004239</t>
  </si>
  <si>
    <t>OI004238</t>
  </si>
  <si>
    <t>ORD9563936</t>
  </si>
  <si>
    <t>OI004237</t>
  </si>
  <si>
    <t>OI004236</t>
  </si>
  <si>
    <t>OI004235</t>
  </si>
  <si>
    <t>ORD5355118</t>
  </si>
  <si>
    <t>OI004234</t>
  </si>
  <si>
    <t>ORD7016513</t>
  </si>
  <si>
    <t>OI004233</t>
  </si>
  <si>
    <t>OI004232</t>
  </si>
  <si>
    <t>OI004231</t>
  </si>
  <si>
    <t>OI004230</t>
  </si>
  <si>
    <t>ORD9657185</t>
  </si>
  <si>
    <t>OI004229</t>
  </si>
  <si>
    <t>ORD3161205</t>
  </si>
  <si>
    <t>OI004228</t>
  </si>
  <si>
    <t>OI004227</t>
  </si>
  <si>
    <t>OI004226</t>
  </si>
  <si>
    <t>OI004225</t>
  </si>
  <si>
    <t>ORD6900463</t>
  </si>
  <si>
    <t>OI004224</t>
  </si>
  <si>
    <t>OI004223</t>
  </si>
  <si>
    <t>ORD1511319</t>
  </si>
  <si>
    <t>OI004222</t>
  </si>
  <si>
    <t>OI004221</t>
  </si>
  <si>
    <t>ORD9446620</t>
  </si>
  <si>
    <t>OI004220</t>
  </si>
  <si>
    <t>OI004219</t>
  </si>
  <si>
    <t>ORD7416366</t>
  </si>
  <si>
    <t>OI004218</t>
  </si>
  <si>
    <t>OI004217</t>
  </si>
  <si>
    <t>OI004216</t>
  </si>
  <si>
    <t>ORD2648873</t>
  </si>
  <si>
    <t>OI004215</t>
  </si>
  <si>
    <t>OI004214</t>
  </si>
  <si>
    <t>ORD6084824</t>
  </si>
  <si>
    <t>OI004213</t>
  </si>
  <si>
    <t>OI004212</t>
  </si>
  <si>
    <t>ORD4284596</t>
  </si>
  <si>
    <t>OI004211</t>
  </si>
  <si>
    <t>OI004210</t>
  </si>
  <si>
    <t>OI004209</t>
  </si>
  <si>
    <t>ORD5062815</t>
  </si>
  <si>
    <t>OI004208</t>
  </si>
  <si>
    <t>OI004207</t>
  </si>
  <si>
    <t>OI004206</t>
  </si>
  <si>
    <t>OI004205</t>
  </si>
  <si>
    <t>ORD1688743</t>
  </si>
  <si>
    <t>OI004204</t>
  </si>
  <si>
    <t>OI004203</t>
  </si>
  <si>
    <t>OI004202</t>
  </si>
  <si>
    <t>OI004201</t>
  </si>
  <si>
    <t>ORD9704510</t>
  </si>
  <si>
    <t>OI004200</t>
  </si>
  <si>
    <t>OI004199</t>
  </si>
  <si>
    <t>ORD2995270</t>
  </si>
  <si>
    <t>OI004198</t>
  </si>
  <si>
    <t>OI004197</t>
  </si>
  <si>
    <t>OI004196</t>
  </si>
  <si>
    <t>ORD9625447</t>
  </si>
  <si>
    <t>OI004195</t>
  </si>
  <si>
    <t>OI004194</t>
  </si>
  <si>
    <t>ORD7816369</t>
  </si>
  <si>
    <t>OI004193</t>
  </si>
  <si>
    <t>OI004192</t>
  </si>
  <si>
    <t>ORD6020284</t>
  </si>
  <si>
    <t>OI004191</t>
  </si>
  <si>
    <t>OI004190</t>
  </si>
  <si>
    <t>OI004189</t>
  </si>
  <si>
    <t>OI004188</t>
  </si>
  <si>
    <t>ORD4628600</t>
  </si>
  <si>
    <t>OI004187</t>
  </si>
  <si>
    <t>OI004186</t>
  </si>
  <si>
    <t>ORD4027962</t>
  </si>
  <si>
    <t>OI004185</t>
  </si>
  <si>
    <t>OI004184</t>
  </si>
  <si>
    <t>OI004183</t>
  </si>
  <si>
    <t>ORD7432383</t>
  </si>
  <si>
    <t>OI004182</t>
  </si>
  <si>
    <t>OI004181</t>
  </si>
  <si>
    <t>OI004180</t>
  </si>
  <si>
    <t>OI004179</t>
  </si>
  <si>
    <t>ORD6140751</t>
  </si>
  <si>
    <t>OI004178</t>
  </si>
  <si>
    <t>OI004177</t>
  </si>
  <si>
    <t>ORD9419884</t>
  </si>
  <si>
    <t>OI004176</t>
  </si>
  <si>
    <t>OI004175</t>
  </si>
  <si>
    <t>OI004174</t>
  </si>
  <si>
    <t>ORD1535053</t>
  </si>
  <si>
    <t>OI004173</t>
  </si>
  <si>
    <t>OI004172</t>
  </si>
  <si>
    <t>OI004171</t>
  </si>
  <si>
    <t>OI004170</t>
  </si>
  <si>
    <t>ORD5062907</t>
  </si>
  <si>
    <t>OI004169</t>
  </si>
  <si>
    <t>OI004168</t>
  </si>
  <si>
    <t>OI004167</t>
  </si>
  <si>
    <t>ORD8905164</t>
  </si>
  <si>
    <t>OI004166</t>
  </si>
  <si>
    <t>OI004165</t>
  </si>
  <si>
    <t>OI004164</t>
  </si>
  <si>
    <t>ORD5448284</t>
  </si>
  <si>
    <t>OI004163</t>
  </si>
  <si>
    <t>ORD6941510</t>
  </si>
  <si>
    <t>OI004162</t>
  </si>
  <si>
    <t>OI004161</t>
  </si>
  <si>
    <t>ORD9193739</t>
  </si>
  <si>
    <t>OI004160</t>
  </si>
  <si>
    <t>OI004159</t>
  </si>
  <si>
    <t>ORD6994969</t>
  </si>
  <si>
    <t>OI004158</t>
  </si>
  <si>
    <t>OI004157</t>
  </si>
  <si>
    <t>ORD3525628</t>
  </si>
  <si>
    <t>OI004156</t>
  </si>
  <si>
    <t>OI004155</t>
  </si>
  <si>
    <t>ORD1865796</t>
  </si>
  <si>
    <t>OI004154</t>
  </si>
  <si>
    <t>OI004153</t>
  </si>
  <si>
    <t>ORD4496308</t>
  </si>
  <si>
    <t>OI004152</t>
  </si>
  <si>
    <t>OI004151</t>
  </si>
  <si>
    <t>OI004150</t>
  </si>
  <si>
    <t>ORD7465311</t>
  </si>
  <si>
    <t>OI004149</t>
  </si>
  <si>
    <t>OI004148</t>
  </si>
  <si>
    <t>ORD8177839</t>
  </si>
  <si>
    <t>OI004147</t>
  </si>
  <si>
    <t>OI004146</t>
  </si>
  <si>
    <t>OI004145</t>
  </si>
  <si>
    <t>ORD8912619</t>
  </si>
  <si>
    <t>OI004144</t>
  </si>
  <si>
    <t>OI004143</t>
  </si>
  <si>
    <t>OI004142</t>
  </si>
  <si>
    <t>ORD6622443</t>
  </si>
  <si>
    <t>OI004141</t>
  </si>
  <si>
    <t>OI004140</t>
  </si>
  <si>
    <t>ORD4031676</t>
  </si>
  <si>
    <t>OI004139</t>
  </si>
  <si>
    <t>OI004138</t>
  </si>
  <si>
    <t>ORD7014574</t>
  </si>
  <si>
    <t>OI004137</t>
  </si>
  <si>
    <t>OI004136</t>
  </si>
  <si>
    <t>ORD5376542</t>
  </si>
  <si>
    <t>OI004135</t>
  </si>
  <si>
    <t>OI004134</t>
  </si>
  <si>
    <t>ORD5332113</t>
  </si>
  <si>
    <t>OI004133</t>
  </si>
  <si>
    <t>ORD6707994</t>
  </si>
  <si>
    <t>OI004132</t>
  </si>
  <si>
    <t>OI004131</t>
  </si>
  <si>
    <t>ORD8079136</t>
  </si>
  <si>
    <t>OI004130</t>
  </si>
  <si>
    <t>OI004129</t>
  </si>
  <si>
    <t>ORD6828339</t>
  </si>
  <si>
    <t>OI004128</t>
  </si>
  <si>
    <t>OI004127</t>
  </si>
  <si>
    <t>OI004126</t>
  </si>
  <si>
    <t>OI004125</t>
  </si>
  <si>
    <t>ORD5831336</t>
  </si>
  <si>
    <t>OI004124</t>
  </si>
  <si>
    <t>OI004123</t>
  </si>
  <si>
    <t>ORD9680402</t>
  </si>
  <si>
    <t>OI004122</t>
  </si>
  <si>
    <t>OI004121</t>
  </si>
  <si>
    <t>OI004120</t>
  </si>
  <si>
    <t>ORD4867069</t>
  </si>
  <si>
    <t>OI004119</t>
  </si>
  <si>
    <t>OI004118</t>
  </si>
  <si>
    <t>ORD3816575</t>
  </si>
  <si>
    <t>OI004117</t>
  </si>
  <si>
    <t>OI004116</t>
  </si>
  <si>
    <t>ORD7431224</t>
  </si>
  <si>
    <t>OI004115</t>
  </si>
  <si>
    <t>OI004114</t>
  </si>
  <si>
    <t>OI004113</t>
  </si>
  <si>
    <t>ORD2565963</t>
  </si>
  <si>
    <t>OI004112</t>
  </si>
  <si>
    <t>ORD5781626</t>
  </si>
  <si>
    <t>OI004111</t>
  </si>
  <si>
    <t>OI004110</t>
  </si>
  <si>
    <t>ORD7171594</t>
  </si>
  <si>
    <t>OI004109</t>
  </si>
  <si>
    <t>OI004108</t>
  </si>
  <si>
    <t>OI004107</t>
  </si>
  <si>
    <t>ORD2675675</t>
  </si>
  <si>
    <t>OI004106</t>
  </si>
  <si>
    <t>OI004105</t>
  </si>
  <si>
    <t>ORD5536103</t>
  </si>
  <si>
    <t>OI004104</t>
  </si>
  <si>
    <t>OI004103</t>
  </si>
  <si>
    <t>OI004102</t>
  </si>
  <si>
    <t>ORD8893152</t>
  </si>
  <si>
    <t>OI004101</t>
  </si>
  <si>
    <t>OI004100</t>
  </si>
  <si>
    <t>OI004099</t>
  </si>
  <si>
    <t>ORD1538723</t>
  </si>
  <si>
    <t>OI004098</t>
  </si>
  <si>
    <t>OI004097</t>
  </si>
  <si>
    <t>OI004096</t>
  </si>
  <si>
    <t>OI004095</t>
  </si>
  <si>
    <t>ORD1145575</t>
  </si>
  <si>
    <t>OI004094</t>
  </si>
  <si>
    <t>OI004093</t>
  </si>
  <si>
    <t>OI004092</t>
  </si>
  <si>
    <t>ORD4151929</t>
  </si>
  <si>
    <t>OI004091</t>
  </si>
  <si>
    <t>OI004090</t>
  </si>
  <si>
    <t>OI004089</t>
  </si>
  <si>
    <t>OI004088</t>
  </si>
  <si>
    <t>ORD4091304</t>
  </si>
  <si>
    <t>OI004087</t>
  </si>
  <si>
    <t>OI004086</t>
  </si>
  <si>
    <t>OI004085</t>
  </si>
  <si>
    <t>ORD3074710</t>
  </si>
  <si>
    <t>OI004084</t>
  </si>
  <si>
    <t>OI004083</t>
  </si>
  <si>
    <t>ORD1761836</t>
  </si>
  <si>
    <t>OI004082</t>
  </si>
  <si>
    <t>OI004081</t>
  </si>
  <si>
    <t>OI004080</t>
  </si>
  <si>
    <t>ORD3881328</t>
  </si>
  <si>
    <t>OI004079</t>
  </si>
  <si>
    <t>OI004078</t>
  </si>
  <si>
    <t>ORD4544340</t>
  </si>
  <si>
    <t>OI004077</t>
  </si>
  <si>
    <t>OI004076</t>
  </si>
  <si>
    <t>OI004075</t>
  </si>
  <si>
    <t>OI004074</t>
  </si>
  <si>
    <t>ORD7149241</t>
  </si>
  <si>
    <t>OI004073</t>
  </si>
  <si>
    <t>OI004072</t>
  </si>
  <si>
    <t>ORD9968045</t>
  </si>
  <si>
    <t>OI004071</t>
  </si>
  <si>
    <t>OI004070</t>
  </si>
  <si>
    <t>OI004069</t>
  </si>
  <si>
    <t>OI004068</t>
  </si>
  <si>
    <t>ORD5779148</t>
  </si>
  <si>
    <t>OI004067</t>
  </si>
  <si>
    <t>OI004066</t>
  </si>
  <si>
    <t>OI004065</t>
  </si>
  <si>
    <t>ORD8488510</t>
  </si>
  <si>
    <t>OI004064</t>
  </si>
  <si>
    <t>OI004063</t>
  </si>
  <si>
    <t>OI004062</t>
  </si>
  <si>
    <t>ORD3435279</t>
  </si>
  <si>
    <t>OI004061</t>
  </si>
  <si>
    <t>ORD6780009</t>
  </si>
  <si>
    <t>OI004060</t>
  </si>
  <si>
    <t>OI004059</t>
  </si>
  <si>
    <t>OI004058</t>
  </si>
  <si>
    <t>OI004057</t>
  </si>
  <si>
    <t>ORD9565000</t>
  </si>
  <si>
    <t>OI004056</t>
  </si>
  <si>
    <t>OI004055</t>
  </si>
  <si>
    <t>OI004054</t>
  </si>
  <si>
    <t>ORD2890702</t>
  </si>
  <si>
    <t>OI004053</t>
  </si>
  <si>
    <t>OI004052</t>
  </si>
  <si>
    <t>ORD4664351</t>
  </si>
  <si>
    <t>OI004051</t>
  </si>
  <si>
    <t>OI004050</t>
  </si>
  <si>
    <t>ORD9016612</t>
  </si>
  <si>
    <t>OI004049</t>
  </si>
  <si>
    <t>OI004048</t>
  </si>
  <si>
    <t>OI004047</t>
  </si>
  <si>
    <t>OI004046</t>
  </si>
  <si>
    <t>ORD2787641</t>
  </si>
  <si>
    <t>OI004045</t>
  </si>
  <si>
    <t>OI004044</t>
  </si>
  <si>
    <t>ORD9363715</t>
  </si>
  <si>
    <t>OI004043</t>
  </si>
  <si>
    <t>OI004042</t>
  </si>
  <si>
    <t>ORD2847661</t>
  </si>
  <si>
    <t>OI004041</t>
  </si>
  <si>
    <t>OI004040</t>
  </si>
  <si>
    <t>OI004039</t>
  </si>
  <si>
    <t>ORD5512974</t>
  </si>
  <si>
    <t>OI004038</t>
  </si>
  <si>
    <t>ORD9155269</t>
  </si>
  <si>
    <t>OI004037</t>
  </si>
  <si>
    <t>OI004036</t>
  </si>
  <si>
    <t>ORD1151625</t>
  </si>
  <si>
    <t>OI004035</t>
  </si>
  <si>
    <t>OI004034</t>
  </si>
  <si>
    <t>ORD7067682</t>
  </si>
  <si>
    <t>OI004033</t>
  </si>
  <si>
    <t>OI004032</t>
  </si>
  <si>
    <t>ORD2266964</t>
  </si>
  <si>
    <t>OI004031</t>
  </si>
  <si>
    <t>OI004030</t>
  </si>
  <si>
    <t>OI004029</t>
  </si>
  <si>
    <t>OI004028</t>
  </si>
  <si>
    <t>ORD4451332</t>
  </si>
  <si>
    <t>OI004027</t>
  </si>
  <si>
    <t>ORD1574034</t>
  </si>
  <si>
    <t>OI004026</t>
  </si>
  <si>
    <t>OI004025</t>
  </si>
  <si>
    <t>OI004024</t>
  </si>
  <si>
    <t>ORD4296668</t>
  </si>
  <si>
    <t>OI004023</t>
  </si>
  <si>
    <t>OI004022</t>
  </si>
  <si>
    <t>ORD8726065</t>
  </si>
  <si>
    <t>OI004021</t>
  </si>
  <si>
    <t>OI004020</t>
  </si>
  <si>
    <t>OI004019</t>
  </si>
  <si>
    <t>ORD8169923</t>
  </si>
  <si>
    <t>OI004018</t>
  </si>
  <si>
    <t>OI004017</t>
  </si>
  <si>
    <t>OI004016</t>
  </si>
  <si>
    <t>ORD6380339</t>
  </si>
  <si>
    <t>OI004015</t>
  </si>
  <si>
    <t>OI004014</t>
  </si>
  <si>
    <t>ORD2427420</t>
  </si>
  <si>
    <t>OI004013</t>
  </si>
  <si>
    <t>OI004012</t>
  </si>
  <si>
    <t>OI004011</t>
  </si>
  <si>
    <t>OI004010</t>
  </si>
  <si>
    <t>ORD3223226</t>
  </si>
  <si>
    <t>OI004009</t>
  </si>
  <si>
    <t>OI004008</t>
  </si>
  <si>
    <t>ORD6773984</t>
  </si>
  <si>
    <t>OI004007</t>
  </si>
  <si>
    <t>OI004006</t>
  </si>
  <si>
    <t>OI004005</t>
  </si>
  <si>
    <t>ORD8025845</t>
  </si>
  <si>
    <t>OI004004</t>
  </si>
  <si>
    <t>OI004003</t>
  </si>
  <si>
    <t>ORD6637599</t>
  </si>
  <si>
    <t>OI004002</t>
  </si>
  <si>
    <t>OI004001</t>
  </si>
  <si>
    <t>ORD7580946</t>
  </si>
  <si>
    <t>OI004000</t>
  </si>
  <si>
    <t>ORD8979708</t>
  </si>
  <si>
    <t>OI003999</t>
  </si>
  <si>
    <t>OI003998</t>
  </si>
  <si>
    <t>ORD4689637</t>
  </si>
  <si>
    <t>OI003997</t>
  </si>
  <si>
    <t>OI003996</t>
  </si>
  <si>
    <t>OI003995</t>
  </si>
  <si>
    <t>ORD2346321</t>
  </si>
  <si>
    <t>OI003994</t>
  </si>
  <si>
    <t>OI003993</t>
  </si>
  <si>
    <t>OI003992</t>
  </si>
  <si>
    <t>ORD4097922</t>
  </si>
  <si>
    <t>OI003991</t>
  </si>
  <si>
    <t>OI003990</t>
  </si>
  <si>
    <t>OI003989</t>
  </si>
  <si>
    <t>OI003988</t>
  </si>
  <si>
    <t>ORD6546744</t>
  </si>
  <si>
    <t>OI003987</t>
  </si>
  <si>
    <t>ORD1388554</t>
  </si>
  <si>
    <t>OI003986</t>
  </si>
  <si>
    <t>OI003985</t>
  </si>
  <si>
    <t>OI003984</t>
  </si>
  <si>
    <t>ORD6794172</t>
  </si>
  <si>
    <t>OI003983</t>
  </si>
  <si>
    <t>OI003982</t>
  </si>
  <si>
    <t>ORD4290868</t>
  </si>
  <si>
    <t>OI003981</t>
  </si>
  <si>
    <t>ORD6354067</t>
  </si>
  <si>
    <t>OI003980</t>
  </si>
  <si>
    <t>OI003979</t>
  </si>
  <si>
    <t>ORD7853714</t>
  </si>
  <si>
    <t>OI003978</t>
  </si>
  <si>
    <t>OI003977</t>
  </si>
  <si>
    <t>OI003976</t>
  </si>
  <si>
    <t>ORD5032195</t>
  </si>
  <si>
    <t>OI003975</t>
  </si>
  <si>
    <t>ORD5977356</t>
  </si>
  <si>
    <t>OI003974</t>
  </si>
  <si>
    <t>OI003973</t>
  </si>
  <si>
    <t>OI003972</t>
  </si>
  <si>
    <t>ORD2100308</t>
  </si>
  <si>
    <t>OI003971</t>
  </si>
  <si>
    <t>OI003970</t>
  </si>
  <si>
    <t>ORD6118318</t>
  </si>
  <si>
    <t>OI003969</t>
  </si>
  <si>
    <t>OI003968</t>
  </si>
  <si>
    <t>OI003967</t>
  </si>
  <si>
    <t>OI003966</t>
  </si>
  <si>
    <t>ORD5354733</t>
  </si>
  <si>
    <t>OI003965</t>
  </si>
  <si>
    <t>OI003964</t>
  </si>
  <si>
    <t>ORD3821058</t>
  </si>
  <si>
    <t>OI003963</t>
  </si>
  <si>
    <t>ORD5617711</t>
  </si>
  <si>
    <t>OI003962</t>
  </si>
  <si>
    <t>OI003961</t>
  </si>
  <si>
    <t>OI003960</t>
  </si>
  <si>
    <t>ORD6864992</t>
  </si>
  <si>
    <t>OI003959</t>
  </si>
  <si>
    <t>OI003958</t>
  </si>
  <si>
    <t>OI003957</t>
  </si>
  <si>
    <t>ORD2915131</t>
  </si>
  <si>
    <t>OI003956</t>
  </si>
  <si>
    <t>OI003955</t>
  </si>
  <si>
    <t>OI003954</t>
  </si>
  <si>
    <t>ORD7501701</t>
  </si>
  <si>
    <t>OI003953</t>
  </si>
  <si>
    <t>ORD9321592</t>
  </si>
  <si>
    <t>OI003952</t>
  </si>
  <si>
    <t>OI003951</t>
  </si>
  <si>
    <t>ORD1011337</t>
  </si>
  <si>
    <t>OI003950</t>
  </si>
  <si>
    <t>OI003949</t>
  </si>
  <si>
    <t>ORD8252042</t>
  </si>
  <si>
    <t>OI003948</t>
  </si>
  <si>
    <t>OI003947</t>
  </si>
  <si>
    <t>ORD6998442</t>
  </si>
  <si>
    <t>OI003946</t>
  </si>
  <si>
    <t>ORD2649093</t>
  </si>
  <si>
    <t>OI003945</t>
  </si>
  <si>
    <t>OI003944</t>
  </si>
  <si>
    <t>ORD3093662</t>
  </si>
  <si>
    <t>OI003943</t>
  </si>
  <si>
    <t>OI003942</t>
  </si>
  <si>
    <t>ORD4558295</t>
  </si>
  <si>
    <t>OI003941</t>
  </si>
  <si>
    <t>ORD2120379</t>
  </si>
  <si>
    <t>OI003940</t>
  </si>
  <si>
    <t>OI003939</t>
  </si>
  <si>
    <t>OI003938</t>
  </si>
  <si>
    <t>OI003937</t>
  </si>
  <si>
    <t>ORD5404222</t>
  </si>
  <si>
    <t>OI003936</t>
  </si>
  <si>
    <t>OI003935</t>
  </si>
  <si>
    <t>OI003934</t>
  </si>
  <si>
    <t>ORD1752540</t>
  </si>
  <si>
    <t>OI003933</t>
  </si>
  <si>
    <t>OI003932</t>
  </si>
  <si>
    <t>OI003931</t>
  </si>
  <si>
    <t>ORD1976642</t>
  </si>
  <si>
    <t>OI003930</t>
  </si>
  <si>
    <t>OI003929</t>
  </si>
  <si>
    <t>ORD2921689</t>
  </si>
  <si>
    <t>OI003928</t>
  </si>
  <si>
    <t>OI003927</t>
  </si>
  <si>
    <t>OI003926</t>
  </si>
  <si>
    <t>OI003925</t>
  </si>
  <si>
    <t>ORD3369785</t>
  </si>
  <si>
    <t>OI003924</t>
  </si>
  <si>
    <t>OI003923</t>
  </si>
  <si>
    <t>ORD7121455</t>
  </si>
  <si>
    <t>OI003922</t>
  </si>
  <si>
    <t>OI003921</t>
  </si>
  <si>
    <t>OI003920</t>
  </si>
  <si>
    <t>ORD7449227</t>
  </si>
  <si>
    <t>OI003919</t>
  </si>
  <si>
    <t>OI003918</t>
  </si>
  <si>
    <t>OI003917</t>
  </si>
  <si>
    <t>OI003916</t>
  </si>
  <si>
    <t>ORD4410943</t>
  </si>
  <si>
    <t>OI003915</t>
  </si>
  <si>
    <t>OI003914</t>
  </si>
  <si>
    <t>ORD2161701</t>
  </si>
  <si>
    <t>OI003913</t>
  </si>
  <si>
    <t>OI003912</t>
  </si>
  <si>
    <t>OI003911</t>
  </si>
  <si>
    <t>ORD5081001</t>
  </si>
  <si>
    <t>OI003910</t>
  </si>
  <si>
    <t>ORD7115786</t>
  </si>
  <si>
    <t>OI003909</t>
  </si>
  <si>
    <t>OI003908</t>
  </si>
  <si>
    <t>OI003907</t>
  </si>
  <si>
    <t>ORD5965982</t>
  </si>
  <si>
    <t>OI003906</t>
  </si>
  <si>
    <t>OI003905</t>
  </si>
  <si>
    <t>OI003904</t>
  </si>
  <si>
    <t>ORD9110583</t>
  </si>
  <si>
    <t>OI003903</t>
  </si>
  <si>
    <t>OI003902</t>
  </si>
  <si>
    <t>OI003901</t>
  </si>
  <si>
    <t>OI003900</t>
  </si>
  <si>
    <t>ORD8425350</t>
  </si>
  <si>
    <t>OI003899</t>
  </si>
  <si>
    <t>OI003898</t>
  </si>
  <si>
    <t>ORD8648406</t>
  </si>
  <si>
    <t>OI003897</t>
  </si>
  <si>
    <t>OI003896</t>
  </si>
  <si>
    <t>ORD8836901</t>
  </si>
  <si>
    <t>OI003895</t>
  </si>
  <si>
    <t>OI003894</t>
  </si>
  <si>
    <t>OI003893</t>
  </si>
  <si>
    <t>ORD4724182</t>
  </si>
  <si>
    <t>OI003892</t>
  </si>
  <si>
    <t>OI003891</t>
  </si>
  <si>
    <t>ORD8135725</t>
  </si>
  <si>
    <t>OI003890</t>
  </si>
  <si>
    <t>OI003889</t>
  </si>
  <si>
    <t>OI003888</t>
  </si>
  <si>
    <t>ORD9542620</t>
  </si>
  <si>
    <t>OI003887</t>
  </si>
  <si>
    <t>OI003886</t>
  </si>
  <si>
    <t>ORD9997784</t>
  </si>
  <si>
    <t>OI003885</t>
  </si>
  <si>
    <t>OI003884</t>
  </si>
  <si>
    <t>ORD8885674</t>
  </si>
  <si>
    <t>OI003883</t>
  </si>
  <si>
    <t>OI003882</t>
  </si>
  <si>
    <t>ORD2723145</t>
  </si>
  <si>
    <t>OI003881</t>
  </si>
  <si>
    <t>OI003880</t>
  </si>
  <si>
    <t>OI003879</t>
  </si>
  <si>
    <t>ORD5728360</t>
  </si>
  <si>
    <t>OI003878</t>
  </si>
  <si>
    <t>ORD6539379</t>
  </si>
  <si>
    <t>OI003877</t>
  </si>
  <si>
    <t>OI003876</t>
  </si>
  <si>
    <t>OI003875</t>
  </si>
  <si>
    <t>ORD4636245</t>
  </si>
  <si>
    <t>OI003874</t>
  </si>
  <si>
    <t>OI003873</t>
  </si>
  <si>
    <t>OI003872</t>
  </si>
  <si>
    <t>ORD2570040</t>
  </si>
  <si>
    <t>OI003871</t>
  </si>
  <si>
    <t>OI003870</t>
  </si>
  <si>
    <t>OI003869</t>
  </si>
  <si>
    <t>OI003868</t>
  </si>
  <si>
    <t>ORD8295839</t>
  </si>
  <si>
    <t>OI003867</t>
  </si>
  <si>
    <t>OI003866</t>
  </si>
  <si>
    <t>ORD7392549</t>
  </si>
  <si>
    <t>OI003865</t>
  </si>
  <si>
    <t>OI003864</t>
  </si>
  <si>
    <t>OI003863</t>
  </si>
  <si>
    <t>OI003862</t>
  </si>
  <si>
    <t>ORD1454102</t>
  </si>
  <si>
    <t>OI003861</t>
  </si>
  <si>
    <t>OI003860</t>
  </si>
  <si>
    <t>OI003859</t>
  </si>
  <si>
    <t>ORD8470341</t>
  </si>
  <si>
    <t>OI003858</t>
  </si>
  <si>
    <t>OI003857</t>
  </si>
  <si>
    <t>ORD3416225</t>
  </si>
  <si>
    <t>OI003856</t>
  </si>
  <si>
    <t>OI003855</t>
  </si>
  <si>
    <t>ORD1104897</t>
  </si>
  <si>
    <t>OI003854</t>
  </si>
  <si>
    <t>OI003853</t>
  </si>
  <si>
    <t>OI003852</t>
  </si>
  <si>
    <t>OI003851</t>
  </si>
  <si>
    <t>ORD8396229</t>
  </si>
  <si>
    <t>OI003850</t>
  </si>
  <si>
    <t>OI003849</t>
  </si>
  <si>
    <t>OI003848</t>
  </si>
  <si>
    <t>ORD6600282</t>
  </si>
  <si>
    <t>OI003847</t>
  </si>
  <si>
    <t>OI003846</t>
  </si>
  <si>
    <t>ORD7167441</t>
  </si>
  <si>
    <t>OI003845</t>
  </si>
  <si>
    <t>ORD5175968</t>
  </si>
  <si>
    <t>OI003844</t>
  </si>
  <si>
    <t>OI003843</t>
  </si>
  <si>
    <t>OI003842</t>
  </si>
  <si>
    <t>ORD1508917</t>
  </si>
  <si>
    <t>OI003841</t>
  </si>
  <si>
    <t>OI003840</t>
  </si>
  <si>
    <t>OI003839</t>
  </si>
  <si>
    <t>OI003838</t>
  </si>
  <si>
    <t>ORD2732776</t>
  </si>
  <si>
    <t>OI003837</t>
  </si>
  <si>
    <t>OI003836</t>
  </si>
  <si>
    <t>OI003835</t>
  </si>
  <si>
    <t>ORD3491461</t>
  </si>
  <si>
    <t>OI003834</t>
  </si>
  <si>
    <t>OI003833</t>
  </si>
  <si>
    <t>OI003832</t>
  </si>
  <si>
    <t>ORD7947194</t>
  </si>
  <si>
    <t>OI003831</t>
  </si>
  <si>
    <t>OI003830</t>
  </si>
  <si>
    <t>OI003829</t>
  </si>
  <si>
    <t>ORD5128444</t>
  </si>
  <si>
    <t>OI003828</t>
  </si>
  <si>
    <t>OI003827</t>
  </si>
  <si>
    <t>ORD1921808</t>
  </si>
  <si>
    <t>OI003826</t>
  </si>
  <si>
    <t>OI003825</t>
  </si>
  <si>
    <t>OI003824</t>
  </si>
  <si>
    <t>ORD1980012</t>
  </si>
  <si>
    <t>OI003823</t>
  </si>
  <si>
    <t>OI003822</t>
  </si>
  <si>
    <t>ORD8400298</t>
  </si>
  <si>
    <t>OI003821</t>
  </si>
  <si>
    <t>OI003820</t>
  </si>
  <si>
    <t>OI003819</t>
  </si>
  <si>
    <t>OI003818</t>
  </si>
  <si>
    <t>ORD1007893</t>
  </si>
  <si>
    <t>OI003817</t>
  </si>
  <si>
    <t>OI003816</t>
  </si>
  <si>
    <t>OI003815</t>
  </si>
  <si>
    <t>ORD5710588</t>
  </si>
  <si>
    <t>OI003814</t>
  </si>
  <si>
    <t>ORD2036734</t>
  </si>
  <si>
    <t>OI003813</t>
  </si>
  <si>
    <t>ORD7011139</t>
  </si>
  <si>
    <t>OI003812</t>
  </si>
  <si>
    <t>OI003811</t>
  </si>
  <si>
    <t>ORD1083118</t>
  </si>
  <si>
    <t>OI003810</t>
  </si>
  <si>
    <t>OI003809</t>
  </si>
  <si>
    <t>ORD5957512</t>
  </si>
  <si>
    <t>OI003808</t>
  </si>
  <si>
    <t>OI003807</t>
  </si>
  <si>
    <t>OI003806</t>
  </si>
  <si>
    <t>ORD9814090</t>
  </si>
  <si>
    <t>OI003805</t>
  </si>
  <si>
    <t>OI003804</t>
  </si>
  <si>
    <t>ORD5012469</t>
  </si>
  <si>
    <t>OI003803</t>
  </si>
  <si>
    <t>OI003802</t>
  </si>
  <si>
    <t>ORD6671312</t>
  </si>
  <si>
    <t>OI003801</t>
  </si>
  <si>
    <t>OI003800</t>
  </si>
  <si>
    <t>ORD3921062</t>
  </si>
  <si>
    <t>OI003799</t>
  </si>
  <si>
    <t>OI003798</t>
  </si>
  <si>
    <t>ORD3696585</t>
  </si>
  <si>
    <t>OI003797</t>
  </si>
  <si>
    <t>OI003796</t>
  </si>
  <si>
    <t>OI003795</t>
  </si>
  <si>
    <t>ORD8017149</t>
  </si>
  <si>
    <t>OI003794</t>
  </si>
  <si>
    <t>ORD1813207</t>
  </si>
  <si>
    <t>OI003793</t>
  </si>
  <si>
    <t>OI003792</t>
  </si>
  <si>
    <t>ORD5668383</t>
  </si>
  <si>
    <t>OI003791</t>
  </si>
  <si>
    <t>OI003790</t>
  </si>
  <si>
    <t>OI003789</t>
  </si>
  <si>
    <t>ORD8459700</t>
  </si>
  <si>
    <t>OI003788</t>
  </si>
  <si>
    <t>OI003787</t>
  </si>
  <si>
    <t>OI003786</t>
  </si>
  <si>
    <t>OI003785</t>
  </si>
  <si>
    <t>ORD9555363</t>
  </si>
  <si>
    <t>OI003784</t>
  </si>
  <si>
    <t>OI003783</t>
  </si>
  <si>
    <t>OI003782</t>
  </si>
  <si>
    <t>OI003781</t>
  </si>
  <si>
    <t>ORD6585409</t>
  </si>
  <si>
    <t>OI003780</t>
  </si>
  <si>
    <t>OI003779</t>
  </si>
  <si>
    <t>OI003778</t>
  </si>
  <si>
    <t>ORD1686773</t>
  </si>
  <si>
    <t>OI003777</t>
  </si>
  <si>
    <t>OI003776</t>
  </si>
  <si>
    <t>OI003775</t>
  </si>
  <si>
    <t>ORD8432244</t>
  </si>
  <si>
    <t>OI003774</t>
  </si>
  <si>
    <t>OI003773</t>
  </si>
  <si>
    <t>ORD2943171</t>
  </si>
  <si>
    <t>OI003772</t>
  </si>
  <si>
    <t>OI003771</t>
  </si>
  <si>
    <t>ORD5763194</t>
  </si>
  <si>
    <t>OI003770</t>
  </si>
  <si>
    <t>OI003769</t>
  </si>
  <si>
    <t>OI003768</t>
  </si>
  <si>
    <t>ORD1129313</t>
  </si>
  <si>
    <t>OI003767</t>
  </si>
  <si>
    <t>OI003766</t>
  </si>
  <si>
    <t>ORD9589117</t>
  </si>
  <si>
    <t>OI003765</t>
  </si>
  <si>
    <t>OI003764</t>
  </si>
  <si>
    <t>OI003763</t>
  </si>
  <si>
    <t>ORD1718625</t>
  </si>
  <si>
    <t>OI003762</t>
  </si>
  <si>
    <t>OI003761</t>
  </si>
  <si>
    <t>ORD3443510</t>
  </si>
  <si>
    <t>OI003760</t>
  </si>
  <si>
    <t>OI003759</t>
  </si>
  <si>
    <t>ORD9500739</t>
  </si>
  <si>
    <t>OI003758</t>
  </si>
  <si>
    <t>OI003757</t>
  </si>
  <si>
    <t>OI003756</t>
  </si>
  <si>
    <t>OI003755</t>
  </si>
  <si>
    <t>ORD7094896</t>
  </si>
  <si>
    <t>OI003754</t>
  </si>
  <si>
    <t>OI003753</t>
  </si>
  <si>
    <t>ORD8270280</t>
  </si>
  <si>
    <t>OI003752</t>
  </si>
  <si>
    <t>OI003751</t>
  </si>
  <si>
    <t>ORD7357739</t>
  </si>
  <si>
    <t>OI003750</t>
  </si>
  <si>
    <t>OI003749</t>
  </si>
  <si>
    <t>OI003748</t>
  </si>
  <si>
    <t>ORD9557662</t>
  </si>
  <si>
    <t>OI003747</t>
  </si>
  <si>
    <t>OI003746</t>
  </si>
  <si>
    <t>ORD1072278</t>
  </si>
  <si>
    <t>OI003745</t>
  </si>
  <si>
    <t>OI003744</t>
  </si>
  <si>
    <t>OI003743</t>
  </si>
  <si>
    <t>OI003742</t>
  </si>
  <si>
    <t>ORD9062331</t>
  </si>
  <si>
    <t>OI003741</t>
  </si>
  <si>
    <t>OI003740</t>
  </si>
  <si>
    <t>OI003739</t>
  </si>
  <si>
    <t>ORD2253042</t>
  </si>
  <si>
    <t>OI003738</t>
  </si>
  <si>
    <t>ORD5134708</t>
  </si>
  <si>
    <t>OI003737</t>
  </si>
  <si>
    <t>OI003736</t>
  </si>
  <si>
    <t>ORD1418009</t>
  </si>
  <si>
    <t>OI003735</t>
  </si>
  <si>
    <t>OI003734</t>
  </si>
  <si>
    <t>OI003733</t>
  </si>
  <si>
    <t>OI003732</t>
  </si>
  <si>
    <t>ORD4632437</t>
  </si>
  <si>
    <t>OI003731</t>
  </si>
  <si>
    <t>ORD8034050</t>
  </si>
  <si>
    <t>OI003730</t>
  </si>
  <si>
    <t>OI003729</t>
  </si>
  <si>
    <t>OI003728</t>
  </si>
  <si>
    <t>ORD1462042</t>
  </si>
  <si>
    <t>OI003727</t>
  </si>
  <si>
    <t>OI003726</t>
  </si>
  <si>
    <t>ORD2483629</t>
  </si>
  <si>
    <t>OI003725</t>
  </si>
  <si>
    <t>OI003724</t>
  </si>
  <si>
    <t>ORD6042815</t>
  </si>
  <si>
    <t>OI003723</t>
  </si>
  <si>
    <t>OI003722</t>
  </si>
  <si>
    <t>ORD4086060</t>
  </si>
  <si>
    <t>OI003721</t>
  </si>
  <si>
    <t>OI003720</t>
  </si>
  <si>
    <t>OI003719</t>
  </si>
  <si>
    <t>ORD8107034</t>
  </si>
  <si>
    <t>OI003718</t>
  </si>
  <si>
    <t>OI003717</t>
  </si>
  <si>
    <t>OI003716</t>
  </si>
  <si>
    <t>OI003715</t>
  </si>
  <si>
    <t>ORD2702989</t>
  </si>
  <si>
    <t>OI003714</t>
  </si>
  <si>
    <t>OI003713</t>
  </si>
  <si>
    <t>OI003712</t>
  </si>
  <si>
    <t>OI003711</t>
  </si>
  <si>
    <t>ORD5966644</t>
  </si>
  <si>
    <t>OI003710</t>
  </si>
  <si>
    <t>ORD4768255</t>
  </si>
  <si>
    <t>OI003709</t>
  </si>
  <si>
    <t>OI003708</t>
  </si>
  <si>
    <t>ORD4398191</t>
  </si>
  <si>
    <t>OI003707</t>
  </si>
  <si>
    <t>OI003706</t>
  </si>
  <si>
    <t>ORD4914547</t>
  </si>
  <si>
    <t>OI003705</t>
  </si>
  <si>
    <t>OI003704</t>
  </si>
  <si>
    <t>ORD7198743</t>
  </si>
  <si>
    <t>OI003703</t>
  </si>
  <si>
    <t>OI003702</t>
  </si>
  <si>
    <t>ORD2112928</t>
  </si>
  <si>
    <t>OI003701</t>
  </si>
  <si>
    <t>OI003700</t>
  </si>
  <si>
    <t>ORD5068524</t>
  </si>
  <si>
    <t>OI003699</t>
  </si>
  <si>
    <t>OI003698</t>
  </si>
  <si>
    <t>OI003697</t>
  </si>
  <si>
    <t>ORD3906864</t>
  </si>
  <si>
    <t>OI003696</t>
  </si>
  <si>
    <t>OI003695</t>
  </si>
  <si>
    <t>ORD3656233</t>
  </si>
  <si>
    <t>OI003694</t>
  </si>
  <si>
    <t>OI003693</t>
  </si>
  <si>
    <t>OI003692</t>
  </si>
  <si>
    <t>ORD2603998</t>
  </si>
  <si>
    <t>OI003691</t>
  </si>
  <si>
    <t>OI003690</t>
  </si>
  <si>
    <t>OI003689</t>
  </si>
  <si>
    <t>ORD5661974</t>
  </si>
  <si>
    <t>OI003688</t>
  </si>
  <si>
    <t>ORD3376786</t>
  </si>
  <si>
    <t>OI003687</t>
  </si>
  <si>
    <t>ORD6622669</t>
  </si>
  <si>
    <t>OI003686</t>
  </si>
  <si>
    <t>OI003685</t>
  </si>
  <si>
    <t>OI003684</t>
  </si>
  <si>
    <t>ORD5100202</t>
  </si>
  <si>
    <t>OI003683</t>
  </si>
  <si>
    <t>OI003682</t>
  </si>
  <si>
    <t>ORD9799742</t>
  </si>
  <si>
    <t>OI003681</t>
  </si>
  <si>
    <t>OI003680</t>
  </si>
  <si>
    <t>ORD2089225</t>
  </si>
  <si>
    <t>OI003679</t>
  </si>
  <si>
    <t>OI003678</t>
  </si>
  <si>
    <t>ORD7274275</t>
  </si>
  <si>
    <t>OI003677</t>
  </si>
  <si>
    <t>ORD1135513</t>
  </si>
  <si>
    <t>OI003676</t>
  </si>
  <si>
    <t>ORD2404119</t>
  </si>
  <si>
    <t>OI003675</t>
  </si>
  <si>
    <t>OI003674</t>
  </si>
  <si>
    <t>OI003673</t>
  </si>
  <si>
    <t>ORD9071705</t>
  </si>
  <si>
    <t>OI003672</t>
  </si>
  <si>
    <t>OI003671</t>
  </si>
  <si>
    <t>ORD6612357</t>
  </si>
  <si>
    <t>OI003670</t>
  </si>
  <si>
    <t>ORD9153183</t>
  </si>
  <si>
    <t>OI003669</t>
  </si>
  <si>
    <t>OI003668</t>
  </si>
  <si>
    <t>ORD3151521</t>
  </si>
  <si>
    <t>OI003667</t>
  </si>
  <si>
    <t>OI003666</t>
  </si>
  <si>
    <t>ORD4544837</t>
  </si>
  <si>
    <t>OI003665</t>
  </si>
  <si>
    <t>OI003664</t>
  </si>
  <si>
    <t>OI003663</t>
  </si>
  <si>
    <t>ORD4502357</t>
  </si>
  <si>
    <t>OI003662</t>
  </si>
  <si>
    <t>OI003661</t>
  </si>
  <si>
    <t>OI003660</t>
  </si>
  <si>
    <t>OI003659</t>
  </si>
  <si>
    <t>ORD1025093</t>
  </si>
  <si>
    <t>OI003658</t>
  </si>
  <si>
    <t>OI003657</t>
  </si>
  <si>
    <t>OI003656</t>
  </si>
  <si>
    <t>OI003655</t>
  </si>
  <si>
    <t>ORD7450350</t>
  </si>
  <si>
    <t>OI003654</t>
  </si>
  <si>
    <t>ORD3103442</t>
  </si>
  <si>
    <t>OI003653</t>
  </si>
  <si>
    <t>OI003652</t>
  </si>
  <si>
    <t>ORD5587854</t>
  </si>
  <si>
    <t>OI003651</t>
  </si>
  <si>
    <t>OI003650</t>
  </si>
  <si>
    <t>ORD3710559</t>
  </si>
  <si>
    <t>OI003649</t>
  </si>
  <si>
    <t>ORD6794463</t>
  </si>
  <si>
    <t>OI003648</t>
  </si>
  <si>
    <t>OI003647</t>
  </si>
  <si>
    <t>ORD5266269</t>
  </si>
  <si>
    <t>OI003646</t>
  </si>
  <si>
    <t>OI003645</t>
  </si>
  <si>
    <t>ORD1633270</t>
  </si>
  <si>
    <t>OI003644</t>
  </si>
  <si>
    <t>OI003643</t>
  </si>
  <si>
    <t>OI003642</t>
  </si>
  <si>
    <t>ORD9358735</t>
  </si>
  <si>
    <t>OI003641</t>
  </si>
  <si>
    <t>OI003640</t>
  </si>
  <si>
    <t>ORD6002347</t>
  </si>
  <si>
    <t>OI003639</t>
  </si>
  <si>
    <t>ORD6075999</t>
  </si>
  <si>
    <t>OI003638</t>
  </si>
  <si>
    <t>OI003637</t>
  </si>
  <si>
    <t>ORD9955929</t>
  </si>
  <si>
    <t>OI003636</t>
  </si>
  <si>
    <t>ORD9110060</t>
  </si>
  <si>
    <t>OI003635</t>
  </si>
  <si>
    <t>OI003634</t>
  </si>
  <si>
    <t>OI003633</t>
  </si>
  <si>
    <t>ORD3130343</t>
  </si>
  <si>
    <t>OI003632</t>
  </si>
  <si>
    <t>OI003631</t>
  </si>
  <si>
    <t>OI003630</t>
  </si>
  <si>
    <t>ORD8484166</t>
  </si>
  <si>
    <t>OI003629</t>
  </si>
  <si>
    <t>OI003628</t>
  </si>
  <si>
    <t>OI003627</t>
  </si>
  <si>
    <t>OI003626</t>
  </si>
  <si>
    <t>ORD8325920</t>
  </si>
  <si>
    <t>OI003625</t>
  </si>
  <si>
    <t>OI003624</t>
  </si>
  <si>
    <t>OI003623</t>
  </si>
  <si>
    <t>ORD8628291</t>
  </si>
  <si>
    <t>OI003622</t>
  </si>
  <si>
    <t>OI003621</t>
  </si>
  <si>
    <t>ORD9774395</t>
  </si>
  <si>
    <t>OI003620</t>
  </si>
  <si>
    <t>OI003619</t>
  </si>
  <si>
    <t>OI003618</t>
  </si>
  <si>
    <t>ORD2824928</t>
  </si>
  <si>
    <t>OI003617</t>
  </si>
  <si>
    <t>ORD4524857</t>
  </si>
  <si>
    <t>OI003616</t>
  </si>
  <si>
    <t>OI003615</t>
  </si>
  <si>
    <t>ORD4525412</t>
  </si>
  <si>
    <t>OI003614</t>
  </si>
  <si>
    <t>OI003613</t>
  </si>
  <si>
    <t>ORD5707149</t>
  </si>
  <si>
    <t>OI003612</t>
  </si>
  <si>
    <t>OI003611</t>
  </si>
  <si>
    <t>OI003610</t>
  </si>
  <si>
    <t>OI003609</t>
  </si>
  <si>
    <t>ORD1452563</t>
  </si>
  <si>
    <t>OI003608</t>
  </si>
  <si>
    <t>OI003607</t>
  </si>
  <si>
    <t>OI003606</t>
  </si>
  <si>
    <t>OI003605</t>
  </si>
  <si>
    <t>ORD7400252</t>
  </si>
  <si>
    <t>OI003604</t>
  </si>
  <si>
    <t>OI003603</t>
  </si>
  <si>
    <t>OI003602</t>
  </si>
  <si>
    <t>ORD2450419</t>
  </si>
  <si>
    <t>OI003601</t>
  </si>
  <si>
    <t>ORD5696796</t>
  </si>
  <si>
    <t>OI003600</t>
  </si>
  <si>
    <t>OI003599</t>
  </si>
  <si>
    <t>ORD9724147</t>
  </si>
  <si>
    <t>OI003598</t>
  </si>
  <si>
    <t>OI003597</t>
  </si>
  <si>
    <t>OI003596</t>
  </si>
  <si>
    <t>ORD7128711</t>
  </si>
  <si>
    <t>OI003595</t>
  </si>
  <si>
    <t>OI003594</t>
  </si>
  <si>
    <t>OI003593</t>
  </si>
  <si>
    <t>ORD9733958</t>
  </si>
  <si>
    <t>OI003592</t>
  </si>
  <si>
    <t>OI003591</t>
  </si>
  <si>
    <t>ORD8251052</t>
  </si>
  <si>
    <t>OI003590</t>
  </si>
  <si>
    <t>OI003589</t>
  </si>
  <si>
    <t>ORD1237577</t>
  </si>
  <si>
    <t>OI003588</t>
  </si>
  <si>
    <t>OI003587</t>
  </si>
  <si>
    <t>ORD5575750</t>
  </si>
  <si>
    <t>OI003586</t>
  </si>
  <si>
    <t>OI003585</t>
  </si>
  <si>
    <t>OI003584</t>
  </si>
  <si>
    <t>OI003583</t>
  </si>
  <si>
    <t>ORD4747003</t>
  </si>
  <si>
    <t>OI003582</t>
  </si>
  <si>
    <t>OI003581</t>
  </si>
  <si>
    <t>OI003580</t>
  </si>
  <si>
    <t>OI003579</t>
  </si>
  <si>
    <t>ORD1764736</t>
  </si>
  <si>
    <t>OI003578</t>
  </si>
  <si>
    <t>OI003577</t>
  </si>
  <si>
    <t>ORD1082850</t>
  </si>
  <si>
    <t>OI003576</t>
  </si>
  <si>
    <t>OI003575</t>
  </si>
  <si>
    <t>OI003574</t>
  </si>
  <si>
    <t>OI003573</t>
  </si>
  <si>
    <t>ORD2196066</t>
  </si>
  <si>
    <t>OI003572</t>
  </si>
  <si>
    <t>OI003571</t>
  </si>
  <si>
    <t>ORD5606976</t>
  </si>
  <si>
    <t>OI003570</t>
  </si>
  <si>
    <t>ORD5660426</t>
  </si>
  <si>
    <t>OI003569</t>
  </si>
  <si>
    <t>ORD3360703</t>
  </si>
  <si>
    <t>OI003568</t>
  </si>
  <si>
    <t>ORD5518767</t>
  </si>
  <si>
    <t>OI003567</t>
  </si>
  <si>
    <t>OI003566</t>
  </si>
  <si>
    <t>OI003565</t>
  </si>
  <si>
    <t>ORD5285200</t>
  </si>
  <si>
    <t>OI003564</t>
  </si>
  <si>
    <t>OI003563</t>
  </si>
  <si>
    <t>OI003562</t>
  </si>
  <si>
    <t>ORD9830779</t>
  </si>
  <si>
    <t>OI003561</t>
  </si>
  <si>
    <t>OI003560</t>
  </si>
  <si>
    <t>OI003559</t>
  </si>
  <si>
    <t>ORD3306375</t>
  </si>
  <si>
    <t>OI003558</t>
  </si>
  <si>
    <t>OI003557</t>
  </si>
  <si>
    <t>OI003556</t>
  </si>
  <si>
    <t>OI003555</t>
  </si>
  <si>
    <t>ORD9953454</t>
  </si>
  <si>
    <t>OI003554</t>
  </si>
  <si>
    <t>OI003553</t>
  </si>
  <si>
    <t>OI003552</t>
  </si>
  <si>
    <t>ORD7995191</t>
  </si>
  <si>
    <t>OI003551</t>
  </si>
  <si>
    <t>OI003550</t>
  </si>
  <si>
    <t>ORD5660649</t>
  </si>
  <si>
    <t>OI003549</t>
  </si>
  <si>
    <t>OI003548</t>
  </si>
  <si>
    <t>OI003547</t>
  </si>
  <si>
    <t>ORD7770277</t>
  </si>
  <si>
    <t>OI003546</t>
  </si>
  <si>
    <t>OI003545</t>
  </si>
  <si>
    <t>OI003544</t>
  </si>
  <si>
    <t>OI003543</t>
  </si>
  <si>
    <t>ORD8209168</t>
  </si>
  <si>
    <t>OI003542</t>
  </si>
  <si>
    <t>ORD8934226</t>
  </si>
  <si>
    <t>OI003541</t>
  </si>
  <si>
    <t>OI003540</t>
  </si>
  <si>
    <t>OI003539</t>
  </si>
  <si>
    <t>ORD4478510</t>
  </si>
  <si>
    <t>OI003538</t>
  </si>
  <si>
    <t>OI003537</t>
  </si>
  <si>
    <t>ORD8256078</t>
  </si>
  <si>
    <t>OI003536</t>
  </si>
  <si>
    <t>OI003535</t>
  </si>
  <si>
    <t>OI003534</t>
  </si>
  <si>
    <t>OI003533</t>
  </si>
  <si>
    <t>ORD6739427</t>
  </si>
  <si>
    <t>OI003532</t>
  </si>
  <si>
    <t>OI003531</t>
  </si>
  <si>
    <t>OI003530</t>
  </si>
  <si>
    <t>OI003529</t>
  </si>
  <si>
    <t>ORD4563779</t>
  </si>
  <si>
    <t>OI003528</t>
  </si>
  <si>
    <t>OI003527</t>
  </si>
  <si>
    <t>ORD3360409</t>
  </si>
  <si>
    <t>OI003526</t>
  </si>
  <si>
    <t>OI003525</t>
  </si>
  <si>
    <t>ORD7623361</t>
  </si>
  <si>
    <t>OI003524</t>
  </si>
  <si>
    <t>OI003523</t>
  </si>
  <si>
    <t>ORD3410155</t>
  </si>
  <si>
    <t>OI003522</t>
  </si>
  <si>
    <t>OI003521</t>
  </si>
  <si>
    <t>ORD4116123</t>
  </si>
  <si>
    <t>OI003520</t>
  </si>
  <si>
    <t>OI003519</t>
  </si>
  <si>
    <t>OI003518</t>
  </si>
  <si>
    <t>OI003517</t>
  </si>
  <si>
    <t>ORD3064526</t>
  </si>
  <si>
    <t>OI003516</t>
  </si>
  <si>
    <t>OI003515</t>
  </si>
  <si>
    <t>ORD8721462</t>
  </si>
  <si>
    <t>OI003514</t>
  </si>
  <si>
    <t>OI003513</t>
  </si>
  <si>
    <t>OI003512</t>
  </si>
  <si>
    <t>ORD8421194</t>
  </si>
  <si>
    <t>OI003511</t>
  </si>
  <si>
    <t>OI003510</t>
  </si>
  <si>
    <t>ORD6302160</t>
  </si>
  <si>
    <t>OI003509</t>
  </si>
  <si>
    <t>ORD2055082</t>
  </si>
  <si>
    <t>OI003508</t>
  </si>
  <si>
    <t>OI003507</t>
  </si>
  <si>
    <t>ORD1202528</t>
  </si>
  <si>
    <t>OI003506</t>
  </si>
  <si>
    <t>OI003505</t>
  </si>
  <si>
    <t>OI003504</t>
  </si>
  <si>
    <t>OI003503</t>
  </si>
  <si>
    <t>ORD5747786</t>
  </si>
  <si>
    <t>OI003502</t>
  </si>
  <si>
    <t>OI003501</t>
  </si>
  <si>
    <t>ORD4777038</t>
  </si>
  <si>
    <t>OI003500</t>
  </si>
  <si>
    <t>ORD8775711</t>
  </si>
  <si>
    <t>OI003499</t>
  </si>
  <si>
    <t>OI003498</t>
  </si>
  <si>
    <t>OI003497</t>
  </si>
  <si>
    <t>ORD7224807</t>
  </si>
  <si>
    <t>OI003496</t>
  </si>
  <si>
    <t>OI003495</t>
  </si>
  <si>
    <t>ORD3024725</t>
  </si>
  <si>
    <t>OI003494</t>
  </si>
  <si>
    <t>OI003493</t>
  </si>
  <si>
    <t>OI003492</t>
  </si>
  <si>
    <t>ORD1812330</t>
  </si>
  <si>
    <t>OI003491</t>
  </si>
  <si>
    <t>OI003490</t>
  </si>
  <si>
    <t>OI003489</t>
  </si>
  <si>
    <t>ORD4893809</t>
  </si>
  <si>
    <t>OI003488</t>
  </si>
  <si>
    <t>OI003487</t>
  </si>
  <si>
    <t>ORD7549850</t>
  </si>
  <si>
    <t>OI003486</t>
  </si>
  <si>
    <t>OI003485</t>
  </si>
  <si>
    <t>OI003484</t>
  </si>
  <si>
    <t>ORD5574086</t>
  </si>
  <si>
    <t>OI003483</t>
  </si>
  <si>
    <t>OI003482</t>
  </si>
  <si>
    <t>OI003481</t>
  </si>
  <si>
    <t>ORD7765880</t>
  </si>
  <si>
    <t>OI003480</t>
  </si>
  <si>
    <t>OI003479</t>
  </si>
  <si>
    <t>ORD3437048</t>
  </si>
  <si>
    <t>OI003478</t>
  </si>
  <si>
    <t>OI003477</t>
  </si>
  <si>
    <t>ORD9102857</t>
  </si>
  <si>
    <t>OI003476</t>
  </si>
  <si>
    <t>OI003475</t>
  </si>
  <si>
    <t>OI003474</t>
  </si>
  <si>
    <t>ORD8004884</t>
  </si>
  <si>
    <t>OI003473</t>
  </si>
  <si>
    <t>OI003472</t>
  </si>
  <si>
    <t>ORD8462774</t>
  </si>
  <si>
    <t>OI003471</t>
  </si>
  <si>
    <t>OI003470</t>
  </si>
  <si>
    <t>OI003469</t>
  </si>
  <si>
    <t>ORD1404895</t>
  </si>
  <si>
    <t>OI003468</t>
  </si>
  <si>
    <t>OI003467</t>
  </si>
  <si>
    <t>OI003466</t>
  </si>
  <si>
    <t>ORD1211417</t>
  </si>
  <si>
    <t>OI003465</t>
  </si>
  <si>
    <t>OI003464</t>
  </si>
  <si>
    <t>ORD2601153</t>
  </si>
  <si>
    <t>OI003463</t>
  </si>
  <si>
    <t>OI003462</t>
  </si>
  <si>
    <t>OI003461</t>
  </si>
  <si>
    <t>OI003460</t>
  </si>
  <si>
    <t>ORD6823594</t>
  </si>
  <si>
    <t>OI003459</t>
  </si>
  <si>
    <t>OI003458</t>
  </si>
  <si>
    <t>ORD6391404</t>
  </si>
  <si>
    <t>OI003457</t>
  </si>
  <si>
    <t>OI003456</t>
  </si>
  <si>
    <t>OI003455</t>
  </si>
  <si>
    <t>ORD1001433</t>
  </si>
  <si>
    <t>OI003454</t>
  </si>
  <si>
    <t>OI003453</t>
  </si>
  <si>
    <t>ORD2190891</t>
  </si>
  <si>
    <t>OI003452</t>
  </si>
  <si>
    <t>OI003451</t>
  </si>
  <si>
    <t>ORD9224056</t>
  </si>
  <si>
    <t>OI003450</t>
  </si>
  <si>
    <t>OI003449</t>
  </si>
  <si>
    <t>ORD5159219</t>
  </si>
  <si>
    <t>OI003448</t>
  </si>
  <si>
    <t>OI003447</t>
  </si>
  <si>
    <t>ORD1046609</t>
  </si>
  <si>
    <t>OI003446</t>
  </si>
  <si>
    <t>OI003445</t>
  </si>
  <si>
    <t>ORD7722274</t>
  </si>
  <si>
    <t>OI003444</t>
  </si>
  <si>
    <t>OI003443</t>
  </si>
  <si>
    <t>OI003442</t>
  </si>
  <si>
    <t>OI003441</t>
  </si>
  <si>
    <t>ORD3272177</t>
  </si>
  <si>
    <t>OI003440</t>
  </si>
  <si>
    <t>OI003439</t>
  </si>
  <si>
    <t>OI003438</t>
  </si>
  <si>
    <t>OI003437</t>
  </si>
  <si>
    <t>ORD9316569</t>
  </si>
  <si>
    <t>OI003436</t>
  </si>
  <si>
    <t>OI003435</t>
  </si>
  <si>
    <t>ORD3462796</t>
  </si>
  <si>
    <t>OI003434</t>
  </si>
  <si>
    <t>OI003433</t>
  </si>
  <si>
    <t>OI003432</t>
  </si>
  <si>
    <t>ORD4357826</t>
  </si>
  <si>
    <t>OI003431</t>
  </si>
  <si>
    <t>OI003430</t>
  </si>
  <si>
    <t>OI003429</t>
  </si>
  <si>
    <t>ORD9311973</t>
  </si>
  <si>
    <t>OI003428</t>
  </si>
  <si>
    <t>OI003427</t>
  </si>
  <si>
    <t>OI003426</t>
  </si>
  <si>
    <t>ORD7324261</t>
  </si>
  <si>
    <t>OI003425</t>
  </si>
  <si>
    <t>OI003424</t>
  </si>
  <si>
    <t>OI003423</t>
  </si>
  <si>
    <t>OI003422</t>
  </si>
  <si>
    <t>ORD5304568</t>
  </si>
  <si>
    <t>OI003421</t>
  </si>
  <si>
    <t>OI003420</t>
  </si>
  <si>
    <t>OI003419</t>
  </si>
  <si>
    <t>ORD7394795</t>
  </si>
  <si>
    <t>OI003418</t>
  </si>
  <si>
    <t>OI003417</t>
  </si>
  <si>
    <t>OI003416</t>
  </si>
  <si>
    <t>OI003415</t>
  </si>
  <si>
    <t>ORD7712695</t>
  </si>
  <si>
    <t>OI003414</t>
  </si>
  <si>
    <t>OI003413</t>
  </si>
  <si>
    <t>OI003412</t>
  </si>
  <si>
    <t>OI003411</t>
  </si>
  <si>
    <t>ORD6173064</t>
  </si>
  <si>
    <t>OI003410</t>
  </si>
  <si>
    <t>OI003409</t>
  </si>
  <si>
    <t>ORD5467103</t>
  </si>
  <si>
    <t>OI003408</t>
  </si>
  <si>
    <t>OI003407</t>
  </si>
  <si>
    <t>ORD1183744</t>
  </si>
  <si>
    <t>OI003406</t>
  </si>
  <si>
    <t>OI003405</t>
  </si>
  <si>
    <t>OI003404</t>
  </si>
  <si>
    <t>ORD5438623</t>
  </si>
  <si>
    <t>OI003403</t>
  </si>
  <si>
    <t>OI003402</t>
  </si>
  <si>
    <t>ORD7575211</t>
  </si>
  <si>
    <t>OI003401</t>
  </si>
  <si>
    <t>ORD8028787</t>
  </si>
  <si>
    <t>OI003400</t>
  </si>
  <si>
    <t>ORD3916773</t>
  </si>
  <si>
    <t>OI003399</t>
  </si>
  <si>
    <t>OI003398</t>
  </si>
  <si>
    <t>OI003397</t>
  </si>
  <si>
    <t>OI003396</t>
  </si>
  <si>
    <t>ORD8985182</t>
  </si>
  <si>
    <t>OI003395</t>
  </si>
  <si>
    <t>OI003394</t>
  </si>
  <si>
    <t>OI003393</t>
  </si>
  <si>
    <t>OI003392</t>
  </si>
  <si>
    <t>ORD1869144</t>
  </si>
  <si>
    <t>OI003391</t>
  </si>
  <si>
    <t>OI003390</t>
  </si>
  <si>
    <t>ORD2264074</t>
  </si>
  <si>
    <t>OI003389</t>
  </si>
  <si>
    <t>OI003388</t>
  </si>
  <si>
    <t>OI003387</t>
  </si>
  <si>
    <t>ORD1033416</t>
  </si>
  <si>
    <t>OI003386</t>
  </si>
  <si>
    <t>OI003385</t>
  </si>
  <si>
    <t>ORD2461262</t>
  </si>
  <si>
    <t>OI003384</t>
  </si>
  <si>
    <t>OI003383</t>
  </si>
  <si>
    <t>OI003382</t>
  </si>
  <si>
    <t>OI003381</t>
  </si>
  <si>
    <t>ORD1101935</t>
  </si>
  <si>
    <t>OI003380</t>
  </si>
  <si>
    <t>OI003379</t>
  </si>
  <si>
    <t>ORD3974790</t>
  </si>
  <si>
    <t>OI003378</t>
  </si>
  <si>
    <t>OI003377</t>
  </si>
  <si>
    <t>OI003376</t>
  </si>
  <si>
    <t>OI003375</t>
  </si>
  <si>
    <t>ORD2304420</t>
  </si>
  <si>
    <t>OI003374</t>
  </si>
  <si>
    <t>OI003373</t>
  </si>
  <si>
    <t>OI003372</t>
  </si>
  <si>
    <t>OI003371</t>
  </si>
  <si>
    <t>ORD1403834</t>
  </si>
  <si>
    <t>OI003370</t>
  </si>
  <si>
    <t>OI003369</t>
  </si>
  <si>
    <t>ORD9428560</t>
  </si>
  <si>
    <t>OI003368</t>
  </si>
  <si>
    <t>OI003367</t>
  </si>
  <si>
    <t>OI003366</t>
  </si>
  <si>
    <t>ORD4077109</t>
  </si>
  <si>
    <t>OI003365</t>
  </si>
  <si>
    <t>OI003364</t>
  </si>
  <si>
    <t>ORD8127058</t>
  </si>
  <si>
    <t>OI003363</t>
  </si>
  <si>
    <t>OI003362</t>
  </si>
  <si>
    <t>ORD6612339</t>
  </si>
  <si>
    <t>OI003361</t>
  </si>
  <si>
    <t>OI003360</t>
  </si>
  <si>
    <t>OI003359</t>
  </si>
  <si>
    <t>ORD2461763</t>
  </si>
  <si>
    <t>OI003358</t>
  </si>
  <si>
    <t>OI003357</t>
  </si>
  <si>
    <t>ORD6895559</t>
  </si>
  <si>
    <t>OI003356</t>
  </si>
  <si>
    <t>OI003355</t>
  </si>
  <si>
    <t>ORD7888141</t>
  </si>
  <si>
    <t>OI003354</t>
  </si>
  <si>
    <t>OI003353</t>
  </si>
  <si>
    <t>ORD5672909</t>
  </si>
  <si>
    <t>OI003352</t>
  </si>
  <si>
    <t>OI003351</t>
  </si>
  <si>
    <t>ORD9652307</t>
  </si>
  <si>
    <t>OI003350</t>
  </si>
  <si>
    <t>OI003349</t>
  </si>
  <si>
    <t>OI003348</t>
  </si>
  <si>
    <t>ORD8526850</t>
  </si>
  <si>
    <t>OI003347</t>
  </si>
  <si>
    <t>OI003346</t>
  </si>
  <si>
    <t>OI003345</t>
  </si>
  <si>
    <t>ORD4066071</t>
  </si>
  <si>
    <t>OI003344</t>
  </si>
  <si>
    <t>OI003343</t>
  </si>
  <si>
    <t>OI003342</t>
  </si>
  <si>
    <t>ORD4020918</t>
  </si>
  <si>
    <t>OI003341</t>
  </si>
  <si>
    <t>OI003340</t>
  </si>
  <si>
    <t>OI003339</t>
  </si>
  <si>
    <t>ORD5826896</t>
  </si>
  <si>
    <t>OI003338</t>
  </si>
  <si>
    <t>OI003337</t>
  </si>
  <si>
    <t>OI003336</t>
  </si>
  <si>
    <t>ORD2867709</t>
  </si>
  <si>
    <t>OI003335</t>
  </si>
  <si>
    <t>OI003334</t>
  </si>
  <si>
    <t>OI003333</t>
  </si>
  <si>
    <t>OI003332</t>
  </si>
  <si>
    <t>ORD6938942</t>
  </si>
  <si>
    <t>OI003331</t>
  </si>
  <si>
    <t>ORD1625318</t>
  </si>
  <si>
    <t>OI003330</t>
  </si>
  <si>
    <t>OI003329</t>
  </si>
  <si>
    <t>ORD4368734</t>
  </si>
  <si>
    <t>OI003328</t>
  </si>
  <si>
    <t>OI003327</t>
  </si>
  <si>
    <t>OI003326</t>
  </si>
  <si>
    <t>ORD5400264</t>
  </si>
  <si>
    <t>OI003325</t>
  </si>
  <si>
    <t>OI003324</t>
  </si>
  <si>
    <t>OI003323</t>
  </si>
  <si>
    <t>OI003322</t>
  </si>
  <si>
    <t>ORD3936064</t>
  </si>
  <si>
    <t>OI003321</t>
  </si>
  <si>
    <t>ORD6031079</t>
  </si>
  <si>
    <t>OI003320</t>
  </si>
  <si>
    <t>OI003319</t>
  </si>
  <si>
    <t>ORD3831541</t>
  </si>
  <si>
    <t>OI003318</t>
  </si>
  <si>
    <t>OI003317</t>
  </si>
  <si>
    <t>ORD9521406</t>
  </si>
  <si>
    <t>OI003316</t>
  </si>
  <si>
    <t>OI003315</t>
  </si>
  <si>
    <t>ORD6595931</t>
  </si>
  <si>
    <t>OI003314</t>
  </si>
  <si>
    <t>OI003313</t>
  </si>
  <si>
    <t>OI003312</t>
  </si>
  <si>
    <t>ORD3854736</t>
  </si>
  <si>
    <t>OI003311</t>
  </si>
  <si>
    <t>OI003310</t>
  </si>
  <si>
    <t>ORD2836456</t>
  </si>
  <si>
    <t>OI003309</t>
  </si>
  <si>
    <t>OI003308</t>
  </si>
  <si>
    <t>ORD1828280</t>
  </si>
  <si>
    <t>OI003307</t>
  </si>
  <si>
    <t>OI003306</t>
  </si>
  <si>
    <t>OI003305</t>
  </si>
  <si>
    <t>OI003304</t>
  </si>
  <si>
    <t>ORD5506019</t>
  </si>
  <si>
    <t>OI003303</t>
  </si>
  <si>
    <t>OI003302</t>
  </si>
  <si>
    <t>OI003301</t>
  </si>
  <si>
    <t>OI003300</t>
  </si>
  <si>
    <t>ORD7688099</t>
  </si>
  <si>
    <t>OI003299</t>
  </si>
  <si>
    <t>OI003298</t>
  </si>
  <si>
    <t>ORD2275295</t>
  </si>
  <si>
    <t>OI003297</t>
  </si>
  <si>
    <t>ORD1249770</t>
  </si>
  <si>
    <t>OI003296</t>
  </si>
  <si>
    <t>OI003295</t>
  </si>
  <si>
    <t>ORD3246423</t>
  </si>
  <si>
    <t>OI003294</t>
  </si>
  <si>
    <t>ORD6818667</t>
  </si>
  <si>
    <t>OI003293</t>
  </si>
  <si>
    <t>OI003292</t>
  </si>
  <si>
    <t>OI003291</t>
  </si>
  <si>
    <t>ORD9460643</t>
  </si>
  <si>
    <t>OI003290</t>
  </si>
  <si>
    <t>OI003289</t>
  </si>
  <si>
    <t>OI003288</t>
  </si>
  <si>
    <t>ORD6772242</t>
  </si>
  <si>
    <t>OI003287</t>
  </si>
  <si>
    <t>ORD3908376</t>
  </si>
  <si>
    <t>OI003286</t>
  </si>
  <si>
    <t>ORD2732796</t>
  </si>
  <si>
    <t>OI003285</t>
  </si>
  <si>
    <t>OI003284</t>
  </si>
  <si>
    <t>OI003283</t>
  </si>
  <si>
    <t>OI003282</t>
  </si>
  <si>
    <t>ORD9483659</t>
  </si>
  <si>
    <t>OI003281</t>
  </si>
  <si>
    <t>OI003280</t>
  </si>
  <si>
    <t>ORD6555400</t>
  </si>
  <si>
    <t>OI003279</t>
  </si>
  <si>
    <t>OI003278</t>
  </si>
  <si>
    <t>ORD3685450</t>
  </si>
  <si>
    <t>OI003277</t>
  </si>
  <si>
    <t>ORD6868570</t>
  </si>
  <si>
    <t>OI003276</t>
  </si>
  <si>
    <t>OI003275</t>
  </si>
  <si>
    <t>OI003274</t>
  </si>
  <si>
    <t>ORD8391531</t>
  </si>
  <si>
    <t>OI003273</t>
  </si>
  <si>
    <t>OI003272</t>
  </si>
  <si>
    <t>OI003271</t>
  </si>
  <si>
    <t>ORD4255084</t>
  </si>
  <si>
    <t>OI003270</t>
  </si>
  <si>
    <t>OI003269</t>
  </si>
  <si>
    <t>OI003268</t>
  </si>
  <si>
    <t>ORD1233441</t>
  </si>
  <si>
    <t>OI003267</t>
  </si>
  <si>
    <t>OI003266</t>
  </si>
  <si>
    <t>OI003265</t>
  </si>
  <si>
    <t>OI003264</t>
  </si>
  <si>
    <t>ORD4903872</t>
  </si>
  <si>
    <t>OI003263</t>
  </si>
  <si>
    <t>OI003262</t>
  </si>
  <si>
    <t>ORD3024875</t>
  </si>
  <si>
    <t>OI003261</t>
  </si>
  <si>
    <t>ORD3185029</t>
  </si>
  <si>
    <t>OI003260</t>
  </si>
  <si>
    <t>OI003259</t>
  </si>
  <si>
    <t>ORD6687491</t>
  </si>
  <si>
    <t>OI003258</t>
  </si>
  <si>
    <t>OI003257</t>
  </si>
  <si>
    <t>ORD2406064</t>
  </si>
  <si>
    <t>OI003256</t>
  </si>
  <si>
    <t>OI003255</t>
  </si>
  <si>
    <t>OI003254</t>
  </si>
  <si>
    <t>ORD9674029</t>
  </si>
  <si>
    <t>OI003253</t>
  </si>
  <si>
    <t>OI003252</t>
  </si>
  <si>
    <t>OI003251</t>
  </si>
  <si>
    <t>OI003250</t>
  </si>
  <si>
    <t>ORD7725763</t>
  </si>
  <si>
    <t>OI003249</t>
  </si>
  <si>
    <t>OI003248</t>
  </si>
  <si>
    <t>ORD6037482</t>
  </si>
  <si>
    <t>OI003247</t>
  </si>
  <si>
    <t>OI003246</t>
  </si>
  <si>
    <t>ORD8701056</t>
  </si>
  <si>
    <t>OI003245</t>
  </si>
  <si>
    <t>OI003244</t>
  </si>
  <si>
    <t>ORD4856748</t>
  </si>
  <si>
    <t>OI003243</t>
  </si>
  <si>
    <t>OI003242</t>
  </si>
  <si>
    <t>OI003241</t>
  </si>
  <si>
    <t>ORD3371399</t>
  </si>
  <si>
    <t>OI003240</t>
  </si>
  <si>
    <t>OI003239</t>
  </si>
  <si>
    <t>ORD4809816</t>
  </si>
  <si>
    <t>OI003238</t>
  </si>
  <si>
    <t>ORD4929395</t>
  </si>
  <si>
    <t>OI003237</t>
  </si>
  <si>
    <t>OI003236</t>
  </si>
  <si>
    <t>ORD8121698</t>
  </si>
  <si>
    <t>OI003235</t>
  </si>
  <si>
    <t>OI003234</t>
  </si>
  <si>
    <t>ORD6536394</t>
  </si>
  <si>
    <t>OI003233</t>
  </si>
  <si>
    <t>OI003232</t>
  </si>
  <si>
    <t>ORD1259548</t>
  </si>
  <si>
    <t>OI003231</t>
  </si>
  <si>
    <t>OI003230</t>
  </si>
  <si>
    <t>OI003229</t>
  </si>
  <si>
    <t>OI003228</t>
  </si>
  <si>
    <t>ORD3626317</t>
  </si>
  <si>
    <t>OI003227</t>
  </si>
  <si>
    <t>OI003226</t>
  </si>
  <si>
    <t>OI003225</t>
  </si>
  <si>
    <t>OI003224</t>
  </si>
  <si>
    <t>ORD3435911</t>
  </si>
  <si>
    <t>OI003223</t>
  </si>
  <si>
    <t>ORD8330480</t>
  </si>
  <si>
    <t>OI003222</t>
  </si>
  <si>
    <t>OI003221</t>
  </si>
  <si>
    <t>OI003220</t>
  </si>
  <si>
    <t>ORD4124302</t>
  </si>
  <si>
    <t>OI003219</t>
  </si>
  <si>
    <t>OI003218</t>
  </si>
  <si>
    <t>OI003217</t>
  </si>
  <si>
    <t>OI003216</t>
  </si>
  <si>
    <t>ORD1250389</t>
  </si>
  <si>
    <t>OI003215</t>
  </si>
  <si>
    <t>OI003214</t>
  </si>
  <si>
    <t>ORD7445760</t>
  </si>
  <si>
    <t>OI003213</t>
  </si>
  <si>
    <t>OI003212</t>
  </si>
  <si>
    <t>ORD3308575</t>
  </si>
  <si>
    <t>OI003211</t>
  </si>
  <si>
    <t>OI003210</t>
  </si>
  <si>
    <t>OI003209</t>
  </si>
  <si>
    <t>ORD9789306</t>
  </si>
  <si>
    <t>OI003208</t>
  </si>
  <si>
    <t>OI003207</t>
  </si>
  <si>
    <t>OI003206</t>
  </si>
  <si>
    <t>OI003205</t>
  </si>
  <si>
    <t>ORD1764825</t>
  </si>
  <si>
    <t>OI003204</t>
  </si>
  <si>
    <t>OI003203</t>
  </si>
  <si>
    <t>OI003202</t>
  </si>
  <si>
    <t>OI003201</t>
  </si>
  <si>
    <t>ORD1544147</t>
  </si>
  <si>
    <t>OI003200</t>
  </si>
  <si>
    <t>OI003199</t>
  </si>
  <si>
    <t>ORD1887034</t>
  </si>
  <si>
    <t>OI003198</t>
  </si>
  <si>
    <t>OI003197</t>
  </si>
  <si>
    <t>ORD5680271</t>
  </si>
  <si>
    <t>OI003196</t>
  </si>
  <si>
    <t>OI003195</t>
  </si>
  <si>
    <t>OI003194</t>
  </si>
  <si>
    <t>OI003193</t>
  </si>
  <si>
    <t>ORD1389216</t>
  </si>
  <si>
    <t>OI003192</t>
  </si>
  <si>
    <t>OI003191</t>
  </si>
  <si>
    <t>ORD8198004</t>
  </si>
  <si>
    <t>OI003190</t>
  </si>
  <si>
    <t>OI003189</t>
  </si>
  <si>
    <t>ORD2475412</t>
  </si>
  <si>
    <t>OI003188</t>
  </si>
  <si>
    <t>ORD2457615</t>
  </si>
  <si>
    <t>OI003187</t>
  </si>
  <si>
    <t>OI003186</t>
  </si>
  <si>
    <t>OI003185</t>
  </si>
  <si>
    <t>ORD6055598</t>
  </si>
  <si>
    <t>OI003184</t>
  </si>
  <si>
    <t>OI003183</t>
  </si>
  <si>
    <t>ORD3678376</t>
  </si>
  <si>
    <t>OI003182</t>
  </si>
  <si>
    <t>ORD6890185</t>
  </si>
  <si>
    <t>OI003181</t>
  </si>
  <si>
    <t>OI003180</t>
  </si>
  <si>
    <t>OI003179</t>
  </si>
  <si>
    <t>OI003178</t>
  </si>
  <si>
    <t>ORD2393753</t>
  </si>
  <si>
    <t>OI003177</t>
  </si>
  <si>
    <t>OI003176</t>
  </si>
  <si>
    <t>OI003175</t>
  </si>
  <si>
    <t>OI003174</t>
  </si>
  <si>
    <t>ORD1422000</t>
  </si>
  <si>
    <t>OI003173</t>
  </si>
  <si>
    <t>OI003172</t>
  </si>
  <si>
    <t>OI003171</t>
  </si>
  <si>
    <t>ORD5337729</t>
  </si>
  <si>
    <t>OI003170</t>
  </si>
  <si>
    <t>OI003169</t>
  </si>
  <si>
    <t>ORD3949116</t>
  </si>
  <si>
    <t>OI003168</t>
  </si>
  <si>
    <t>OI003167</t>
  </si>
  <si>
    <t>OI003166</t>
  </si>
  <si>
    <t>OI003165</t>
  </si>
  <si>
    <t>ORD1531957</t>
  </si>
  <si>
    <t>OI003164</t>
  </si>
  <si>
    <t>OI003163</t>
  </si>
  <si>
    <t>ORD2588823</t>
  </si>
  <si>
    <t>OI003162</t>
  </si>
  <si>
    <t>OI003161</t>
  </si>
  <si>
    <t>OI003160</t>
  </si>
  <si>
    <t>ORD3280748</t>
  </si>
  <si>
    <t>OI003159</t>
  </si>
  <si>
    <t>OI003158</t>
  </si>
  <si>
    <t>ORD3553618</t>
  </si>
  <si>
    <t>OI003157</t>
  </si>
  <si>
    <t>OI003156</t>
  </si>
  <si>
    <t>OI003155</t>
  </si>
  <si>
    <t>ORD1900408</t>
  </si>
  <si>
    <t>OI003154</t>
  </si>
  <si>
    <t>ORD5012665</t>
  </si>
  <si>
    <t>OI003153</t>
  </si>
  <si>
    <t>OI003152</t>
  </si>
  <si>
    <t>ORD7197168</t>
  </si>
  <si>
    <t>OI003151</t>
  </si>
  <si>
    <t>OI003150</t>
  </si>
  <si>
    <t>ORD9641104</t>
  </si>
  <si>
    <t>OI003149</t>
  </si>
  <si>
    <t>OI003148</t>
  </si>
  <si>
    <t>ORD6651210</t>
  </si>
  <si>
    <t>OI003147</t>
  </si>
  <si>
    <t>OI003146</t>
  </si>
  <si>
    <t>ORD3554635</t>
  </si>
  <si>
    <t>OI003145</t>
  </si>
  <si>
    <t>OI003144</t>
  </si>
  <si>
    <t>ORD1081021</t>
  </si>
  <si>
    <t>OI003143</t>
  </si>
  <si>
    <t>OI003142</t>
  </si>
  <si>
    <t>ORD4654144</t>
  </si>
  <si>
    <t>OI003141</t>
  </si>
  <si>
    <t>ORD4145588</t>
  </si>
  <si>
    <t>OI003140</t>
  </si>
  <si>
    <t>OI003139</t>
  </si>
  <si>
    <t>OI003138</t>
  </si>
  <si>
    <t>ORD3145093</t>
  </si>
  <si>
    <t>OI003137</t>
  </si>
  <si>
    <t>OI003136</t>
  </si>
  <si>
    <t>OI003135</t>
  </si>
  <si>
    <t>ORD3191599</t>
  </si>
  <si>
    <t>OI003134</t>
  </si>
  <si>
    <t>OI003133</t>
  </si>
  <si>
    <t>ORD5517001</t>
  </si>
  <si>
    <t>OI003132</t>
  </si>
  <si>
    <t>OI003131</t>
  </si>
  <si>
    <t>ORD7788118</t>
  </si>
  <si>
    <t>OI003130</t>
  </si>
  <si>
    <t>OI003129</t>
  </si>
  <si>
    <t>OI003128</t>
  </si>
  <si>
    <t>ORD3247082</t>
  </si>
  <si>
    <t>OI003127</t>
  </si>
  <si>
    <t>OI003126</t>
  </si>
  <si>
    <t>OI003125</t>
  </si>
  <si>
    <t>OI003124</t>
  </si>
  <si>
    <t>ORD4024840</t>
  </si>
  <si>
    <t>OI003123</t>
  </si>
  <si>
    <t>OI003122</t>
  </si>
  <si>
    <t>OI003121</t>
  </si>
  <si>
    <t>ORD7665779</t>
  </si>
  <si>
    <t>OI003120</t>
  </si>
  <si>
    <t>OI003119</t>
  </si>
  <si>
    <t>ORD5308981</t>
  </si>
  <si>
    <t>OI003118</t>
  </si>
  <si>
    <t>OI003117</t>
  </si>
  <si>
    <t>ORD1418620</t>
  </si>
  <si>
    <t>OI003116</t>
  </si>
  <si>
    <t>OI003115</t>
  </si>
  <si>
    <t>ORD4179392</t>
  </si>
  <si>
    <t>OI003114</t>
  </si>
  <si>
    <t>OI003113</t>
  </si>
  <si>
    <t>ORD6251075</t>
  </si>
  <si>
    <t>OI003112</t>
  </si>
  <si>
    <t>ORD1589684</t>
  </si>
  <si>
    <t>OI003111</t>
  </si>
  <si>
    <t>OI003110</t>
  </si>
  <si>
    <t>OI003109</t>
  </si>
  <si>
    <t>ORD4228253</t>
  </si>
  <si>
    <t>OI003108</t>
  </si>
  <si>
    <t>OI003107</t>
  </si>
  <si>
    <t>ORD4112545</t>
  </si>
  <si>
    <t>OI003106</t>
  </si>
  <si>
    <t>ORD5648091</t>
  </si>
  <si>
    <t>OI003105</t>
  </si>
  <si>
    <t>OI003104</t>
  </si>
  <si>
    <t>OI003103</t>
  </si>
  <si>
    <t>OI003102</t>
  </si>
  <si>
    <t>ORD5565271</t>
  </si>
  <si>
    <t>OI003101</t>
  </si>
  <si>
    <t>OI003100</t>
  </si>
  <si>
    <t>OI003099</t>
  </si>
  <si>
    <t>ORD2425937</t>
  </si>
  <si>
    <t>OI003098</t>
  </si>
  <si>
    <t>ORD8031853</t>
  </si>
  <si>
    <t>OI003097</t>
  </si>
  <si>
    <t>OI003096</t>
  </si>
  <si>
    <t>ORD4732002</t>
  </si>
  <si>
    <t>OI003095</t>
  </si>
  <si>
    <t>OI003094</t>
  </si>
  <si>
    <t>ORD5546442</t>
  </si>
  <si>
    <t>OI003093</t>
  </si>
  <si>
    <t>OI003092</t>
  </si>
  <si>
    <t>ORD3278090</t>
  </si>
  <si>
    <t>OI003091</t>
  </si>
  <si>
    <t>OI003090</t>
  </si>
  <si>
    <t>ORD5667750</t>
  </si>
  <si>
    <t>OI003089</t>
  </si>
  <si>
    <t>OI003088</t>
  </si>
  <si>
    <t>ORD4546948</t>
  </si>
  <si>
    <t>OI003087</t>
  </si>
  <si>
    <t>OI003086</t>
  </si>
  <si>
    <t>OI003085</t>
  </si>
  <si>
    <t>ORD8041371</t>
  </si>
  <si>
    <t>OI003084</t>
  </si>
  <si>
    <t>OI003083</t>
  </si>
  <si>
    <t>ORD9982743</t>
  </si>
  <si>
    <t>OI003082</t>
  </si>
  <si>
    <t>OI003081</t>
  </si>
  <si>
    <t>ORD7336938</t>
  </si>
  <si>
    <t>OI003080</t>
  </si>
  <si>
    <t>OI003079</t>
  </si>
  <si>
    <t>ORD4048600</t>
  </si>
  <si>
    <t>OI003078</t>
  </si>
  <si>
    <t>ORD7301078</t>
  </si>
  <si>
    <t>OI003077</t>
  </si>
  <si>
    <t>OI003076</t>
  </si>
  <si>
    <t>OI003075</t>
  </si>
  <si>
    <t>ORD6601298</t>
  </si>
  <si>
    <t>OI003074</t>
  </si>
  <si>
    <t>OI003073</t>
  </si>
  <si>
    <t>ORD4450093</t>
  </si>
  <si>
    <t>OI003072</t>
  </si>
  <si>
    <t>OI003071</t>
  </si>
  <si>
    <t>OI003070</t>
  </si>
  <si>
    <t>ORD9910694</t>
  </si>
  <si>
    <t>OI003069</t>
  </si>
  <si>
    <t>OI003068</t>
  </si>
  <si>
    <t>OI003067</t>
  </si>
  <si>
    <t>OI003066</t>
  </si>
  <si>
    <t>ORD2339161</t>
  </si>
  <si>
    <t>OI003065</t>
  </si>
  <si>
    <t>OI003064</t>
  </si>
  <si>
    <t>ORD6252627</t>
  </si>
  <si>
    <t>OI003063</t>
  </si>
  <si>
    <t>OI003062</t>
  </si>
  <si>
    <t>OI003061</t>
  </si>
  <si>
    <t>ORD3800519</t>
  </si>
  <si>
    <t>OI003060</t>
  </si>
  <si>
    <t>OI003059</t>
  </si>
  <si>
    <t>ORD6733093</t>
  </si>
  <si>
    <t>OI003058</t>
  </si>
  <si>
    <t>OI003057</t>
  </si>
  <si>
    <t>OI003056</t>
  </si>
  <si>
    <t>OI003055</t>
  </si>
  <si>
    <t>ORD6515198</t>
  </si>
  <si>
    <t>OI003054</t>
  </si>
  <si>
    <t>OI003053</t>
  </si>
  <si>
    <t>OI003052</t>
  </si>
  <si>
    <t>ORD2241156</t>
  </si>
  <si>
    <t>OI003051</t>
  </si>
  <si>
    <t>OI003050</t>
  </si>
  <si>
    <t>ORD6512882</t>
  </si>
  <si>
    <t>OI003049</t>
  </si>
  <si>
    <t>OI003048</t>
  </si>
  <si>
    <t>ORD9633551</t>
  </si>
  <si>
    <t>OI003047</t>
  </si>
  <si>
    <t>OI003046</t>
  </si>
  <si>
    <t>ORD6710639</t>
  </si>
  <si>
    <t>OI003045</t>
  </si>
  <si>
    <t>ORD8214397</t>
  </si>
  <si>
    <t>OI003044</t>
  </si>
  <si>
    <t>OI003043</t>
  </si>
  <si>
    <t>OI003042</t>
  </si>
  <si>
    <t>OI003041</t>
  </si>
  <si>
    <t>ORD9039487</t>
  </si>
  <si>
    <t>OI003040</t>
  </si>
  <si>
    <t>OI003039</t>
  </si>
  <si>
    <t>OI003038</t>
  </si>
  <si>
    <t>ORD6481363</t>
  </si>
  <si>
    <t>OI003037</t>
  </si>
  <si>
    <t>OI003036</t>
  </si>
  <si>
    <t>OI003035</t>
  </si>
  <si>
    <t>ORD9489734</t>
  </si>
  <si>
    <t>OI003034</t>
  </si>
  <si>
    <t>OI003033</t>
  </si>
  <si>
    <t>OI003032</t>
  </si>
  <si>
    <t>OI003031</t>
  </si>
  <si>
    <t>ORD3093993</t>
  </si>
  <si>
    <t>OI003030</t>
  </si>
  <si>
    <t>OI003029</t>
  </si>
  <si>
    <t>ORD5962643</t>
  </si>
  <si>
    <t>OI003028</t>
  </si>
  <si>
    <t>OI003027</t>
  </si>
  <si>
    <t>OI003026</t>
  </si>
  <si>
    <t>OI003025</t>
  </si>
  <si>
    <t>ORD1791274</t>
  </si>
  <si>
    <t>OI003024</t>
  </si>
  <si>
    <t>OI003023</t>
  </si>
  <si>
    <t>ORD6121645</t>
  </si>
  <si>
    <t>OI003022</t>
  </si>
  <si>
    <t>OI003021</t>
  </si>
  <si>
    <t>OI003020</t>
  </si>
  <si>
    <t>ORD4973323</t>
  </si>
  <si>
    <t>OI003019</t>
  </si>
  <si>
    <t>OI003018</t>
  </si>
  <si>
    <t>OI003017</t>
  </si>
  <si>
    <t>ORD5822943</t>
  </si>
  <si>
    <t>OI003016</t>
  </si>
  <si>
    <t>OI003015</t>
  </si>
  <si>
    <t>OI003014</t>
  </si>
  <si>
    <t>ORD5841463</t>
  </si>
  <si>
    <t>OI003013</t>
  </si>
  <si>
    <t>OI003012</t>
  </si>
  <si>
    <t>ORD3297254</t>
  </si>
  <si>
    <t>OI003011</t>
  </si>
  <si>
    <t>OI003010</t>
  </si>
  <si>
    <t>OI003009</t>
  </si>
  <si>
    <t>OI003008</t>
  </si>
  <si>
    <t>ORD6753647</t>
  </si>
  <si>
    <t>OI003007</t>
  </si>
  <si>
    <t>OI003006</t>
  </si>
  <si>
    <t>OI003005</t>
  </si>
  <si>
    <t>ORD4423305</t>
  </si>
  <si>
    <t>OI003004</t>
  </si>
  <si>
    <t>OI003003</t>
  </si>
  <si>
    <t>ORD5935684</t>
  </si>
  <si>
    <t>OI003002</t>
  </si>
  <si>
    <t>OI003001</t>
  </si>
  <si>
    <t>ORD7766201</t>
  </si>
  <si>
    <t>OI003000</t>
  </si>
  <si>
    <t>OI002999</t>
  </si>
  <si>
    <t>OI002998</t>
  </si>
  <si>
    <t>ORD8947817</t>
  </si>
  <si>
    <t>OI002997</t>
  </si>
  <si>
    <t>OI002996</t>
  </si>
  <si>
    <t>OI002995</t>
  </si>
  <si>
    <t>OI002994</t>
  </si>
  <si>
    <t>ORD9725552</t>
  </si>
  <si>
    <t>OI002993</t>
  </si>
  <si>
    <t>OI002992</t>
  </si>
  <si>
    <t>OI002991</t>
  </si>
  <si>
    <t>ORD1526788</t>
  </si>
  <si>
    <t>OI002990</t>
  </si>
  <si>
    <t>OI002989</t>
  </si>
  <si>
    <t>ORD9954070</t>
  </si>
  <si>
    <t>OI002988</t>
  </si>
  <si>
    <t>OI002987</t>
  </si>
  <si>
    <t>ORD6071231</t>
  </si>
  <si>
    <t>OI002986</t>
  </si>
  <si>
    <t>OI002985</t>
  </si>
  <si>
    <t>ORD1064545</t>
  </si>
  <si>
    <t>OI002984</t>
  </si>
  <si>
    <t>OI002983</t>
  </si>
  <si>
    <t>OI002982</t>
  </si>
  <si>
    <t>ORD1377064</t>
  </si>
  <si>
    <t>OI002981</t>
  </si>
  <si>
    <t>OI002980</t>
  </si>
  <si>
    <t>ORD6937488</t>
  </si>
  <si>
    <t>OI002979</t>
  </si>
  <si>
    <t>OI002978</t>
  </si>
  <si>
    <t>OI002977</t>
  </si>
  <si>
    <t>OI002976</t>
  </si>
  <si>
    <t>ORD6014853</t>
  </si>
  <si>
    <t>OI002975</t>
  </si>
  <si>
    <t>OI002974</t>
  </si>
  <si>
    <t>OI002973</t>
  </si>
  <si>
    <t>ORD2259303</t>
  </si>
  <si>
    <t>OI002972</t>
  </si>
  <si>
    <t>OI002971</t>
  </si>
  <si>
    <t>ORD1331934</t>
  </si>
  <si>
    <t>OI002970</t>
  </si>
  <si>
    <t>OI002969</t>
  </si>
  <si>
    <t>OI002968</t>
  </si>
  <si>
    <t>OI002967</t>
  </si>
  <si>
    <t>ORD3631527</t>
  </si>
  <si>
    <t>OI002966</t>
  </si>
  <si>
    <t>OI002965</t>
  </si>
  <si>
    <t>OI002964</t>
  </si>
  <si>
    <t>OI002963</t>
  </si>
  <si>
    <t>ORD6640877</t>
  </si>
  <si>
    <t>OI002962</t>
  </si>
  <si>
    <t>OI002961</t>
  </si>
  <si>
    <t>OI002960</t>
  </si>
  <si>
    <t>ORD8673707</t>
  </si>
  <si>
    <t>OI002959</t>
  </si>
  <si>
    <t>OI002958</t>
  </si>
  <si>
    <t>OI002957</t>
  </si>
  <si>
    <t>OI002956</t>
  </si>
  <si>
    <t>ORD5098200</t>
  </si>
  <si>
    <t>OI002955</t>
  </si>
  <si>
    <t>OI002954</t>
  </si>
  <si>
    <t>OI002953</t>
  </si>
  <si>
    <t>OI002952</t>
  </si>
  <si>
    <t>ORD2046696</t>
  </si>
  <si>
    <t>OI002951</t>
  </si>
  <si>
    <t>OI002950</t>
  </si>
  <si>
    <t>ORD5658782</t>
  </si>
  <si>
    <t>OI002949</t>
  </si>
  <si>
    <t>OI002948</t>
  </si>
  <si>
    <t>OI002947</t>
  </si>
  <si>
    <t>ORD2891931</t>
  </si>
  <si>
    <t>OI002946</t>
  </si>
  <si>
    <t>OI002945</t>
  </si>
  <si>
    <t>OI002944</t>
  </si>
  <si>
    <t>ORD4652593</t>
  </si>
  <si>
    <t>OI002943</t>
  </si>
  <si>
    <t>OI002942</t>
  </si>
  <si>
    <t>OI002941</t>
  </si>
  <si>
    <t>ORD9352168</t>
  </si>
  <si>
    <t>OI002940</t>
  </si>
  <si>
    <t>OI002939</t>
  </si>
  <si>
    <t>OI002938</t>
  </si>
  <si>
    <t>ORD7735438</t>
  </si>
  <si>
    <t>OI002937</t>
  </si>
  <si>
    <t>OI002936</t>
  </si>
  <si>
    <t>OI002935</t>
  </si>
  <si>
    <t>OI002934</t>
  </si>
  <si>
    <t>ORD3634592</t>
  </si>
  <si>
    <t>OI002933</t>
  </si>
  <si>
    <t>OI002932</t>
  </si>
  <si>
    <t>OI002931</t>
  </si>
  <si>
    <t>OI002930</t>
  </si>
  <si>
    <t>ORD6624133</t>
  </si>
  <si>
    <t>OI002929</t>
  </si>
  <si>
    <t>OI002928</t>
  </si>
  <si>
    <t>OI002927</t>
  </si>
  <si>
    <t>ORD7748185</t>
  </si>
  <si>
    <t>OI002926</t>
  </si>
  <si>
    <t>OI002925</t>
  </si>
  <si>
    <t>ORD2404503</t>
  </si>
  <si>
    <t>OI002924</t>
  </si>
  <si>
    <t>OI002923</t>
  </si>
  <si>
    <t>OI002922</t>
  </si>
  <si>
    <t>OI002921</t>
  </si>
  <si>
    <t>ORD6310532</t>
  </si>
  <si>
    <t>OI002920</t>
  </si>
  <si>
    <t>OI002919</t>
  </si>
  <si>
    <t>ORD7333787</t>
  </si>
  <si>
    <t>OI002918</t>
  </si>
  <si>
    <t>OI002917</t>
  </si>
  <si>
    <t>OI002916</t>
  </si>
  <si>
    <t>ORD4279979</t>
  </si>
  <si>
    <t>OI002915</t>
  </si>
  <si>
    <t>OI002914</t>
  </si>
  <si>
    <t>OI002913</t>
  </si>
  <si>
    <t>OI002912</t>
  </si>
  <si>
    <t>ORD2895605</t>
  </si>
  <si>
    <t>OI002911</t>
  </si>
  <si>
    <t>ORD9287806</t>
  </si>
  <si>
    <t>OI002910</t>
  </si>
  <si>
    <t>OI002909</t>
  </si>
  <si>
    <t>ORD9132441</t>
  </si>
  <si>
    <t>OI002908</t>
  </si>
  <si>
    <t>OI002907</t>
  </si>
  <si>
    <t>OI002906</t>
  </si>
  <si>
    <t>ORD1790983</t>
  </si>
  <si>
    <t>OI002905</t>
  </si>
  <si>
    <t>OI002904</t>
  </si>
  <si>
    <t>OI002903</t>
  </si>
  <si>
    <t>ORD9955283</t>
  </si>
  <si>
    <t>OI002902</t>
  </si>
  <si>
    <t>OI002901</t>
  </si>
  <si>
    <t>OI002900</t>
  </si>
  <si>
    <t>ORD8393823</t>
  </si>
  <si>
    <t>OI002899</t>
  </si>
  <si>
    <t>OI002898</t>
  </si>
  <si>
    <t>OI002897</t>
  </si>
  <si>
    <t>ORD8990770</t>
  </si>
  <si>
    <t>OI002896</t>
  </si>
  <si>
    <t>OI002895</t>
  </si>
  <si>
    <t>ORD3741507</t>
  </si>
  <si>
    <t>OI002894</t>
  </si>
  <si>
    <t>OI002893</t>
  </si>
  <si>
    <t>ORD5544163</t>
  </si>
  <si>
    <t>OI002892</t>
  </si>
  <si>
    <t>ORD7210843</t>
  </si>
  <si>
    <t>OI002891</t>
  </si>
  <si>
    <t>ORD8176895</t>
  </si>
  <si>
    <t>OI002890</t>
  </si>
  <si>
    <t>OI002889</t>
  </si>
  <si>
    <t>ORD1272490</t>
  </si>
  <si>
    <t>OI002888</t>
  </si>
  <si>
    <t>OI002887</t>
  </si>
  <si>
    <t>ORD7557264</t>
  </si>
  <si>
    <t>OI002886</t>
  </si>
  <si>
    <t>OI002885</t>
  </si>
  <si>
    <t>ORD9175462</t>
  </si>
  <si>
    <t>OI002884</t>
  </si>
  <si>
    <t>OI002883</t>
  </si>
  <si>
    <t>OI002882</t>
  </si>
  <si>
    <t>OI002881</t>
  </si>
  <si>
    <t>ORD7647888</t>
  </si>
  <si>
    <t>OI002880</t>
  </si>
  <si>
    <t>OI002879</t>
  </si>
  <si>
    <t>OI002878</t>
  </si>
  <si>
    <t>OI002877</t>
  </si>
  <si>
    <t>ORD3277202</t>
  </si>
  <si>
    <t>OI002876</t>
  </si>
  <si>
    <t>OI002875</t>
  </si>
  <si>
    <t>OI002874</t>
  </si>
  <si>
    <t>ORD5380387</t>
  </si>
  <si>
    <t>OI002873</t>
  </si>
  <si>
    <t>OI002872</t>
  </si>
  <si>
    <t>OI002871</t>
  </si>
  <si>
    <t>ORD6592155</t>
  </si>
  <si>
    <t>OI002870</t>
  </si>
  <si>
    <t>OI002869</t>
  </si>
  <si>
    <t>OI002868</t>
  </si>
  <si>
    <t>ORD6062881</t>
  </si>
  <si>
    <t>OI002867</t>
  </si>
  <si>
    <t>OI002866</t>
  </si>
  <si>
    <t>OI002865</t>
  </si>
  <si>
    <t>ORD3908113</t>
  </si>
  <si>
    <t>OI002864</t>
  </si>
  <si>
    <t>OI002863</t>
  </si>
  <si>
    <t>OI002862</t>
  </si>
  <si>
    <t>OI002861</t>
  </si>
  <si>
    <t>ORD4666262</t>
  </si>
  <si>
    <t>OI002860</t>
  </si>
  <si>
    <t>OI002859</t>
  </si>
  <si>
    <t>ORD5523795</t>
  </si>
  <si>
    <t>OI002858</t>
  </si>
  <si>
    <t>OI002857</t>
  </si>
  <si>
    <t>ORD5318419</t>
  </si>
  <si>
    <t>OI002856</t>
  </si>
  <si>
    <t>OI002855</t>
  </si>
  <si>
    <t>OI002854</t>
  </si>
  <si>
    <t>ORD6627064</t>
  </si>
  <si>
    <t>OI002853</t>
  </si>
  <si>
    <t>OI002852</t>
  </si>
  <si>
    <t>ORD1133496</t>
  </si>
  <si>
    <t>OI002851</t>
  </si>
  <si>
    <t>OI002850</t>
  </si>
  <si>
    <t>ORD4128472</t>
  </si>
  <si>
    <t>OI002849</t>
  </si>
  <si>
    <t>OI002848</t>
  </si>
  <si>
    <t>ORD6831067</t>
  </si>
  <si>
    <t>OI002847</t>
  </si>
  <si>
    <t>OI002846</t>
  </si>
  <si>
    <t>ORD8789111</t>
  </si>
  <si>
    <t>OI002845</t>
  </si>
  <si>
    <t>OI002844</t>
  </si>
  <si>
    <t>ORD1394582</t>
  </si>
  <si>
    <t>OI002843</t>
  </si>
  <si>
    <t>OI002842</t>
  </si>
  <si>
    <t>ORD7412776</t>
  </si>
  <si>
    <t>OI002841</t>
  </si>
  <si>
    <t>OI002840</t>
  </si>
  <si>
    <t>ORD8723932</t>
  </si>
  <si>
    <t>OI002839</t>
  </si>
  <si>
    <t>OI002838</t>
  </si>
  <si>
    <t>OI002837</t>
  </si>
  <si>
    <t>ORD9778172</t>
  </si>
  <si>
    <t>OI002836</t>
  </si>
  <si>
    <t>OI002835</t>
  </si>
  <si>
    <t>ORD2612189</t>
  </si>
  <si>
    <t>OI002834</t>
  </si>
  <si>
    <t>OI002833</t>
  </si>
  <si>
    <t>OI002832</t>
  </si>
  <si>
    <t>ORD7307818</t>
  </si>
  <si>
    <t>OI002831</t>
  </si>
  <si>
    <t>OI002830</t>
  </si>
  <si>
    <t>OI002829</t>
  </si>
  <si>
    <t>OI002828</t>
  </si>
  <si>
    <t>ORD3923931</t>
  </si>
  <si>
    <t>OI002827</t>
  </si>
  <si>
    <t>OI002826</t>
  </si>
  <si>
    <t>ORD5812104</t>
  </si>
  <si>
    <t>OI002825</t>
  </si>
  <si>
    <t>OI002824</t>
  </si>
  <si>
    <t>ORD9146459</t>
  </si>
  <si>
    <t>OI002823</t>
  </si>
  <si>
    <t>OI002822</t>
  </si>
  <si>
    <t>ORD9032737</t>
  </si>
  <si>
    <t>OI002821</t>
  </si>
  <si>
    <t>ORD3997051</t>
  </si>
  <si>
    <t>OI002820</t>
  </si>
  <si>
    <t>OI002819</t>
  </si>
  <si>
    <t>ORD3562992</t>
  </si>
  <si>
    <t>OI002818</t>
  </si>
  <si>
    <t>OI002817</t>
  </si>
  <si>
    <t>OI002816</t>
  </si>
  <si>
    <t>OI002815</t>
  </si>
  <si>
    <t>ORD4068301</t>
  </si>
  <si>
    <t>OI002814</t>
  </si>
  <si>
    <t>OI002813</t>
  </si>
  <si>
    <t>OI002812</t>
  </si>
  <si>
    <t>OI002811</t>
  </si>
  <si>
    <t>ORD9352271</t>
  </si>
  <si>
    <t>OI002810</t>
  </si>
  <si>
    <t>OI002809</t>
  </si>
  <si>
    <t>ORD8947055</t>
  </si>
  <si>
    <t>OI002808</t>
  </si>
  <si>
    <t>OI002807</t>
  </si>
  <si>
    <t>ORD4577047</t>
  </si>
  <si>
    <t>OI002806</t>
  </si>
  <si>
    <t>OI002805</t>
  </si>
  <si>
    <t>ORD9692233</t>
  </si>
  <si>
    <t>OI002804</t>
  </si>
  <si>
    <t>OI002803</t>
  </si>
  <si>
    <t>ORD6052021</t>
  </si>
  <si>
    <t>OI002802</t>
  </si>
  <si>
    <t>OI002801</t>
  </si>
  <si>
    <t>OI002800</t>
  </si>
  <si>
    <t>OI002799</t>
  </si>
  <si>
    <t>ORD7165419</t>
  </si>
  <si>
    <t>OI002798</t>
  </si>
  <si>
    <t>OI002797</t>
  </si>
  <si>
    <t>OI002796</t>
  </si>
  <si>
    <t>ORD8852250</t>
  </si>
  <si>
    <t>OI002795</t>
  </si>
  <si>
    <t>ORD1424716</t>
  </si>
  <si>
    <t>OI002794</t>
  </si>
  <si>
    <t>OI002793</t>
  </si>
  <si>
    <t>ORD7085903</t>
  </si>
  <si>
    <t>OI002792</t>
  </si>
  <si>
    <t>OI002791</t>
  </si>
  <si>
    <t>OI002790</t>
  </si>
  <si>
    <t>ORD1303197</t>
  </si>
  <si>
    <t>OI002789</t>
  </si>
  <si>
    <t>OI002788</t>
  </si>
  <si>
    <t>OI002787</t>
  </si>
  <si>
    <t>ORD7970196</t>
  </si>
  <si>
    <t>OI002786</t>
  </si>
  <si>
    <t>OI002785</t>
  </si>
  <si>
    <t>ORD2990842</t>
  </si>
  <si>
    <t>OI002784</t>
  </si>
  <si>
    <t>OI002783</t>
  </si>
  <si>
    <t>ORD4109904</t>
  </si>
  <si>
    <t>OI002782</t>
  </si>
  <si>
    <t>OI002781</t>
  </si>
  <si>
    <t>OI002780</t>
  </si>
  <si>
    <t>ORD3121867</t>
  </si>
  <si>
    <t>OI002779</t>
  </si>
  <si>
    <t>OI002778</t>
  </si>
  <si>
    <t>ORD5500507</t>
  </si>
  <si>
    <t>OI002777</t>
  </si>
  <si>
    <t>OI002776</t>
  </si>
  <si>
    <t>OI002775</t>
  </si>
  <si>
    <t>ORD7805976</t>
  </si>
  <si>
    <t>OI002774</t>
  </si>
  <si>
    <t>OI002773</t>
  </si>
  <si>
    <t>ORD7118155</t>
  </si>
  <si>
    <t>OI002772</t>
  </si>
  <si>
    <t>OI002771</t>
  </si>
  <si>
    <t>ORD2419946</t>
  </si>
  <si>
    <t>OI002770</t>
  </si>
  <si>
    <t>OI002769</t>
  </si>
  <si>
    <t>OI002768</t>
  </si>
  <si>
    <t>ORD9635016</t>
  </si>
  <si>
    <t>OI002767</t>
  </si>
  <si>
    <t>OI002766</t>
  </si>
  <si>
    <t>OI002765</t>
  </si>
  <si>
    <t>ORD2970838</t>
  </si>
  <si>
    <t>OI002764</t>
  </si>
  <si>
    <t>OI002763</t>
  </si>
  <si>
    <t>ORD7568552</t>
  </si>
  <si>
    <t>OI002762</t>
  </si>
  <si>
    <t>OI002761</t>
  </si>
  <si>
    <t>OI002760</t>
  </si>
  <si>
    <t>ORD7428437</t>
  </si>
  <si>
    <t>OI002759</t>
  </si>
  <si>
    <t>OI002758</t>
  </si>
  <si>
    <t>OI002757</t>
  </si>
  <si>
    <t>ORD4406178</t>
  </si>
  <si>
    <t>OI002756</t>
  </si>
  <si>
    <t>OI002755</t>
  </si>
  <si>
    <t>ORD1685796</t>
  </si>
  <si>
    <t>OI002754</t>
  </si>
  <si>
    <t>OI002753</t>
  </si>
  <si>
    <t>OI002752</t>
  </si>
  <si>
    <t>ORD2609837</t>
  </si>
  <si>
    <t>OI002751</t>
  </si>
  <si>
    <t>OI002750</t>
  </si>
  <si>
    <t>OI002749</t>
  </si>
  <si>
    <t>ORD1789113</t>
  </si>
  <si>
    <t>OI002748</t>
  </si>
  <si>
    <t>OI002747</t>
  </si>
  <si>
    <t>ORD8363632</t>
  </si>
  <si>
    <t>OI002746</t>
  </si>
  <si>
    <t>OI002745</t>
  </si>
  <si>
    <t>ORD7038145</t>
  </si>
  <si>
    <t>OI002744</t>
  </si>
  <si>
    <t>OI002743</t>
  </si>
  <si>
    <t>OI002742</t>
  </si>
  <si>
    <t>ORD3269458</t>
  </si>
  <si>
    <t>OI002741</t>
  </si>
  <si>
    <t>ORD6217575</t>
  </si>
  <si>
    <t>OI002740</t>
  </si>
  <si>
    <t>OI002739</t>
  </si>
  <si>
    <t>OI002738</t>
  </si>
  <si>
    <t>ORD1844630</t>
  </si>
  <si>
    <t>OI002737</t>
  </si>
  <si>
    <t>OI002736</t>
  </si>
  <si>
    <t>OI002735</t>
  </si>
  <si>
    <t>OI002734</t>
  </si>
  <si>
    <t>ORD8323766</t>
  </si>
  <si>
    <t>OI002733</t>
  </si>
  <si>
    <t>OI002732</t>
  </si>
  <si>
    <t>OI002731</t>
  </si>
  <si>
    <t>ORD2660519</t>
  </si>
  <si>
    <t>OI002730</t>
  </si>
  <si>
    <t>OI002729</t>
  </si>
  <si>
    <t>OI002728</t>
  </si>
  <si>
    <t>ORD8774013</t>
  </si>
  <si>
    <t>OI002727</t>
  </si>
  <si>
    <t>OI002726</t>
  </si>
  <si>
    <t>ORD7631049</t>
  </si>
  <si>
    <t>OI002725</t>
  </si>
  <si>
    <t>OI002724</t>
  </si>
  <si>
    <t>ORD8659445</t>
  </si>
  <si>
    <t>OI002723</t>
  </si>
  <si>
    <t>OI002722</t>
  </si>
  <si>
    <t>ORD7945843</t>
  </si>
  <si>
    <t>OI002721</t>
  </si>
  <si>
    <t>OI002720</t>
  </si>
  <si>
    <t>ORD3507382</t>
  </si>
  <si>
    <t>OI002719</t>
  </si>
  <si>
    <t>OI002718</t>
  </si>
  <si>
    <t>OI002717</t>
  </si>
  <si>
    <t>ORD1185458</t>
  </si>
  <si>
    <t>OI002716</t>
  </si>
  <si>
    <t>OI002715</t>
  </si>
  <si>
    <t>ORD5848213</t>
  </si>
  <si>
    <t>OI002714</t>
  </si>
  <si>
    <t>OI002713</t>
  </si>
  <si>
    <t>OI002712</t>
  </si>
  <si>
    <t>ORD8369095</t>
  </si>
  <si>
    <t>OI002711</t>
  </si>
  <si>
    <t>OI002710</t>
  </si>
  <si>
    <t>ORD1557971</t>
  </si>
  <si>
    <t>OI002709</t>
  </si>
  <si>
    <t>OI002708</t>
  </si>
  <si>
    <t>ORD6031351</t>
  </si>
  <si>
    <t>OI002707</t>
  </si>
  <si>
    <t>OI002706</t>
  </si>
  <si>
    <t>OI002705</t>
  </si>
  <si>
    <t>OI002704</t>
  </si>
  <si>
    <t>ORD6101321</t>
  </si>
  <si>
    <t>OI002703</t>
  </si>
  <si>
    <t>OI002702</t>
  </si>
  <si>
    <t>ORD8779521</t>
  </si>
  <si>
    <t>OI002701</t>
  </si>
  <si>
    <t>OI002700</t>
  </si>
  <si>
    <t>OI002699</t>
  </si>
  <si>
    <t>ORD4600370</t>
  </si>
  <si>
    <t>OI002698</t>
  </si>
  <si>
    <t>OI002697</t>
  </si>
  <si>
    <t>OI002696</t>
  </si>
  <si>
    <t>OI002695</t>
  </si>
  <si>
    <t>ORD2395156</t>
  </si>
  <si>
    <t>OI002694</t>
  </si>
  <si>
    <t>OI002693</t>
  </si>
  <si>
    <t>OI002692</t>
  </si>
  <si>
    <t>OI002691</t>
  </si>
  <si>
    <t>ORD8468968</t>
  </si>
  <si>
    <t>OI002690</t>
  </si>
  <si>
    <t>ORD6192100</t>
  </si>
  <si>
    <t>OI002689</t>
  </si>
  <si>
    <t>OI002688</t>
  </si>
  <si>
    <t>OI002687</t>
  </si>
  <si>
    <t>ORD6912948</t>
  </si>
  <si>
    <t>OI002686</t>
  </si>
  <si>
    <t>OI002685</t>
  </si>
  <si>
    <t>ORD3967499</t>
  </si>
  <si>
    <t>OI002684</t>
  </si>
  <si>
    <t>OI002683</t>
  </si>
  <si>
    <t>OI002682</t>
  </si>
  <si>
    <t>OI002681</t>
  </si>
  <si>
    <t>ORD5580322</t>
  </si>
  <si>
    <t>OI002680</t>
  </si>
  <si>
    <t>OI002679</t>
  </si>
  <si>
    <t>ORD8856301</t>
  </si>
  <si>
    <t>OI002678</t>
  </si>
  <si>
    <t>OI002677</t>
  </si>
  <si>
    <t>ORD9634736</t>
  </si>
  <si>
    <t>OI002676</t>
  </si>
  <si>
    <t>OI002675</t>
  </si>
  <si>
    <t>OI002674</t>
  </si>
  <si>
    <t>OI002673</t>
  </si>
  <si>
    <t>ORD9756078</t>
  </si>
  <si>
    <t>OI002672</t>
  </si>
  <si>
    <t>OI002671</t>
  </si>
  <si>
    <t>ORD1077233</t>
  </si>
  <si>
    <t>OI002670</t>
  </si>
  <si>
    <t>OI002669</t>
  </si>
  <si>
    <t>ORD2356787</t>
  </si>
  <si>
    <t>OI002668</t>
  </si>
  <si>
    <t>OI002667</t>
  </si>
  <si>
    <t>ORD1989886</t>
  </si>
  <si>
    <t>OI002666</t>
  </si>
  <si>
    <t>ORD8041150</t>
  </si>
  <si>
    <t>OI002665</t>
  </si>
  <si>
    <t>OI002664</t>
  </si>
  <si>
    <t>ORD5671550</t>
  </si>
  <si>
    <t>OI002663</t>
  </si>
  <si>
    <t>OI002662</t>
  </si>
  <si>
    <t>OI002661</t>
  </si>
  <si>
    <t>OI002660</t>
  </si>
  <si>
    <t>ORD1303026</t>
  </si>
  <si>
    <t>OI002659</t>
  </si>
  <si>
    <t>ORD3212752</t>
  </si>
  <si>
    <t>OI002658</t>
  </si>
  <si>
    <t>OI002657</t>
  </si>
  <si>
    <t>OI002656</t>
  </si>
  <si>
    <t>OI002655</t>
  </si>
  <si>
    <t>ORD7758079</t>
  </si>
  <si>
    <t>OI002654</t>
  </si>
  <si>
    <t>OI002653</t>
  </si>
  <si>
    <t>ORD9564714</t>
  </si>
  <si>
    <t>OI002652</t>
  </si>
  <si>
    <t>OI002651</t>
  </si>
  <si>
    <t>OI002650</t>
  </si>
  <si>
    <t>ORD4133513</t>
  </si>
  <si>
    <t>OI002649</t>
  </si>
  <si>
    <t>ORD1392144</t>
  </si>
  <si>
    <t>OI002648</t>
  </si>
  <si>
    <t>OI002647</t>
  </si>
  <si>
    <t>ORD9141900</t>
  </si>
  <si>
    <t>OI002646</t>
  </si>
  <si>
    <t>ORD7799074</t>
  </si>
  <si>
    <t>OI002645</t>
  </si>
  <si>
    <t>OI002644</t>
  </si>
  <si>
    <t>ORD9771006</t>
  </si>
  <si>
    <t>OI002643</t>
  </si>
  <si>
    <t>ORD2451929</t>
  </si>
  <si>
    <t>OI002642</t>
  </si>
  <si>
    <t>OI002641</t>
  </si>
  <si>
    <t>OI002640</t>
  </si>
  <si>
    <t>ORD8340617</t>
  </si>
  <si>
    <t>OI002639</t>
  </si>
  <si>
    <t>OI002638</t>
  </si>
  <si>
    <t>ORD6308180</t>
  </si>
  <si>
    <t>OI002637</t>
  </si>
  <si>
    <t>ORD6357379</t>
  </si>
  <si>
    <t>OI002636</t>
  </si>
  <si>
    <t>OI002635</t>
  </si>
  <si>
    <t>OI002634</t>
  </si>
  <si>
    <t>ORD1187973</t>
  </si>
  <si>
    <t>OI002633</t>
  </si>
  <si>
    <t>ORD7365316</t>
  </si>
  <si>
    <t>OI002632</t>
  </si>
  <si>
    <t>ORD3444535</t>
  </si>
  <si>
    <t>OI002631</t>
  </si>
  <si>
    <t>ORD9388090</t>
  </si>
  <si>
    <t>OI002630</t>
  </si>
  <si>
    <t>OI002629</t>
  </si>
  <si>
    <t>ORD3936508</t>
  </si>
  <si>
    <t>OI002628</t>
  </si>
  <si>
    <t>OI002627</t>
  </si>
  <si>
    <t>ORD2022082</t>
  </si>
  <si>
    <t>OI002626</t>
  </si>
  <si>
    <t>OI002625</t>
  </si>
  <si>
    <t>OI002624</t>
  </si>
  <si>
    <t>OI002623</t>
  </si>
  <si>
    <t>ORD3467652</t>
  </si>
  <si>
    <t>OI002622</t>
  </si>
  <si>
    <t>OI002621</t>
  </si>
  <si>
    <t>ORD9921066</t>
  </si>
  <si>
    <t>OI002620</t>
  </si>
  <si>
    <t>OI002619</t>
  </si>
  <si>
    <t>OI002618</t>
  </si>
  <si>
    <t>OI002617</t>
  </si>
  <si>
    <t>ORD7649465</t>
  </si>
  <si>
    <t>OI002616</t>
  </si>
  <si>
    <t>OI002615</t>
  </si>
  <si>
    <t>ORD7486289</t>
  </si>
  <si>
    <t>OI002614</t>
  </si>
  <si>
    <t>OI002613</t>
  </si>
  <si>
    <t>OI002612</t>
  </si>
  <si>
    <t>OI002611</t>
  </si>
  <si>
    <t>ORD1211654</t>
  </si>
  <si>
    <t>OI002610</t>
  </si>
  <si>
    <t>ORD7679747</t>
  </si>
  <si>
    <t>OI002609</t>
  </si>
  <si>
    <t>OI002608</t>
  </si>
  <si>
    <t>ORD3443467</t>
  </si>
  <si>
    <t>OI002607</t>
  </si>
  <si>
    <t>OI002606</t>
  </si>
  <si>
    <t>OI002605</t>
  </si>
  <si>
    <t>OI002604</t>
  </si>
  <si>
    <t>ORD4901721</t>
  </si>
  <si>
    <t>OI002603</t>
  </si>
  <si>
    <t>OI002602</t>
  </si>
  <si>
    <t>ORD7473815</t>
  </si>
  <si>
    <t>OI002601</t>
  </si>
  <si>
    <t>ORD3263414</t>
  </si>
  <si>
    <t>OI002600</t>
  </si>
  <si>
    <t>OI002599</t>
  </si>
  <si>
    <t>OI002598</t>
  </si>
  <si>
    <t>ORD9661579</t>
  </si>
  <si>
    <t>OI002597</t>
  </si>
  <si>
    <t>OI002596</t>
  </si>
  <si>
    <t>ORD3967512</t>
  </si>
  <si>
    <t>OI002595</t>
  </si>
  <si>
    <t>OI002594</t>
  </si>
  <si>
    <t>OI002593</t>
  </si>
  <si>
    <t>ORD8138632</t>
  </si>
  <si>
    <t>OI002592</t>
  </si>
  <si>
    <t>OI002591</t>
  </si>
  <si>
    <t>OI002590</t>
  </si>
  <si>
    <t>OI002589</t>
  </si>
  <si>
    <t>ORD7785319</t>
  </si>
  <si>
    <t>OI002588</t>
  </si>
  <si>
    <t>OI002587</t>
  </si>
  <si>
    <t>OI002586</t>
  </si>
  <si>
    <t>ORD1489629</t>
  </si>
  <si>
    <t>OI002585</t>
  </si>
  <si>
    <t>OI002584</t>
  </si>
  <si>
    <t>ORD8236684</t>
  </si>
  <si>
    <t>OI002583</t>
  </si>
  <si>
    <t>OI002582</t>
  </si>
  <si>
    <t>ORD6052169</t>
  </si>
  <si>
    <t>OI002581</t>
  </si>
  <si>
    <t>OI002580</t>
  </si>
  <si>
    <t>ORD6274555</t>
  </si>
  <si>
    <t>OI002579</t>
  </si>
  <si>
    <t>OI002578</t>
  </si>
  <si>
    <t>ORD7061877</t>
  </si>
  <si>
    <t>OI002577</t>
  </si>
  <si>
    <t>OI002576</t>
  </si>
  <si>
    <t>OI002575</t>
  </si>
  <si>
    <t>ORD6240368</t>
  </si>
  <si>
    <t>OI002574</t>
  </si>
  <si>
    <t>OI002573</t>
  </si>
  <si>
    <t>ORD4098885</t>
  </si>
  <si>
    <t>OI002572</t>
  </si>
  <si>
    <t>OI002571</t>
  </si>
  <si>
    <t>OI002570</t>
  </si>
  <si>
    <t>ORD1701806</t>
  </si>
  <si>
    <t>OI002569</t>
  </si>
  <si>
    <t>OI002568</t>
  </si>
  <si>
    <t>OI002567</t>
  </si>
  <si>
    <t>ORD6333203</t>
  </si>
  <si>
    <t>OI002566</t>
  </si>
  <si>
    <t>OI002565</t>
  </si>
  <si>
    <t>OI002564</t>
  </si>
  <si>
    <t>OI002563</t>
  </si>
  <si>
    <t>ORD9573888</t>
  </si>
  <si>
    <t>OI002562</t>
  </si>
  <si>
    <t>OI002561</t>
  </si>
  <si>
    <t>ORD4432133</t>
  </si>
  <si>
    <t>OI002560</t>
  </si>
  <si>
    <t>ORD6031481</t>
  </si>
  <si>
    <t>OI002559</t>
  </si>
  <si>
    <t>OI002558</t>
  </si>
  <si>
    <t>ORD1689341</t>
  </si>
  <si>
    <t>OI002557</t>
  </si>
  <si>
    <t>OI002556</t>
  </si>
  <si>
    <t>ORD6965497</t>
  </si>
  <si>
    <t>OI002555</t>
  </si>
  <si>
    <t>OI002554</t>
  </si>
  <si>
    <t>OI002553</t>
  </si>
  <si>
    <t>ORD8073819</t>
  </si>
  <si>
    <t>OI002552</t>
  </si>
  <si>
    <t>OI002551</t>
  </si>
  <si>
    <t>OI002550</t>
  </si>
  <si>
    <t>OI002549</t>
  </si>
  <si>
    <t>ORD7331500</t>
  </si>
  <si>
    <t>OI002548</t>
  </si>
  <si>
    <t>ORD6949369</t>
  </si>
  <si>
    <t>OI002547</t>
  </si>
  <si>
    <t>ORD8773875</t>
  </si>
  <si>
    <t>OI002546</t>
  </si>
  <si>
    <t>OI002545</t>
  </si>
  <si>
    <t>OI002544</t>
  </si>
  <si>
    <t>ORD2428211</t>
  </si>
  <si>
    <t>OI002543</t>
  </si>
  <si>
    <t>OI002542</t>
  </si>
  <si>
    <t>OI002541</t>
  </si>
  <si>
    <t>ORD4911403</t>
  </si>
  <si>
    <t>OI002540</t>
  </si>
  <si>
    <t>OI002539</t>
  </si>
  <si>
    <t>OI002538</t>
  </si>
  <si>
    <t>OI002537</t>
  </si>
  <si>
    <t>ORD9449836</t>
  </si>
  <si>
    <t>OI002536</t>
  </si>
  <si>
    <t>OI002535</t>
  </si>
  <si>
    <t>OI002534</t>
  </si>
  <si>
    <t>OI002533</t>
  </si>
  <si>
    <t>ORD2595144</t>
  </si>
  <si>
    <t>OI002532</t>
  </si>
  <si>
    <t>OI002531</t>
  </si>
  <si>
    <t>OI002530</t>
  </si>
  <si>
    <t>OI002529</t>
  </si>
  <si>
    <t>ORD1855315</t>
  </si>
  <si>
    <t>OI002528</t>
  </si>
  <si>
    <t>OI002527</t>
  </si>
  <si>
    <t>ORD9646777</t>
  </si>
  <si>
    <t>OI002526</t>
  </si>
  <si>
    <t>OI002525</t>
  </si>
  <si>
    <t>OI002524</t>
  </si>
  <si>
    <t>ORD2670620</t>
  </si>
  <si>
    <t>OI002523</t>
  </si>
  <si>
    <t>OI002522</t>
  </si>
  <si>
    <t>ORD9336696</t>
  </si>
  <si>
    <t>OI002521</t>
  </si>
  <si>
    <t>OI002520</t>
  </si>
  <si>
    <t>OI002519</t>
  </si>
  <si>
    <t>ORD5522403</t>
  </si>
  <si>
    <t>OI002518</t>
  </si>
  <si>
    <t>ORD1418312</t>
  </si>
  <si>
    <t>OI002517</t>
  </si>
  <si>
    <t>OI002516</t>
  </si>
  <si>
    <t>OI002515</t>
  </si>
  <si>
    <t>ORD8373187</t>
  </si>
  <si>
    <t>OI002514</t>
  </si>
  <si>
    <t>OI002513</t>
  </si>
  <si>
    <t>OI002512</t>
  </si>
  <si>
    <t>OI002511</t>
  </si>
  <si>
    <t>ORD8205561</t>
  </si>
  <si>
    <t>OI002510</t>
  </si>
  <si>
    <t>OI002509</t>
  </si>
  <si>
    <t>ORD9903570</t>
  </si>
  <si>
    <t>OI002508</t>
  </si>
  <si>
    <t>OI002507</t>
  </si>
  <si>
    <t>ORD6749870</t>
  </si>
  <si>
    <t>OI002506</t>
  </si>
  <si>
    <t>OI002505</t>
  </si>
  <si>
    <t>ORD2509625</t>
  </si>
  <si>
    <t>OI002504</t>
  </si>
  <si>
    <t>OI002503</t>
  </si>
  <si>
    <t>ORD2785515</t>
  </si>
  <si>
    <t>OI002502</t>
  </si>
  <si>
    <t>OI002501</t>
  </si>
  <si>
    <t>OI002500</t>
  </si>
  <si>
    <t>OI002499</t>
  </si>
  <si>
    <t>ORD6171733</t>
  </si>
  <si>
    <t>OI002498</t>
  </si>
  <si>
    <t>ORD1127128</t>
  </si>
  <si>
    <t>OI002497</t>
  </si>
  <si>
    <t>OI002496</t>
  </si>
  <si>
    <t>ORD1375480</t>
  </si>
  <si>
    <t>OI002495</t>
  </si>
  <si>
    <t>OI002494</t>
  </si>
  <si>
    <t>ORD8087699</t>
  </si>
  <si>
    <t>OI002493</t>
  </si>
  <si>
    <t>OI002492</t>
  </si>
  <si>
    <t>ORD6480092</t>
  </si>
  <si>
    <t>OI002491</t>
  </si>
  <si>
    <t>OI002490</t>
  </si>
  <si>
    <t>ORD1020737</t>
  </si>
  <si>
    <t>OI002489</t>
  </si>
  <si>
    <t>OI002488</t>
  </si>
  <si>
    <t>OI002487</t>
  </si>
  <si>
    <t>ORD6480097</t>
  </si>
  <si>
    <t>OI002486</t>
  </si>
  <si>
    <t>OI002485</t>
  </si>
  <si>
    <t>ORD5731929</t>
  </si>
  <si>
    <t>OI002484</t>
  </si>
  <si>
    <t>ORD9877751</t>
  </si>
  <si>
    <t>OI002483</t>
  </si>
  <si>
    <t>OI002482</t>
  </si>
  <si>
    <t>OI002481</t>
  </si>
  <si>
    <t>OI002480</t>
  </si>
  <si>
    <t>ORD1897639</t>
  </si>
  <si>
    <t>OI002479</t>
  </si>
  <si>
    <t>OI002478</t>
  </si>
  <si>
    <t>ORD9386347</t>
  </si>
  <si>
    <t>OI002477</t>
  </si>
  <si>
    <t>OI002476</t>
  </si>
  <si>
    <t>OI002475</t>
  </si>
  <si>
    <t>ORD3809849</t>
  </si>
  <si>
    <t>OI002474</t>
  </si>
  <si>
    <t>OI002473</t>
  </si>
  <si>
    <t>OI002472</t>
  </si>
  <si>
    <t>ORD6068456</t>
  </si>
  <si>
    <t>OI002471</t>
  </si>
  <si>
    <t>OI002470</t>
  </si>
  <si>
    <t>OI002469</t>
  </si>
  <si>
    <t>OI002468</t>
  </si>
  <si>
    <t>ORD8354627</t>
  </si>
  <si>
    <t>OI002467</t>
  </si>
  <si>
    <t>OI002466</t>
  </si>
  <si>
    <t>OI002465</t>
  </si>
  <si>
    <t>ORD7112061</t>
  </si>
  <si>
    <t>OI002464</t>
  </si>
  <si>
    <t>OI002463</t>
  </si>
  <si>
    <t>OI002462</t>
  </si>
  <si>
    <t>ORD8860310</t>
  </si>
  <si>
    <t>OI002461</t>
  </si>
  <si>
    <t>OI002460</t>
  </si>
  <si>
    <t>OI002459</t>
  </si>
  <si>
    <t>ORD5259672</t>
  </si>
  <si>
    <t>OI002458</t>
  </si>
  <si>
    <t>OI002457</t>
  </si>
  <si>
    <t>OI002456</t>
  </si>
  <si>
    <t>OI002455</t>
  </si>
  <si>
    <t>ORD4408903</t>
  </si>
  <si>
    <t>OI002454</t>
  </si>
  <si>
    <t>OI002453</t>
  </si>
  <si>
    <t>OI002452</t>
  </si>
  <si>
    <t>ORD2691311</t>
  </si>
  <si>
    <t>OI002451</t>
  </si>
  <si>
    <t>OI002450</t>
  </si>
  <si>
    <t>OI002449</t>
  </si>
  <si>
    <t>ORD4645184</t>
  </si>
  <si>
    <t>OI002448</t>
  </si>
  <si>
    <t>OI002447</t>
  </si>
  <si>
    <t>ORD5044801</t>
  </si>
  <si>
    <t>OI002446</t>
  </si>
  <si>
    <t>OI002445</t>
  </si>
  <si>
    <t>ORD7093273</t>
  </si>
  <si>
    <t>OI002444</t>
  </si>
  <si>
    <t>OI002443</t>
  </si>
  <si>
    <t>OI002442</t>
  </si>
  <si>
    <t>ORD4421831</t>
  </si>
  <si>
    <t>OI002441</t>
  </si>
  <si>
    <t>OI002440</t>
  </si>
  <si>
    <t>ORD4358481</t>
  </si>
  <si>
    <t>OI002439</t>
  </si>
  <si>
    <t>OI002438</t>
  </si>
  <si>
    <t>ORD3176618</t>
  </si>
  <si>
    <t>OI002437</t>
  </si>
  <si>
    <t>OI002436</t>
  </si>
  <si>
    <t>OI002435</t>
  </si>
  <si>
    <t>OI002434</t>
  </si>
  <si>
    <t>ORD9231395</t>
  </si>
  <si>
    <t>OI002433</t>
  </si>
  <si>
    <t>OI002432</t>
  </si>
  <si>
    <t>ORD2941686</t>
  </si>
  <si>
    <t>OI002431</t>
  </si>
  <si>
    <t>OI002430</t>
  </si>
  <si>
    <t>OI002429</t>
  </si>
  <si>
    <t>OI002428</t>
  </si>
  <si>
    <t>ORD1104984</t>
  </si>
  <si>
    <t>OI002427</t>
  </si>
  <si>
    <t>ORD8079391</t>
  </si>
  <si>
    <t>OI002426</t>
  </si>
  <si>
    <t>OI002425</t>
  </si>
  <si>
    <t>OI002424</t>
  </si>
  <si>
    <t>ORD8546050</t>
  </si>
  <si>
    <t>OI002423</t>
  </si>
  <si>
    <t>OI002422</t>
  </si>
  <si>
    <t>ORD6843777</t>
  </si>
  <si>
    <t>OI002421</t>
  </si>
  <si>
    <t>OI002420</t>
  </si>
  <si>
    <t>ORD8661030</t>
  </si>
  <si>
    <t>OI002419</t>
  </si>
  <si>
    <t>OI002418</t>
  </si>
  <si>
    <t>OI002417</t>
  </si>
  <si>
    <t>ORD2633729</t>
  </si>
  <si>
    <t>OI002416</t>
  </si>
  <si>
    <t>OI002415</t>
  </si>
  <si>
    <t>OI002414</t>
  </si>
  <si>
    <t>ORD1632342</t>
  </si>
  <si>
    <t>OI002413</t>
  </si>
  <si>
    <t>OI002412</t>
  </si>
  <si>
    <t>OI002411</t>
  </si>
  <si>
    <t>OI002410</t>
  </si>
  <si>
    <t>ORD9595138</t>
  </si>
  <si>
    <t>OI002409</t>
  </si>
  <si>
    <t>ORD7480687</t>
  </si>
  <si>
    <t>OI002408</t>
  </si>
  <si>
    <t>OI002407</t>
  </si>
  <si>
    <t>ORD3883285</t>
  </si>
  <si>
    <t>OI002406</t>
  </si>
  <si>
    <t>OI002405</t>
  </si>
  <si>
    <t>OI002404</t>
  </si>
  <si>
    <t>OI002403</t>
  </si>
  <si>
    <t>ORD4264306</t>
  </si>
  <si>
    <t>OI002402</t>
  </si>
  <si>
    <t>OI002401</t>
  </si>
  <si>
    <t>OI002400</t>
  </si>
  <si>
    <t>OI002399</t>
  </si>
  <si>
    <t>ORD7596354</t>
  </si>
  <si>
    <t>OI002398</t>
  </si>
  <si>
    <t>OI002397</t>
  </si>
  <si>
    <t>OI002396</t>
  </si>
  <si>
    <t>ORD7545705</t>
  </si>
  <si>
    <t>OI002395</t>
  </si>
  <si>
    <t>OI002394</t>
  </si>
  <si>
    <t>OI002393</t>
  </si>
  <si>
    <t>ORD1640552</t>
  </si>
  <si>
    <t>OI002392</t>
  </si>
  <si>
    <t>OI002391</t>
  </si>
  <si>
    <t>ORD8741107</t>
  </si>
  <si>
    <t>OI002390</t>
  </si>
  <si>
    <t>OI002389</t>
  </si>
  <si>
    <t>OI002388</t>
  </si>
  <si>
    <t>ORD7738624</t>
  </si>
  <si>
    <t>OI002387</t>
  </si>
  <si>
    <t>OI002386</t>
  </si>
  <si>
    <t>ORD9593384</t>
  </si>
  <si>
    <t>OI002385</t>
  </si>
  <si>
    <t>OI002384</t>
  </si>
  <si>
    <t>OI002383</t>
  </si>
  <si>
    <t>ORD4855388</t>
  </si>
  <si>
    <t>OI002382</t>
  </si>
  <si>
    <t>ORD8662586</t>
  </si>
  <si>
    <t>OI002381</t>
  </si>
  <si>
    <t>OI002380</t>
  </si>
  <si>
    <t>OI002379</t>
  </si>
  <si>
    <t>ORD7141140</t>
  </si>
  <si>
    <t>OI002378</t>
  </si>
  <si>
    <t>OI002377</t>
  </si>
  <si>
    <t>OI002376</t>
  </si>
  <si>
    <t>ORD3458603</t>
  </si>
  <si>
    <t>OI002375</t>
  </si>
  <si>
    <t>OI002374</t>
  </si>
  <si>
    <t>ORD1384511</t>
  </si>
  <si>
    <t>OI002373</t>
  </si>
  <si>
    <t>OI002372</t>
  </si>
  <si>
    <t>OI002371</t>
  </si>
  <si>
    <t>ORD8347263</t>
  </si>
  <si>
    <t>OI002370</t>
  </si>
  <si>
    <t>OI002369</t>
  </si>
  <si>
    <t>OI002368</t>
  </si>
  <si>
    <t>ORD9996681</t>
  </si>
  <si>
    <t>OI002367</t>
  </si>
  <si>
    <t>ORD2704824</t>
  </si>
  <si>
    <t>OI002366</t>
  </si>
  <si>
    <t>OI002365</t>
  </si>
  <si>
    <t>ORD3830208</t>
  </si>
  <si>
    <t>OI002364</t>
  </si>
  <si>
    <t>OI002363</t>
  </si>
  <si>
    <t>ORD6331060</t>
  </si>
  <si>
    <t>OI002362</t>
  </si>
  <si>
    <t>OI002361</t>
  </si>
  <si>
    <t>ORD2823906</t>
  </si>
  <si>
    <t>OI002360</t>
  </si>
  <si>
    <t>OI002359</t>
  </si>
  <si>
    <t>OI002358</t>
  </si>
  <si>
    <t>ORD7665233</t>
  </si>
  <si>
    <t>OI002357</t>
  </si>
  <si>
    <t>OI002356</t>
  </si>
  <si>
    <t>OI002355</t>
  </si>
  <si>
    <t>ORD6780597</t>
  </si>
  <si>
    <t>OI002354</t>
  </si>
  <si>
    <t>OI002353</t>
  </si>
  <si>
    <t>OI002352</t>
  </si>
  <si>
    <t>ORD7180073</t>
  </si>
  <si>
    <t>OI002351</t>
  </si>
  <si>
    <t>OI002350</t>
  </si>
  <si>
    <t>OI002349</t>
  </si>
  <si>
    <t>ORD2343929</t>
  </si>
  <si>
    <t>OI002348</t>
  </si>
  <si>
    <t>OI002347</t>
  </si>
  <si>
    <t>OI002346</t>
  </si>
  <si>
    <t>ORD7495927</t>
  </si>
  <si>
    <t>OI002345</t>
  </si>
  <si>
    <t>OI002344</t>
  </si>
  <si>
    <t>ORD1494157</t>
  </si>
  <si>
    <t>OI002343</t>
  </si>
  <si>
    <t>OI002342</t>
  </si>
  <si>
    <t>ORD9866836</t>
  </si>
  <si>
    <t>OI002341</t>
  </si>
  <si>
    <t>OI002340</t>
  </si>
  <si>
    <t>OI002339</t>
  </si>
  <si>
    <t>ORD7416175</t>
  </si>
  <si>
    <t>OI002338</t>
  </si>
  <si>
    <t>OI002337</t>
  </si>
  <si>
    <t>ORD8283798</t>
  </si>
  <si>
    <t>OI002336</t>
  </si>
  <si>
    <t>ORD5092999</t>
  </si>
  <si>
    <t>OI002335</t>
  </si>
  <si>
    <t>OI002334</t>
  </si>
  <si>
    <t>ORD2974957</t>
  </si>
  <si>
    <t>OI002333</t>
  </si>
  <si>
    <t>OI002332</t>
  </si>
  <si>
    <t>OI002331</t>
  </si>
  <si>
    <t>ORD4262346</t>
  </si>
  <si>
    <t>OI002330</t>
  </si>
  <si>
    <t>OI002329</t>
  </si>
  <si>
    <t>OI002328</t>
  </si>
  <si>
    <t>OI002327</t>
  </si>
  <si>
    <t>ORD3435733</t>
  </si>
  <si>
    <t>OI002326</t>
  </si>
  <si>
    <t>OI002325</t>
  </si>
  <si>
    <t>ORD8058810</t>
  </si>
  <si>
    <t>OI002324</t>
  </si>
  <si>
    <t>OI002323</t>
  </si>
  <si>
    <t>OI002322</t>
  </si>
  <si>
    <t>ORD8575481</t>
  </si>
  <si>
    <t>OI002321</t>
  </si>
  <si>
    <t>OI002320</t>
  </si>
  <si>
    <t>OI002319</t>
  </si>
  <si>
    <t>ORD1083198</t>
  </si>
  <si>
    <t>OI002318</t>
  </si>
  <si>
    <t>OI002317</t>
  </si>
  <si>
    <t>OI002316</t>
  </si>
  <si>
    <t>OI002315</t>
  </si>
  <si>
    <t>ORD4077006</t>
  </si>
  <si>
    <t>OI002314</t>
  </si>
  <si>
    <t>OI002313</t>
  </si>
  <si>
    <t>OI002312</t>
  </si>
  <si>
    <t>ORD1457506</t>
  </si>
  <si>
    <t>OI002311</t>
  </si>
  <si>
    <t>OI002310</t>
  </si>
  <si>
    <t>ORD1777764</t>
  </si>
  <si>
    <t>OI002309</t>
  </si>
  <si>
    <t>OI002308</t>
  </si>
  <si>
    <t>OI002307</t>
  </si>
  <si>
    <t>ORD5280661</t>
  </si>
  <si>
    <t>OI002306</t>
  </si>
  <si>
    <t>OI002305</t>
  </si>
  <si>
    <t>OI002304</t>
  </si>
  <si>
    <t>ORD6753751</t>
  </si>
  <si>
    <t>OI002303</t>
  </si>
  <si>
    <t>OI002302</t>
  </si>
  <si>
    <t>OI002301</t>
  </si>
  <si>
    <t>ORD6221536</t>
  </si>
  <si>
    <t>OI002300</t>
  </si>
  <si>
    <t>ORD9344176</t>
  </si>
  <si>
    <t>OI002299</t>
  </si>
  <si>
    <t>OI002298</t>
  </si>
  <si>
    <t>OI002297</t>
  </si>
  <si>
    <t>ORD1493220</t>
  </si>
  <si>
    <t>OI002296</t>
  </si>
  <si>
    <t>ORD9470588</t>
  </si>
  <si>
    <t>OI002295</t>
  </si>
  <si>
    <t>OI002294</t>
  </si>
  <si>
    <t>OI002293</t>
  </si>
  <si>
    <t>ORD4332271</t>
  </si>
  <si>
    <t>OI002292</t>
  </si>
  <si>
    <t>OI002291</t>
  </si>
  <si>
    <t>OI002290</t>
  </si>
  <si>
    <t>ORD6286061</t>
  </si>
  <si>
    <t>OI002289</t>
  </si>
  <si>
    <t>OI002288</t>
  </si>
  <si>
    <t>ORD6703062</t>
  </si>
  <si>
    <t>OI002287</t>
  </si>
  <si>
    <t>OI002286</t>
  </si>
  <si>
    <t>ORD9897879</t>
  </si>
  <si>
    <t>OI002285</t>
  </si>
  <si>
    <t>OI002284</t>
  </si>
  <si>
    <t>OI002283</t>
  </si>
  <si>
    <t>ORD7765901</t>
  </si>
  <si>
    <t>OI002282</t>
  </si>
  <si>
    <t>OI002281</t>
  </si>
  <si>
    <t>OI002280</t>
  </si>
  <si>
    <t>ORD5225340</t>
  </si>
  <si>
    <t>OI002279</t>
  </si>
  <si>
    <t>OI002278</t>
  </si>
  <si>
    <t>ORD5951813</t>
  </si>
  <si>
    <t>OI002277</t>
  </si>
  <si>
    <t>OI002276</t>
  </si>
  <si>
    <t>OI002275</t>
  </si>
  <si>
    <t>ORD5339621</t>
  </si>
  <si>
    <t>OI002274</t>
  </si>
  <si>
    <t>OI002273</t>
  </si>
  <si>
    <t>OI002272</t>
  </si>
  <si>
    <t>ORD9821826</t>
  </si>
  <si>
    <t>OI002271</t>
  </si>
  <si>
    <t>OI002270</t>
  </si>
  <si>
    <t>ORD1702514</t>
  </si>
  <si>
    <t>OI002269</t>
  </si>
  <si>
    <t>OI002268</t>
  </si>
  <si>
    <t>OI002267</t>
  </si>
  <si>
    <t>ORD9655209</t>
  </si>
  <si>
    <t>OI002266</t>
  </si>
  <si>
    <t>OI002265</t>
  </si>
  <si>
    <t>OI002264</t>
  </si>
  <si>
    <t>ORD3526267</t>
  </si>
  <si>
    <t>OI002263</t>
  </si>
  <si>
    <t>OI002262</t>
  </si>
  <si>
    <t>OI002261</t>
  </si>
  <si>
    <t>OI002260</t>
  </si>
  <si>
    <t>ORD1433544</t>
  </si>
  <si>
    <t>OI002259</t>
  </si>
  <si>
    <t>OI002258</t>
  </si>
  <si>
    <t>OI002257</t>
  </si>
  <si>
    <t>OI002256</t>
  </si>
  <si>
    <t>ORD1458383</t>
  </si>
  <si>
    <t>OI002255</t>
  </si>
  <si>
    <t>OI002254</t>
  </si>
  <si>
    <t>OI002253</t>
  </si>
  <si>
    <t>ORD3480045</t>
  </si>
  <si>
    <t>OI002252</t>
  </si>
  <si>
    <t>OI002251</t>
  </si>
  <si>
    <t>ORD2244415</t>
  </si>
  <si>
    <t>OI002250</t>
  </si>
  <si>
    <t>OI002249</t>
  </si>
  <si>
    <t>OI002248</t>
  </si>
  <si>
    <t>ORD2898591</t>
  </si>
  <si>
    <t>OI002247</t>
  </si>
  <si>
    <t>OI002246</t>
  </si>
  <si>
    <t>ORD1336009</t>
  </si>
  <si>
    <t>OI002245</t>
  </si>
  <si>
    <t>OI002244</t>
  </si>
  <si>
    <t>ORD6537308</t>
  </si>
  <si>
    <t>OI002243</t>
  </si>
  <si>
    <t>OI002242</t>
  </si>
  <si>
    <t>ORD4553165</t>
  </si>
  <si>
    <t>OI002241</t>
  </si>
  <si>
    <t>OI002240</t>
  </si>
  <si>
    <t>ORD6026347</t>
  </si>
  <si>
    <t>OI002239</t>
  </si>
  <si>
    <t>OI002238</t>
  </si>
  <si>
    <t>ORD4230362</t>
  </si>
  <si>
    <t>OI002237</t>
  </si>
  <si>
    <t>OI002236</t>
  </si>
  <si>
    <t>OI002235</t>
  </si>
  <si>
    <t>OI002234</t>
  </si>
  <si>
    <t>ORD4629894</t>
  </si>
  <si>
    <t>OI002233</t>
  </si>
  <si>
    <t>OI002232</t>
  </si>
  <si>
    <t>OI002231</t>
  </si>
  <si>
    <t>OI002230</t>
  </si>
  <si>
    <t>ORD2568383</t>
  </si>
  <si>
    <t>OI002229</t>
  </si>
  <si>
    <t>OI002228</t>
  </si>
  <si>
    <t>OI002227</t>
  </si>
  <si>
    <t>OI002226</t>
  </si>
  <si>
    <t>ORD8403469</t>
  </si>
  <si>
    <t>OI002225</t>
  </si>
  <si>
    <t>OI002224</t>
  </si>
  <si>
    <t>ORD1275672</t>
  </si>
  <si>
    <t>OI002223</t>
  </si>
  <si>
    <t>ORD7743663</t>
  </si>
  <si>
    <t>OI002222</t>
  </si>
  <si>
    <t>OI002221</t>
  </si>
  <si>
    <t>OI002220</t>
  </si>
  <si>
    <t>ORD4069345</t>
  </si>
  <si>
    <t>OI002219</t>
  </si>
  <si>
    <t>OI002218</t>
  </si>
  <si>
    <t>OI002217</t>
  </si>
  <si>
    <t>OI002216</t>
  </si>
  <si>
    <t>ORD9665105</t>
  </si>
  <si>
    <t>OI002215</t>
  </si>
  <si>
    <t>OI002214</t>
  </si>
  <si>
    <t>OI002213</t>
  </si>
  <si>
    <t>ORD4932931</t>
  </si>
  <si>
    <t>OI002212</t>
  </si>
  <si>
    <t>OI002211</t>
  </si>
  <si>
    <t>ORD8624054</t>
  </si>
  <si>
    <t>OI002210</t>
  </si>
  <si>
    <t>OI002209</t>
  </si>
  <si>
    <t>ORD3660952</t>
  </si>
  <si>
    <t>OI002208</t>
  </si>
  <si>
    <t>OI002207</t>
  </si>
  <si>
    <t>OI002206</t>
  </si>
  <si>
    <t>ORD5614818</t>
  </si>
  <si>
    <t>OI002205</t>
  </si>
  <si>
    <t>OI002204</t>
  </si>
  <si>
    <t>OI002203</t>
  </si>
  <si>
    <t>ORD1230853</t>
  </si>
  <si>
    <t>OI002202</t>
  </si>
  <si>
    <t>ORD5173838</t>
  </si>
  <si>
    <t>OI002201</t>
  </si>
  <si>
    <t>OI002200</t>
  </si>
  <si>
    <t>OI002199</t>
  </si>
  <si>
    <t>ORD3091259</t>
  </si>
  <si>
    <t>OI002198</t>
  </si>
  <si>
    <t>OI002197</t>
  </si>
  <si>
    <t>ORD4991496</t>
  </si>
  <si>
    <t>OI002196</t>
  </si>
  <si>
    <t>OI002195</t>
  </si>
  <si>
    <t>ORD4664443</t>
  </si>
  <si>
    <t>OI002194</t>
  </si>
  <si>
    <t>OI002193</t>
  </si>
  <si>
    <t>ORD1067267</t>
  </si>
  <si>
    <t>OI002192</t>
  </si>
  <si>
    <t>OI002191</t>
  </si>
  <si>
    <t>OI002190</t>
  </si>
  <si>
    <t>OI002189</t>
  </si>
  <si>
    <t>ORD2336525</t>
  </si>
  <si>
    <t>OI002188</t>
  </si>
  <si>
    <t>OI002187</t>
  </si>
  <si>
    <t>OI002186</t>
  </si>
  <si>
    <t>OI002185</t>
  </si>
  <si>
    <t>ORD7082280</t>
  </si>
  <si>
    <t>OI002184</t>
  </si>
  <si>
    <t>ORD5708829</t>
  </si>
  <si>
    <t>OI002183</t>
  </si>
  <si>
    <t>OI002182</t>
  </si>
  <si>
    <t>OI002181</t>
  </si>
  <si>
    <t>OI002180</t>
  </si>
  <si>
    <t>ORD6319500</t>
  </si>
  <si>
    <t>OI002179</t>
  </si>
  <si>
    <t>OI002178</t>
  </si>
  <si>
    <t>ORD7971498</t>
  </si>
  <si>
    <t>OI002177</t>
  </si>
  <si>
    <t>OI002176</t>
  </si>
  <si>
    <t>OI002175</t>
  </si>
  <si>
    <t>ORD2122405</t>
  </si>
  <si>
    <t>OI002174</t>
  </si>
  <si>
    <t>OI002173</t>
  </si>
  <si>
    <t>OI002172</t>
  </si>
  <si>
    <t>OI002171</t>
  </si>
  <si>
    <t>ORD3690055</t>
  </si>
  <si>
    <t>OI002170</t>
  </si>
  <si>
    <t>OI002169</t>
  </si>
  <si>
    <t>OI002168</t>
  </si>
  <si>
    <t>OI002167</t>
  </si>
  <si>
    <t>ORD6977035</t>
  </si>
  <si>
    <t>OI002166</t>
  </si>
  <si>
    <t>OI002165</t>
  </si>
  <si>
    <t>ORD3610008</t>
  </si>
  <si>
    <t>OI002164</t>
  </si>
  <si>
    <t>OI002163</t>
  </si>
  <si>
    <t>OI002162</t>
  </si>
  <si>
    <t>OI002161</t>
  </si>
  <si>
    <t>ORD5904259</t>
  </si>
  <si>
    <t>OI002160</t>
  </si>
  <si>
    <t>OI002159</t>
  </si>
  <si>
    <t>ORD5824408</t>
  </si>
  <si>
    <t>OI002158</t>
  </si>
  <si>
    <t>OI002157</t>
  </si>
  <si>
    <t>OI002156</t>
  </si>
  <si>
    <t>OI002155</t>
  </si>
  <si>
    <t>ORD1801342</t>
  </si>
  <si>
    <t>OI002154</t>
  </si>
  <si>
    <t>OI002153</t>
  </si>
  <si>
    <t>OI002152</t>
  </si>
  <si>
    <t>OI002151</t>
  </si>
  <si>
    <t>ORD4874618</t>
  </si>
  <si>
    <t>OI002150</t>
  </si>
  <si>
    <t>OI002149</t>
  </si>
  <si>
    <t>OI002148</t>
  </si>
  <si>
    <t>OI002147</t>
  </si>
  <si>
    <t>ORD1661445</t>
  </si>
  <si>
    <t>OI002146</t>
  </si>
  <si>
    <t>OI002145</t>
  </si>
  <si>
    <t>OI002144</t>
  </si>
  <si>
    <t>OI002143</t>
  </si>
  <si>
    <t>ORD9406675</t>
  </si>
  <si>
    <t>OI002142</t>
  </si>
  <si>
    <t>OI002141</t>
  </si>
  <si>
    <t>ORD5026924</t>
  </si>
  <si>
    <t>OI002140</t>
  </si>
  <si>
    <t>OI002139</t>
  </si>
  <si>
    <t>OI002138</t>
  </si>
  <si>
    <t>ORD8543241</t>
  </si>
  <si>
    <t>OI002137</t>
  </si>
  <si>
    <t>OI002136</t>
  </si>
  <si>
    <t>OI002135</t>
  </si>
  <si>
    <t>OI002134</t>
  </si>
  <si>
    <t>ORD2108224</t>
  </si>
  <si>
    <t>OI002133</t>
  </si>
  <si>
    <t>ORD8303706</t>
  </si>
  <si>
    <t>OI002132</t>
  </si>
  <si>
    <t>OI002131</t>
  </si>
  <si>
    <t>ORD8739107</t>
  </si>
  <si>
    <t>OI002130</t>
  </si>
  <si>
    <t>OI002129</t>
  </si>
  <si>
    <t>ORD8929924</t>
  </si>
  <si>
    <t>OI002128</t>
  </si>
  <si>
    <t>OI002127</t>
  </si>
  <si>
    <t>ORD5889357</t>
  </si>
  <si>
    <t>OI002126</t>
  </si>
  <si>
    <t>OI002125</t>
  </si>
  <si>
    <t>OI002124</t>
  </si>
  <si>
    <t>OI002123</t>
  </si>
  <si>
    <t>ORD3771957</t>
  </si>
  <si>
    <t>OI002122</t>
  </si>
  <si>
    <t>OI002121</t>
  </si>
  <si>
    <t>ORD3548252</t>
  </si>
  <si>
    <t>OI002120</t>
  </si>
  <si>
    <t>ORD7800102</t>
  </si>
  <si>
    <t>OI002119</t>
  </si>
  <si>
    <t>OI002118</t>
  </si>
  <si>
    <t>OI002117</t>
  </si>
  <si>
    <t>ORD1954674</t>
  </si>
  <si>
    <t>OI002116</t>
  </si>
  <si>
    <t>OI002115</t>
  </si>
  <si>
    <t>ORD4751808</t>
  </si>
  <si>
    <t>OI002114</t>
  </si>
  <si>
    <t>OI002113</t>
  </si>
  <si>
    <t>OI002112</t>
  </si>
  <si>
    <t>OI002111</t>
  </si>
  <si>
    <t>ORD1372876</t>
  </si>
  <si>
    <t>OI002110</t>
  </si>
  <si>
    <t>OI002109</t>
  </si>
  <si>
    <t>ORD5329920</t>
  </si>
  <si>
    <t>OI002108</t>
  </si>
  <si>
    <t>OI002107</t>
  </si>
  <si>
    <t>OI002106</t>
  </si>
  <si>
    <t>ORD5454479</t>
  </si>
  <si>
    <t>OI002105</t>
  </si>
  <si>
    <t>OI002104</t>
  </si>
  <si>
    <t>OI002103</t>
  </si>
  <si>
    <t>ORD1203251</t>
  </si>
  <si>
    <t>OI002102</t>
  </si>
  <si>
    <t>OI002101</t>
  </si>
  <si>
    <t>ORD9488394</t>
  </si>
  <si>
    <t>OI002100</t>
  </si>
  <si>
    <t>OI002099</t>
  </si>
  <si>
    <t>OI002098</t>
  </si>
  <si>
    <t>OI002097</t>
  </si>
  <si>
    <t>ORD1404999</t>
  </si>
  <si>
    <t>OI002096</t>
  </si>
  <si>
    <t>OI002095</t>
  </si>
  <si>
    <t>ORD9043979</t>
  </si>
  <si>
    <t>OI002094</t>
  </si>
  <si>
    <t>OI002093</t>
  </si>
  <si>
    <t>ORD1861447</t>
  </si>
  <si>
    <t>OI002092</t>
  </si>
  <si>
    <t>OI002091</t>
  </si>
  <si>
    <t>OI002090</t>
  </si>
  <si>
    <t>OI002089</t>
  </si>
  <si>
    <t>ORD3346211</t>
  </si>
  <si>
    <t>OI002088</t>
  </si>
  <si>
    <t>OI002087</t>
  </si>
  <si>
    <t>ORD6025077</t>
  </si>
  <si>
    <t>OI002086</t>
  </si>
  <si>
    <t>ORD7798104</t>
  </si>
  <si>
    <t>OI002085</t>
  </si>
  <si>
    <t>OI002084</t>
  </si>
  <si>
    <t>ORD1709232</t>
  </si>
  <si>
    <t>OI002083</t>
  </si>
  <si>
    <t>OI002082</t>
  </si>
  <si>
    <t>OI002081</t>
  </si>
  <si>
    <t>OI002080</t>
  </si>
  <si>
    <t>ORD3801816</t>
  </si>
  <si>
    <t>OI002079</t>
  </si>
  <si>
    <t>OI002078</t>
  </si>
  <si>
    <t>ORD7189628</t>
  </si>
  <si>
    <t>OI002077</t>
  </si>
  <si>
    <t>OI002076</t>
  </si>
  <si>
    <t>ORD3817334</t>
  </si>
  <si>
    <t>OI002075</t>
  </si>
  <si>
    <t>ORD2548050</t>
  </si>
  <si>
    <t>OI002074</t>
  </si>
  <si>
    <t>ORD2549825</t>
  </si>
  <si>
    <t>OI002073</t>
  </si>
  <si>
    <t>OI002072</t>
  </si>
  <si>
    <t>OI002071</t>
  </si>
  <si>
    <t>ORD9028413</t>
  </si>
  <si>
    <t>OI002070</t>
  </si>
  <si>
    <t>OI002069</t>
  </si>
  <si>
    <t>ORD2085401</t>
  </si>
  <si>
    <t>OI002068</t>
  </si>
  <si>
    <t>OI002067</t>
  </si>
  <si>
    <t>OI002066</t>
  </si>
  <si>
    <t>ORD7778101</t>
  </si>
  <si>
    <t>OI002065</t>
  </si>
  <si>
    <t>OI002064</t>
  </si>
  <si>
    <t>ORD5558760</t>
  </si>
  <si>
    <t>OI002063</t>
  </si>
  <si>
    <t>OI002062</t>
  </si>
  <si>
    <t>OI002061</t>
  </si>
  <si>
    <t>OI002060</t>
  </si>
  <si>
    <t>ORD6175674</t>
  </si>
  <si>
    <t>OI002059</t>
  </si>
  <si>
    <t>OI002058</t>
  </si>
  <si>
    <t>OI002057</t>
  </si>
  <si>
    <t>ORD2529708</t>
  </si>
  <si>
    <t>OI002056</t>
  </si>
  <si>
    <t>OI002055</t>
  </si>
  <si>
    <t>OI002054</t>
  </si>
  <si>
    <t>ORD5475083</t>
  </si>
  <si>
    <t>OI002053</t>
  </si>
  <si>
    <t>OI002052</t>
  </si>
  <si>
    <t>ORD8101189</t>
  </si>
  <si>
    <t>OI002051</t>
  </si>
  <si>
    <t>ORD8175737</t>
  </si>
  <si>
    <t>OI002050</t>
  </si>
  <si>
    <t>OI002049</t>
  </si>
  <si>
    <t>OI002048</t>
  </si>
  <si>
    <t>ORD1054812</t>
  </si>
  <si>
    <t>OI002047</t>
  </si>
  <si>
    <t>ORD9337532</t>
  </si>
  <si>
    <t>OI002046</t>
  </si>
  <si>
    <t>OI002045</t>
  </si>
  <si>
    <t>ORD4187101</t>
  </si>
  <si>
    <t>OI002044</t>
  </si>
  <si>
    <t>OI002043</t>
  </si>
  <si>
    <t>OI002042</t>
  </si>
  <si>
    <t>ORD6847081</t>
  </si>
  <si>
    <t>OI002041</t>
  </si>
  <si>
    <t>OI002040</t>
  </si>
  <si>
    <t>ORD9215392</t>
  </si>
  <si>
    <t>OI002039</t>
  </si>
  <si>
    <t>OI002038</t>
  </si>
  <si>
    <t>ORD6729127</t>
  </si>
  <si>
    <t>OI002037</t>
  </si>
  <si>
    <t>OI002036</t>
  </si>
  <si>
    <t>OI002035</t>
  </si>
  <si>
    <t>OI002034</t>
  </si>
  <si>
    <t>ORD3638806</t>
  </si>
  <si>
    <t>OI002033</t>
  </si>
  <si>
    <t>OI002032</t>
  </si>
  <si>
    <t>OI002031</t>
  </si>
  <si>
    <t>ORD7620773</t>
  </si>
  <si>
    <t>OI002030</t>
  </si>
  <si>
    <t>OI002029</t>
  </si>
  <si>
    <t>ORD9554163</t>
  </si>
  <si>
    <t>OI002028</t>
  </si>
  <si>
    <t>OI002027</t>
  </si>
  <si>
    <t>OI002026</t>
  </si>
  <si>
    <t>OI002025</t>
  </si>
  <si>
    <t>ORD1148604</t>
  </si>
  <si>
    <t>OI002024</t>
  </si>
  <si>
    <t>OI002023</t>
  </si>
  <si>
    <t>OI002022</t>
  </si>
  <si>
    <t>OI002021</t>
  </si>
  <si>
    <t>ORD2121034</t>
  </si>
  <si>
    <t>OI002020</t>
  </si>
  <si>
    <t>OI002019</t>
  </si>
  <si>
    <t>OI002018</t>
  </si>
  <si>
    <t>ORD8962894</t>
  </si>
  <si>
    <t>OI002017</t>
  </si>
  <si>
    <t>OI002016</t>
  </si>
  <si>
    <t>ORD7178852</t>
  </si>
  <si>
    <t>OI002015</t>
  </si>
  <si>
    <t>ORD2947659</t>
  </si>
  <si>
    <t>OI002014</t>
  </si>
  <si>
    <t>OI002013</t>
  </si>
  <si>
    <t>ORD1095504</t>
  </si>
  <si>
    <t>OI002012</t>
  </si>
  <si>
    <t>OI002011</t>
  </si>
  <si>
    <t>OI002010</t>
  </si>
  <si>
    <t>ORD9669396</t>
  </si>
  <si>
    <t>OI002009</t>
  </si>
  <si>
    <t>OI002008</t>
  </si>
  <si>
    <t>ORD1172703</t>
  </si>
  <si>
    <t>OI002007</t>
  </si>
  <si>
    <t>OI002006</t>
  </si>
  <si>
    <t>OI002005</t>
  </si>
  <si>
    <t>ORD2391916</t>
  </si>
  <si>
    <t>OI002004</t>
  </si>
  <si>
    <t>OI002003</t>
  </si>
  <si>
    <t>OI002002</t>
  </si>
  <si>
    <t>ORD5291312</t>
  </si>
  <si>
    <t>OI002001</t>
  </si>
  <si>
    <t>OI002000</t>
  </si>
  <si>
    <t>OI001999</t>
  </si>
  <si>
    <t>OI001998</t>
  </si>
  <si>
    <t>ORD6036779</t>
  </si>
  <si>
    <t>OI001997</t>
  </si>
  <si>
    <t>OI001996</t>
  </si>
  <si>
    <t>ORD7813560</t>
  </si>
  <si>
    <t>OI001995</t>
  </si>
  <si>
    <t>OI001994</t>
  </si>
  <si>
    <t>OI001993</t>
  </si>
  <si>
    <t>OI001992</t>
  </si>
  <si>
    <t>ORD2785542</t>
  </si>
  <si>
    <t>OI001991</t>
  </si>
  <si>
    <t>OI001990</t>
  </si>
  <si>
    <t>OI001989</t>
  </si>
  <si>
    <t>ORD3763239</t>
  </si>
  <si>
    <t>OI001988</t>
  </si>
  <si>
    <t>OI001987</t>
  </si>
  <si>
    <t>OI001986</t>
  </si>
  <si>
    <t>ORD4452965</t>
  </si>
  <si>
    <t>OI001985</t>
  </si>
  <si>
    <t>ORD3309241</t>
  </si>
  <si>
    <t>OI001984</t>
  </si>
  <si>
    <t>OI001983</t>
  </si>
  <si>
    <t>OI001982</t>
  </si>
  <si>
    <t>OI001981</t>
  </si>
  <si>
    <t>ORD6818132</t>
  </si>
  <si>
    <t>OI001980</t>
  </si>
  <si>
    <t>OI001979</t>
  </si>
  <si>
    <t>ORD8303868</t>
  </si>
  <si>
    <t>OI001978</t>
  </si>
  <si>
    <t>OI001977</t>
  </si>
  <si>
    <t>OI001976</t>
  </si>
  <si>
    <t>OI001975</t>
  </si>
  <si>
    <t>ORD2057136</t>
  </si>
  <si>
    <t>OI001974</t>
  </si>
  <si>
    <t>OI001973</t>
  </si>
  <si>
    <t>OI001972</t>
  </si>
  <si>
    <t>ORD3571860</t>
  </si>
  <si>
    <t>OI001971</t>
  </si>
  <si>
    <t>ORD1509483</t>
  </si>
  <si>
    <t>OI001970</t>
  </si>
  <si>
    <t>OI001969</t>
  </si>
  <si>
    <t>ORD7254897</t>
  </si>
  <si>
    <t>OI001968</t>
  </si>
  <si>
    <t>OI001967</t>
  </si>
  <si>
    <t>ORD1004542</t>
  </si>
  <si>
    <t>OI001966</t>
  </si>
  <si>
    <t>OI001965</t>
  </si>
  <si>
    <t>ORD7519151</t>
  </si>
  <si>
    <t>OI001964</t>
  </si>
  <si>
    <t>OI001963</t>
  </si>
  <si>
    <t>ORD6089714</t>
  </si>
  <si>
    <t>OI001962</t>
  </si>
  <si>
    <t>OI001961</t>
  </si>
  <si>
    <t>ORD9586664</t>
  </si>
  <si>
    <t>OI001960</t>
  </si>
  <si>
    <t>OI001959</t>
  </si>
  <si>
    <t>ORD5721396</t>
  </si>
  <si>
    <t>OI001958</t>
  </si>
  <si>
    <t>OI001957</t>
  </si>
  <si>
    <t>OI001956</t>
  </si>
  <si>
    <t>ORD1604073</t>
  </si>
  <si>
    <t>OI001955</t>
  </si>
  <si>
    <t>OI001954</t>
  </si>
  <si>
    <t>ORD4674225</t>
  </si>
  <si>
    <t>OI001953</t>
  </si>
  <si>
    <t>OI001952</t>
  </si>
  <si>
    <t>OI001951</t>
  </si>
  <si>
    <t>OI001950</t>
  </si>
  <si>
    <t>ORD4477154</t>
  </si>
  <si>
    <t>OI001949</t>
  </si>
  <si>
    <t>OI001948</t>
  </si>
  <si>
    <t>ORD7045114</t>
  </si>
  <si>
    <t>OI001947</t>
  </si>
  <si>
    <t>OI001946</t>
  </si>
  <si>
    <t>ORD1660711</t>
  </si>
  <si>
    <t>OI001945</t>
  </si>
  <si>
    <t>ORD3156470</t>
  </si>
  <si>
    <t>OI001944</t>
  </si>
  <si>
    <t>OI001943</t>
  </si>
  <si>
    <t>OI001942</t>
  </si>
  <si>
    <t>OI001941</t>
  </si>
  <si>
    <t>ORD8800390</t>
  </si>
  <si>
    <t>OI001940</t>
  </si>
  <si>
    <t>OI001939</t>
  </si>
  <si>
    <t>ORD2016077</t>
  </si>
  <si>
    <t>OI001938</t>
  </si>
  <si>
    <t>OI001937</t>
  </si>
  <si>
    <t>OI001936</t>
  </si>
  <si>
    <t>ORD9095897</t>
  </si>
  <si>
    <t>OI001935</t>
  </si>
  <si>
    <t>OI001934</t>
  </si>
  <si>
    <t>ORD5462862</t>
  </si>
  <si>
    <t>OI001933</t>
  </si>
  <si>
    <t>OI001932</t>
  </si>
  <si>
    <t>ORD4840752</t>
  </si>
  <si>
    <t>OI001931</t>
  </si>
  <si>
    <t>OI001930</t>
  </si>
  <si>
    <t>OI001929</t>
  </si>
  <si>
    <t>ORD5129038</t>
  </si>
  <si>
    <t>OI001928</t>
  </si>
  <si>
    <t>OI001927</t>
  </si>
  <si>
    <t>OI001926</t>
  </si>
  <si>
    <t>ORD6211203</t>
  </si>
  <si>
    <t>OI001925</t>
  </si>
  <si>
    <t>OI001924</t>
  </si>
  <si>
    <t>ORD3681345</t>
  </si>
  <si>
    <t>OI001923</t>
  </si>
  <si>
    <t>OI001922</t>
  </si>
  <si>
    <t>OI001921</t>
  </si>
  <si>
    <t>ORD8923681</t>
  </si>
  <si>
    <t>OI001920</t>
  </si>
  <si>
    <t>OI001919</t>
  </si>
  <si>
    <t>ORD7468693</t>
  </si>
  <si>
    <t>OI001918</t>
  </si>
  <si>
    <t>OI001917</t>
  </si>
  <si>
    <t>OI001916</t>
  </si>
  <si>
    <t>ORD6259232</t>
  </si>
  <si>
    <t>OI001915</t>
  </si>
  <si>
    <t>OI001914</t>
  </si>
  <si>
    <t>OI001913</t>
  </si>
  <si>
    <t>OI001912</t>
  </si>
  <si>
    <t>ORD6341832</t>
  </si>
  <si>
    <t>OI001911</t>
  </si>
  <si>
    <t>OI001910</t>
  </si>
  <si>
    <t>OI001909</t>
  </si>
  <si>
    <t>ORD5222291</t>
  </si>
  <si>
    <t>OI001908</t>
  </si>
  <si>
    <t>OI001907</t>
  </si>
  <si>
    <t>ORD4820432</t>
  </si>
  <si>
    <t>OI001906</t>
  </si>
  <si>
    <t>OI001905</t>
  </si>
  <si>
    <t>ORD5832903</t>
  </si>
  <si>
    <t>OI001904</t>
  </si>
  <si>
    <t>OI001903</t>
  </si>
  <si>
    <t>OI001902</t>
  </si>
  <si>
    <t>ORD2536556</t>
  </si>
  <si>
    <t>OI001901</t>
  </si>
  <si>
    <t>OI001900</t>
  </si>
  <si>
    <t>ORD3621335</t>
  </si>
  <si>
    <t>OI001899</t>
  </si>
  <si>
    <t>OI001898</t>
  </si>
  <si>
    <t>ORD2248470</t>
  </si>
  <si>
    <t>OI001897</t>
  </si>
  <si>
    <t>OI001896</t>
  </si>
  <si>
    <t>ORD6808928</t>
  </si>
  <si>
    <t>OI001895</t>
  </si>
  <si>
    <t>OI001894</t>
  </si>
  <si>
    <t>OI001893</t>
  </si>
  <si>
    <t>ORD6078638</t>
  </si>
  <si>
    <t>OI001892</t>
  </si>
  <si>
    <t>OI001891</t>
  </si>
  <si>
    <t>ORD1872600</t>
  </si>
  <si>
    <t>OI001890</t>
  </si>
  <si>
    <t>OI001889</t>
  </si>
  <si>
    <t>OI001888</t>
  </si>
  <si>
    <t>ORD2393728</t>
  </si>
  <si>
    <t>OI001887</t>
  </si>
  <si>
    <t>OI001886</t>
  </si>
  <si>
    <t>OI001885</t>
  </si>
  <si>
    <t>ORD1333139</t>
  </si>
  <si>
    <t>OI001884</t>
  </si>
  <si>
    <t>OI001883</t>
  </si>
  <si>
    <t>OI001882</t>
  </si>
  <si>
    <t>ORD8464248</t>
  </si>
  <si>
    <t>OI001881</t>
  </si>
  <si>
    <t>OI001880</t>
  </si>
  <si>
    <t>ORD3681207</t>
  </si>
  <si>
    <t>OI001879</t>
  </si>
  <si>
    <t>OI001878</t>
  </si>
  <si>
    <t>ORD6984371</t>
  </si>
  <si>
    <t>OI001877</t>
  </si>
  <si>
    <t>OI001876</t>
  </si>
  <si>
    <t>OI001875</t>
  </si>
  <si>
    <t>ORD5122136</t>
  </si>
  <si>
    <t>OI001874</t>
  </si>
  <si>
    <t>OI001873</t>
  </si>
  <si>
    <t>OI001872</t>
  </si>
  <si>
    <t>ORD3629314</t>
  </si>
  <si>
    <t>OI001871</t>
  </si>
  <si>
    <t>OI001870</t>
  </si>
  <si>
    <t>OI001869</t>
  </si>
  <si>
    <t>OI001868</t>
  </si>
  <si>
    <t>ORD7288379</t>
  </si>
  <si>
    <t>OI001867</t>
  </si>
  <si>
    <t>OI001866</t>
  </si>
  <si>
    <t>ORD7692147</t>
  </si>
  <si>
    <t>OI001865</t>
  </si>
  <si>
    <t>OI001864</t>
  </si>
  <si>
    <t>ORD4808186</t>
  </si>
  <si>
    <t>OI001863</t>
  </si>
  <si>
    <t>OI001862</t>
  </si>
  <si>
    <t>ORD4755409</t>
  </si>
  <si>
    <t>OI001861</t>
  </si>
  <si>
    <t>OI001860</t>
  </si>
  <si>
    <t>ORD8993139</t>
  </si>
  <si>
    <t>OI001859</t>
  </si>
  <si>
    <t>OI001858</t>
  </si>
  <si>
    <t>OI001857</t>
  </si>
  <si>
    <t>ORD1057394</t>
  </si>
  <si>
    <t>OI001856</t>
  </si>
  <si>
    <t>ORD3702775</t>
  </si>
  <si>
    <t>OI001855</t>
  </si>
  <si>
    <t>OI001854</t>
  </si>
  <si>
    <t>OI001853</t>
  </si>
  <si>
    <t>ORD5895685</t>
  </si>
  <si>
    <t>OI001852</t>
  </si>
  <si>
    <t>ORD9449329</t>
  </si>
  <si>
    <t>OI001851</t>
  </si>
  <si>
    <t>OI001850</t>
  </si>
  <si>
    <t>OI001849</t>
  </si>
  <si>
    <t>ORD2834486</t>
  </si>
  <si>
    <t>OI001848</t>
  </si>
  <si>
    <t>OI001847</t>
  </si>
  <si>
    <t>ORD7680763</t>
  </si>
  <si>
    <t>OI001846</t>
  </si>
  <si>
    <t>OI001845</t>
  </si>
  <si>
    <t>OI001844</t>
  </si>
  <si>
    <t>ORD2183202</t>
  </si>
  <si>
    <t>OI001843</t>
  </si>
  <si>
    <t>ORD7939725</t>
  </si>
  <si>
    <t>OI001842</t>
  </si>
  <si>
    <t>OI001841</t>
  </si>
  <si>
    <t>ORD7743748</t>
  </si>
  <si>
    <t>OI001840</t>
  </si>
  <si>
    <t>OI001839</t>
  </si>
  <si>
    <t>ORD1758898</t>
  </si>
  <si>
    <t>OI001838</t>
  </si>
  <si>
    <t>OI001837</t>
  </si>
  <si>
    <t>ORD1750288</t>
  </si>
  <si>
    <t>OI001836</t>
  </si>
  <si>
    <t>ORD3908477</t>
  </si>
  <si>
    <t>OI001835</t>
  </si>
  <si>
    <t>OI001834</t>
  </si>
  <si>
    <t>OI001833</t>
  </si>
  <si>
    <t>ORD7523126</t>
  </si>
  <si>
    <t>OI001832</t>
  </si>
  <si>
    <t>OI001831</t>
  </si>
  <si>
    <t>ORD4371081</t>
  </si>
  <si>
    <t>OI001830</t>
  </si>
  <si>
    <t>OI001829</t>
  </si>
  <si>
    <t>ORD9060167</t>
  </si>
  <si>
    <t>OI001828</t>
  </si>
  <si>
    <t>ORD2952559</t>
  </si>
  <si>
    <t>OI001827</t>
  </si>
  <si>
    <t>ORD4026890</t>
  </si>
  <si>
    <t>OI001826</t>
  </si>
  <si>
    <t>OI001825</t>
  </si>
  <si>
    <t>ORD3977821</t>
  </si>
  <si>
    <t>OI001824</t>
  </si>
  <si>
    <t>OI001823</t>
  </si>
  <si>
    <t>ORD6138255</t>
  </si>
  <si>
    <t>OI001822</t>
  </si>
  <si>
    <t>OI001821</t>
  </si>
  <si>
    <t>OI001820</t>
  </si>
  <si>
    <t>OI001819</t>
  </si>
  <si>
    <t>ORD4802391</t>
  </si>
  <si>
    <t>OI001818</t>
  </si>
  <si>
    <t>OI001817</t>
  </si>
  <si>
    <t>OI001816</t>
  </si>
  <si>
    <t>OI001815</t>
  </si>
  <si>
    <t>ORD7500351</t>
  </si>
  <si>
    <t>OI001814</t>
  </si>
  <si>
    <t>OI001813</t>
  </si>
  <si>
    <t>ORD9888098</t>
  </si>
  <si>
    <t>OI001812</t>
  </si>
  <si>
    <t>OI001811</t>
  </si>
  <si>
    <t>OI001810</t>
  </si>
  <si>
    <t>ORD9522069</t>
  </si>
  <si>
    <t>OI001809</t>
  </si>
  <si>
    <t>OI001808</t>
  </si>
  <si>
    <t>ORD1462664</t>
  </si>
  <si>
    <t>OI001807</t>
  </si>
  <si>
    <t>OI001806</t>
  </si>
  <si>
    <t>ORD8317957</t>
  </si>
  <si>
    <t>OI001805</t>
  </si>
  <si>
    <t>OI001804</t>
  </si>
  <si>
    <t>OI001803</t>
  </si>
  <si>
    <t>ORD2758380</t>
  </si>
  <si>
    <t>OI001802</t>
  </si>
  <si>
    <t>OI001801</t>
  </si>
  <si>
    <t>ORD4937710</t>
  </si>
  <si>
    <t>OI001800</t>
  </si>
  <si>
    <t>OI001799</t>
  </si>
  <si>
    <t>OI001798</t>
  </si>
  <si>
    <t>ORD9700184</t>
  </si>
  <si>
    <t>OI001797</t>
  </si>
  <si>
    <t>OI001796</t>
  </si>
  <si>
    <t>ORD4623343</t>
  </si>
  <si>
    <t>OI001795</t>
  </si>
  <si>
    <t>ORD5931029</t>
  </si>
  <si>
    <t>OI001794</t>
  </si>
  <si>
    <t>OI001793</t>
  </si>
  <si>
    <t>OI001792</t>
  </si>
  <si>
    <t>ORD3984802</t>
  </si>
  <si>
    <t>OI001791</t>
  </si>
  <si>
    <t>OI001790</t>
  </si>
  <si>
    <t>OI001789</t>
  </si>
  <si>
    <t>ORD9144342</t>
  </si>
  <si>
    <t>OI001788</t>
  </si>
  <si>
    <t>OI001787</t>
  </si>
  <si>
    <t>ORD6599618</t>
  </si>
  <si>
    <t>OI001786</t>
  </si>
  <si>
    <t>OI001785</t>
  </si>
  <si>
    <t>OI001784</t>
  </si>
  <si>
    <t>ORD6444414</t>
  </si>
  <si>
    <t>OI001783</t>
  </si>
  <si>
    <t>OI001782</t>
  </si>
  <si>
    <t>OI001781</t>
  </si>
  <si>
    <t>ORD4032275</t>
  </si>
  <si>
    <t>OI001780</t>
  </si>
  <si>
    <t>OI001779</t>
  </si>
  <si>
    <t>OI001778</t>
  </si>
  <si>
    <t>ORD8077121</t>
  </si>
  <si>
    <t>OI001777</t>
  </si>
  <si>
    <t>OI001776</t>
  </si>
  <si>
    <t>OI001775</t>
  </si>
  <si>
    <t>ORD9184965</t>
  </si>
  <si>
    <t>OI001774</t>
  </si>
  <si>
    <t>OI001773</t>
  </si>
  <si>
    <t>ORD6983783</t>
  </si>
  <si>
    <t>OI001772</t>
  </si>
  <si>
    <t>ORD9296866</t>
  </si>
  <si>
    <t>OI001771</t>
  </si>
  <si>
    <t>OI001770</t>
  </si>
  <si>
    <t>ORD1687389</t>
  </si>
  <si>
    <t>OI001769</t>
  </si>
  <si>
    <t>OI001768</t>
  </si>
  <si>
    <t>OI001767</t>
  </si>
  <si>
    <t>OI001766</t>
  </si>
  <si>
    <t>ORD1180674</t>
  </si>
  <si>
    <t>OI001765</t>
  </si>
  <si>
    <t>OI001764</t>
  </si>
  <si>
    <t>OI001763</t>
  </si>
  <si>
    <t>ORD6878859</t>
  </si>
  <si>
    <t>OI001762</t>
  </si>
  <si>
    <t>OI001761</t>
  </si>
  <si>
    <t>ORD7884958</t>
  </si>
  <si>
    <t>OI001760</t>
  </si>
  <si>
    <t>OI001759</t>
  </si>
  <si>
    <t>ORD8067639</t>
  </si>
  <si>
    <t>OI001758</t>
  </si>
  <si>
    <t>OI001757</t>
  </si>
  <si>
    <t>ORD3778902</t>
  </si>
  <si>
    <t>OI001756</t>
  </si>
  <si>
    <t>OI001755</t>
  </si>
  <si>
    <t>ORD1280502</t>
  </si>
  <si>
    <t>OI001754</t>
  </si>
  <si>
    <t>OI001753</t>
  </si>
  <si>
    <t>OI001752</t>
  </si>
  <si>
    <t>ORD6151115</t>
  </si>
  <si>
    <t>OI001751</t>
  </si>
  <si>
    <t>OI001750</t>
  </si>
  <si>
    <t>ORD2619058</t>
  </si>
  <si>
    <t>OI001749</t>
  </si>
  <si>
    <t>OI001748</t>
  </si>
  <si>
    <t>OI001747</t>
  </si>
  <si>
    <t>ORD7805792</t>
  </si>
  <si>
    <t>OI001746</t>
  </si>
  <si>
    <t>OI001745</t>
  </si>
  <si>
    <t>OI001744</t>
  </si>
  <si>
    <t>ORD1574205</t>
  </si>
  <si>
    <t>OI001743</t>
  </si>
  <si>
    <t>OI001742</t>
  </si>
  <si>
    <t>OI001741</t>
  </si>
  <si>
    <t>ORD4097522</t>
  </si>
  <si>
    <t>OI001740</t>
  </si>
  <si>
    <t>OI001739</t>
  </si>
  <si>
    <t>ORD4293151</t>
  </si>
  <si>
    <t>OI001738</t>
  </si>
  <si>
    <t>OI001737</t>
  </si>
  <si>
    <t>ORD1012106</t>
  </si>
  <si>
    <t>OI001736</t>
  </si>
  <si>
    <t>OI001735</t>
  </si>
  <si>
    <t>ORD2679655</t>
  </si>
  <si>
    <t>OI001734</t>
  </si>
  <si>
    <t>OI001733</t>
  </si>
  <si>
    <t>ORD7772195</t>
  </si>
  <si>
    <t>OI001732</t>
  </si>
  <si>
    <t>OI001731</t>
  </si>
  <si>
    <t>OI001730</t>
  </si>
  <si>
    <t>ORD7236158</t>
  </si>
  <si>
    <t>OI001729</t>
  </si>
  <si>
    <t>OI001728</t>
  </si>
  <si>
    <t>ORD8908133</t>
  </si>
  <si>
    <t>OI001727</t>
  </si>
  <si>
    <t>OI001726</t>
  </si>
  <si>
    <t>OI001725</t>
  </si>
  <si>
    <t>OI001724</t>
  </si>
  <si>
    <t>ORD7716059</t>
  </si>
  <si>
    <t>OI001723</t>
  </si>
  <si>
    <t>OI001722</t>
  </si>
  <si>
    <t>ORD3019277</t>
  </si>
  <si>
    <t>OI001721</t>
  </si>
  <si>
    <t>OI001720</t>
  </si>
  <si>
    <t>OI001719</t>
  </si>
  <si>
    <t>ORD1426542</t>
  </si>
  <si>
    <t>OI001718</t>
  </si>
  <si>
    <t>OI001717</t>
  </si>
  <si>
    <t>OI001716</t>
  </si>
  <si>
    <t>OI001715</t>
  </si>
  <si>
    <t>ORD4860502</t>
  </si>
  <si>
    <t>OI001714</t>
  </si>
  <si>
    <t>OI001713</t>
  </si>
  <si>
    <t>ORD4361005</t>
  </si>
  <si>
    <t>OI001712</t>
  </si>
  <si>
    <t>OI001711</t>
  </si>
  <si>
    <t>OI001710</t>
  </si>
  <si>
    <t>OI001709</t>
  </si>
  <si>
    <t>ORD1360433</t>
  </si>
  <si>
    <t>OI001708</t>
  </si>
  <si>
    <t>OI001707</t>
  </si>
  <si>
    <t>ORD5645022</t>
  </si>
  <si>
    <t>OI001706</t>
  </si>
  <si>
    <t>OI001705</t>
  </si>
  <si>
    <t>ORD2125910</t>
  </si>
  <si>
    <t>OI001704</t>
  </si>
  <si>
    <t>OI001703</t>
  </si>
  <si>
    <t>OI001702</t>
  </si>
  <si>
    <t>ORD8169423</t>
  </si>
  <si>
    <t>OI001701</t>
  </si>
  <si>
    <t>OI001700</t>
  </si>
  <si>
    <t>OI001699</t>
  </si>
  <si>
    <t>ORD6267395</t>
  </si>
  <si>
    <t>OI001698</t>
  </si>
  <si>
    <t>OI001697</t>
  </si>
  <si>
    <t>OI001696</t>
  </si>
  <si>
    <t>ORD7942032</t>
  </si>
  <si>
    <t>OI001695</t>
  </si>
  <si>
    <t>OI001694</t>
  </si>
  <si>
    <t>OI001693</t>
  </si>
  <si>
    <t>ORD7291774</t>
  </si>
  <si>
    <t>OI001692</t>
  </si>
  <si>
    <t>ORD5079175</t>
  </si>
  <si>
    <t>OI001691</t>
  </si>
  <si>
    <t>OI001690</t>
  </si>
  <si>
    <t>ORD4392572</t>
  </si>
  <si>
    <t>OI001689</t>
  </si>
  <si>
    <t>OI001688</t>
  </si>
  <si>
    <t>OI001687</t>
  </si>
  <si>
    <t>ORD7602542</t>
  </si>
  <si>
    <t>OI001686</t>
  </si>
  <si>
    <t>ORD7994575</t>
  </si>
  <si>
    <t>OI001685</t>
  </si>
  <si>
    <t>OI001684</t>
  </si>
  <si>
    <t>ORD6034195</t>
  </si>
  <si>
    <t>OI001683</t>
  </si>
  <si>
    <t>OI001682</t>
  </si>
  <si>
    <t>ORD2099905</t>
  </si>
  <si>
    <t>OI001681</t>
  </si>
  <si>
    <t>OI001680</t>
  </si>
  <si>
    <t>OI001679</t>
  </si>
  <si>
    <t>ORD9928667</t>
  </si>
  <si>
    <t>OI001678</t>
  </si>
  <si>
    <t>OI001677</t>
  </si>
  <si>
    <t>ORD8426297</t>
  </si>
  <si>
    <t>OI001676</t>
  </si>
  <si>
    <t>OI001675</t>
  </si>
  <si>
    <t>OI001674</t>
  </si>
  <si>
    <t>ORD6349555</t>
  </si>
  <si>
    <t>OI001673</t>
  </si>
  <si>
    <t>OI001672</t>
  </si>
  <si>
    <t>ORD2532752</t>
  </si>
  <si>
    <t>OI001671</t>
  </si>
  <si>
    <t>OI001670</t>
  </si>
  <si>
    <t>ORD9773624</t>
  </si>
  <si>
    <t>OI001669</t>
  </si>
  <si>
    <t>OI001668</t>
  </si>
  <si>
    <t>ORD9793246</t>
  </si>
  <si>
    <t>OI001667</t>
  </si>
  <si>
    <t>OI001666</t>
  </si>
  <si>
    <t>OI001665</t>
  </si>
  <si>
    <t>ORD6743965</t>
  </si>
  <si>
    <t>OI001664</t>
  </si>
  <si>
    <t>OI001663</t>
  </si>
  <si>
    <t>ORD3859007</t>
  </si>
  <si>
    <t>OI001662</t>
  </si>
  <si>
    <t>OI001661</t>
  </si>
  <si>
    <t>OI001660</t>
  </si>
  <si>
    <t>ORD5904531</t>
  </si>
  <si>
    <t>OI001659</t>
  </si>
  <si>
    <t>OI001658</t>
  </si>
  <si>
    <t>ORD7221849</t>
  </si>
  <si>
    <t>OI001657</t>
  </si>
  <si>
    <t>OI001656</t>
  </si>
  <si>
    <t>ORD5105861</t>
  </si>
  <si>
    <t>OI001655</t>
  </si>
  <si>
    <t>OI001654</t>
  </si>
  <si>
    <t>ORD5404004</t>
  </si>
  <si>
    <t>OI001653</t>
  </si>
  <si>
    <t>OI001652</t>
  </si>
  <si>
    <t>OI001651</t>
  </si>
  <si>
    <t>ORD9066612</t>
  </si>
  <si>
    <t>OI001650</t>
  </si>
  <si>
    <t>OI001649</t>
  </si>
  <si>
    <t>ORD8888801</t>
  </si>
  <si>
    <t>OI001648</t>
  </si>
  <si>
    <t>ORD8741111</t>
  </si>
  <si>
    <t>OI001647</t>
  </si>
  <si>
    <t>OI001646</t>
  </si>
  <si>
    <t>ORD5015044</t>
  </si>
  <si>
    <t>OI001645</t>
  </si>
  <si>
    <t>OI001644</t>
  </si>
  <si>
    <t>ORD5193310</t>
  </si>
  <si>
    <t>OI001643</t>
  </si>
  <si>
    <t>OI001642</t>
  </si>
  <si>
    <t>OI001641</t>
  </si>
  <si>
    <t>ORD8014552</t>
  </si>
  <si>
    <t>OI001640</t>
  </si>
  <si>
    <t>ORD7579577</t>
  </si>
  <si>
    <t>OI001639</t>
  </si>
  <si>
    <t>OI001638</t>
  </si>
  <si>
    <t>OI001637</t>
  </si>
  <si>
    <t>ORD3669548</t>
  </si>
  <si>
    <t>OI001636</t>
  </si>
  <si>
    <t>OI001635</t>
  </si>
  <si>
    <t>OI001634</t>
  </si>
  <si>
    <t>ORD7969137</t>
  </si>
  <si>
    <t>OI001633</t>
  </si>
  <si>
    <t>OI001632</t>
  </si>
  <si>
    <t>OI001631</t>
  </si>
  <si>
    <t>ORD2318832</t>
  </si>
  <si>
    <t>OI001630</t>
  </si>
  <si>
    <t>OI001629</t>
  </si>
  <si>
    <t>OI001628</t>
  </si>
  <si>
    <t>ORD6753758</t>
  </si>
  <si>
    <t>OI001627</t>
  </si>
  <si>
    <t>OI001626</t>
  </si>
  <si>
    <t>ORD1303213</t>
  </si>
  <si>
    <t>OI001625</t>
  </si>
  <si>
    <t>OI001624</t>
  </si>
  <si>
    <t>ORD5780038</t>
  </si>
  <si>
    <t>OI001623</t>
  </si>
  <si>
    <t>ORD5089486</t>
  </si>
  <si>
    <t>OI001622</t>
  </si>
  <si>
    <t>OI001621</t>
  </si>
  <si>
    <t>ORD6066483</t>
  </si>
  <si>
    <t>OI001620</t>
  </si>
  <si>
    <t>OI001619</t>
  </si>
  <si>
    <t>ORD9783858</t>
  </si>
  <si>
    <t>OI001618</t>
  </si>
  <si>
    <t>OI001617</t>
  </si>
  <si>
    <t>ORD7647377</t>
  </si>
  <si>
    <t>OI001616</t>
  </si>
  <si>
    <t>OI001615</t>
  </si>
  <si>
    <t>ORD7158985</t>
  </si>
  <si>
    <t>OI001614</t>
  </si>
  <si>
    <t>OI001613</t>
  </si>
  <si>
    <t>OI001612</t>
  </si>
  <si>
    <t>OI001611</t>
  </si>
  <si>
    <t>ORD8114632</t>
  </si>
  <si>
    <t>OI001610</t>
  </si>
  <si>
    <t>OI001609</t>
  </si>
  <si>
    <t>OI001608</t>
  </si>
  <si>
    <t>ORD6082733</t>
  </si>
  <si>
    <t>OI001607</t>
  </si>
  <si>
    <t>OI001606</t>
  </si>
  <si>
    <t>ORD2386477</t>
  </si>
  <si>
    <t>OI001605</t>
  </si>
  <si>
    <t>OI001604</t>
  </si>
  <si>
    <t>OI001603</t>
  </si>
  <si>
    <t>ORD7443567</t>
  </si>
  <si>
    <t>OI001602</t>
  </si>
  <si>
    <t>OI001601</t>
  </si>
  <si>
    <t>ORD4945289</t>
  </si>
  <si>
    <t>OI001600</t>
  </si>
  <si>
    <t>OI001599</t>
  </si>
  <si>
    <t>ORD3240199</t>
  </si>
  <si>
    <t>OI001598</t>
  </si>
  <si>
    <t>OI001597</t>
  </si>
  <si>
    <t>OI001596</t>
  </si>
  <si>
    <t>ORD3586005</t>
  </si>
  <si>
    <t>OI001595</t>
  </si>
  <si>
    <t>OI001594</t>
  </si>
  <si>
    <t>OI001593</t>
  </si>
  <si>
    <t>OI001592</t>
  </si>
  <si>
    <t>ORD3773979</t>
  </si>
  <si>
    <t>OI001591</t>
  </si>
  <si>
    <t>ORD9593363</t>
  </si>
  <si>
    <t>OI001590</t>
  </si>
  <si>
    <t>OI001589</t>
  </si>
  <si>
    <t>OI001588</t>
  </si>
  <si>
    <t>OI001587</t>
  </si>
  <si>
    <t>ORD7699704</t>
  </si>
  <si>
    <t>OI001586</t>
  </si>
  <si>
    <t>OI001585</t>
  </si>
  <si>
    <t>OI001584</t>
  </si>
  <si>
    <t>OI001583</t>
  </si>
  <si>
    <t>ORD2755114</t>
  </si>
  <si>
    <t>OI001582</t>
  </si>
  <si>
    <t>OI001581</t>
  </si>
  <si>
    <t>OI001580</t>
  </si>
  <si>
    <t>OI001579</t>
  </si>
  <si>
    <t>ORD5332109</t>
  </si>
  <si>
    <t>OI001578</t>
  </si>
  <si>
    <t>OI001577</t>
  </si>
  <si>
    <t>ORD7470648</t>
  </si>
  <si>
    <t>OI001576</t>
  </si>
  <si>
    <t>OI001575</t>
  </si>
  <si>
    <t>OI001574</t>
  </si>
  <si>
    <t>ORD8375236</t>
  </si>
  <si>
    <t>OI001573</t>
  </si>
  <si>
    <t>ORD6209108</t>
  </si>
  <si>
    <t>OI001572</t>
  </si>
  <si>
    <t>ORD3840983</t>
  </si>
  <si>
    <t>OI001571</t>
  </si>
  <si>
    <t>OI001570</t>
  </si>
  <si>
    <t>ORD2974922</t>
  </si>
  <si>
    <t>OI001569</t>
  </si>
  <si>
    <t>OI001568</t>
  </si>
  <si>
    <t>ORD3895499</t>
  </si>
  <si>
    <t>OI001567</t>
  </si>
  <si>
    <t>ORD7144765</t>
  </si>
  <si>
    <t>OI001566</t>
  </si>
  <si>
    <t>ORD8438648</t>
  </si>
  <si>
    <t>OI001565</t>
  </si>
  <si>
    <t>OI001564</t>
  </si>
  <si>
    <t>ORD1640782</t>
  </si>
  <si>
    <t>OI001563</t>
  </si>
  <si>
    <t>ORD5245272</t>
  </si>
  <si>
    <t>OI001562</t>
  </si>
  <si>
    <t>OI001561</t>
  </si>
  <si>
    <t>OI001560</t>
  </si>
  <si>
    <t>ORD6207491</t>
  </si>
  <si>
    <t>OI001559</t>
  </si>
  <si>
    <t>ORD6804775</t>
  </si>
  <si>
    <t>OI001558</t>
  </si>
  <si>
    <t>OI001557</t>
  </si>
  <si>
    <t>ORD4588635</t>
  </si>
  <si>
    <t>OI001556</t>
  </si>
  <si>
    <t>OI001555</t>
  </si>
  <si>
    <t>OI001554</t>
  </si>
  <si>
    <t>ORD8376757</t>
  </si>
  <si>
    <t>OI001553</t>
  </si>
  <si>
    <t>OI001552</t>
  </si>
  <si>
    <t>OI001551</t>
  </si>
  <si>
    <t>ORD5651273</t>
  </si>
  <si>
    <t>OI001550</t>
  </si>
  <si>
    <t>OI001549</t>
  </si>
  <si>
    <t>OI001548</t>
  </si>
  <si>
    <t>ORD7765720</t>
  </si>
  <si>
    <t>OI001547</t>
  </si>
  <si>
    <t>OI001546</t>
  </si>
  <si>
    <t>OI001545</t>
  </si>
  <si>
    <t>ORD8863382</t>
  </si>
  <si>
    <t>OI001544</t>
  </si>
  <si>
    <t>OI001543</t>
  </si>
  <si>
    <t>ORD3270615</t>
  </si>
  <si>
    <t>OI001542</t>
  </si>
  <si>
    <t>OI001541</t>
  </si>
  <si>
    <t>OI001540</t>
  </si>
  <si>
    <t>ORD3784106</t>
  </si>
  <si>
    <t>OI001539</t>
  </si>
  <si>
    <t>OI001538</t>
  </si>
  <si>
    <t>ORD8015348</t>
  </si>
  <si>
    <t>OI001537</t>
  </si>
  <si>
    <t>ORD3135445</t>
  </si>
  <si>
    <t>OI001536</t>
  </si>
  <si>
    <t>OI001535</t>
  </si>
  <si>
    <t>ORD9199476</t>
  </si>
  <si>
    <t>OI001534</t>
  </si>
  <si>
    <t>OI001533</t>
  </si>
  <si>
    <t>ORD7764490</t>
  </si>
  <si>
    <t>OI001532</t>
  </si>
  <si>
    <t>OI001531</t>
  </si>
  <si>
    <t>OI001530</t>
  </si>
  <si>
    <t>OI001529</t>
  </si>
  <si>
    <t>ORD8500846</t>
  </si>
  <si>
    <t>OI001528</t>
  </si>
  <si>
    <t>OI001527</t>
  </si>
  <si>
    <t>ORD5771825</t>
  </si>
  <si>
    <t>OI001526</t>
  </si>
  <si>
    <t>OI001525</t>
  </si>
  <si>
    <t>ORD6237674</t>
  </si>
  <si>
    <t>OI001524</t>
  </si>
  <si>
    <t>OI001523</t>
  </si>
  <si>
    <t>ORD7723485</t>
  </si>
  <si>
    <t>OI001522</t>
  </si>
  <si>
    <t>OI001521</t>
  </si>
  <si>
    <t>OI001520</t>
  </si>
  <si>
    <t>OI001519</t>
  </si>
  <si>
    <t>ORD9834133</t>
  </si>
  <si>
    <t>OI001518</t>
  </si>
  <si>
    <t>OI001517</t>
  </si>
  <si>
    <t>ORD3633903</t>
  </si>
  <si>
    <t>OI001516</t>
  </si>
  <si>
    <t>OI001515</t>
  </si>
  <si>
    <t>ORD6531182</t>
  </si>
  <si>
    <t>OI001514</t>
  </si>
  <si>
    <t>OI001513</t>
  </si>
  <si>
    <t>OI001512</t>
  </si>
  <si>
    <t>ORD1916595</t>
  </si>
  <si>
    <t>OI001511</t>
  </si>
  <si>
    <t>OI001510</t>
  </si>
  <si>
    <t>ORD5880999</t>
  </si>
  <si>
    <t>OI001509</t>
  </si>
  <si>
    <t>OI001508</t>
  </si>
  <si>
    <t>ORD8128056</t>
  </si>
  <si>
    <t>OI001507</t>
  </si>
  <si>
    <t>OI001506</t>
  </si>
  <si>
    <t>ORD4020978</t>
  </si>
  <si>
    <t>OI001505</t>
  </si>
  <si>
    <t>OI001504</t>
  </si>
  <si>
    <t>OI001503</t>
  </si>
  <si>
    <t>OI001502</t>
  </si>
  <si>
    <t>ORD2488335</t>
  </si>
  <si>
    <t>OI001501</t>
  </si>
  <si>
    <t>OI001500</t>
  </si>
  <si>
    <t>OI001499</t>
  </si>
  <si>
    <t>OI001498</t>
  </si>
  <si>
    <t>ORD1597875</t>
  </si>
  <si>
    <t>OI001497</t>
  </si>
  <si>
    <t>OI001496</t>
  </si>
  <si>
    <t>ORD5632324</t>
  </si>
  <si>
    <t>OI001495</t>
  </si>
  <si>
    <t>OI001494</t>
  </si>
  <si>
    <t>OI001493</t>
  </si>
  <si>
    <t>ORD8252219</t>
  </si>
  <si>
    <t>OI001492</t>
  </si>
  <si>
    <t>OI001491</t>
  </si>
  <si>
    <t>ORD9193420</t>
  </si>
  <si>
    <t>OI001490</t>
  </si>
  <si>
    <t>OI001489</t>
  </si>
  <si>
    <t>ORD5674614</t>
  </si>
  <si>
    <t>OI001488</t>
  </si>
  <si>
    <t>ORD6274209</t>
  </si>
  <si>
    <t>OI001487</t>
  </si>
  <si>
    <t>OI001486</t>
  </si>
  <si>
    <t>ORD8158662</t>
  </si>
  <si>
    <t>OI001485</t>
  </si>
  <si>
    <t>OI001484</t>
  </si>
  <si>
    <t>ORD8608923</t>
  </si>
  <si>
    <t>OI001483</t>
  </si>
  <si>
    <t>OI001482</t>
  </si>
  <si>
    <t>ORD7859779</t>
  </si>
  <si>
    <t>OI001481</t>
  </si>
  <si>
    <t>OI001480</t>
  </si>
  <si>
    <t>OI001479</t>
  </si>
  <si>
    <t>ORD9880342</t>
  </si>
  <si>
    <t>OI001478</t>
  </si>
  <si>
    <t>OI001477</t>
  </si>
  <si>
    <t>OI001476</t>
  </si>
  <si>
    <t>OI001475</t>
  </si>
  <si>
    <t>ORD1260252</t>
  </si>
  <si>
    <t>OI001474</t>
  </si>
  <si>
    <t>OI001473</t>
  </si>
  <si>
    <t>ORD6730623</t>
  </si>
  <si>
    <t>OI001472</t>
  </si>
  <si>
    <t>ORD9483289</t>
  </si>
  <si>
    <t>OI001471</t>
  </si>
  <si>
    <t>OI001470</t>
  </si>
  <si>
    <t>OI001469</t>
  </si>
  <si>
    <t>OI001468</t>
  </si>
  <si>
    <t>ORD5916819</t>
  </si>
  <si>
    <t>OI001467</t>
  </si>
  <si>
    <t>OI001466</t>
  </si>
  <si>
    <t>ORD2316088</t>
  </si>
  <si>
    <t>OI001465</t>
  </si>
  <si>
    <t>OI001464</t>
  </si>
  <si>
    <t>OI001463</t>
  </si>
  <si>
    <t>ORD1748441</t>
  </si>
  <si>
    <t>OI001462</t>
  </si>
  <si>
    <t>OI001461</t>
  </si>
  <si>
    <t>OI001460</t>
  </si>
  <si>
    <t>OI001459</t>
  </si>
  <si>
    <t>ORD5749368</t>
  </si>
  <si>
    <t>OI001458</t>
  </si>
  <si>
    <t>ORD6927978</t>
  </si>
  <si>
    <t>OI001457</t>
  </si>
  <si>
    <t>OI001456</t>
  </si>
  <si>
    <t>OI001455</t>
  </si>
  <si>
    <t>ORD3927545</t>
  </si>
  <si>
    <t>OI001454</t>
  </si>
  <si>
    <t>OI001453</t>
  </si>
  <si>
    <t>OI001452</t>
  </si>
  <si>
    <t>ORD8825556</t>
  </si>
  <si>
    <t>OI001451</t>
  </si>
  <si>
    <t>OI001450</t>
  </si>
  <si>
    <t>OI001449</t>
  </si>
  <si>
    <t>OI001448</t>
  </si>
  <si>
    <t>ORD7620309</t>
  </si>
  <si>
    <t>OI001447</t>
  </si>
  <si>
    <t>OI001446</t>
  </si>
  <si>
    <t>OI001445</t>
  </si>
  <si>
    <t>ORD9705913</t>
  </si>
  <si>
    <t>OI001444</t>
  </si>
  <si>
    <t>OI001443</t>
  </si>
  <si>
    <t>ORD8282586</t>
  </si>
  <si>
    <t>OI001442</t>
  </si>
  <si>
    <t>OI001441</t>
  </si>
  <si>
    <t>OI001440</t>
  </si>
  <si>
    <t>ORD7364050</t>
  </si>
  <si>
    <t>OI001439</t>
  </si>
  <si>
    <t>OI001438</t>
  </si>
  <si>
    <t>OI001437</t>
  </si>
  <si>
    <t>ORD1566334</t>
  </si>
  <si>
    <t>OI001436</t>
  </si>
  <si>
    <t>OI001435</t>
  </si>
  <si>
    <t>ORD3300684</t>
  </si>
  <si>
    <t>OI001434</t>
  </si>
  <si>
    <t>OI001433</t>
  </si>
  <si>
    <t>ORD7156124</t>
  </si>
  <si>
    <t>OI001432</t>
  </si>
  <si>
    <t>OI001431</t>
  </si>
  <si>
    <t>ORD3053134</t>
  </si>
  <si>
    <t>OI001430</t>
  </si>
  <si>
    <t>ORD5193002</t>
  </si>
  <si>
    <t>OI001429</t>
  </si>
  <si>
    <t>ORD8347629</t>
  </si>
  <si>
    <t>OI001428</t>
  </si>
  <si>
    <t>OI001427</t>
  </si>
  <si>
    <t>OI001426</t>
  </si>
  <si>
    <t>OI001425</t>
  </si>
  <si>
    <t>ORD4821097</t>
  </si>
  <si>
    <t>OI001424</t>
  </si>
  <si>
    <t>OI001423</t>
  </si>
  <si>
    <t>OI001422</t>
  </si>
  <si>
    <t>OI001421</t>
  </si>
  <si>
    <t>ORD1593277</t>
  </si>
  <si>
    <t>OI001420</t>
  </si>
  <si>
    <t>OI001419</t>
  </si>
  <si>
    <t>OI001418</t>
  </si>
  <si>
    <t>OI001417</t>
  </si>
  <si>
    <t>ORD1996431</t>
  </si>
  <si>
    <t>OI001416</t>
  </si>
  <si>
    <t>OI001415</t>
  </si>
  <si>
    <t>ORD9389396</t>
  </si>
  <si>
    <t>OI001414</t>
  </si>
  <si>
    <t>OI001413</t>
  </si>
  <si>
    <t>ORD4868381</t>
  </si>
  <si>
    <t>OI001412</t>
  </si>
  <si>
    <t>OI001411</t>
  </si>
  <si>
    <t>OI001410</t>
  </si>
  <si>
    <t>ORD9324443</t>
  </si>
  <si>
    <t>OI001409</t>
  </si>
  <si>
    <t>OI001408</t>
  </si>
  <si>
    <t>OI001407</t>
  </si>
  <si>
    <t>OI001406</t>
  </si>
  <si>
    <t>ORD1406730</t>
  </si>
  <si>
    <t>OI001405</t>
  </si>
  <si>
    <t>OI001404</t>
  </si>
  <si>
    <t>ORD6388157</t>
  </si>
  <si>
    <t>OI001403</t>
  </si>
  <si>
    <t>OI001402</t>
  </si>
  <si>
    <t>OI001401</t>
  </si>
  <si>
    <t>ORD8047372</t>
  </si>
  <si>
    <t>OI001400</t>
  </si>
  <si>
    <t>ORD2619679</t>
  </si>
  <si>
    <t>OI001399</t>
  </si>
  <si>
    <t>OI001398</t>
  </si>
  <si>
    <t>ORD4026182</t>
  </si>
  <si>
    <t>OI001397</t>
  </si>
  <si>
    <t>OI001396</t>
  </si>
  <si>
    <t>OI001395</t>
  </si>
  <si>
    <t>ORD6903348</t>
  </si>
  <si>
    <t>OI001394</t>
  </si>
  <si>
    <t>OI001393</t>
  </si>
  <si>
    <t>ORD8457126</t>
  </si>
  <si>
    <t>OI001392</t>
  </si>
  <si>
    <t>OI001391</t>
  </si>
  <si>
    <t>OI001390</t>
  </si>
  <si>
    <t>OI001389</t>
  </si>
  <si>
    <t>ORD5856148</t>
  </si>
  <si>
    <t>OI001388</t>
  </si>
  <si>
    <t>OI001387</t>
  </si>
  <si>
    <t>OI001386</t>
  </si>
  <si>
    <t>ORD5366631</t>
  </si>
  <si>
    <t>OI001385</t>
  </si>
  <si>
    <t>OI001384</t>
  </si>
  <si>
    <t>OI001383</t>
  </si>
  <si>
    <t>ORD2738237</t>
  </si>
  <si>
    <t>OI001382</t>
  </si>
  <si>
    <t>ORD3288458</t>
  </si>
  <si>
    <t>OI001381</t>
  </si>
  <si>
    <t>OI001380</t>
  </si>
  <si>
    <t>OI001379</t>
  </si>
  <si>
    <t>ORD5875071</t>
  </si>
  <si>
    <t>OI001378</t>
  </si>
  <si>
    <t>OI001377</t>
  </si>
  <si>
    <t>ORD5921482</t>
  </si>
  <si>
    <t>OI001376</t>
  </si>
  <si>
    <t>OI001375</t>
  </si>
  <si>
    <t>OI001374</t>
  </si>
  <si>
    <t>ORD8054914</t>
  </si>
  <si>
    <t>OI001373</t>
  </si>
  <si>
    <t>OI001372</t>
  </si>
  <si>
    <t>ORD8736886</t>
  </si>
  <si>
    <t>OI001371</t>
  </si>
  <si>
    <t>OI001370</t>
  </si>
  <si>
    <t>ORD6067099</t>
  </si>
  <si>
    <t>OI001369</t>
  </si>
  <si>
    <t>OI001368</t>
  </si>
  <si>
    <t>ORD3393173</t>
  </si>
  <si>
    <t>OI001367</t>
  </si>
  <si>
    <t>OI001366</t>
  </si>
  <si>
    <t>ORD3070908</t>
  </si>
  <si>
    <t>OI001365</t>
  </si>
  <si>
    <t>OI001364</t>
  </si>
  <si>
    <t>ORD5838692</t>
  </si>
  <si>
    <t>OI001363</t>
  </si>
  <si>
    <t>OI001362</t>
  </si>
  <si>
    <t>OI001361</t>
  </si>
  <si>
    <t>OI001360</t>
  </si>
  <si>
    <t>ORD6852648</t>
  </si>
  <si>
    <t>OI001359</t>
  </si>
  <si>
    <t>OI001358</t>
  </si>
  <si>
    <t>ORD8226291</t>
  </si>
  <si>
    <t>OI001357</t>
  </si>
  <si>
    <t>OI001356</t>
  </si>
  <si>
    <t>ORD6599209</t>
  </si>
  <si>
    <t>OI001355</t>
  </si>
  <si>
    <t>OI001354</t>
  </si>
  <si>
    <t>OI001353</t>
  </si>
  <si>
    <t>ORD9441397</t>
  </si>
  <si>
    <t>OI001352</t>
  </si>
  <si>
    <t>OI001351</t>
  </si>
  <si>
    <t>OI001350</t>
  </si>
  <si>
    <t>ORD1349416</t>
  </si>
  <si>
    <t>OI001349</t>
  </si>
  <si>
    <t>OI001348</t>
  </si>
  <si>
    <t>OI001347</t>
  </si>
  <si>
    <t>OI001346</t>
  </si>
  <si>
    <t>ORD9442968</t>
  </si>
  <si>
    <t>OI001345</t>
  </si>
  <si>
    <t>OI001344</t>
  </si>
  <si>
    <t>ORD5621443</t>
  </si>
  <si>
    <t>OI001343</t>
  </si>
  <si>
    <t>OI001342</t>
  </si>
  <si>
    <t>OI001341</t>
  </si>
  <si>
    <t>OI001340</t>
  </si>
  <si>
    <t>ORD9884588</t>
  </si>
  <si>
    <t>OI001339</t>
  </si>
  <si>
    <t>OI001338</t>
  </si>
  <si>
    <t>ORD7659346</t>
  </si>
  <si>
    <t>OI001337</t>
  </si>
  <si>
    <t>OI001336</t>
  </si>
  <si>
    <t>ORD2798071</t>
  </si>
  <si>
    <t>OI001335</t>
  </si>
  <si>
    <t>OI001334</t>
  </si>
  <si>
    <t>ORD9464296</t>
  </si>
  <si>
    <t>OI001333</t>
  </si>
  <si>
    <t>OI001332</t>
  </si>
  <si>
    <t>OI001331</t>
  </si>
  <si>
    <t>OI001330</t>
  </si>
  <si>
    <t>ORD2308903</t>
  </si>
  <si>
    <t>OI001329</t>
  </si>
  <si>
    <t>OI001328</t>
  </si>
  <si>
    <t>OI001327</t>
  </si>
  <si>
    <t>OI001326</t>
  </si>
  <si>
    <t>ORD9222577</t>
  </si>
  <si>
    <t>OI001325</t>
  </si>
  <si>
    <t>OI001324</t>
  </si>
  <si>
    <t>ORD8729158</t>
  </si>
  <si>
    <t>OI001323</t>
  </si>
  <si>
    <t>OI001322</t>
  </si>
  <si>
    <t>ORD1082902</t>
  </si>
  <si>
    <t>OI001321</t>
  </si>
  <si>
    <t>OI001320</t>
  </si>
  <si>
    <t>ORD2723751</t>
  </si>
  <si>
    <t>OI001319</t>
  </si>
  <si>
    <t>OI001318</t>
  </si>
  <si>
    <t>ORD6801971</t>
  </si>
  <si>
    <t>OI001317</t>
  </si>
  <si>
    <t>ORD1077963</t>
  </si>
  <si>
    <t>OI001316</t>
  </si>
  <si>
    <t>OI001315</t>
  </si>
  <si>
    <t>ORD6370746</t>
  </si>
  <si>
    <t>OI001314</t>
  </si>
  <si>
    <t>OI001313</t>
  </si>
  <si>
    <t>ORD4559708</t>
  </si>
  <si>
    <t>OI001312</t>
  </si>
  <si>
    <t>OI001311</t>
  </si>
  <si>
    <t>ORD7235425</t>
  </si>
  <si>
    <t>OI001310</t>
  </si>
  <si>
    <t>OI001309</t>
  </si>
  <si>
    <t>ORD9579143</t>
  </si>
  <si>
    <t>OI001308</t>
  </si>
  <si>
    <t>OI001307</t>
  </si>
  <si>
    <t>OI001306</t>
  </si>
  <si>
    <t>ORD3779198</t>
  </si>
  <si>
    <t>OI001305</t>
  </si>
  <si>
    <t>OI001304</t>
  </si>
  <si>
    <t>OI001303</t>
  </si>
  <si>
    <t>OI001302</t>
  </si>
  <si>
    <t>ORD9318172</t>
  </si>
  <si>
    <t>OI001301</t>
  </si>
  <si>
    <t>OI001300</t>
  </si>
  <si>
    <t>ORD4639947</t>
  </si>
  <si>
    <t>OI001299</t>
  </si>
  <si>
    <t>OI001298</t>
  </si>
  <si>
    <t>ORD1527651</t>
  </si>
  <si>
    <t>OI001297</t>
  </si>
  <si>
    <t>OI001296</t>
  </si>
  <si>
    <t>OI001295</t>
  </si>
  <si>
    <t>OI001294</t>
  </si>
  <si>
    <t>ORD2688991</t>
  </si>
  <si>
    <t>OI001293</t>
  </si>
  <si>
    <t>OI001292</t>
  </si>
  <si>
    <t>OI001291</t>
  </si>
  <si>
    <t>ORD3412052</t>
  </si>
  <si>
    <t>OI001290</t>
  </si>
  <si>
    <t>OI001289</t>
  </si>
  <si>
    <t>OI001288</t>
  </si>
  <si>
    <t>ORD3190232</t>
  </si>
  <si>
    <t>OI001287</t>
  </si>
  <si>
    <t>OI001286</t>
  </si>
  <si>
    <t>OI001285</t>
  </si>
  <si>
    <t>ORD1430171</t>
  </si>
  <si>
    <t>OI001284</t>
  </si>
  <si>
    <t>ORD3119470</t>
  </si>
  <si>
    <t>OI001283</t>
  </si>
  <si>
    <t>ORD5057252</t>
  </si>
  <si>
    <t>OI001282</t>
  </si>
  <si>
    <t>OI001281</t>
  </si>
  <si>
    <t>OI001280</t>
  </si>
  <si>
    <t>ORD5437558</t>
  </si>
  <si>
    <t>OI001279</t>
  </si>
  <si>
    <t>OI001278</t>
  </si>
  <si>
    <t>OI001277</t>
  </si>
  <si>
    <t>OI001276</t>
  </si>
  <si>
    <t>ORD4739295</t>
  </si>
  <si>
    <t>OI001275</t>
  </si>
  <si>
    <t>OI001274</t>
  </si>
  <si>
    <t>OI001273</t>
  </si>
  <si>
    <t>ORD2664720</t>
  </si>
  <si>
    <t>OI001272</t>
  </si>
  <si>
    <t>OI001271</t>
  </si>
  <si>
    <t>OI001270</t>
  </si>
  <si>
    <t>ORD8144563</t>
  </si>
  <si>
    <t>OI001269</t>
  </si>
  <si>
    <t>OI001268</t>
  </si>
  <si>
    <t>OI001267</t>
  </si>
  <si>
    <t>OI001266</t>
  </si>
  <si>
    <t>ORD7211871</t>
  </si>
  <si>
    <t>OI001265</t>
  </si>
  <si>
    <t>ORD3109184</t>
  </si>
  <si>
    <t>OI001264</t>
  </si>
  <si>
    <t>OI001263</t>
  </si>
  <si>
    <t>OI001262</t>
  </si>
  <si>
    <t>ORD6310245</t>
  </si>
  <si>
    <t>OI001261</t>
  </si>
  <si>
    <t>OI001260</t>
  </si>
  <si>
    <t>ORD8977556</t>
  </si>
  <si>
    <t>OI001259</t>
  </si>
  <si>
    <t>OI001258</t>
  </si>
  <si>
    <t>OI001257</t>
  </si>
  <si>
    <t>ORD8041764</t>
  </si>
  <si>
    <t>OI001256</t>
  </si>
  <si>
    <t>OI001255</t>
  </si>
  <si>
    <t>ORD7064842</t>
  </si>
  <si>
    <t>OI001254</t>
  </si>
  <si>
    <t>OI001253</t>
  </si>
  <si>
    <t>OI001252</t>
  </si>
  <si>
    <t>ORD6323156</t>
  </si>
  <si>
    <t>OI001251</t>
  </si>
  <si>
    <t>OI001250</t>
  </si>
  <si>
    <t>OI001249</t>
  </si>
  <si>
    <t>ORD2568722</t>
  </si>
  <si>
    <t>OI001248</t>
  </si>
  <si>
    <t>OI001247</t>
  </si>
  <si>
    <t>ORD5409512</t>
  </si>
  <si>
    <t>OI001246</t>
  </si>
  <si>
    <t>OI001245</t>
  </si>
  <si>
    <t>OI001244</t>
  </si>
  <si>
    <t>ORD8416290</t>
  </si>
  <si>
    <t>OI001243</t>
  </si>
  <si>
    <t>OI001242</t>
  </si>
  <si>
    <t>OI001241</t>
  </si>
  <si>
    <t>OI001240</t>
  </si>
  <si>
    <t>ORD6193258</t>
  </si>
  <si>
    <t>OI001239</t>
  </si>
  <si>
    <t>OI001238</t>
  </si>
  <si>
    <t>OI001237</t>
  </si>
  <si>
    <t>OI001236</t>
  </si>
  <si>
    <t>ORD5879512</t>
  </si>
  <si>
    <t>OI001235</t>
  </si>
  <si>
    <t>OI001234</t>
  </si>
  <si>
    <t>OI001233</t>
  </si>
  <si>
    <t>ORD8769633</t>
  </si>
  <si>
    <t>OI001232</t>
  </si>
  <si>
    <t>OI001231</t>
  </si>
  <si>
    <t>OI001230</t>
  </si>
  <si>
    <t>OI001229</t>
  </si>
  <si>
    <t>ORD7833134</t>
  </si>
  <si>
    <t>OI001228</t>
  </si>
  <si>
    <t>ORD1752869</t>
  </si>
  <si>
    <t>OI001227</t>
  </si>
  <si>
    <t>OI001226</t>
  </si>
  <si>
    <t>OI001225</t>
  </si>
  <si>
    <t>OI001224</t>
  </si>
  <si>
    <t>ORD6628280</t>
  </si>
  <si>
    <t>OI001223</t>
  </si>
  <si>
    <t>OI001222</t>
  </si>
  <si>
    <t>ORD7581550</t>
  </si>
  <si>
    <t>OI001221</t>
  </si>
  <si>
    <t>OI001220</t>
  </si>
  <si>
    <t>OI001219</t>
  </si>
  <si>
    <t>OI001218</t>
  </si>
  <si>
    <t>ORD5329433</t>
  </si>
  <si>
    <t>OI001217</t>
  </si>
  <si>
    <t>OI001216</t>
  </si>
  <si>
    <t>ORD8448641</t>
  </si>
  <si>
    <t>OI001215</t>
  </si>
  <si>
    <t>OI001214</t>
  </si>
  <si>
    <t>ORD2237660</t>
  </si>
  <si>
    <t>OI001213</t>
  </si>
  <si>
    <t>OI001212</t>
  </si>
  <si>
    <t>OI001211</t>
  </si>
  <si>
    <t>OI001210</t>
  </si>
  <si>
    <t>ORD8064499</t>
  </si>
  <si>
    <t>OI001209</t>
  </si>
  <si>
    <t>OI001208</t>
  </si>
  <si>
    <t>ORD2463815</t>
  </si>
  <si>
    <t>OI001207</t>
  </si>
  <si>
    <t>OI001206</t>
  </si>
  <si>
    <t>ORD6594616</t>
  </si>
  <si>
    <t>OI001205</t>
  </si>
  <si>
    <t>OI001204</t>
  </si>
  <si>
    <t>OI001203</t>
  </si>
  <si>
    <t>OI001202</t>
  </si>
  <si>
    <t>ORD5672054</t>
  </si>
  <si>
    <t>OI001201</t>
  </si>
  <si>
    <t>ORD7192680</t>
  </si>
  <si>
    <t>OI001200</t>
  </si>
  <si>
    <t>OI001199</t>
  </si>
  <si>
    <t>OI001198</t>
  </si>
  <si>
    <t>OI001197</t>
  </si>
  <si>
    <t>ORD1727239</t>
  </si>
  <si>
    <t>OI001196</t>
  </si>
  <si>
    <t>OI001195</t>
  </si>
  <si>
    <t>ORD2885904</t>
  </si>
  <si>
    <t>OI001194</t>
  </si>
  <si>
    <t>ORD1747019</t>
  </si>
  <si>
    <t>OI001193</t>
  </si>
  <si>
    <t>OI001192</t>
  </si>
  <si>
    <t>OI001191</t>
  </si>
  <si>
    <t>ORD2425479</t>
  </si>
  <si>
    <t>OI001190</t>
  </si>
  <si>
    <t>OI001189</t>
  </si>
  <si>
    <t>ORD1347555</t>
  </si>
  <si>
    <t>OI001188</t>
  </si>
  <si>
    <t>OI001187</t>
  </si>
  <si>
    <t>OI001186</t>
  </si>
  <si>
    <t>OI001185</t>
  </si>
  <si>
    <t>ORD4151566</t>
  </si>
  <si>
    <t>OI001184</t>
  </si>
  <si>
    <t>OI001183</t>
  </si>
  <si>
    <t>ORD9320847</t>
  </si>
  <si>
    <t>OI001182</t>
  </si>
  <si>
    <t>OI001181</t>
  </si>
  <si>
    <t>ORD5317535</t>
  </si>
  <si>
    <t>OI001180</t>
  </si>
  <si>
    <t>OI001179</t>
  </si>
  <si>
    <t>OI001178</t>
  </si>
  <si>
    <t>ORD5947522</t>
  </si>
  <si>
    <t>OI001177</t>
  </si>
  <si>
    <t>OI001176</t>
  </si>
  <si>
    <t>OI001175</t>
  </si>
  <si>
    <t>OI001174</t>
  </si>
  <si>
    <t>ORD4522752</t>
  </si>
  <si>
    <t>OI001173</t>
  </si>
  <si>
    <t>ORD2998223</t>
  </si>
  <si>
    <t>OI001172</t>
  </si>
  <si>
    <t>OI001171</t>
  </si>
  <si>
    <t>ORD3684405</t>
  </si>
  <si>
    <t>OI001170</t>
  </si>
  <si>
    <t>OI001169</t>
  </si>
  <si>
    <t>ORD4190874</t>
  </si>
  <si>
    <t>OI001168</t>
  </si>
  <si>
    <t>OI001167</t>
  </si>
  <si>
    <t>ORD2135960</t>
  </si>
  <si>
    <t>OI001166</t>
  </si>
  <si>
    <t>OI001165</t>
  </si>
  <si>
    <t>ORD3144664</t>
  </si>
  <si>
    <t>OI001164</t>
  </si>
  <si>
    <t>OI001163</t>
  </si>
  <si>
    <t>ORD3019210</t>
  </si>
  <si>
    <t>OI001162</t>
  </si>
  <si>
    <t>OI001161</t>
  </si>
  <si>
    <t>OI001160</t>
  </si>
  <si>
    <t>ORD3186206</t>
  </si>
  <si>
    <t>OI001159</t>
  </si>
  <si>
    <t>OI001158</t>
  </si>
  <si>
    <t>ORD5700293</t>
  </si>
  <si>
    <t>OI001157</t>
  </si>
  <si>
    <t>ORD2846415</t>
  </si>
  <si>
    <t>OI001156</t>
  </si>
  <si>
    <t>OI001155</t>
  </si>
  <si>
    <t>ORD1643681</t>
  </si>
  <si>
    <t>OI001154</t>
  </si>
  <si>
    <t>OI001153</t>
  </si>
  <si>
    <t>OI001152</t>
  </si>
  <si>
    <t>OI001151</t>
  </si>
  <si>
    <t>ORD8200092</t>
  </si>
  <si>
    <t>OI001150</t>
  </si>
  <si>
    <t>OI001149</t>
  </si>
  <si>
    <t>ORD6740173</t>
  </si>
  <si>
    <t>OI001148</t>
  </si>
  <si>
    <t>OI001147</t>
  </si>
  <si>
    <t>OI001146</t>
  </si>
  <si>
    <t>OI001145</t>
  </si>
  <si>
    <t>ORD7523795</t>
  </si>
  <si>
    <t>OI001144</t>
  </si>
  <si>
    <t>ORD1530269</t>
  </si>
  <si>
    <t>OI001143</t>
  </si>
  <si>
    <t>OI001142</t>
  </si>
  <si>
    <t>OI001141</t>
  </si>
  <si>
    <t>ORD8358018</t>
  </si>
  <si>
    <t>OI001140</t>
  </si>
  <si>
    <t>OI001139</t>
  </si>
  <si>
    <t>ORD9628834</t>
  </si>
  <si>
    <t>OI001138</t>
  </si>
  <si>
    <t>OI001137</t>
  </si>
  <si>
    <t>ORD9649141</t>
  </si>
  <si>
    <t>OI001136</t>
  </si>
  <si>
    <t>OI001135</t>
  </si>
  <si>
    <t>OI001134</t>
  </si>
  <si>
    <t>OI001133</t>
  </si>
  <si>
    <t>ORD3860246</t>
  </si>
  <si>
    <t>OI001132</t>
  </si>
  <si>
    <t>OI001131</t>
  </si>
  <si>
    <t>OI001130</t>
  </si>
  <si>
    <t>ORD5097436</t>
  </si>
  <si>
    <t>OI001129</t>
  </si>
  <si>
    <t>OI001128</t>
  </si>
  <si>
    <t>OI001127</t>
  </si>
  <si>
    <t>ORD8113264</t>
  </si>
  <si>
    <t>OI001126</t>
  </si>
  <si>
    <t>OI001125</t>
  </si>
  <si>
    <t>OI001124</t>
  </si>
  <si>
    <t>ORD2512308</t>
  </si>
  <si>
    <t>OI001123</t>
  </si>
  <si>
    <t>ORD6939158</t>
  </si>
  <si>
    <t>OI001122</t>
  </si>
  <si>
    <t>OI001121</t>
  </si>
  <si>
    <t>ORD3120109</t>
  </si>
  <si>
    <t>OI001120</t>
  </si>
  <si>
    <t>OI001119</t>
  </si>
  <si>
    <t>ORD7535788</t>
  </si>
  <si>
    <t>OI001118</t>
  </si>
  <si>
    <t>OI001117</t>
  </si>
  <si>
    <t>ORD3072044</t>
  </si>
  <si>
    <t>OI001116</t>
  </si>
  <si>
    <t>OI001115</t>
  </si>
  <si>
    <t>OI001114</t>
  </si>
  <si>
    <t>ORD7824657</t>
  </si>
  <si>
    <t>OI001113</t>
  </si>
  <si>
    <t>OI001112</t>
  </si>
  <si>
    <t>ORD4231751</t>
  </si>
  <si>
    <t>OI001111</t>
  </si>
  <si>
    <t>OI001110</t>
  </si>
  <si>
    <t>OI001109</t>
  </si>
  <si>
    <t>ORD5277642</t>
  </si>
  <si>
    <t>OI001108</t>
  </si>
  <si>
    <t>OI001107</t>
  </si>
  <si>
    <t>ORD2661097</t>
  </si>
  <si>
    <t>OI001106</t>
  </si>
  <si>
    <t>OI001105</t>
  </si>
  <si>
    <t>ORD3879023</t>
  </si>
  <si>
    <t>OI001104</t>
  </si>
  <si>
    <t>OI001103</t>
  </si>
  <si>
    <t>OI001102</t>
  </si>
  <si>
    <t>OI001101</t>
  </si>
  <si>
    <t>ORD4018851</t>
  </si>
  <si>
    <t>OI001100</t>
  </si>
  <si>
    <t>OI001099</t>
  </si>
  <si>
    <t>OI001098</t>
  </si>
  <si>
    <t>ORD9893395</t>
  </si>
  <si>
    <t>OI001097</t>
  </si>
  <si>
    <t>ORD4038296</t>
  </si>
  <si>
    <t>OI001096</t>
  </si>
  <si>
    <t>OI001095</t>
  </si>
  <si>
    <t>ORD7410589</t>
  </si>
  <si>
    <t>OI001094</t>
  </si>
  <si>
    <t>OI001093</t>
  </si>
  <si>
    <t>OI001092</t>
  </si>
  <si>
    <t>ORD1570305</t>
  </si>
  <si>
    <t>OI001091</t>
  </si>
  <si>
    <t>OI001090</t>
  </si>
  <si>
    <t>ORD3822312</t>
  </si>
  <si>
    <t>OI001089</t>
  </si>
  <si>
    <t>ORD3429724</t>
  </si>
  <si>
    <t>OI001088</t>
  </si>
  <si>
    <t>OI001087</t>
  </si>
  <si>
    <t>ORD2632751</t>
  </si>
  <si>
    <t>OI001086</t>
  </si>
  <si>
    <t>OI001085</t>
  </si>
  <si>
    <t>ORD1361814</t>
  </si>
  <si>
    <t>OI001084</t>
  </si>
  <si>
    <t>OI001083</t>
  </si>
  <si>
    <t>ORD6589238</t>
  </si>
  <si>
    <t>OI001082</t>
  </si>
  <si>
    <t>OI001081</t>
  </si>
  <si>
    <t>OI001080</t>
  </si>
  <si>
    <t>ORD1576194</t>
  </si>
  <si>
    <t>OI001079</t>
  </si>
  <si>
    <t>OI001078</t>
  </si>
  <si>
    <t>ORD3119085</t>
  </si>
  <si>
    <t>OI001077</t>
  </si>
  <si>
    <t>OI001076</t>
  </si>
  <si>
    <t>OI001075</t>
  </si>
  <si>
    <t>ORD6708243</t>
  </si>
  <si>
    <t>OI001074</t>
  </si>
  <si>
    <t>OI001073</t>
  </si>
  <si>
    <t>OI001072</t>
  </si>
  <si>
    <t>OI001071</t>
  </si>
  <si>
    <t>ORD2084932</t>
  </si>
  <si>
    <t>OI001070</t>
  </si>
  <si>
    <t>ORD4697296</t>
  </si>
  <si>
    <t>OI001069</t>
  </si>
  <si>
    <t>OI001068</t>
  </si>
  <si>
    <t>ORD8831655</t>
  </si>
  <si>
    <t>OI001067</t>
  </si>
  <si>
    <t>OI001066</t>
  </si>
  <si>
    <t>OI001065</t>
  </si>
  <si>
    <t>OI001064</t>
  </si>
  <si>
    <t>ORD7456854</t>
  </si>
  <si>
    <t>OI001063</t>
  </si>
  <si>
    <t>OI001062</t>
  </si>
  <si>
    <t>ORD6461406</t>
  </si>
  <si>
    <t>OI001061</t>
  </si>
  <si>
    <t>OI001060</t>
  </si>
  <si>
    <t>ORD9902483</t>
  </si>
  <si>
    <t>OI001059</t>
  </si>
  <si>
    <t>OI001058</t>
  </si>
  <si>
    <t>OI001057</t>
  </si>
  <si>
    <t>OI001056</t>
  </si>
  <si>
    <t>ORD6755884</t>
  </si>
  <si>
    <t>OI001055</t>
  </si>
  <si>
    <t>OI001054</t>
  </si>
  <si>
    <t>OI001053</t>
  </si>
  <si>
    <t>OI001052</t>
  </si>
  <si>
    <t>ORD5464094</t>
  </si>
  <si>
    <t>OI001051</t>
  </si>
  <si>
    <t>OI001050</t>
  </si>
  <si>
    <t>OI001049</t>
  </si>
  <si>
    <t>ORD4219293</t>
  </si>
  <si>
    <t>OI001048</t>
  </si>
  <si>
    <t>OI001047</t>
  </si>
  <si>
    <t>OI001046</t>
  </si>
  <si>
    <t>OI001045</t>
  </si>
  <si>
    <t>ORD5837546</t>
  </si>
  <si>
    <t>OI001044</t>
  </si>
  <si>
    <t>OI001043</t>
  </si>
  <si>
    <t>ORD6777952</t>
  </si>
  <si>
    <t>OI001042</t>
  </si>
  <si>
    <t>OI001041</t>
  </si>
  <si>
    <t>ORD2348021</t>
  </si>
  <si>
    <t>OI001040</t>
  </si>
  <si>
    <t>OI001039</t>
  </si>
  <si>
    <t>OI001038</t>
  </si>
  <si>
    <t>OI001037</t>
  </si>
  <si>
    <t>ORD3472414</t>
  </si>
  <si>
    <t>OI001036</t>
  </si>
  <si>
    <t>OI001035</t>
  </si>
  <si>
    <t>ORD5066006</t>
  </si>
  <si>
    <t>OI001034</t>
  </si>
  <si>
    <t>ORD3723988</t>
  </si>
  <si>
    <t>OI001033</t>
  </si>
  <si>
    <t>OI001032</t>
  </si>
  <si>
    <t>ORD7279004</t>
  </si>
  <si>
    <t>OI001031</t>
  </si>
  <si>
    <t>OI001030</t>
  </si>
  <si>
    <t>ORD3563536</t>
  </si>
  <si>
    <t>OI001029</t>
  </si>
  <si>
    <t>OI001028</t>
  </si>
  <si>
    <t>ORD9072704</t>
  </si>
  <si>
    <t>OI001027</t>
  </si>
  <si>
    <t>OI001026</t>
  </si>
  <si>
    <t>OI001025</t>
  </si>
  <si>
    <t>OI001024</t>
  </si>
  <si>
    <t>ORD4428815</t>
  </si>
  <si>
    <t>OI001023</t>
  </si>
  <si>
    <t>OI001022</t>
  </si>
  <si>
    <t>ORD6396173</t>
  </si>
  <si>
    <t>OI001021</t>
  </si>
  <si>
    <t>OI001020</t>
  </si>
  <si>
    <t>ORD7960756</t>
  </si>
  <si>
    <t>OI001019</t>
  </si>
  <si>
    <t>OI001018</t>
  </si>
  <si>
    <t>OI001017</t>
  </si>
  <si>
    <t>ORD3544610</t>
  </si>
  <si>
    <t>OI001016</t>
  </si>
  <si>
    <t>OI001015</t>
  </si>
  <si>
    <t>ORD9445986</t>
  </si>
  <si>
    <t>OI001014</t>
  </si>
  <si>
    <t>OI001013</t>
  </si>
  <si>
    <t>ORD3230219</t>
  </si>
  <si>
    <t>OI001012</t>
  </si>
  <si>
    <t>OI001011</t>
  </si>
  <si>
    <t>ORD4666842</t>
  </si>
  <si>
    <t>OI001010</t>
  </si>
  <si>
    <t>OI001009</t>
  </si>
  <si>
    <t>ORD2776460</t>
  </si>
  <si>
    <t>OI001008</t>
  </si>
  <si>
    <t>OI001007</t>
  </si>
  <si>
    <t>ORD7973953</t>
  </si>
  <si>
    <t>OI001006</t>
  </si>
  <si>
    <t>ORD1269080</t>
  </si>
  <si>
    <t>OI001005</t>
  </si>
  <si>
    <t>ORD8416504</t>
  </si>
  <si>
    <t>OI001004</t>
  </si>
  <si>
    <t>OI001003</t>
  </si>
  <si>
    <t>OI001002</t>
  </si>
  <si>
    <t>OI001001</t>
  </si>
  <si>
    <t>ORD3707281</t>
  </si>
  <si>
    <t>OI001000</t>
  </si>
  <si>
    <t>OI000999</t>
  </si>
  <si>
    <t>OI000998</t>
  </si>
  <si>
    <t>OI000997</t>
  </si>
  <si>
    <t>ORD1633753</t>
  </si>
  <si>
    <t>OI000996</t>
  </si>
  <si>
    <t>OI000995</t>
  </si>
  <si>
    <t>ORD6469592</t>
  </si>
  <si>
    <t>OI000994</t>
  </si>
  <si>
    <t>OI000993</t>
  </si>
  <si>
    <t>ORD5593203</t>
  </si>
  <si>
    <t>OI000992</t>
  </si>
  <si>
    <t>OI000991</t>
  </si>
  <si>
    <t>ORD3938131</t>
  </si>
  <si>
    <t>OI000990</t>
  </si>
  <si>
    <t>OI000989</t>
  </si>
  <si>
    <t>ORD9236918</t>
  </si>
  <si>
    <t>OI000988</t>
  </si>
  <si>
    <t>OI000987</t>
  </si>
  <si>
    <t>ORD8965487</t>
  </si>
  <si>
    <t>OI000986</t>
  </si>
  <si>
    <t>OI000985</t>
  </si>
  <si>
    <t>OI000984</t>
  </si>
  <si>
    <t>ORD6482325</t>
  </si>
  <si>
    <t>OI000983</t>
  </si>
  <si>
    <t>OI000982</t>
  </si>
  <si>
    <t>ORD1537863</t>
  </si>
  <si>
    <t>OI000981</t>
  </si>
  <si>
    <t>OI000980</t>
  </si>
  <si>
    <t>ORD7557976</t>
  </si>
  <si>
    <t>OI000979</t>
  </si>
  <si>
    <t>OI000978</t>
  </si>
  <si>
    <t>ORD6701271</t>
  </si>
  <si>
    <t>OI000977</t>
  </si>
  <si>
    <t>OI000976</t>
  </si>
  <si>
    <t>ORD2440757</t>
  </si>
  <si>
    <t>OI000975</t>
  </si>
  <si>
    <t>OI000974</t>
  </si>
  <si>
    <t>OI000973</t>
  </si>
  <si>
    <t>ORD1199493</t>
  </si>
  <si>
    <t>OI000972</t>
  </si>
  <si>
    <t>OI000971</t>
  </si>
  <si>
    <t>OI000970</t>
  </si>
  <si>
    <t>ORD5604751</t>
  </si>
  <si>
    <t>OI000969</t>
  </si>
  <si>
    <t>OI000968</t>
  </si>
  <si>
    <t>ORD9418218</t>
  </si>
  <si>
    <t>OI000967</t>
  </si>
  <si>
    <t>OI000966</t>
  </si>
  <si>
    <t>OI000965</t>
  </si>
  <si>
    <t>ORD8148811</t>
  </si>
  <si>
    <t>OI000964</t>
  </si>
  <si>
    <t>OI000963</t>
  </si>
  <si>
    <t>ORD7326402</t>
  </si>
  <si>
    <t>OI000962</t>
  </si>
  <si>
    <t>OI000961</t>
  </si>
  <si>
    <t>ORD7272644</t>
  </si>
  <si>
    <t>OI000960</t>
  </si>
  <si>
    <t>OI000959</t>
  </si>
  <si>
    <t>OI000958</t>
  </si>
  <si>
    <t>ORD5698850</t>
  </si>
  <si>
    <t>OI000957</t>
  </si>
  <si>
    <t>OI000956</t>
  </si>
  <si>
    <t>OI000955</t>
  </si>
  <si>
    <t>OI000954</t>
  </si>
  <si>
    <t>ORD7345068</t>
  </si>
  <si>
    <t>OI000953</t>
  </si>
  <si>
    <t>OI000952</t>
  </si>
  <si>
    <t>ORD2861751</t>
  </si>
  <si>
    <t>OI000951</t>
  </si>
  <si>
    <t>OI000950</t>
  </si>
  <si>
    <t>OI000949</t>
  </si>
  <si>
    <t>OI000948</t>
  </si>
  <si>
    <t>ORD7038275</t>
  </si>
  <si>
    <t>OI000947</t>
  </si>
  <si>
    <t>OI000946</t>
  </si>
  <si>
    <t>OI000945</t>
  </si>
  <si>
    <t>OI000944</t>
  </si>
  <si>
    <t>ORD5010074</t>
  </si>
  <si>
    <t>OI000943</t>
  </si>
  <si>
    <t>OI000942</t>
  </si>
  <si>
    <t>OI000941</t>
  </si>
  <si>
    <t>ORD6513312</t>
  </si>
  <si>
    <t>OI000940</t>
  </si>
  <si>
    <t>ORD4278387</t>
  </si>
  <si>
    <t>OI000939</t>
  </si>
  <si>
    <t>OI000938</t>
  </si>
  <si>
    <t>ORD6178697</t>
  </si>
  <si>
    <t>OI000937</t>
  </si>
  <si>
    <t>OI000936</t>
  </si>
  <si>
    <t>ORD8459558</t>
  </si>
  <si>
    <t>OI000935</t>
  </si>
  <si>
    <t>OI000934</t>
  </si>
  <si>
    <t>ORD6697818</t>
  </si>
  <si>
    <t>OI000933</t>
  </si>
  <si>
    <t>OI000932</t>
  </si>
  <si>
    <t>ORD7399761</t>
  </si>
  <si>
    <t>OI000931</t>
  </si>
  <si>
    <t>ORD2090992</t>
  </si>
  <si>
    <t>OI000930</t>
  </si>
  <si>
    <t>ORD8945295</t>
  </si>
  <si>
    <t>OI000929</t>
  </si>
  <si>
    <t>OI000928</t>
  </si>
  <si>
    <t>OI000927</t>
  </si>
  <si>
    <t>OI000926</t>
  </si>
  <si>
    <t>ORD6523472</t>
  </si>
  <si>
    <t>OI000925</t>
  </si>
  <si>
    <t>ORD5662942</t>
  </si>
  <si>
    <t>OI000924</t>
  </si>
  <si>
    <t>OI000923</t>
  </si>
  <si>
    <t>ORD8615616</t>
  </si>
  <si>
    <t>OI000922</t>
  </si>
  <si>
    <t>OI000921</t>
  </si>
  <si>
    <t>OI000920</t>
  </si>
  <si>
    <t>ORD3944885</t>
  </si>
  <si>
    <t>OI000919</t>
  </si>
  <si>
    <t>OI000918</t>
  </si>
  <si>
    <t>OI000917</t>
  </si>
  <si>
    <t>ORD4710242</t>
  </si>
  <si>
    <t>OI000916</t>
  </si>
  <si>
    <t>OI000915</t>
  </si>
  <si>
    <t>OI000914</t>
  </si>
  <si>
    <t>OI000913</t>
  </si>
  <si>
    <t>ORD4237849</t>
  </si>
  <si>
    <t>OI000912</t>
  </si>
  <si>
    <t>ORD8468826</t>
  </si>
  <si>
    <t>OI000911</t>
  </si>
  <si>
    <t>ORD6510598</t>
  </si>
  <si>
    <t>OI000910</t>
  </si>
  <si>
    <t>OI000909</t>
  </si>
  <si>
    <t>OI000908</t>
  </si>
  <si>
    <t>OI000907</t>
  </si>
  <si>
    <t>ORD8247127</t>
  </si>
  <si>
    <t>OI000906</t>
  </si>
  <si>
    <t>OI000905</t>
  </si>
  <si>
    <t>OI000904</t>
  </si>
  <si>
    <t>ORD9561890</t>
  </si>
  <si>
    <t>OI000903</t>
  </si>
  <si>
    <t>ORD5852800</t>
  </si>
  <si>
    <t>OI000902</t>
  </si>
  <si>
    <t>ORD2407748</t>
  </si>
  <si>
    <t>OI000901</t>
  </si>
  <si>
    <t>OI000900</t>
  </si>
  <si>
    <t>ORD7829609</t>
  </si>
  <si>
    <t>OI000899</t>
  </si>
  <si>
    <t>OI000898</t>
  </si>
  <si>
    <t>ORD7300065</t>
  </si>
  <si>
    <t>OI000897</t>
  </si>
  <si>
    <t>ORD4064676</t>
  </si>
  <si>
    <t>OI000896</t>
  </si>
  <si>
    <t>OI000895</t>
  </si>
  <si>
    <t>OI000894</t>
  </si>
  <si>
    <t>ORD8452933</t>
  </si>
  <si>
    <t>OI000893</t>
  </si>
  <si>
    <t>OI000892</t>
  </si>
  <si>
    <t>OI000891</t>
  </si>
  <si>
    <t>OI000890</t>
  </si>
  <si>
    <t>ORD2428614</t>
  </si>
  <si>
    <t>OI000889</t>
  </si>
  <si>
    <t>OI000888</t>
  </si>
  <si>
    <t>OI000887</t>
  </si>
  <si>
    <t>ORD7633663</t>
  </si>
  <si>
    <t>OI000886</t>
  </si>
  <si>
    <t>OI000885</t>
  </si>
  <si>
    <t>OI000884</t>
  </si>
  <si>
    <t>ORD3228175</t>
  </si>
  <si>
    <t>OI000883</t>
  </si>
  <si>
    <t>ORD9200596</t>
  </si>
  <si>
    <t>OI000882</t>
  </si>
  <si>
    <t>OI000881</t>
  </si>
  <si>
    <t>ORD2975386</t>
  </si>
  <si>
    <t>OI000880</t>
  </si>
  <si>
    <t>OI000879</t>
  </si>
  <si>
    <t>ORD4567549</t>
  </si>
  <si>
    <t>OI000878</t>
  </si>
  <si>
    <t>OI000877</t>
  </si>
  <si>
    <t>ORD9706452</t>
  </si>
  <si>
    <t>OI000876</t>
  </si>
  <si>
    <t>OI000875</t>
  </si>
  <si>
    <t>OI000874</t>
  </si>
  <si>
    <t>OI000873</t>
  </si>
  <si>
    <t>ORD6500359</t>
  </si>
  <si>
    <t>OI000872</t>
  </si>
  <si>
    <t>OI000871</t>
  </si>
  <si>
    <t>OI000870</t>
  </si>
  <si>
    <t>ORD4961055</t>
  </si>
  <si>
    <t>OI000869</t>
  </si>
  <si>
    <t>OI000868</t>
  </si>
  <si>
    <t>OI000867</t>
  </si>
  <si>
    <t>ORD5340101</t>
  </si>
  <si>
    <t>OI000866</t>
  </si>
  <si>
    <t>OI000865</t>
  </si>
  <si>
    <t>OI000864</t>
  </si>
  <si>
    <t>OI000863</t>
  </si>
  <si>
    <t>ORD2413999</t>
  </si>
  <si>
    <t>OI000862</t>
  </si>
  <si>
    <t>OI000861</t>
  </si>
  <si>
    <t>OI000860</t>
  </si>
  <si>
    <t>ORD3463932</t>
  </si>
  <si>
    <t>OI000859</t>
  </si>
  <si>
    <t>OI000858</t>
  </si>
  <si>
    <t>ORD9720433</t>
  </si>
  <si>
    <t>OI000857</t>
  </si>
  <si>
    <t>OI000856</t>
  </si>
  <si>
    <t>ORD2167378</t>
  </si>
  <si>
    <t>OI000855</t>
  </si>
  <si>
    <t>OI000854</t>
  </si>
  <si>
    <t>ORD9886057</t>
  </si>
  <si>
    <t>OI000853</t>
  </si>
  <si>
    <t>OI000852</t>
  </si>
  <si>
    <t>OI000851</t>
  </si>
  <si>
    <t>ORD7975124</t>
  </si>
  <si>
    <t>OI000850</t>
  </si>
  <si>
    <t>OI000849</t>
  </si>
  <si>
    <t>ORD4445809</t>
  </si>
  <si>
    <t>OI000848</t>
  </si>
  <si>
    <t>OI000847</t>
  </si>
  <si>
    <t>ORD2747213</t>
  </si>
  <si>
    <t>OI000846</t>
  </si>
  <si>
    <t>OI000845</t>
  </si>
  <si>
    <t>OI000844</t>
  </si>
  <si>
    <t>ORD8224612</t>
  </si>
  <si>
    <t>OI000843</t>
  </si>
  <si>
    <t>OI000842</t>
  </si>
  <si>
    <t>OI000841</t>
  </si>
  <si>
    <t>ORD7979059</t>
  </si>
  <si>
    <t>OI000840</t>
  </si>
  <si>
    <t>OI000839</t>
  </si>
  <si>
    <t>ORD5922335</t>
  </si>
  <si>
    <t>OI000838</t>
  </si>
  <si>
    <t>OI000837</t>
  </si>
  <si>
    <t>OI000836</t>
  </si>
  <si>
    <t>OI000835</t>
  </si>
  <si>
    <t>ORD9301178</t>
  </si>
  <si>
    <t>OI000834</t>
  </si>
  <si>
    <t>OI000833</t>
  </si>
  <si>
    <t>OI000832</t>
  </si>
  <si>
    <t>OI000831</t>
  </si>
  <si>
    <t>ORD9612679</t>
  </si>
  <si>
    <t>OI000830</t>
  </si>
  <si>
    <t>OI000829</t>
  </si>
  <si>
    <t>OI000828</t>
  </si>
  <si>
    <t>ORD7572195</t>
  </si>
  <si>
    <t>OI000827</t>
  </si>
  <si>
    <t>OI000826</t>
  </si>
  <si>
    <t>ORD2444410</t>
  </si>
  <si>
    <t>OI000825</t>
  </si>
  <si>
    <t>OI000824</t>
  </si>
  <si>
    <t>OI000823</t>
  </si>
  <si>
    <t>ORD3266835</t>
  </si>
  <si>
    <t>OI000822</t>
  </si>
  <si>
    <t>OI000821</t>
  </si>
  <si>
    <t>ORD9004743</t>
  </si>
  <si>
    <t>OI000820</t>
  </si>
  <si>
    <t>OI000819</t>
  </si>
  <si>
    <t>OI000818</t>
  </si>
  <si>
    <t>ORD4541139</t>
  </si>
  <si>
    <t>OI000817</t>
  </si>
  <si>
    <t>ORD8765820</t>
  </si>
  <si>
    <t>OI000816</t>
  </si>
  <si>
    <t>OI000815</t>
  </si>
  <si>
    <t>OI000814</t>
  </si>
  <si>
    <t>ORD2284002</t>
  </si>
  <si>
    <t>OI000813</t>
  </si>
  <si>
    <t>OI000812</t>
  </si>
  <si>
    <t>ORD2408784</t>
  </si>
  <si>
    <t>OI000811</t>
  </si>
  <si>
    <t>OI000810</t>
  </si>
  <si>
    <t>ORD8283088</t>
  </si>
  <si>
    <t>OI000809</t>
  </si>
  <si>
    <t>ORD8253770</t>
  </si>
  <si>
    <t>OI000808</t>
  </si>
  <si>
    <t>OI000807</t>
  </si>
  <si>
    <t>OI000806</t>
  </si>
  <si>
    <t>ORD7691735</t>
  </si>
  <si>
    <t>OI000805</t>
  </si>
  <si>
    <t>OI000804</t>
  </si>
  <si>
    <t>ORD1735630</t>
  </si>
  <si>
    <t>OI000803</t>
  </si>
  <si>
    <t>OI000802</t>
  </si>
  <si>
    <t>OI000801</t>
  </si>
  <si>
    <t>ORD6428072</t>
  </si>
  <si>
    <t>OI000800</t>
  </si>
  <si>
    <t>ORD4563416</t>
  </si>
  <si>
    <t>OI000799</t>
  </si>
  <si>
    <t>OI000798</t>
  </si>
  <si>
    <t>OI000797</t>
  </si>
  <si>
    <t>OI000796</t>
  </si>
  <si>
    <t>ORD9140297</t>
  </si>
  <si>
    <t>OI000795</t>
  </si>
  <si>
    <t>ORD8381800</t>
  </si>
  <si>
    <t>OI000794</t>
  </si>
  <si>
    <t>OI000793</t>
  </si>
  <si>
    <t>ORD7049733</t>
  </si>
  <si>
    <t>OI000792</t>
  </si>
  <si>
    <t>OI000791</t>
  </si>
  <si>
    <t>ORD8853160</t>
  </si>
  <si>
    <t>OI000790</t>
  </si>
  <si>
    <t>ORD1089942</t>
  </si>
  <si>
    <t>OI000789</t>
  </si>
  <si>
    <t>OI000788</t>
  </si>
  <si>
    <t>ORD7433986</t>
  </si>
  <si>
    <t>OI000787</t>
  </si>
  <si>
    <t>OI000786</t>
  </si>
  <si>
    <t>OI000785</t>
  </si>
  <si>
    <t>ORD4026104</t>
  </si>
  <si>
    <t>OI000784</t>
  </si>
  <si>
    <t>OI000783</t>
  </si>
  <si>
    <t>OI000782</t>
  </si>
  <si>
    <t>ORD4766215</t>
  </si>
  <si>
    <t>OI000781</t>
  </si>
  <si>
    <t>OI000780</t>
  </si>
  <si>
    <t>ORD8195804</t>
  </si>
  <si>
    <t>OI000779</t>
  </si>
  <si>
    <t>OI000778</t>
  </si>
  <si>
    <t>ORD7330379</t>
  </si>
  <si>
    <t>OI000777</t>
  </si>
  <si>
    <t>OI000776</t>
  </si>
  <si>
    <t>ORD3182597</t>
  </si>
  <si>
    <t>OI000775</t>
  </si>
  <si>
    <t>OI000774</t>
  </si>
  <si>
    <t>OI000773</t>
  </si>
  <si>
    <t>ORD8604470</t>
  </si>
  <si>
    <t>OI000772</t>
  </si>
  <si>
    <t>OI000771</t>
  </si>
  <si>
    <t>OI000770</t>
  </si>
  <si>
    <t>ORD9249220</t>
  </si>
  <si>
    <t>OI000769</t>
  </si>
  <si>
    <t>OI000768</t>
  </si>
  <si>
    <t>OI000767</t>
  </si>
  <si>
    <t>ORD2514149</t>
  </si>
  <si>
    <t>OI000766</t>
  </si>
  <si>
    <t>OI000765</t>
  </si>
  <si>
    <t>ORD5021093</t>
  </si>
  <si>
    <t>OI000764</t>
  </si>
  <si>
    <t>OI000763</t>
  </si>
  <si>
    <t>OI000762</t>
  </si>
  <si>
    <t>ORD5659599</t>
  </si>
  <si>
    <t>OI000761</t>
  </si>
  <si>
    <t>OI000760</t>
  </si>
  <si>
    <t>ORD7542286</t>
  </si>
  <si>
    <t>OI000759</t>
  </si>
  <si>
    <t>OI000758</t>
  </si>
  <si>
    <t>OI000757</t>
  </si>
  <si>
    <t>ORD9392777</t>
  </si>
  <si>
    <t>OI000756</t>
  </si>
  <si>
    <t>OI000755</t>
  </si>
  <si>
    <t>ORD6266448</t>
  </si>
  <si>
    <t>OI000754</t>
  </si>
  <si>
    <t>OI000753</t>
  </si>
  <si>
    <t>ORD3673591</t>
  </si>
  <si>
    <t>OI000752</t>
  </si>
  <si>
    <t>OI000751</t>
  </si>
  <si>
    <t>ORD3694157</t>
  </si>
  <si>
    <t>OI000750</t>
  </si>
  <si>
    <t>OI000749</t>
  </si>
  <si>
    <t>ORD3478727</t>
  </si>
  <si>
    <t>OI000748</t>
  </si>
  <si>
    <t>OI000747</t>
  </si>
  <si>
    <t>ORD1312111</t>
  </si>
  <si>
    <t>OI000746</t>
  </si>
  <si>
    <t>OI000745</t>
  </si>
  <si>
    <t>OI000744</t>
  </si>
  <si>
    <t>OI000743</t>
  </si>
  <si>
    <t>ORD2128599</t>
  </si>
  <si>
    <t>OI000742</t>
  </si>
  <si>
    <t>OI000741</t>
  </si>
  <si>
    <t>OI000740</t>
  </si>
  <si>
    <t>OI000739</t>
  </si>
  <si>
    <t>ORD5821026</t>
  </si>
  <si>
    <t>OI000738</t>
  </si>
  <si>
    <t>ORD6636598</t>
  </si>
  <si>
    <t>OI000737</t>
  </si>
  <si>
    <t>OI000736</t>
  </si>
  <si>
    <t>ORD8732776</t>
  </si>
  <si>
    <t>OI000735</t>
  </si>
  <si>
    <t>OI000734</t>
  </si>
  <si>
    <t>OI000733</t>
  </si>
  <si>
    <t>ORD6995607</t>
  </si>
  <si>
    <t>OI000732</t>
  </si>
  <si>
    <t>OI000731</t>
  </si>
  <si>
    <t>ORD6918393</t>
  </si>
  <si>
    <t>OI000730</t>
  </si>
  <si>
    <t>OI000729</t>
  </si>
  <si>
    <t>ORD7527687</t>
  </si>
  <si>
    <t>OI000728</t>
  </si>
  <si>
    <t>OI000727</t>
  </si>
  <si>
    <t>OI000726</t>
  </si>
  <si>
    <t>ORD7436241</t>
  </si>
  <si>
    <t>OI000725</t>
  </si>
  <si>
    <t>OI000724</t>
  </si>
  <si>
    <t>ORD8818548</t>
  </si>
  <si>
    <t>OI000723</t>
  </si>
  <si>
    <t>ORD1498677</t>
  </si>
  <si>
    <t>OI000722</t>
  </si>
  <si>
    <t>OI000721</t>
  </si>
  <si>
    <t>OI000720</t>
  </si>
  <si>
    <t>ORD5579723</t>
  </si>
  <si>
    <t>OI000719</t>
  </si>
  <si>
    <t>OI000718</t>
  </si>
  <si>
    <t>ORD3830705</t>
  </si>
  <si>
    <t>OI000717</t>
  </si>
  <si>
    <t>ORD8980532</t>
  </si>
  <si>
    <t>OI000716</t>
  </si>
  <si>
    <t>OI000715</t>
  </si>
  <si>
    <t>ORD5836389</t>
  </si>
  <si>
    <t>OI000714</t>
  </si>
  <si>
    <t>OI000713</t>
  </si>
  <si>
    <t>OI000712</t>
  </si>
  <si>
    <t>ORD4105895</t>
  </si>
  <si>
    <t>OI000711</t>
  </si>
  <si>
    <t>OI000710</t>
  </si>
  <si>
    <t>OI000709</t>
  </si>
  <si>
    <t>ORD1234617</t>
  </si>
  <si>
    <t>OI000708</t>
  </si>
  <si>
    <t>OI000707</t>
  </si>
  <si>
    <t>ORD4355853</t>
  </si>
  <si>
    <t>OI000706</t>
  </si>
  <si>
    <t>OI000705</t>
  </si>
  <si>
    <t>OI000704</t>
  </si>
  <si>
    <t>ORD9614751</t>
  </si>
  <si>
    <t>OI000703</t>
  </si>
  <si>
    <t>ORD3388393</t>
  </si>
  <si>
    <t>OI000702</t>
  </si>
  <si>
    <t>OI000701</t>
  </si>
  <si>
    <t>ORD9044980</t>
  </si>
  <si>
    <t>OI000700</t>
  </si>
  <si>
    <t>OI000699</t>
  </si>
  <si>
    <t>ORD4709668</t>
  </si>
  <si>
    <t>OI000698</t>
  </si>
  <si>
    <t>OI000697</t>
  </si>
  <si>
    <t>OI000696</t>
  </si>
  <si>
    <t>ORD6051155</t>
  </si>
  <si>
    <t>OI000695</t>
  </si>
  <si>
    <t>OI000694</t>
  </si>
  <si>
    <t>OI000693</t>
  </si>
  <si>
    <t>ORD6972425</t>
  </si>
  <si>
    <t>OI000692</t>
  </si>
  <si>
    <t>OI000691</t>
  </si>
  <si>
    <t>ORD5327037</t>
  </si>
  <si>
    <t>OI000690</t>
  </si>
  <si>
    <t>OI000689</t>
  </si>
  <si>
    <t>OI000688</t>
  </si>
  <si>
    <t>OI000687</t>
  </si>
  <si>
    <t>ORD5826621</t>
  </si>
  <si>
    <t>OI000686</t>
  </si>
  <si>
    <t>OI000685</t>
  </si>
  <si>
    <t>ORD6066600</t>
  </si>
  <si>
    <t>OI000684</t>
  </si>
  <si>
    <t>OI000683</t>
  </si>
  <si>
    <t>ORD6627359</t>
  </si>
  <si>
    <t>OI000682</t>
  </si>
  <si>
    <t>OI000681</t>
  </si>
  <si>
    <t>OI000680</t>
  </si>
  <si>
    <t>OI000679</t>
  </si>
  <si>
    <t>ORD7972774</t>
  </si>
  <si>
    <t>OI000678</t>
  </si>
  <si>
    <t>OI000677</t>
  </si>
  <si>
    <t>ORD7057663</t>
  </si>
  <si>
    <t>OI000676</t>
  </si>
  <si>
    <t>OI000675</t>
  </si>
  <si>
    <t>ORD9832094</t>
  </si>
  <si>
    <t>OI000674</t>
  </si>
  <si>
    <t>OI000673</t>
  </si>
  <si>
    <t>OI000672</t>
  </si>
  <si>
    <t>ORD8417300</t>
  </si>
  <si>
    <t>OI000671</t>
  </si>
  <si>
    <t>OI000670</t>
  </si>
  <si>
    <t>OI000669</t>
  </si>
  <si>
    <t>ORD9378825</t>
  </si>
  <si>
    <t>OI000668</t>
  </si>
  <si>
    <t>OI000667</t>
  </si>
  <si>
    <t>OI000666</t>
  </si>
  <si>
    <t>OI000665</t>
  </si>
  <si>
    <t>ORD2961547</t>
  </si>
  <si>
    <t>OI000664</t>
  </si>
  <si>
    <t>OI000663</t>
  </si>
  <si>
    <t>OI000662</t>
  </si>
  <si>
    <t>OI000661</t>
  </si>
  <si>
    <t>ORD6924385</t>
  </si>
  <si>
    <t>OI000660</t>
  </si>
  <si>
    <t>OI000659</t>
  </si>
  <si>
    <t>ORD6474513</t>
  </si>
  <si>
    <t>OI000658</t>
  </si>
  <si>
    <t>OI000657</t>
  </si>
  <si>
    <t>OI000656</t>
  </si>
  <si>
    <t>ORD3215051</t>
  </si>
  <si>
    <t>OI000655</t>
  </si>
  <si>
    <t>OI000654</t>
  </si>
  <si>
    <t>ORD2101048</t>
  </si>
  <si>
    <t>OI000653</t>
  </si>
  <si>
    <t>OI000652</t>
  </si>
  <si>
    <t>OI000651</t>
  </si>
  <si>
    <t>OI000650</t>
  </si>
  <si>
    <t>ORD7254777</t>
  </si>
  <si>
    <t>OI000649</t>
  </si>
  <si>
    <t>OI000648</t>
  </si>
  <si>
    <t>ORD4434507</t>
  </si>
  <si>
    <t>OI000647</t>
  </si>
  <si>
    <t>OI000646</t>
  </si>
  <si>
    <t>OI000645</t>
  </si>
  <si>
    <t>OI000644</t>
  </si>
  <si>
    <t>ORD2358267</t>
  </si>
  <si>
    <t>OI000643</t>
  </si>
  <si>
    <t>OI000642</t>
  </si>
  <si>
    <t>OI000641</t>
  </si>
  <si>
    <t>OI000640</t>
  </si>
  <si>
    <t>ORD7214624</t>
  </si>
  <si>
    <t>OI000639</t>
  </si>
  <si>
    <t>OI000638</t>
  </si>
  <si>
    <t>OI000637</t>
  </si>
  <si>
    <t>ORD1208423</t>
  </si>
  <si>
    <t>OI000636</t>
  </si>
  <si>
    <t>OI000635</t>
  </si>
  <si>
    <t>OI000634</t>
  </si>
  <si>
    <t>OI000633</t>
  </si>
  <si>
    <t>ORD4731363</t>
  </si>
  <si>
    <t>OI000632</t>
  </si>
  <si>
    <t>OI000631</t>
  </si>
  <si>
    <t>OI000630</t>
  </si>
  <si>
    <t>OI000629</t>
  </si>
  <si>
    <t>ORD4853765</t>
  </si>
  <si>
    <t>OI000628</t>
  </si>
  <si>
    <t>OI000627</t>
  </si>
  <si>
    <t>ORD2000789</t>
  </si>
  <si>
    <t>OI000626</t>
  </si>
  <si>
    <t>OI000625</t>
  </si>
  <si>
    <t>ORD1911663</t>
  </si>
  <si>
    <t>OI000624</t>
  </si>
  <si>
    <t>OI000623</t>
  </si>
  <si>
    <t>ORD4947676</t>
  </si>
  <si>
    <t>OI000622</t>
  </si>
  <si>
    <t>OI000621</t>
  </si>
  <si>
    <t>OI000620</t>
  </si>
  <si>
    <t>ORD7110145</t>
  </si>
  <si>
    <t>OI000619</t>
  </si>
  <si>
    <t>OI000618</t>
  </si>
  <si>
    <t>ORD4491484</t>
  </si>
  <si>
    <t>OI000617</t>
  </si>
  <si>
    <t>ORD6053293</t>
  </si>
  <si>
    <t>OI000616</t>
  </si>
  <si>
    <t>OI000615</t>
  </si>
  <si>
    <t>ORD8986164</t>
  </si>
  <si>
    <t>OI000614</t>
  </si>
  <si>
    <t>OI000613</t>
  </si>
  <si>
    <t>ORD7310431</t>
  </si>
  <si>
    <t>OI000612</t>
  </si>
  <si>
    <t>ORD3304005</t>
  </si>
  <si>
    <t>OI000611</t>
  </si>
  <si>
    <t>OI000610</t>
  </si>
  <si>
    <t>OI000609</t>
  </si>
  <si>
    <t>OI000608</t>
  </si>
  <si>
    <t>ORD2073030</t>
  </si>
  <si>
    <t>OI000607</t>
  </si>
  <si>
    <t>ORD2208521</t>
  </si>
  <si>
    <t>OI000606</t>
  </si>
  <si>
    <t>OI000605</t>
  </si>
  <si>
    <t>OI000604</t>
  </si>
  <si>
    <t>ORD9383308</t>
  </si>
  <si>
    <t>OI000603</t>
  </si>
  <si>
    <t>OI000602</t>
  </si>
  <si>
    <t>OI000601</t>
  </si>
  <si>
    <t>OI000600</t>
  </si>
  <si>
    <t>ORD7544871</t>
  </si>
  <si>
    <t>OI000599</t>
  </si>
  <si>
    <t>OI000598</t>
  </si>
  <si>
    <t>OI000597</t>
  </si>
  <si>
    <t>ORD9969540</t>
  </si>
  <si>
    <t>OI000596</t>
  </si>
  <si>
    <t>ORD4789081</t>
  </si>
  <si>
    <t>OI000595</t>
  </si>
  <si>
    <t>OI000594</t>
  </si>
  <si>
    <t>ORD1634776</t>
  </si>
  <si>
    <t>OI000593</t>
  </si>
  <si>
    <t>OI000592</t>
  </si>
  <si>
    <t>ORD2819161</t>
  </si>
  <si>
    <t>OI000591</t>
  </si>
  <si>
    <t>OI000590</t>
  </si>
  <si>
    <t>OI000589</t>
  </si>
  <si>
    <t>ORD5652111</t>
  </si>
  <si>
    <t>OI000588</t>
  </si>
  <si>
    <t>OI000587</t>
  </si>
  <si>
    <t>ORD5250268</t>
  </si>
  <si>
    <t>OI000586</t>
  </si>
  <si>
    <t>OI000585</t>
  </si>
  <si>
    <t>ORD1954320</t>
  </si>
  <si>
    <t>OI000584</t>
  </si>
  <si>
    <t>OI000583</t>
  </si>
  <si>
    <t>OI000582</t>
  </si>
  <si>
    <t>ORD1142206</t>
  </si>
  <si>
    <t>OI000581</t>
  </si>
  <si>
    <t>ORD2648810</t>
  </si>
  <si>
    <t>OI000580</t>
  </si>
  <si>
    <t>OI000579</t>
  </si>
  <si>
    <t>ORD9896176</t>
  </si>
  <si>
    <t>OI000578</t>
  </si>
  <si>
    <t>ORD8990421</t>
  </si>
  <si>
    <t>OI000577</t>
  </si>
  <si>
    <t>OI000576</t>
  </si>
  <si>
    <t>ORD9320631</t>
  </si>
  <si>
    <t>OI000575</t>
  </si>
  <si>
    <t>OI000574</t>
  </si>
  <si>
    <t>OI000573</t>
  </si>
  <si>
    <t>ORD3535634</t>
  </si>
  <si>
    <t>OI000572</t>
  </si>
  <si>
    <t>OI000571</t>
  </si>
  <si>
    <t>ORD1457985</t>
  </si>
  <si>
    <t>OI000570</t>
  </si>
  <si>
    <t>OI000569</t>
  </si>
  <si>
    <t>ORD5942868</t>
  </si>
  <si>
    <t>OI000568</t>
  </si>
  <si>
    <t>OI000567</t>
  </si>
  <si>
    <t>ORD6242875</t>
  </si>
  <si>
    <t>OI000566</t>
  </si>
  <si>
    <t>ORD8800337</t>
  </si>
  <si>
    <t>OI000565</t>
  </si>
  <si>
    <t>ORD7892714</t>
  </si>
  <si>
    <t>OI000564</t>
  </si>
  <si>
    <t>OI000563</t>
  </si>
  <si>
    <t>ORD7976896</t>
  </si>
  <si>
    <t>OI000562</t>
  </si>
  <si>
    <t>OI000561</t>
  </si>
  <si>
    <t>OI000560</t>
  </si>
  <si>
    <t>OI000559</t>
  </si>
  <si>
    <t>ORD8000050</t>
  </si>
  <si>
    <t>OI000558</t>
  </si>
  <si>
    <t>OI000557</t>
  </si>
  <si>
    <t>ORD7027124</t>
  </si>
  <si>
    <t>OI000556</t>
  </si>
  <si>
    <t>OI000555</t>
  </si>
  <si>
    <t>OI000554</t>
  </si>
  <si>
    <t>OI000553</t>
  </si>
  <si>
    <t>ORD2497994</t>
  </si>
  <si>
    <t>OI000552</t>
  </si>
  <si>
    <t>ORD3503436</t>
  </si>
  <si>
    <t>OI000551</t>
  </si>
  <si>
    <t>OI000550</t>
  </si>
  <si>
    <t>OI000549</t>
  </si>
  <si>
    <t>ORD3955709</t>
  </si>
  <si>
    <t>OI000548</t>
  </si>
  <si>
    <t>OI000547</t>
  </si>
  <si>
    <t>OI000546</t>
  </si>
  <si>
    <t>OI000545</t>
  </si>
  <si>
    <t>ORD8233471</t>
  </si>
  <si>
    <t>OI000544</t>
  </si>
  <si>
    <t>OI000543</t>
  </si>
  <si>
    <t>OI000542</t>
  </si>
  <si>
    <t>ORD7806281</t>
  </si>
  <si>
    <t>OI000541</t>
  </si>
  <si>
    <t>OI000540</t>
  </si>
  <si>
    <t>ORD8604827</t>
  </si>
  <si>
    <t>OI000539</t>
  </si>
  <si>
    <t>ORD8808058</t>
  </si>
  <si>
    <t>OI000538</t>
  </si>
  <si>
    <t>OI000537</t>
  </si>
  <si>
    <t>ORD8479891</t>
  </si>
  <si>
    <t>OI000536</t>
  </si>
  <si>
    <t>OI000535</t>
  </si>
  <si>
    <t>ORD8443172</t>
  </si>
  <si>
    <t>OI000534</t>
  </si>
  <si>
    <t>OI000533</t>
  </si>
  <si>
    <t>ORD9624506</t>
  </si>
  <si>
    <t>OI000532</t>
  </si>
  <si>
    <t>OI000531</t>
  </si>
  <si>
    <t>ORD6242557</t>
  </si>
  <si>
    <t>OI000530</t>
  </si>
  <si>
    <t>OI000529</t>
  </si>
  <si>
    <t>ORD9763492</t>
  </si>
  <si>
    <t>OI000528</t>
  </si>
  <si>
    <t>ORD9111313</t>
  </si>
  <si>
    <t>OI000527</t>
  </si>
  <si>
    <t>OI000526</t>
  </si>
  <si>
    <t>ORD4626225</t>
  </si>
  <si>
    <t>OI000525</t>
  </si>
  <si>
    <t>OI000524</t>
  </si>
  <si>
    <t>ORD3784505</t>
  </si>
  <si>
    <t>OI000523</t>
  </si>
  <si>
    <t>OI000522</t>
  </si>
  <si>
    <t>OI000521</t>
  </si>
  <si>
    <t>ORD7944979</t>
  </si>
  <si>
    <t>OI000520</t>
  </si>
  <si>
    <t>OI000519</t>
  </si>
  <si>
    <t>OI000518</t>
  </si>
  <si>
    <t>OI000517</t>
  </si>
  <si>
    <t>ORD3946567</t>
  </si>
  <si>
    <t>OI000516</t>
  </si>
  <si>
    <t>OI000515</t>
  </si>
  <si>
    <t>ORD4562439</t>
  </si>
  <si>
    <t>OI000514</t>
  </si>
  <si>
    <t>OI000513</t>
  </si>
  <si>
    <t>OI000512</t>
  </si>
  <si>
    <t>ORD1026523</t>
  </si>
  <si>
    <t>OI000511</t>
  </si>
  <si>
    <t>ORD5356372</t>
  </si>
  <si>
    <t>OI000510</t>
  </si>
  <si>
    <t>OI000509</t>
  </si>
  <si>
    <t>ORD5603979</t>
  </si>
  <si>
    <t>OI000508</t>
  </si>
  <si>
    <t>OI000507</t>
  </si>
  <si>
    <t>OI000506</t>
  </si>
  <si>
    <t>ORD3976601</t>
  </si>
  <si>
    <t>OI000505</t>
  </si>
  <si>
    <t>OI000504</t>
  </si>
  <si>
    <t>OI000503</t>
  </si>
  <si>
    <t>ORD6855581</t>
  </si>
  <si>
    <t>OI000502</t>
  </si>
  <si>
    <t>OI000501</t>
  </si>
  <si>
    <t>ORD9365828</t>
  </si>
  <si>
    <t>OI000500</t>
  </si>
  <si>
    <t>OI000499</t>
  </si>
  <si>
    <t>OI000498</t>
  </si>
  <si>
    <t>OI000497</t>
  </si>
  <si>
    <t>ORD3426109</t>
  </si>
  <si>
    <t>OI000496</t>
  </si>
  <si>
    <t>OI000495</t>
  </si>
  <si>
    <t>OI000494</t>
  </si>
  <si>
    <t>ORD7089179</t>
  </si>
  <si>
    <t>OI000493</t>
  </si>
  <si>
    <t>OI000492</t>
  </si>
  <si>
    <t>OI000491</t>
  </si>
  <si>
    <t>ORD4387856</t>
  </si>
  <si>
    <t>OI000490</t>
  </si>
  <si>
    <t>ORD1915141</t>
  </si>
  <si>
    <t>OI000489</t>
  </si>
  <si>
    <t>OI000488</t>
  </si>
  <si>
    <t>OI000487</t>
  </si>
  <si>
    <t>OI000486</t>
  </si>
  <si>
    <t>ORD1658532</t>
  </si>
  <si>
    <t>OI000485</t>
  </si>
  <si>
    <t>OI000484</t>
  </si>
  <si>
    <t>ORD6249548</t>
  </si>
  <si>
    <t>OI000483</t>
  </si>
  <si>
    <t>OI000482</t>
  </si>
  <si>
    <t>OI000481</t>
  </si>
  <si>
    <t>ORD4431982</t>
  </si>
  <si>
    <t>OI000480</t>
  </si>
  <si>
    <t>OI000479</t>
  </si>
  <si>
    <t>ORD3249600</t>
  </si>
  <si>
    <t>OI000478</t>
  </si>
  <si>
    <t>OI000477</t>
  </si>
  <si>
    <t>OI000476</t>
  </si>
  <si>
    <t>OI000475</t>
  </si>
  <si>
    <t>ORD5593537</t>
  </si>
  <si>
    <t>OI000474</t>
  </si>
  <si>
    <t>OI000473</t>
  </si>
  <si>
    <t>OI000472</t>
  </si>
  <si>
    <t>ORD3435253</t>
  </si>
  <si>
    <t>OI000471</t>
  </si>
  <si>
    <t>OI000470</t>
  </si>
  <si>
    <t>OI000469</t>
  </si>
  <si>
    <t>OI000468</t>
  </si>
  <si>
    <t>ORD3562705</t>
  </si>
  <si>
    <t>OI000467</t>
  </si>
  <si>
    <t>OI000466</t>
  </si>
  <si>
    <t>OI000465</t>
  </si>
  <si>
    <t>OI000464</t>
  </si>
  <si>
    <t>ORD5323142</t>
  </si>
  <si>
    <t>OI000463</t>
  </si>
  <si>
    <t>OI000462</t>
  </si>
  <si>
    <t>OI000461</t>
  </si>
  <si>
    <t>OI000460</t>
  </si>
  <si>
    <t>ORD1360516</t>
  </si>
  <si>
    <t>OI000459</t>
  </si>
  <si>
    <t>OI000458</t>
  </si>
  <si>
    <t>ORD5907261</t>
  </si>
  <si>
    <t>OI000457</t>
  </si>
  <si>
    <t>OI000456</t>
  </si>
  <si>
    <t>ORD7318411</t>
  </si>
  <si>
    <t>OI000455</t>
  </si>
  <si>
    <t>OI000454</t>
  </si>
  <si>
    <t>OI000453</t>
  </si>
  <si>
    <t>OI000452</t>
  </si>
  <si>
    <t>ORD6119031</t>
  </si>
  <si>
    <t>OI000451</t>
  </si>
  <si>
    <t>OI000450</t>
  </si>
  <si>
    <t>ORD4917305</t>
  </si>
  <si>
    <t>OI000449</t>
  </si>
  <si>
    <t>OI000448</t>
  </si>
  <si>
    <t>OI000447</t>
  </si>
  <si>
    <t>ORD2503148</t>
  </si>
  <si>
    <t>OI000446</t>
  </si>
  <si>
    <t>OI000445</t>
  </si>
  <si>
    <t>OI000444</t>
  </si>
  <si>
    <t>ORD3187332</t>
  </si>
  <si>
    <t>OI000443</t>
  </si>
  <si>
    <t>OI000442</t>
  </si>
  <si>
    <t>ORD9467953</t>
  </si>
  <si>
    <t>OI000441</t>
  </si>
  <si>
    <t>OI000440</t>
  </si>
  <si>
    <t>ORD4803691</t>
  </si>
  <si>
    <t>OI000439</t>
  </si>
  <si>
    <t>OI000438</t>
  </si>
  <si>
    <t>OI000437</t>
  </si>
  <si>
    <t>ORD3900822</t>
  </si>
  <si>
    <t>OI000436</t>
  </si>
  <si>
    <t>OI000435</t>
  </si>
  <si>
    <t>OI000434</t>
  </si>
  <si>
    <t>ORD6966913</t>
  </si>
  <si>
    <t>OI000433</t>
  </si>
  <si>
    <t>OI000432</t>
  </si>
  <si>
    <t>ORD4604128</t>
  </si>
  <si>
    <t>OI000431</t>
  </si>
  <si>
    <t>ORD4589118</t>
  </si>
  <si>
    <t>OI000430</t>
  </si>
  <si>
    <t>OI000429</t>
  </si>
  <si>
    <t>OI000428</t>
  </si>
  <si>
    <t>ORD9467339</t>
  </si>
  <si>
    <t>OI000427</t>
  </si>
  <si>
    <t>OI000426</t>
  </si>
  <si>
    <t>OI000425</t>
  </si>
  <si>
    <t>ORD5173551</t>
  </si>
  <si>
    <t>OI000424</t>
  </si>
  <si>
    <t>OI000423</t>
  </si>
  <si>
    <t>OI000422</t>
  </si>
  <si>
    <t>ORD1978112</t>
  </si>
  <si>
    <t>OI000421</t>
  </si>
  <si>
    <t>OI000420</t>
  </si>
  <si>
    <t>ORD7146400</t>
  </si>
  <si>
    <t>OI000419</t>
  </si>
  <si>
    <t>OI000418</t>
  </si>
  <si>
    <t>OI000417</t>
  </si>
  <si>
    <t>ORD1734460</t>
  </si>
  <si>
    <t>OI000416</t>
  </si>
  <si>
    <t>OI000415</t>
  </si>
  <si>
    <t>ORD5006173</t>
  </si>
  <si>
    <t>OI000414</t>
  </si>
  <si>
    <t>OI000413</t>
  </si>
  <si>
    <t>OI000412</t>
  </si>
  <si>
    <t>ORD2155557</t>
  </si>
  <si>
    <t>OI000411</t>
  </si>
  <si>
    <t>OI000410</t>
  </si>
  <si>
    <t>ORD1662507</t>
  </si>
  <si>
    <t>OI000409</t>
  </si>
  <si>
    <t>OI000408</t>
  </si>
  <si>
    <t>ORD3582322</t>
  </si>
  <si>
    <t>OI000407</t>
  </si>
  <si>
    <t>OI000406</t>
  </si>
  <si>
    <t>OI000405</t>
  </si>
  <si>
    <t>ORD1149818</t>
  </si>
  <si>
    <t>OI000404</t>
  </si>
  <si>
    <t>OI000403</t>
  </si>
  <si>
    <t>ORD6013251</t>
  </si>
  <si>
    <t>OI000402</t>
  </si>
  <si>
    <t>OI000401</t>
  </si>
  <si>
    <t>ORD4341683</t>
  </si>
  <si>
    <t>OI000400</t>
  </si>
  <si>
    <t>OI000399</t>
  </si>
  <si>
    <t>OI000398</t>
  </si>
  <si>
    <t>ORD2197636</t>
  </si>
  <si>
    <t>OI000397</t>
  </si>
  <si>
    <t>OI000396</t>
  </si>
  <si>
    <t>ORD9280890</t>
  </si>
  <si>
    <t>OI000395</t>
  </si>
  <si>
    <t>OI000394</t>
  </si>
  <si>
    <t>ORD8596173</t>
  </si>
  <si>
    <t>OI000393</t>
  </si>
  <si>
    <t>OI000392</t>
  </si>
  <si>
    <t>OI000391</t>
  </si>
  <si>
    <t>ORD5019180</t>
  </si>
  <si>
    <t>OI000390</t>
  </si>
  <si>
    <t>OI000389</t>
  </si>
  <si>
    <t>OI000388</t>
  </si>
  <si>
    <t>ORD8221506</t>
  </si>
  <si>
    <t>OI000387</t>
  </si>
  <si>
    <t>OI000386</t>
  </si>
  <si>
    <t>OI000385</t>
  </si>
  <si>
    <t>ORD5358838</t>
  </si>
  <si>
    <t>OI000384</t>
  </si>
  <si>
    <t>OI000383</t>
  </si>
  <si>
    <t>ORD3970181</t>
  </si>
  <si>
    <t>OI000382</t>
  </si>
  <si>
    <t>OI000381</t>
  </si>
  <si>
    <t>ORD3862327</t>
  </si>
  <si>
    <t>OI000380</t>
  </si>
  <si>
    <t>ORD1903041</t>
  </si>
  <si>
    <t>OI000379</t>
  </si>
  <si>
    <t>OI000378</t>
  </si>
  <si>
    <t>OI000377</t>
  </si>
  <si>
    <t>ORD8554590</t>
  </si>
  <si>
    <t>OI000376</t>
  </si>
  <si>
    <t>OI000375</t>
  </si>
  <si>
    <t>ORD2196955</t>
  </si>
  <si>
    <t>OI000374</t>
  </si>
  <si>
    <t>OI000373</t>
  </si>
  <si>
    <t>ORD9563838</t>
  </si>
  <si>
    <t>OI000372</t>
  </si>
  <si>
    <t>OI000371</t>
  </si>
  <si>
    <t>OI000370</t>
  </si>
  <si>
    <t>ORD7055937</t>
  </si>
  <si>
    <t>OI000369</t>
  </si>
  <si>
    <t>OI000368</t>
  </si>
  <si>
    <t>OI000367</t>
  </si>
  <si>
    <t>ORD9164132</t>
  </si>
  <si>
    <t>OI000366</t>
  </si>
  <si>
    <t>OI000365</t>
  </si>
  <si>
    <t>ORD2675536</t>
  </si>
  <si>
    <t>OI000364</t>
  </si>
  <si>
    <t>OI000363</t>
  </si>
  <si>
    <t>OI000362</t>
  </si>
  <si>
    <t>OI000361</t>
  </si>
  <si>
    <t>ORD6756203</t>
  </si>
  <si>
    <t>OI000360</t>
  </si>
  <si>
    <t>ORD3019442</t>
  </si>
  <si>
    <t>OI000359</t>
  </si>
  <si>
    <t>OI000358</t>
  </si>
  <si>
    <t>ORD9575399</t>
  </si>
  <si>
    <t>OI000357</t>
  </si>
  <si>
    <t>OI000356</t>
  </si>
  <si>
    <t>ORD9265544</t>
  </si>
  <si>
    <t>OI000355</t>
  </si>
  <si>
    <t>ORD4190481</t>
  </si>
  <si>
    <t>OI000354</t>
  </si>
  <si>
    <t>OI000353</t>
  </si>
  <si>
    <t>ORD6297082</t>
  </si>
  <si>
    <t>OI000352</t>
  </si>
  <si>
    <t>OI000351</t>
  </si>
  <si>
    <t>OI000350</t>
  </si>
  <si>
    <t>OI000349</t>
  </si>
  <si>
    <t>ORD5196677</t>
  </si>
  <si>
    <t>OI000348</t>
  </si>
  <si>
    <t>OI000347</t>
  </si>
  <si>
    <t>OI000346</t>
  </si>
  <si>
    <t>ORD5639031</t>
  </si>
  <si>
    <t>OI000345</t>
  </si>
  <si>
    <t>OI000344</t>
  </si>
  <si>
    <t>OI000343</t>
  </si>
  <si>
    <t>ORD5014060</t>
  </si>
  <si>
    <t>OI000342</t>
  </si>
  <si>
    <t>OI000341</t>
  </si>
  <si>
    <t>OI000340</t>
  </si>
  <si>
    <t>OI000339</t>
  </si>
  <si>
    <t>ORD3940561</t>
  </si>
  <si>
    <t>OI000338</t>
  </si>
  <si>
    <t>OI000337</t>
  </si>
  <si>
    <t>ORD3438206</t>
  </si>
  <si>
    <t>OI000336</t>
  </si>
  <si>
    <t>OI000335</t>
  </si>
  <si>
    <t>OI000334</t>
  </si>
  <si>
    <t>ORD4854922</t>
  </si>
  <si>
    <t>OI000333</t>
  </si>
  <si>
    <t>OI000332</t>
  </si>
  <si>
    <t>OI000331</t>
  </si>
  <si>
    <t>ORD5623138</t>
  </si>
  <si>
    <t>OI000330</t>
  </si>
  <si>
    <t>OI000329</t>
  </si>
  <si>
    <t>OI000328</t>
  </si>
  <si>
    <t>ORD9766777</t>
  </si>
  <si>
    <t>OI000327</t>
  </si>
  <si>
    <t>OI000326</t>
  </si>
  <si>
    <t>ORD2639417</t>
  </si>
  <si>
    <t>OI000325</t>
  </si>
  <si>
    <t>OI000324</t>
  </si>
  <si>
    <t>ORD8239315</t>
  </si>
  <si>
    <t>OI000323</t>
  </si>
  <si>
    <t>OI000322</t>
  </si>
  <si>
    <t>ORD8042991</t>
  </si>
  <si>
    <t>OI000321</t>
  </si>
  <si>
    <t>OI000320</t>
  </si>
  <si>
    <t>OI000319</t>
  </si>
  <si>
    <t>ORD4051509</t>
  </si>
  <si>
    <t>OI000318</t>
  </si>
  <si>
    <t>OI000317</t>
  </si>
  <si>
    <t>OI000316</t>
  </si>
  <si>
    <t>ORD4020528</t>
  </si>
  <si>
    <t>OI000315</t>
  </si>
  <si>
    <t>OI000314</t>
  </si>
  <si>
    <t>OI000313</t>
  </si>
  <si>
    <t>OI000312</t>
  </si>
  <si>
    <t>ORD4535025</t>
  </si>
  <si>
    <t>OI000311</t>
  </si>
  <si>
    <t>OI000310</t>
  </si>
  <si>
    <t>ORD1110690</t>
  </si>
  <si>
    <t>OI000309</t>
  </si>
  <si>
    <t>OI000308</t>
  </si>
  <si>
    <t>OI000307</t>
  </si>
  <si>
    <t>OI000306</t>
  </si>
  <si>
    <t>ORD7319298</t>
  </si>
  <si>
    <t>OI000305</t>
  </si>
  <si>
    <t>OI000304</t>
  </si>
  <si>
    <t>ORD7060792</t>
  </si>
  <si>
    <t>OI000303</t>
  </si>
  <si>
    <t>OI000302</t>
  </si>
  <si>
    <t>ORD3671308</t>
  </si>
  <si>
    <t>OI000301</t>
  </si>
  <si>
    <t>OI000300</t>
  </si>
  <si>
    <t>OI000299</t>
  </si>
  <si>
    <t>ORD5882155</t>
  </si>
  <si>
    <t>OI000298</t>
  </si>
  <si>
    <t>OI000297</t>
  </si>
  <si>
    <t>ORD2265001</t>
  </si>
  <si>
    <t>OI000296</t>
  </si>
  <si>
    <t>OI000295</t>
  </si>
  <si>
    <t>OI000294</t>
  </si>
  <si>
    <t>OI000293</t>
  </si>
  <si>
    <t>ORD7018685</t>
  </si>
  <si>
    <t>OI000292</t>
  </si>
  <si>
    <t>OI000291</t>
  </si>
  <si>
    <t>ORD6307189</t>
  </si>
  <si>
    <t>OI000290</t>
  </si>
  <si>
    <t>OI000289</t>
  </si>
  <si>
    <t>ORD5783807</t>
  </si>
  <si>
    <t>OI000288</t>
  </si>
  <si>
    <t>ORD4042682</t>
  </si>
  <si>
    <t>OI000287</t>
  </si>
  <si>
    <t>OI000286</t>
  </si>
  <si>
    <t>OI000285</t>
  </si>
  <si>
    <t>OI000284</t>
  </si>
  <si>
    <t>ORD7611593</t>
  </si>
  <si>
    <t>OI000283</t>
  </si>
  <si>
    <t>OI000282</t>
  </si>
  <si>
    <t>OI000281</t>
  </si>
  <si>
    <t>ORD5948917</t>
  </si>
  <si>
    <t>OI000280</t>
  </si>
  <si>
    <t>OI000279</t>
  </si>
  <si>
    <t>ORD2217848</t>
  </si>
  <si>
    <t>OI000278</t>
  </si>
  <si>
    <t>OI000277</t>
  </si>
  <si>
    <t>OI000276</t>
  </si>
  <si>
    <t>OI000275</t>
  </si>
  <si>
    <t>ORD7838943</t>
  </si>
  <si>
    <t>OI000274</t>
  </si>
  <si>
    <t>OI000273</t>
  </si>
  <si>
    <t>ORD2209981</t>
  </si>
  <si>
    <t>OI000272</t>
  </si>
  <si>
    <t>ORD9621722</t>
  </si>
  <si>
    <t>OI000271</t>
  </si>
  <si>
    <t>OI000270</t>
  </si>
  <si>
    <t>OI000269</t>
  </si>
  <si>
    <t>OI000268</t>
  </si>
  <si>
    <t>ORD2902100</t>
  </si>
  <si>
    <t>OI000267</t>
  </si>
  <si>
    <t>OI000266</t>
  </si>
  <si>
    <t>ORD5925360</t>
  </si>
  <si>
    <t>OI000265</t>
  </si>
  <si>
    <t>OI000264</t>
  </si>
  <si>
    <t>OI000263</t>
  </si>
  <si>
    <t>OI000262</t>
  </si>
  <si>
    <t>ORD7007679</t>
  </si>
  <si>
    <t>OI000261</t>
  </si>
  <si>
    <t>OI000260</t>
  </si>
  <si>
    <t>OI000259</t>
  </si>
  <si>
    <t>ORD1094709</t>
  </si>
  <si>
    <t>OI000258</t>
  </si>
  <si>
    <t>OI000257</t>
  </si>
  <si>
    <t>ORD4246352</t>
  </si>
  <si>
    <t>OI000256</t>
  </si>
  <si>
    <t>OI000255</t>
  </si>
  <si>
    <t>ORD7988821</t>
  </si>
  <si>
    <t>OI000254</t>
  </si>
  <si>
    <t>OI000253</t>
  </si>
  <si>
    <t>OI000252</t>
  </si>
  <si>
    <t>OI000251</t>
  </si>
  <si>
    <t>ORD1542011</t>
  </si>
  <si>
    <t>OI000250</t>
  </si>
  <si>
    <t>OI000249</t>
  </si>
  <si>
    <t>OI000248</t>
  </si>
  <si>
    <t>ORD9957402</t>
  </si>
  <si>
    <t>OI000247</t>
  </si>
  <si>
    <t>OI000246</t>
  </si>
  <si>
    <t>OI000245</t>
  </si>
  <si>
    <t>OI000244</t>
  </si>
  <si>
    <t>ORD5875114</t>
  </si>
  <si>
    <t>OI000243</t>
  </si>
  <si>
    <t>OI000242</t>
  </si>
  <si>
    <t>OI000241</t>
  </si>
  <si>
    <t>OI000240</t>
  </si>
  <si>
    <t>ORD5590177</t>
  </si>
  <si>
    <t>OI000239</t>
  </si>
  <si>
    <t>OI000238</t>
  </si>
  <si>
    <t>OI000237</t>
  </si>
  <si>
    <t>OI000236</t>
  </si>
  <si>
    <t>ORD3972963</t>
  </si>
  <si>
    <t>OI000235</t>
  </si>
  <si>
    <t>OI000234</t>
  </si>
  <si>
    <t>ORD3067274</t>
  </si>
  <si>
    <t>OI000233</t>
  </si>
  <si>
    <t>OI000232</t>
  </si>
  <si>
    <t>ORD7865417</t>
  </si>
  <si>
    <t>OI000231</t>
  </si>
  <si>
    <t>OI000230</t>
  </si>
  <si>
    <t>ORD8937865</t>
  </si>
  <si>
    <t>OI000229</t>
  </si>
  <si>
    <t>OI000228</t>
  </si>
  <si>
    <t>OI000227</t>
  </si>
  <si>
    <t>ORD1002847</t>
  </si>
  <si>
    <t>OI000226</t>
  </si>
  <si>
    <t>OI000225</t>
  </si>
  <si>
    <t>OI000224</t>
  </si>
  <si>
    <t>ORD2322557</t>
  </si>
  <si>
    <t>OI000223</t>
  </si>
  <si>
    <t>OI000222</t>
  </si>
  <si>
    <t>ORD9318729</t>
  </si>
  <si>
    <t>OI000221</t>
  </si>
  <si>
    <t>ORD2597897</t>
  </si>
  <si>
    <t>OI000220</t>
  </si>
  <si>
    <t>OI000219</t>
  </si>
  <si>
    <t>OI000218</t>
  </si>
  <si>
    <t>ORD3192032</t>
  </si>
  <si>
    <t>OI000217</t>
  </si>
  <si>
    <t>OI000216</t>
  </si>
  <si>
    <t>OI000215</t>
  </si>
  <si>
    <t>OI000214</t>
  </si>
  <si>
    <t>ORD1983923</t>
  </si>
  <si>
    <t>OI000213</t>
  </si>
  <si>
    <t>ORD7251562</t>
  </si>
  <si>
    <t>OI000212</t>
  </si>
  <si>
    <t>OI000211</t>
  </si>
  <si>
    <t>ORD2593809</t>
  </si>
  <si>
    <t>OI000210</t>
  </si>
  <si>
    <t>ORD5293157</t>
  </si>
  <si>
    <t>OI000209</t>
  </si>
  <si>
    <t>OI000208</t>
  </si>
  <si>
    <t>ORD9064202</t>
  </si>
  <si>
    <t>OI000207</t>
  </si>
  <si>
    <t>OI000206</t>
  </si>
  <si>
    <t>ORD2782809</t>
  </si>
  <si>
    <t>OI000205</t>
  </si>
  <si>
    <t>OI000204</t>
  </si>
  <si>
    <t>ORD1156104</t>
  </si>
  <si>
    <t>OI000203</t>
  </si>
  <si>
    <t>OI000202</t>
  </si>
  <si>
    <t>ORD1626854</t>
  </si>
  <si>
    <t>OI000201</t>
  </si>
  <si>
    <t>OI000200</t>
  </si>
  <si>
    <t>OI000199</t>
  </si>
  <si>
    <t>OI000198</t>
  </si>
  <si>
    <t>ORD3244614</t>
  </si>
  <si>
    <t>OI000197</t>
  </si>
  <si>
    <t>OI000196</t>
  </si>
  <si>
    <t>OI000195</t>
  </si>
  <si>
    <t>OI000194</t>
  </si>
  <si>
    <t>ORD5174559</t>
  </si>
  <si>
    <t>OI000193</t>
  </si>
  <si>
    <t>OI000192</t>
  </si>
  <si>
    <t>OI000191</t>
  </si>
  <si>
    <t>ORD2477088</t>
  </si>
  <si>
    <t>OI000190</t>
  </si>
  <si>
    <t>OI000189</t>
  </si>
  <si>
    <t>OI000188</t>
  </si>
  <si>
    <t>ORD4025884</t>
  </si>
  <si>
    <t>OI000187</t>
  </si>
  <si>
    <t>OI000186</t>
  </si>
  <si>
    <t>ORD2194801</t>
  </si>
  <si>
    <t>OI000185</t>
  </si>
  <si>
    <t>OI000184</t>
  </si>
  <si>
    <t>OI000183</t>
  </si>
  <si>
    <t>OI000182</t>
  </si>
  <si>
    <t>ORD4071377</t>
  </si>
  <si>
    <t>OI000181</t>
  </si>
  <si>
    <t>OI000180</t>
  </si>
  <si>
    <t>ORD8981512</t>
  </si>
  <si>
    <t>OI000179</t>
  </si>
  <si>
    <t>ORD3347627</t>
  </si>
  <si>
    <t>OI000178</t>
  </si>
  <si>
    <t>OI000177</t>
  </si>
  <si>
    <t>OI000176</t>
  </si>
  <si>
    <t>ORD6641903</t>
  </si>
  <si>
    <t>OI000175</t>
  </si>
  <si>
    <t>OI000174</t>
  </si>
  <si>
    <t>OI000173</t>
  </si>
  <si>
    <t>ORD9734854</t>
  </si>
  <si>
    <t>OI000172</t>
  </si>
  <si>
    <t>OI000171</t>
  </si>
  <si>
    <t>ORD1149283</t>
  </si>
  <si>
    <t>OI000170</t>
  </si>
  <si>
    <t>OI000169</t>
  </si>
  <si>
    <t>OI000168</t>
  </si>
  <si>
    <t>OI000167</t>
  </si>
  <si>
    <t>ORD3743303</t>
  </si>
  <si>
    <t>OI000166</t>
  </si>
  <si>
    <t>OI000165</t>
  </si>
  <si>
    <t>OI000164</t>
  </si>
  <si>
    <t>ORD7046090</t>
  </si>
  <si>
    <t>OI000163</t>
  </si>
  <si>
    <t>OI000162</t>
  </si>
  <si>
    <t>ORD9127895</t>
  </si>
  <si>
    <t>OI000161</t>
  </si>
  <si>
    <t>OI000160</t>
  </si>
  <si>
    <t>OI000159</t>
  </si>
  <si>
    <t>OI000158</t>
  </si>
  <si>
    <t>ORD2647814</t>
  </si>
  <si>
    <t>OI000157</t>
  </si>
  <si>
    <t>OI000156</t>
  </si>
  <si>
    <t>ORD6561547</t>
  </si>
  <si>
    <t>OI000155</t>
  </si>
  <si>
    <t>ORD6769167</t>
  </si>
  <si>
    <t>OI000154</t>
  </si>
  <si>
    <t>OI000153</t>
  </si>
  <si>
    <t>ORD9767135</t>
  </si>
  <si>
    <t>OI000152</t>
  </si>
  <si>
    <t>ORD8304686</t>
  </si>
  <si>
    <t>OI000151</t>
  </si>
  <si>
    <t>OI000150</t>
  </si>
  <si>
    <t>OI000149</t>
  </si>
  <si>
    <t>OI000148</t>
  </si>
  <si>
    <t>ORD1582647</t>
  </si>
  <si>
    <t>OI000147</t>
  </si>
  <si>
    <t>OI000146</t>
  </si>
  <si>
    <t>OI000145</t>
  </si>
  <si>
    <t>ORD4817030</t>
  </si>
  <si>
    <t>OI000144</t>
  </si>
  <si>
    <t>ORD4101792</t>
  </si>
  <si>
    <t>OI000143</t>
  </si>
  <si>
    <t>OI000142</t>
  </si>
  <si>
    <t>OI000141</t>
  </si>
  <si>
    <t>ORD2627170</t>
  </si>
  <si>
    <t>OI000140</t>
  </si>
  <si>
    <t>OI000139</t>
  </si>
  <si>
    <t>ORD5450404</t>
  </si>
  <si>
    <t>OI000138</t>
  </si>
  <si>
    <t>OI000137</t>
  </si>
  <si>
    <t>ORD2562037</t>
  </si>
  <si>
    <t>OI000136</t>
  </si>
  <si>
    <t>OI000135</t>
  </si>
  <si>
    <t>OI000134</t>
  </si>
  <si>
    <t>ORD1560573</t>
  </si>
  <si>
    <t>OI000133</t>
  </si>
  <si>
    <t>ORD3790695</t>
  </si>
  <si>
    <t>OI000132</t>
  </si>
  <si>
    <t>OI000131</t>
  </si>
  <si>
    <t>ORD6632941</t>
  </si>
  <si>
    <t>OI000130</t>
  </si>
  <si>
    <t>ORD4706007</t>
  </si>
  <si>
    <t>OI000129</t>
  </si>
  <si>
    <t>ORD6986539</t>
  </si>
  <si>
    <t>OI000128</t>
  </si>
  <si>
    <t>OI000127</t>
  </si>
  <si>
    <t>OI000126</t>
  </si>
  <si>
    <t>ORD7636992</t>
  </si>
  <si>
    <t>OI000125</t>
  </si>
  <si>
    <t>ORD3977282</t>
  </si>
  <si>
    <t>OI000124</t>
  </si>
  <si>
    <t>ORD9258194</t>
  </si>
  <si>
    <t>OI000123</t>
  </si>
  <si>
    <t>OI000122</t>
  </si>
  <si>
    <t>ORD7516648</t>
  </si>
  <si>
    <t>OI000121</t>
  </si>
  <si>
    <t>OI000120</t>
  </si>
  <si>
    <t>OI000119</t>
  </si>
  <si>
    <t>OI000118</t>
  </si>
  <si>
    <t>ORD9882399</t>
  </si>
  <si>
    <t>OI000117</t>
  </si>
  <si>
    <t>OI000116</t>
  </si>
  <si>
    <t>OI000115</t>
  </si>
  <si>
    <t>ORD1327658</t>
  </si>
  <si>
    <t>OI000114</t>
  </si>
  <si>
    <t>OI000113</t>
  </si>
  <si>
    <t>OI000112</t>
  </si>
  <si>
    <t>ORD5123584</t>
  </si>
  <si>
    <t>OI000111</t>
  </si>
  <si>
    <t>OI000110</t>
  </si>
  <si>
    <t>ORD7626978</t>
  </si>
  <si>
    <t>OI000109</t>
  </si>
  <si>
    <t>ORD2409947</t>
  </si>
  <si>
    <t>OI000108</t>
  </si>
  <si>
    <t>OI000107</t>
  </si>
  <si>
    <t>OI000106</t>
  </si>
  <si>
    <t>ORD6013715</t>
  </si>
  <si>
    <t>OI000105</t>
  </si>
  <si>
    <t>OI000104</t>
  </si>
  <si>
    <t>OI000103</t>
  </si>
  <si>
    <t>OI000102</t>
  </si>
  <si>
    <t>ORD3011815</t>
  </si>
  <si>
    <t>OI000101</t>
  </si>
  <si>
    <t>OI000100</t>
  </si>
  <si>
    <t>ORD3283577</t>
  </si>
  <si>
    <t>OI000099</t>
  </si>
  <si>
    <t>ORD2255447</t>
  </si>
  <si>
    <t>OI000098</t>
  </si>
  <si>
    <t>OI000097</t>
  </si>
  <si>
    <t>OI000096</t>
  </si>
  <si>
    <t>ORD8043341</t>
  </si>
  <si>
    <t>OI000095</t>
  </si>
  <si>
    <t>OI000094</t>
  </si>
  <si>
    <t>OI000093</t>
  </si>
  <si>
    <t>OI000092</t>
  </si>
  <si>
    <t>ORD4909053</t>
  </si>
  <si>
    <t>OI000091</t>
  </si>
  <si>
    <t>OI000090</t>
  </si>
  <si>
    <t>ORD6098752</t>
  </si>
  <si>
    <t>OI000089</t>
  </si>
  <si>
    <t>OI000088</t>
  </si>
  <si>
    <t>ORD1770553</t>
  </si>
  <si>
    <t>OI000087</t>
  </si>
  <si>
    <t>ORD8035849</t>
  </si>
  <si>
    <t>OI000086</t>
  </si>
  <si>
    <t>OI000085</t>
  </si>
  <si>
    <t>ORD2934976</t>
  </si>
  <si>
    <t>OI000084</t>
  </si>
  <si>
    <t>OI000083</t>
  </si>
  <si>
    <t>ORD8202871</t>
  </si>
  <si>
    <t>OI000082</t>
  </si>
  <si>
    <t>OI000081</t>
  </si>
  <si>
    <t>OI000080</t>
  </si>
  <si>
    <t>ORD1190431</t>
  </si>
  <si>
    <t>OI000079</t>
  </si>
  <si>
    <t>OI000078</t>
  </si>
  <si>
    <t>ORD2109227</t>
  </si>
  <si>
    <t>OI000077</t>
  </si>
  <si>
    <t>OI000076</t>
  </si>
  <si>
    <t>OI000075</t>
  </si>
  <si>
    <t>ORD9406206</t>
  </si>
  <si>
    <t>OI000074</t>
  </si>
  <si>
    <t>OI000073</t>
  </si>
  <si>
    <t>ORD8060918</t>
  </si>
  <si>
    <t>OI000072</t>
  </si>
  <si>
    <t>OI000071</t>
  </si>
  <si>
    <t>OI000070</t>
  </si>
  <si>
    <t>ORD5958372</t>
  </si>
  <si>
    <t>OI000069</t>
  </si>
  <si>
    <t>OI000068</t>
  </si>
  <si>
    <t>OI000067</t>
  </si>
  <si>
    <t>ORD5646746</t>
  </si>
  <si>
    <t>OI000066</t>
  </si>
  <si>
    <t>OI000065</t>
  </si>
  <si>
    <t>ORD6891952</t>
  </si>
  <si>
    <t>OI000064</t>
  </si>
  <si>
    <t>OI000063</t>
  </si>
  <si>
    <t>OI000062</t>
  </si>
  <si>
    <t>ORD2718442</t>
  </si>
  <si>
    <t>OI000061</t>
  </si>
  <si>
    <t>OI000060</t>
  </si>
  <si>
    <t>ORD3226333</t>
  </si>
  <si>
    <t>OI000059</t>
  </si>
  <si>
    <t>OI000058</t>
  </si>
  <si>
    <t>ORD5597283</t>
  </si>
  <si>
    <t>OI000057</t>
  </si>
  <si>
    <t>OI000056</t>
  </si>
  <si>
    <t>OI000055</t>
  </si>
  <si>
    <t>ORD1770794</t>
  </si>
  <si>
    <t>OI000054</t>
  </si>
  <si>
    <t>OI000053</t>
  </si>
  <si>
    <t>OI000052</t>
  </si>
  <si>
    <t>ORD7009980</t>
  </si>
  <si>
    <t>OI000051</t>
  </si>
  <si>
    <t>OI000050</t>
  </si>
  <si>
    <t>OI000049</t>
  </si>
  <si>
    <t>ORD2561871</t>
  </si>
  <si>
    <t>OI000048</t>
  </si>
  <si>
    <t>OI000047</t>
  </si>
  <si>
    <t>ORD3128830</t>
  </si>
  <si>
    <t>OI000046</t>
  </si>
  <si>
    <t>OI000045</t>
  </si>
  <si>
    <t>ORD9930189</t>
  </si>
  <si>
    <t>OI000044</t>
  </si>
  <si>
    <t>OI000043</t>
  </si>
  <si>
    <t>OI000042</t>
  </si>
  <si>
    <t>ORD2969410</t>
  </si>
  <si>
    <t>OI000041</t>
  </si>
  <si>
    <t>OI000040</t>
  </si>
  <si>
    <t>ORD4666525</t>
  </si>
  <si>
    <t>OI000039</t>
  </si>
  <si>
    <t>ORD3822078</t>
  </si>
  <si>
    <t>OI000038</t>
  </si>
  <si>
    <t>OI000037</t>
  </si>
  <si>
    <t>ORD9479842</t>
  </si>
  <si>
    <t>OI000036</t>
  </si>
  <si>
    <t>OI000035</t>
  </si>
  <si>
    <t>ORD3906397</t>
  </si>
  <si>
    <t>OI000034</t>
  </si>
  <si>
    <t>OI000033</t>
  </si>
  <si>
    <t>ORD5990296</t>
  </si>
  <si>
    <t>OI000032</t>
  </si>
  <si>
    <t>OI000031</t>
  </si>
  <si>
    <t>OI000030</t>
  </si>
  <si>
    <t>ORD8676422</t>
  </si>
  <si>
    <t>OI000029</t>
  </si>
  <si>
    <t>OI000028</t>
  </si>
  <si>
    <t>ORD7636771</t>
  </si>
  <si>
    <t>OI000027</t>
  </si>
  <si>
    <t>OI000026</t>
  </si>
  <si>
    <t>OI000025</t>
  </si>
  <si>
    <t>ORD2930810</t>
  </si>
  <si>
    <t>OI000024</t>
  </si>
  <si>
    <t>OI000023</t>
  </si>
  <si>
    <t>OI000022</t>
  </si>
  <si>
    <t>OI000021</t>
  </si>
  <si>
    <t>ORD3376915</t>
  </si>
  <si>
    <t>OI000020</t>
  </si>
  <si>
    <t>OI000019</t>
  </si>
  <si>
    <t>ORD4708297</t>
  </si>
  <si>
    <t>OI000018</t>
  </si>
  <si>
    <t>OI000017</t>
  </si>
  <si>
    <t>ORD6956059</t>
  </si>
  <si>
    <t>OI000016</t>
  </si>
  <si>
    <t>OI000015</t>
  </si>
  <si>
    <t>OI000014</t>
  </si>
  <si>
    <t>ORD8017921</t>
  </si>
  <si>
    <t>OI000013</t>
  </si>
  <si>
    <t>ORD7864256</t>
  </si>
  <si>
    <t>OI000012</t>
  </si>
  <si>
    <t>OI000011</t>
  </si>
  <si>
    <t>ORD7309161</t>
  </si>
  <si>
    <t>OI000010</t>
  </si>
  <si>
    <t>OI000009</t>
  </si>
  <si>
    <t>OI000008</t>
  </si>
  <si>
    <t>OI000007</t>
  </si>
  <si>
    <t>ORD3283789</t>
  </si>
  <si>
    <t>OI000006</t>
  </si>
  <si>
    <t>OI000005</t>
  </si>
  <si>
    <t>ORD4280754</t>
  </si>
  <si>
    <t>OI000004</t>
  </si>
  <si>
    <t>ORD7387623</t>
  </si>
  <si>
    <t>OI000003</t>
  </si>
  <si>
    <t>OI000002</t>
  </si>
  <si>
    <t>ORD6443037</t>
  </si>
  <si>
    <t>OI000001</t>
  </si>
  <si>
    <t>item_total_price</t>
  </si>
  <si>
    <t>quantity</t>
  </si>
  <si>
    <t>order_id</t>
  </si>
  <si>
    <t>order_item_id</t>
  </si>
  <si>
    <t>Delivered</t>
  </si>
  <si>
    <t>Swiggy</t>
  </si>
  <si>
    <t>Cancelled</t>
  </si>
  <si>
    <t>Direct</t>
  </si>
  <si>
    <t>Zomato</t>
  </si>
  <si>
    <t>check_total</t>
  </si>
  <si>
    <t>final_amount</t>
  </si>
  <si>
    <t>discount</t>
  </si>
  <si>
    <t>total_amount</t>
  </si>
  <si>
    <t>order_status</t>
  </si>
  <si>
    <t>order_time</t>
  </si>
  <si>
    <t>order_date</t>
  </si>
  <si>
    <t>order_channel</t>
  </si>
  <si>
    <t>CATEGORY</t>
  </si>
  <si>
    <t>PROFIT_PER_UNIT</t>
  </si>
  <si>
    <t>TOTAL_PROFIT</t>
  </si>
  <si>
    <t>TOTAL SALES</t>
  </si>
  <si>
    <t>TOTAL PROFIT</t>
  </si>
  <si>
    <t>METRIC</t>
  </si>
  <si>
    <t>VALUE</t>
  </si>
  <si>
    <t>TOTAL SALES(FY 2024-25)</t>
  </si>
  <si>
    <t>AVERAGE ORDER VALUE</t>
  </si>
  <si>
    <t xml:space="preserve">TOTAL ORDERS </t>
  </si>
  <si>
    <t>PROFIT MARGIN %</t>
  </si>
  <si>
    <t>Row Labels</t>
  </si>
  <si>
    <t>Grand Total</t>
  </si>
  <si>
    <t>Sum of final_amount</t>
  </si>
  <si>
    <t>C O DISCOUNT</t>
  </si>
  <si>
    <t>total DISCOUNT</t>
  </si>
  <si>
    <t>c o amouNT</t>
  </si>
  <si>
    <t>Sum of item_total_price</t>
  </si>
  <si>
    <t>Sum of TOTAL_PROFIT</t>
  </si>
  <si>
    <t>CUSTOMER_TYPE</t>
  </si>
  <si>
    <t>Count of order_id</t>
  </si>
  <si>
    <t>Sum of total_amount</t>
  </si>
  <si>
    <t>Sum of discount</t>
  </si>
  <si>
    <t>CANCELATION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</si>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</sst>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[$-10409]hh:mm\ AM/PM;@"/>
    <numFmt numFmtId="168" formatCode="&quot;₹&quot;\ 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20" fillId="0" borderId="0" xfId="0" applyFont="1"/>
    <xf numFmtId="0" fontId="16" fillId="0" borderId="0" xfId="0" applyFont="1"/>
    <xf numFmtId="49" fontId="20" fillId="36" borderId="0" xfId="0" applyNumberFormat="1" applyFont="1" applyFill="1"/>
    <xf numFmtId="49" fontId="0" fillId="0" borderId="0" xfId="0" applyNumberFormat="1"/>
    <xf numFmtId="14" fontId="20" fillId="36" borderId="0" xfId="0" applyNumberFormat="1" applyFont="1" applyFill="1"/>
    <xf numFmtId="49" fontId="20" fillId="33" borderId="0" xfId="0" applyNumberFormat="1" applyFont="1" applyFill="1"/>
    <xf numFmtId="49" fontId="20" fillId="0" borderId="0" xfId="0" applyNumberFormat="1" applyFont="1"/>
    <xf numFmtId="49" fontId="14" fillId="0" borderId="0" xfId="0" applyNumberFormat="1" applyFont="1" applyFill="1"/>
    <xf numFmtId="2" fontId="0" fillId="0" borderId="0" xfId="0" applyNumberFormat="1"/>
    <xf numFmtId="164" fontId="20" fillId="33" borderId="0" xfId="0" applyNumberFormat="1" applyFont="1" applyFill="1"/>
    <xf numFmtId="164" fontId="0" fillId="0" borderId="0" xfId="0" applyNumberFormat="1"/>
    <xf numFmtId="49" fontId="20" fillId="35" borderId="0" xfId="0" applyNumberFormat="1" applyFont="1" applyFill="1"/>
    <xf numFmtId="14" fontId="20" fillId="35" borderId="0" xfId="0" applyNumberFormat="1" applyFont="1" applyFill="1"/>
    <xf numFmtId="164" fontId="20" fillId="35" borderId="0" xfId="0" applyNumberFormat="1" applyFont="1" applyFill="1"/>
    <xf numFmtId="165" fontId="20" fillId="35" borderId="0" xfId="1" applyNumberFormat="1" applyFont="1" applyFill="1"/>
    <xf numFmtId="165" fontId="0" fillId="0" borderId="0" xfId="1" applyNumberFormat="1" applyFont="1"/>
    <xf numFmtId="49" fontId="20" fillId="34" borderId="0" xfId="0" applyNumberFormat="1" applyFont="1" applyFill="1"/>
    <xf numFmtId="164" fontId="20" fillId="34" borderId="0" xfId="0" applyNumberFormat="1" applyFont="1" applyFill="1"/>
    <xf numFmtId="1" fontId="20" fillId="34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6" fillId="0" borderId="0" xfId="0" applyNumberFormat="1" applyFont="1"/>
    <xf numFmtId="1" fontId="16" fillId="0" borderId="0" xfId="0" applyNumberFormat="1" applyFont="1"/>
    <xf numFmtId="164" fontId="16" fillId="0" borderId="0" xfId="0" applyNumberFormat="1" applyFont="1"/>
    <xf numFmtId="2" fontId="2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0" fontId="0" fillId="37" borderId="0" xfId="0" applyFill="1"/>
    <xf numFmtId="10" fontId="0" fillId="0" borderId="0" xfId="0" applyNumberFormat="1"/>
    <xf numFmtId="14" fontId="0" fillId="0" borderId="0" xfId="0" applyNumberFormat="1" applyAlignment="1">
      <alignment horizontal="left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6"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7" formatCode="&quot;₹&quot;\ #,##0.0"/>
    </dxf>
    <dxf>
      <numFmt numFmtId="167" formatCode="&quot;₹&quot;\ #,##0.0"/>
    </dxf>
    <dxf>
      <numFmt numFmtId="167" formatCode="&quot;₹&quot;\ #,##0.0"/>
    </dxf>
    <dxf>
      <numFmt numFmtId="167" formatCode="&quot;₹&quot;\ #,##0.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8" formatCode="&quot;₹&quot;\ #,##0"/>
    </dxf>
    <dxf>
      <numFmt numFmtId="168" formatCode="&quot;₹&quot;\ #,##0"/>
    </dxf>
    <dxf>
      <numFmt numFmtId="0" formatCode="General"/>
    </dxf>
    <dxf>
      <numFmt numFmtId="0" formatCode="General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0" formatCode="General"/>
    </dxf>
    <dxf>
      <numFmt numFmtId="0" formatCode="General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0" formatCode="General"/>
    </dxf>
    <dxf>
      <numFmt numFmtId="0" formatCode="General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  <dxf>
      <numFmt numFmtId="168" formatCode="&quot;₹&quot;\ #,##0"/>
    </dxf>
  </dxfs>
  <tableStyles count="0" defaultTableStyle="TableStyleMedium2" defaultPivotStyle="PivotStyleLight16"/>
  <colors>
    <mruColors>
      <color rgb="FFFF6699"/>
      <color rgb="FF00FF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[PROJECTSK.xlsx]Sheet5!PivotTable4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Sheet5!$A$4:$A$6</c:f>
              <c:strCache>
                <c:ptCount val="2"/>
                <c:pt idx="0">
                  <c:v>Cancelled</c:v>
                </c:pt>
                <c:pt idx="1">
                  <c:v>Delivered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142</c:v>
                </c:pt>
                <c:pt idx="1">
                  <c:v>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2-4BBC-AD8B-4A20FDE7B596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Sheet5!$A$4:$A$6</c:f>
              <c:strCache>
                <c:ptCount val="2"/>
                <c:pt idx="0">
                  <c:v>Cancelled</c:v>
                </c:pt>
                <c:pt idx="1">
                  <c:v>Delivered</c:v>
                </c:pt>
              </c:strCache>
            </c:strRef>
          </c:cat>
          <c:val>
            <c:numRef>
              <c:f>Sheet5!$C$4:$C$6</c:f>
              <c:numCache>
                <c:formatCode>"₹"\ #,##0</c:formatCode>
                <c:ptCount val="2"/>
                <c:pt idx="0">
                  <c:v>74614</c:v>
                </c:pt>
                <c:pt idx="1">
                  <c:v>891440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2-4BBC-AD8B-4A20FDE7B596}"/>
            </c:ext>
          </c:extLst>
        </c:ser>
        <c:ser>
          <c:idx val="2"/>
          <c:order val="2"/>
          <c:tx>
            <c:strRef>
              <c:f>Sheet5!$D$3</c:f>
              <c:strCache>
                <c:ptCount val="1"/>
                <c:pt idx="0">
                  <c:v>Sum of discount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Sheet5!$A$4:$A$6</c:f>
              <c:strCache>
                <c:ptCount val="2"/>
                <c:pt idx="0">
                  <c:v>Cancelled</c:v>
                </c:pt>
                <c:pt idx="1">
                  <c:v>Delivered</c:v>
                </c:pt>
              </c:strCache>
            </c:strRef>
          </c:cat>
          <c:val>
            <c:numRef>
              <c:f>Sheet5!$D$4:$D$6</c:f>
              <c:numCache>
                <c:formatCode>"₹"\ #,##0</c:formatCode>
                <c:ptCount val="2"/>
                <c:pt idx="0">
                  <c:v>2055.2499999999995</c:v>
                </c:pt>
                <c:pt idx="1">
                  <c:v>22478.600000000002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2-4BBC-AD8B-4A20FDE7B596}"/>
            </c:ext>
          </c:extLst>
        </c:ser>
        <c:ser>
          <c:idx val="3"/>
          <c:order val="3"/>
          <c:tx>
            <c:strRef>
              <c:f>Sheet5!$E$3</c:f>
              <c:strCache>
                <c:ptCount val="1"/>
                <c:pt idx="0">
                  <c:v>Sum of final_amount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Sheet5!$A$4:$A$6</c:f>
              <c:strCache>
                <c:ptCount val="2"/>
                <c:pt idx="0">
                  <c:v>Cancelled</c:v>
                </c:pt>
                <c:pt idx="1">
                  <c:v>Delivered</c:v>
                </c:pt>
              </c:strCache>
            </c:strRef>
          </c:cat>
          <c:val>
            <c:numRef>
              <c:f>Sheet5!$E$4:$E$6</c:f>
              <c:numCache>
                <c:formatCode>"₹"\ #,##0</c:formatCode>
                <c:ptCount val="2"/>
                <c:pt idx="0">
                  <c:v>0</c:v>
                </c:pt>
                <c:pt idx="1">
                  <c:v>868961.39999999967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D2-4BBC-AD8B-4A20FDE7B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[PROJECTSK.xlsx]MONTH REVENUE!PivotTable5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-WISE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 REVENUE'!$A$4:$A$18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'MONTH REVENUE'!$B$4:$B$18</c:f>
              <c:numCache>
                <c:formatCode>General</c:formatCode>
                <c:ptCount val="12"/>
                <c:pt idx="0">
                  <c:v>65053.749999999993</c:v>
                </c:pt>
                <c:pt idx="1">
                  <c:v>67918.550000000017</c:v>
                </c:pt>
                <c:pt idx="2">
                  <c:v>51122.599999999991</c:v>
                </c:pt>
                <c:pt idx="3">
                  <c:v>64294.500000000022</c:v>
                </c:pt>
                <c:pt idx="4">
                  <c:v>69161.95</c:v>
                </c:pt>
                <c:pt idx="5">
                  <c:v>67412.25</c:v>
                </c:pt>
                <c:pt idx="6">
                  <c:v>81170.550000000047</c:v>
                </c:pt>
                <c:pt idx="7">
                  <c:v>104728.45</c:v>
                </c:pt>
                <c:pt idx="8">
                  <c:v>97545.499999999985</c:v>
                </c:pt>
                <c:pt idx="9">
                  <c:v>75576.250000000015</c:v>
                </c:pt>
                <c:pt idx="10">
                  <c:v>60386.700000000004</c:v>
                </c:pt>
                <c:pt idx="11">
                  <c:v>64590.349999999991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A-4B82-8A98-E32AAEDAC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732831"/>
        <c:axId val="1771727839"/>
      </c:lineChart>
      <c:catAx>
        <c:axId val="177173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27839"/>
        <c:crosses val="autoZero"/>
        <c:auto val="1"/>
        <c:lblAlgn val="ctr"/>
        <c:lblOffset val="100"/>
        <c:noMultiLvlLbl val="0"/>
      </c:catAx>
      <c:valAx>
        <c:axId val="177172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3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[PROJECTSK.xlsx]Sheet7!PivotTable6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item_total_price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Sheet7!$A$4:$A$32</c:f>
              <c:strCache>
                <c:ptCount val="28"/>
                <c:pt idx="0">
                  <c:v>Lemon Juice</c:v>
                </c:pt>
                <c:pt idx="1">
                  <c:v>Veg Roll</c:v>
                </c:pt>
                <c:pt idx="2">
                  <c:v>Virgin Mojito</c:v>
                </c:pt>
                <c:pt idx="3">
                  <c:v>Blue Curacao Mojito</c:v>
                </c:pt>
                <c:pt idx="4">
                  <c:v>Veg Sandwich</c:v>
                </c:pt>
                <c:pt idx="5">
                  <c:v>Spring Roll</c:v>
                </c:pt>
                <c:pt idx="6">
                  <c:v>Paneer Roll</c:v>
                </c:pt>
                <c:pt idx="7">
                  <c:v>Mint Mojito</c:v>
                </c:pt>
                <c:pt idx="8">
                  <c:v>Watermelon Mojito</c:v>
                </c:pt>
                <c:pt idx="9">
                  <c:v>Veg Burger</c:v>
                </c:pt>
                <c:pt idx="10">
                  <c:v>Paneer Burger</c:v>
                </c:pt>
                <c:pt idx="11">
                  <c:v>Chicken Roll</c:v>
                </c:pt>
                <c:pt idx="12">
                  <c:v>Paneer Sandwich</c:v>
                </c:pt>
                <c:pt idx="13">
                  <c:v>Chicken Sandwich</c:v>
                </c:pt>
                <c:pt idx="14">
                  <c:v>Chicken Burger</c:v>
                </c:pt>
                <c:pt idx="15">
                  <c:v>Veg Momos</c:v>
                </c:pt>
                <c:pt idx="16">
                  <c:v>Chicken Momos</c:v>
                </c:pt>
                <c:pt idx="17">
                  <c:v>Paneer Momos</c:v>
                </c:pt>
                <c:pt idx="18">
                  <c:v>Veg Nuggets</c:v>
                </c:pt>
                <c:pt idx="19">
                  <c:v>French Fries</c:v>
                </c:pt>
                <c:pt idx="20">
                  <c:v>Chicken Nuggets</c:v>
                </c:pt>
                <c:pt idx="21">
                  <c:v>Chicken Wings</c:v>
                </c:pt>
                <c:pt idx="22">
                  <c:v>Chicken Popcorn</c:v>
                </c:pt>
                <c:pt idx="23">
                  <c:v>Fish Finger</c:v>
                </c:pt>
                <c:pt idx="24">
                  <c:v>Chicken Strips</c:v>
                </c:pt>
                <c:pt idx="25">
                  <c:v>Grab Lollipop</c:v>
                </c:pt>
                <c:pt idx="26">
                  <c:v>Chicken Lollipop</c:v>
                </c:pt>
                <c:pt idx="27">
                  <c:v>Fried Chicken</c:v>
                </c:pt>
              </c:strCache>
            </c:strRef>
          </c:cat>
          <c:val>
            <c:numRef>
              <c:f>Sheet7!$B$4:$B$32</c:f>
              <c:numCache>
                <c:formatCode>General</c:formatCode>
                <c:ptCount val="28"/>
                <c:pt idx="0">
                  <c:v>10290</c:v>
                </c:pt>
                <c:pt idx="1">
                  <c:v>13924</c:v>
                </c:pt>
                <c:pt idx="2">
                  <c:v>17696</c:v>
                </c:pt>
                <c:pt idx="3">
                  <c:v>17775</c:v>
                </c:pt>
                <c:pt idx="4">
                  <c:v>18091</c:v>
                </c:pt>
                <c:pt idx="5">
                  <c:v>18285</c:v>
                </c:pt>
                <c:pt idx="6">
                  <c:v>18565</c:v>
                </c:pt>
                <c:pt idx="7">
                  <c:v>18723</c:v>
                </c:pt>
                <c:pt idx="8">
                  <c:v>22199</c:v>
                </c:pt>
                <c:pt idx="9">
                  <c:v>24016</c:v>
                </c:pt>
                <c:pt idx="10">
                  <c:v>26878</c:v>
                </c:pt>
                <c:pt idx="11">
                  <c:v>27234</c:v>
                </c:pt>
                <c:pt idx="12">
                  <c:v>28215</c:v>
                </c:pt>
                <c:pt idx="13">
                  <c:v>29512</c:v>
                </c:pt>
                <c:pt idx="14">
                  <c:v>30096</c:v>
                </c:pt>
                <c:pt idx="15">
                  <c:v>31600</c:v>
                </c:pt>
                <c:pt idx="16">
                  <c:v>33363</c:v>
                </c:pt>
                <c:pt idx="17">
                  <c:v>34443</c:v>
                </c:pt>
                <c:pt idx="18">
                  <c:v>36729</c:v>
                </c:pt>
                <c:pt idx="19">
                  <c:v>41877</c:v>
                </c:pt>
                <c:pt idx="20">
                  <c:v>43435</c:v>
                </c:pt>
                <c:pt idx="21">
                  <c:v>54236</c:v>
                </c:pt>
                <c:pt idx="22">
                  <c:v>55875</c:v>
                </c:pt>
                <c:pt idx="23">
                  <c:v>56620</c:v>
                </c:pt>
                <c:pt idx="24">
                  <c:v>59631</c:v>
                </c:pt>
                <c:pt idx="25">
                  <c:v>63027</c:v>
                </c:pt>
                <c:pt idx="26">
                  <c:v>65826</c:v>
                </c:pt>
                <c:pt idx="27">
                  <c:v>67893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B-4F98-8E47-373AB4697338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Sheet7!$A$4:$A$32</c:f>
              <c:strCache>
                <c:ptCount val="28"/>
                <c:pt idx="0">
                  <c:v>Lemon Juice</c:v>
                </c:pt>
                <c:pt idx="1">
                  <c:v>Veg Roll</c:v>
                </c:pt>
                <c:pt idx="2">
                  <c:v>Virgin Mojito</c:v>
                </c:pt>
                <c:pt idx="3">
                  <c:v>Blue Curacao Mojito</c:v>
                </c:pt>
                <c:pt idx="4">
                  <c:v>Veg Sandwich</c:v>
                </c:pt>
                <c:pt idx="5">
                  <c:v>Spring Roll</c:v>
                </c:pt>
                <c:pt idx="6">
                  <c:v>Paneer Roll</c:v>
                </c:pt>
                <c:pt idx="7">
                  <c:v>Mint Mojito</c:v>
                </c:pt>
                <c:pt idx="8">
                  <c:v>Watermelon Mojito</c:v>
                </c:pt>
                <c:pt idx="9">
                  <c:v>Veg Burger</c:v>
                </c:pt>
                <c:pt idx="10">
                  <c:v>Paneer Burger</c:v>
                </c:pt>
                <c:pt idx="11">
                  <c:v>Chicken Roll</c:v>
                </c:pt>
                <c:pt idx="12">
                  <c:v>Paneer Sandwich</c:v>
                </c:pt>
                <c:pt idx="13">
                  <c:v>Chicken Sandwich</c:v>
                </c:pt>
                <c:pt idx="14">
                  <c:v>Chicken Burger</c:v>
                </c:pt>
                <c:pt idx="15">
                  <c:v>Veg Momos</c:v>
                </c:pt>
                <c:pt idx="16">
                  <c:v>Chicken Momos</c:v>
                </c:pt>
                <c:pt idx="17">
                  <c:v>Paneer Momos</c:v>
                </c:pt>
                <c:pt idx="18">
                  <c:v>Veg Nuggets</c:v>
                </c:pt>
                <c:pt idx="19">
                  <c:v>French Fries</c:v>
                </c:pt>
                <c:pt idx="20">
                  <c:v>Chicken Nuggets</c:v>
                </c:pt>
                <c:pt idx="21">
                  <c:v>Chicken Wings</c:v>
                </c:pt>
                <c:pt idx="22">
                  <c:v>Chicken Popcorn</c:v>
                </c:pt>
                <c:pt idx="23">
                  <c:v>Fish Finger</c:v>
                </c:pt>
                <c:pt idx="24">
                  <c:v>Chicken Strips</c:v>
                </c:pt>
                <c:pt idx="25">
                  <c:v>Grab Lollipop</c:v>
                </c:pt>
                <c:pt idx="26">
                  <c:v>Chicken Lollipop</c:v>
                </c:pt>
                <c:pt idx="27">
                  <c:v>Fried Chicken</c:v>
                </c:pt>
              </c:strCache>
            </c:strRef>
          </c:cat>
          <c:val>
            <c:numRef>
              <c:f>Sheet7!$C$4:$C$32</c:f>
              <c:numCache>
                <c:formatCode>General</c:formatCode>
                <c:ptCount val="28"/>
                <c:pt idx="0">
                  <c:v>210</c:v>
                </c:pt>
                <c:pt idx="1">
                  <c:v>236</c:v>
                </c:pt>
                <c:pt idx="2">
                  <c:v>224</c:v>
                </c:pt>
                <c:pt idx="3">
                  <c:v>225</c:v>
                </c:pt>
                <c:pt idx="4">
                  <c:v>229</c:v>
                </c:pt>
                <c:pt idx="5">
                  <c:v>265</c:v>
                </c:pt>
                <c:pt idx="6">
                  <c:v>235</c:v>
                </c:pt>
                <c:pt idx="7">
                  <c:v>237</c:v>
                </c:pt>
                <c:pt idx="8">
                  <c:v>281</c:v>
                </c:pt>
                <c:pt idx="9">
                  <c:v>304</c:v>
                </c:pt>
                <c:pt idx="10">
                  <c:v>302</c:v>
                </c:pt>
                <c:pt idx="11">
                  <c:v>306</c:v>
                </c:pt>
                <c:pt idx="12">
                  <c:v>285</c:v>
                </c:pt>
                <c:pt idx="13">
                  <c:v>248</c:v>
                </c:pt>
                <c:pt idx="14">
                  <c:v>304</c:v>
                </c:pt>
                <c:pt idx="15">
                  <c:v>400</c:v>
                </c:pt>
                <c:pt idx="16">
                  <c:v>337</c:v>
                </c:pt>
                <c:pt idx="17">
                  <c:v>387</c:v>
                </c:pt>
                <c:pt idx="18">
                  <c:v>371</c:v>
                </c:pt>
                <c:pt idx="19">
                  <c:v>423</c:v>
                </c:pt>
                <c:pt idx="20">
                  <c:v>365</c:v>
                </c:pt>
                <c:pt idx="21">
                  <c:v>364</c:v>
                </c:pt>
                <c:pt idx="22">
                  <c:v>375</c:v>
                </c:pt>
                <c:pt idx="23">
                  <c:v>380</c:v>
                </c:pt>
                <c:pt idx="24">
                  <c:v>429</c:v>
                </c:pt>
                <c:pt idx="25">
                  <c:v>423</c:v>
                </c:pt>
                <c:pt idx="26">
                  <c:v>414</c:v>
                </c:pt>
                <c:pt idx="27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8B-4F98-8E47-373AB4697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1734079"/>
        <c:axId val="1771744479"/>
      </c:barChart>
      <c:catAx>
        <c:axId val="1771734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44479"/>
        <c:crosses val="autoZero"/>
        <c:auto val="1"/>
        <c:lblAlgn val="ctr"/>
        <c:lblOffset val="100"/>
        <c:noMultiLvlLbl val="0"/>
      </c:catAx>
      <c:valAx>
        <c:axId val="177174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3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[PROJECTSK.xlsx]CUSTOMER_TYPE!PivotTable3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CUSTOMER_TYPE!$B$3</c:f>
              <c:strCache>
                <c:ptCount val="1"/>
                <c:pt idx="0">
                  <c:v>Sum of final_amount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CUSTOMER_TYPE!$A$4:$A$7</c:f>
              <c:strCache>
                <c:ptCount val="3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CUSTOMER_TYPE!$B$4:$B$7</c:f>
              <c:numCache>
                <c:formatCode>"₹"\ #,##0</c:formatCode>
                <c:ptCount val="3"/>
                <c:pt idx="0">
                  <c:v>226553.8</c:v>
                </c:pt>
                <c:pt idx="1">
                  <c:v>122193.45000000003</c:v>
                </c:pt>
                <c:pt idx="2">
                  <c:v>520214.14999999991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9-4D26-A6D7-7F28D1BC1CF9}"/>
            </c:ext>
          </c:extLst>
        </c:ser>
        <c:ser>
          <c:idx val="1"/>
          <c:order val="1"/>
          <c:tx>
            <c:strRef>
              <c:f>CUSTOMER_TYPE!$C$3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CUSTOMER_TYPE!$A$4:$A$7</c:f>
              <c:strCache>
                <c:ptCount val="3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CUSTOMER_TYPE!$C$4:$C$7</c:f>
              <c:numCache>
                <c:formatCode>General</c:formatCode>
                <c:ptCount val="3"/>
                <c:pt idx="0">
                  <c:v>474</c:v>
                </c:pt>
                <c:pt idx="1">
                  <c:v>276</c:v>
                </c:pt>
                <c:pt idx="2">
                  <c:v>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9-4D26-A6D7-7F28D1BC1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9161327"/>
        <c:axId val="1729157167"/>
      </c:barChart>
      <c:catAx>
        <c:axId val="172916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157167"/>
        <c:crosses val="autoZero"/>
        <c:auto val="1"/>
        <c:lblAlgn val="ctr"/>
        <c:lblOffset val="100"/>
        <c:noMultiLvlLbl val="0"/>
      </c:catAx>
      <c:valAx>
        <c:axId val="17291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16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[PROJECTSK.xlsx]PIVOT_CATAGORY!PivotTable2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CATAGORY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PIVOT_CATAGORY!$B$3</c:f>
              <c:strCache>
                <c:ptCount val="1"/>
                <c:pt idx="0">
                  <c:v>Sum of item_total_price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PIVOT_CATAGORY!$A$4:$A$10</c:f>
              <c:strCache>
                <c:ptCount val="6"/>
                <c:pt idx="0">
                  <c:v>Beverages</c:v>
                </c:pt>
                <c:pt idx="1">
                  <c:v>Burger</c:v>
                </c:pt>
                <c:pt idx="2">
                  <c:v>Momos</c:v>
                </c:pt>
                <c:pt idx="3">
                  <c:v>Rolls</c:v>
                </c:pt>
                <c:pt idx="4">
                  <c:v>Sandwich</c:v>
                </c:pt>
                <c:pt idx="5">
                  <c:v>Starters</c:v>
                </c:pt>
              </c:strCache>
            </c:strRef>
          </c:cat>
          <c:val>
            <c:numRef>
              <c:f>PIVOT_CATAGORY!$B$4:$B$10</c:f>
              <c:numCache>
                <c:formatCode>"₹"\ #,##0</c:formatCode>
                <c:ptCount val="6"/>
                <c:pt idx="0">
                  <c:v>86683</c:v>
                </c:pt>
                <c:pt idx="1">
                  <c:v>80990</c:v>
                </c:pt>
                <c:pt idx="2">
                  <c:v>99406</c:v>
                </c:pt>
                <c:pt idx="3">
                  <c:v>78008</c:v>
                </c:pt>
                <c:pt idx="4">
                  <c:v>75818</c:v>
                </c:pt>
                <c:pt idx="5">
                  <c:v>545149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A-456C-AD87-1C558881AB7F}"/>
            </c:ext>
          </c:extLst>
        </c:ser>
        <c:ser>
          <c:idx val="1"/>
          <c:order val="1"/>
          <c:tx>
            <c:strRef>
              <c:f>PIVOT_CATAGORY!$C$3</c:f>
              <c:strCache>
                <c:ptCount val="1"/>
                <c:pt idx="0">
                  <c:v>Sum of TOTAL_PROFIT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PIVOT_CATAGORY!$A$4:$A$10</c:f>
              <c:strCache>
                <c:ptCount val="6"/>
                <c:pt idx="0">
                  <c:v>Beverages</c:v>
                </c:pt>
                <c:pt idx="1">
                  <c:v>Burger</c:v>
                </c:pt>
                <c:pt idx="2">
                  <c:v>Momos</c:v>
                </c:pt>
                <c:pt idx="3">
                  <c:v>Rolls</c:v>
                </c:pt>
                <c:pt idx="4">
                  <c:v>Sandwich</c:v>
                </c:pt>
                <c:pt idx="5">
                  <c:v>Starters</c:v>
                </c:pt>
              </c:strCache>
            </c:strRef>
          </c:cat>
          <c:val>
            <c:numRef>
              <c:f>PIVOT_CATAGORY!$C$4:$C$10</c:f>
              <c:numCache>
                <c:formatCode>"₹"\ #,##0</c:formatCode>
                <c:ptCount val="6"/>
                <c:pt idx="0">
                  <c:v>26358</c:v>
                </c:pt>
                <c:pt idx="1">
                  <c:v>24570</c:v>
                </c:pt>
                <c:pt idx="2">
                  <c:v>30159</c:v>
                </c:pt>
                <c:pt idx="3">
                  <c:v>23715</c:v>
                </c:pt>
                <c:pt idx="4">
                  <c:v>22974</c:v>
                </c:pt>
                <c:pt idx="5">
                  <c:v>164736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A-456C-AD87-1C558881A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730916895"/>
        <c:axId val="1730912319"/>
        <c:axId val="0"/>
      </c:bar3DChart>
      <c:catAx>
        <c:axId val="173091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12319"/>
        <c:crosses val="autoZero"/>
        <c:auto val="1"/>
        <c:lblAlgn val="ctr"/>
        <c:lblOffset val="100"/>
        <c:noMultiLvlLbl val="0"/>
      </c:catAx>
      <c:valAx>
        <c:axId val="173091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1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[PROJECTSK.xlsx]Channel Revenue!PivotTable3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WISE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'Channel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'Channel Revenue'!$A$4:$A$7</c:f>
              <c:strCache>
                <c:ptCount val="3"/>
                <c:pt idx="0">
                  <c:v>Direct</c:v>
                </c:pt>
                <c:pt idx="1">
                  <c:v>Swiggy</c:v>
                </c:pt>
                <c:pt idx="2">
                  <c:v>Zomato</c:v>
                </c:pt>
              </c:strCache>
            </c:strRef>
          </c:cat>
          <c:val>
            <c:numRef>
              <c:f>'Channel Revenue'!$B$4:$B$7</c:f>
              <c:numCache>
                <c:formatCode>General</c:formatCode>
                <c:ptCount val="3"/>
                <c:pt idx="0">
                  <c:v>128857.30000000003</c:v>
                </c:pt>
                <c:pt idx="1">
                  <c:v>296898.79999999993</c:v>
                </c:pt>
                <c:pt idx="2">
                  <c:v>443205.3000000001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9-4F8C-8B73-7411117D4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0900671"/>
        <c:axId val="1730903999"/>
        <c:axId val="0"/>
      </c:bar3DChart>
      <c:catAx>
        <c:axId val="1730900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03999"/>
        <c:crosses val="autoZero"/>
        <c:auto val="1"/>
        <c:lblAlgn val="ctr"/>
        <c:lblOffset val="100"/>
        <c:noMultiLvlLbl val="0"/>
      </c:catAx>
      <c:valAx>
        <c:axId val="173090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00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976312</xdr:colOff>
      <xdr:row>6</xdr:row>
      <xdr:rowOff>138112</xdr:rowOff>
    </xdr:from>
    <xdr:to>
      <xdr:col>7</xdr:col>
      <xdr:colOff>33337</xdr:colOff>
      <xdr:row>21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FA6FE-BEC4-4055-87E0-B71D1A785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557212</xdr:colOff>
      <xdr:row>4</xdr:row>
      <xdr:rowOff>14287</xdr:rowOff>
    </xdr:from>
    <xdr:to>
      <xdr:col>10</xdr:col>
      <xdr:colOff>252412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7AE70-B4B8-41A1-BA44-30253B4ED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423862</xdr:colOff>
      <xdr:row>16</xdr:row>
      <xdr:rowOff>100012</xdr:rowOff>
    </xdr:from>
    <xdr:to>
      <xdr:col>11</xdr:col>
      <xdr:colOff>119062</xdr:colOff>
      <xdr:row>30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CB21F-CEAF-48A9-B8C4-DEFBECAED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</xdr:colOff>
      <xdr:row>0</xdr:row>
      <xdr:rowOff>42862</xdr:rowOff>
    </xdr:from>
    <xdr:to>
      <xdr:col>11</xdr:col>
      <xdr:colOff>376237</xdr:colOff>
      <xdr:row>14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FF1C0-71AF-4382-A710-9BE96E8F9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128587</xdr:rowOff>
    </xdr:from>
    <xdr:to>
      <xdr:col>11</xdr:col>
      <xdr:colOff>285750</xdr:colOff>
      <xdr:row>15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A658C2-F763-4223-869F-DAA17EB4B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4</xdr:row>
      <xdr:rowOff>14287</xdr:rowOff>
    </xdr:from>
    <xdr:to>
      <xdr:col>8</xdr:col>
      <xdr:colOff>333375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97E12C-4232-4007-B49E-435C8A188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19.508784259262" createdVersion="7" refreshedVersion="7" minRefreshableVersion="3" recordCount="1844" xr:uid="{00000000-000A-0000-FFFF-FFFF47000000}">
  <cacheSource type="worksheet">
    <worksheetSource ref="A1:J1845" sheet="orders"/>
  </cacheSource>
  <cacheFields count="12">
    <cacheField name="order_id" numFmtId="49">
      <sharedItems/>
    </cacheField>
    <cacheField name="customer_id" numFmtId="49">
      <sharedItems/>
    </cacheField>
    <cacheField name="order_channel" numFmtId="49">
      <sharedItems count="3">
        <s v="Swiggy"/>
        <s v="Zomato"/>
        <s v="Direct"/>
      </sharedItems>
    </cacheField>
    <cacheField name="order_date" numFmtId="14">
      <sharedItems containsSemiMixedTypes="0" containsNonDate="0" containsDate="1" containsString="0" minDate="2024-04-01T00:00:00" maxDate="2025-04-01T00:00:00" count="361">
        <d v="2024-10-31T00:00:00"/>
        <d v="2024-11-02T00:00:00"/>
        <d v="2024-10-11T00:00:00"/>
        <d v="2024-11-19T00:00:00"/>
        <d v="2024-08-01T00:00:00"/>
        <d v="2024-12-15T00:00:00"/>
        <d v="2024-04-29T00:00:00"/>
        <d v="2024-11-11T00:00:00"/>
        <d v="2024-04-05T00:00:00"/>
        <d v="2024-10-10T00:00:00"/>
        <d v="2024-12-19T00:00:00"/>
        <d v="2024-07-05T00:00:00"/>
        <d v="2025-01-12T00:00:00"/>
        <d v="2024-11-09T00:00:00"/>
        <d v="2024-11-12T00:00:00"/>
        <d v="2025-03-14T00:00:00"/>
        <d v="2025-03-28T00:00:00"/>
        <d v="2025-03-31T00:00:00"/>
        <d v="2024-11-18T00:00:00"/>
        <d v="2025-01-19T00:00:00"/>
        <d v="2024-11-07T00:00:00"/>
        <d v="2024-11-08T00:00:00"/>
        <d v="2024-05-21T00:00:00"/>
        <d v="2024-06-21T00:00:00"/>
        <d v="2024-07-06T00:00:00"/>
        <d v="2024-09-20T00:00:00"/>
        <d v="2024-05-26T00:00:00"/>
        <d v="2024-11-10T00:00:00"/>
        <d v="2025-02-12T00:00:00"/>
        <d v="2024-04-06T00:00:00"/>
        <d v="2025-03-02T00:00:00"/>
        <d v="2024-10-19T00:00:00"/>
        <d v="2024-08-08T00:00:00"/>
        <d v="2024-12-27T00:00:00"/>
        <d v="2024-06-05T00:00:00"/>
        <d v="2024-06-10T00:00:00"/>
        <d v="2024-10-16T00:00:00"/>
        <d v="2024-08-15T00:00:00"/>
        <d v="2024-10-29T00:00:00"/>
        <d v="2025-02-02T00:00:00"/>
        <d v="2024-12-22T00:00:00"/>
        <d v="2024-05-17T00:00:00"/>
        <d v="2024-05-28T00:00:00"/>
        <d v="2025-01-25T00:00:00"/>
        <d v="2024-05-18T00:00:00"/>
        <d v="2025-02-24T00:00:00"/>
        <d v="2024-11-26T00:00:00"/>
        <d v="2024-08-11T00:00:00"/>
        <d v="2024-04-22T00:00:00"/>
        <d v="2024-11-04T00:00:00"/>
        <d v="2024-04-01T00:00:00"/>
        <d v="2025-02-01T00:00:00"/>
        <d v="2025-03-12T00:00:00"/>
        <d v="2024-11-05T00:00:00"/>
        <d v="2025-03-25T00:00:00"/>
        <d v="2025-01-09T00:00:00"/>
        <d v="2024-11-28T00:00:00"/>
        <d v="2025-02-16T00:00:00"/>
        <d v="2024-05-10T00:00:00"/>
        <d v="2024-09-22T00:00:00"/>
        <d v="2024-10-06T00:00:00"/>
        <d v="2024-12-03T00:00:00"/>
        <d v="2024-07-25T00:00:00"/>
        <d v="2024-08-18T00:00:00"/>
        <d v="2024-11-27T00:00:00"/>
        <d v="2024-10-12T00:00:00"/>
        <d v="2024-09-02T00:00:00"/>
        <d v="2025-02-21T00:00:00"/>
        <d v="2024-06-15T00:00:00"/>
        <d v="2024-05-09T00:00:00"/>
        <d v="2024-12-30T00:00:00"/>
        <d v="2025-03-13T00:00:00"/>
        <d v="2024-04-09T00:00:00"/>
        <d v="2024-09-04T00:00:00"/>
        <d v="2024-08-02T00:00:00"/>
        <d v="2025-02-03T00:00:00"/>
        <d v="2024-08-26T00:00:00"/>
        <d v="2025-01-14T00:00:00"/>
        <d v="2024-06-11T00:00:00"/>
        <d v="2024-11-03T00:00:00"/>
        <d v="2024-04-21T00:00:00"/>
        <d v="2024-04-20T00:00:00"/>
        <d v="2024-12-26T00:00:00"/>
        <d v="2025-01-24T00:00:00"/>
        <d v="2024-10-21T00:00:00"/>
        <d v="2024-12-16T00:00:00"/>
        <d v="2024-12-08T00:00:00"/>
        <d v="2025-01-13T00:00:00"/>
        <d v="2024-12-28T00:00:00"/>
        <d v="2024-11-21T00:00:00"/>
        <d v="2024-05-06T00:00:00"/>
        <d v="2025-03-16T00:00:00"/>
        <d v="2024-10-18T00:00:00"/>
        <d v="2024-05-11T00:00:00"/>
        <d v="2025-01-11T00:00:00"/>
        <d v="2024-11-25T00:00:00"/>
        <d v="2024-10-25T00:00:00"/>
        <d v="2024-12-01T00:00:00"/>
        <d v="2024-08-27T00:00:00"/>
        <d v="2025-02-18T00:00:00"/>
        <d v="2024-11-29T00:00:00"/>
        <d v="2025-01-17T00:00:00"/>
        <d v="2024-10-20T00:00:00"/>
        <d v="2024-09-17T00:00:00"/>
        <d v="2024-11-22T00:00:00"/>
        <d v="2025-02-09T00:00:00"/>
        <d v="2024-05-22T00:00:00"/>
        <d v="2025-01-02T00:00:00"/>
        <d v="2024-09-15T00:00:00"/>
        <d v="2024-08-21T00:00:00"/>
        <d v="2024-10-30T00:00:00"/>
        <d v="2024-07-16T00:00:00"/>
        <d v="2024-10-08T00:00:00"/>
        <d v="2024-08-25T00:00:00"/>
        <d v="2024-08-31T00:00:00"/>
        <d v="2024-11-17T00:00:00"/>
        <d v="2024-09-12T00:00:00"/>
        <d v="2025-03-30T00:00:00"/>
        <d v="2024-07-14T00:00:00"/>
        <d v="2024-11-06T00:00:00"/>
        <d v="2025-03-04T00:00:00"/>
        <d v="2024-07-22T00:00:00"/>
        <d v="2024-06-24T00:00:00"/>
        <d v="2024-07-04T00:00:00"/>
        <d v="2024-10-05T00:00:00"/>
        <d v="2024-08-22T00:00:00"/>
        <d v="2024-05-19T00:00:00"/>
        <d v="2024-08-16T00:00:00"/>
        <d v="2024-07-12T00:00:00"/>
        <d v="2024-12-21T00:00:00"/>
        <d v="2024-04-07T00:00:00"/>
        <d v="2024-06-16T00:00:00"/>
        <d v="2024-09-03T00:00:00"/>
        <d v="2024-08-12T00:00:00"/>
        <d v="2024-09-07T00:00:00"/>
        <d v="2024-05-08T00:00:00"/>
        <d v="2024-12-02T00:00:00"/>
        <d v="2024-09-16T00:00:00"/>
        <d v="2024-05-30T00:00:00"/>
        <d v="2024-07-09T00:00:00"/>
        <d v="2024-08-24T00:00:00"/>
        <d v="2024-12-09T00:00:00"/>
        <d v="2025-03-03T00:00:00"/>
        <d v="2025-01-04T00:00:00"/>
        <d v="2024-08-13T00:00:00"/>
        <d v="2024-06-03T00:00:00"/>
        <d v="2025-02-26T00:00:00"/>
        <d v="2024-07-26T00:00:00"/>
        <d v="2024-09-18T00:00:00"/>
        <d v="2025-01-31T00:00:00"/>
        <d v="2025-03-20T00:00:00"/>
        <d v="2024-05-04T00:00:00"/>
        <d v="2024-10-17T00:00:00"/>
        <d v="2025-03-29T00:00:00"/>
        <d v="2024-09-27T00:00:00"/>
        <d v="2024-06-12T00:00:00"/>
        <d v="2024-06-07T00:00:00"/>
        <d v="2024-05-15T00:00:00"/>
        <d v="2024-08-05T00:00:00"/>
        <d v="2024-04-25T00:00:00"/>
        <d v="2024-04-04T00:00:00"/>
        <d v="2024-05-02T00:00:00"/>
        <d v="2024-12-25T00:00:00"/>
        <d v="2024-07-24T00:00:00"/>
        <d v="2024-04-13T00:00:00"/>
        <d v="2024-12-29T00:00:00"/>
        <d v="2024-11-16T00:00:00"/>
        <d v="2024-06-29T00:00:00"/>
        <d v="2024-12-31T00:00:00"/>
        <d v="2025-02-22T00:00:00"/>
        <d v="2024-10-13T00:00:00"/>
        <d v="2024-07-13T00:00:00"/>
        <d v="2024-08-17T00:00:00"/>
        <d v="2024-06-09T00:00:00"/>
        <d v="2024-10-22T00:00:00"/>
        <d v="2025-01-16T00:00:00"/>
        <d v="2024-05-05T00:00:00"/>
        <d v="2024-04-15T00:00:00"/>
        <d v="2025-02-07T00:00:00"/>
        <d v="2024-11-23T00:00:00"/>
        <d v="2024-11-15T00:00:00"/>
        <d v="2025-01-18T00:00:00"/>
        <d v="2024-04-10T00:00:00"/>
        <d v="2024-12-12T00:00:00"/>
        <d v="2024-08-30T00:00:00"/>
        <d v="2024-07-18T00:00:00"/>
        <d v="2025-01-29T00:00:00"/>
        <d v="2025-03-22T00:00:00"/>
        <d v="2024-09-29T00:00:00"/>
        <d v="2024-09-09T00:00:00"/>
        <d v="2025-03-23T00:00:00"/>
        <d v="2024-11-13T00:00:00"/>
        <d v="2024-06-20T00:00:00"/>
        <d v="2025-03-15T00:00:00"/>
        <d v="2025-03-21T00:00:00"/>
        <d v="2024-05-07T00:00:00"/>
        <d v="2025-01-06T00:00:00"/>
        <d v="2024-08-10T00:00:00"/>
        <d v="2024-07-01T00:00:00"/>
        <d v="2024-05-12T00:00:00"/>
        <d v="2024-11-20T00:00:00"/>
        <d v="2024-10-27T00:00:00"/>
        <d v="2024-04-12T00:00:00"/>
        <d v="2024-10-14T00:00:00"/>
        <d v="2024-09-13T00:00:00"/>
        <d v="2025-03-07T00:00:00"/>
        <d v="2024-04-26T00:00:00"/>
        <d v="2025-03-18T00:00:00"/>
        <d v="2024-09-10T00:00:00"/>
        <d v="2024-12-13T00:00:00"/>
        <d v="2025-01-30T00:00:00"/>
        <d v="2024-04-27T00:00:00"/>
        <d v="2024-09-25T00:00:00"/>
        <d v="2025-03-08T00:00:00"/>
        <d v="2024-04-17T00:00:00"/>
        <d v="2024-08-09T00:00:00"/>
        <d v="2024-05-16T00:00:00"/>
        <d v="2025-03-24T00:00:00"/>
        <d v="2024-10-02T00:00:00"/>
        <d v="2024-11-14T00:00:00"/>
        <d v="2024-08-04T00:00:00"/>
        <d v="2024-09-30T00:00:00"/>
        <d v="2024-09-24T00:00:00"/>
        <d v="2024-12-05T00:00:00"/>
        <d v="2024-04-08T00:00:00"/>
        <d v="2024-08-19T00:00:00"/>
        <d v="2024-06-01T00:00:00"/>
        <d v="2024-07-21T00:00:00"/>
        <d v="2025-01-23T00:00:00"/>
        <d v="2024-08-29T00:00:00"/>
        <d v="2025-03-10T00:00:00"/>
        <d v="2025-02-25T00:00:00"/>
        <d v="2025-03-09T00:00:00"/>
        <d v="2024-12-17T00:00:00"/>
        <d v="2024-08-14T00:00:00"/>
        <d v="2024-08-03T00:00:00"/>
        <d v="2024-09-21T00:00:00"/>
        <d v="2024-07-11T00:00:00"/>
        <d v="2024-09-08T00:00:00"/>
        <d v="2024-09-23T00:00:00"/>
        <d v="2025-02-23T00:00:00"/>
        <d v="2024-07-07T00:00:00"/>
        <d v="2024-12-10T00:00:00"/>
        <d v="2025-03-01T00:00:00"/>
        <d v="2024-07-19T00:00:00"/>
        <d v="2025-02-04T00:00:00"/>
        <d v="2025-02-20T00:00:00"/>
        <d v="2024-06-18T00:00:00"/>
        <d v="2024-07-27T00:00:00"/>
        <d v="2024-08-06T00:00:00"/>
        <d v="2024-11-24T00:00:00"/>
        <d v="2024-05-03T00:00:00"/>
        <d v="2025-01-01T00:00:00"/>
        <d v="2024-11-30T00:00:00"/>
        <d v="2024-07-10T00:00:00"/>
        <d v="2024-05-25T00:00:00"/>
        <d v="2025-03-27T00:00:00"/>
        <d v="2024-10-01T00:00:00"/>
        <d v="2024-07-20T00:00:00"/>
        <d v="2024-12-20T00:00:00"/>
        <d v="2024-05-20T00:00:00"/>
        <d v="2025-01-28T00:00:00"/>
        <d v="2024-07-28T00:00:00"/>
        <d v="2024-12-06T00:00:00"/>
        <d v="2024-06-13T00:00:00"/>
        <d v="2024-04-14T00:00:00"/>
        <d v="2024-12-11T00:00:00"/>
        <d v="2025-01-26T00:00:00"/>
        <d v="2024-04-02T00:00:00"/>
        <d v="2024-09-01T00:00:00"/>
        <d v="2024-08-20T00:00:00"/>
        <d v="2024-08-23T00:00:00"/>
        <d v="2024-05-24T00:00:00"/>
        <d v="2024-04-30T00:00:00"/>
        <d v="2025-01-08T00:00:00"/>
        <d v="2024-04-24T00:00:00"/>
        <d v="2024-04-11T00:00:00"/>
        <d v="2024-06-14T00:00:00"/>
        <d v="2024-09-05T00:00:00"/>
        <d v="2025-02-28T00:00:00"/>
        <d v="2025-03-17T00:00:00"/>
        <d v="2024-09-14T00:00:00"/>
        <d v="2024-06-28T00:00:00"/>
        <d v="2024-12-07T00:00:00"/>
        <d v="2025-01-22T00:00:00"/>
        <d v="2024-06-08T00:00:00"/>
        <d v="2024-10-28T00:00:00"/>
        <d v="2024-07-02T00:00:00"/>
        <d v="2025-01-27T00:00:00"/>
        <d v="2025-02-06T00:00:00"/>
        <d v="2024-08-07T00:00:00"/>
        <d v="2024-04-19T00:00:00"/>
        <d v="2024-04-28T00:00:00"/>
        <d v="2024-07-03T00:00:00"/>
        <d v="2024-06-27T00:00:00"/>
        <d v="2024-07-30T00:00:00"/>
        <d v="2024-06-06T00:00:00"/>
        <d v="2024-12-24T00:00:00"/>
        <d v="2025-02-14T00:00:00"/>
        <d v="2024-10-07T00:00:00"/>
        <d v="2025-02-10T00:00:00"/>
        <d v="2024-12-14T00:00:00"/>
        <d v="2025-02-15T00:00:00"/>
        <d v="2024-10-04T00:00:00"/>
        <d v="2024-06-26T00:00:00"/>
        <d v="2025-01-20T00:00:00"/>
        <d v="2024-07-15T00:00:00"/>
        <d v="2025-02-11T00:00:00"/>
        <d v="2024-06-30T00:00:00"/>
        <d v="2024-04-16T00:00:00"/>
        <d v="2025-02-05T00:00:00"/>
        <d v="2024-05-14T00:00:00"/>
        <d v="2025-01-15T00:00:00"/>
        <d v="2024-10-26T00:00:00"/>
        <d v="2024-10-23T00:00:00"/>
        <d v="2024-06-22T00:00:00"/>
        <d v="2025-01-21T00:00:00"/>
        <d v="2024-12-04T00:00:00"/>
        <d v="2025-03-05T00:00:00"/>
        <d v="2024-07-23T00:00:00"/>
        <d v="2024-12-18T00:00:00"/>
        <d v="2025-03-19T00:00:00"/>
        <d v="2024-06-04T00:00:00"/>
        <d v="2025-02-13T00:00:00"/>
        <d v="2024-09-26T00:00:00"/>
        <d v="2025-02-17T00:00:00"/>
        <d v="2024-10-09T00:00:00"/>
        <d v="2024-10-24T00:00:00"/>
        <d v="2024-09-11T00:00:00"/>
        <d v="2025-03-11T00:00:00"/>
        <d v="2024-07-29T00:00:00"/>
        <d v="2025-01-05T00:00:00"/>
        <d v="2025-01-03T00:00:00"/>
        <d v="2024-04-23T00:00:00"/>
        <d v="2024-05-27T00:00:00"/>
        <d v="2024-06-02T00:00:00"/>
        <d v="2024-05-23T00:00:00"/>
        <d v="2024-05-31T00:00:00"/>
        <d v="2024-05-01T00:00:00"/>
        <d v="2024-06-19T00:00:00"/>
        <d v="2025-02-19T00:00:00"/>
        <d v="2024-09-28T00:00:00"/>
        <d v="2025-01-10T00:00:00"/>
        <d v="2024-07-17T00:00:00"/>
        <d v="2024-11-01T00:00:00"/>
        <d v="2024-07-31T00:00:00"/>
        <d v="2024-06-23T00:00:00"/>
        <d v="2024-05-13T00:00:00"/>
        <d v="2025-02-08T00:00:00"/>
        <d v="2024-09-19T00:00:00"/>
        <d v="2025-03-06T00:00:00"/>
        <d v="2024-08-28T00:00:00"/>
        <d v="2024-10-15T00:00:00"/>
        <d v="2024-12-23T00:00:00"/>
        <d v="2025-02-27T00:00:00"/>
        <d v="2024-07-08T00:00:00"/>
        <d v="2024-09-06T00:00:00"/>
        <d v="2025-03-26T00:00:00"/>
        <d v="2025-01-07T00:00:00"/>
        <d v="2024-10-03T00:00:00"/>
        <d v="2024-06-25T00:00:00"/>
      </sharedItems>
      <fieldGroup par="11" base="3">
        <rangePr groupBy="months" startDate="2024-04-01T00:00:00" endDate="2025-04-01T00:00:00"/>
        <groupItems count="14">
          <s v="&lt;0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5"/>
        </groupItems>
      </fieldGroup>
    </cacheField>
    <cacheField name="order_time" numFmtId="165">
      <sharedItems containsSemiMixedTypes="0" containsNonDate="0" containsDate="1" containsString="0" minDate="1899-12-30T00:02:00" maxDate="1899-12-30T23:58:00"/>
    </cacheField>
    <cacheField name="order_status" numFmtId="49">
      <sharedItems/>
    </cacheField>
    <cacheField name="total_amount" numFmtId="164">
      <sharedItems containsSemiMixedTypes="0" containsString="0" containsNumber="1" containsInteger="1" minValue="49" maxValue="2005"/>
    </cacheField>
    <cacheField name="discount" numFmtId="164">
      <sharedItems containsSemiMixedTypes="0" containsString="0" containsNumber="1" minValue="0" maxValue="223.5"/>
    </cacheField>
    <cacheField name="final_amount" numFmtId="164">
      <sharedItems containsSemiMixedTypes="0" containsString="0" containsNumber="1" minValue="0" maxValue="2005"/>
    </cacheField>
    <cacheField name="check_total" numFmtId="164">
      <sharedItems containsSemiMixedTypes="0" containsString="0" containsNumber="1" containsInteger="1" minValue="49" maxValue="2005"/>
    </cacheField>
    <cacheField name="Quarters" numFmtId="0" databaseField="0">
      <fieldGroup base="3">
        <rangePr groupBy="quarters" startDate="2024-04-01T00:00:00" endDate="2025-04-01T00:00:00"/>
        <groupItems count="6">
          <s v="&lt;01-04-2024"/>
          <s v="Qtr1"/>
          <s v="Qtr2"/>
          <s v="Qtr3"/>
          <s v="Qtr4"/>
          <s v="&gt;01-04-2025"/>
        </groupItems>
      </fieldGroup>
    </cacheField>
    <cacheField name="Years" numFmtId="0" databaseField="0">
      <fieldGroup base="3">
        <rangePr groupBy="years" startDate="2024-04-01T00:00:00" endDate="2025-04-01T00:00:00"/>
        <groupItems count="4">
          <s v="&lt;01-04-2024"/>
          <s v="2024"/>
          <s v="2025"/>
          <s v="&gt;01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19.508784837963" createdVersion="7" refreshedVersion="7" minRefreshableVersion="3" recordCount="4585" xr:uid="{A3023573-0C18-448F-B030-7DA2873AD3D2}">
  <cacheSource type="worksheet">
    <worksheetSource ref="B1:I4586" sheet="order_item"/>
  </cacheSource>
  <cacheFields count="8">
    <cacheField name="order_id" numFmtId="49">
      <sharedItems/>
    </cacheField>
    <cacheField name="item_id" numFmtId="49">
      <sharedItems/>
    </cacheField>
    <cacheField name="quantity" numFmtId="1">
      <sharedItems containsSemiMixedTypes="0" containsString="0" containsNumber="1" containsInteger="1" minValue="1" maxValue="5"/>
    </cacheField>
    <cacheField name="item_total_price" numFmtId="164">
      <sharedItems containsSemiMixedTypes="0" containsString="0" containsNumber="1" containsInteger="1" minValue="49" maxValue="795"/>
    </cacheField>
    <cacheField name="item_name" numFmtId="2">
      <sharedItems count="28">
        <s v="Spring Roll"/>
        <s v="Chicken Wings"/>
        <s v="Paneer Burger"/>
        <s v="Paneer Momos"/>
        <s v="Watermelon Mojito"/>
        <s v="Veg Momos"/>
        <s v="Chicken Popcorn"/>
        <s v="Veg Nuggets"/>
        <s v="Chicken Roll"/>
        <s v="Chicken Burger"/>
        <s v="Virgin Mojito"/>
        <s v="Fish Finger"/>
        <s v="Paneer Sandwich"/>
        <s v="Lemon Juice"/>
        <s v="Chicken Nuggets"/>
        <s v="Fried Chicken"/>
        <s v="Chicken Momos"/>
        <s v="Mint Mojito"/>
        <s v="Chicken Strips"/>
        <s v="Veg Burger"/>
        <s v="Veg Roll"/>
        <s v="Chicken Lollipop"/>
        <s v="Grab Lollipop"/>
        <s v="French Fries"/>
        <s v="Veg Sandwich"/>
        <s v="Blue Curacao Mojito"/>
        <s v="Paneer Roll"/>
        <s v="Chicken Sandwich"/>
      </sharedItems>
    </cacheField>
    <cacheField name="CATEGORY" numFmtId="2">
      <sharedItems count="6">
        <s v="Rolls"/>
        <s v="Starters"/>
        <s v="Burger"/>
        <s v="Momos"/>
        <s v="Beverages"/>
        <s v="Sandwich"/>
      </sharedItems>
    </cacheField>
    <cacheField name="PROFIT_PER_UNIT" numFmtId="2">
      <sharedItems containsSemiMixedTypes="0" containsString="0" containsNumber="1" containsInteger="1" minValue="15" maxValue="48"/>
    </cacheField>
    <cacheField name="TOTAL_PROFIT" numFmtId="2">
      <sharedItems containsSemiMixedTypes="0" containsString="0" containsNumber="1" containsInteger="1" minValue="15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19.536489699072" createdVersion="7" refreshedVersion="7" minRefreshableVersion="3" recordCount="1844" xr:uid="{FFF5D71B-CA08-4D1D-9E67-11FAC05148E0}">
  <cacheSource type="worksheet">
    <worksheetSource ref="A1:K1845" sheet="orders"/>
  </cacheSource>
  <cacheFields count="12">
    <cacheField name="order_id" numFmtId="49">
      <sharedItems/>
    </cacheField>
    <cacheField name="customer_id" numFmtId="49">
      <sharedItems/>
    </cacheField>
    <cacheField name="order_channel" numFmtId="49">
      <sharedItems/>
    </cacheField>
    <cacheField name="order_date" numFmtId="14">
      <sharedItems containsSemiMixedTypes="0" containsNonDate="0" containsDate="1" containsString="0" minDate="2024-04-01T00:00:00" maxDate="2025-04-01T00:00:00" count="361">
        <d v="2024-10-31T00:00:00"/>
        <d v="2024-11-02T00:00:00"/>
        <d v="2024-10-11T00:00:00"/>
        <d v="2024-11-19T00:00:00"/>
        <d v="2024-08-01T00:00:00"/>
        <d v="2024-12-15T00:00:00"/>
        <d v="2024-04-29T00:00:00"/>
        <d v="2024-11-11T00:00:00"/>
        <d v="2024-04-05T00:00:00"/>
        <d v="2024-10-10T00:00:00"/>
        <d v="2024-12-19T00:00:00"/>
        <d v="2024-07-05T00:00:00"/>
        <d v="2025-01-12T00:00:00"/>
        <d v="2024-11-09T00:00:00"/>
        <d v="2024-11-12T00:00:00"/>
        <d v="2025-03-14T00:00:00"/>
        <d v="2025-03-28T00:00:00"/>
        <d v="2025-03-31T00:00:00"/>
        <d v="2024-11-18T00:00:00"/>
        <d v="2025-01-19T00:00:00"/>
        <d v="2024-11-07T00:00:00"/>
        <d v="2024-11-08T00:00:00"/>
        <d v="2024-05-21T00:00:00"/>
        <d v="2024-06-21T00:00:00"/>
        <d v="2024-07-06T00:00:00"/>
        <d v="2024-09-20T00:00:00"/>
        <d v="2024-05-26T00:00:00"/>
        <d v="2024-11-10T00:00:00"/>
        <d v="2025-02-12T00:00:00"/>
        <d v="2024-04-06T00:00:00"/>
        <d v="2025-03-02T00:00:00"/>
        <d v="2024-10-19T00:00:00"/>
        <d v="2024-08-08T00:00:00"/>
        <d v="2024-12-27T00:00:00"/>
        <d v="2024-06-05T00:00:00"/>
        <d v="2024-06-10T00:00:00"/>
        <d v="2024-10-16T00:00:00"/>
        <d v="2024-08-15T00:00:00"/>
        <d v="2024-10-29T00:00:00"/>
        <d v="2025-02-02T00:00:00"/>
        <d v="2024-12-22T00:00:00"/>
        <d v="2024-05-17T00:00:00"/>
        <d v="2024-05-28T00:00:00"/>
        <d v="2025-01-25T00:00:00"/>
        <d v="2024-05-18T00:00:00"/>
        <d v="2025-02-24T00:00:00"/>
        <d v="2024-11-26T00:00:00"/>
        <d v="2024-08-11T00:00:00"/>
        <d v="2024-04-22T00:00:00"/>
        <d v="2024-11-04T00:00:00"/>
        <d v="2024-04-01T00:00:00"/>
        <d v="2025-02-01T00:00:00"/>
        <d v="2025-03-12T00:00:00"/>
        <d v="2024-11-05T00:00:00"/>
        <d v="2025-03-25T00:00:00"/>
        <d v="2025-01-09T00:00:00"/>
        <d v="2024-11-28T00:00:00"/>
        <d v="2025-02-16T00:00:00"/>
        <d v="2024-05-10T00:00:00"/>
        <d v="2024-09-22T00:00:00"/>
        <d v="2024-10-06T00:00:00"/>
        <d v="2024-12-03T00:00:00"/>
        <d v="2024-07-25T00:00:00"/>
        <d v="2024-08-18T00:00:00"/>
        <d v="2024-11-27T00:00:00"/>
        <d v="2024-10-12T00:00:00"/>
        <d v="2024-09-02T00:00:00"/>
        <d v="2025-02-21T00:00:00"/>
        <d v="2024-06-15T00:00:00"/>
        <d v="2024-05-09T00:00:00"/>
        <d v="2024-12-30T00:00:00"/>
        <d v="2025-03-13T00:00:00"/>
        <d v="2024-04-09T00:00:00"/>
        <d v="2024-09-04T00:00:00"/>
        <d v="2024-08-02T00:00:00"/>
        <d v="2025-02-03T00:00:00"/>
        <d v="2024-08-26T00:00:00"/>
        <d v="2025-01-14T00:00:00"/>
        <d v="2024-06-11T00:00:00"/>
        <d v="2024-11-03T00:00:00"/>
        <d v="2024-04-21T00:00:00"/>
        <d v="2024-04-20T00:00:00"/>
        <d v="2024-12-26T00:00:00"/>
        <d v="2025-01-24T00:00:00"/>
        <d v="2024-10-21T00:00:00"/>
        <d v="2024-12-16T00:00:00"/>
        <d v="2024-12-08T00:00:00"/>
        <d v="2025-01-13T00:00:00"/>
        <d v="2024-12-28T00:00:00"/>
        <d v="2024-11-21T00:00:00"/>
        <d v="2024-05-06T00:00:00"/>
        <d v="2025-03-16T00:00:00"/>
        <d v="2024-10-18T00:00:00"/>
        <d v="2024-05-11T00:00:00"/>
        <d v="2025-01-11T00:00:00"/>
        <d v="2024-11-25T00:00:00"/>
        <d v="2024-10-25T00:00:00"/>
        <d v="2024-12-01T00:00:00"/>
        <d v="2024-08-27T00:00:00"/>
        <d v="2025-02-18T00:00:00"/>
        <d v="2024-11-29T00:00:00"/>
        <d v="2025-01-17T00:00:00"/>
        <d v="2024-10-20T00:00:00"/>
        <d v="2024-09-17T00:00:00"/>
        <d v="2024-11-22T00:00:00"/>
        <d v="2025-02-09T00:00:00"/>
        <d v="2024-05-22T00:00:00"/>
        <d v="2025-01-02T00:00:00"/>
        <d v="2024-09-15T00:00:00"/>
        <d v="2024-08-21T00:00:00"/>
        <d v="2024-10-30T00:00:00"/>
        <d v="2024-07-16T00:00:00"/>
        <d v="2024-10-08T00:00:00"/>
        <d v="2024-08-25T00:00:00"/>
        <d v="2024-08-31T00:00:00"/>
        <d v="2024-11-17T00:00:00"/>
        <d v="2024-09-12T00:00:00"/>
        <d v="2025-03-30T00:00:00"/>
        <d v="2024-07-14T00:00:00"/>
        <d v="2024-11-06T00:00:00"/>
        <d v="2025-03-04T00:00:00"/>
        <d v="2024-07-22T00:00:00"/>
        <d v="2024-06-24T00:00:00"/>
        <d v="2024-07-04T00:00:00"/>
        <d v="2024-10-05T00:00:00"/>
        <d v="2024-08-22T00:00:00"/>
        <d v="2024-05-19T00:00:00"/>
        <d v="2024-08-16T00:00:00"/>
        <d v="2024-07-12T00:00:00"/>
        <d v="2024-12-21T00:00:00"/>
        <d v="2024-04-07T00:00:00"/>
        <d v="2024-06-16T00:00:00"/>
        <d v="2024-09-03T00:00:00"/>
        <d v="2024-08-12T00:00:00"/>
        <d v="2024-09-07T00:00:00"/>
        <d v="2024-05-08T00:00:00"/>
        <d v="2024-12-02T00:00:00"/>
        <d v="2024-09-16T00:00:00"/>
        <d v="2024-05-30T00:00:00"/>
        <d v="2024-07-09T00:00:00"/>
        <d v="2024-08-24T00:00:00"/>
        <d v="2024-12-09T00:00:00"/>
        <d v="2025-03-03T00:00:00"/>
        <d v="2025-01-04T00:00:00"/>
        <d v="2024-08-13T00:00:00"/>
        <d v="2024-06-03T00:00:00"/>
        <d v="2025-02-26T00:00:00"/>
        <d v="2024-07-26T00:00:00"/>
        <d v="2024-09-18T00:00:00"/>
        <d v="2025-01-31T00:00:00"/>
        <d v="2025-03-20T00:00:00"/>
        <d v="2024-05-04T00:00:00"/>
        <d v="2024-10-17T00:00:00"/>
        <d v="2025-03-29T00:00:00"/>
        <d v="2024-09-27T00:00:00"/>
        <d v="2024-06-12T00:00:00"/>
        <d v="2024-06-07T00:00:00"/>
        <d v="2024-05-15T00:00:00"/>
        <d v="2024-08-05T00:00:00"/>
        <d v="2024-04-25T00:00:00"/>
        <d v="2024-04-04T00:00:00"/>
        <d v="2024-05-02T00:00:00"/>
        <d v="2024-12-25T00:00:00"/>
        <d v="2024-07-24T00:00:00"/>
        <d v="2024-04-13T00:00:00"/>
        <d v="2024-12-29T00:00:00"/>
        <d v="2024-11-16T00:00:00"/>
        <d v="2024-06-29T00:00:00"/>
        <d v="2024-12-31T00:00:00"/>
        <d v="2025-02-22T00:00:00"/>
        <d v="2024-10-13T00:00:00"/>
        <d v="2024-07-13T00:00:00"/>
        <d v="2024-08-17T00:00:00"/>
        <d v="2024-06-09T00:00:00"/>
        <d v="2024-10-22T00:00:00"/>
        <d v="2025-01-16T00:00:00"/>
        <d v="2024-05-05T00:00:00"/>
        <d v="2024-04-15T00:00:00"/>
        <d v="2025-02-07T00:00:00"/>
        <d v="2024-11-23T00:00:00"/>
        <d v="2024-11-15T00:00:00"/>
        <d v="2025-01-18T00:00:00"/>
        <d v="2024-04-10T00:00:00"/>
        <d v="2024-12-12T00:00:00"/>
        <d v="2024-08-30T00:00:00"/>
        <d v="2024-07-18T00:00:00"/>
        <d v="2025-01-29T00:00:00"/>
        <d v="2025-03-22T00:00:00"/>
        <d v="2024-09-29T00:00:00"/>
        <d v="2024-09-09T00:00:00"/>
        <d v="2025-03-23T00:00:00"/>
        <d v="2024-11-13T00:00:00"/>
        <d v="2024-06-20T00:00:00"/>
        <d v="2025-03-15T00:00:00"/>
        <d v="2025-03-21T00:00:00"/>
        <d v="2024-05-07T00:00:00"/>
        <d v="2025-01-06T00:00:00"/>
        <d v="2024-08-10T00:00:00"/>
        <d v="2024-07-01T00:00:00"/>
        <d v="2024-05-12T00:00:00"/>
        <d v="2024-11-20T00:00:00"/>
        <d v="2024-10-27T00:00:00"/>
        <d v="2024-04-12T00:00:00"/>
        <d v="2024-10-14T00:00:00"/>
        <d v="2024-09-13T00:00:00"/>
        <d v="2025-03-07T00:00:00"/>
        <d v="2024-04-26T00:00:00"/>
        <d v="2025-03-18T00:00:00"/>
        <d v="2024-09-10T00:00:00"/>
        <d v="2024-12-13T00:00:00"/>
        <d v="2025-01-30T00:00:00"/>
        <d v="2024-04-27T00:00:00"/>
        <d v="2024-09-25T00:00:00"/>
        <d v="2025-03-08T00:00:00"/>
        <d v="2024-04-17T00:00:00"/>
        <d v="2024-08-09T00:00:00"/>
        <d v="2024-05-16T00:00:00"/>
        <d v="2025-03-24T00:00:00"/>
        <d v="2024-10-02T00:00:00"/>
        <d v="2024-11-14T00:00:00"/>
        <d v="2024-08-04T00:00:00"/>
        <d v="2024-09-30T00:00:00"/>
        <d v="2024-09-24T00:00:00"/>
        <d v="2024-12-05T00:00:00"/>
        <d v="2024-04-08T00:00:00"/>
        <d v="2024-08-19T00:00:00"/>
        <d v="2024-06-01T00:00:00"/>
        <d v="2024-07-21T00:00:00"/>
        <d v="2025-01-23T00:00:00"/>
        <d v="2024-08-29T00:00:00"/>
        <d v="2025-03-10T00:00:00"/>
        <d v="2025-02-25T00:00:00"/>
        <d v="2025-03-09T00:00:00"/>
        <d v="2024-12-17T00:00:00"/>
        <d v="2024-08-14T00:00:00"/>
        <d v="2024-08-03T00:00:00"/>
        <d v="2024-09-21T00:00:00"/>
        <d v="2024-07-11T00:00:00"/>
        <d v="2024-09-08T00:00:00"/>
        <d v="2024-09-23T00:00:00"/>
        <d v="2025-02-23T00:00:00"/>
        <d v="2024-07-07T00:00:00"/>
        <d v="2024-12-10T00:00:00"/>
        <d v="2025-03-01T00:00:00"/>
        <d v="2024-07-19T00:00:00"/>
        <d v="2025-02-04T00:00:00"/>
        <d v="2025-02-20T00:00:00"/>
        <d v="2024-06-18T00:00:00"/>
        <d v="2024-07-27T00:00:00"/>
        <d v="2024-08-06T00:00:00"/>
        <d v="2024-11-24T00:00:00"/>
        <d v="2024-05-03T00:00:00"/>
        <d v="2025-01-01T00:00:00"/>
        <d v="2024-11-30T00:00:00"/>
        <d v="2024-07-10T00:00:00"/>
        <d v="2024-05-25T00:00:00"/>
        <d v="2025-03-27T00:00:00"/>
        <d v="2024-10-01T00:00:00"/>
        <d v="2024-07-20T00:00:00"/>
        <d v="2024-12-20T00:00:00"/>
        <d v="2024-05-20T00:00:00"/>
        <d v="2025-01-28T00:00:00"/>
        <d v="2024-07-28T00:00:00"/>
        <d v="2024-12-06T00:00:00"/>
        <d v="2024-06-13T00:00:00"/>
        <d v="2024-04-14T00:00:00"/>
        <d v="2024-12-11T00:00:00"/>
        <d v="2025-01-26T00:00:00"/>
        <d v="2024-04-02T00:00:00"/>
        <d v="2024-09-01T00:00:00"/>
        <d v="2024-08-20T00:00:00"/>
        <d v="2024-08-23T00:00:00"/>
        <d v="2024-05-24T00:00:00"/>
        <d v="2024-04-30T00:00:00"/>
        <d v="2025-01-08T00:00:00"/>
        <d v="2024-04-24T00:00:00"/>
        <d v="2024-04-11T00:00:00"/>
        <d v="2024-06-14T00:00:00"/>
        <d v="2024-09-05T00:00:00"/>
        <d v="2025-02-28T00:00:00"/>
        <d v="2025-03-17T00:00:00"/>
        <d v="2024-09-14T00:00:00"/>
        <d v="2024-06-28T00:00:00"/>
        <d v="2024-12-07T00:00:00"/>
        <d v="2025-01-22T00:00:00"/>
        <d v="2024-06-08T00:00:00"/>
        <d v="2024-10-28T00:00:00"/>
        <d v="2024-07-02T00:00:00"/>
        <d v="2025-01-27T00:00:00"/>
        <d v="2025-02-06T00:00:00"/>
        <d v="2024-08-07T00:00:00"/>
        <d v="2024-04-19T00:00:00"/>
        <d v="2024-04-28T00:00:00"/>
        <d v="2024-07-03T00:00:00"/>
        <d v="2024-06-27T00:00:00"/>
        <d v="2024-07-30T00:00:00"/>
        <d v="2024-06-06T00:00:00"/>
        <d v="2024-12-24T00:00:00"/>
        <d v="2025-02-14T00:00:00"/>
        <d v="2024-10-07T00:00:00"/>
        <d v="2025-02-10T00:00:00"/>
        <d v="2024-12-14T00:00:00"/>
        <d v="2025-02-15T00:00:00"/>
        <d v="2024-10-04T00:00:00"/>
        <d v="2024-06-26T00:00:00"/>
        <d v="2025-01-20T00:00:00"/>
        <d v="2024-07-15T00:00:00"/>
        <d v="2025-02-11T00:00:00"/>
        <d v="2024-06-30T00:00:00"/>
        <d v="2024-04-16T00:00:00"/>
        <d v="2025-02-05T00:00:00"/>
        <d v="2024-05-14T00:00:00"/>
        <d v="2025-01-15T00:00:00"/>
        <d v="2024-10-26T00:00:00"/>
        <d v="2024-10-23T00:00:00"/>
        <d v="2024-06-22T00:00:00"/>
        <d v="2025-01-21T00:00:00"/>
        <d v="2024-12-04T00:00:00"/>
        <d v="2025-03-05T00:00:00"/>
        <d v="2024-07-23T00:00:00"/>
        <d v="2024-12-18T00:00:00"/>
        <d v="2025-03-19T00:00:00"/>
        <d v="2024-06-04T00:00:00"/>
        <d v="2025-02-13T00:00:00"/>
        <d v="2024-09-26T00:00:00"/>
        <d v="2025-02-17T00:00:00"/>
        <d v="2024-10-09T00:00:00"/>
        <d v="2024-10-24T00:00:00"/>
        <d v="2024-09-11T00:00:00"/>
        <d v="2025-03-11T00:00:00"/>
        <d v="2024-07-29T00:00:00"/>
        <d v="2025-01-05T00:00:00"/>
        <d v="2025-01-03T00:00:00"/>
        <d v="2024-04-23T00:00:00"/>
        <d v="2024-05-27T00:00:00"/>
        <d v="2024-06-02T00:00:00"/>
        <d v="2024-05-23T00:00:00"/>
        <d v="2024-05-31T00:00:00"/>
        <d v="2024-05-01T00:00:00"/>
        <d v="2024-06-19T00:00:00"/>
        <d v="2025-02-19T00:00:00"/>
        <d v="2024-09-28T00:00:00"/>
        <d v="2025-01-10T00:00:00"/>
        <d v="2024-07-17T00:00:00"/>
        <d v="2024-11-01T00:00:00"/>
        <d v="2024-07-31T00:00:00"/>
        <d v="2024-06-23T00:00:00"/>
        <d v="2024-05-13T00:00:00"/>
        <d v="2025-02-08T00:00:00"/>
        <d v="2024-09-19T00:00:00"/>
        <d v="2025-03-06T00:00:00"/>
        <d v="2024-08-28T00:00:00"/>
        <d v="2024-10-15T00:00:00"/>
        <d v="2024-12-23T00:00:00"/>
        <d v="2025-02-27T00:00:00"/>
        <d v="2024-07-08T00:00:00"/>
        <d v="2024-09-06T00:00:00"/>
        <d v="2025-03-26T00:00:00"/>
        <d v="2025-01-07T00:00:00"/>
        <d v="2024-10-03T00:00:00"/>
        <d v="2024-06-25T00:00:00"/>
      </sharedItems>
      <fieldGroup par="11" base="3">
        <rangePr groupBy="months" startDate="2024-04-01T00:00:00" endDate="2025-04-01T00:00:00"/>
        <groupItems count="14">
          <s v="&lt;0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5"/>
        </groupItems>
      </fieldGroup>
    </cacheField>
    <cacheField name="order_time" numFmtId="165">
      <sharedItems containsSemiMixedTypes="0" containsNonDate="0" containsDate="1" containsString="0" minDate="1899-12-30T00:02:00" maxDate="1899-12-30T23:58:00"/>
    </cacheField>
    <cacheField name="order_status" numFmtId="49">
      <sharedItems count="2">
        <s v="Delivered"/>
        <s v="Cancelled"/>
      </sharedItems>
    </cacheField>
    <cacheField name="total_amount" numFmtId="164">
      <sharedItems containsSemiMixedTypes="0" containsString="0" containsNumber="1" containsInteger="1" minValue="49" maxValue="2005" count="430">
        <n v="207"/>
        <n v="238"/>
        <n v="356"/>
        <n v="484"/>
        <n v="1010"/>
        <n v="188"/>
        <n v="158"/>
        <n v="691"/>
        <n v="387"/>
        <n v="416"/>
        <n v="555"/>
        <n v="267"/>
        <n v="476"/>
        <n v="287"/>
        <n v="445"/>
        <n v="308"/>
        <n v="447"/>
        <n v="297"/>
        <n v="765"/>
        <n v="552"/>
        <n v="615"/>
        <n v="435"/>
        <n v="346"/>
        <n v="752"/>
        <n v="605"/>
        <n v="534"/>
        <n v="515"/>
        <n v="785"/>
        <n v="366"/>
        <n v="376"/>
        <n v="556"/>
        <n v="386"/>
        <n v="575"/>
        <n v="218"/>
        <n v="228"/>
        <n v="119"/>
        <n v="632"/>
        <n v="455"/>
        <n v="831"/>
        <n v="79"/>
        <n v="347"/>
        <n v="693"/>
        <n v="454"/>
        <n v="149"/>
        <n v="663"/>
        <n v="384"/>
        <n v="562"/>
        <n v="198"/>
        <n v="89"/>
        <n v="277"/>
        <n v="99"/>
        <n v="1331"/>
        <n v="336"/>
        <n v="367"/>
        <n v="178"/>
        <n v="494"/>
        <n v="953"/>
        <n v="1011"/>
        <n v="772"/>
        <n v="1339"/>
        <n v="814"/>
        <n v="286"/>
        <n v="417"/>
        <n v="635"/>
        <n v="744"/>
        <n v="337"/>
        <n v="307"/>
        <n v="524"/>
        <n v="1370"/>
        <n v="593"/>
        <n v="317"/>
        <n v="246"/>
        <n v="168"/>
        <n v="682"/>
        <n v="724"/>
        <n v="634"/>
        <n v="921"/>
        <n v="894"/>
        <n v="474"/>
        <n v="674"/>
        <n v="793"/>
        <n v="742"/>
        <n v="554"/>
        <n v="316"/>
        <n v="645"/>
        <n v="791"/>
        <n v="159"/>
        <n v="128"/>
        <n v="683"/>
        <n v="395"/>
        <n v="913"/>
        <n v="505"/>
        <n v="1003"/>
        <n v="962"/>
        <n v="694"/>
        <n v="457"/>
        <n v="853"/>
        <n v="357"/>
        <n v="585"/>
        <n v="802"/>
        <n v="735"/>
        <n v="436"/>
        <n v="842"/>
        <n v="545"/>
        <n v="654"/>
        <n v="803"/>
        <n v="377"/>
        <n v="723"/>
        <n v="771"/>
        <n v="1191"/>
        <n v="138"/>
        <n v="563"/>
        <n v="516"/>
        <n v="584"/>
        <n v="783"/>
        <n v="1299"/>
        <n v="673"/>
        <n v="684"/>
        <n v="1070"/>
        <n v="844"/>
        <n v="546"/>
        <n v="621"/>
        <n v="496"/>
        <n v="713"/>
        <n v="456"/>
        <n v="1089"/>
        <n v="526"/>
        <n v="754"/>
        <n v="774"/>
        <n v="871"/>
        <n v="762"/>
        <n v="485"/>
        <n v="396"/>
        <n v="1062"/>
        <n v="1251"/>
        <n v="118"/>
        <n v="983"/>
        <n v="397"/>
        <n v="972"/>
        <n v="715"/>
        <n v="714"/>
        <n v="773"/>
        <n v="890"/>
        <n v="833"/>
        <n v="444"/>
        <n v="197"/>
        <n v="268"/>
        <n v="49"/>
        <n v="625"/>
        <n v="824"/>
        <n v="237"/>
        <n v="596"/>
        <n v="595"/>
        <n v="327"/>
        <n v="535"/>
        <n v="415"/>
        <n v="298"/>
        <n v="940"/>
        <n v="834"/>
        <n v="258"/>
        <n v="909"/>
        <n v="782"/>
        <n v="565"/>
        <n v="882"/>
        <n v="852"/>
        <n v="278"/>
        <n v="705"/>
        <n v="1230"/>
        <n v="1101"/>
        <n v="753"/>
        <n v="514"/>
        <n v="226"/>
        <n v="406"/>
        <n v="903"/>
        <n v="426"/>
        <n v="794"/>
        <n v="872"/>
        <n v="1090"/>
        <n v="583"/>
        <n v="414"/>
        <n v="427"/>
        <n v="335"/>
        <n v="574"/>
        <n v="187"/>
        <n v="139"/>
        <n v="745"/>
        <n v="614"/>
        <n v="1181"/>
        <n v="248"/>
        <n v="1171"/>
        <n v="475"/>
        <n v="257"/>
        <n v="734"/>
        <n v="830"/>
        <n v="465"/>
        <n v="495"/>
        <n v="1281"/>
        <n v="604"/>
        <n v="594"/>
        <n v="385"/>
        <n v="662"/>
        <n v="318"/>
        <n v="405"/>
        <n v="1190"/>
        <n v="991"/>
        <n v="733"/>
        <n v="503"/>
        <n v="933"/>
        <n v="1912"/>
        <n v="843"/>
        <n v="863"/>
        <n v="643"/>
        <n v="564"/>
        <n v="247"/>
        <n v="1043"/>
        <n v="702"/>
        <n v="296"/>
        <n v="1210"/>
        <n v="1052"/>
        <n v="626"/>
        <n v="832"/>
        <n v="623"/>
        <n v="655"/>
        <n v="467"/>
        <n v="633"/>
        <n v="822"/>
        <n v="1023"/>
        <n v="536"/>
        <n v="993"/>
        <n v="672"/>
        <n v="1109"/>
        <n v="665"/>
        <n v="227"/>
        <n v="864"/>
        <n v="1356"/>
        <n v="1289"/>
        <n v="812"/>
        <n v="1053"/>
        <n v="911"/>
        <n v="326"/>
        <n v="743"/>
        <n v="276"/>
        <n v="873"/>
        <n v="644"/>
        <n v="792"/>
        <n v="1291"/>
        <n v="613"/>
        <n v="712"/>
        <n v="1240"/>
        <n v="622"/>
        <n v="854"/>
        <n v="533"/>
        <n v="1102"/>
        <n v="704"/>
        <n v="1110"/>
        <n v="685"/>
        <n v="466"/>
        <n v="931"/>
        <n v="148"/>
        <n v="1002"/>
        <n v="1189"/>
        <n v="566"/>
        <n v="266"/>
        <n v="904"/>
        <n v="288"/>
        <n v="446"/>
        <n v="884"/>
        <n v="1141"/>
        <n v="1061"/>
        <n v="523"/>
        <n v="1161"/>
        <n v="1209"/>
        <n v="902"/>
        <n v="1368"/>
        <n v="840"/>
        <n v="1050"/>
        <n v="775"/>
        <n v="506"/>
        <n v="636"/>
        <n v="217"/>
        <n v="664"/>
        <n v="69"/>
        <n v="504"/>
        <n v="653"/>
        <n v="208"/>
        <n v="1063"/>
        <n v="582"/>
        <n v="295"/>
        <n v="851"/>
        <n v="424"/>
        <n v="893"/>
        <n v="695"/>
        <n v="922"/>
        <n v="437"/>
        <n v="543"/>
        <n v="973"/>
        <n v="1031"/>
        <n v="1159"/>
        <n v="755"/>
        <n v="880"/>
        <n v="652"/>
        <n v="1072"/>
        <n v="1013"/>
        <n v="891"/>
        <n v="464"/>
        <n v="675"/>
        <n v="1726"/>
        <n v="952"/>
        <n v="950"/>
        <n v="1231"/>
        <n v="862"/>
        <n v="1260"/>
        <n v="1149"/>
        <n v="943"/>
        <n v="1151"/>
        <n v="1310"/>
        <n v="811"/>
        <n v="1029"/>
        <n v="1338"/>
        <n v="1220"/>
        <n v="1280"/>
        <n v="394"/>
        <n v="525"/>
        <n v="764"/>
        <n v="553"/>
        <n v="1308"/>
        <n v="912"/>
        <n v="1060"/>
        <n v="982"/>
        <n v="1429"/>
        <n v="961"/>
        <n v="823"/>
        <n v="573"/>
        <n v="606"/>
        <n v="544"/>
        <n v="861"/>
        <n v="1172"/>
        <n v="1111"/>
        <n v="1399"/>
        <n v="942"/>
        <n v="1168"/>
        <n v="1279"/>
        <n v="999"/>
        <n v="603"/>
        <n v="784"/>
        <n v="98"/>
        <n v="932"/>
        <n v="692"/>
        <n v="1127"/>
        <n v="1178"/>
        <n v="108"/>
        <n v="345"/>
        <n v="486"/>
        <n v="741"/>
        <n v="1000"/>
        <n v="1768"/>
        <n v="1081"/>
        <n v="924"/>
        <n v="990"/>
        <n v="732"/>
        <n v="763"/>
        <n v="1268"/>
        <n v="1430"/>
        <n v="710"/>
        <n v="992"/>
        <n v="1120"/>
        <n v="1042"/>
        <n v="586"/>
        <n v="425"/>
        <n v="1490"/>
        <n v="1170"/>
        <n v="1117"/>
        <n v="1202"/>
        <n v="1058"/>
        <n v="810"/>
        <n v="375"/>
        <n v="2005"/>
        <n v="1409"/>
        <n v="1218"/>
        <n v="1540"/>
        <n v="1449"/>
        <n v="1082"/>
        <n v="624"/>
        <n v="404"/>
        <n v="1012"/>
        <n v="1112"/>
        <n v="928"/>
        <n v="1071"/>
        <n v="1021"/>
        <n v="1130"/>
        <n v="1459"/>
        <n v="892"/>
        <n v="59"/>
        <n v="177"/>
        <n v="477"/>
        <n v="256"/>
        <n v="1357"/>
        <n v="980"/>
        <n v="407"/>
        <n v="1846"/>
        <n v="602"/>
        <n v="1747"/>
        <n v="751"/>
        <n v="1629"/>
        <n v="1566"/>
        <n v="1221"/>
        <n v="1250"/>
        <n v="1047"/>
        <n v="901"/>
        <n v="731"/>
        <n v="472"/>
        <n v="1032"/>
        <n v="365"/>
        <n v="1300"/>
        <n v="850"/>
        <n v="1121"/>
        <n v="1288"/>
        <n v="1242"/>
        <n v="1321"/>
        <n v="306"/>
        <n v="703"/>
        <n v="1160"/>
        <n v="725"/>
        <n v="1270"/>
        <n v="1359"/>
        <n v="944"/>
        <n v="1017"/>
        <n v="841"/>
        <n v="795"/>
        <n v="1108"/>
      </sharedItems>
    </cacheField>
    <cacheField name="discount" numFmtId="164">
      <sharedItems containsSemiMixedTypes="0" containsString="0" containsNumber="1" minValue="0" maxValue="223.5" count="329">
        <n v="0"/>
        <n v="18.8"/>
        <n v="41.6"/>
        <n v="55.5"/>
        <n v="43.5"/>
        <n v="75.2"/>
        <n v="80.099999999999994"/>
        <n v="117.75"/>
        <n v="19.350000000000001"/>
        <n v="34.700000000000003"/>
        <n v="34.65"/>
        <n v="45.4"/>
        <n v="7.45"/>
        <n v="9.9"/>
        <n v="14.9"/>
        <n v="16.8"/>
        <n v="17.8"/>
        <n v="50.55"/>
        <n v="38.6"/>
        <n v="30.7"/>
        <n v="52.4"/>
        <n v="31.7"/>
        <n v="12.3"/>
        <n v="19.8"/>
        <n v="15.8"/>
        <n v="44.7"/>
        <n v="35.6"/>
        <n v="79.3"/>
        <n v="37.1"/>
        <n v="32.25"/>
        <n v="7.95"/>
        <n v="6.4"/>
        <n v="11.9"/>
        <n v="58.5"/>
        <n v="51.5"/>
        <n v="40.1"/>
        <n v="62.4"/>
        <n v="15.85"/>
        <n v="32.700000000000003"/>
        <n v="15.35"/>
        <n v="36.15"/>
        <n v="10.9"/>
        <n v="33.6"/>
        <n v="102.6"/>
        <n v="49.6"/>
        <n v="35.65"/>
        <n v="52.6"/>
        <n v="37.700000000000003"/>
        <n v="38.700000000000003"/>
        <n v="130.65"/>
        <n v="77.099999999999994"/>
        <n v="69.099999999999994"/>
        <n v="22.8"/>
        <n v="19.850000000000001"/>
        <n v="97.2"/>
        <n v="35.700000000000003"/>
        <n v="83.3"/>
        <n v="19.7"/>
        <n v="44.4"/>
        <n v="71.400000000000006"/>
        <n v="4.9000000000000004"/>
        <n v="17.850000000000001"/>
        <n v="101.1"/>
        <n v="53.55"/>
        <n v="80.25"/>
        <n v="41.7"/>
        <n v="89.25"/>
        <n v="88.2"/>
        <n v="62.25"/>
        <n v="51.4"/>
        <n v="11.3"/>
        <n v="11.85"/>
        <n v="26.7"/>
        <n v="90.3"/>
        <n v="39.700000000000003"/>
        <n v="24.8"/>
        <n v="87.2"/>
        <n v="109"/>
        <n v="20.75"/>
        <n v="45.5"/>
        <n v="21.35"/>
        <n v="13.9"/>
        <n v="23.8"/>
        <n v="75.75"/>
        <n v="83"/>
        <n v="64.05"/>
        <n v="19.25"/>
        <n v="31.8"/>
        <n v="119"/>
        <n v="10.35"/>
        <n v="95.6"/>
        <n v="43.15"/>
        <n v="39.6"/>
        <n v="64.3"/>
        <n v="25.25"/>
        <n v="26.3"/>
        <n v="62.5"/>
        <n v="5.9"/>
        <n v="12.35"/>
        <n v="52.15"/>
        <n v="121"/>
        <n v="26.75"/>
        <n v="36.75"/>
        <n v="15.9"/>
        <n v="62.3"/>
        <n v="28.2"/>
        <n v="23.35"/>
        <n v="59.55"/>
        <n v="82.2"/>
        <n v="31.15"/>
        <n v="3.95"/>
        <n v="42.65"/>
        <n v="23.75"/>
        <n v="31.6"/>
        <n v="12.8"/>
        <n v="18.350000000000001"/>
        <n v="56.55"/>
        <n v="73.400000000000006"/>
        <n v="40.6"/>
        <n v="59.5"/>
        <n v="91.1"/>
        <n v="59.4"/>
        <n v="21.3"/>
        <n v="46.05"/>
        <n v="47.5"/>
        <n v="32.200000000000003"/>
        <n v="124.8"/>
        <n v="29.8"/>
        <n v="8.4"/>
        <n v="11.8"/>
        <n v="31.1"/>
        <n v="26.65"/>
        <n v="53.3"/>
        <n v="165.3"/>
        <n v="7.9"/>
        <n v="27.8"/>
        <n v="128.9"/>
        <n v="111"/>
        <n v="102.75"/>
        <n v="68.400000000000006"/>
        <n v="41.2"/>
        <n v="6.9"/>
        <n v="59.45"/>
        <n v="14.35"/>
        <n v="44.6"/>
        <n v="57.05"/>
        <n v="38.549999999999997"/>
        <n v="159.15"/>
        <n v="13.85"/>
        <n v="58.05"/>
        <n v="36.6"/>
        <n v="120.9"/>
        <n v="30.75"/>
        <n v="69.3"/>
        <n v="25.7"/>
        <n v="13.35"/>
        <n v="63.6"/>
        <n v="37.200000000000003"/>
        <n v="29.7"/>
        <n v="32.65"/>
        <n v="20.8"/>
        <n v="53.15"/>
        <n v="49.5"/>
        <n v="37.6"/>
        <n v="42.55"/>
        <n v="8.9"/>
        <n v="63.4"/>
        <n v="46.1"/>
        <n v="81.400000000000006"/>
        <n v="103.1"/>
        <n v="125.1"/>
        <n v="173.85"/>
        <n v="75.5"/>
        <n v="38.25"/>
        <n v="63.3"/>
        <n v="32.6"/>
        <n v="18.3"/>
        <n v="23.2"/>
        <n v="77.400000000000006"/>
        <n v="172.6"/>
        <n v="123.1"/>
        <n v="24.7"/>
        <n v="74.400000000000006"/>
        <n v="22.35"/>
        <n v="87.1"/>
        <n v="41.5"/>
        <n v="72.599999999999994"/>
        <n v="47.55"/>
        <n v="51.55"/>
        <n v="66.400000000000006"/>
        <n v="52.05"/>
        <n v="95.1"/>
        <n v="56.5"/>
        <n v="40.549999999999997"/>
        <n v="200.7"/>
        <n v="127.95"/>
        <n v="84.9"/>
        <n v="50.4"/>
        <n v="33.15"/>
        <n v="57.4"/>
        <n v="90.75"/>
        <n v="52.5"/>
        <n v="65.400000000000006"/>
        <n v="17.3"/>
        <n v="26.8"/>
        <n v="22.75"/>
        <n v="66.75"/>
        <n v="160.5"/>
        <n v="54.4"/>
        <n v="28.7"/>
        <n v="58.6"/>
        <n v="55.55"/>
        <n v="66.5"/>
        <n v="35.200000000000003"/>
        <n v="133.65"/>
        <n v="64.5"/>
        <n v="24.75"/>
        <n v="86.3"/>
        <n v="94.2"/>
        <n v="20.3"/>
        <n v="98.25"/>
        <n v="89.4"/>
        <n v="9.4"/>
        <n v="14.7"/>
        <n v="46.6"/>
        <n v="42.6"/>
        <n v="58.2"/>
        <n v="23.85"/>
        <n v="112.7"/>
        <n v="38.65"/>
        <n v="72.900000000000006"/>
        <n v="37.049999999999997"/>
        <n v="11.4"/>
        <n v="27.7"/>
        <n v="91.2"/>
        <n v="23.7"/>
        <n v="46.7"/>
        <n v="32.15"/>
        <n v="41.55"/>
        <n v="27.6"/>
        <n v="22.3"/>
        <n v="69.900000000000006"/>
        <n v="45.6"/>
        <n v="36.200000000000003"/>
        <n v="64.95"/>
        <n v="43.6"/>
        <n v="21.7"/>
        <n v="55.6"/>
        <n v="112"/>
        <n v="36.65"/>
        <n v="83.1"/>
        <n v="43.55"/>
        <n v="31.65"/>
        <n v="66.900000000000006"/>
        <n v="223.5"/>
        <n v="58.4"/>
        <n v="33.65"/>
        <n v="79.95"/>
        <n v="151.65"/>
        <n v="40.700000000000003"/>
        <n v="39.5"/>
        <n v="60.3"/>
        <n v="42.5"/>
        <n v="71.3"/>
        <n v="64.400000000000006"/>
        <n v="18.75"/>
        <n v="14.85"/>
        <n v="47"/>
        <n v="144.9"/>
        <n v="96.6"/>
        <n v="66.3"/>
        <n v="89.1"/>
        <n v="93.2"/>
        <n v="92.8"/>
        <n v="99.9"/>
        <n v="53.5"/>
        <n v="12.85"/>
        <n v="72.400000000000006"/>
        <n v="47.6"/>
        <n v="25.8"/>
        <n v="77.5"/>
        <n v="110.1"/>
        <n v="12.9"/>
        <n v="6.95"/>
        <n v="117.45"/>
        <n v="111.75"/>
        <n v="73.3"/>
        <n v="63.2"/>
        <n v="61.5"/>
        <n v="37.75"/>
        <n v="78.5"/>
        <n v="49.4"/>
        <n v="50.6"/>
        <n v="100.95"/>
        <n v="49"/>
        <n v="51.6"/>
        <n v="77.3"/>
        <n v="28.6"/>
        <n v="45.15"/>
        <n v="30.3"/>
        <n v="35.75"/>
        <n v="50.5"/>
        <n v="13.4"/>
        <n v="51.05"/>
        <n v="59.6"/>
        <n v="22.85"/>
        <n v="65.5"/>
        <n v="29.6"/>
        <n v="45.55"/>
        <n v="14.4"/>
        <n v="19.75"/>
        <n v="109.95"/>
        <n v="34.75"/>
        <n v="4.45"/>
        <n v="109.65"/>
        <n v="89.2"/>
        <n v="134.1"/>
        <n v="65.2"/>
        <n v="86.1"/>
        <n v="154.65"/>
        <n v="22.2"/>
        <n v="41.65"/>
        <n v="4.95"/>
        <n v="72.5"/>
        <n v="67.95"/>
        <n v="43.05"/>
        <n v="82.3"/>
        <n v="35.549999999999997"/>
        <n v="136.65"/>
      </sharedItems>
    </cacheField>
    <cacheField name="final_amount" numFmtId="164">
      <sharedItems containsSemiMixedTypes="0" containsString="0" containsNumber="1" minValue="0" maxValue="2005"/>
    </cacheField>
    <cacheField name="check_total" numFmtId="164">
      <sharedItems containsSemiMixedTypes="0" containsString="0" containsNumber="1" containsInteger="1" minValue="49" maxValue="2005"/>
    </cacheField>
    <cacheField name="CUSTOMER_TYPE" numFmtId="0">
      <sharedItems count="3">
        <s v="New"/>
        <s v="Regular"/>
        <s v="Premium"/>
      </sharedItems>
    </cacheField>
    <cacheField name="Years" numFmtId="0" databaseField="0">
      <fieldGroup base="3">
        <rangePr groupBy="years" startDate="2024-04-01T00:00:00" endDate="2025-04-01T00:00:00"/>
        <groupItems count="4">
          <s v="&lt;01-04-2024"/>
          <s v="2024"/>
          <s v="2025"/>
          <s v="&gt;01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4">
  <r>
    <s v="ORD6443037"/>
    <s v="CUST0182"/>
    <x v="0"/>
    <x v="0"/>
    <d v="1899-12-30T16:05:00"/>
    <s v="Delivered"/>
    <n v="207"/>
    <n v="0"/>
    <n v="207"/>
    <n v="207"/>
  </r>
  <r>
    <s v="ORD7387623"/>
    <s v="CUST0267"/>
    <x v="1"/>
    <x v="1"/>
    <d v="1899-12-30T12:36:00"/>
    <s v="Delivered"/>
    <n v="238"/>
    <n v="0"/>
    <n v="238"/>
    <n v="238"/>
  </r>
  <r>
    <s v="ORD4280754"/>
    <s v="CUST0370"/>
    <x v="0"/>
    <x v="2"/>
    <d v="1899-12-30T18:15:00"/>
    <s v="Delivered"/>
    <n v="356"/>
    <n v="0"/>
    <n v="356"/>
    <n v="356"/>
  </r>
  <r>
    <s v="ORD3283789"/>
    <s v="CUST0172"/>
    <x v="1"/>
    <x v="3"/>
    <d v="1899-12-30T14:28:00"/>
    <s v="Delivered"/>
    <n v="484"/>
    <n v="0"/>
    <n v="484"/>
    <n v="484"/>
  </r>
  <r>
    <s v="ORD7309161"/>
    <s v="CUST0401"/>
    <x v="1"/>
    <x v="4"/>
    <d v="1899-12-30T22:36:00"/>
    <s v="Delivered"/>
    <n v="1010"/>
    <n v="0"/>
    <n v="1010"/>
    <n v="1010"/>
  </r>
  <r>
    <s v="ORD7864256"/>
    <s v="CUST0355"/>
    <x v="1"/>
    <x v="5"/>
    <d v="1899-12-30T18:53:00"/>
    <s v="Delivered"/>
    <n v="188"/>
    <n v="18.8"/>
    <n v="169.2"/>
    <n v="188"/>
  </r>
  <r>
    <s v="ORD8017921"/>
    <s v="CUST0206"/>
    <x v="0"/>
    <x v="6"/>
    <d v="1899-12-30T22:37:00"/>
    <s v="Delivered"/>
    <n v="158"/>
    <n v="0"/>
    <n v="158"/>
    <n v="158"/>
  </r>
  <r>
    <s v="ORD6956059"/>
    <s v="CUST0128"/>
    <x v="0"/>
    <x v="7"/>
    <d v="1899-12-30T10:49:00"/>
    <s v="Delivered"/>
    <n v="691"/>
    <n v="0"/>
    <n v="691"/>
    <n v="691"/>
  </r>
  <r>
    <s v="ORD4708297"/>
    <s v="CUST0266"/>
    <x v="0"/>
    <x v="8"/>
    <d v="1899-12-30T20:47:00"/>
    <s v="Delivered"/>
    <n v="387"/>
    <n v="0"/>
    <n v="387"/>
    <n v="387"/>
  </r>
  <r>
    <s v="ORD3376915"/>
    <s v="CUST0426"/>
    <x v="2"/>
    <x v="9"/>
    <d v="1899-12-30T16:07:00"/>
    <s v="Delivered"/>
    <n v="416"/>
    <n v="41.6"/>
    <n v="374.4"/>
    <n v="416"/>
  </r>
  <r>
    <s v="ORD2930810"/>
    <s v="CUST0023"/>
    <x v="0"/>
    <x v="10"/>
    <d v="1899-12-30T16:19:00"/>
    <s v="Delivered"/>
    <n v="555"/>
    <n v="55.5"/>
    <n v="499.5"/>
    <n v="555"/>
  </r>
  <r>
    <s v="ORD7636771"/>
    <s v="CUST0328"/>
    <x v="0"/>
    <x v="11"/>
    <d v="1899-12-30T17:11:00"/>
    <s v="Delivered"/>
    <n v="267"/>
    <n v="0"/>
    <n v="267"/>
    <n v="267"/>
  </r>
  <r>
    <s v="ORD8676422"/>
    <s v="CUST0188"/>
    <x v="1"/>
    <x v="12"/>
    <d v="1899-12-30T20:11:00"/>
    <s v="Delivered"/>
    <n v="476"/>
    <n v="0"/>
    <n v="476"/>
    <n v="476"/>
  </r>
  <r>
    <s v="ORD5990296"/>
    <s v="CUST0089"/>
    <x v="0"/>
    <x v="13"/>
    <d v="1899-12-30T19:39:00"/>
    <s v="Cancelled"/>
    <n v="287"/>
    <n v="0"/>
    <n v="0"/>
    <n v="287"/>
  </r>
  <r>
    <s v="ORD3906397"/>
    <s v="CUST0250"/>
    <x v="0"/>
    <x v="14"/>
    <d v="1899-12-30T19:11:00"/>
    <s v="Delivered"/>
    <n v="445"/>
    <n v="0"/>
    <n v="445"/>
    <n v="445"/>
  </r>
  <r>
    <s v="ORD9479842"/>
    <s v="CUST0197"/>
    <x v="2"/>
    <x v="15"/>
    <d v="1899-12-30T17:52:00"/>
    <s v="Delivered"/>
    <n v="308"/>
    <n v="0"/>
    <n v="308"/>
    <n v="308"/>
  </r>
  <r>
    <s v="ORD3822078"/>
    <s v="CUST0116"/>
    <x v="0"/>
    <x v="12"/>
    <d v="1899-12-30T16:17:00"/>
    <s v="Delivered"/>
    <n v="447"/>
    <n v="0"/>
    <n v="447"/>
    <n v="447"/>
  </r>
  <r>
    <s v="ORD4666525"/>
    <s v="CUST0369"/>
    <x v="1"/>
    <x v="16"/>
    <d v="1899-12-30T16:48:00"/>
    <s v="Delivered"/>
    <n v="297"/>
    <n v="0"/>
    <n v="297"/>
    <n v="297"/>
  </r>
  <r>
    <s v="ORD2969410"/>
    <s v="CUST0419"/>
    <x v="1"/>
    <x v="17"/>
    <d v="1899-12-30T18:55:00"/>
    <s v="Delivered"/>
    <n v="765"/>
    <n v="0"/>
    <n v="765"/>
    <n v="765"/>
  </r>
  <r>
    <s v="ORD9930189"/>
    <s v="CUST0031"/>
    <x v="0"/>
    <x v="18"/>
    <d v="1899-12-30T12:51:00"/>
    <s v="Delivered"/>
    <n v="552"/>
    <n v="0"/>
    <n v="552"/>
    <n v="552"/>
  </r>
  <r>
    <s v="ORD3128830"/>
    <s v="CUST0031"/>
    <x v="2"/>
    <x v="19"/>
    <d v="1899-12-30T19:58:00"/>
    <s v="Delivered"/>
    <n v="615"/>
    <n v="0"/>
    <n v="615"/>
    <n v="615"/>
  </r>
  <r>
    <s v="ORD2561871"/>
    <s v="CUST0232"/>
    <x v="1"/>
    <x v="20"/>
    <d v="1899-12-30T19:24:00"/>
    <s v="Delivered"/>
    <n v="435"/>
    <n v="43.5"/>
    <n v="391.5"/>
    <n v="435"/>
  </r>
  <r>
    <s v="ORD7009980"/>
    <s v="CUST0235"/>
    <x v="0"/>
    <x v="21"/>
    <d v="1899-12-30T10:46:00"/>
    <s v="Delivered"/>
    <n v="346"/>
    <n v="0"/>
    <n v="346"/>
    <n v="346"/>
  </r>
  <r>
    <s v="ORD1770794"/>
    <s v="CUST0350"/>
    <x v="0"/>
    <x v="22"/>
    <d v="1899-12-30T14:57:00"/>
    <s v="Delivered"/>
    <n v="752"/>
    <n v="75.2"/>
    <n v="676.8"/>
    <n v="752"/>
  </r>
  <r>
    <s v="ORD5597283"/>
    <s v="CUST0333"/>
    <x v="1"/>
    <x v="23"/>
    <d v="1899-12-30T11:56:00"/>
    <s v="Delivered"/>
    <n v="267"/>
    <n v="0"/>
    <n v="267"/>
    <n v="267"/>
  </r>
  <r>
    <s v="ORD3226333"/>
    <s v="CUST0110"/>
    <x v="1"/>
    <x v="24"/>
    <d v="1899-12-30T10:00:00"/>
    <s v="Cancelled"/>
    <n v="605"/>
    <n v="0"/>
    <n v="0"/>
    <n v="605"/>
  </r>
  <r>
    <s v="ORD2718442"/>
    <s v="CUST0197"/>
    <x v="1"/>
    <x v="25"/>
    <d v="1899-12-30T16:14:00"/>
    <s v="Delivered"/>
    <n v="534"/>
    <n v="80.099999999999994"/>
    <n v="453.9"/>
    <n v="534"/>
  </r>
  <r>
    <s v="ORD6891952"/>
    <s v="CUST0333"/>
    <x v="1"/>
    <x v="26"/>
    <d v="1899-12-30T16:39:00"/>
    <s v="Delivered"/>
    <n v="515"/>
    <n v="0"/>
    <n v="515"/>
    <n v="515"/>
  </r>
  <r>
    <s v="ORD5646746"/>
    <s v="CUST0406"/>
    <x v="1"/>
    <x v="27"/>
    <d v="1899-12-30T19:20:00"/>
    <s v="Delivered"/>
    <n v="785"/>
    <n v="117.75"/>
    <n v="667.25"/>
    <n v="785"/>
  </r>
  <r>
    <s v="ORD5958372"/>
    <s v="CUST0097"/>
    <x v="0"/>
    <x v="28"/>
    <d v="1899-12-30T20:32:00"/>
    <s v="Delivered"/>
    <n v="366"/>
    <n v="0"/>
    <n v="366"/>
    <n v="366"/>
  </r>
  <r>
    <s v="ORD8060918"/>
    <s v="CUST0199"/>
    <x v="2"/>
    <x v="29"/>
    <d v="1899-12-30T18:08:00"/>
    <s v="Delivered"/>
    <n v="376"/>
    <n v="0"/>
    <n v="376"/>
    <n v="376"/>
  </r>
  <r>
    <s v="ORD9406206"/>
    <s v="CUST0147"/>
    <x v="0"/>
    <x v="30"/>
    <d v="1899-12-30T15:32:00"/>
    <s v="Delivered"/>
    <n v="387"/>
    <n v="19.350000000000001"/>
    <n v="367.65"/>
    <n v="387"/>
  </r>
  <r>
    <s v="ORD2109227"/>
    <s v="CUST0168"/>
    <x v="1"/>
    <x v="31"/>
    <d v="1899-12-30T17:34:00"/>
    <s v="Delivered"/>
    <n v="556"/>
    <n v="0"/>
    <n v="556"/>
    <n v="556"/>
  </r>
  <r>
    <s v="ORD1190431"/>
    <s v="CUST0007"/>
    <x v="0"/>
    <x v="32"/>
    <d v="1899-12-30T11:07:00"/>
    <s v="Delivered"/>
    <n v="386"/>
    <n v="0"/>
    <n v="386"/>
    <n v="386"/>
  </r>
  <r>
    <s v="ORD8202871"/>
    <s v="CUST0461"/>
    <x v="1"/>
    <x v="33"/>
    <d v="1899-12-30T10:49:00"/>
    <s v="Delivered"/>
    <n v="575"/>
    <n v="0"/>
    <n v="575"/>
    <n v="575"/>
  </r>
  <r>
    <s v="ORD2934976"/>
    <s v="CUST0294"/>
    <x v="0"/>
    <x v="34"/>
    <d v="1899-12-30T16:57:00"/>
    <s v="Delivered"/>
    <n v="218"/>
    <n v="0"/>
    <n v="218"/>
    <n v="218"/>
  </r>
  <r>
    <s v="ORD8035849"/>
    <s v="CUST0412"/>
    <x v="2"/>
    <x v="35"/>
    <d v="1899-12-30T09:35:00"/>
    <s v="Delivered"/>
    <n v="228"/>
    <n v="0"/>
    <n v="228"/>
    <n v="228"/>
  </r>
  <r>
    <s v="ORD1770553"/>
    <s v="CUST0412"/>
    <x v="0"/>
    <x v="36"/>
    <d v="1899-12-30T11:14:00"/>
    <s v="Delivered"/>
    <n v="119"/>
    <n v="0"/>
    <n v="119"/>
    <n v="119"/>
  </r>
  <r>
    <s v="ORD6098752"/>
    <s v="CUST0103"/>
    <x v="1"/>
    <x v="37"/>
    <d v="1899-12-30T16:23:00"/>
    <s v="Cancelled"/>
    <n v="632"/>
    <n v="0"/>
    <n v="0"/>
    <n v="632"/>
  </r>
  <r>
    <s v="ORD4909053"/>
    <s v="CUST0478"/>
    <x v="1"/>
    <x v="38"/>
    <d v="1899-12-30T11:00:00"/>
    <s v="Delivered"/>
    <n v="455"/>
    <n v="0"/>
    <n v="455"/>
    <n v="455"/>
  </r>
  <r>
    <s v="ORD8043341"/>
    <s v="CUST0272"/>
    <x v="2"/>
    <x v="39"/>
    <d v="1899-12-30T10:13:00"/>
    <s v="Delivered"/>
    <n v="831"/>
    <n v="0"/>
    <n v="831"/>
    <n v="831"/>
  </r>
  <r>
    <s v="ORD2255447"/>
    <s v="CUST0327"/>
    <x v="0"/>
    <x v="33"/>
    <d v="1899-12-30T20:08:00"/>
    <s v="Cancelled"/>
    <n v="515"/>
    <n v="0"/>
    <n v="0"/>
    <n v="515"/>
  </r>
  <r>
    <s v="ORD3283577"/>
    <s v="CUST0039"/>
    <x v="2"/>
    <x v="40"/>
    <d v="1899-12-30T18:14:00"/>
    <s v="Cancelled"/>
    <n v="79"/>
    <n v="0"/>
    <n v="0"/>
    <n v="79"/>
  </r>
  <r>
    <s v="ORD3011815"/>
    <s v="CUST0158"/>
    <x v="1"/>
    <x v="41"/>
    <d v="1899-12-30T17:28:00"/>
    <s v="Delivered"/>
    <n v="347"/>
    <n v="34.700000000000003"/>
    <n v="312.3"/>
    <n v="347"/>
  </r>
  <r>
    <s v="ORD6013715"/>
    <s v="CUST0263"/>
    <x v="1"/>
    <x v="42"/>
    <d v="1899-12-30T14:25:00"/>
    <s v="Delivered"/>
    <n v="693"/>
    <n v="34.65"/>
    <n v="658.35"/>
    <n v="693"/>
  </r>
  <r>
    <s v="ORD2409947"/>
    <s v="CUST0422"/>
    <x v="1"/>
    <x v="43"/>
    <d v="1899-12-30T11:12:00"/>
    <s v="Cancelled"/>
    <n v="454"/>
    <n v="45.4"/>
    <n v="0"/>
    <n v="454"/>
  </r>
  <r>
    <s v="ORD7626978"/>
    <s v="CUST0474"/>
    <x v="0"/>
    <x v="44"/>
    <d v="1899-12-30T09:10:00"/>
    <s v="Delivered"/>
    <n v="149"/>
    <n v="7.45"/>
    <n v="141.55000000000001"/>
    <n v="149"/>
  </r>
  <r>
    <s v="ORD5123584"/>
    <s v="CUST0077"/>
    <x v="1"/>
    <x v="45"/>
    <d v="1899-12-30T19:56:00"/>
    <s v="Delivered"/>
    <n v="228"/>
    <n v="0"/>
    <n v="228"/>
    <n v="228"/>
  </r>
  <r>
    <s v="ORD1327658"/>
    <s v="CUST0411"/>
    <x v="0"/>
    <x v="46"/>
    <d v="1899-12-30T12:40:00"/>
    <s v="Delivered"/>
    <n v="663"/>
    <n v="0"/>
    <n v="663"/>
    <n v="663"/>
  </r>
  <r>
    <s v="ORD9882399"/>
    <s v="CUST0415"/>
    <x v="2"/>
    <x v="47"/>
    <d v="1899-12-30T18:03:00"/>
    <s v="Delivered"/>
    <n v="384"/>
    <n v="0"/>
    <n v="384"/>
    <n v="384"/>
  </r>
  <r>
    <s v="ORD7516648"/>
    <s v="CUST0434"/>
    <x v="2"/>
    <x v="48"/>
    <d v="1899-12-30T12:36:00"/>
    <s v="Delivered"/>
    <n v="562"/>
    <n v="0"/>
    <n v="562"/>
    <n v="562"/>
  </r>
  <r>
    <s v="ORD9258194"/>
    <s v="CUST0415"/>
    <x v="2"/>
    <x v="49"/>
    <d v="1899-12-30T17:53:00"/>
    <s v="Delivered"/>
    <n v="228"/>
    <n v="0"/>
    <n v="228"/>
    <n v="228"/>
  </r>
  <r>
    <s v="ORD3977282"/>
    <s v="CUST0067"/>
    <x v="1"/>
    <x v="50"/>
    <d v="1899-12-30T12:51:00"/>
    <s v="Delivered"/>
    <n v="198"/>
    <n v="9.9"/>
    <n v="188.1"/>
    <n v="198"/>
  </r>
  <r>
    <s v="ORD7636992"/>
    <s v="CUST0361"/>
    <x v="2"/>
    <x v="51"/>
    <d v="1899-12-30T10:23:00"/>
    <s v="Cancelled"/>
    <n v="89"/>
    <n v="0"/>
    <n v="0"/>
    <n v="89"/>
  </r>
  <r>
    <s v="ORD6986539"/>
    <s v="CUST0163"/>
    <x v="1"/>
    <x v="52"/>
    <d v="1899-12-30T22:41:00"/>
    <s v="Delivered"/>
    <n v="347"/>
    <n v="0"/>
    <n v="347"/>
    <n v="347"/>
  </r>
  <r>
    <s v="ORD4706007"/>
    <s v="CUST0094"/>
    <x v="0"/>
    <x v="53"/>
    <d v="1899-12-30T00:02:00"/>
    <s v="Delivered"/>
    <n v="149"/>
    <n v="14.9"/>
    <n v="134.1"/>
    <n v="149"/>
  </r>
  <r>
    <s v="ORD6632941"/>
    <s v="CUST0363"/>
    <x v="0"/>
    <x v="54"/>
    <d v="1899-12-30T16:52:00"/>
    <s v="Delivered"/>
    <n v="158"/>
    <n v="0"/>
    <n v="158"/>
    <n v="158"/>
  </r>
  <r>
    <s v="ORD3790695"/>
    <s v="CUST0225"/>
    <x v="0"/>
    <x v="55"/>
    <d v="1899-12-30T09:24:00"/>
    <s v="Delivered"/>
    <n v="277"/>
    <n v="0"/>
    <n v="277"/>
    <n v="277"/>
  </r>
  <r>
    <s v="ORD1560573"/>
    <s v="CUST0038"/>
    <x v="0"/>
    <x v="56"/>
    <d v="1899-12-30T11:28:00"/>
    <s v="Delivered"/>
    <n v="99"/>
    <n v="0"/>
    <n v="99"/>
    <n v="99"/>
  </r>
  <r>
    <s v="ORD2562037"/>
    <s v="CUST0483"/>
    <x v="2"/>
    <x v="57"/>
    <d v="1899-12-30T16:35:00"/>
    <s v="Delivered"/>
    <n v="1331"/>
    <n v="0"/>
    <n v="1331"/>
    <n v="1331"/>
  </r>
  <r>
    <s v="ORD5450404"/>
    <s v="CUST0357"/>
    <x v="0"/>
    <x v="58"/>
    <d v="1899-12-30T17:26:00"/>
    <s v="Delivered"/>
    <n v="336"/>
    <n v="16.8"/>
    <n v="319.2"/>
    <n v="336"/>
  </r>
  <r>
    <s v="ORD2627170"/>
    <s v="CUST0308"/>
    <x v="1"/>
    <x v="59"/>
    <d v="1899-12-30T21:40:00"/>
    <s v="Delivered"/>
    <n v="367"/>
    <n v="0"/>
    <n v="367"/>
    <n v="367"/>
  </r>
  <r>
    <s v="ORD4101792"/>
    <s v="CUST0329"/>
    <x v="0"/>
    <x v="60"/>
    <d v="1899-12-30T13:05:00"/>
    <s v="Delivered"/>
    <n v="297"/>
    <n v="0"/>
    <n v="297"/>
    <n v="297"/>
  </r>
  <r>
    <s v="ORD4817030"/>
    <s v="CUST0278"/>
    <x v="1"/>
    <x v="61"/>
    <d v="1899-12-30T18:51:00"/>
    <s v="Delivered"/>
    <n v="178"/>
    <n v="17.8"/>
    <n v="160.19999999999999"/>
    <n v="178"/>
  </r>
  <r>
    <s v="ORD1582647"/>
    <s v="CUST0203"/>
    <x v="2"/>
    <x v="53"/>
    <d v="1899-12-30T18:05:00"/>
    <s v="Delivered"/>
    <n v="494"/>
    <n v="0"/>
    <n v="494"/>
    <n v="494"/>
  </r>
  <r>
    <s v="ORD8304686"/>
    <s v="CUST0022"/>
    <x v="1"/>
    <x v="34"/>
    <d v="1899-12-30T17:08:00"/>
    <s v="Delivered"/>
    <n v="953"/>
    <n v="0"/>
    <n v="953"/>
    <n v="953"/>
  </r>
  <r>
    <s v="ORD9767135"/>
    <s v="CUST0359"/>
    <x v="0"/>
    <x v="62"/>
    <d v="1899-12-30T16:50:00"/>
    <s v="Delivered"/>
    <n v="198"/>
    <n v="9.9"/>
    <n v="188.1"/>
    <n v="198"/>
  </r>
  <r>
    <s v="ORD6769167"/>
    <s v="CUST0147"/>
    <x v="2"/>
    <x v="30"/>
    <d v="1899-12-30T16:50:00"/>
    <s v="Delivered"/>
    <n v="447"/>
    <n v="0"/>
    <n v="447"/>
    <n v="447"/>
  </r>
  <r>
    <s v="ORD6561547"/>
    <s v="CUST0203"/>
    <x v="2"/>
    <x v="18"/>
    <d v="1899-12-30T15:02:00"/>
    <s v="Delivered"/>
    <n v="119"/>
    <n v="0"/>
    <n v="119"/>
    <n v="119"/>
  </r>
  <r>
    <s v="ORD2647814"/>
    <s v="CUST0432"/>
    <x v="1"/>
    <x v="63"/>
    <d v="1899-12-30T13:17:00"/>
    <s v="Delivered"/>
    <n v="356"/>
    <n v="0"/>
    <n v="356"/>
    <n v="356"/>
  </r>
  <r>
    <s v="ORD9127895"/>
    <s v="CUST0422"/>
    <x v="1"/>
    <x v="64"/>
    <d v="1899-12-30T17:58:00"/>
    <s v="Delivered"/>
    <n v="1011"/>
    <n v="50.55"/>
    <n v="960.45"/>
    <n v="1011"/>
  </r>
  <r>
    <s v="ORD7046090"/>
    <s v="CUST0017"/>
    <x v="1"/>
    <x v="28"/>
    <d v="1899-12-30T16:15:00"/>
    <s v="Delivered"/>
    <n v="347"/>
    <n v="34.700000000000003"/>
    <n v="312.3"/>
    <n v="347"/>
  </r>
  <r>
    <s v="ORD3743303"/>
    <s v="CUST0283"/>
    <x v="1"/>
    <x v="65"/>
    <d v="1899-12-30T19:37:00"/>
    <s v="Delivered"/>
    <n v="772"/>
    <n v="38.6"/>
    <n v="733.4"/>
    <n v="772"/>
  </r>
  <r>
    <s v="ORD1149283"/>
    <s v="CUST0210"/>
    <x v="0"/>
    <x v="64"/>
    <d v="1899-12-30T13:41:00"/>
    <s v="Delivered"/>
    <n v="1339"/>
    <n v="0"/>
    <n v="1339"/>
    <n v="1339"/>
  </r>
  <r>
    <s v="ORD9734854"/>
    <s v="CUST0239"/>
    <x v="1"/>
    <x v="66"/>
    <d v="1899-12-30T18:13:00"/>
    <s v="Cancelled"/>
    <n v="605"/>
    <n v="0"/>
    <n v="0"/>
    <n v="605"/>
  </r>
  <r>
    <s v="ORD6641903"/>
    <s v="CUST0056"/>
    <x v="1"/>
    <x v="64"/>
    <d v="1899-12-30T18:43:00"/>
    <s v="Delivered"/>
    <n v="814"/>
    <n v="0"/>
    <n v="814"/>
    <n v="814"/>
  </r>
  <r>
    <s v="ORD3347627"/>
    <s v="CUST0339"/>
    <x v="1"/>
    <x v="67"/>
    <d v="1899-12-30T00:25:00"/>
    <s v="Delivered"/>
    <n v="286"/>
    <n v="0"/>
    <n v="286"/>
    <n v="286"/>
  </r>
  <r>
    <s v="ORD8981512"/>
    <s v="CUST0274"/>
    <x v="0"/>
    <x v="68"/>
    <d v="1899-12-30T12:43:00"/>
    <s v="Delivered"/>
    <n v="417"/>
    <n v="0"/>
    <n v="417"/>
    <n v="417"/>
  </r>
  <r>
    <s v="ORD4071377"/>
    <s v="CUST0414"/>
    <x v="0"/>
    <x v="69"/>
    <d v="1899-12-30T18:46:00"/>
    <s v="Delivered"/>
    <n v="635"/>
    <n v="0"/>
    <n v="635"/>
    <n v="635"/>
  </r>
  <r>
    <s v="ORD2194801"/>
    <s v="CUST0028"/>
    <x v="2"/>
    <x v="13"/>
    <d v="1899-12-30T16:30:00"/>
    <s v="Delivered"/>
    <n v="744"/>
    <n v="0"/>
    <n v="744"/>
    <n v="744"/>
  </r>
  <r>
    <s v="ORD4025884"/>
    <s v="CUST0162"/>
    <x v="2"/>
    <x v="49"/>
    <d v="1899-12-30T22:09:00"/>
    <s v="Delivered"/>
    <n v="337"/>
    <n v="0"/>
    <n v="337"/>
    <n v="337"/>
  </r>
  <r>
    <s v="ORD2477088"/>
    <s v="CUST0403"/>
    <x v="0"/>
    <x v="70"/>
    <d v="1899-12-30T17:31:00"/>
    <s v="Delivered"/>
    <n v="307"/>
    <n v="30.7"/>
    <n v="276.3"/>
    <n v="307"/>
  </r>
  <r>
    <s v="ORD5174559"/>
    <s v="CUST0010"/>
    <x v="0"/>
    <x v="71"/>
    <d v="1899-12-30T23:12:00"/>
    <s v="Delivered"/>
    <n v="524"/>
    <n v="52.4"/>
    <n v="471.6"/>
    <n v="524"/>
  </r>
  <r>
    <s v="ORD3244614"/>
    <s v="CUST0269"/>
    <x v="1"/>
    <x v="52"/>
    <d v="1899-12-30T20:38:00"/>
    <s v="Delivered"/>
    <n v="1370"/>
    <n v="0"/>
    <n v="1370"/>
    <n v="1370"/>
  </r>
  <r>
    <s v="ORD1626854"/>
    <s v="CUST0365"/>
    <x v="0"/>
    <x v="72"/>
    <d v="1899-12-30T16:23:00"/>
    <s v="Delivered"/>
    <n v="593"/>
    <n v="0"/>
    <n v="593"/>
    <n v="593"/>
  </r>
  <r>
    <s v="ORD1156104"/>
    <s v="CUST0079"/>
    <x v="1"/>
    <x v="73"/>
    <d v="1899-12-30T19:44:00"/>
    <s v="Delivered"/>
    <n v="356"/>
    <n v="0"/>
    <n v="356"/>
    <n v="356"/>
  </r>
  <r>
    <s v="ORD2782809"/>
    <s v="CUST0145"/>
    <x v="1"/>
    <x v="67"/>
    <d v="1899-12-30T20:07:00"/>
    <s v="Delivered"/>
    <n v="277"/>
    <n v="0"/>
    <n v="277"/>
    <n v="277"/>
  </r>
  <r>
    <s v="ORD9064202"/>
    <s v="CUST0107"/>
    <x v="0"/>
    <x v="74"/>
    <d v="1899-12-30T19:58:00"/>
    <s v="Delivered"/>
    <n v="317"/>
    <n v="31.7"/>
    <n v="285.3"/>
    <n v="317"/>
  </r>
  <r>
    <s v="ORD5293157"/>
    <s v="CUST0371"/>
    <x v="0"/>
    <x v="42"/>
    <d v="1899-12-30T20:04:00"/>
    <s v="Delivered"/>
    <n v="246"/>
    <n v="12.3"/>
    <n v="233.7"/>
    <n v="246"/>
  </r>
  <r>
    <s v="ORD2593809"/>
    <s v="CUST0219"/>
    <x v="0"/>
    <x v="75"/>
    <d v="1899-12-30T21:20:00"/>
    <s v="Delivered"/>
    <n v="198"/>
    <n v="19.8"/>
    <n v="178.2"/>
    <n v="198"/>
  </r>
  <r>
    <s v="ORD7251562"/>
    <s v="CUST0450"/>
    <x v="0"/>
    <x v="76"/>
    <d v="1899-12-30T20:17:00"/>
    <s v="Delivered"/>
    <n v="168"/>
    <n v="0"/>
    <n v="168"/>
    <n v="168"/>
  </r>
  <r>
    <s v="ORD1983923"/>
    <s v="CUST0068"/>
    <x v="0"/>
    <x v="77"/>
    <d v="1899-12-30T17:07:00"/>
    <s v="Delivered"/>
    <n v="158"/>
    <n v="15.8"/>
    <n v="142.19999999999999"/>
    <n v="158"/>
  </r>
  <r>
    <s v="ORD3192032"/>
    <s v="CUST0015"/>
    <x v="2"/>
    <x v="78"/>
    <d v="1899-12-30T18:39:00"/>
    <s v="Delivered"/>
    <n v="682"/>
    <n v="0"/>
    <n v="682"/>
    <n v="682"/>
  </r>
  <r>
    <s v="ORD2597897"/>
    <s v="CUST0174"/>
    <x v="0"/>
    <x v="79"/>
    <d v="1899-12-30T01:55:00"/>
    <s v="Delivered"/>
    <n v="724"/>
    <n v="0"/>
    <n v="724"/>
    <n v="724"/>
  </r>
  <r>
    <s v="ORD9318729"/>
    <s v="CUST0435"/>
    <x v="1"/>
    <x v="80"/>
    <d v="1899-12-30T17:32:00"/>
    <s v="Delivered"/>
    <n v="149"/>
    <n v="0"/>
    <n v="149"/>
    <n v="149"/>
  </r>
  <r>
    <s v="ORD2322557"/>
    <s v="CUST0207"/>
    <x v="0"/>
    <x v="81"/>
    <d v="1899-12-30T21:24:00"/>
    <s v="Delivered"/>
    <n v="387"/>
    <n v="0"/>
    <n v="387"/>
    <n v="387"/>
  </r>
  <r>
    <s v="ORD1002847"/>
    <s v="CUST0019"/>
    <x v="0"/>
    <x v="82"/>
    <d v="1899-12-30T19:26:00"/>
    <s v="Delivered"/>
    <n v="634"/>
    <n v="0"/>
    <n v="634"/>
    <n v="634"/>
  </r>
  <r>
    <s v="ORD8937865"/>
    <s v="CUST0287"/>
    <x v="0"/>
    <x v="83"/>
    <d v="1899-12-30T22:21:00"/>
    <s v="Delivered"/>
    <n v="921"/>
    <n v="0"/>
    <n v="921"/>
    <n v="921"/>
  </r>
  <r>
    <s v="ORD7865417"/>
    <s v="CUST0085"/>
    <x v="1"/>
    <x v="84"/>
    <d v="1899-12-30T09:57:00"/>
    <s v="Delivered"/>
    <n v="346"/>
    <n v="0"/>
    <n v="346"/>
    <n v="346"/>
  </r>
  <r>
    <s v="ORD3067274"/>
    <s v="CUST0475"/>
    <x v="0"/>
    <x v="68"/>
    <d v="1899-12-30T19:02:00"/>
    <s v="Delivered"/>
    <n v="894"/>
    <n v="44.7"/>
    <n v="849.3"/>
    <n v="894"/>
  </r>
  <r>
    <s v="ORD3972963"/>
    <s v="CUST0474"/>
    <x v="0"/>
    <x v="0"/>
    <d v="1899-12-30T20:30:00"/>
    <s v="Cancelled"/>
    <n v="356"/>
    <n v="35.6"/>
    <n v="0"/>
    <n v="356"/>
  </r>
  <r>
    <s v="ORD5590177"/>
    <s v="CUST0355"/>
    <x v="0"/>
    <x v="36"/>
    <d v="1899-12-30T20:58:00"/>
    <s v="Delivered"/>
    <n v="752"/>
    <n v="75.2"/>
    <n v="676.8"/>
    <n v="752"/>
  </r>
  <r>
    <s v="ORD5875114"/>
    <s v="CUST0103"/>
    <x v="1"/>
    <x v="85"/>
    <d v="1899-12-30T01:13:00"/>
    <s v="Delivered"/>
    <n v="1011"/>
    <n v="0"/>
    <n v="1011"/>
    <n v="1011"/>
  </r>
  <r>
    <s v="ORD9957402"/>
    <s v="CUST0383"/>
    <x v="2"/>
    <x v="21"/>
    <d v="1899-12-30T15:43:00"/>
    <s v="Delivered"/>
    <n v="474"/>
    <n v="0"/>
    <n v="474"/>
    <n v="474"/>
  </r>
  <r>
    <s v="ORD1542011"/>
    <s v="CUST0402"/>
    <x v="1"/>
    <x v="86"/>
    <d v="1899-12-30T16:44:00"/>
    <s v="Delivered"/>
    <n v="674"/>
    <n v="0"/>
    <n v="674"/>
    <n v="674"/>
  </r>
  <r>
    <s v="ORD7988821"/>
    <s v="CUST0475"/>
    <x v="1"/>
    <x v="87"/>
    <d v="1899-12-30T21:03:00"/>
    <s v="Delivered"/>
    <n v="793"/>
    <n v="79.3"/>
    <n v="713.7"/>
    <n v="793"/>
  </r>
  <r>
    <s v="ORD4246352"/>
    <s v="CUST0398"/>
    <x v="0"/>
    <x v="88"/>
    <d v="1899-12-30T20:12:00"/>
    <s v="Delivered"/>
    <n v="742"/>
    <n v="37.1"/>
    <n v="704.9"/>
    <n v="742"/>
  </r>
  <r>
    <s v="ORD1094709"/>
    <s v="CUST0300"/>
    <x v="0"/>
    <x v="59"/>
    <d v="1899-12-30T17:10:00"/>
    <s v="Delivered"/>
    <n v="554"/>
    <n v="0"/>
    <n v="554"/>
    <n v="554"/>
  </r>
  <r>
    <s v="ORD7007679"/>
    <s v="CUST0405"/>
    <x v="0"/>
    <x v="89"/>
    <d v="1899-12-30T13:31:00"/>
    <s v="Delivered"/>
    <n v="316"/>
    <n v="0"/>
    <n v="316"/>
    <n v="316"/>
  </r>
  <r>
    <s v="ORD5925360"/>
    <s v="CUST0170"/>
    <x v="1"/>
    <x v="90"/>
    <d v="1899-12-30T17:42:00"/>
    <s v="Delivered"/>
    <n v="645"/>
    <n v="32.25"/>
    <n v="612.75"/>
    <n v="645"/>
  </r>
  <r>
    <s v="ORD2902100"/>
    <s v="CUST0469"/>
    <x v="0"/>
    <x v="91"/>
    <d v="1899-12-30T14:24:00"/>
    <s v="Delivered"/>
    <n v="635"/>
    <n v="0"/>
    <n v="635"/>
    <n v="635"/>
  </r>
  <r>
    <s v="ORD9621722"/>
    <s v="CUST0334"/>
    <x v="1"/>
    <x v="92"/>
    <d v="1899-12-30T18:57:00"/>
    <s v="Delivered"/>
    <n v="791"/>
    <n v="0"/>
    <n v="791"/>
    <n v="791"/>
  </r>
  <r>
    <s v="ORD2209981"/>
    <s v="CUST0380"/>
    <x v="0"/>
    <x v="93"/>
    <d v="1899-12-30T21:56:00"/>
    <s v="Delivered"/>
    <n v="159"/>
    <n v="7.95"/>
    <n v="151.05000000000001"/>
    <n v="159"/>
  </r>
  <r>
    <s v="ORD7838943"/>
    <s v="CUST0117"/>
    <x v="2"/>
    <x v="94"/>
    <d v="1899-12-30T20:52:00"/>
    <s v="Delivered"/>
    <n v="128"/>
    <n v="6.4"/>
    <n v="121.6"/>
    <n v="128"/>
  </r>
  <r>
    <s v="ORD2217848"/>
    <s v="CUST0024"/>
    <x v="0"/>
    <x v="95"/>
    <d v="1899-12-30T21:37:00"/>
    <s v="Delivered"/>
    <n v="683"/>
    <n v="0"/>
    <n v="683"/>
    <n v="683"/>
  </r>
  <r>
    <s v="ORD5948917"/>
    <s v="CUST0409"/>
    <x v="0"/>
    <x v="96"/>
    <d v="1899-12-30T19:50:00"/>
    <s v="Delivered"/>
    <n v="395"/>
    <n v="0"/>
    <n v="395"/>
    <n v="395"/>
  </r>
  <r>
    <s v="ORD7611593"/>
    <s v="CUST0022"/>
    <x v="1"/>
    <x v="8"/>
    <d v="1899-12-30T11:07:00"/>
    <s v="Delivered"/>
    <n v="913"/>
    <n v="0"/>
    <n v="913"/>
    <n v="913"/>
  </r>
  <r>
    <s v="ORD4042682"/>
    <s v="CUST0130"/>
    <x v="1"/>
    <x v="26"/>
    <d v="1899-12-30T20:53:00"/>
    <s v="Delivered"/>
    <n v="505"/>
    <n v="0"/>
    <n v="505"/>
    <n v="505"/>
  </r>
  <r>
    <s v="ORD5783807"/>
    <s v="CUST0336"/>
    <x v="1"/>
    <x v="65"/>
    <d v="1899-12-30T17:42:00"/>
    <s v="Cancelled"/>
    <n v="178"/>
    <n v="0"/>
    <n v="0"/>
    <n v="178"/>
  </r>
  <r>
    <s v="ORD6307189"/>
    <s v="CUST0291"/>
    <x v="1"/>
    <x v="97"/>
    <d v="1899-12-30T11:36:00"/>
    <s v="Delivered"/>
    <n v="416"/>
    <n v="0"/>
    <n v="416"/>
    <n v="416"/>
  </r>
  <r>
    <s v="ORD7018685"/>
    <s v="CUST0246"/>
    <x v="1"/>
    <x v="98"/>
    <d v="1899-12-30T14:56:00"/>
    <s v="Delivered"/>
    <n v="238"/>
    <n v="11.9"/>
    <n v="226.1"/>
    <n v="238"/>
  </r>
  <r>
    <s v="ORD2265001"/>
    <s v="CUST0321"/>
    <x v="1"/>
    <x v="99"/>
    <d v="1899-12-30T21:56:00"/>
    <s v="Delivered"/>
    <n v="1003"/>
    <n v="0"/>
    <n v="1003"/>
    <n v="1003"/>
  </r>
  <r>
    <s v="ORD5882155"/>
    <s v="CUST0457"/>
    <x v="0"/>
    <x v="100"/>
    <d v="1899-12-30T19:14:00"/>
    <s v="Delivered"/>
    <n v="476"/>
    <n v="0"/>
    <n v="476"/>
    <n v="476"/>
  </r>
  <r>
    <s v="ORD3671308"/>
    <s v="CUST0264"/>
    <x v="1"/>
    <x v="101"/>
    <d v="1899-12-30T17:48:00"/>
    <s v="Delivered"/>
    <n v="962"/>
    <n v="0"/>
    <n v="962"/>
    <n v="962"/>
  </r>
  <r>
    <s v="ORD7060792"/>
    <s v="CUST0343"/>
    <x v="1"/>
    <x v="11"/>
    <d v="1899-12-30T17:02:00"/>
    <s v="Delivered"/>
    <n v="694"/>
    <n v="0"/>
    <n v="694"/>
    <n v="694"/>
  </r>
  <r>
    <s v="ORD7319298"/>
    <s v="CUST0279"/>
    <x v="0"/>
    <x v="84"/>
    <d v="1899-12-30T13:37:00"/>
    <s v="Delivered"/>
    <n v="457"/>
    <n v="0"/>
    <n v="457"/>
    <n v="457"/>
  </r>
  <r>
    <s v="ORD1110690"/>
    <s v="CUST0406"/>
    <x v="1"/>
    <x v="102"/>
    <d v="1899-12-30T18:31:00"/>
    <s v="Delivered"/>
    <n v="853"/>
    <n v="0"/>
    <n v="853"/>
    <n v="853"/>
  </r>
  <r>
    <s v="ORD4535025"/>
    <s v="CUST0346"/>
    <x v="1"/>
    <x v="103"/>
    <d v="1899-12-30T16:30:00"/>
    <s v="Cancelled"/>
    <n v="357"/>
    <n v="0"/>
    <n v="0"/>
    <n v="357"/>
  </r>
  <r>
    <s v="ORD4020528"/>
    <s v="CUST0029"/>
    <x v="1"/>
    <x v="104"/>
    <d v="1899-12-30T20:09:00"/>
    <s v="Delivered"/>
    <n v="585"/>
    <n v="58.5"/>
    <n v="526.5"/>
    <n v="585"/>
  </r>
  <r>
    <s v="ORD4051509"/>
    <s v="CUST0074"/>
    <x v="0"/>
    <x v="105"/>
    <d v="1899-12-30T19:38:00"/>
    <s v="Cancelled"/>
    <n v="515"/>
    <n v="51.5"/>
    <n v="0"/>
    <n v="515"/>
  </r>
  <r>
    <s v="ORD8042991"/>
    <s v="CUST0466"/>
    <x v="0"/>
    <x v="106"/>
    <d v="1899-12-30T20:55:00"/>
    <s v="Delivered"/>
    <n v="802"/>
    <n v="40.1"/>
    <n v="761.9"/>
    <n v="802"/>
  </r>
  <r>
    <s v="ORD8239315"/>
    <s v="CUST0424"/>
    <x v="1"/>
    <x v="9"/>
    <d v="1899-12-30T20:34:00"/>
    <s v="Delivered"/>
    <n v="735"/>
    <n v="0"/>
    <n v="735"/>
    <n v="735"/>
  </r>
  <r>
    <s v="ORD2639417"/>
    <s v="CUST0390"/>
    <x v="0"/>
    <x v="107"/>
    <d v="1899-12-30T21:58:00"/>
    <s v="Delivered"/>
    <n v="386"/>
    <n v="0"/>
    <n v="386"/>
    <n v="386"/>
  </r>
  <r>
    <s v="ORD9766777"/>
    <s v="CUST0405"/>
    <x v="1"/>
    <x v="108"/>
    <d v="1899-12-30T21:47:00"/>
    <s v="Delivered"/>
    <n v="356"/>
    <n v="35.6"/>
    <n v="320.39999999999998"/>
    <n v="356"/>
  </r>
  <r>
    <s v="ORD5623138"/>
    <s v="CUST0290"/>
    <x v="1"/>
    <x v="100"/>
    <d v="1899-12-30T20:27:00"/>
    <s v="Delivered"/>
    <n v="436"/>
    <n v="0"/>
    <n v="436"/>
    <n v="436"/>
  </r>
  <r>
    <s v="ORD4854922"/>
    <s v="CUST0443"/>
    <x v="0"/>
    <x v="109"/>
    <d v="1899-12-30T11:54:00"/>
    <s v="Delivered"/>
    <n v="842"/>
    <n v="0"/>
    <n v="842"/>
    <n v="842"/>
  </r>
  <r>
    <s v="ORD3438206"/>
    <s v="CUST0412"/>
    <x v="1"/>
    <x v="80"/>
    <d v="1899-12-30T21:00:00"/>
    <s v="Delivered"/>
    <n v="793"/>
    <n v="0"/>
    <n v="793"/>
    <n v="793"/>
  </r>
  <r>
    <s v="ORD3940561"/>
    <s v="CUST0485"/>
    <x v="0"/>
    <x v="84"/>
    <d v="1899-12-30T00:03:00"/>
    <s v="Delivered"/>
    <n v="416"/>
    <n v="62.4"/>
    <n v="353.6"/>
    <n v="416"/>
  </r>
  <r>
    <s v="ORD5014060"/>
    <s v="CUST0346"/>
    <x v="1"/>
    <x v="92"/>
    <d v="1899-12-30T00:10:00"/>
    <s v="Delivered"/>
    <n v="545"/>
    <n v="0"/>
    <n v="545"/>
    <n v="545"/>
  </r>
  <r>
    <s v="ORD5639031"/>
    <s v="CUST0299"/>
    <x v="1"/>
    <x v="110"/>
    <d v="1899-12-30T23:58:00"/>
    <s v="Delivered"/>
    <n v="317"/>
    <n v="15.85"/>
    <n v="301.14999999999998"/>
    <n v="317"/>
  </r>
  <r>
    <s v="ORD5196677"/>
    <s v="CUST0263"/>
    <x v="2"/>
    <x v="36"/>
    <d v="1899-12-30T16:51:00"/>
    <s v="Delivered"/>
    <n v="654"/>
    <n v="32.700000000000003"/>
    <n v="621.29999999999995"/>
    <n v="654"/>
  </r>
  <r>
    <s v="ORD6297082"/>
    <s v="CUST0360"/>
    <x v="1"/>
    <x v="111"/>
    <d v="1899-12-30T17:43:00"/>
    <s v="Delivered"/>
    <n v="803"/>
    <n v="0"/>
    <n v="803"/>
    <n v="803"/>
  </r>
  <r>
    <s v="ORD4190481"/>
    <s v="CUST0094"/>
    <x v="2"/>
    <x v="112"/>
    <d v="1899-12-30T20:17:00"/>
    <s v="Delivered"/>
    <n v="376"/>
    <n v="0"/>
    <n v="376"/>
    <n v="376"/>
  </r>
  <r>
    <s v="ORD9265544"/>
    <s v="CUST0041"/>
    <x v="0"/>
    <x v="113"/>
    <d v="1899-12-30T10:58:00"/>
    <s v="Cancelled"/>
    <n v="556"/>
    <n v="0"/>
    <n v="0"/>
    <n v="556"/>
  </r>
  <r>
    <s v="ORD9575399"/>
    <s v="CUST0141"/>
    <x v="1"/>
    <x v="114"/>
    <d v="1899-12-30T20:55:00"/>
    <s v="Delivered"/>
    <n v="307"/>
    <n v="15.35"/>
    <n v="291.64999999999998"/>
    <n v="307"/>
  </r>
  <r>
    <s v="ORD3019442"/>
    <s v="CUST0090"/>
    <x v="1"/>
    <x v="36"/>
    <d v="1899-12-30T21:49:00"/>
    <s v="Delivered"/>
    <n v="377"/>
    <n v="0"/>
    <n v="377"/>
    <n v="377"/>
  </r>
  <r>
    <s v="ORD6756203"/>
    <s v="CUST0122"/>
    <x v="1"/>
    <x v="115"/>
    <d v="1899-12-30T20:16:00"/>
    <s v="Delivered"/>
    <n v="207"/>
    <n v="0"/>
    <n v="207"/>
    <n v="207"/>
  </r>
  <r>
    <s v="ORD2675536"/>
    <s v="CUST0295"/>
    <x v="0"/>
    <x v="116"/>
    <d v="1899-12-30T20:08:00"/>
    <s v="Delivered"/>
    <n v="723"/>
    <n v="36.15"/>
    <n v="686.85"/>
    <n v="723"/>
  </r>
  <r>
    <s v="ORD9164132"/>
    <s v="CUST0369"/>
    <x v="1"/>
    <x v="117"/>
    <d v="1899-12-30T23:34:00"/>
    <s v="Delivered"/>
    <n v="238"/>
    <n v="0"/>
    <n v="238"/>
    <n v="238"/>
  </r>
  <r>
    <s v="ORD7055937"/>
    <s v="CUST0382"/>
    <x v="1"/>
    <x v="118"/>
    <d v="1899-12-30T10:28:00"/>
    <s v="Delivered"/>
    <n v="771"/>
    <n v="0"/>
    <n v="771"/>
    <n v="771"/>
  </r>
  <r>
    <s v="ORD9563838"/>
    <s v="CUST0146"/>
    <x v="1"/>
    <x v="119"/>
    <d v="1899-12-30T17:49:00"/>
    <s v="Delivered"/>
    <n v="1191"/>
    <n v="0"/>
    <n v="1191"/>
    <n v="1191"/>
  </r>
  <r>
    <s v="ORD2196955"/>
    <s v="CUST0208"/>
    <x v="0"/>
    <x v="120"/>
    <d v="1899-12-30T20:36:00"/>
    <s v="Delivered"/>
    <n v="138"/>
    <n v="0"/>
    <n v="138"/>
    <n v="138"/>
  </r>
  <r>
    <s v="ORD8554590"/>
    <s v="CUST0301"/>
    <x v="0"/>
    <x v="121"/>
    <d v="1899-12-30T18:47:00"/>
    <s v="Delivered"/>
    <n v="218"/>
    <n v="10.9"/>
    <n v="207.1"/>
    <n v="218"/>
  </r>
  <r>
    <s v="ORD1903041"/>
    <s v="CUST0480"/>
    <x v="2"/>
    <x v="122"/>
    <d v="1899-12-30T16:04:00"/>
    <s v="Delivered"/>
    <n v="563"/>
    <n v="0"/>
    <n v="563"/>
    <n v="563"/>
  </r>
  <r>
    <s v="ORD3862327"/>
    <s v="CUST0065"/>
    <x v="1"/>
    <x v="123"/>
    <d v="1899-12-30T22:40:00"/>
    <s v="Delivered"/>
    <n v="316"/>
    <n v="0"/>
    <n v="316"/>
    <n v="316"/>
  </r>
  <r>
    <s v="ORD3970181"/>
    <s v="CUST0228"/>
    <x v="1"/>
    <x v="124"/>
    <d v="1899-12-30T13:35:00"/>
    <s v="Cancelled"/>
    <n v="516"/>
    <n v="0"/>
    <n v="0"/>
    <n v="516"/>
  </r>
  <r>
    <s v="ORD5358838"/>
    <s v="CUST0158"/>
    <x v="1"/>
    <x v="125"/>
    <d v="1899-12-30T16:28:00"/>
    <s v="Delivered"/>
    <n v="336"/>
    <n v="33.6"/>
    <n v="302.39999999999998"/>
    <n v="336"/>
  </r>
  <r>
    <s v="ORD8221506"/>
    <s v="CUST0245"/>
    <x v="1"/>
    <x v="96"/>
    <d v="1899-12-30T22:48:00"/>
    <s v="Delivered"/>
    <n v="584"/>
    <n v="0"/>
    <n v="584"/>
    <n v="584"/>
  </r>
  <r>
    <s v="ORD5019180"/>
    <s v="CUST0041"/>
    <x v="1"/>
    <x v="64"/>
    <d v="1899-12-30T12:16:00"/>
    <s v="Delivered"/>
    <n v="783"/>
    <n v="0"/>
    <n v="783"/>
    <n v="783"/>
  </r>
  <r>
    <s v="ORD8596173"/>
    <s v="CUST0327"/>
    <x v="1"/>
    <x v="75"/>
    <d v="1899-12-30T18:07:00"/>
    <s v="Delivered"/>
    <n v="1299"/>
    <n v="0"/>
    <n v="1299"/>
    <n v="1299"/>
  </r>
  <r>
    <s v="ORD9280890"/>
    <s v="CUST0047"/>
    <x v="1"/>
    <x v="126"/>
    <d v="1899-12-30T16:14:00"/>
    <s v="Delivered"/>
    <n v="673"/>
    <n v="0"/>
    <n v="673"/>
    <n v="673"/>
  </r>
  <r>
    <s v="ORD2197636"/>
    <s v="CUST0137"/>
    <x v="0"/>
    <x v="127"/>
    <d v="1899-12-30T11:03:00"/>
    <s v="Delivered"/>
    <n v="684"/>
    <n v="102.6"/>
    <n v="581.4"/>
    <n v="684"/>
  </r>
  <r>
    <s v="ORD4341683"/>
    <s v="CUST0378"/>
    <x v="2"/>
    <x v="128"/>
    <d v="1899-12-30T22:15:00"/>
    <s v="Delivered"/>
    <n v="1070"/>
    <n v="0"/>
    <n v="1070"/>
    <n v="1070"/>
  </r>
  <r>
    <s v="ORD6013251"/>
    <s v="CUST0063"/>
    <x v="1"/>
    <x v="129"/>
    <d v="1899-12-30T23:33:00"/>
    <s v="Delivered"/>
    <n v="844"/>
    <n v="0"/>
    <n v="844"/>
    <n v="844"/>
  </r>
  <r>
    <s v="ORD1149818"/>
    <s v="CUST0203"/>
    <x v="0"/>
    <x v="130"/>
    <d v="1899-12-30T00:07:00"/>
    <s v="Delivered"/>
    <n v="546"/>
    <n v="0"/>
    <n v="546"/>
    <n v="546"/>
  </r>
  <r>
    <s v="ORD3582322"/>
    <s v="CUST0031"/>
    <x v="1"/>
    <x v="86"/>
    <d v="1899-12-30T21:03:00"/>
    <s v="Delivered"/>
    <n v="621"/>
    <n v="0"/>
    <n v="621"/>
    <n v="621"/>
  </r>
  <r>
    <s v="ORD1662507"/>
    <s v="CUST0069"/>
    <x v="1"/>
    <x v="131"/>
    <d v="1899-12-30T14:46:00"/>
    <s v="Delivered"/>
    <n v="496"/>
    <n v="49.6"/>
    <n v="446.4"/>
    <n v="496"/>
  </r>
  <r>
    <s v="ORD2155557"/>
    <s v="CUST0441"/>
    <x v="0"/>
    <x v="40"/>
    <d v="1899-12-30T20:58:00"/>
    <s v="Delivered"/>
    <n v="188"/>
    <n v="0"/>
    <n v="188"/>
    <n v="188"/>
  </r>
  <r>
    <s v="ORD5006173"/>
    <s v="CUST0439"/>
    <x v="1"/>
    <x v="132"/>
    <d v="1899-12-30T16:39:00"/>
    <s v="Delivered"/>
    <n v="674"/>
    <n v="0"/>
    <n v="674"/>
    <n v="674"/>
  </r>
  <r>
    <s v="ORD1734460"/>
    <s v="CUST0268"/>
    <x v="0"/>
    <x v="133"/>
    <d v="1899-12-30T16:06:00"/>
    <s v="Delivered"/>
    <n v="178"/>
    <n v="0"/>
    <n v="178"/>
    <n v="178"/>
  </r>
  <r>
    <s v="ORD7146400"/>
    <s v="CUST0303"/>
    <x v="1"/>
    <x v="134"/>
    <d v="1899-12-30T20:44:00"/>
    <s v="Delivered"/>
    <n v="713"/>
    <n v="35.65"/>
    <n v="677.35"/>
    <n v="713"/>
  </r>
  <r>
    <s v="ORD1978112"/>
    <s v="CUST0189"/>
    <x v="0"/>
    <x v="98"/>
    <d v="1899-12-30T15:52:00"/>
    <s v="Cancelled"/>
    <n v="515"/>
    <n v="0"/>
    <n v="0"/>
    <n v="515"/>
  </r>
  <r>
    <s v="ORD5173551"/>
    <s v="CUST0098"/>
    <x v="1"/>
    <x v="135"/>
    <d v="1899-12-30T23:24:00"/>
    <s v="Delivered"/>
    <n v="456"/>
    <n v="0"/>
    <n v="456"/>
    <n v="456"/>
  </r>
  <r>
    <s v="ORD9467339"/>
    <s v="CUST0093"/>
    <x v="0"/>
    <x v="136"/>
    <d v="1899-12-30T11:50:00"/>
    <s v="Delivered"/>
    <n v="1089"/>
    <n v="0"/>
    <n v="1089"/>
    <n v="1089"/>
  </r>
  <r>
    <s v="ORD4589118"/>
    <s v="CUST0312"/>
    <x v="1"/>
    <x v="137"/>
    <d v="1899-12-30T21:20:00"/>
    <s v="Delivered"/>
    <n v="336"/>
    <n v="0"/>
    <n v="336"/>
    <n v="336"/>
  </r>
  <r>
    <s v="ORD4604128"/>
    <s v="CUST0154"/>
    <x v="2"/>
    <x v="14"/>
    <d v="1899-12-30T18:00:00"/>
    <s v="Delivered"/>
    <n v="198"/>
    <n v="0"/>
    <n v="198"/>
    <n v="198"/>
  </r>
  <r>
    <s v="ORD6966913"/>
    <s v="CUST0049"/>
    <x v="1"/>
    <x v="0"/>
    <d v="1899-12-30T20:09:00"/>
    <s v="Delivered"/>
    <n v="526"/>
    <n v="52.6"/>
    <n v="473.4"/>
    <n v="526"/>
  </r>
  <r>
    <s v="ORD3900822"/>
    <s v="CUST0167"/>
    <x v="0"/>
    <x v="49"/>
    <d v="1899-12-30T16:46:00"/>
    <s v="Delivered"/>
    <n v="754"/>
    <n v="37.700000000000003"/>
    <n v="716.3"/>
    <n v="754"/>
  </r>
  <r>
    <s v="ORD4803691"/>
    <s v="CUST0477"/>
    <x v="2"/>
    <x v="30"/>
    <d v="1899-12-30T19:26:00"/>
    <s v="Cancelled"/>
    <n v="516"/>
    <n v="0"/>
    <n v="0"/>
    <n v="516"/>
  </r>
  <r>
    <s v="ORD9467953"/>
    <s v="CUST0386"/>
    <x v="0"/>
    <x v="138"/>
    <d v="1899-12-30T15:28:00"/>
    <s v="Delivered"/>
    <n v="178"/>
    <n v="0"/>
    <n v="178"/>
    <n v="178"/>
  </r>
  <r>
    <s v="ORD3187332"/>
    <s v="CUST0257"/>
    <x v="1"/>
    <x v="81"/>
    <d v="1899-12-30T16:25:00"/>
    <s v="Delivered"/>
    <n v="356"/>
    <n v="17.8"/>
    <n v="338.2"/>
    <n v="356"/>
  </r>
  <r>
    <s v="ORD2503148"/>
    <s v="CUST0351"/>
    <x v="2"/>
    <x v="139"/>
    <d v="1899-12-30T19:20:00"/>
    <s v="Delivered"/>
    <n v="286"/>
    <n v="0"/>
    <n v="286"/>
    <n v="286"/>
  </r>
  <r>
    <s v="ORD4917305"/>
    <s v="CUST0075"/>
    <x v="1"/>
    <x v="18"/>
    <d v="1899-12-30T22:39:00"/>
    <s v="Delivered"/>
    <n v="774"/>
    <n v="38.700000000000003"/>
    <n v="735.3"/>
    <n v="774"/>
  </r>
  <r>
    <s v="ORD6119031"/>
    <s v="CUST0356"/>
    <x v="0"/>
    <x v="105"/>
    <d v="1899-12-30T09:21:00"/>
    <s v="Delivered"/>
    <n v="377"/>
    <n v="0"/>
    <n v="377"/>
    <n v="377"/>
  </r>
  <r>
    <s v="ORD7318411"/>
    <s v="CUST0358"/>
    <x v="0"/>
    <x v="38"/>
    <d v="1899-12-30T17:44:00"/>
    <s v="Cancelled"/>
    <n v="871"/>
    <n v="130.65"/>
    <n v="0"/>
    <n v="871"/>
  </r>
  <r>
    <s v="ORD5907261"/>
    <s v="CUST0443"/>
    <x v="1"/>
    <x v="121"/>
    <d v="1899-12-30T01:23:00"/>
    <s v="Delivered"/>
    <n v="138"/>
    <n v="0"/>
    <n v="138"/>
    <n v="138"/>
  </r>
  <r>
    <s v="ORD1360516"/>
    <s v="CUST0288"/>
    <x v="2"/>
    <x v="96"/>
    <d v="1899-12-30T20:29:00"/>
    <s v="Delivered"/>
    <n v="158"/>
    <n v="0"/>
    <n v="158"/>
    <n v="158"/>
  </r>
  <r>
    <s v="ORD5323142"/>
    <s v="CUST0142"/>
    <x v="0"/>
    <x v="140"/>
    <d v="1899-12-30T17:32:00"/>
    <s v="Delivered"/>
    <n v="762"/>
    <n v="0"/>
    <n v="762"/>
    <n v="762"/>
  </r>
  <r>
    <s v="ORD3562705"/>
    <s v="CUST0117"/>
    <x v="1"/>
    <x v="91"/>
    <d v="1899-12-30T21:43:00"/>
    <s v="Delivered"/>
    <n v="771"/>
    <n v="77.099999999999994"/>
    <n v="693.9"/>
    <n v="771"/>
  </r>
  <r>
    <s v="ORD3435253"/>
    <s v="CUST0466"/>
    <x v="2"/>
    <x v="141"/>
    <d v="1899-12-30T11:27:00"/>
    <s v="Delivered"/>
    <n v="691"/>
    <n v="69.099999999999994"/>
    <n v="621.9"/>
    <n v="691"/>
  </r>
  <r>
    <s v="ORD5593537"/>
    <s v="CUST0421"/>
    <x v="2"/>
    <x v="91"/>
    <d v="1899-12-30T21:59:00"/>
    <s v="Delivered"/>
    <n v="485"/>
    <n v="0"/>
    <n v="485"/>
    <n v="485"/>
  </r>
  <r>
    <s v="ORD3249600"/>
    <s v="CUST0353"/>
    <x v="0"/>
    <x v="11"/>
    <d v="1899-12-30T14:05:00"/>
    <s v="Delivered"/>
    <n v="545"/>
    <n v="0"/>
    <n v="545"/>
    <n v="545"/>
  </r>
  <r>
    <s v="ORD4431982"/>
    <s v="CUST0344"/>
    <x v="2"/>
    <x v="142"/>
    <d v="1899-12-30T12:47:00"/>
    <s v="Delivered"/>
    <n v="396"/>
    <n v="0"/>
    <n v="396"/>
    <n v="396"/>
  </r>
  <r>
    <s v="ORD6249548"/>
    <s v="CUST0377"/>
    <x v="0"/>
    <x v="57"/>
    <d v="1899-12-30T16:38:00"/>
    <s v="Delivered"/>
    <n v="1062"/>
    <n v="0"/>
    <n v="1062"/>
    <n v="1062"/>
  </r>
  <r>
    <s v="ORD1658532"/>
    <s v="CUST0276"/>
    <x v="1"/>
    <x v="83"/>
    <d v="1899-12-30T17:33:00"/>
    <s v="Delivered"/>
    <n v="228"/>
    <n v="22.8"/>
    <n v="205.2"/>
    <n v="228"/>
  </r>
  <r>
    <s v="ORD1915141"/>
    <s v="CUST0151"/>
    <x v="0"/>
    <x v="143"/>
    <d v="1899-12-30T17:27:00"/>
    <s v="Delivered"/>
    <n v="1251"/>
    <n v="0"/>
    <n v="1251"/>
    <n v="1251"/>
  </r>
  <r>
    <s v="ORD4387856"/>
    <s v="CUST0460"/>
    <x v="0"/>
    <x v="144"/>
    <d v="1899-12-30T19:37:00"/>
    <s v="Delivered"/>
    <n v="118"/>
    <n v="0"/>
    <n v="118"/>
    <n v="118"/>
  </r>
  <r>
    <s v="ORD7089179"/>
    <s v="CUST0362"/>
    <x v="1"/>
    <x v="145"/>
    <d v="1899-12-30T10:07:00"/>
    <s v="Delivered"/>
    <n v="634"/>
    <n v="31.7"/>
    <n v="602.29999999999995"/>
    <n v="634"/>
  </r>
  <r>
    <s v="ORD3426109"/>
    <s v="CUST0077"/>
    <x v="1"/>
    <x v="146"/>
    <d v="1899-12-30T21:55:00"/>
    <s v="Delivered"/>
    <n v="983"/>
    <n v="0"/>
    <n v="983"/>
    <n v="983"/>
  </r>
  <r>
    <s v="ORD9365828"/>
    <s v="CUST0235"/>
    <x v="1"/>
    <x v="91"/>
    <d v="1899-12-30T18:00:00"/>
    <s v="Delivered"/>
    <n v="754"/>
    <n v="0"/>
    <n v="754"/>
    <n v="754"/>
  </r>
  <r>
    <s v="ORD6855581"/>
    <s v="CUST0095"/>
    <x v="1"/>
    <x v="147"/>
    <d v="1899-12-30T17:03:00"/>
    <s v="Delivered"/>
    <n v="397"/>
    <n v="19.850000000000001"/>
    <n v="377.15"/>
    <n v="397"/>
  </r>
  <r>
    <s v="ORD3976601"/>
    <s v="CUST0313"/>
    <x v="0"/>
    <x v="148"/>
    <d v="1899-12-30T21:18:00"/>
    <s v="Delivered"/>
    <n v="972"/>
    <n v="97.2"/>
    <n v="874.8"/>
    <n v="972"/>
  </r>
  <r>
    <s v="ORD5603979"/>
    <s v="CUST0063"/>
    <x v="0"/>
    <x v="149"/>
    <d v="1899-12-30T19:08:00"/>
    <s v="Delivered"/>
    <n v="715"/>
    <n v="0"/>
    <n v="715"/>
    <n v="715"/>
  </r>
  <r>
    <s v="ORD5356372"/>
    <s v="CUST0312"/>
    <x v="0"/>
    <x v="2"/>
    <d v="1899-12-30T13:27:00"/>
    <s v="Delivered"/>
    <n v="476"/>
    <n v="0"/>
    <n v="476"/>
    <n v="476"/>
  </r>
  <r>
    <s v="ORD1026523"/>
    <s v="CUST0149"/>
    <x v="2"/>
    <x v="101"/>
    <d v="1899-12-30T12:45:00"/>
    <s v="Delivered"/>
    <n v="159"/>
    <n v="0"/>
    <n v="159"/>
    <n v="159"/>
  </r>
  <r>
    <s v="ORD4562439"/>
    <s v="CUST0171"/>
    <x v="1"/>
    <x v="87"/>
    <d v="1899-12-30T15:02:00"/>
    <s v="Delivered"/>
    <n v="714"/>
    <n v="35.700000000000003"/>
    <n v="678.3"/>
    <n v="714"/>
  </r>
  <r>
    <s v="ORD3946567"/>
    <s v="CUST0316"/>
    <x v="2"/>
    <x v="86"/>
    <d v="1899-12-30T21:36:00"/>
    <s v="Delivered"/>
    <n v="773"/>
    <n v="0"/>
    <n v="773"/>
    <n v="773"/>
  </r>
  <r>
    <s v="ORD7944979"/>
    <s v="CUST0172"/>
    <x v="1"/>
    <x v="9"/>
    <d v="1899-12-30T20:57:00"/>
    <s v="Delivered"/>
    <n v="890"/>
    <n v="0"/>
    <n v="890"/>
    <n v="890"/>
  </r>
  <r>
    <s v="ORD3784505"/>
    <s v="CUST0193"/>
    <x v="0"/>
    <x v="150"/>
    <d v="1899-12-30T16:21:00"/>
    <s v="Delivered"/>
    <n v="694"/>
    <n v="0"/>
    <n v="694"/>
    <n v="694"/>
  </r>
  <r>
    <s v="ORD4626225"/>
    <s v="CUST0425"/>
    <x v="2"/>
    <x v="151"/>
    <d v="1899-12-30T14:28:00"/>
    <s v="Delivered"/>
    <n v="833"/>
    <n v="83.3"/>
    <n v="749.7"/>
    <n v="833"/>
  </r>
  <r>
    <s v="ORD9111313"/>
    <s v="CUST0098"/>
    <x v="1"/>
    <x v="152"/>
    <d v="1899-12-30T23:09:00"/>
    <s v="Delivered"/>
    <n v="444"/>
    <n v="0"/>
    <n v="444"/>
    <n v="444"/>
  </r>
  <r>
    <s v="ORD9763492"/>
    <s v="CUST0199"/>
    <x v="0"/>
    <x v="153"/>
    <d v="1899-12-30T16:29:00"/>
    <s v="Delivered"/>
    <n v="158"/>
    <n v="0"/>
    <n v="158"/>
    <n v="158"/>
  </r>
  <r>
    <s v="ORD6242557"/>
    <s v="CUST0267"/>
    <x v="0"/>
    <x v="151"/>
    <d v="1899-12-30T16:06:00"/>
    <s v="Delivered"/>
    <n v="138"/>
    <n v="0"/>
    <n v="138"/>
    <n v="138"/>
  </r>
  <r>
    <s v="ORD9624506"/>
    <s v="CUST0141"/>
    <x v="1"/>
    <x v="154"/>
    <d v="1899-12-30T17:10:00"/>
    <s v="Delivered"/>
    <n v="197"/>
    <n v="19.7"/>
    <n v="177.3"/>
    <n v="197"/>
  </r>
  <r>
    <s v="ORD8443172"/>
    <s v="CUST0457"/>
    <x v="1"/>
    <x v="119"/>
    <d v="1899-12-30T18:39:00"/>
    <s v="Delivered"/>
    <n v="268"/>
    <n v="0"/>
    <n v="268"/>
    <n v="268"/>
  </r>
  <r>
    <s v="ORD8479891"/>
    <s v="CUST0429"/>
    <x v="0"/>
    <x v="35"/>
    <d v="1899-12-30T20:40:00"/>
    <s v="Cancelled"/>
    <n v="444"/>
    <n v="44.4"/>
    <n v="0"/>
    <n v="444"/>
  </r>
  <r>
    <s v="ORD8808058"/>
    <s v="CUST0050"/>
    <x v="1"/>
    <x v="49"/>
    <d v="1899-12-30T21:29:00"/>
    <s v="Delivered"/>
    <n v="714"/>
    <n v="71.400000000000006"/>
    <n v="642.6"/>
    <n v="714"/>
  </r>
  <r>
    <s v="ORD8604827"/>
    <s v="CUST0441"/>
    <x v="2"/>
    <x v="155"/>
    <d v="1899-12-30T14:50:00"/>
    <s v="Delivered"/>
    <n v="149"/>
    <n v="0"/>
    <n v="149"/>
    <n v="149"/>
  </r>
  <r>
    <s v="ORD7806281"/>
    <s v="CUST0066"/>
    <x v="0"/>
    <x v="156"/>
    <d v="1899-12-30T00:36:00"/>
    <s v="Delivered"/>
    <n v="357"/>
    <n v="0"/>
    <n v="357"/>
    <n v="357"/>
  </r>
  <r>
    <s v="ORD8233471"/>
    <s v="CUST0034"/>
    <x v="1"/>
    <x v="3"/>
    <d v="1899-12-30T19:24:00"/>
    <s v="Delivered"/>
    <n v="783"/>
    <n v="0"/>
    <n v="783"/>
    <n v="783"/>
  </r>
  <r>
    <s v="ORD3955709"/>
    <s v="CUST0050"/>
    <x v="0"/>
    <x v="157"/>
    <d v="1899-12-30T18:35:00"/>
    <s v="Delivered"/>
    <n v="714"/>
    <n v="35.700000000000003"/>
    <n v="678.3"/>
    <n v="714"/>
  </r>
  <r>
    <s v="ORD3503436"/>
    <s v="CUST0001"/>
    <x v="0"/>
    <x v="57"/>
    <d v="1899-12-30T01:51:00"/>
    <s v="Delivered"/>
    <n v="505"/>
    <n v="0"/>
    <n v="505"/>
    <n v="505"/>
  </r>
  <r>
    <s v="ORD2497994"/>
    <s v="CUST0469"/>
    <x v="1"/>
    <x v="158"/>
    <d v="1899-12-30T15:45:00"/>
    <s v="Cancelled"/>
    <n v="49"/>
    <n v="4.9000000000000004"/>
    <n v="0"/>
    <n v="49"/>
  </r>
  <r>
    <s v="ORD7027124"/>
    <s v="CUST0361"/>
    <x v="0"/>
    <x v="159"/>
    <d v="1899-12-30T09:00:00"/>
    <s v="Delivered"/>
    <n v="625"/>
    <n v="0"/>
    <n v="625"/>
    <n v="625"/>
  </r>
  <r>
    <s v="ORD8000050"/>
    <s v="CUST0474"/>
    <x v="1"/>
    <x v="112"/>
    <d v="1899-12-30T19:53:00"/>
    <s v="Delivered"/>
    <n v="357"/>
    <n v="17.850000000000001"/>
    <n v="339.15"/>
    <n v="357"/>
  </r>
  <r>
    <s v="ORD7976896"/>
    <s v="CUST0044"/>
    <x v="1"/>
    <x v="10"/>
    <d v="1899-12-30T19:08:00"/>
    <s v="Delivered"/>
    <n v="824"/>
    <n v="0"/>
    <n v="824"/>
    <n v="824"/>
  </r>
  <r>
    <s v="ORD7892714"/>
    <s v="CUST0365"/>
    <x v="0"/>
    <x v="160"/>
    <d v="1899-12-30T21:15:00"/>
    <s v="Delivered"/>
    <n v="397"/>
    <n v="0"/>
    <n v="397"/>
    <n v="397"/>
  </r>
  <r>
    <s v="ORD8800337"/>
    <s v="CUST0385"/>
    <x v="0"/>
    <x v="161"/>
    <d v="1899-12-30T23:54:00"/>
    <s v="Delivered"/>
    <n v="79"/>
    <n v="0"/>
    <n v="79"/>
    <n v="79"/>
  </r>
  <r>
    <s v="ORD6242875"/>
    <s v="CUST0325"/>
    <x v="0"/>
    <x v="162"/>
    <d v="1899-12-30T10:43:00"/>
    <s v="Cancelled"/>
    <n v="237"/>
    <n v="0"/>
    <n v="0"/>
    <n v="237"/>
  </r>
  <r>
    <s v="ORD5942868"/>
    <s v="CUST0216"/>
    <x v="1"/>
    <x v="31"/>
    <d v="1899-12-30T21:21:00"/>
    <s v="Delivered"/>
    <n v="596"/>
    <n v="0"/>
    <n v="596"/>
    <n v="596"/>
  </r>
  <r>
    <s v="ORD1457985"/>
    <s v="CUST0337"/>
    <x v="2"/>
    <x v="104"/>
    <d v="1899-12-30T20:03:00"/>
    <s v="Delivered"/>
    <n v="356"/>
    <n v="0"/>
    <n v="356"/>
    <n v="356"/>
  </r>
  <r>
    <s v="ORD3535634"/>
    <s v="CUST0310"/>
    <x v="1"/>
    <x v="163"/>
    <d v="1899-12-30T21:07:00"/>
    <s v="Delivered"/>
    <n v="238"/>
    <n v="0"/>
    <n v="238"/>
    <n v="238"/>
  </r>
  <r>
    <s v="ORD9320631"/>
    <s v="CUST0479"/>
    <x v="0"/>
    <x v="164"/>
    <d v="1899-12-30T11:38:00"/>
    <s v="Delivered"/>
    <n v="595"/>
    <n v="0"/>
    <n v="595"/>
    <n v="595"/>
  </r>
  <r>
    <s v="ORD8990421"/>
    <s v="CUST0205"/>
    <x v="1"/>
    <x v="165"/>
    <d v="1899-12-30T17:29:00"/>
    <s v="Delivered"/>
    <n v="327"/>
    <n v="32.700000000000003"/>
    <n v="294.3"/>
    <n v="327"/>
  </r>
  <r>
    <s v="ORD9896176"/>
    <s v="CUST0348"/>
    <x v="1"/>
    <x v="29"/>
    <d v="1899-12-30T22:24:00"/>
    <s v="Delivered"/>
    <n v="99"/>
    <n v="0"/>
    <n v="99"/>
    <n v="99"/>
  </r>
  <r>
    <s v="ORD2648810"/>
    <s v="CUST0139"/>
    <x v="1"/>
    <x v="166"/>
    <d v="1899-12-30T13:21:00"/>
    <s v="Delivered"/>
    <n v="625"/>
    <n v="0"/>
    <n v="625"/>
    <n v="625"/>
  </r>
  <r>
    <s v="ORD1142206"/>
    <s v="CUST0281"/>
    <x v="1"/>
    <x v="63"/>
    <d v="1899-12-30T11:20:00"/>
    <s v="Delivered"/>
    <n v="79"/>
    <n v="0"/>
    <n v="79"/>
    <n v="79"/>
  </r>
  <r>
    <s v="ORD1954320"/>
    <s v="CUST0013"/>
    <x v="0"/>
    <x v="167"/>
    <d v="1899-12-30T17:02:00"/>
    <s v="Cancelled"/>
    <n v="674"/>
    <n v="101.1"/>
    <n v="0"/>
    <n v="674"/>
  </r>
  <r>
    <s v="ORD5250268"/>
    <s v="CUST0057"/>
    <x v="0"/>
    <x v="168"/>
    <d v="1899-12-30T17:57:00"/>
    <s v="Delivered"/>
    <n v="715"/>
    <n v="0"/>
    <n v="715"/>
    <n v="715"/>
  </r>
  <r>
    <s v="ORD5652111"/>
    <s v="CUST0083"/>
    <x v="0"/>
    <x v="169"/>
    <d v="1899-12-30T14:16:00"/>
    <s v="Delivered"/>
    <n v="535"/>
    <n v="0"/>
    <n v="535"/>
    <n v="535"/>
  </r>
  <r>
    <s v="ORD2819161"/>
    <s v="CUST0092"/>
    <x v="0"/>
    <x v="170"/>
    <d v="1899-12-30T00:25:00"/>
    <s v="Delivered"/>
    <n v="357"/>
    <n v="53.55"/>
    <n v="303.45"/>
    <n v="357"/>
  </r>
  <r>
    <s v="ORD1634776"/>
    <s v="CUST0335"/>
    <x v="0"/>
    <x v="171"/>
    <d v="1899-12-30T19:09:00"/>
    <s v="Delivered"/>
    <n v="476"/>
    <n v="0"/>
    <n v="476"/>
    <n v="476"/>
  </r>
  <r>
    <s v="ORD4789081"/>
    <s v="CUST0416"/>
    <x v="0"/>
    <x v="65"/>
    <d v="1899-12-30T21:49:00"/>
    <s v="Delivered"/>
    <n v="447"/>
    <n v="0"/>
    <n v="447"/>
    <n v="447"/>
  </r>
  <r>
    <s v="ORD9969540"/>
    <s v="CUST0332"/>
    <x v="1"/>
    <x v="172"/>
    <d v="1899-12-30T16:40:00"/>
    <s v="Delivered"/>
    <n v="357"/>
    <n v="0"/>
    <n v="357"/>
    <n v="357"/>
  </r>
  <r>
    <s v="ORD7544871"/>
    <s v="CUST0098"/>
    <x v="1"/>
    <x v="173"/>
    <d v="1899-12-30T19:42:00"/>
    <s v="Delivered"/>
    <n v="515"/>
    <n v="0"/>
    <n v="515"/>
    <n v="515"/>
  </r>
  <r>
    <s v="ORD9383308"/>
    <s v="CUST0277"/>
    <x v="0"/>
    <x v="7"/>
    <d v="1899-12-30T16:50:00"/>
    <s v="Delivered"/>
    <n v="415"/>
    <n v="0"/>
    <n v="415"/>
    <n v="415"/>
  </r>
  <r>
    <s v="ORD2208521"/>
    <s v="CUST0380"/>
    <x v="0"/>
    <x v="174"/>
    <d v="1899-12-30T23:09:00"/>
    <s v="Delivered"/>
    <n v="535"/>
    <n v="80.25"/>
    <n v="454.75"/>
    <n v="535"/>
  </r>
  <r>
    <s v="ORD2073030"/>
    <s v="CUST0313"/>
    <x v="1"/>
    <x v="81"/>
    <d v="1899-12-30T16:29:00"/>
    <s v="Delivered"/>
    <n v="298"/>
    <n v="14.9"/>
    <n v="283.10000000000002"/>
    <n v="298"/>
  </r>
  <r>
    <s v="ORD3304005"/>
    <s v="CUST0206"/>
    <x v="1"/>
    <x v="175"/>
    <d v="1899-12-30T21:43:00"/>
    <s v="Delivered"/>
    <n v="515"/>
    <n v="0"/>
    <n v="515"/>
    <n v="515"/>
  </r>
  <r>
    <s v="ORD7310431"/>
    <s v="CUST0052"/>
    <x v="0"/>
    <x v="154"/>
    <d v="1899-12-30T09:08:00"/>
    <s v="Delivered"/>
    <n v="149"/>
    <n v="0"/>
    <n v="149"/>
    <n v="149"/>
  </r>
  <r>
    <s v="ORD8986164"/>
    <s v="CUST0356"/>
    <x v="0"/>
    <x v="176"/>
    <d v="1899-12-30T13:26:00"/>
    <s v="Delivered"/>
    <n v="735"/>
    <n v="0"/>
    <n v="735"/>
    <n v="735"/>
  </r>
  <r>
    <s v="ORD6053293"/>
    <s v="CUST0487"/>
    <x v="1"/>
    <x v="177"/>
    <d v="1899-12-30T19:39:00"/>
    <s v="Delivered"/>
    <n v="940"/>
    <n v="0"/>
    <n v="940"/>
    <n v="940"/>
  </r>
  <r>
    <s v="ORD4491484"/>
    <s v="CUST0238"/>
    <x v="0"/>
    <x v="178"/>
    <d v="1899-12-30T23:14:00"/>
    <s v="Delivered"/>
    <n v="79"/>
    <n v="0"/>
    <n v="79"/>
    <n v="79"/>
  </r>
  <r>
    <s v="ORD7110145"/>
    <s v="CUST0473"/>
    <x v="1"/>
    <x v="146"/>
    <d v="1899-12-30T17:42:00"/>
    <s v="Delivered"/>
    <n v="834"/>
    <n v="41.7"/>
    <n v="792.3"/>
    <n v="834"/>
  </r>
  <r>
    <s v="ORD4947676"/>
    <s v="CUST0264"/>
    <x v="1"/>
    <x v="30"/>
    <d v="1899-12-30T16:31:00"/>
    <s v="Delivered"/>
    <n v="595"/>
    <n v="89.25"/>
    <n v="505.75"/>
    <n v="595"/>
  </r>
  <r>
    <s v="ORD1911663"/>
    <s v="CUST0242"/>
    <x v="0"/>
    <x v="137"/>
    <d v="1899-12-30T17:04:00"/>
    <s v="Delivered"/>
    <n v="198"/>
    <n v="9.9"/>
    <n v="188.1"/>
    <n v="198"/>
  </r>
  <r>
    <s v="ORD2000789"/>
    <s v="CUST0066"/>
    <x v="1"/>
    <x v="179"/>
    <d v="1899-12-30T12:21:00"/>
    <s v="Delivered"/>
    <n v="258"/>
    <n v="0"/>
    <n v="258"/>
    <n v="258"/>
  </r>
  <r>
    <s v="ORD4853765"/>
    <s v="CUST0464"/>
    <x v="1"/>
    <x v="180"/>
    <d v="1899-12-30T01:39:00"/>
    <s v="Delivered"/>
    <n v="377"/>
    <n v="0"/>
    <n v="377"/>
    <n v="377"/>
  </r>
  <r>
    <s v="ORD4731363"/>
    <s v="CUST0168"/>
    <x v="1"/>
    <x v="29"/>
    <d v="1899-12-30T17:15:00"/>
    <s v="Cancelled"/>
    <n v="909"/>
    <n v="0"/>
    <n v="0"/>
    <n v="909"/>
  </r>
  <r>
    <s v="ORD1208423"/>
    <s v="CUST0254"/>
    <x v="1"/>
    <x v="181"/>
    <d v="1899-12-30T10:28:00"/>
    <s v="Delivered"/>
    <n v="782"/>
    <n v="0"/>
    <n v="782"/>
    <n v="782"/>
  </r>
  <r>
    <s v="ORD7214624"/>
    <s v="CUST0361"/>
    <x v="1"/>
    <x v="182"/>
    <d v="1899-12-30T17:55:00"/>
    <s v="Delivered"/>
    <n v="565"/>
    <n v="0"/>
    <n v="565"/>
    <n v="565"/>
  </r>
  <r>
    <s v="ORD2358267"/>
    <s v="CUST0107"/>
    <x v="0"/>
    <x v="183"/>
    <d v="1899-12-30T20:50:00"/>
    <s v="Cancelled"/>
    <n v="882"/>
    <n v="88.2"/>
    <n v="0"/>
    <n v="882"/>
  </r>
  <r>
    <s v="ORD4434507"/>
    <s v="CUST0288"/>
    <x v="0"/>
    <x v="184"/>
    <d v="1899-12-30T21:04:00"/>
    <s v="Delivered"/>
    <n v="1070"/>
    <n v="0"/>
    <n v="1070"/>
    <n v="1070"/>
  </r>
  <r>
    <s v="ORD7254777"/>
    <s v="CUST0142"/>
    <x v="1"/>
    <x v="140"/>
    <d v="1899-12-30T21:27:00"/>
    <s v="Delivered"/>
    <n v="496"/>
    <n v="0"/>
    <n v="496"/>
    <n v="496"/>
  </r>
  <r>
    <s v="ORD2101048"/>
    <s v="CUST0345"/>
    <x v="2"/>
    <x v="67"/>
    <d v="1899-12-30T18:51:00"/>
    <s v="Delivered"/>
    <n v="852"/>
    <n v="0"/>
    <n v="852"/>
    <n v="852"/>
  </r>
  <r>
    <s v="ORD3215051"/>
    <s v="CUST0151"/>
    <x v="1"/>
    <x v="28"/>
    <d v="1899-12-30T21:01:00"/>
    <s v="Delivered"/>
    <n v="278"/>
    <n v="0"/>
    <n v="278"/>
    <n v="278"/>
  </r>
  <r>
    <s v="ORD6474513"/>
    <s v="CUST0211"/>
    <x v="0"/>
    <x v="11"/>
    <d v="1899-12-30T01:21:00"/>
    <s v="Delivered"/>
    <n v="705"/>
    <n v="0"/>
    <n v="705"/>
    <n v="705"/>
  </r>
  <r>
    <s v="ORD6924385"/>
    <s v="CUST0433"/>
    <x v="1"/>
    <x v="185"/>
    <d v="1899-12-30T18:49:00"/>
    <s v="Delivered"/>
    <n v="277"/>
    <n v="0"/>
    <n v="277"/>
    <n v="277"/>
  </r>
  <r>
    <s v="ORD2961547"/>
    <s v="CUST0079"/>
    <x v="1"/>
    <x v="186"/>
    <d v="1899-12-30T01:50:00"/>
    <s v="Delivered"/>
    <n v="1230"/>
    <n v="0"/>
    <n v="1230"/>
    <n v="1230"/>
  </r>
  <r>
    <s v="ORD9378825"/>
    <s v="CUST0013"/>
    <x v="1"/>
    <x v="187"/>
    <d v="1899-12-30T16:58:00"/>
    <s v="Delivered"/>
    <n v="771"/>
    <n v="0"/>
    <n v="771"/>
    <n v="771"/>
  </r>
  <r>
    <s v="ORD8417300"/>
    <s v="CUST0410"/>
    <x v="0"/>
    <x v="88"/>
    <d v="1899-12-30T01:09:00"/>
    <s v="Delivered"/>
    <n v="416"/>
    <n v="0"/>
    <n v="416"/>
    <n v="416"/>
  </r>
  <r>
    <s v="ORD9832094"/>
    <s v="CUST0329"/>
    <x v="1"/>
    <x v="188"/>
    <d v="1899-12-30T16:38:00"/>
    <s v="Delivered"/>
    <n v="1101"/>
    <n v="0"/>
    <n v="1101"/>
    <n v="1101"/>
  </r>
  <r>
    <s v="ORD7057663"/>
    <s v="CUST0262"/>
    <x v="2"/>
    <x v="189"/>
    <d v="1899-12-30T20:38:00"/>
    <s v="Delivered"/>
    <n v="218"/>
    <n v="0"/>
    <n v="218"/>
    <n v="218"/>
  </r>
  <r>
    <s v="ORD7972774"/>
    <s v="CUST0373"/>
    <x v="2"/>
    <x v="190"/>
    <d v="1899-12-30T10:13:00"/>
    <s v="Delivered"/>
    <n v="415"/>
    <n v="62.25"/>
    <n v="352.75"/>
    <n v="415"/>
  </r>
  <r>
    <s v="ORD6627359"/>
    <s v="CUST0445"/>
    <x v="0"/>
    <x v="191"/>
    <d v="1899-12-30T18:30:00"/>
    <s v="Delivered"/>
    <n v="714"/>
    <n v="0"/>
    <n v="714"/>
    <n v="714"/>
  </r>
  <r>
    <s v="ORD6066600"/>
    <s v="CUST0252"/>
    <x v="1"/>
    <x v="192"/>
    <d v="1899-12-30T13:35:00"/>
    <s v="Cancelled"/>
    <n v="218"/>
    <n v="0"/>
    <n v="0"/>
    <n v="218"/>
  </r>
  <r>
    <s v="ORD5826621"/>
    <s v="CUST0335"/>
    <x v="0"/>
    <x v="193"/>
    <d v="1899-12-30T22:07:00"/>
    <s v="Delivered"/>
    <n v="396"/>
    <n v="0"/>
    <n v="396"/>
    <n v="396"/>
  </r>
  <r>
    <s v="ORD5327037"/>
    <s v="CUST0247"/>
    <x v="0"/>
    <x v="194"/>
    <d v="1899-12-30T18:37:00"/>
    <s v="Delivered"/>
    <n v="684"/>
    <n v="0"/>
    <n v="684"/>
    <n v="684"/>
  </r>
  <r>
    <s v="ORD6972425"/>
    <s v="CUST0326"/>
    <x v="2"/>
    <x v="76"/>
    <d v="1899-12-30T18:26:00"/>
    <s v="Delivered"/>
    <n v="435"/>
    <n v="0"/>
    <n v="435"/>
    <n v="435"/>
  </r>
  <r>
    <s v="ORD6051155"/>
    <s v="CUST0447"/>
    <x v="1"/>
    <x v="195"/>
    <d v="1899-12-30T23:20:00"/>
    <s v="Delivered"/>
    <n v="684"/>
    <n v="0"/>
    <n v="684"/>
    <n v="684"/>
  </r>
  <r>
    <s v="ORD4709668"/>
    <s v="CUST0112"/>
    <x v="1"/>
    <x v="2"/>
    <d v="1899-12-30T17:06:00"/>
    <s v="Delivered"/>
    <n v="753"/>
    <n v="0"/>
    <n v="753"/>
    <n v="753"/>
  </r>
  <r>
    <s v="ORD9044980"/>
    <s v="CUST0068"/>
    <x v="2"/>
    <x v="148"/>
    <d v="1899-12-30T10:52:00"/>
    <s v="Delivered"/>
    <n v="514"/>
    <n v="51.4"/>
    <n v="462.6"/>
    <n v="514"/>
  </r>
  <r>
    <s v="ORD3388393"/>
    <s v="CUST0061"/>
    <x v="1"/>
    <x v="156"/>
    <d v="1899-12-30T21:52:00"/>
    <s v="Delivered"/>
    <n v="226"/>
    <n v="11.3"/>
    <n v="214.7"/>
    <n v="226"/>
  </r>
  <r>
    <s v="ORD9614751"/>
    <s v="CUST0056"/>
    <x v="1"/>
    <x v="143"/>
    <d v="1899-12-30T09:12:00"/>
    <s v="Cancelled"/>
    <n v="79"/>
    <n v="11.85"/>
    <n v="0"/>
    <n v="79"/>
  </r>
  <r>
    <s v="ORD4355853"/>
    <s v="CUST0309"/>
    <x v="1"/>
    <x v="8"/>
    <d v="1899-12-30T16:58:00"/>
    <s v="Delivered"/>
    <n v="476"/>
    <n v="0"/>
    <n v="476"/>
    <n v="476"/>
  </r>
  <r>
    <s v="ORD1234617"/>
    <s v="CUST0035"/>
    <x v="1"/>
    <x v="196"/>
    <d v="1899-12-30T20:36:00"/>
    <s v="Delivered"/>
    <n v="534"/>
    <n v="0"/>
    <n v="534"/>
    <n v="534"/>
  </r>
  <r>
    <s v="ORD4105895"/>
    <s v="CUST0363"/>
    <x v="1"/>
    <x v="69"/>
    <d v="1899-12-30T20:54:00"/>
    <s v="Delivered"/>
    <n v="406"/>
    <n v="0"/>
    <n v="406"/>
    <n v="406"/>
  </r>
  <r>
    <s v="ORD5836389"/>
    <s v="CUST0254"/>
    <x v="0"/>
    <x v="197"/>
    <d v="1899-12-30T20:08:00"/>
    <s v="Delivered"/>
    <n v="803"/>
    <n v="0"/>
    <n v="803"/>
    <n v="803"/>
  </r>
  <r>
    <s v="ORD8980532"/>
    <s v="CUST0439"/>
    <x v="1"/>
    <x v="198"/>
    <d v="1899-12-30T19:12:00"/>
    <s v="Delivered"/>
    <n v="198"/>
    <n v="0"/>
    <n v="198"/>
    <n v="198"/>
  </r>
  <r>
    <s v="ORD3830705"/>
    <s v="CUST0303"/>
    <x v="2"/>
    <x v="151"/>
    <d v="1899-12-30T19:44:00"/>
    <s v="Delivered"/>
    <n v="267"/>
    <n v="26.7"/>
    <n v="240.3"/>
    <n v="267"/>
  </r>
  <r>
    <s v="ORD5579723"/>
    <s v="CUST0392"/>
    <x v="0"/>
    <x v="44"/>
    <d v="1899-12-30T22:17:00"/>
    <s v="Delivered"/>
    <n v="903"/>
    <n v="90.3"/>
    <n v="812.7"/>
    <n v="903"/>
  </r>
  <r>
    <s v="ORD1498677"/>
    <s v="CUST0322"/>
    <x v="2"/>
    <x v="199"/>
    <d v="1899-12-30T19:14:00"/>
    <s v="Delivered"/>
    <n v="426"/>
    <n v="0"/>
    <n v="426"/>
    <n v="426"/>
  </r>
  <r>
    <s v="ORD8818548"/>
    <s v="CUST0267"/>
    <x v="0"/>
    <x v="200"/>
    <d v="1899-12-30T01:48:00"/>
    <s v="Delivered"/>
    <n v="298"/>
    <n v="0"/>
    <n v="298"/>
    <n v="298"/>
  </r>
  <r>
    <s v="ORD7436241"/>
    <s v="CUST0451"/>
    <x v="2"/>
    <x v="201"/>
    <d v="1899-12-30T16:27:00"/>
    <s v="Delivered"/>
    <n v="297"/>
    <n v="0"/>
    <n v="297"/>
    <n v="297"/>
  </r>
  <r>
    <s v="ORD7527687"/>
    <s v="CUST0069"/>
    <x v="1"/>
    <x v="158"/>
    <d v="1899-12-30T22:27:00"/>
    <s v="Delivered"/>
    <n v="794"/>
    <n v="39.700000000000003"/>
    <n v="754.3"/>
    <n v="794"/>
  </r>
  <r>
    <s v="ORD6918393"/>
    <s v="CUST0194"/>
    <x v="0"/>
    <x v="152"/>
    <d v="1899-12-30T19:37:00"/>
    <s v="Delivered"/>
    <n v="336"/>
    <n v="0"/>
    <n v="336"/>
    <n v="336"/>
  </r>
  <r>
    <s v="ORD6995607"/>
    <s v="CUST0050"/>
    <x v="1"/>
    <x v="202"/>
    <d v="1899-12-30T14:24:00"/>
    <s v="Delivered"/>
    <n v="496"/>
    <n v="24.8"/>
    <n v="471.2"/>
    <n v="496"/>
  </r>
  <r>
    <s v="ORD8732776"/>
    <s v="CUST0276"/>
    <x v="1"/>
    <x v="105"/>
    <d v="1899-12-30T17:01:00"/>
    <s v="Delivered"/>
    <n v="872"/>
    <n v="87.2"/>
    <n v="784.8"/>
    <n v="872"/>
  </r>
  <r>
    <s v="ORD6636598"/>
    <s v="CUST0354"/>
    <x v="0"/>
    <x v="133"/>
    <d v="1899-12-30T19:06:00"/>
    <s v="Delivered"/>
    <n v="357"/>
    <n v="0"/>
    <n v="357"/>
    <n v="357"/>
  </r>
  <r>
    <s v="ORD5821026"/>
    <s v="CUST0436"/>
    <x v="0"/>
    <x v="203"/>
    <d v="1899-12-30T10:53:00"/>
    <s v="Delivered"/>
    <n v="49"/>
    <n v="0"/>
    <n v="49"/>
    <n v="49"/>
  </r>
  <r>
    <s v="ORD2128599"/>
    <s v="CUST0304"/>
    <x v="1"/>
    <x v="162"/>
    <d v="1899-12-30T20:06:00"/>
    <s v="Delivered"/>
    <n v="833"/>
    <n v="0"/>
    <n v="833"/>
    <n v="833"/>
  </r>
  <r>
    <s v="ORD1312111"/>
    <s v="CUST0391"/>
    <x v="0"/>
    <x v="204"/>
    <d v="1899-12-30T19:42:00"/>
    <s v="Delivered"/>
    <n v="1090"/>
    <n v="109"/>
    <n v="981"/>
    <n v="1090"/>
  </r>
  <r>
    <s v="ORD3478727"/>
    <s v="CUST0103"/>
    <x v="1"/>
    <x v="205"/>
    <d v="1899-12-30T09:33:00"/>
    <s v="Delivered"/>
    <n v="238"/>
    <n v="0"/>
    <n v="238"/>
    <n v="238"/>
  </r>
  <r>
    <s v="ORD3694157"/>
    <s v="CUST0422"/>
    <x v="1"/>
    <x v="206"/>
    <d v="1899-12-30T19:17:00"/>
    <s v="Delivered"/>
    <n v="376"/>
    <n v="0"/>
    <n v="376"/>
    <n v="376"/>
  </r>
  <r>
    <s v="ORD3673591"/>
    <s v="CUST0464"/>
    <x v="1"/>
    <x v="2"/>
    <d v="1899-12-30T15:41:00"/>
    <s v="Delivered"/>
    <n v="297"/>
    <n v="0"/>
    <n v="297"/>
    <n v="297"/>
  </r>
  <r>
    <s v="ORD6266448"/>
    <s v="CUST0441"/>
    <x v="2"/>
    <x v="207"/>
    <d v="1899-12-30T16:03:00"/>
    <s v="Cancelled"/>
    <n v="634"/>
    <n v="0"/>
    <n v="0"/>
    <n v="634"/>
  </r>
  <r>
    <s v="ORD9392777"/>
    <s v="CUST0058"/>
    <x v="0"/>
    <x v="208"/>
    <d v="1899-12-30T11:15:00"/>
    <s v="Delivered"/>
    <n v="415"/>
    <n v="20.75"/>
    <n v="394.25"/>
    <n v="415"/>
  </r>
  <r>
    <s v="ORD7542286"/>
    <s v="CUST0427"/>
    <x v="0"/>
    <x v="191"/>
    <d v="1899-12-30T14:21:00"/>
    <s v="Delivered"/>
    <n v="455"/>
    <n v="45.5"/>
    <n v="409.5"/>
    <n v="455"/>
  </r>
  <r>
    <s v="ORD5659599"/>
    <s v="CUST0244"/>
    <x v="0"/>
    <x v="209"/>
    <d v="1899-12-30T20:27:00"/>
    <s v="Delivered"/>
    <n v="894"/>
    <n v="0"/>
    <n v="894"/>
    <n v="894"/>
  </r>
  <r>
    <s v="ORD5021093"/>
    <s v="CUST0470"/>
    <x v="0"/>
    <x v="210"/>
    <d v="1899-12-30T09:44:00"/>
    <s v="Delivered"/>
    <n v="583"/>
    <n v="0"/>
    <n v="583"/>
    <n v="583"/>
  </r>
  <r>
    <s v="ORD2514149"/>
    <s v="CUST0470"/>
    <x v="1"/>
    <x v="134"/>
    <d v="1899-12-30T15:59:00"/>
    <s v="Delivered"/>
    <n v="238"/>
    <n v="0"/>
    <n v="238"/>
    <n v="238"/>
  </r>
  <r>
    <s v="ORD9249220"/>
    <s v="CUST0042"/>
    <x v="0"/>
    <x v="46"/>
    <d v="1899-12-30T13:55:00"/>
    <s v="Delivered"/>
    <n v="414"/>
    <n v="0"/>
    <n v="414"/>
    <n v="414"/>
  </r>
  <r>
    <s v="ORD8604470"/>
    <s v="CUST0281"/>
    <x v="0"/>
    <x v="211"/>
    <d v="1899-12-30T21:52:00"/>
    <s v="Delivered"/>
    <n v="456"/>
    <n v="0"/>
    <n v="456"/>
    <n v="456"/>
  </r>
  <r>
    <s v="ORD3182597"/>
    <s v="CUST0366"/>
    <x v="2"/>
    <x v="119"/>
    <d v="1899-12-30T17:33:00"/>
    <s v="Cancelled"/>
    <n v="654"/>
    <n v="0"/>
    <n v="0"/>
    <n v="654"/>
  </r>
  <r>
    <s v="ORD7330379"/>
    <s v="CUST0094"/>
    <x v="1"/>
    <x v="87"/>
    <d v="1899-12-30T19:23:00"/>
    <s v="Delivered"/>
    <n v="316"/>
    <n v="0"/>
    <n v="316"/>
    <n v="316"/>
  </r>
  <r>
    <s v="ORD8195804"/>
    <s v="CUST0087"/>
    <x v="1"/>
    <x v="187"/>
    <d v="1899-12-30T21:54:00"/>
    <s v="Cancelled"/>
    <n v="435"/>
    <n v="0"/>
    <n v="0"/>
    <n v="435"/>
  </r>
  <r>
    <s v="ORD4766215"/>
    <s v="CUST0345"/>
    <x v="1"/>
    <x v="212"/>
    <d v="1899-12-30T22:52:00"/>
    <s v="Delivered"/>
    <n v="427"/>
    <n v="21.35"/>
    <n v="405.65"/>
    <n v="427"/>
  </r>
  <r>
    <s v="ORD4026104"/>
    <s v="CUST0347"/>
    <x v="1"/>
    <x v="191"/>
    <d v="1899-12-30T13:46:00"/>
    <s v="Delivered"/>
    <n v="335"/>
    <n v="0"/>
    <n v="335"/>
    <n v="335"/>
  </r>
  <r>
    <s v="ORD7433986"/>
    <s v="CUST0204"/>
    <x v="0"/>
    <x v="151"/>
    <d v="1899-12-30T18:44:00"/>
    <s v="Delivered"/>
    <n v="574"/>
    <n v="0"/>
    <n v="574"/>
    <n v="574"/>
  </r>
  <r>
    <s v="ORD1089942"/>
    <s v="CUST0384"/>
    <x v="0"/>
    <x v="213"/>
    <d v="1899-12-30T00:45:00"/>
    <s v="Delivered"/>
    <n v="187"/>
    <n v="0"/>
    <n v="187"/>
    <n v="187"/>
  </r>
  <r>
    <s v="ORD8853160"/>
    <s v="CUST0253"/>
    <x v="2"/>
    <x v="214"/>
    <d v="1899-12-30T17:32:00"/>
    <s v="Delivered"/>
    <n v="159"/>
    <n v="0"/>
    <n v="159"/>
    <n v="159"/>
  </r>
  <r>
    <s v="ORD7049733"/>
    <s v="CUST0428"/>
    <x v="1"/>
    <x v="215"/>
    <d v="1899-12-30T22:55:00"/>
    <s v="Delivered"/>
    <n v="396"/>
    <n v="0"/>
    <n v="396"/>
    <n v="396"/>
  </r>
  <r>
    <s v="ORD8381800"/>
    <s v="CUST0487"/>
    <x v="1"/>
    <x v="99"/>
    <d v="1899-12-30T19:48:00"/>
    <s v="Delivered"/>
    <n v="277"/>
    <n v="0"/>
    <n v="277"/>
    <n v="277"/>
  </r>
  <r>
    <s v="ORD9140297"/>
    <s v="CUST0227"/>
    <x v="1"/>
    <x v="216"/>
    <d v="1899-12-30T22:02:00"/>
    <s v="Delivered"/>
    <n v="139"/>
    <n v="13.9"/>
    <n v="125.1"/>
    <n v="139"/>
  </r>
  <r>
    <s v="ORD4563416"/>
    <s v="CUST0140"/>
    <x v="0"/>
    <x v="78"/>
    <d v="1899-12-30T20:52:00"/>
    <s v="Cancelled"/>
    <n v="545"/>
    <n v="0"/>
    <n v="0"/>
    <n v="545"/>
  </r>
  <r>
    <s v="ORD6428072"/>
    <s v="CUST0476"/>
    <x v="2"/>
    <x v="217"/>
    <d v="1899-12-30T18:37:00"/>
    <s v="Delivered"/>
    <n v="238"/>
    <n v="23.8"/>
    <n v="214.2"/>
    <n v="238"/>
  </r>
  <r>
    <s v="ORD1735630"/>
    <s v="CUST0003"/>
    <x v="1"/>
    <x v="218"/>
    <d v="1899-12-30T00:42:00"/>
    <s v="Cancelled"/>
    <n v="376"/>
    <n v="0"/>
    <n v="0"/>
    <n v="376"/>
  </r>
  <r>
    <s v="ORD7691735"/>
    <s v="CUST0309"/>
    <x v="1"/>
    <x v="144"/>
    <d v="1899-12-30T16:35:00"/>
    <s v="Delivered"/>
    <n v="496"/>
    <n v="0"/>
    <n v="496"/>
    <n v="496"/>
  </r>
  <r>
    <s v="ORD8253770"/>
    <s v="CUST0062"/>
    <x v="1"/>
    <x v="196"/>
    <d v="1899-12-30T21:09:00"/>
    <s v="Delivered"/>
    <n v="307"/>
    <n v="0"/>
    <n v="307"/>
    <n v="307"/>
  </r>
  <r>
    <s v="ORD8283088"/>
    <s v="CUST0189"/>
    <x v="0"/>
    <x v="219"/>
    <d v="1899-12-30T19:51:00"/>
    <s v="Delivered"/>
    <n v="745"/>
    <n v="0"/>
    <n v="745"/>
    <n v="745"/>
  </r>
  <r>
    <s v="ORD2408784"/>
    <s v="CUST0323"/>
    <x v="0"/>
    <x v="64"/>
    <d v="1899-12-30T22:33:00"/>
    <s v="Delivered"/>
    <n v="614"/>
    <n v="0"/>
    <n v="614"/>
    <n v="614"/>
  </r>
  <r>
    <s v="ORD2284002"/>
    <s v="CUST0292"/>
    <x v="1"/>
    <x v="220"/>
    <d v="1899-12-30T19:18:00"/>
    <s v="Delivered"/>
    <n v="436"/>
    <n v="0"/>
    <n v="436"/>
    <n v="436"/>
  </r>
  <r>
    <s v="ORD8765820"/>
    <s v="CUST0059"/>
    <x v="0"/>
    <x v="113"/>
    <d v="1899-12-30T20:01:00"/>
    <s v="Delivered"/>
    <n v="515"/>
    <n v="0"/>
    <n v="515"/>
    <n v="515"/>
  </r>
  <r>
    <s v="ORD4541139"/>
    <s v="CUST0447"/>
    <x v="0"/>
    <x v="221"/>
    <d v="1899-12-30T14:58:00"/>
    <s v="Delivered"/>
    <n v="49"/>
    <n v="0"/>
    <n v="49"/>
    <n v="49"/>
  </r>
  <r>
    <s v="ORD9004743"/>
    <s v="CUST0007"/>
    <x v="1"/>
    <x v="222"/>
    <d v="1899-12-30T19:07:00"/>
    <s v="Delivered"/>
    <n v="1181"/>
    <n v="0"/>
    <n v="1181"/>
    <n v="1181"/>
  </r>
  <r>
    <s v="ORD3266835"/>
    <s v="CUST0155"/>
    <x v="1"/>
    <x v="223"/>
    <d v="1899-12-30T15:51:00"/>
    <s v="Delivered"/>
    <n v="248"/>
    <n v="0"/>
    <n v="248"/>
    <n v="248"/>
  </r>
  <r>
    <s v="ORD2444410"/>
    <s v="CUST0405"/>
    <x v="0"/>
    <x v="26"/>
    <d v="1899-12-30T21:54:00"/>
    <s v="Delivered"/>
    <n v="682"/>
    <n v="0"/>
    <n v="682"/>
    <n v="682"/>
  </r>
  <r>
    <s v="ORD7572195"/>
    <s v="CUST0151"/>
    <x v="0"/>
    <x v="224"/>
    <d v="1899-12-30T17:12:00"/>
    <s v="Delivered"/>
    <n v="218"/>
    <n v="0"/>
    <n v="218"/>
    <n v="218"/>
  </r>
  <r>
    <s v="ORD9612679"/>
    <s v="CUST0250"/>
    <x v="1"/>
    <x v="20"/>
    <d v="1899-12-30T13:02:00"/>
    <s v="Cancelled"/>
    <n v="297"/>
    <n v="0"/>
    <n v="0"/>
    <n v="297"/>
  </r>
  <r>
    <s v="ORD9301178"/>
    <s v="CUST0456"/>
    <x v="1"/>
    <x v="0"/>
    <d v="1899-12-30T21:26:00"/>
    <s v="Cancelled"/>
    <n v="396"/>
    <n v="0"/>
    <n v="0"/>
    <n v="396"/>
  </r>
  <r>
    <s v="ORD5922335"/>
    <s v="CUST0240"/>
    <x v="1"/>
    <x v="225"/>
    <d v="1899-12-30T21:42:00"/>
    <s v="Delivered"/>
    <n v="1171"/>
    <n v="0"/>
    <n v="1171"/>
    <n v="1171"/>
  </r>
  <r>
    <s v="ORD7979059"/>
    <s v="CUST0311"/>
    <x v="1"/>
    <x v="61"/>
    <d v="1899-12-30T17:10:00"/>
    <s v="Delivered"/>
    <n v="475"/>
    <n v="0"/>
    <n v="475"/>
    <n v="475"/>
  </r>
  <r>
    <s v="ORD8224612"/>
    <s v="CUST0414"/>
    <x v="1"/>
    <x v="226"/>
    <d v="1899-12-30T23:02:00"/>
    <s v="Delivered"/>
    <n v="257"/>
    <n v="0"/>
    <n v="257"/>
    <n v="257"/>
  </r>
  <r>
    <s v="ORD2747213"/>
    <s v="CUST0264"/>
    <x v="0"/>
    <x v="227"/>
    <d v="1899-12-30T21:55:00"/>
    <s v="Delivered"/>
    <n v="734"/>
    <n v="0"/>
    <n v="734"/>
    <n v="734"/>
  </r>
  <r>
    <s v="ORD4445809"/>
    <s v="CUST0323"/>
    <x v="1"/>
    <x v="228"/>
    <d v="1899-12-30T16:10:00"/>
    <s v="Delivered"/>
    <n v="505"/>
    <n v="75.75"/>
    <n v="429.25"/>
    <n v="505"/>
  </r>
  <r>
    <s v="ORD7975124"/>
    <s v="CUST0104"/>
    <x v="1"/>
    <x v="229"/>
    <d v="1899-12-30T10:54:00"/>
    <s v="Delivered"/>
    <n v="257"/>
    <n v="0"/>
    <n v="257"/>
    <n v="257"/>
  </r>
  <r>
    <s v="ORD9886057"/>
    <s v="CUST0078"/>
    <x v="0"/>
    <x v="88"/>
    <d v="1899-12-30T21:15:00"/>
    <s v="Delivered"/>
    <n v="830"/>
    <n v="83"/>
    <n v="747"/>
    <n v="830"/>
  </r>
  <r>
    <s v="ORD2167378"/>
    <s v="CUST0413"/>
    <x v="0"/>
    <x v="230"/>
    <d v="1899-12-30T16:45:00"/>
    <s v="Delivered"/>
    <n v="218"/>
    <n v="10.9"/>
    <n v="207.1"/>
    <n v="218"/>
  </r>
  <r>
    <s v="ORD9720433"/>
    <s v="CUST0324"/>
    <x v="2"/>
    <x v="97"/>
    <d v="1899-12-30T20:03:00"/>
    <s v="Delivered"/>
    <n v="555"/>
    <n v="55.5"/>
    <n v="499.5"/>
    <n v="555"/>
  </r>
  <r>
    <s v="ORD3463932"/>
    <s v="CUST0271"/>
    <x v="0"/>
    <x v="231"/>
    <d v="1899-12-30T18:57:00"/>
    <s v="Delivered"/>
    <n v="465"/>
    <n v="0"/>
    <n v="465"/>
    <n v="465"/>
  </r>
  <r>
    <s v="ORD2413999"/>
    <s v="CUST0102"/>
    <x v="2"/>
    <x v="57"/>
    <d v="1899-12-30T15:49:00"/>
    <s v="Delivered"/>
    <n v="495"/>
    <n v="0"/>
    <n v="495"/>
    <n v="495"/>
  </r>
  <r>
    <s v="ORD5340101"/>
    <s v="CUST0012"/>
    <x v="1"/>
    <x v="215"/>
    <d v="1899-12-30T21:10:00"/>
    <s v="Delivered"/>
    <n v="853"/>
    <n v="0"/>
    <n v="853"/>
    <n v="853"/>
  </r>
  <r>
    <s v="ORD4961055"/>
    <s v="CUST0003"/>
    <x v="1"/>
    <x v="232"/>
    <d v="1899-12-30T20:47:00"/>
    <s v="Cancelled"/>
    <n v="436"/>
    <n v="0"/>
    <n v="0"/>
    <n v="436"/>
  </r>
  <r>
    <s v="ORD6500359"/>
    <s v="CUST0378"/>
    <x v="1"/>
    <x v="233"/>
    <d v="1899-12-30T15:33:00"/>
    <s v="Delivered"/>
    <n v="534"/>
    <n v="26.7"/>
    <n v="507.3"/>
    <n v="534"/>
  </r>
  <r>
    <s v="ORD9706452"/>
    <s v="CUST0270"/>
    <x v="1"/>
    <x v="112"/>
    <d v="1899-12-30T18:43:00"/>
    <s v="Delivered"/>
    <n v="1281"/>
    <n v="64.05"/>
    <n v="1216.95"/>
    <n v="1281"/>
  </r>
  <r>
    <s v="ORD4567549"/>
    <s v="CUST0442"/>
    <x v="0"/>
    <x v="2"/>
    <d v="1899-12-30T21:32:00"/>
    <s v="Delivered"/>
    <n v="465"/>
    <n v="0"/>
    <n v="465"/>
    <n v="465"/>
  </r>
  <r>
    <s v="ORD2975386"/>
    <s v="CUST0021"/>
    <x v="0"/>
    <x v="108"/>
    <d v="1899-12-30T20:18:00"/>
    <s v="Delivered"/>
    <n v="178"/>
    <n v="0"/>
    <n v="178"/>
    <n v="178"/>
  </r>
  <r>
    <s v="ORD9200596"/>
    <s v="CUST0146"/>
    <x v="1"/>
    <x v="25"/>
    <d v="1899-12-30T13:56:00"/>
    <s v="Delivered"/>
    <n v="357"/>
    <n v="0"/>
    <n v="357"/>
    <n v="357"/>
  </r>
  <r>
    <s v="ORD3228175"/>
    <s v="CUST0369"/>
    <x v="0"/>
    <x v="169"/>
    <d v="1899-12-30T22:53:00"/>
    <s v="Delivered"/>
    <n v="119"/>
    <n v="0"/>
    <n v="119"/>
    <n v="119"/>
  </r>
  <r>
    <s v="ORD7633663"/>
    <s v="CUST0210"/>
    <x v="1"/>
    <x v="234"/>
    <d v="1899-12-30T01:39:00"/>
    <s v="Delivered"/>
    <n v="713"/>
    <n v="0"/>
    <n v="713"/>
    <n v="713"/>
  </r>
  <r>
    <s v="ORD2428614"/>
    <s v="CUST0064"/>
    <x v="0"/>
    <x v="12"/>
    <d v="1899-12-30T23:41:00"/>
    <s v="Delivered"/>
    <n v="604"/>
    <n v="0"/>
    <n v="604"/>
    <n v="604"/>
  </r>
  <r>
    <s v="ORD8452933"/>
    <s v="CUST0106"/>
    <x v="1"/>
    <x v="96"/>
    <d v="1899-12-30T13:50:00"/>
    <s v="Delivered"/>
    <n v="594"/>
    <n v="0"/>
    <n v="594"/>
    <n v="594"/>
  </r>
  <r>
    <s v="ORD4064676"/>
    <s v="CUST0087"/>
    <x v="1"/>
    <x v="111"/>
    <d v="1899-12-30T16:34:00"/>
    <s v="Delivered"/>
    <n v="723"/>
    <n v="0"/>
    <n v="723"/>
    <n v="723"/>
  </r>
  <r>
    <s v="ORD7300065"/>
    <s v="CUST0458"/>
    <x v="1"/>
    <x v="235"/>
    <d v="1899-12-30T17:26:00"/>
    <s v="Delivered"/>
    <n v="158"/>
    <n v="0"/>
    <n v="158"/>
    <n v="158"/>
  </r>
  <r>
    <s v="ORD7829609"/>
    <s v="CUST0032"/>
    <x v="1"/>
    <x v="92"/>
    <d v="1899-12-30T16:17:00"/>
    <s v="Delivered"/>
    <n v="385"/>
    <n v="19.25"/>
    <n v="365.75"/>
    <n v="385"/>
  </r>
  <r>
    <s v="ORD2407748"/>
    <s v="CUST0291"/>
    <x v="1"/>
    <x v="128"/>
    <d v="1899-12-30T17:19:00"/>
    <s v="Delivered"/>
    <n v="662"/>
    <n v="0"/>
    <n v="662"/>
    <n v="662"/>
  </r>
  <r>
    <s v="ORD5852800"/>
    <s v="CUST0001"/>
    <x v="0"/>
    <x v="236"/>
    <d v="1899-12-30T22:02:00"/>
    <s v="Delivered"/>
    <n v="158"/>
    <n v="0"/>
    <n v="158"/>
    <n v="158"/>
  </r>
  <r>
    <s v="ORD9561890"/>
    <s v="CUST0324"/>
    <x v="1"/>
    <x v="186"/>
    <d v="1899-12-30T18:53:00"/>
    <s v="Delivered"/>
    <n v="318"/>
    <n v="31.8"/>
    <n v="286.2"/>
    <n v="318"/>
  </r>
  <r>
    <s v="ORD8247127"/>
    <s v="CUST0285"/>
    <x v="2"/>
    <x v="176"/>
    <d v="1899-12-30T11:46:00"/>
    <s v="Delivered"/>
    <n v="405"/>
    <n v="0"/>
    <n v="405"/>
    <n v="405"/>
  </r>
  <r>
    <s v="ORD6510598"/>
    <s v="CUST0236"/>
    <x v="2"/>
    <x v="237"/>
    <d v="1899-12-30T14:13:00"/>
    <s v="Delivered"/>
    <n v="634"/>
    <n v="0"/>
    <n v="634"/>
    <n v="634"/>
  </r>
  <r>
    <s v="ORD8468826"/>
    <s v="CUST0040"/>
    <x v="0"/>
    <x v="238"/>
    <d v="1899-12-30T21:41:00"/>
    <s v="Delivered"/>
    <n v="99"/>
    <n v="0"/>
    <n v="99"/>
    <n v="99"/>
  </r>
  <r>
    <s v="ORD4237849"/>
    <s v="CUST0237"/>
    <x v="1"/>
    <x v="107"/>
    <d v="1899-12-30T09:07:00"/>
    <s v="Delivered"/>
    <n v="447"/>
    <n v="0"/>
    <n v="447"/>
    <n v="447"/>
  </r>
  <r>
    <s v="ORD4710242"/>
    <s v="CUST0156"/>
    <x v="0"/>
    <x v="5"/>
    <d v="1899-12-30T20:40:00"/>
    <s v="Delivered"/>
    <n v="1190"/>
    <n v="119"/>
    <n v="1071"/>
    <n v="1190"/>
  </r>
  <r>
    <s v="ORD3944885"/>
    <s v="CUST0338"/>
    <x v="0"/>
    <x v="49"/>
    <d v="1899-12-30T20:12:00"/>
    <s v="Delivered"/>
    <n v="991"/>
    <n v="0"/>
    <n v="991"/>
    <n v="991"/>
  </r>
  <r>
    <s v="ORD8615616"/>
    <s v="CUST0273"/>
    <x v="0"/>
    <x v="51"/>
    <d v="1899-12-30T21:43:00"/>
    <s v="Delivered"/>
    <n v="733"/>
    <n v="0"/>
    <n v="733"/>
    <n v="733"/>
  </r>
  <r>
    <s v="ORD5662942"/>
    <s v="CUST0370"/>
    <x v="1"/>
    <x v="124"/>
    <d v="1899-12-30T16:56:00"/>
    <s v="Delivered"/>
    <n v="503"/>
    <n v="0"/>
    <n v="503"/>
    <n v="503"/>
  </r>
  <r>
    <s v="ORD6523472"/>
    <s v="CUST0128"/>
    <x v="1"/>
    <x v="198"/>
    <d v="1899-12-30T10:58:00"/>
    <s v="Delivered"/>
    <n v="159"/>
    <n v="0"/>
    <n v="159"/>
    <n v="159"/>
  </r>
  <r>
    <s v="ORD8945295"/>
    <s v="CUST0129"/>
    <x v="1"/>
    <x v="182"/>
    <d v="1899-12-30T14:53:00"/>
    <s v="Delivered"/>
    <n v="565"/>
    <n v="0"/>
    <n v="565"/>
    <n v="565"/>
  </r>
  <r>
    <s v="ORD2090992"/>
    <s v="CUST0161"/>
    <x v="2"/>
    <x v="126"/>
    <d v="1899-12-30T09:24:00"/>
    <s v="Delivered"/>
    <n v="99"/>
    <n v="0"/>
    <n v="99"/>
    <n v="99"/>
  </r>
  <r>
    <s v="ORD7399761"/>
    <s v="CUST0027"/>
    <x v="1"/>
    <x v="239"/>
    <d v="1899-12-30T16:35:00"/>
    <s v="Delivered"/>
    <n v="149"/>
    <n v="7.45"/>
    <n v="141.55000000000001"/>
    <n v="149"/>
  </r>
  <r>
    <s v="ORD6697818"/>
    <s v="CUST0318"/>
    <x v="0"/>
    <x v="218"/>
    <d v="1899-12-30T19:56:00"/>
    <s v="Delivered"/>
    <n v="207"/>
    <n v="10.35"/>
    <n v="196.65"/>
    <n v="207"/>
  </r>
  <r>
    <s v="ORD8459558"/>
    <s v="CUST0182"/>
    <x v="1"/>
    <x v="240"/>
    <d v="1899-12-30T20:16:00"/>
    <s v="Delivered"/>
    <n v="218"/>
    <n v="0"/>
    <n v="218"/>
    <n v="218"/>
  </r>
  <r>
    <s v="ORD6178697"/>
    <s v="CUST0075"/>
    <x v="1"/>
    <x v="88"/>
    <d v="1899-12-30T20:49:00"/>
    <s v="Cancelled"/>
    <n v="316"/>
    <n v="15.8"/>
    <n v="0"/>
    <n v="316"/>
  </r>
  <r>
    <s v="ORD4278387"/>
    <s v="CUST0028"/>
    <x v="1"/>
    <x v="241"/>
    <d v="1899-12-30T23:54:00"/>
    <s v="Delivered"/>
    <n v="416"/>
    <n v="0"/>
    <n v="416"/>
    <n v="416"/>
  </r>
  <r>
    <s v="ORD6513312"/>
    <s v="CUST0316"/>
    <x v="1"/>
    <x v="242"/>
    <d v="1899-12-30T00:21:00"/>
    <s v="Delivered"/>
    <n v="556"/>
    <n v="0"/>
    <n v="556"/>
    <n v="556"/>
  </r>
  <r>
    <s v="ORD5010074"/>
    <s v="CUST0239"/>
    <x v="0"/>
    <x v="243"/>
    <d v="1899-12-30T21:14:00"/>
    <s v="Delivered"/>
    <n v="933"/>
    <n v="0"/>
    <n v="933"/>
    <n v="933"/>
  </r>
  <r>
    <s v="ORD7038275"/>
    <s v="CUST0149"/>
    <x v="1"/>
    <x v="6"/>
    <d v="1899-12-30T16:09:00"/>
    <s v="Delivered"/>
    <n v="514"/>
    <n v="0"/>
    <n v="514"/>
    <n v="514"/>
  </r>
  <r>
    <s v="ORD2861751"/>
    <s v="CUST0195"/>
    <x v="0"/>
    <x v="244"/>
    <d v="1899-12-30T21:08:00"/>
    <s v="Delivered"/>
    <n v="1912"/>
    <n v="95.6"/>
    <n v="1816.4"/>
    <n v="1912"/>
  </r>
  <r>
    <s v="ORD7345068"/>
    <s v="CUST0098"/>
    <x v="1"/>
    <x v="41"/>
    <d v="1899-12-30T11:50:00"/>
    <s v="Delivered"/>
    <n v="843"/>
    <n v="0"/>
    <n v="843"/>
    <n v="843"/>
  </r>
  <r>
    <s v="ORD5698850"/>
    <s v="CUST0127"/>
    <x v="1"/>
    <x v="245"/>
    <d v="1899-12-30T17:20:00"/>
    <s v="Delivered"/>
    <n v="593"/>
    <n v="0"/>
    <n v="593"/>
    <n v="593"/>
  </r>
  <r>
    <s v="ORD7272644"/>
    <s v="CUST0238"/>
    <x v="1"/>
    <x v="46"/>
    <d v="1899-12-30T19:33:00"/>
    <s v="Delivered"/>
    <n v="863"/>
    <n v="43.15"/>
    <n v="819.85"/>
    <n v="863"/>
  </r>
  <r>
    <s v="ORD7326402"/>
    <s v="CUST0112"/>
    <x v="1"/>
    <x v="246"/>
    <d v="1899-12-30T17:25:00"/>
    <s v="Delivered"/>
    <n v="436"/>
    <n v="0"/>
    <n v="436"/>
    <n v="436"/>
  </r>
  <r>
    <s v="ORD8148811"/>
    <s v="CUST0263"/>
    <x v="0"/>
    <x v="102"/>
    <d v="1899-12-30T16:29:00"/>
    <s v="Delivered"/>
    <n v="168"/>
    <n v="0"/>
    <n v="168"/>
    <n v="168"/>
  </r>
  <r>
    <s v="ORD9418218"/>
    <s v="CUST0043"/>
    <x v="1"/>
    <x v="11"/>
    <d v="1899-12-30T18:57:00"/>
    <s v="Delivered"/>
    <n v="396"/>
    <n v="39.6"/>
    <n v="356.4"/>
    <n v="396"/>
  </r>
  <r>
    <s v="ORD5604751"/>
    <s v="CUST0418"/>
    <x v="0"/>
    <x v="247"/>
    <d v="1899-12-30T18:47:00"/>
    <s v="Delivered"/>
    <n v="643"/>
    <n v="64.3"/>
    <n v="578.70000000000005"/>
    <n v="643"/>
  </r>
  <r>
    <s v="ORD1199493"/>
    <s v="CUST0421"/>
    <x v="0"/>
    <x v="248"/>
    <d v="1899-12-30T19:25:00"/>
    <s v="Delivered"/>
    <n v="406"/>
    <n v="0"/>
    <n v="406"/>
    <n v="406"/>
  </r>
  <r>
    <s v="ORD2440757"/>
    <s v="CUST0417"/>
    <x v="1"/>
    <x v="13"/>
    <d v="1899-12-30T19:46:00"/>
    <s v="Delivered"/>
    <n v="505"/>
    <n v="25.25"/>
    <n v="479.75"/>
    <n v="505"/>
  </r>
  <r>
    <s v="ORD6701271"/>
    <s v="CUST0338"/>
    <x v="0"/>
    <x v="249"/>
    <d v="1899-12-30T22:51:00"/>
    <s v="Delivered"/>
    <n v="585"/>
    <n v="0"/>
    <n v="585"/>
    <n v="585"/>
  </r>
  <r>
    <s v="ORD7557976"/>
    <s v="CUST0170"/>
    <x v="0"/>
    <x v="182"/>
    <d v="1899-12-30T11:09:00"/>
    <s v="Delivered"/>
    <n v="188"/>
    <n v="18.8"/>
    <n v="169.2"/>
    <n v="188"/>
  </r>
  <r>
    <s v="ORD1537863"/>
    <s v="CUST0346"/>
    <x v="0"/>
    <x v="250"/>
    <d v="1899-12-30T17:06:00"/>
    <s v="Cancelled"/>
    <n v="564"/>
    <n v="0"/>
    <n v="0"/>
    <n v="564"/>
  </r>
  <r>
    <s v="ORD6482325"/>
    <s v="CUST0266"/>
    <x v="1"/>
    <x v="97"/>
    <d v="1899-12-30T16:23:00"/>
    <s v="Delivered"/>
    <n v="246"/>
    <n v="0"/>
    <n v="246"/>
    <n v="246"/>
  </r>
  <r>
    <s v="ORD8965487"/>
    <s v="CUST0222"/>
    <x v="0"/>
    <x v="240"/>
    <d v="1899-12-30T17:19:00"/>
    <s v="Delivered"/>
    <n v="526"/>
    <n v="26.3"/>
    <n v="499.7"/>
    <n v="526"/>
  </r>
  <r>
    <s v="ORD9236918"/>
    <s v="CUST0127"/>
    <x v="0"/>
    <x v="188"/>
    <d v="1899-12-30T00:51:00"/>
    <s v="Delivered"/>
    <n v="554"/>
    <n v="0"/>
    <n v="554"/>
    <n v="554"/>
  </r>
  <r>
    <s v="ORD3938131"/>
    <s v="CUST0422"/>
    <x v="0"/>
    <x v="149"/>
    <d v="1899-12-30T15:39:00"/>
    <s v="Delivered"/>
    <n v="794"/>
    <n v="0"/>
    <n v="794"/>
    <n v="794"/>
  </r>
  <r>
    <s v="ORD5593203"/>
    <s v="CUST0454"/>
    <x v="2"/>
    <x v="49"/>
    <d v="1899-12-30T16:15:00"/>
    <s v="Delivered"/>
    <n v="317"/>
    <n v="0"/>
    <n v="317"/>
    <n v="317"/>
  </r>
  <r>
    <s v="ORD6469592"/>
    <s v="CUST0387"/>
    <x v="1"/>
    <x v="153"/>
    <d v="1899-12-30T18:04:00"/>
    <s v="Delivered"/>
    <n v="347"/>
    <n v="0"/>
    <n v="347"/>
    <n v="347"/>
  </r>
  <r>
    <s v="ORD1633753"/>
    <s v="CUST0439"/>
    <x v="1"/>
    <x v="33"/>
    <d v="1899-12-30T21:25:00"/>
    <s v="Delivered"/>
    <n v="516"/>
    <n v="0"/>
    <n v="516"/>
    <n v="516"/>
  </r>
  <r>
    <s v="ORD3707281"/>
    <s v="CUST0242"/>
    <x v="0"/>
    <x v="251"/>
    <d v="1899-12-30T22:08:00"/>
    <s v="Delivered"/>
    <n v="625"/>
    <n v="62.5"/>
    <n v="562.5"/>
    <n v="625"/>
  </r>
  <r>
    <s v="ORD8416504"/>
    <s v="CUST0346"/>
    <x v="0"/>
    <x v="76"/>
    <d v="1899-12-30T16:57:00"/>
    <s v="Delivered"/>
    <n v="496"/>
    <n v="0"/>
    <n v="496"/>
    <n v="496"/>
  </r>
  <r>
    <s v="ORD1269080"/>
    <s v="CUST0123"/>
    <x v="1"/>
    <x v="252"/>
    <d v="1899-12-30T14:58:00"/>
    <s v="Delivered"/>
    <n v="237"/>
    <n v="11.85"/>
    <n v="225.15"/>
    <n v="237"/>
  </r>
  <r>
    <s v="ORD7973953"/>
    <s v="CUST0371"/>
    <x v="1"/>
    <x v="167"/>
    <d v="1899-12-30T01:10:00"/>
    <s v="Delivered"/>
    <n v="118"/>
    <n v="5.9"/>
    <n v="112.1"/>
    <n v="118"/>
  </r>
  <r>
    <s v="ORD2776460"/>
    <s v="CUST0062"/>
    <x v="1"/>
    <x v="89"/>
    <d v="1899-12-30T15:27:00"/>
    <s v="Delivered"/>
    <n v="228"/>
    <n v="0"/>
    <n v="228"/>
    <n v="228"/>
  </r>
  <r>
    <s v="ORD4666842"/>
    <s v="CUST0023"/>
    <x v="1"/>
    <x v="253"/>
    <d v="1899-12-30T20:23:00"/>
    <s v="Delivered"/>
    <n v="247"/>
    <n v="12.35"/>
    <n v="234.65"/>
    <n v="247"/>
  </r>
  <r>
    <s v="ORD3230219"/>
    <s v="CUST0357"/>
    <x v="1"/>
    <x v="171"/>
    <d v="1899-12-30T18:40:00"/>
    <s v="Delivered"/>
    <n v="1043"/>
    <n v="52.15"/>
    <n v="990.85"/>
    <n v="1043"/>
  </r>
  <r>
    <s v="ORD9445986"/>
    <s v="CUST0328"/>
    <x v="0"/>
    <x v="166"/>
    <d v="1899-12-30T19:32:00"/>
    <s v="Cancelled"/>
    <n v="228"/>
    <n v="0"/>
    <n v="0"/>
    <n v="228"/>
  </r>
  <r>
    <s v="ORD3544610"/>
    <s v="CUST0256"/>
    <x v="1"/>
    <x v="254"/>
    <d v="1899-12-30T17:23:00"/>
    <s v="Delivered"/>
    <n v="514"/>
    <n v="0"/>
    <n v="514"/>
    <n v="514"/>
  </r>
  <r>
    <s v="ORD7960756"/>
    <s v="CUST0390"/>
    <x v="1"/>
    <x v="37"/>
    <d v="1899-12-30T21:50:00"/>
    <s v="Delivered"/>
    <n v="794"/>
    <n v="0"/>
    <n v="794"/>
    <n v="794"/>
  </r>
  <r>
    <s v="ORD6396173"/>
    <s v="CUST0447"/>
    <x v="1"/>
    <x v="77"/>
    <d v="1899-12-30T12:38:00"/>
    <s v="Delivered"/>
    <n v="218"/>
    <n v="0"/>
    <n v="218"/>
    <n v="218"/>
  </r>
  <r>
    <s v="ORD4428815"/>
    <s v="CUST0304"/>
    <x v="0"/>
    <x v="255"/>
    <d v="1899-12-30T16:11:00"/>
    <s v="Delivered"/>
    <n v="188"/>
    <n v="0"/>
    <n v="188"/>
    <n v="188"/>
  </r>
  <r>
    <s v="ORD9072704"/>
    <s v="CUST0326"/>
    <x v="1"/>
    <x v="180"/>
    <d v="1899-12-30T20:28:00"/>
    <s v="Delivered"/>
    <n v="702"/>
    <n v="0"/>
    <n v="702"/>
    <n v="702"/>
  </r>
  <r>
    <s v="ORD3563536"/>
    <s v="CUST0465"/>
    <x v="2"/>
    <x v="70"/>
    <d v="1899-12-30T16:48:00"/>
    <s v="Delivered"/>
    <n v="317"/>
    <n v="15.85"/>
    <n v="301.14999999999998"/>
    <n v="317"/>
  </r>
  <r>
    <s v="ORD7279004"/>
    <s v="CUST0007"/>
    <x v="2"/>
    <x v="233"/>
    <d v="1899-12-30T17:00:00"/>
    <s v="Delivered"/>
    <n v="296"/>
    <n v="0"/>
    <n v="296"/>
    <n v="296"/>
  </r>
  <r>
    <s v="ORD3723988"/>
    <s v="CUST0064"/>
    <x v="1"/>
    <x v="256"/>
    <d v="1899-12-30T16:58:00"/>
    <s v="Delivered"/>
    <n v="377"/>
    <n v="0"/>
    <n v="377"/>
    <n v="377"/>
  </r>
  <r>
    <s v="ORD5066006"/>
    <s v="CUST0218"/>
    <x v="0"/>
    <x v="184"/>
    <d v="1899-12-30T19:59:00"/>
    <s v="Delivered"/>
    <n v="198"/>
    <n v="0"/>
    <n v="198"/>
    <n v="198"/>
  </r>
  <r>
    <s v="ORD3472414"/>
    <s v="CUST0234"/>
    <x v="2"/>
    <x v="183"/>
    <d v="1899-12-30T18:38:00"/>
    <s v="Delivered"/>
    <n v="298"/>
    <n v="14.9"/>
    <n v="283.10000000000002"/>
    <n v="298"/>
  </r>
  <r>
    <s v="ORD2348021"/>
    <s v="CUST0301"/>
    <x v="2"/>
    <x v="46"/>
    <d v="1899-12-30T15:45:00"/>
    <s v="Delivered"/>
    <n v="1210"/>
    <n v="121"/>
    <n v="1089"/>
    <n v="1210"/>
  </r>
  <r>
    <s v="ORD6777952"/>
    <s v="CUST0326"/>
    <x v="0"/>
    <x v="88"/>
    <d v="1899-12-30T10:06:00"/>
    <s v="Delivered"/>
    <n v="307"/>
    <n v="0"/>
    <n v="307"/>
    <n v="307"/>
  </r>
  <r>
    <s v="ORD5837546"/>
    <s v="CUST0269"/>
    <x v="1"/>
    <x v="170"/>
    <d v="1899-12-30T21:26:00"/>
    <s v="Delivered"/>
    <n v="248"/>
    <n v="0"/>
    <n v="248"/>
    <n v="248"/>
  </r>
  <r>
    <s v="ORD4219293"/>
    <s v="CUST0031"/>
    <x v="0"/>
    <x v="257"/>
    <d v="1899-12-30T11:12:00"/>
    <s v="Delivered"/>
    <n v="535"/>
    <n v="26.75"/>
    <n v="508.25"/>
    <n v="535"/>
  </r>
  <r>
    <s v="ORD5464094"/>
    <s v="CUST0052"/>
    <x v="1"/>
    <x v="13"/>
    <d v="1899-12-30T21:48:00"/>
    <s v="Delivered"/>
    <n v="534"/>
    <n v="0"/>
    <n v="534"/>
    <n v="534"/>
  </r>
  <r>
    <s v="ORD6755884"/>
    <s v="CUST0220"/>
    <x v="1"/>
    <x v="258"/>
    <d v="1899-12-30T18:38:00"/>
    <s v="Delivered"/>
    <n v="495"/>
    <n v="0"/>
    <n v="495"/>
    <n v="495"/>
  </r>
  <r>
    <s v="ORD9902483"/>
    <s v="CUST0309"/>
    <x v="1"/>
    <x v="259"/>
    <d v="1899-12-30T11:01:00"/>
    <s v="Delivered"/>
    <n v="1052"/>
    <n v="0"/>
    <n v="1052"/>
    <n v="1052"/>
  </r>
  <r>
    <s v="ORD6461406"/>
    <s v="CUST0448"/>
    <x v="1"/>
    <x v="232"/>
    <d v="1899-12-30T21:23:00"/>
    <s v="Delivered"/>
    <n v="626"/>
    <n v="0"/>
    <n v="626"/>
    <n v="626"/>
  </r>
  <r>
    <s v="ORD7456854"/>
    <s v="CUST0359"/>
    <x v="2"/>
    <x v="232"/>
    <d v="1899-12-30T21:54:00"/>
    <s v="Delivered"/>
    <n v="735"/>
    <n v="36.75"/>
    <n v="698.25"/>
    <n v="735"/>
  </r>
  <r>
    <s v="ORD8831655"/>
    <s v="CUST0345"/>
    <x v="2"/>
    <x v="260"/>
    <d v="1899-12-30T13:53:00"/>
    <s v="Delivered"/>
    <n v="762"/>
    <n v="0"/>
    <n v="762"/>
    <n v="762"/>
  </r>
  <r>
    <s v="ORD4697296"/>
    <s v="CUST0197"/>
    <x v="0"/>
    <x v="202"/>
    <d v="1899-12-30T14:57:00"/>
    <s v="Delivered"/>
    <n v="614"/>
    <n v="0"/>
    <n v="614"/>
    <n v="614"/>
  </r>
  <r>
    <s v="ORD2084932"/>
    <s v="CUST0295"/>
    <x v="0"/>
    <x v="12"/>
    <d v="1899-12-30T17:59:00"/>
    <s v="Delivered"/>
    <n v="159"/>
    <n v="15.9"/>
    <n v="143.1"/>
    <n v="159"/>
  </r>
  <r>
    <s v="ORD6708243"/>
    <s v="CUST0045"/>
    <x v="1"/>
    <x v="101"/>
    <d v="1899-12-30T16:18:00"/>
    <s v="Cancelled"/>
    <n v="832"/>
    <n v="0"/>
    <n v="0"/>
    <n v="832"/>
  </r>
  <r>
    <s v="ORD3119085"/>
    <s v="CUST0187"/>
    <x v="0"/>
    <x v="51"/>
    <d v="1899-12-30T14:49:00"/>
    <s v="Delivered"/>
    <n v="623"/>
    <n v="62.3"/>
    <n v="560.70000000000005"/>
    <n v="623"/>
  </r>
  <r>
    <s v="ORD1576194"/>
    <s v="CUST0308"/>
    <x v="1"/>
    <x v="261"/>
    <d v="1899-12-30T19:09:00"/>
    <s v="Cancelled"/>
    <n v="596"/>
    <n v="0"/>
    <n v="0"/>
    <n v="596"/>
  </r>
  <r>
    <s v="ORD6589238"/>
    <s v="CUST0193"/>
    <x v="1"/>
    <x v="104"/>
    <d v="1899-12-30T18:45:00"/>
    <s v="Delivered"/>
    <n v="535"/>
    <n v="0"/>
    <n v="535"/>
    <n v="535"/>
  </r>
  <r>
    <s v="ORD1361814"/>
    <s v="CUST0435"/>
    <x v="1"/>
    <x v="238"/>
    <d v="1899-12-30T01:58:00"/>
    <s v="Delivered"/>
    <n v="188"/>
    <n v="28.2"/>
    <n v="159.80000000000001"/>
    <n v="188"/>
  </r>
  <r>
    <s v="ORD2632751"/>
    <s v="CUST0439"/>
    <x v="0"/>
    <x v="262"/>
    <d v="1899-12-30T12:44:00"/>
    <s v="Delivered"/>
    <n v="655"/>
    <n v="0"/>
    <n v="655"/>
    <n v="655"/>
  </r>
  <r>
    <s v="ORD3429724"/>
    <s v="CUST0248"/>
    <x v="1"/>
    <x v="100"/>
    <d v="1899-12-30T19:44:00"/>
    <s v="Delivered"/>
    <n v="467"/>
    <n v="23.35"/>
    <n v="443.65"/>
    <n v="467"/>
  </r>
  <r>
    <s v="ORD3822312"/>
    <s v="CUST0487"/>
    <x v="2"/>
    <x v="263"/>
    <d v="1899-12-30T11:24:00"/>
    <s v="Delivered"/>
    <n v="79"/>
    <n v="11.85"/>
    <n v="67.150000000000006"/>
    <n v="79"/>
  </r>
  <r>
    <s v="ORD1570305"/>
    <s v="CUST0370"/>
    <x v="1"/>
    <x v="56"/>
    <d v="1899-12-30T17:40:00"/>
    <s v="Delivered"/>
    <n v="894"/>
    <n v="0"/>
    <n v="894"/>
    <n v="894"/>
  </r>
  <r>
    <s v="ORD7410589"/>
    <s v="CUST0399"/>
    <x v="1"/>
    <x v="242"/>
    <d v="1899-12-30T01:05:00"/>
    <s v="Delivered"/>
    <n v="633"/>
    <n v="0"/>
    <n v="633"/>
    <n v="633"/>
  </r>
  <r>
    <s v="ORD4038296"/>
    <s v="CUST0356"/>
    <x v="0"/>
    <x v="13"/>
    <d v="1899-12-30T22:17:00"/>
    <s v="Delivered"/>
    <n v="397"/>
    <n v="59.55"/>
    <n v="337.45"/>
    <n v="397"/>
  </r>
  <r>
    <s v="ORD9893395"/>
    <s v="CUST0285"/>
    <x v="0"/>
    <x v="264"/>
    <d v="1899-12-30T09:25:00"/>
    <s v="Delivered"/>
    <n v="278"/>
    <n v="0"/>
    <n v="278"/>
    <n v="278"/>
  </r>
  <r>
    <s v="ORD4018851"/>
    <s v="CUST0460"/>
    <x v="1"/>
    <x v="100"/>
    <d v="1899-12-30T12:42:00"/>
    <s v="Delivered"/>
    <n v="376"/>
    <n v="0"/>
    <n v="376"/>
    <n v="376"/>
  </r>
  <r>
    <s v="ORD3879023"/>
    <s v="CUST0187"/>
    <x v="2"/>
    <x v="265"/>
    <d v="1899-12-30T23:19:00"/>
    <s v="Delivered"/>
    <n v="822"/>
    <n v="82.2"/>
    <n v="739.8"/>
    <n v="822"/>
  </r>
  <r>
    <s v="ORD2661097"/>
    <s v="CUST0276"/>
    <x v="0"/>
    <x v="266"/>
    <d v="1899-12-30T18:38:00"/>
    <s v="Delivered"/>
    <n v="623"/>
    <n v="31.15"/>
    <n v="591.85"/>
    <n v="623"/>
  </r>
  <r>
    <s v="ORD5277642"/>
    <s v="CUST0217"/>
    <x v="1"/>
    <x v="7"/>
    <d v="1899-12-30T21:39:00"/>
    <s v="Delivered"/>
    <n v="168"/>
    <n v="0"/>
    <n v="168"/>
    <n v="168"/>
  </r>
  <r>
    <s v="ORD4231751"/>
    <s v="CUST0376"/>
    <x v="1"/>
    <x v="266"/>
    <d v="1899-12-30T16:40:00"/>
    <s v="Delivered"/>
    <n v="1023"/>
    <n v="0"/>
    <n v="1023"/>
    <n v="1023"/>
  </r>
  <r>
    <s v="ORD7824657"/>
    <s v="CUST0273"/>
    <x v="1"/>
    <x v="207"/>
    <d v="1899-12-30T18:07:00"/>
    <s v="Delivered"/>
    <n v="436"/>
    <n v="0"/>
    <n v="436"/>
    <n v="436"/>
  </r>
  <r>
    <s v="ORD3072044"/>
    <s v="CUST0054"/>
    <x v="0"/>
    <x v="163"/>
    <d v="1899-12-30T17:24:00"/>
    <s v="Delivered"/>
    <n v="536"/>
    <n v="0"/>
    <n v="536"/>
    <n v="536"/>
  </r>
  <r>
    <s v="ORD7535788"/>
    <s v="CUST0163"/>
    <x v="2"/>
    <x v="121"/>
    <d v="1899-12-30T16:10:00"/>
    <s v="Delivered"/>
    <n v="476"/>
    <n v="0"/>
    <n v="476"/>
    <n v="476"/>
  </r>
  <r>
    <s v="ORD3120109"/>
    <s v="CUST0263"/>
    <x v="0"/>
    <x v="112"/>
    <d v="1899-12-30T16:43:00"/>
    <s v="Delivered"/>
    <n v="993"/>
    <n v="0"/>
    <n v="993"/>
    <n v="993"/>
  </r>
  <r>
    <s v="ORD6939158"/>
    <s v="CUST0094"/>
    <x v="1"/>
    <x v="128"/>
    <d v="1899-12-30T21:29:00"/>
    <s v="Delivered"/>
    <n v="672"/>
    <n v="0"/>
    <n v="672"/>
    <n v="672"/>
  </r>
  <r>
    <s v="ORD2512308"/>
    <s v="CUST0395"/>
    <x v="1"/>
    <x v="249"/>
    <d v="1899-12-30T13:26:00"/>
    <s v="Delivered"/>
    <n v="79"/>
    <n v="3.95"/>
    <n v="75.05"/>
    <n v="79"/>
  </r>
  <r>
    <s v="ORD8113264"/>
    <s v="CUST0448"/>
    <x v="1"/>
    <x v="151"/>
    <d v="1899-12-30T19:51:00"/>
    <s v="Delivered"/>
    <n v="496"/>
    <n v="0"/>
    <n v="496"/>
    <n v="496"/>
  </r>
  <r>
    <s v="ORD5097436"/>
    <s v="CUST0274"/>
    <x v="0"/>
    <x v="267"/>
    <d v="1899-12-30T19:44:00"/>
    <s v="Delivered"/>
    <n v="1109"/>
    <n v="0"/>
    <n v="1109"/>
    <n v="1109"/>
  </r>
  <r>
    <s v="ORD3860246"/>
    <s v="CUST0217"/>
    <x v="1"/>
    <x v="184"/>
    <d v="1899-12-30T18:03:00"/>
    <s v="Delivered"/>
    <n v="684"/>
    <n v="0"/>
    <n v="684"/>
    <n v="684"/>
  </r>
  <r>
    <s v="ORD9649141"/>
    <s v="CUST0473"/>
    <x v="1"/>
    <x v="268"/>
    <d v="1899-12-30T19:13:00"/>
    <s v="Delivered"/>
    <n v="475"/>
    <n v="0"/>
    <n v="475"/>
    <n v="475"/>
  </r>
  <r>
    <s v="ORD9628834"/>
    <s v="CUST0102"/>
    <x v="1"/>
    <x v="204"/>
    <d v="1899-12-30T19:31:00"/>
    <s v="Delivered"/>
    <n v="316"/>
    <n v="0"/>
    <n v="316"/>
    <n v="316"/>
  </r>
  <r>
    <s v="ORD8358018"/>
    <s v="CUST0416"/>
    <x v="1"/>
    <x v="269"/>
    <d v="1899-12-30T17:34:00"/>
    <s v="Delivered"/>
    <n v="436"/>
    <n v="0"/>
    <n v="436"/>
    <n v="436"/>
  </r>
  <r>
    <s v="ORD1530269"/>
    <s v="CUST0381"/>
    <x v="1"/>
    <x v="68"/>
    <d v="1899-12-30T19:26:00"/>
    <s v="Delivered"/>
    <n v="335"/>
    <n v="0"/>
    <n v="335"/>
    <n v="335"/>
  </r>
  <r>
    <s v="ORD7523795"/>
    <s v="CUST0372"/>
    <x v="2"/>
    <x v="126"/>
    <d v="1899-12-30T15:32:00"/>
    <s v="Delivered"/>
    <n v="79"/>
    <n v="3.95"/>
    <n v="75.05"/>
    <n v="79"/>
  </r>
  <r>
    <s v="ORD6740173"/>
    <s v="CUST0027"/>
    <x v="0"/>
    <x v="109"/>
    <d v="1899-12-30T21:15:00"/>
    <s v="Delivered"/>
    <n v="853"/>
    <n v="42.65"/>
    <n v="810.35"/>
    <n v="853"/>
  </r>
  <r>
    <s v="ORD8200092"/>
    <s v="CUST0127"/>
    <x v="0"/>
    <x v="248"/>
    <d v="1899-12-30T18:44:00"/>
    <s v="Delivered"/>
    <n v="535"/>
    <n v="0"/>
    <n v="535"/>
    <n v="535"/>
  </r>
  <r>
    <s v="ORD1643681"/>
    <s v="CUST0062"/>
    <x v="1"/>
    <x v="245"/>
    <d v="1899-12-30T17:14:00"/>
    <s v="Delivered"/>
    <n v="465"/>
    <n v="0"/>
    <n v="465"/>
    <n v="465"/>
  </r>
  <r>
    <s v="ORD2846415"/>
    <s v="CUST0330"/>
    <x v="1"/>
    <x v="63"/>
    <d v="1899-12-30T20:27:00"/>
    <s v="Delivered"/>
    <n v="475"/>
    <n v="23.75"/>
    <n v="451.25"/>
    <n v="475"/>
  </r>
  <r>
    <s v="ORD5700293"/>
    <s v="CUST0109"/>
    <x v="1"/>
    <x v="214"/>
    <d v="1899-12-30T21:20:00"/>
    <s v="Cancelled"/>
    <n v="356"/>
    <n v="35.6"/>
    <n v="0"/>
    <n v="356"/>
  </r>
  <r>
    <s v="ORD3186206"/>
    <s v="CUST0350"/>
    <x v="0"/>
    <x v="172"/>
    <d v="1899-12-30T21:00:00"/>
    <s v="Delivered"/>
    <n v="496"/>
    <n v="24.8"/>
    <n v="471.2"/>
    <n v="496"/>
  </r>
  <r>
    <s v="ORD3019210"/>
    <s v="CUST0455"/>
    <x v="1"/>
    <x v="56"/>
    <d v="1899-12-30T19:05:00"/>
    <s v="Delivered"/>
    <n v="853"/>
    <n v="0"/>
    <n v="853"/>
    <n v="853"/>
  </r>
  <r>
    <s v="ORD3144664"/>
    <s v="CUST0370"/>
    <x v="1"/>
    <x v="270"/>
    <d v="1899-12-30T12:34:00"/>
    <s v="Delivered"/>
    <n v="714"/>
    <n v="0"/>
    <n v="714"/>
    <n v="714"/>
  </r>
  <r>
    <s v="ORD2135960"/>
    <s v="CUST0061"/>
    <x v="2"/>
    <x v="271"/>
    <d v="1899-12-30T21:45:00"/>
    <s v="Delivered"/>
    <n v="307"/>
    <n v="0"/>
    <n v="307"/>
    <n v="307"/>
  </r>
  <r>
    <s v="ORD4190874"/>
    <s v="CUST0407"/>
    <x v="2"/>
    <x v="260"/>
    <d v="1899-12-30T20:03:00"/>
    <s v="Delivered"/>
    <n v="248"/>
    <n v="0"/>
    <n v="248"/>
    <n v="248"/>
  </r>
  <r>
    <s v="ORD3684405"/>
    <s v="CUST0106"/>
    <x v="1"/>
    <x v="1"/>
    <d v="1899-12-30T20:17:00"/>
    <s v="Delivered"/>
    <n v="535"/>
    <n v="0"/>
    <n v="535"/>
    <n v="535"/>
  </r>
  <r>
    <s v="ORD2998223"/>
    <s v="CUST0363"/>
    <x v="1"/>
    <x v="174"/>
    <d v="1899-12-30T17:18:00"/>
    <s v="Delivered"/>
    <n v="554"/>
    <n v="0"/>
    <n v="554"/>
    <n v="554"/>
  </r>
  <r>
    <s v="ORD4522752"/>
    <s v="CUST0128"/>
    <x v="2"/>
    <x v="106"/>
    <d v="1899-12-30T09:41:00"/>
    <s v="Delivered"/>
    <n v="318"/>
    <n v="0"/>
    <n v="318"/>
    <n v="318"/>
  </r>
  <r>
    <s v="ORD5947522"/>
    <s v="CUST0370"/>
    <x v="1"/>
    <x v="144"/>
    <d v="1899-12-30T23:16:00"/>
    <s v="Delivered"/>
    <n v="555"/>
    <n v="0"/>
    <n v="555"/>
    <n v="555"/>
  </r>
  <r>
    <s v="ORD5317535"/>
    <s v="CUST0353"/>
    <x v="1"/>
    <x v="213"/>
    <d v="1899-12-30T21:47:00"/>
    <s v="Cancelled"/>
    <n v="752"/>
    <n v="0"/>
    <n v="0"/>
    <n v="752"/>
  </r>
  <r>
    <s v="ORD9320847"/>
    <s v="CUST0462"/>
    <x v="1"/>
    <x v="11"/>
    <d v="1899-12-30T14:09:00"/>
    <s v="Delivered"/>
    <n v="574"/>
    <n v="0"/>
    <n v="574"/>
    <n v="574"/>
  </r>
  <r>
    <s v="ORD4151566"/>
    <s v="CUST0202"/>
    <x v="0"/>
    <x v="248"/>
    <d v="1899-12-30T17:52:00"/>
    <s v="Delivered"/>
    <n v="307"/>
    <n v="0"/>
    <n v="307"/>
    <n v="307"/>
  </r>
  <r>
    <s v="ORD1347555"/>
    <s v="CUST0052"/>
    <x v="1"/>
    <x v="272"/>
    <d v="1899-12-30T09:38:00"/>
    <s v="Delivered"/>
    <n v="665"/>
    <n v="0"/>
    <n v="665"/>
    <n v="665"/>
  </r>
  <r>
    <s v="ORD2425479"/>
    <s v="CUST0174"/>
    <x v="2"/>
    <x v="193"/>
    <d v="1899-12-30T21:52:00"/>
    <s v="Delivered"/>
    <n v="386"/>
    <n v="0"/>
    <n v="386"/>
    <n v="386"/>
  </r>
  <r>
    <s v="ORD1747019"/>
    <s v="CUST0279"/>
    <x v="1"/>
    <x v="254"/>
    <d v="1899-12-30T18:40:00"/>
    <s v="Delivered"/>
    <n v="227"/>
    <n v="0"/>
    <n v="227"/>
    <n v="227"/>
  </r>
  <r>
    <s v="ORD2885904"/>
    <s v="CUST0352"/>
    <x v="2"/>
    <x v="140"/>
    <d v="1899-12-30T21:24:00"/>
    <s v="Delivered"/>
    <n v="316"/>
    <n v="31.6"/>
    <n v="284.39999999999998"/>
    <n v="316"/>
  </r>
  <r>
    <s v="ORD1727239"/>
    <s v="CUST0474"/>
    <x v="2"/>
    <x v="273"/>
    <d v="1899-12-30T18:59:00"/>
    <s v="Cancelled"/>
    <n v="128"/>
    <n v="12.8"/>
    <n v="0"/>
    <n v="128"/>
  </r>
  <r>
    <s v="ORD7192680"/>
    <s v="CUST0470"/>
    <x v="1"/>
    <x v="89"/>
    <d v="1899-12-30T16:17:00"/>
    <s v="Delivered"/>
    <n v="555"/>
    <n v="0"/>
    <n v="555"/>
    <n v="555"/>
  </r>
  <r>
    <s v="ORD5672054"/>
    <s v="CUST0296"/>
    <x v="1"/>
    <x v="274"/>
    <d v="1899-12-30T16:07:00"/>
    <s v="Delivered"/>
    <n v="49"/>
    <n v="0"/>
    <n v="49"/>
    <n v="49"/>
  </r>
  <r>
    <s v="ORD6594616"/>
    <s v="CUST0309"/>
    <x v="0"/>
    <x v="47"/>
    <d v="1899-12-30T21:26:00"/>
    <s v="Delivered"/>
    <n v="962"/>
    <n v="0"/>
    <n v="962"/>
    <n v="962"/>
  </r>
  <r>
    <s v="ORD2463815"/>
    <s v="CUST0384"/>
    <x v="1"/>
    <x v="25"/>
    <d v="1899-12-30T21:51:00"/>
    <s v="Delivered"/>
    <n v="367"/>
    <n v="18.350000000000001"/>
    <n v="348.65"/>
    <n v="367"/>
  </r>
  <r>
    <s v="ORD8064499"/>
    <s v="CUST0236"/>
    <x v="1"/>
    <x v="275"/>
    <d v="1899-12-30T17:18:00"/>
    <s v="Delivered"/>
    <n v="377"/>
    <n v="56.55"/>
    <n v="320.45"/>
    <n v="377"/>
  </r>
  <r>
    <s v="ORD2237660"/>
    <s v="CUST0360"/>
    <x v="1"/>
    <x v="276"/>
    <d v="1899-12-30T14:03:00"/>
    <s v="Delivered"/>
    <n v="833"/>
    <n v="0"/>
    <n v="833"/>
    <n v="833"/>
  </r>
  <r>
    <s v="ORD8448641"/>
    <s v="CUST0211"/>
    <x v="0"/>
    <x v="162"/>
    <d v="1899-12-30T13:30:00"/>
    <s v="Delivered"/>
    <n v="376"/>
    <n v="0"/>
    <n v="376"/>
    <n v="376"/>
  </r>
  <r>
    <s v="ORD5329433"/>
    <s v="CUST0233"/>
    <x v="0"/>
    <x v="8"/>
    <d v="1899-12-30T01:56:00"/>
    <s v="Delivered"/>
    <n v="864"/>
    <n v="0"/>
    <n v="864"/>
    <n v="864"/>
  </r>
  <r>
    <s v="ORD7581550"/>
    <s v="CUST0317"/>
    <x v="1"/>
    <x v="190"/>
    <d v="1899-12-30T17:25:00"/>
    <s v="Delivered"/>
    <n v="734"/>
    <n v="73.400000000000006"/>
    <n v="660.6"/>
    <n v="734"/>
  </r>
  <r>
    <s v="ORD6628280"/>
    <s v="CUST0040"/>
    <x v="1"/>
    <x v="64"/>
    <d v="1899-12-30T16:06:00"/>
    <s v="Delivered"/>
    <n v="178"/>
    <n v="0"/>
    <n v="178"/>
    <n v="178"/>
  </r>
  <r>
    <s v="ORD1752869"/>
    <s v="CUST0138"/>
    <x v="1"/>
    <x v="277"/>
    <d v="1899-12-30T16:15:00"/>
    <s v="Delivered"/>
    <n v="1356"/>
    <n v="0"/>
    <n v="1356"/>
    <n v="1356"/>
  </r>
  <r>
    <s v="ORD7833134"/>
    <s v="CUST0346"/>
    <x v="1"/>
    <x v="238"/>
    <d v="1899-12-30T17:44:00"/>
    <s v="Delivered"/>
    <n v="99"/>
    <n v="0"/>
    <n v="99"/>
    <n v="99"/>
  </r>
  <r>
    <s v="ORD8769633"/>
    <s v="CUST0083"/>
    <x v="1"/>
    <x v="278"/>
    <d v="1899-12-30T16:18:00"/>
    <s v="Delivered"/>
    <n v="1289"/>
    <n v="0"/>
    <n v="1289"/>
    <n v="1289"/>
  </r>
  <r>
    <s v="ORD5879512"/>
    <s v="CUST0403"/>
    <x v="1"/>
    <x v="129"/>
    <d v="1899-12-30T14:28:00"/>
    <s v="Delivered"/>
    <n v="812"/>
    <n v="40.6"/>
    <n v="771.4"/>
    <n v="812"/>
  </r>
  <r>
    <s v="ORD6193258"/>
    <s v="CUST0413"/>
    <x v="1"/>
    <x v="193"/>
    <d v="1899-12-30T19:06:00"/>
    <s v="Delivered"/>
    <n v="595"/>
    <n v="59.5"/>
    <n v="535.5"/>
    <n v="595"/>
  </r>
  <r>
    <s v="ORD8416290"/>
    <s v="CUST0243"/>
    <x v="2"/>
    <x v="176"/>
    <d v="1899-12-30T19:16:00"/>
    <s v="Delivered"/>
    <n v="564"/>
    <n v="0"/>
    <n v="564"/>
    <n v="564"/>
  </r>
  <r>
    <s v="ORD5409512"/>
    <s v="CUST0212"/>
    <x v="0"/>
    <x v="89"/>
    <d v="1899-12-30T16:43:00"/>
    <s v="Delivered"/>
    <n v="1053"/>
    <n v="0"/>
    <n v="1053"/>
    <n v="1053"/>
  </r>
  <r>
    <s v="ORD2568722"/>
    <s v="CUST0199"/>
    <x v="2"/>
    <x v="226"/>
    <d v="1899-12-30T16:14:00"/>
    <s v="Delivered"/>
    <n v="317"/>
    <n v="0"/>
    <n v="317"/>
    <n v="317"/>
  </r>
  <r>
    <s v="ORD6323156"/>
    <s v="CUST0206"/>
    <x v="1"/>
    <x v="279"/>
    <d v="1899-12-30T15:12:00"/>
    <s v="Delivered"/>
    <n v="546"/>
    <n v="0"/>
    <n v="546"/>
    <n v="546"/>
  </r>
  <r>
    <s v="ORD7064842"/>
    <s v="CUST0195"/>
    <x v="1"/>
    <x v="47"/>
    <d v="1899-12-30T20:49:00"/>
    <s v="Delivered"/>
    <n v="307"/>
    <n v="15.35"/>
    <n v="291.64999999999998"/>
    <n v="307"/>
  </r>
  <r>
    <s v="ORD8041764"/>
    <s v="CUST0365"/>
    <x v="1"/>
    <x v="211"/>
    <d v="1899-12-30T18:55:00"/>
    <s v="Delivered"/>
    <n v="405"/>
    <n v="0"/>
    <n v="405"/>
    <n v="405"/>
  </r>
  <r>
    <s v="ORD8977556"/>
    <s v="CUST0483"/>
    <x v="1"/>
    <x v="280"/>
    <d v="1899-12-30T17:22:00"/>
    <s v="Delivered"/>
    <n v="406"/>
    <n v="0"/>
    <n v="406"/>
    <n v="406"/>
  </r>
  <r>
    <s v="ORD6310245"/>
    <s v="CUST0316"/>
    <x v="1"/>
    <x v="14"/>
    <d v="1899-12-30T21:37:00"/>
    <s v="Delivered"/>
    <n v="456"/>
    <n v="0"/>
    <n v="456"/>
    <n v="456"/>
  </r>
  <r>
    <s v="ORD3109184"/>
    <s v="CUST0483"/>
    <x v="0"/>
    <x v="281"/>
    <d v="1899-12-30T16:28:00"/>
    <s v="Delivered"/>
    <n v="744"/>
    <n v="0"/>
    <n v="744"/>
    <n v="744"/>
  </r>
  <r>
    <s v="ORD7211871"/>
    <s v="CUST0296"/>
    <x v="2"/>
    <x v="282"/>
    <d v="1899-12-30T17:43:00"/>
    <s v="Delivered"/>
    <n v="158"/>
    <n v="0"/>
    <n v="158"/>
    <n v="158"/>
  </r>
  <r>
    <s v="ORD8144563"/>
    <s v="CUST0211"/>
    <x v="1"/>
    <x v="209"/>
    <d v="1899-12-30T19:26:00"/>
    <s v="Delivered"/>
    <n v="465"/>
    <n v="0"/>
    <n v="465"/>
    <n v="465"/>
  </r>
  <r>
    <s v="ORD2664720"/>
    <s v="CUST0481"/>
    <x v="2"/>
    <x v="283"/>
    <d v="1899-12-30T21:39:00"/>
    <s v="Delivered"/>
    <n v="911"/>
    <n v="91.1"/>
    <n v="819.9"/>
    <n v="911"/>
  </r>
  <r>
    <s v="ORD4739295"/>
    <s v="CUST0437"/>
    <x v="1"/>
    <x v="36"/>
    <d v="1899-12-30T01:18:00"/>
    <s v="Delivered"/>
    <n v="594"/>
    <n v="59.4"/>
    <n v="534.6"/>
    <n v="594"/>
  </r>
  <r>
    <s v="ORD5437558"/>
    <s v="CUST0146"/>
    <x v="1"/>
    <x v="160"/>
    <d v="1899-12-30T17:32:00"/>
    <s v="Delivered"/>
    <n v="326"/>
    <n v="0"/>
    <n v="326"/>
    <n v="326"/>
  </r>
  <r>
    <s v="ORD5057252"/>
    <s v="CUST0293"/>
    <x v="2"/>
    <x v="284"/>
    <d v="1899-12-30T18:10:00"/>
    <s v="Delivered"/>
    <n v="595"/>
    <n v="0"/>
    <n v="595"/>
    <n v="595"/>
  </r>
  <r>
    <s v="ORD3119470"/>
    <s v="CUST0224"/>
    <x v="1"/>
    <x v="285"/>
    <d v="1899-12-30T23:10:00"/>
    <s v="Delivered"/>
    <n v="149"/>
    <n v="0"/>
    <n v="149"/>
    <n v="149"/>
  </r>
  <r>
    <s v="ORD1430171"/>
    <s v="CUST0105"/>
    <x v="1"/>
    <x v="279"/>
    <d v="1899-12-30T11:20:00"/>
    <s v="Delivered"/>
    <n v="149"/>
    <n v="0"/>
    <n v="149"/>
    <n v="149"/>
  </r>
  <r>
    <s v="ORD3190232"/>
    <s v="CUST0013"/>
    <x v="0"/>
    <x v="286"/>
    <d v="1899-12-30T00:24:00"/>
    <s v="Delivered"/>
    <n v="715"/>
    <n v="0"/>
    <n v="715"/>
    <n v="715"/>
  </r>
  <r>
    <s v="ORD3412052"/>
    <s v="CUST0027"/>
    <x v="1"/>
    <x v="101"/>
    <d v="1899-12-30T18:42:00"/>
    <s v="Delivered"/>
    <n v="426"/>
    <n v="21.3"/>
    <n v="404.7"/>
    <n v="426"/>
  </r>
  <r>
    <s v="ORD2688991"/>
    <s v="CUST0430"/>
    <x v="1"/>
    <x v="90"/>
    <d v="1899-12-30T18:58:00"/>
    <s v="Delivered"/>
    <n v="824"/>
    <n v="0"/>
    <n v="824"/>
    <n v="824"/>
  </r>
  <r>
    <s v="ORD1527651"/>
    <s v="CUST0463"/>
    <x v="1"/>
    <x v="257"/>
    <d v="1899-12-30T18:00:00"/>
    <s v="Delivered"/>
    <n v="921"/>
    <n v="46.05"/>
    <n v="874.95"/>
    <n v="921"/>
  </r>
  <r>
    <s v="ORD4639947"/>
    <s v="CUST0187"/>
    <x v="1"/>
    <x v="102"/>
    <d v="1899-12-30T12:55:00"/>
    <s v="Delivered"/>
    <n v="475"/>
    <n v="47.5"/>
    <n v="427.5"/>
    <n v="475"/>
  </r>
  <r>
    <s v="ORD9318172"/>
    <s v="CUST0334"/>
    <x v="1"/>
    <x v="192"/>
    <d v="1899-12-30T21:35:00"/>
    <s v="Delivered"/>
    <n v="267"/>
    <n v="0"/>
    <n v="267"/>
    <n v="267"/>
  </r>
  <r>
    <s v="ORD3779198"/>
    <s v="CUST0393"/>
    <x v="0"/>
    <x v="248"/>
    <d v="1899-12-30T20:50:00"/>
    <s v="Delivered"/>
    <n v="822"/>
    <n v="0"/>
    <n v="822"/>
    <n v="822"/>
  </r>
  <r>
    <s v="ORD9579143"/>
    <s v="CUST0086"/>
    <x v="2"/>
    <x v="269"/>
    <d v="1899-12-30T16:28:00"/>
    <s v="Delivered"/>
    <n v="743"/>
    <n v="0"/>
    <n v="743"/>
    <n v="743"/>
  </r>
  <r>
    <s v="ORD7235425"/>
    <s v="CUST0038"/>
    <x v="1"/>
    <x v="133"/>
    <d v="1899-12-30T14:15:00"/>
    <s v="Delivered"/>
    <n v="276"/>
    <n v="0"/>
    <n v="276"/>
    <n v="276"/>
  </r>
  <r>
    <s v="ORD4559708"/>
    <s v="CUST0034"/>
    <x v="1"/>
    <x v="49"/>
    <d v="1899-12-30T17:35:00"/>
    <s v="Delivered"/>
    <n v="873"/>
    <n v="0"/>
    <n v="873"/>
    <n v="873"/>
  </r>
  <r>
    <s v="ORD6370746"/>
    <s v="CUST0223"/>
    <x v="1"/>
    <x v="119"/>
    <d v="1899-12-30T21:48:00"/>
    <s v="Delivered"/>
    <n v="644"/>
    <n v="32.200000000000003"/>
    <n v="611.79999999999995"/>
    <n v="644"/>
  </r>
  <r>
    <s v="ORD1077963"/>
    <s v="CUST0011"/>
    <x v="1"/>
    <x v="219"/>
    <d v="1899-12-30T17:36:00"/>
    <s v="Delivered"/>
    <n v="832"/>
    <n v="124.8"/>
    <n v="707.2"/>
    <n v="832"/>
  </r>
  <r>
    <s v="ORD6801971"/>
    <s v="CUST0155"/>
    <x v="1"/>
    <x v="130"/>
    <d v="1899-12-30T19:46:00"/>
    <s v="Delivered"/>
    <n v="298"/>
    <n v="29.8"/>
    <n v="268.2"/>
    <n v="298"/>
  </r>
  <r>
    <s v="ORD2723751"/>
    <s v="CUST0063"/>
    <x v="0"/>
    <x v="183"/>
    <d v="1899-12-30T21:58:00"/>
    <s v="Delivered"/>
    <n v="792"/>
    <n v="0"/>
    <n v="792"/>
    <n v="792"/>
  </r>
  <r>
    <s v="ORD1082902"/>
    <s v="CUST0416"/>
    <x v="1"/>
    <x v="287"/>
    <d v="1899-12-30T21:57:00"/>
    <s v="Delivered"/>
    <n v="465"/>
    <n v="0"/>
    <n v="465"/>
    <n v="465"/>
  </r>
  <r>
    <s v="ORD8729158"/>
    <s v="CUST0088"/>
    <x v="2"/>
    <x v="115"/>
    <d v="1899-12-30T13:44:00"/>
    <s v="Delivered"/>
    <n v="1291"/>
    <n v="0"/>
    <n v="1291"/>
    <n v="1291"/>
  </r>
  <r>
    <s v="ORD9222577"/>
    <s v="CUST0296"/>
    <x v="1"/>
    <x v="188"/>
    <d v="1899-12-30T20:15:00"/>
    <s v="Delivered"/>
    <n v="238"/>
    <n v="35.700000000000003"/>
    <n v="202.3"/>
    <n v="238"/>
  </r>
  <r>
    <s v="ORD2308903"/>
    <s v="CUST0439"/>
    <x v="1"/>
    <x v="288"/>
    <d v="1899-12-30T21:47:00"/>
    <s v="Delivered"/>
    <n v="475"/>
    <n v="0"/>
    <n v="475"/>
    <n v="475"/>
  </r>
  <r>
    <s v="ORD9464296"/>
    <s v="CUST0233"/>
    <x v="0"/>
    <x v="289"/>
    <d v="1899-12-30T13:45:00"/>
    <s v="Delivered"/>
    <n v="613"/>
    <n v="0"/>
    <n v="613"/>
    <n v="613"/>
  </r>
  <r>
    <s v="ORD2798071"/>
    <s v="CUST0076"/>
    <x v="1"/>
    <x v="290"/>
    <d v="1899-12-30T01:06:00"/>
    <s v="Delivered"/>
    <n v="247"/>
    <n v="0"/>
    <n v="247"/>
    <n v="247"/>
  </r>
  <r>
    <s v="ORD7659346"/>
    <s v="CUST0221"/>
    <x v="1"/>
    <x v="258"/>
    <d v="1899-12-30T10:22:00"/>
    <s v="Delivered"/>
    <n v="178"/>
    <n v="0"/>
    <n v="178"/>
    <n v="178"/>
  </r>
  <r>
    <s v="ORD9884588"/>
    <s v="CUST0091"/>
    <x v="0"/>
    <x v="120"/>
    <d v="1899-12-30T17:25:00"/>
    <s v="Cancelled"/>
    <n v="834"/>
    <n v="0"/>
    <n v="0"/>
    <n v="834"/>
  </r>
  <r>
    <s v="ORD5621443"/>
    <s v="CUST0034"/>
    <x v="0"/>
    <x v="80"/>
    <d v="1899-12-30T18:15:00"/>
    <s v="Delivered"/>
    <n v="712"/>
    <n v="0"/>
    <n v="712"/>
    <n v="712"/>
  </r>
  <r>
    <s v="ORD9442968"/>
    <s v="CUST0002"/>
    <x v="1"/>
    <x v="250"/>
    <d v="1899-12-30T13:46:00"/>
    <s v="Cancelled"/>
    <n v="168"/>
    <n v="8.4"/>
    <n v="0"/>
    <n v="168"/>
  </r>
  <r>
    <s v="ORD1349416"/>
    <s v="CUST0243"/>
    <x v="1"/>
    <x v="127"/>
    <d v="1899-12-30T16:42:00"/>
    <s v="Delivered"/>
    <n v="633"/>
    <n v="0"/>
    <n v="633"/>
    <n v="633"/>
  </r>
  <r>
    <s v="ORD9441397"/>
    <s v="CUST0428"/>
    <x v="1"/>
    <x v="291"/>
    <d v="1899-12-30T21:18:00"/>
    <s v="Delivered"/>
    <n v="426"/>
    <n v="0"/>
    <n v="426"/>
    <n v="426"/>
  </r>
  <r>
    <s v="ORD6599209"/>
    <s v="CUST0424"/>
    <x v="1"/>
    <x v="97"/>
    <d v="1899-12-30T19:00:00"/>
    <s v="Delivered"/>
    <n v="595"/>
    <n v="59.5"/>
    <n v="535.5"/>
    <n v="595"/>
  </r>
  <r>
    <s v="ORD8226291"/>
    <s v="CUST0255"/>
    <x v="1"/>
    <x v="245"/>
    <d v="1899-12-30T11:22:00"/>
    <s v="Delivered"/>
    <n v="158"/>
    <n v="0"/>
    <n v="158"/>
    <n v="158"/>
  </r>
  <r>
    <s v="ORD6852648"/>
    <s v="CUST0270"/>
    <x v="1"/>
    <x v="89"/>
    <d v="1899-12-30T19:56:00"/>
    <s v="Delivered"/>
    <n v="118"/>
    <n v="11.8"/>
    <n v="106.2"/>
    <n v="118"/>
  </r>
  <r>
    <s v="ORD5838692"/>
    <s v="CUST0406"/>
    <x v="0"/>
    <x v="288"/>
    <d v="1899-12-30T19:36:00"/>
    <s v="Delivered"/>
    <n v="1240"/>
    <n v="0"/>
    <n v="1240"/>
    <n v="1240"/>
  </r>
  <r>
    <s v="ORD3070908"/>
    <s v="CUST0145"/>
    <x v="0"/>
    <x v="77"/>
    <d v="1899-12-30T16:13:00"/>
    <s v="Delivered"/>
    <n v="316"/>
    <n v="31.6"/>
    <n v="284.39999999999998"/>
    <n v="316"/>
  </r>
  <r>
    <s v="ORD3393173"/>
    <s v="CUST0045"/>
    <x v="0"/>
    <x v="274"/>
    <d v="1899-12-30T20:09:00"/>
    <s v="Delivered"/>
    <n v="435"/>
    <n v="0"/>
    <n v="435"/>
    <n v="435"/>
  </r>
  <r>
    <s v="ORD6067099"/>
    <s v="CUST0051"/>
    <x v="2"/>
    <x v="263"/>
    <d v="1899-12-30T19:57:00"/>
    <s v="Cancelled"/>
    <n v="397"/>
    <n v="19.850000000000001"/>
    <n v="0"/>
    <n v="397"/>
  </r>
  <r>
    <s v="ORD8736886"/>
    <s v="CUST0157"/>
    <x v="1"/>
    <x v="171"/>
    <d v="1899-12-30T17:19:00"/>
    <s v="Delivered"/>
    <n v="427"/>
    <n v="0"/>
    <n v="427"/>
    <n v="427"/>
  </r>
  <r>
    <s v="ORD8054914"/>
    <s v="CUST0182"/>
    <x v="1"/>
    <x v="36"/>
    <d v="1899-12-30T14:29:00"/>
    <s v="Delivered"/>
    <n v="316"/>
    <n v="31.6"/>
    <n v="284.39999999999998"/>
    <n v="316"/>
  </r>
  <r>
    <s v="ORD5921482"/>
    <s v="CUST0318"/>
    <x v="0"/>
    <x v="55"/>
    <d v="1899-12-30T18:08:00"/>
    <s v="Delivered"/>
    <n v="622"/>
    <n v="31.1"/>
    <n v="590.9"/>
    <n v="622"/>
  </r>
  <r>
    <s v="ORD5875071"/>
    <s v="CUST0305"/>
    <x v="1"/>
    <x v="227"/>
    <d v="1899-12-30T10:21:00"/>
    <s v="Delivered"/>
    <n v="475"/>
    <n v="0"/>
    <n v="475"/>
    <n v="475"/>
  </r>
  <r>
    <s v="ORD3288458"/>
    <s v="CUST0380"/>
    <x v="2"/>
    <x v="80"/>
    <d v="1899-12-30T17:35:00"/>
    <s v="Delivered"/>
    <n v="1251"/>
    <n v="0"/>
    <n v="1251"/>
    <n v="1251"/>
  </r>
  <r>
    <s v="ORD2738237"/>
    <s v="CUST0050"/>
    <x v="1"/>
    <x v="211"/>
    <d v="1899-12-30T16:33:00"/>
    <s v="Delivered"/>
    <n v="149"/>
    <n v="7.45"/>
    <n v="141.55000000000001"/>
    <n v="149"/>
  </r>
  <r>
    <s v="ORD5366631"/>
    <s v="CUST0121"/>
    <x v="0"/>
    <x v="220"/>
    <d v="1899-12-30T17:52:00"/>
    <s v="Cancelled"/>
    <n v="854"/>
    <n v="0"/>
    <n v="0"/>
    <n v="854"/>
  </r>
  <r>
    <s v="ORD5856148"/>
    <s v="CUST0244"/>
    <x v="1"/>
    <x v="156"/>
    <d v="1899-12-30T23:12:00"/>
    <s v="Delivered"/>
    <n v="387"/>
    <n v="38.700000000000003"/>
    <n v="348.3"/>
    <n v="387"/>
  </r>
  <r>
    <s v="ORD8457126"/>
    <s v="CUST0018"/>
    <x v="0"/>
    <x v="41"/>
    <d v="1899-12-30T20:19:00"/>
    <s v="Delivered"/>
    <n v="693"/>
    <n v="0"/>
    <n v="693"/>
    <n v="693"/>
  </r>
  <r>
    <s v="ORD6903348"/>
    <s v="CUST0090"/>
    <x v="0"/>
    <x v="169"/>
    <d v="1899-12-30T20:04:00"/>
    <s v="Delivered"/>
    <n v="626"/>
    <n v="0"/>
    <n v="626"/>
    <n v="626"/>
  </r>
  <r>
    <s v="ORD4026182"/>
    <s v="CUST0193"/>
    <x v="2"/>
    <x v="189"/>
    <d v="1899-12-30T01:30:00"/>
    <s v="Delivered"/>
    <n v="794"/>
    <n v="0"/>
    <n v="794"/>
    <n v="794"/>
  </r>
  <r>
    <s v="ORD2619679"/>
    <s v="CUST0376"/>
    <x v="1"/>
    <x v="43"/>
    <d v="1899-12-30T16:54:00"/>
    <s v="Delivered"/>
    <n v="326"/>
    <n v="0"/>
    <n v="326"/>
    <n v="326"/>
  </r>
  <r>
    <s v="ORD8047372"/>
    <s v="CUST0457"/>
    <x v="1"/>
    <x v="12"/>
    <d v="1899-12-30T17:46:00"/>
    <s v="Delivered"/>
    <n v="99"/>
    <n v="0"/>
    <n v="99"/>
    <n v="99"/>
  </r>
  <r>
    <s v="ORD6388157"/>
    <s v="CUST0016"/>
    <x v="2"/>
    <x v="154"/>
    <d v="1899-12-30T21:53:00"/>
    <s v="Delivered"/>
    <n v="287"/>
    <n v="0"/>
    <n v="287"/>
    <n v="287"/>
  </r>
  <r>
    <s v="ORD1406730"/>
    <s v="CUST0405"/>
    <x v="1"/>
    <x v="23"/>
    <d v="1899-12-30T20:51:00"/>
    <s v="Delivered"/>
    <n v="178"/>
    <n v="0"/>
    <n v="178"/>
    <n v="178"/>
  </r>
  <r>
    <s v="ORD9324443"/>
    <s v="CUST0373"/>
    <x v="0"/>
    <x v="292"/>
    <d v="1899-12-30T21:58:00"/>
    <s v="Delivered"/>
    <n v="585"/>
    <n v="0"/>
    <n v="585"/>
    <n v="585"/>
  </r>
  <r>
    <s v="ORD4868381"/>
    <s v="CUST0052"/>
    <x v="1"/>
    <x v="292"/>
    <d v="1899-12-30T20:19:00"/>
    <s v="Delivered"/>
    <n v="533"/>
    <n v="26.65"/>
    <n v="506.35"/>
    <n v="533"/>
  </r>
  <r>
    <s v="ORD9389396"/>
    <s v="CUST0437"/>
    <x v="0"/>
    <x v="150"/>
    <d v="1899-12-30T20:15:00"/>
    <s v="Delivered"/>
    <n v="347"/>
    <n v="34.700000000000003"/>
    <n v="312.3"/>
    <n v="347"/>
  </r>
  <r>
    <s v="ORD1996431"/>
    <s v="CUST0103"/>
    <x v="1"/>
    <x v="100"/>
    <d v="1899-12-30T19:16:00"/>
    <s v="Delivered"/>
    <n v="533"/>
    <n v="53.3"/>
    <n v="479.7"/>
    <n v="533"/>
  </r>
  <r>
    <s v="ORD1593277"/>
    <s v="CUST0428"/>
    <x v="0"/>
    <x v="6"/>
    <d v="1899-12-30T00:44:00"/>
    <s v="Delivered"/>
    <n v="1102"/>
    <n v="165.3"/>
    <n v="936.7"/>
    <n v="1102"/>
  </r>
  <r>
    <s v="ORD4821097"/>
    <s v="CUST0401"/>
    <x v="0"/>
    <x v="198"/>
    <d v="1899-12-30T19:19:00"/>
    <s v="Delivered"/>
    <n v="704"/>
    <n v="0"/>
    <n v="704"/>
    <n v="704"/>
  </r>
  <r>
    <s v="ORD8347629"/>
    <s v="CUST0282"/>
    <x v="1"/>
    <x v="66"/>
    <d v="1899-12-30T21:27:00"/>
    <s v="Delivered"/>
    <n v="385"/>
    <n v="0"/>
    <n v="385"/>
    <n v="385"/>
  </r>
  <r>
    <s v="ORD5193002"/>
    <s v="CUST0411"/>
    <x v="1"/>
    <x v="57"/>
    <d v="1899-12-30T00:02:00"/>
    <s v="Delivered"/>
    <n v="79"/>
    <n v="7.9"/>
    <n v="71.099999999999994"/>
    <n v="79"/>
  </r>
  <r>
    <s v="ORD3053134"/>
    <s v="CUST0311"/>
    <x v="1"/>
    <x v="219"/>
    <d v="1899-12-30T13:08:00"/>
    <s v="Delivered"/>
    <n v="79"/>
    <n v="0"/>
    <n v="79"/>
    <n v="79"/>
  </r>
  <r>
    <s v="ORD7156124"/>
    <s v="CUST0366"/>
    <x v="1"/>
    <x v="19"/>
    <d v="1899-12-30T12:28:00"/>
    <s v="Delivered"/>
    <n v="397"/>
    <n v="0"/>
    <n v="397"/>
    <n v="397"/>
  </r>
  <r>
    <s v="ORD3300684"/>
    <s v="CUST0144"/>
    <x v="1"/>
    <x v="80"/>
    <d v="1899-12-30T00:31:00"/>
    <s v="Delivered"/>
    <n v="556"/>
    <n v="27.8"/>
    <n v="528.20000000000005"/>
    <n v="556"/>
  </r>
  <r>
    <s v="ORD1566334"/>
    <s v="CUST0011"/>
    <x v="1"/>
    <x v="183"/>
    <d v="1899-12-30T19:07:00"/>
    <s v="Delivered"/>
    <n v="188"/>
    <n v="0"/>
    <n v="188"/>
    <n v="188"/>
  </r>
  <r>
    <s v="ORD7364050"/>
    <s v="CUST0023"/>
    <x v="1"/>
    <x v="170"/>
    <d v="1899-12-30T15:28:00"/>
    <s v="Delivered"/>
    <n v="1289"/>
    <n v="128.9"/>
    <n v="1160.0999999999999"/>
    <n v="1289"/>
  </r>
  <r>
    <s v="ORD8282586"/>
    <s v="CUST0388"/>
    <x v="1"/>
    <x v="30"/>
    <d v="1899-12-30T00:13:00"/>
    <s v="Delivered"/>
    <n v="1110"/>
    <n v="111"/>
    <n v="999"/>
    <n v="1110"/>
  </r>
  <r>
    <s v="ORD9705913"/>
    <s v="CUST0294"/>
    <x v="0"/>
    <x v="289"/>
    <d v="1899-12-30T22:27:00"/>
    <s v="Delivered"/>
    <n v="685"/>
    <n v="102.75"/>
    <n v="582.25"/>
    <n v="685"/>
  </r>
  <r>
    <s v="ORD7620309"/>
    <s v="CUST0278"/>
    <x v="1"/>
    <x v="71"/>
    <d v="1899-12-30T17:49:00"/>
    <s v="Delivered"/>
    <n v="684"/>
    <n v="68.400000000000006"/>
    <n v="615.6"/>
    <n v="684"/>
  </r>
  <r>
    <s v="ORD8825556"/>
    <s v="CUST0009"/>
    <x v="1"/>
    <x v="288"/>
    <d v="1899-12-30T22:29:00"/>
    <s v="Delivered"/>
    <n v="802"/>
    <n v="40.1"/>
    <n v="761.9"/>
    <n v="802"/>
  </r>
  <r>
    <s v="ORD3927545"/>
    <s v="CUST0254"/>
    <x v="1"/>
    <x v="111"/>
    <d v="1899-12-30T13:55:00"/>
    <s v="Delivered"/>
    <n v="396"/>
    <n v="0"/>
    <n v="396"/>
    <n v="396"/>
  </r>
  <r>
    <s v="ORD6927978"/>
    <s v="CUST0009"/>
    <x v="0"/>
    <x v="293"/>
    <d v="1899-12-30T13:16:00"/>
    <s v="Delivered"/>
    <n v="466"/>
    <n v="0"/>
    <n v="466"/>
    <n v="466"/>
  </r>
  <r>
    <s v="ORD5749368"/>
    <s v="CUST0329"/>
    <x v="1"/>
    <x v="114"/>
    <d v="1899-12-30T15:04:00"/>
    <s v="Delivered"/>
    <n v="149"/>
    <n v="0"/>
    <n v="149"/>
    <n v="149"/>
  </r>
  <r>
    <s v="ORD1748441"/>
    <s v="CUST0016"/>
    <x v="1"/>
    <x v="67"/>
    <d v="1899-12-30T18:39:00"/>
    <s v="Delivered"/>
    <n v="931"/>
    <n v="0"/>
    <n v="931"/>
    <n v="931"/>
  </r>
  <r>
    <s v="ORD2316088"/>
    <s v="CUST0372"/>
    <x v="1"/>
    <x v="294"/>
    <d v="1899-12-30T09:42:00"/>
    <s v="Delivered"/>
    <n v="824"/>
    <n v="41.2"/>
    <n v="782.8"/>
    <n v="824"/>
  </r>
  <r>
    <s v="ORD5916819"/>
    <s v="CUST0163"/>
    <x v="1"/>
    <x v="180"/>
    <d v="1899-12-30T23:28:00"/>
    <s v="Delivered"/>
    <n v="148"/>
    <n v="0"/>
    <n v="148"/>
    <n v="148"/>
  </r>
  <r>
    <s v="ORD9483289"/>
    <s v="CUST0041"/>
    <x v="1"/>
    <x v="242"/>
    <d v="1899-12-30T19:23:00"/>
    <s v="Delivered"/>
    <n v="1002"/>
    <n v="0"/>
    <n v="1002"/>
    <n v="1002"/>
  </r>
  <r>
    <s v="ORD6730623"/>
    <s v="CUST0134"/>
    <x v="0"/>
    <x v="281"/>
    <d v="1899-12-30T17:38:00"/>
    <s v="Delivered"/>
    <n v="138"/>
    <n v="6.9"/>
    <n v="131.1"/>
    <n v="138"/>
  </r>
  <r>
    <s v="ORD1260252"/>
    <s v="CUST0093"/>
    <x v="2"/>
    <x v="119"/>
    <d v="1899-12-30T17:57:00"/>
    <s v="Delivered"/>
    <n v="693"/>
    <n v="34.65"/>
    <n v="658.35"/>
    <n v="693"/>
  </r>
  <r>
    <s v="ORD9880342"/>
    <s v="CUST0068"/>
    <x v="0"/>
    <x v="267"/>
    <d v="1899-12-30T17:04:00"/>
    <s v="Delivered"/>
    <n v="1189"/>
    <n v="59.45"/>
    <n v="1129.55"/>
    <n v="1189"/>
  </r>
  <r>
    <s v="ORD7859779"/>
    <s v="CUST0182"/>
    <x v="2"/>
    <x v="153"/>
    <d v="1899-12-30T21:58:00"/>
    <s v="Delivered"/>
    <n v="1003"/>
    <n v="0"/>
    <n v="1003"/>
    <n v="1003"/>
  </r>
  <r>
    <s v="ORD8608923"/>
    <s v="CUST0304"/>
    <x v="1"/>
    <x v="92"/>
    <d v="1899-12-30T16:37:00"/>
    <s v="Delivered"/>
    <n v="566"/>
    <n v="0"/>
    <n v="566"/>
    <n v="566"/>
  </r>
  <r>
    <s v="ORD8158662"/>
    <s v="CUST0269"/>
    <x v="0"/>
    <x v="170"/>
    <d v="1899-12-30T20:57:00"/>
    <s v="Delivered"/>
    <n v="266"/>
    <n v="0"/>
    <n v="266"/>
    <n v="266"/>
  </r>
  <r>
    <s v="ORD6274209"/>
    <s v="CUST0295"/>
    <x v="2"/>
    <x v="16"/>
    <d v="1899-12-30T20:17:00"/>
    <s v="Delivered"/>
    <n v="287"/>
    <n v="14.35"/>
    <n v="272.64999999999998"/>
    <n v="287"/>
  </r>
  <r>
    <s v="ORD5674614"/>
    <s v="CUST0055"/>
    <x v="2"/>
    <x v="295"/>
    <d v="1899-12-30T00:48:00"/>
    <s v="Delivered"/>
    <n v="198"/>
    <n v="0"/>
    <n v="198"/>
    <n v="198"/>
  </r>
  <r>
    <s v="ORD9193420"/>
    <s v="CUST0410"/>
    <x v="1"/>
    <x v="191"/>
    <d v="1899-12-30T20:34:00"/>
    <s v="Delivered"/>
    <n v="168"/>
    <n v="16.8"/>
    <n v="151.19999999999999"/>
    <n v="168"/>
  </r>
  <r>
    <s v="ORD8252219"/>
    <s v="CUST0433"/>
    <x v="1"/>
    <x v="74"/>
    <d v="1899-12-30T21:58:00"/>
    <s v="Delivered"/>
    <n v="466"/>
    <n v="0"/>
    <n v="466"/>
    <n v="466"/>
  </r>
  <r>
    <s v="ORD5632324"/>
    <s v="CUST0081"/>
    <x v="0"/>
    <x v="161"/>
    <d v="1899-12-30T10:20:00"/>
    <s v="Delivered"/>
    <n v="904"/>
    <n v="0"/>
    <n v="904"/>
    <n v="904"/>
  </r>
  <r>
    <s v="ORD1597875"/>
    <s v="CUST0429"/>
    <x v="2"/>
    <x v="94"/>
    <d v="1899-12-30T20:42:00"/>
    <s v="Delivered"/>
    <n v="288"/>
    <n v="0"/>
    <n v="288"/>
    <n v="288"/>
  </r>
  <r>
    <s v="ORD2488335"/>
    <s v="CUST0068"/>
    <x v="1"/>
    <x v="2"/>
    <d v="1899-12-30T19:18:00"/>
    <s v="Delivered"/>
    <n v="446"/>
    <n v="44.6"/>
    <n v="401.4"/>
    <n v="446"/>
  </r>
  <r>
    <s v="ORD4020978"/>
    <s v="CUST0272"/>
    <x v="0"/>
    <x v="104"/>
    <d v="1899-12-30T18:30:00"/>
    <s v="Delivered"/>
    <n v="884"/>
    <n v="0"/>
    <n v="884"/>
    <n v="884"/>
  </r>
  <r>
    <s v="ORD8128056"/>
    <s v="CUST0167"/>
    <x v="1"/>
    <x v="246"/>
    <d v="1899-12-30T15:28:00"/>
    <s v="Delivered"/>
    <n v="228"/>
    <n v="22.8"/>
    <n v="205.2"/>
    <n v="228"/>
  </r>
  <r>
    <s v="ORD5880999"/>
    <s v="CUST0352"/>
    <x v="1"/>
    <x v="186"/>
    <d v="1899-12-30T00:26:00"/>
    <s v="Delivered"/>
    <n v="526"/>
    <n v="52.6"/>
    <n v="473.4"/>
    <n v="526"/>
  </r>
  <r>
    <s v="ORD1916595"/>
    <s v="CUST0205"/>
    <x v="1"/>
    <x v="223"/>
    <d v="1899-12-30T19:27:00"/>
    <s v="Delivered"/>
    <n v="238"/>
    <n v="11.9"/>
    <n v="226.1"/>
    <n v="238"/>
  </r>
  <r>
    <s v="ORD6531182"/>
    <s v="CUST0321"/>
    <x v="1"/>
    <x v="53"/>
    <d v="1899-12-30T17:49:00"/>
    <s v="Delivered"/>
    <n v="913"/>
    <n v="0"/>
    <n v="913"/>
    <n v="913"/>
  </r>
  <r>
    <s v="ORD3633903"/>
    <s v="CUST0186"/>
    <x v="0"/>
    <x v="0"/>
    <d v="1899-12-30T23:13:00"/>
    <s v="Delivered"/>
    <n v="248"/>
    <n v="0"/>
    <n v="248"/>
    <n v="248"/>
  </r>
  <r>
    <s v="ORD9834133"/>
    <s v="CUST0433"/>
    <x v="1"/>
    <x v="0"/>
    <d v="1899-12-30T16:02:00"/>
    <s v="Delivered"/>
    <n v="198"/>
    <n v="0"/>
    <n v="198"/>
    <n v="198"/>
  </r>
  <r>
    <s v="ORD7723485"/>
    <s v="CUST0417"/>
    <x v="0"/>
    <x v="141"/>
    <d v="1899-12-30T21:07:00"/>
    <s v="Delivered"/>
    <n v="1141"/>
    <n v="57.05"/>
    <n v="1083.95"/>
    <n v="1141"/>
  </r>
  <r>
    <s v="ORD6237674"/>
    <s v="CUST0426"/>
    <x v="0"/>
    <x v="135"/>
    <d v="1899-12-30T19:12:00"/>
    <s v="Delivered"/>
    <n v="387"/>
    <n v="38.700000000000003"/>
    <n v="348.3"/>
    <n v="387"/>
  </r>
  <r>
    <s v="ORD5771825"/>
    <s v="CUST0288"/>
    <x v="1"/>
    <x v="66"/>
    <d v="1899-12-30T17:26:00"/>
    <s v="Delivered"/>
    <n v="454"/>
    <n v="0"/>
    <n v="454"/>
    <n v="454"/>
  </r>
  <r>
    <s v="ORD8500846"/>
    <s v="CUST0204"/>
    <x v="0"/>
    <x v="233"/>
    <d v="1899-12-30T20:01:00"/>
    <s v="Delivered"/>
    <n v="257"/>
    <n v="38.549999999999997"/>
    <n v="218.45"/>
    <n v="257"/>
  </r>
  <r>
    <s v="ORD7764490"/>
    <s v="CUST0128"/>
    <x v="1"/>
    <x v="296"/>
    <d v="1899-12-30T22:37:00"/>
    <s v="Cancelled"/>
    <n v="1061"/>
    <n v="159.15"/>
    <n v="0"/>
    <n v="1061"/>
  </r>
  <r>
    <s v="ORD9199476"/>
    <s v="CUST0354"/>
    <x v="1"/>
    <x v="79"/>
    <d v="1899-12-30T16:17:00"/>
    <s v="Delivered"/>
    <n v="316"/>
    <n v="0"/>
    <n v="316"/>
    <n v="316"/>
  </r>
  <r>
    <s v="ORD3135445"/>
    <s v="CUST0359"/>
    <x v="1"/>
    <x v="297"/>
    <d v="1899-12-30T10:27:00"/>
    <s v="Delivered"/>
    <n v="644"/>
    <n v="32.200000000000003"/>
    <n v="611.79999999999995"/>
    <n v="644"/>
  </r>
  <r>
    <s v="ORD8015348"/>
    <s v="CUST0269"/>
    <x v="1"/>
    <x v="57"/>
    <d v="1899-12-30T21:51:00"/>
    <s v="Delivered"/>
    <n v="395"/>
    <n v="0"/>
    <n v="395"/>
    <n v="395"/>
  </r>
  <r>
    <s v="ORD3784106"/>
    <s v="CUST0456"/>
    <x v="1"/>
    <x v="298"/>
    <d v="1899-12-30T18:39:00"/>
    <s v="Delivered"/>
    <n v="545"/>
    <n v="0"/>
    <n v="545"/>
    <n v="545"/>
  </r>
  <r>
    <s v="ORD3270615"/>
    <s v="CUST0383"/>
    <x v="0"/>
    <x v="299"/>
    <d v="1899-12-30T18:59:00"/>
    <s v="Delivered"/>
    <n v="523"/>
    <n v="0"/>
    <n v="523"/>
    <n v="523"/>
  </r>
  <r>
    <s v="ORD8863382"/>
    <s v="CUST0170"/>
    <x v="1"/>
    <x v="277"/>
    <d v="1899-12-30T23:29:00"/>
    <s v="Cancelled"/>
    <n v="277"/>
    <n v="13.85"/>
    <n v="0"/>
    <n v="277"/>
  </r>
  <r>
    <s v="ORD7765720"/>
    <s v="CUST0374"/>
    <x v="1"/>
    <x v="163"/>
    <d v="1899-12-30T15:37:00"/>
    <s v="Delivered"/>
    <n v="397"/>
    <n v="0"/>
    <n v="397"/>
    <n v="397"/>
  </r>
  <r>
    <s v="ORD5651273"/>
    <s v="CUST0197"/>
    <x v="1"/>
    <x v="126"/>
    <d v="1899-12-30T21:49:00"/>
    <s v="Cancelled"/>
    <n v="1161"/>
    <n v="58.05"/>
    <n v="0"/>
    <n v="1161"/>
  </r>
  <r>
    <s v="ORD8376757"/>
    <s v="CUST0027"/>
    <x v="1"/>
    <x v="112"/>
    <d v="1899-12-30T16:57:00"/>
    <s v="Delivered"/>
    <n v="366"/>
    <n v="36.6"/>
    <n v="329.4"/>
    <n v="366"/>
  </r>
  <r>
    <s v="ORD4588635"/>
    <s v="CUST0041"/>
    <x v="2"/>
    <x v="113"/>
    <d v="1899-12-30T14:33:00"/>
    <s v="Delivered"/>
    <n v="933"/>
    <n v="0"/>
    <n v="933"/>
    <n v="933"/>
  </r>
  <r>
    <s v="ORD6804775"/>
    <s v="CUST0188"/>
    <x v="2"/>
    <x v="212"/>
    <d v="1899-12-30T16:55:00"/>
    <s v="Delivered"/>
    <n v="445"/>
    <n v="0"/>
    <n v="445"/>
    <n v="445"/>
  </r>
  <r>
    <s v="ORD6207491"/>
    <s v="CUST0270"/>
    <x v="1"/>
    <x v="33"/>
    <d v="1899-12-30T19:23:00"/>
    <s v="Delivered"/>
    <n v="79"/>
    <n v="3.95"/>
    <n v="75.05"/>
    <n v="79"/>
  </r>
  <r>
    <s v="ORD5245272"/>
    <s v="CUST0246"/>
    <x v="1"/>
    <x v="180"/>
    <d v="1899-12-30T18:41:00"/>
    <s v="Delivered"/>
    <n v="1209"/>
    <n v="120.9"/>
    <n v="1088.0999999999999"/>
    <n v="1209"/>
  </r>
  <r>
    <s v="ORD1640782"/>
    <s v="CUST0280"/>
    <x v="0"/>
    <x v="285"/>
    <d v="1899-12-30T01:48:00"/>
    <s v="Delivered"/>
    <n v="79"/>
    <n v="0"/>
    <n v="79"/>
    <n v="79"/>
  </r>
  <r>
    <s v="ORD8438648"/>
    <s v="CUST0434"/>
    <x v="1"/>
    <x v="300"/>
    <d v="1899-12-30T19:53:00"/>
    <s v="Delivered"/>
    <n v="595"/>
    <n v="0"/>
    <n v="595"/>
    <n v="595"/>
  </r>
  <r>
    <s v="ORD7144765"/>
    <s v="CUST0364"/>
    <x v="1"/>
    <x v="172"/>
    <d v="1899-12-30T14:57:00"/>
    <s v="Delivered"/>
    <n v="149"/>
    <n v="0"/>
    <n v="149"/>
    <n v="149"/>
  </r>
  <r>
    <s v="ORD3895499"/>
    <s v="CUST0374"/>
    <x v="1"/>
    <x v="159"/>
    <d v="1899-12-30T20:09:00"/>
    <s v="Delivered"/>
    <n v="298"/>
    <n v="0"/>
    <n v="298"/>
    <n v="298"/>
  </r>
  <r>
    <s v="ORD2974922"/>
    <s v="CUST0141"/>
    <x v="0"/>
    <x v="179"/>
    <d v="1899-12-30T09:19:00"/>
    <s v="Delivered"/>
    <n v="615"/>
    <n v="30.75"/>
    <n v="584.25"/>
    <n v="615"/>
  </r>
  <r>
    <s v="ORD3840983"/>
    <s v="CUST0321"/>
    <x v="2"/>
    <x v="155"/>
    <d v="1899-12-30T18:37:00"/>
    <s v="Delivered"/>
    <n v="327"/>
    <n v="0"/>
    <n v="327"/>
    <n v="327"/>
  </r>
  <r>
    <s v="ORD6209108"/>
    <s v="CUST0387"/>
    <x v="0"/>
    <x v="95"/>
    <d v="1899-12-30T12:47:00"/>
    <s v="Delivered"/>
    <n v="178"/>
    <n v="0"/>
    <n v="178"/>
    <n v="178"/>
  </r>
  <r>
    <s v="ORD8375236"/>
    <s v="CUST0152"/>
    <x v="1"/>
    <x v="288"/>
    <d v="1899-12-30T17:11:00"/>
    <s v="Delivered"/>
    <n v="79"/>
    <n v="0"/>
    <n v="79"/>
    <n v="79"/>
  </r>
  <r>
    <s v="ORD7470648"/>
    <s v="CUST0088"/>
    <x v="1"/>
    <x v="174"/>
    <d v="1899-12-30T01:53:00"/>
    <s v="Delivered"/>
    <n v="633"/>
    <n v="0"/>
    <n v="633"/>
    <n v="633"/>
  </r>
  <r>
    <s v="ORD5332109"/>
    <s v="CUST0263"/>
    <x v="0"/>
    <x v="36"/>
    <d v="1899-12-30T13:05:00"/>
    <s v="Delivered"/>
    <n v="257"/>
    <n v="38.549999999999997"/>
    <n v="218.45"/>
    <n v="257"/>
  </r>
  <r>
    <s v="ORD2755114"/>
    <s v="CUST0462"/>
    <x v="1"/>
    <x v="144"/>
    <d v="1899-12-30T21:37:00"/>
    <s v="Delivered"/>
    <n v="902"/>
    <n v="0"/>
    <n v="902"/>
    <n v="902"/>
  </r>
  <r>
    <s v="ORD7699704"/>
    <s v="CUST0295"/>
    <x v="0"/>
    <x v="72"/>
    <d v="1899-12-30T22:37:00"/>
    <s v="Delivered"/>
    <n v="1368"/>
    <n v="68.400000000000006"/>
    <n v="1299.5999999999999"/>
    <n v="1368"/>
  </r>
  <r>
    <s v="ORD9593363"/>
    <s v="CUST0304"/>
    <x v="1"/>
    <x v="25"/>
    <d v="1899-12-30T00:25:00"/>
    <s v="Delivered"/>
    <n v="840"/>
    <n v="0"/>
    <n v="840"/>
    <n v="840"/>
  </r>
  <r>
    <s v="ORD3773979"/>
    <s v="CUST0178"/>
    <x v="1"/>
    <x v="194"/>
    <d v="1899-12-30T17:51:00"/>
    <s v="Delivered"/>
    <n v="396"/>
    <n v="39.6"/>
    <n v="356.4"/>
    <n v="396"/>
  </r>
  <r>
    <s v="ORD3586005"/>
    <s v="CUST0047"/>
    <x v="0"/>
    <x v="290"/>
    <d v="1899-12-30T17:27:00"/>
    <s v="Delivered"/>
    <n v="1050"/>
    <n v="0"/>
    <n v="1050"/>
    <n v="1050"/>
  </r>
  <r>
    <s v="ORD3240199"/>
    <s v="CUST0066"/>
    <x v="1"/>
    <x v="301"/>
    <d v="1899-12-30T10:24:00"/>
    <s v="Delivered"/>
    <n v="337"/>
    <n v="0"/>
    <n v="337"/>
    <n v="337"/>
  </r>
  <r>
    <s v="ORD4945289"/>
    <s v="CUST0312"/>
    <x v="1"/>
    <x v="297"/>
    <d v="1899-12-30T17:56:00"/>
    <s v="Delivered"/>
    <n v="307"/>
    <n v="15.35"/>
    <n v="291.64999999999998"/>
    <n v="307"/>
  </r>
  <r>
    <s v="ORD7443567"/>
    <s v="CUST0223"/>
    <x v="1"/>
    <x v="272"/>
    <d v="1899-12-30T17:19:00"/>
    <s v="Delivered"/>
    <n v="356"/>
    <n v="0"/>
    <n v="356"/>
    <n v="356"/>
  </r>
  <r>
    <s v="ORD2386477"/>
    <s v="CUST0428"/>
    <x v="1"/>
    <x v="25"/>
    <d v="1899-12-30T21:33:00"/>
    <s v="Delivered"/>
    <n v="456"/>
    <n v="0"/>
    <n v="456"/>
    <n v="456"/>
  </r>
  <r>
    <s v="ORD6082733"/>
    <s v="CUST0217"/>
    <x v="0"/>
    <x v="218"/>
    <d v="1899-12-30T21:25:00"/>
    <s v="Delivered"/>
    <n v="775"/>
    <n v="0"/>
    <n v="775"/>
    <n v="775"/>
  </r>
  <r>
    <s v="ORD8114632"/>
    <s v="CUST0058"/>
    <x v="0"/>
    <x v="299"/>
    <d v="1899-12-30T20:23:00"/>
    <s v="Delivered"/>
    <n v="693"/>
    <n v="69.3"/>
    <n v="623.70000000000005"/>
    <n v="693"/>
  </r>
  <r>
    <s v="ORD7158985"/>
    <s v="CUST0445"/>
    <x v="1"/>
    <x v="212"/>
    <d v="1899-12-30T16:07:00"/>
    <s v="Delivered"/>
    <n v="793"/>
    <n v="79.3"/>
    <n v="713.7"/>
    <n v="793"/>
  </r>
  <r>
    <s v="ORD7647377"/>
    <s v="CUST0375"/>
    <x v="1"/>
    <x v="235"/>
    <d v="1899-12-30T16:22:00"/>
    <s v="Delivered"/>
    <n v="257"/>
    <n v="25.7"/>
    <n v="231.3"/>
    <n v="257"/>
  </r>
  <r>
    <s v="ORD9783858"/>
    <s v="CUST0471"/>
    <x v="0"/>
    <x v="125"/>
    <d v="1899-12-30T20:15:00"/>
    <s v="Delivered"/>
    <n v="564"/>
    <n v="0"/>
    <n v="564"/>
    <n v="564"/>
  </r>
  <r>
    <s v="ORD6066483"/>
    <s v="CUST0173"/>
    <x v="2"/>
    <x v="302"/>
    <d v="1899-12-30T21:05:00"/>
    <s v="Delivered"/>
    <n v="625"/>
    <n v="62.5"/>
    <n v="562.5"/>
    <n v="625"/>
  </r>
  <r>
    <s v="ORD5089486"/>
    <s v="CUST0156"/>
    <x v="0"/>
    <x v="207"/>
    <d v="1899-12-30T00:16:00"/>
    <s v="Delivered"/>
    <n v="506"/>
    <n v="0"/>
    <n v="506"/>
    <n v="506"/>
  </r>
  <r>
    <s v="ORD5780038"/>
    <s v="CUST0466"/>
    <x v="1"/>
    <x v="62"/>
    <d v="1899-12-30T00:25:00"/>
    <s v="Delivered"/>
    <n v="267"/>
    <n v="13.35"/>
    <n v="253.65"/>
    <n v="267"/>
  </r>
  <r>
    <s v="ORD1303213"/>
    <s v="CUST0050"/>
    <x v="1"/>
    <x v="163"/>
    <d v="1899-12-30T21:20:00"/>
    <s v="Delivered"/>
    <n v="636"/>
    <n v="63.6"/>
    <n v="572.4"/>
    <n v="636"/>
  </r>
  <r>
    <s v="ORD6753758"/>
    <s v="CUST0477"/>
    <x v="0"/>
    <x v="179"/>
    <d v="1899-12-30T19:30:00"/>
    <s v="Delivered"/>
    <n v="495"/>
    <n v="0"/>
    <n v="495"/>
    <n v="495"/>
  </r>
  <r>
    <s v="ORD2318832"/>
    <s v="CUST0339"/>
    <x v="2"/>
    <x v="156"/>
    <d v="1899-12-30T19:02:00"/>
    <s v="Delivered"/>
    <n v="217"/>
    <n v="0"/>
    <n v="217"/>
    <n v="217"/>
  </r>
  <r>
    <s v="ORD7969137"/>
    <s v="CUST0181"/>
    <x v="0"/>
    <x v="202"/>
    <d v="1899-12-30T17:39:00"/>
    <s v="Delivered"/>
    <n v="336"/>
    <n v="16.8"/>
    <n v="319.2"/>
    <n v="336"/>
  </r>
  <r>
    <s v="ORD3669548"/>
    <s v="CUST0149"/>
    <x v="1"/>
    <x v="135"/>
    <d v="1899-12-30T16:36:00"/>
    <s v="Delivered"/>
    <n v="474"/>
    <n v="0"/>
    <n v="474"/>
    <n v="474"/>
  </r>
  <r>
    <s v="ORD7579577"/>
    <s v="CUST0258"/>
    <x v="0"/>
    <x v="86"/>
    <d v="1899-12-30T21:20:00"/>
    <s v="Delivered"/>
    <n v="664"/>
    <n v="0"/>
    <n v="664"/>
    <n v="664"/>
  </r>
  <r>
    <s v="ORD8014552"/>
    <s v="CUST0465"/>
    <x v="1"/>
    <x v="172"/>
    <d v="1899-12-30T17:43:00"/>
    <s v="Delivered"/>
    <n v="159"/>
    <n v="0"/>
    <n v="159"/>
    <n v="159"/>
  </r>
  <r>
    <s v="ORD5193310"/>
    <s v="CUST0485"/>
    <x v="1"/>
    <x v="17"/>
    <d v="1899-12-30T21:26:00"/>
    <s v="Delivered"/>
    <n v="871"/>
    <n v="0"/>
    <n v="871"/>
    <n v="871"/>
  </r>
  <r>
    <s v="ORD5015044"/>
    <s v="CUST0189"/>
    <x v="0"/>
    <x v="178"/>
    <d v="1899-12-30T11:29:00"/>
    <s v="Delivered"/>
    <n v="248"/>
    <n v="37.200000000000003"/>
    <n v="210.8"/>
    <n v="248"/>
  </r>
  <r>
    <s v="ORD8741111"/>
    <s v="CUST0124"/>
    <x v="0"/>
    <x v="303"/>
    <d v="1899-12-30T20:28:00"/>
    <s v="Delivered"/>
    <n v="535"/>
    <n v="0"/>
    <n v="535"/>
    <n v="535"/>
  </r>
  <r>
    <s v="ORD8888801"/>
    <s v="CUST0209"/>
    <x v="2"/>
    <x v="292"/>
    <d v="1899-12-30T01:43:00"/>
    <s v="Delivered"/>
    <n v="69"/>
    <n v="0"/>
    <n v="69"/>
    <n v="69"/>
  </r>
  <r>
    <s v="ORD9066612"/>
    <s v="CUST0366"/>
    <x v="1"/>
    <x v="44"/>
    <d v="1899-12-30T01:34:00"/>
    <s v="Delivered"/>
    <n v="386"/>
    <n v="0"/>
    <n v="386"/>
    <n v="386"/>
  </r>
  <r>
    <s v="ORD5404004"/>
    <s v="CUST0064"/>
    <x v="1"/>
    <x v="31"/>
    <d v="1899-12-30T19:50:00"/>
    <s v="Cancelled"/>
    <n v="622"/>
    <n v="0"/>
    <n v="0"/>
    <n v="622"/>
  </r>
  <r>
    <s v="ORD5105861"/>
    <s v="CUST0461"/>
    <x v="0"/>
    <x v="135"/>
    <d v="1899-12-30T16:29:00"/>
    <s v="Delivered"/>
    <n v="357"/>
    <n v="0"/>
    <n v="357"/>
    <n v="357"/>
  </r>
  <r>
    <s v="ORD7221849"/>
    <s v="CUST0014"/>
    <x v="1"/>
    <x v="265"/>
    <d v="1899-12-30T20:18:00"/>
    <s v="Delivered"/>
    <n v="257"/>
    <n v="0"/>
    <n v="257"/>
    <n v="257"/>
  </r>
  <r>
    <s v="ORD5904531"/>
    <s v="CUST0356"/>
    <x v="1"/>
    <x v="154"/>
    <d v="1899-12-30T21:51:00"/>
    <s v="Delivered"/>
    <n v="297"/>
    <n v="29.7"/>
    <n v="267.3"/>
    <n v="297"/>
  </r>
  <r>
    <s v="ORD3859007"/>
    <s v="CUST0245"/>
    <x v="0"/>
    <x v="10"/>
    <d v="1899-12-30T23:25:00"/>
    <s v="Delivered"/>
    <n v="993"/>
    <n v="0"/>
    <n v="993"/>
    <n v="993"/>
  </r>
  <r>
    <s v="ORD6743965"/>
    <s v="CUST0343"/>
    <x v="2"/>
    <x v="9"/>
    <d v="1899-12-30T19:00:00"/>
    <s v="Delivered"/>
    <n v="504"/>
    <n v="0"/>
    <n v="504"/>
    <n v="504"/>
  </r>
  <r>
    <s v="ORD9793246"/>
    <s v="CUST0007"/>
    <x v="0"/>
    <x v="113"/>
    <d v="1899-12-30T21:58:00"/>
    <s v="Delivered"/>
    <n v="733"/>
    <n v="0"/>
    <n v="733"/>
    <n v="733"/>
  </r>
  <r>
    <s v="ORD9773624"/>
    <s v="CUST0029"/>
    <x v="1"/>
    <x v="51"/>
    <d v="1899-12-30T16:51:00"/>
    <s v="Delivered"/>
    <n v="653"/>
    <n v="32.65"/>
    <n v="620.35"/>
    <n v="653"/>
  </r>
  <r>
    <s v="ORD2532752"/>
    <s v="CUST0137"/>
    <x v="0"/>
    <x v="141"/>
    <d v="1899-12-30T16:38:00"/>
    <s v="Delivered"/>
    <n v="178"/>
    <n v="0"/>
    <n v="178"/>
    <n v="178"/>
  </r>
  <r>
    <s v="ORD6349555"/>
    <s v="CUST0452"/>
    <x v="0"/>
    <x v="70"/>
    <d v="1899-12-30T16:34:00"/>
    <s v="Delivered"/>
    <n v="317"/>
    <n v="0"/>
    <n v="317"/>
    <n v="317"/>
  </r>
  <r>
    <s v="ORD8426297"/>
    <s v="CUST0441"/>
    <x v="2"/>
    <x v="65"/>
    <d v="1899-12-30T20:27:00"/>
    <s v="Delivered"/>
    <n v="357"/>
    <n v="0"/>
    <n v="357"/>
    <n v="357"/>
  </r>
  <r>
    <s v="ORD9928667"/>
    <s v="CUST0154"/>
    <x v="1"/>
    <x v="37"/>
    <d v="1899-12-30T18:41:00"/>
    <s v="Delivered"/>
    <n v="447"/>
    <n v="0"/>
    <n v="447"/>
    <n v="447"/>
  </r>
  <r>
    <s v="ORD2099905"/>
    <s v="CUST0254"/>
    <x v="1"/>
    <x v="155"/>
    <d v="1899-12-30T20:30:00"/>
    <s v="Delivered"/>
    <n v="654"/>
    <n v="32.700000000000003"/>
    <n v="621.29999999999995"/>
    <n v="654"/>
  </r>
  <r>
    <s v="ORD6034195"/>
    <s v="CUST0272"/>
    <x v="1"/>
    <x v="304"/>
    <d v="1899-12-30T18:49:00"/>
    <s v="Cancelled"/>
    <n v="208"/>
    <n v="0"/>
    <n v="0"/>
    <n v="208"/>
  </r>
  <r>
    <s v="ORD7994575"/>
    <s v="CUST0243"/>
    <x v="0"/>
    <x v="226"/>
    <d v="1899-12-30T14:33:00"/>
    <s v="Delivered"/>
    <n v="376"/>
    <n v="0"/>
    <n v="376"/>
    <n v="376"/>
  </r>
  <r>
    <s v="ORD7602542"/>
    <s v="CUST0158"/>
    <x v="1"/>
    <x v="259"/>
    <d v="1899-12-30T14:28:00"/>
    <s v="Delivered"/>
    <n v="79"/>
    <n v="7.9"/>
    <n v="71.099999999999994"/>
    <n v="79"/>
  </r>
  <r>
    <s v="ORD4392572"/>
    <s v="CUST0141"/>
    <x v="1"/>
    <x v="140"/>
    <d v="1899-12-30T22:49:00"/>
    <s v="Delivered"/>
    <n v="416"/>
    <n v="20.8"/>
    <n v="395.2"/>
    <n v="416"/>
  </r>
  <r>
    <s v="ORD5079175"/>
    <s v="CUST0141"/>
    <x v="1"/>
    <x v="12"/>
    <d v="1899-12-30T19:54:00"/>
    <s v="Delivered"/>
    <n v="1063"/>
    <n v="53.15"/>
    <n v="1009.85"/>
    <n v="1063"/>
  </r>
  <r>
    <s v="ORD7291774"/>
    <s v="CUST0128"/>
    <x v="1"/>
    <x v="196"/>
    <d v="1899-12-30T21:31:00"/>
    <s v="Delivered"/>
    <n v="159"/>
    <n v="0"/>
    <n v="159"/>
    <n v="159"/>
  </r>
  <r>
    <s v="ORD7942032"/>
    <s v="CUST0384"/>
    <x v="1"/>
    <x v="30"/>
    <d v="1899-12-30T17:56:00"/>
    <s v="Delivered"/>
    <n v="635"/>
    <n v="0"/>
    <n v="635"/>
    <n v="635"/>
  </r>
  <r>
    <s v="ORD6267395"/>
    <s v="CUST0395"/>
    <x v="1"/>
    <x v="305"/>
    <d v="1899-12-30T11:49:00"/>
    <s v="Delivered"/>
    <n v="495"/>
    <n v="49.5"/>
    <n v="445.5"/>
    <n v="495"/>
  </r>
  <r>
    <s v="ORD8169423"/>
    <s v="CUST0062"/>
    <x v="0"/>
    <x v="306"/>
    <d v="1899-12-30T09:08:00"/>
    <s v="Delivered"/>
    <n v="582"/>
    <n v="0"/>
    <n v="582"/>
    <n v="582"/>
  </r>
  <r>
    <s v="ORD2125910"/>
    <s v="CUST0145"/>
    <x v="0"/>
    <x v="307"/>
    <d v="1899-12-30T20:31:00"/>
    <s v="Delivered"/>
    <n v="683"/>
    <n v="0"/>
    <n v="683"/>
    <n v="683"/>
  </r>
  <r>
    <s v="ORD5645022"/>
    <s v="CUST0351"/>
    <x v="1"/>
    <x v="166"/>
    <d v="1899-12-30T10:49:00"/>
    <s v="Delivered"/>
    <n v="317"/>
    <n v="0"/>
    <n v="317"/>
    <n v="317"/>
  </r>
  <r>
    <s v="ORD1360433"/>
    <s v="CUST0420"/>
    <x v="2"/>
    <x v="225"/>
    <d v="1899-12-30T21:47:00"/>
    <s v="Delivered"/>
    <n v="178"/>
    <n v="0"/>
    <n v="178"/>
    <n v="178"/>
  </r>
  <r>
    <s v="ORD4361005"/>
    <s v="CUST0235"/>
    <x v="0"/>
    <x v="308"/>
    <d v="1899-12-30T14:34:00"/>
    <s v="Delivered"/>
    <n v="635"/>
    <n v="0"/>
    <n v="635"/>
    <n v="635"/>
  </r>
  <r>
    <s v="ORD4860502"/>
    <s v="CUST0168"/>
    <x v="2"/>
    <x v="309"/>
    <d v="1899-12-30T18:04:00"/>
    <s v="Delivered"/>
    <n v="295"/>
    <n v="0"/>
    <n v="295"/>
    <n v="295"/>
  </r>
  <r>
    <s v="ORD1426542"/>
    <s v="CUST0428"/>
    <x v="2"/>
    <x v="202"/>
    <d v="1899-12-30T22:07:00"/>
    <s v="Delivered"/>
    <n v="833"/>
    <n v="0"/>
    <n v="833"/>
    <n v="833"/>
  </r>
  <r>
    <s v="ORD3019277"/>
    <s v="CUST0084"/>
    <x v="0"/>
    <x v="152"/>
    <d v="1899-12-30T20:07:00"/>
    <s v="Delivered"/>
    <n v="266"/>
    <n v="0"/>
    <n v="266"/>
    <n v="266"/>
  </r>
  <r>
    <s v="ORD7716059"/>
    <s v="CUST0195"/>
    <x v="0"/>
    <x v="92"/>
    <d v="1899-12-30T09:00:00"/>
    <s v="Delivered"/>
    <n v="376"/>
    <n v="37.6"/>
    <n v="338.4"/>
    <n v="376"/>
  </r>
  <r>
    <s v="ORD8908133"/>
    <s v="CUST0415"/>
    <x v="1"/>
    <x v="123"/>
    <d v="1899-12-30T01:41:00"/>
    <s v="Delivered"/>
    <n v="515"/>
    <n v="0"/>
    <n v="515"/>
    <n v="515"/>
  </r>
  <r>
    <s v="ORD7236158"/>
    <s v="CUST0379"/>
    <x v="0"/>
    <x v="70"/>
    <d v="1899-12-30T17:55:00"/>
    <s v="Cancelled"/>
    <n v="851"/>
    <n v="42.55"/>
    <n v="0"/>
    <n v="851"/>
  </r>
  <r>
    <s v="ORD7772195"/>
    <s v="CUST0255"/>
    <x v="1"/>
    <x v="229"/>
    <d v="1899-12-30T11:01:00"/>
    <s v="Delivered"/>
    <n v="872"/>
    <n v="0"/>
    <n v="872"/>
    <n v="872"/>
  </r>
  <r>
    <s v="ORD2679655"/>
    <s v="CUST0269"/>
    <x v="1"/>
    <x v="291"/>
    <d v="1899-12-30T20:46:00"/>
    <s v="Delivered"/>
    <n v="424"/>
    <n v="0"/>
    <n v="424"/>
    <n v="424"/>
  </r>
  <r>
    <s v="ORD1012106"/>
    <s v="CUST0439"/>
    <x v="0"/>
    <x v="103"/>
    <d v="1899-12-30T22:08:00"/>
    <s v="Delivered"/>
    <n v="277"/>
    <n v="0"/>
    <n v="277"/>
    <n v="277"/>
  </r>
  <r>
    <s v="ORD4293151"/>
    <s v="CUST0426"/>
    <x v="2"/>
    <x v="61"/>
    <d v="1899-12-30T19:47:00"/>
    <s v="Delivered"/>
    <n v="178"/>
    <n v="8.9"/>
    <n v="169.1"/>
    <n v="178"/>
  </r>
  <r>
    <s v="ORD4097522"/>
    <s v="CUST0128"/>
    <x v="1"/>
    <x v="233"/>
    <d v="1899-12-30T20:06:00"/>
    <s v="Delivered"/>
    <n v="456"/>
    <n v="0"/>
    <n v="456"/>
    <n v="456"/>
  </r>
  <r>
    <s v="ORD1574205"/>
    <s v="CUST0339"/>
    <x v="1"/>
    <x v="70"/>
    <d v="1899-12-30T19:23:00"/>
    <s v="Delivered"/>
    <n v="504"/>
    <n v="0"/>
    <n v="504"/>
    <n v="504"/>
  </r>
  <r>
    <s v="ORD7805792"/>
    <s v="CUST0322"/>
    <x v="2"/>
    <x v="29"/>
    <d v="1899-12-30T18:12:00"/>
    <s v="Delivered"/>
    <n v="635"/>
    <n v="0"/>
    <n v="635"/>
    <n v="635"/>
  </r>
  <r>
    <s v="ORD2619058"/>
    <s v="CUST0282"/>
    <x v="1"/>
    <x v="277"/>
    <d v="1899-12-30T19:49:00"/>
    <s v="Delivered"/>
    <n v="416"/>
    <n v="0"/>
    <n v="416"/>
    <n v="416"/>
  </r>
  <r>
    <s v="ORD6151115"/>
    <s v="CUST0065"/>
    <x v="2"/>
    <x v="43"/>
    <d v="1899-12-30T21:18:00"/>
    <s v="Delivered"/>
    <n v="455"/>
    <n v="0"/>
    <n v="455"/>
    <n v="455"/>
  </r>
  <r>
    <s v="ORD1280502"/>
    <s v="CUST0431"/>
    <x v="0"/>
    <x v="232"/>
    <d v="1899-12-30T12:09:00"/>
    <s v="Delivered"/>
    <n v="882"/>
    <n v="0"/>
    <n v="882"/>
    <n v="882"/>
  </r>
  <r>
    <s v="ORD3778902"/>
    <s v="CUST0192"/>
    <x v="1"/>
    <x v="123"/>
    <d v="1899-12-30T23:10:00"/>
    <s v="Cancelled"/>
    <n v="634"/>
    <n v="63.4"/>
    <n v="0"/>
    <n v="634"/>
  </r>
  <r>
    <s v="ORD8067639"/>
    <s v="CUST0200"/>
    <x v="2"/>
    <x v="310"/>
    <d v="1899-12-30T19:18:00"/>
    <s v="Delivered"/>
    <n v="178"/>
    <n v="0"/>
    <n v="178"/>
    <n v="178"/>
  </r>
  <r>
    <s v="ORD7884958"/>
    <s v="CUST0035"/>
    <x v="1"/>
    <x v="215"/>
    <d v="1899-12-30T00:38:00"/>
    <s v="Delivered"/>
    <n v="893"/>
    <n v="0"/>
    <n v="893"/>
    <n v="893"/>
  </r>
  <r>
    <s v="ORD6878859"/>
    <s v="CUST0100"/>
    <x v="1"/>
    <x v="55"/>
    <d v="1899-12-30T19:37:00"/>
    <s v="Delivered"/>
    <n v="257"/>
    <n v="0"/>
    <n v="257"/>
    <n v="257"/>
  </r>
  <r>
    <s v="ORD1180674"/>
    <s v="CUST0142"/>
    <x v="0"/>
    <x v="223"/>
    <d v="1899-12-30T17:43:00"/>
    <s v="Delivered"/>
    <n v="695"/>
    <n v="0"/>
    <n v="695"/>
    <n v="695"/>
  </r>
  <r>
    <s v="ORD1687389"/>
    <s v="CUST0449"/>
    <x v="1"/>
    <x v="166"/>
    <d v="1899-12-30T21:21:00"/>
    <s v="Delivered"/>
    <n v="922"/>
    <n v="46.1"/>
    <n v="875.9"/>
    <n v="922"/>
  </r>
  <r>
    <s v="ORD9296866"/>
    <s v="CUST0186"/>
    <x v="1"/>
    <x v="176"/>
    <d v="1899-12-30T00:55:00"/>
    <s v="Delivered"/>
    <n v="437"/>
    <n v="0"/>
    <n v="437"/>
    <n v="437"/>
  </r>
  <r>
    <s v="ORD6983783"/>
    <s v="CUST0429"/>
    <x v="1"/>
    <x v="171"/>
    <d v="1899-12-30T19:42:00"/>
    <s v="Delivered"/>
    <n v="318"/>
    <n v="0"/>
    <n v="318"/>
    <n v="318"/>
  </r>
  <r>
    <s v="ORD9184965"/>
    <s v="CUST0400"/>
    <x v="0"/>
    <x v="167"/>
    <d v="1899-12-30T18:06:00"/>
    <s v="Delivered"/>
    <n v="427"/>
    <n v="64.05"/>
    <n v="362.95"/>
    <n v="427"/>
  </r>
  <r>
    <s v="ORD8077121"/>
    <s v="CUST0123"/>
    <x v="1"/>
    <x v="15"/>
    <d v="1899-12-30T16:48:00"/>
    <s v="Delivered"/>
    <n v="814"/>
    <n v="81.400000000000006"/>
    <n v="732.6"/>
    <n v="814"/>
  </r>
  <r>
    <s v="ORD4032275"/>
    <s v="CUST0465"/>
    <x v="1"/>
    <x v="19"/>
    <d v="1899-12-30T19:42:00"/>
    <s v="Delivered"/>
    <n v="543"/>
    <n v="0"/>
    <n v="543"/>
    <n v="543"/>
  </r>
  <r>
    <s v="ORD6444414"/>
    <s v="CUST0229"/>
    <x v="0"/>
    <x v="283"/>
    <d v="1899-12-30T17:17:00"/>
    <s v="Delivered"/>
    <n v="973"/>
    <n v="0"/>
    <n v="973"/>
    <n v="973"/>
  </r>
  <r>
    <s v="ORD6599618"/>
    <s v="CUST0256"/>
    <x v="2"/>
    <x v="88"/>
    <d v="1899-12-30T11:54:00"/>
    <s v="Delivered"/>
    <n v="694"/>
    <n v="0"/>
    <n v="694"/>
    <n v="694"/>
  </r>
  <r>
    <s v="ORD9144342"/>
    <s v="CUST0196"/>
    <x v="1"/>
    <x v="215"/>
    <d v="1899-12-30T17:48:00"/>
    <s v="Delivered"/>
    <n v="198"/>
    <n v="9.9"/>
    <n v="188.1"/>
    <n v="198"/>
  </r>
  <r>
    <s v="ORD3984802"/>
    <s v="CUST0329"/>
    <x v="0"/>
    <x v="311"/>
    <d v="1899-12-30T20:44:00"/>
    <s v="Delivered"/>
    <n v="1031"/>
    <n v="103.1"/>
    <n v="927.9"/>
    <n v="1031"/>
  </r>
  <r>
    <s v="ORD5931029"/>
    <s v="CUST0433"/>
    <x v="2"/>
    <x v="96"/>
    <d v="1899-12-30T19:06:00"/>
    <s v="Cancelled"/>
    <n v="455"/>
    <n v="0"/>
    <n v="0"/>
    <n v="455"/>
  </r>
  <r>
    <s v="ORD4623343"/>
    <s v="CUST0449"/>
    <x v="1"/>
    <x v="170"/>
    <d v="1899-12-30T12:15:00"/>
    <s v="Delivered"/>
    <n v="99"/>
    <n v="9.9"/>
    <n v="89.1"/>
    <n v="99"/>
  </r>
  <r>
    <s v="ORD9700184"/>
    <s v="CUST0099"/>
    <x v="1"/>
    <x v="261"/>
    <d v="1899-12-30T20:36:00"/>
    <s v="Cancelled"/>
    <n v="228"/>
    <n v="22.8"/>
    <n v="0"/>
    <n v="228"/>
  </r>
  <r>
    <s v="ORD4937710"/>
    <s v="CUST0461"/>
    <x v="2"/>
    <x v="312"/>
    <d v="1899-12-30T18:23:00"/>
    <s v="Delivered"/>
    <n v="832"/>
    <n v="0"/>
    <n v="832"/>
    <n v="832"/>
  </r>
  <r>
    <s v="ORD2758380"/>
    <s v="CUST0244"/>
    <x v="0"/>
    <x v="135"/>
    <d v="1899-12-30T23:45:00"/>
    <s v="Cancelled"/>
    <n v="872"/>
    <n v="0"/>
    <n v="0"/>
    <n v="872"/>
  </r>
  <r>
    <s v="ORD8317957"/>
    <s v="CUST0225"/>
    <x v="1"/>
    <x v="227"/>
    <d v="1899-12-30T22:39:00"/>
    <s v="Delivered"/>
    <n v="485"/>
    <n v="0"/>
    <n v="485"/>
    <n v="485"/>
  </r>
  <r>
    <s v="ORD1462664"/>
    <s v="CUST0486"/>
    <x v="2"/>
    <x v="206"/>
    <d v="1899-12-30T00:16:00"/>
    <s v="Cancelled"/>
    <n v="554"/>
    <n v="0"/>
    <n v="0"/>
    <n v="554"/>
  </r>
  <r>
    <s v="ORD9522069"/>
    <s v="CUST0292"/>
    <x v="0"/>
    <x v="313"/>
    <d v="1899-12-30T14:14:00"/>
    <s v="Delivered"/>
    <n v="248"/>
    <n v="0"/>
    <n v="248"/>
    <n v="248"/>
  </r>
  <r>
    <s v="ORD9888098"/>
    <s v="CUST0037"/>
    <x v="0"/>
    <x v="85"/>
    <d v="1899-12-30T16:49:00"/>
    <s v="Delivered"/>
    <n v="705"/>
    <n v="0"/>
    <n v="705"/>
    <n v="705"/>
  </r>
  <r>
    <s v="ORD7500351"/>
    <s v="CUST0485"/>
    <x v="1"/>
    <x v="170"/>
    <d v="1899-12-30T16:06:00"/>
    <s v="Delivered"/>
    <n v="258"/>
    <n v="0"/>
    <n v="258"/>
    <n v="258"/>
  </r>
  <r>
    <s v="ORD4802391"/>
    <s v="CUST0134"/>
    <x v="1"/>
    <x v="239"/>
    <d v="1899-12-30T16:11:00"/>
    <s v="Delivered"/>
    <n v="1251"/>
    <n v="125.1"/>
    <n v="1125.9000000000001"/>
    <n v="1251"/>
  </r>
  <r>
    <s v="ORD6138255"/>
    <s v="CUST0003"/>
    <x v="1"/>
    <x v="135"/>
    <d v="1899-12-30T20:00:00"/>
    <s v="Delivered"/>
    <n v="1159"/>
    <n v="173.85"/>
    <n v="985.15"/>
    <n v="1159"/>
  </r>
  <r>
    <s v="ORD3977821"/>
    <s v="CUST0457"/>
    <x v="1"/>
    <x v="146"/>
    <d v="1899-12-30T20:11:00"/>
    <s v="Delivered"/>
    <n v="297"/>
    <n v="0"/>
    <n v="297"/>
    <n v="297"/>
  </r>
  <r>
    <s v="ORD4026890"/>
    <s v="CUST0150"/>
    <x v="1"/>
    <x v="232"/>
    <d v="1899-12-30T13:59:00"/>
    <s v="Cancelled"/>
    <n v="903"/>
    <n v="0"/>
    <n v="0"/>
    <n v="903"/>
  </r>
  <r>
    <s v="ORD2952559"/>
    <s v="CUST0200"/>
    <x v="0"/>
    <x v="213"/>
    <d v="1899-12-30T23:53:00"/>
    <s v="Delivered"/>
    <n v="99"/>
    <n v="0"/>
    <n v="99"/>
    <n v="99"/>
  </r>
  <r>
    <s v="ORD9060167"/>
    <s v="CUST0031"/>
    <x v="2"/>
    <x v="65"/>
    <d v="1899-12-30T09:22:00"/>
    <s v="Cancelled"/>
    <n v="198"/>
    <n v="0"/>
    <n v="0"/>
    <n v="198"/>
  </r>
  <r>
    <s v="ORD4371081"/>
    <s v="CUST0202"/>
    <x v="0"/>
    <x v="314"/>
    <d v="1899-12-30T20:33:00"/>
    <s v="Delivered"/>
    <n v="475"/>
    <n v="0"/>
    <n v="475"/>
    <n v="475"/>
  </r>
  <r>
    <s v="ORD7523126"/>
    <s v="CUST0288"/>
    <x v="1"/>
    <x v="251"/>
    <d v="1899-12-30T16:20:00"/>
    <s v="Delivered"/>
    <n v="387"/>
    <n v="0"/>
    <n v="387"/>
    <n v="387"/>
  </r>
  <r>
    <s v="ORD3908477"/>
    <s v="CUST0461"/>
    <x v="0"/>
    <x v="68"/>
    <d v="1899-12-30T20:47:00"/>
    <s v="Delivered"/>
    <n v="683"/>
    <n v="0"/>
    <n v="683"/>
    <n v="683"/>
  </r>
  <r>
    <s v="ORD1750288"/>
    <s v="CUST0092"/>
    <x v="0"/>
    <x v="307"/>
    <d v="1899-12-30T23:54:00"/>
    <s v="Delivered"/>
    <n v="316"/>
    <n v="0"/>
    <n v="316"/>
    <n v="316"/>
  </r>
  <r>
    <s v="ORD1758898"/>
    <s v="CUST0328"/>
    <x v="0"/>
    <x v="6"/>
    <d v="1899-12-30T17:36:00"/>
    <s v="Delivered"/>
    <n v="228"/>
    <n v="0"/>
    <n v="228"/>
    <n v="228"/>
  </r>
  <r>
    <s v="ORD7743748"/>
    <s v="CUST0117"/>
    <x v="1"/>
    <x v="267"/>
    <d v="1899-12-30T15:52:00"/>
    <s v="Delivered"/>
    <n v="755"/>
    <n v="75.5"/>
    <n v="679.5"/>
    <n v="755"/>
  </r>
  <r>
    <s v="ORD7939725"/>
    <s v="CUST0354"/>
    <x v="1"/>
    <x v="315"/>
    <d v="1899-12-30T13:26:00"/>
    <s v="Delivered"/>
    <n v="356"/>
    <n v="0"/>
    <n v="356"/>
    <n v="356"/>
  </r>
  <r>
    <s v="ORD2183202"/>
    <s v="CUST0340"/>
    <x v="0"/>
    <x v="189"/>
    <d v="1899-12-30T22:08:00"/>
    <s v="Delivered"/>
    <n v="158"/>
    <n v="0"/>
    <n v="158"/>
    <n v="158"/>
  </r>
  <r>
    <s v="ORD7680763"/>
    <s v="CUST0367"/>
    <x v="2"/>
    <x v="37"/>
    <d v="1899-12-30T13:43:00"/>
    <s v="Delivered"/>
    <n v="882"/>
    <n v="0"/>
    <n v="882"/>
    <n v="882"/>
  </r>
  <r>
    <s v="ORD2834486"/>
    <s v="CUST0019"/>
    <x v="1"/>
    <x v="0"/>
    <d v="1899-12-30T17:33:00"/>
    <s v="Delivered"/>
    <n v="684"/>
    <n v="0"/>
    <n v="684"/>
    <n v="684"/>
  </r>
  <r>
    <s v="ORD9449329"/>
    <s v="CUST0306"/>
    <x v="0"/>
    <x v="115"/>
    <d v="1899-12-30T17:28:00"/>
    <s v="Delivered"/>
    <n v="535"/>
    <n v="0"/>
    <n v="535"/>
    <n v="535"/>
  </r>
  <r>
    <s v="ORD5895685"/>
    <s v="CUST0195"/>
    <x v="1"/>
    <x v="303"/>
    <d v="1899-12-30T09:25:00"/>
    <s v="Delivered"/>
    <n v="89"/>
    <n v="8.9"/>
    <n v="80.099999999999994"/>
    <n v="89"/>
  </r>
  <r>
    <s v="ORD3702775"/>
    <s v="CUST0271"/>
    <x v="1"/>
    <x v="276"/>
    <d v="1899-12-30T17:38:00"/>
    <s v="Delivered"/>
    <n v="395"/>
    <n v="0"/>
    <n v="395"/>
    <n v="395"/>
  </r>
  <r>
    <s v="ORD1057394"/>
    <s v="CUST0120"/>
    <x v="1"/>
    <x v="133"/>
    <d v="1899-12-30T16:43:00"/>
    <s v="Delivered"/>
    <n v="178"/>
    <n v="0"/>
    <n v="178"/>
    <n v="178"/>
  </r>
  <r>
    <s v="ORD8993139"/>
    <s v="CUST0011"/>
    <x v="0"/>
    <x v="70"/>
    <d v="1899-12-30T20:04:00"/>
    <s v="Delivered"/>
    <n v="853"/>
    <n v="0"/>
    <n v="853"/>
    <n v="853"/>
  </r>
  <r>
    <s v="ORD4755409"/>
    <s v="CUST0275"/>
    <x v="2"/>
    <x v="256"/>
    <d v="1899-12-30T17:29:00"/>
    <s v="Delivered"/>
    <n v="238"/>
    <n v="0"/>
    <n v="238"/>
    <n v="238"/>
  </r>
  <r>
    <s v="ORD4808186"/>
    <s v="CUST0022"/>
    <x v="1"/>
    <x v="297"/>
    <d v="1899-12-30T18:09:00"/>
    <s v="Delivered"/>
    <n v="715"/>
    <n v="0"/>
    <n v="715"/>
    <n v="715"/>
  </r>
  <r>
    <s v="ORD7692147"/>
    <s v="CUST0173"/>
    <x v="1"/>
    <x v="257"/>
    <d v="1899-12-30T22:23:00"/>
    <s v="Delivered"/>
    <n v="326"/>
    <n v="0"/>
    <n v="326"/>
    <n v="326"/>
  </r>
  <r>
    <s v="ORD7288379"/>
    <s v="CUST0392"/>
    <x v="0"/>
    <x v="3"/>
    <d v="1899-12-30T23:55:00"/>
    <s v="Delivered"/>
    <n v="257"/>
    <n v="0"/>
    <n v="257"/>
    <n v="257"/>
  </r>
  <r>
    <s v="ORD3629314"/>
    <s v="CUST0112"/>
    <x v="1"/>
    <x v="143"/>
    <d v="1899-12-30T16:12:00"/>
    <s v="Delivered"/>
    <n v="880"/>
    <n v="0"/>
    <n v="880"/>
    <n v="880"/>
  </r>
  <r>
    <s v="ORD5122136"/>
    <s v="CUST0211"/>
    <x v="1"/>
    <x v="95"/>
    <d v="1899-12-30T17:09:00"/>
    <s v="Delivered"/>
    <n v="765"/>
    <n v="38.25"/>
    <n v="726.75"/>
    <n v="765"/>
  </r>
  <r>
    <s v="ORD6984371"/>
    <s v="CUST0437"/>
    <x v="1"/>
    <x v="151"/>
    <d v="1899-12-30T16:21:00"/>
    <s v="Delivered"/>
    <n v="633"/>
    <n v="63.3"/>
    <n v="569.70000000000005"/>
    <n v="633"/>
  </r>
  <r>
    <s v="ORD3681207"/>
    <s v="CUST0052"/>
    <x v="0"/>
    <x v="112"/>
    <d v="1899-12-30T13:19:00"/>
    <s v="Delivered"/>
    <n v="237"/>
    <n v="0"/>
    <n v="237"/>
    <n v="237"/>
  </r>
  <r>
    <s v="ORD8464248"/>
    <s v="CUST0340"/>
    <x v="2"/>
    <x v="209"/>
    <d v="1899-12-30T17:07:00"/>
    <s v="Delivered"/>
    <n v="188"/>
    <n v="0"/>
    <n v="188"/>
    <n v="188"/>
  </r>
  <r>
    <s v="ORD1333139"/>
    <s v="CUST0094"/>
    <x v="1"/>
    <x v="316"/>
    <d v="1899-12-30T00:36:00"/>
    <s v="Delivered"/>
    <n v="277"/>
    <n v="0"/>
    <n v="277"/>
    <n v="277"/>
  </r>
  <r>
    <s v="ORD2393728"/>
    <s v="CUST0325"/>
    <x v="1"/>
    <x v="42"/>
    <d v="1899-12-30T01:12:00"/>
    <s v="Delivered"/>
    <n v="415"/>
    <n v="0"/>
    <n v="415"/>
    <n v="415"/>
  </r>
  <r>
    <s v="ORD1872600"/>
    <s v="CUST0164"/>
    <x v="2"/>
    <x v="248"/>
    <d v="1899-12-30T16:31:00"/>
    <s v="Delivered"/>
    <n v="652"/>
    <n v="32.6"/>
    <n v="619.4"/>
    <n v="652"/>
  </r>
  <r>
    <s v="ORD6078638"/>
    <s v="CUST0377"/>
    <x v="0"/>
    <x v="172"/>
    <d v="1899-12-30T20:00:00"/>
    <s v="Delivered"/>
    <n v="327"/>
    <n v="0"/>
    <n v="327"/>
    <n v="327"/>
  </r>
  <r>
    <s v="ORD6808928"/>
    <s v="CUST0363"/>
    <x v="1"/>
    <x v="184"/>
    <d v="1899-12-30T19:26:00"/>
    <s v="Delivered"/>
    <n v="773"/>
    <n v="0"/>
    <n v="773"/>
    <n v="773"/>
  </r>
  <r>
    <s v="ORD2248470"/>
    <s v="CUST0391"/>
    <x v="1"/>
    <x v="92"/>
    <d v="1899-12-30T17:51:00"/>
    <s v="Delivered"/>
    <n v="594"/>
    <n v="29.7"/>
    <n v="564.29999999999995"/>
    <n v="594"/>
  </r>
  <r>
    <s v="ORD3621335"/>
    <s v="CUST0466"/>
    <x v="0"/>
    <x v="259"/>
    <d v="1899-12-30T14:55:00"/>
    <s v="Cancelled"/>
    <n v="496"/>
    <n v="24.8"/>
    <n v="0"/>
    <n v="496"/>
  </r>
  <r>
    <s v="ORD2536556"/>
    <s v="CUST0042"/>
    <x v="1"/>
    <x v="48"/>
    <d v="1899-12-30T21:59:00"/>
    <s v="Delivered"/>
    <n v="307"/>
    <n v="0"/>
    <n v="307"/>
    <n v="307"/>
  </r>
  <r>
    <s v="ORD5832903"/>
    <s v="CUST0362"/>
    <x v="1"/>
    <x v="131"/>
    <d v="1899-12-30T22:38:00"/>
    <s v="Cancelled"/>
    <n v="366"/>
    <n v="18.3"/>
    <n v="0"/>
    <n v="366"/>
  </r>
  <r>
    <s v="ORD4820432"/>
    <s v="CUST0096"/>
    <x v="0"/>
    <x v="209"/>
    <d v="1899-12-30T10:12:00"/>
    <s v="Delivered"/>
    <n v="317"/>
    <n v="0"/>
    <n v="317"/>
    <n v="317"/>
  </r>
  <r>
    <s v="ORD5222291"/>
    <s v="CUST0004"/>
    <x v="0"/>
    <x v="171"/>
    <d v="1899-12-30T17:33:00"/>
    <s v="Delivered"/>
    <n v="475"/>
    <n v="0"/>
    <n v="475"/>
    <n v="475"/>
  </r>
  <r>
    <s v="ORD6341832"/>
    <s v="CUST0382"/>
    <x v="0"/>
    <x v="161"/>
    <d v="1899-12-30T22:00:00"/>
    <s v="Cancelled"/>
    <n v="1072"/>
    <n v="0"/>
    <n v="0"/>
    <n v="1072"/>
  </r>
  <r>
    <s v="ORD6259232"/>
    <s v="CUST0154"/>
    <x v="0"/>
    <x v="76"/>
    <d v="1899-12-30T14:31:00"/>
    <s v="Delivered"/>
    <n v="1109"/>
    <n v="0"/>
    <n v="1109"/>
    <n v="1109"/>
  </r>
  <r>
    <s v="ORD7468693"/>
    <s v="CUST0073"/>
    <x v="0"/>
    <x v="124"/>
    <d v="1899-12-30T22:09:00"/>
    <s v="Delivered"/>
    <n v="327"/>
    <n v="0"/>
    <n v="327"/>
    <n v="327"/>
  </r>
  <r>
    <s v="ORD8923681"/>
    <s v="CUST0049"/>
    <x v="1"/>
    <x v="240"/>
    <d v="1899-12-30T17:13:00"/>
    <s v="Delivered"/>
    <n v="536"/>
    <n v="0"/>
    <n v="536"/>
    <n v="536"/>
  </r>
  <r>
    <s v="ORD3681345"/>
    <s v="CUST0256"/>
    <x v="1"/>
    <x v="147"/>
    <d v="1899-12-30T20:46:00"/>
    <s v="Delivered"/>
    <n v="376"/>
    <n v="0"/>
    <n v="376"/>
    <n v="376"/>
  </r>
  <r>
    <s v="ORD6211203"/>
    <s v="CUST0324"/>
    <x v="1"/>
    <x v="312"/>
    <d v="1899-12-30T16:19:00"/>
    <s v="Cancelled"/>
    <n v="277"/>
    <n v="13.85"/>
    <n v="0"/>
    <n v="277"/>
  </r>
  <r>
    <s v="ORD5129038"/>
    <s v="CUST0229"/>
    <x v="1"/>
    <x v="114"/>
    <d v="1899-12-30T10:01:00"/>
    <s v="Delivered"/>
    <n v="1013"/>
    <n v="0"/>
    <n v="1013"/>
    <n v="1013"/>
  </r>
  <r>
    <s v="ORD4840752"/>
    <s v="CUST0401"/>
    <x v="0"/>
    <x v="94"/>
    <d v="1899-12-30T11:20:00"/>
    <s v="Cancelled"/>
    <n v="891"/>
    <n v="0"/>
    <n v="0"/>
    <n v="891"/>
  </r>
  <r>
    <s v="ORD5462862"/>
    <s v="CUST0237"/>
    <x v="0"/>
    <x v="42"/>
    <d v="1899-12-30T20:31:00"/>
    <s v="Delivered"/>
    <n v="248"/>
    <n v="0"/>
    <n v="248"/>
    <n v="248"/>
  </r>
  <r>
    <s v="ORD9095897"/>
    <s v="CUST0168"/>
    <x v="1"/>
    <x v="275"/>
    <d v="1899-12-30T21:00:00"/>
    <s v="Delivered"/>
    <n v="613"/>
    <n v="0"/>
    <n v="613"/>
    <n v="613"/>
  </r>
  <r>
    <s v="ORD2016077"/>
    <s v="CUST0062"/>
    <x v="1"/>
    <x v="83"/>
    <d v="1899-12-30T20:38:00"/>
    <s v="Delivered"/>
    <n v="614"/>
    <n v="0"/>
    <n v="614"/>
    <n v="614"/>
  </r>
  <r>
    <s v="ORD8800390"/>
    <s v="CUST0216"/>
    <x v="1"/>
    <x v="235"/>
    <d v="1899-12-30T21:48:00"/>
    <s v="Delivered"/>
    <n v="188"/>
    <n v="0"/>
    <n v="188"/>
    <n v="188"/>
  </r>
  <r>
    <s v="ORD3156470"/>
    <s v="CUST0146"/>
    <x v="1"/>
    <x v="218"/>
    <d v="1899-12-30T20:29:00"/>
    <s v="Delivered"/>
    <n v="713"/>
    <n v="0"/>
    <n v="713"/>
    <n v="713"/>
  </r>
  <r>
    <s v="ORD1660711"/>
    <s v="CUST0145"/>
    <x v="1"/>
    <x v="189"/>
    <d v="1899-12-30T16:41:00"/>
    <s v="Delivered"/>
    <n v="159"/>
    <n v="7.95"/>
    <n v="151.05000000000001"/>
    <n v="159"/>
  </r>
  <r>
    <s v="ORD7045114"/>
    <s v="CUST0121"/>
    <x v="1"/>
    <x v="255"/>
    <d v="1899-12-30T17:45:00"/>
    <s v="Delivered"/>
    <n v="436"/>
    <n v="0"/>
    <n v="436"/>
    <n v="436"/>
  </r>
  <r>
    <s v="ORD4477154"/>
    <s v="CUST0422"/>
    <x v="1"/>
    <x v="95"/>
    <d v="1899-12-30T17:35:00"/>
    <s v="Delivered"/>
    <n v="288"/>
    <n v="0"/>
    <n v="288"/>
    <n v="288"/>
  </r>
  <r>
    <s v="ORD4674225"/>
    <s v="CUST0246"/>
    <x v="1"/>
    <x v="182"/>
    <d v="1899-12-30T21:14:00"/>
    <s v="Delivered"/>
    <n v="464"/>
    <n v="23.2"/>
    <n v="440.8"/>
    <n v="464"/>
  </r>
  <r>
    <s v="ORD1604073"/>
    <s v="CUST0021"/>
    <x v="1"/>
    <x v="317"/>
    <d v="1899-12-30T23:04:00"/>
    <s v="Delivered"/>
    <n v="675"/>
    <n v="0"/>
    <n v="675"/>
    <n v="675"/>
  </r>
  <r>
    <s v="ORD5721396"/>
    <s v="CUST0004"/>
    <x v="2"/>
    <x v="43"/>
    <d v="1899-12-30T17:34:00"/>
    <s v="Delivered"/>
    <n v="426"/>
    <n v="0"/>
    <n v="426"/>
    <n v="426"/>
  </r>
  <r>
    <s v="ORD9586664"/>
    <s v="CUST0309"/>
    <x v="2"/>
    <x v="41"/>
    <d v="1899-12-30T16:28:00"/>
    <s v="Delivered"/>
    <n v="435"/>
    <n v="0"/>
    <n v="435"/>
    <n v="435"/>
  </r>
  <r>
    <s v="ORD6089714"/>
    <s v="CUST0354"/>
    <x v="0"/>
    <x v="70"/>
    <d v="1899-12-30T13:53:00"/>
    <s v="Delivered"/>
    <n v="793"/>
    <n v="0"/>
    <n v="793"/>
    <n v="793"/>
  </r>
  <r>
    <s v="ORD7519151"/>
    <s v="CUST0171"/>
    <x v="1"/>
    <x v="182"/>
    <d v="1899-12-30T17:55:00"/>
    <s v="Delivered"/>
    <n v="774"/>
    <n v="77.400000000000006"/>
    <n v="696.6"/>
    <n v="774"/>
  </r>
  <r>
    <s v="ORD1004542"/>
    <s v="CUST0316"/>
    <x v="1"/>
    <x v="12"/>
    <d v="1899-12-30T12:04:00"/>
    <s v="Delivered"/>
    <n v="218"/>
    <n v="0"/>
    <n v="218"/>
    <n v="218"/>
  </r>
  <r>
    <s v="ORD7254897"/>
    <s v="CUST0098"/>
    <x v="2"/>
    <x v="226"/>
    <d v="1899-12-30T17:41:00"/>
    <s v="Delivered"/>
    <n v="238"/>
    <n v="23.8"/>
    <n v="214.2"/>
    <n v="238"/>
  </r>
  <r>
    <s v="ORD1509483"/>
    <s v="CUST0471"/>
    <x v="0"/>
    <x v="318"/>
    <d v="1899-12-30T12:07:00"/>
    <s v="Delivered"/>
    <n v="794"/>
    <n v="0"/>
    <n v="794"/>
    <n v="794"/>
  </r>
  <r>
    <s v="ORD3571860"/>
    <s v="CUST0033"/>
    <x v="0"/>
    <x v="319"/>
    <d v="1899-12-30T20:30:00"/>
    <s v="Delivered"/>
    <n v="149"/>
    <n v="14.9"/>
    <n v="134.1"/>
    <n v="149"/>
  </r>
  <r>
    <s v="ORD2057136"/>
    <s v="CUST0296"/>
    <x v="2"/>
    <x v="222"/>
    <d v="1899-12-30T17:00:00"/>
    <s v="Delivered"/>
    <n v="832"/>
    <n v="0"/>
    <n v="832"/>
    <n v="832"/>
  </r>
  <r>
    <s v="ORD8303868"/>
    <s v="CUST0289"/>
    <x v="0"/>
    <x v="181"/>
    <d v="1899-12-30T09:55:00"/>
    <s v="Delivered"/>
    <n v="853"/>
    <n v="0"/>
    <n v="853"/>
    <n v="853"/>
  </r>
  <r>
    <s v="ORD6818132"/>
    <s v="CUST0075"/>
    <x v="1"/>
    <x v="253"/>
    <d v="1899-12-30T20:34:00"/>
    <s v="Delivered"/>
    <n v="188"/>
    <n v="18.8"/>
    <n v="169.2"/>
    <n v="188"/>
  </r>
  <r>
    <s v="ORD3309241"/>
    <s v="CUST0309"/>
    <x v="1"/>
    <x v="263"/>
    <d v="1899-12-30T19:05:00"/>
    <s v="Delivered"/>
    <n v="1726"/>
    <n v="172.6"/>
    <n v="1553.4"/>
    <n v="1726"/>
  </r>
  <r>
    <s v="ORD4452965"/>
    <s v="CUST0409"/>
    <x v="0"/>
    <x v="201"/>
    <d v="1899-12-30T11:54:00"/>
    <s v="Delivered"/>
    <n v="69"/>
    <n v="0"/>
    <n v="69"/>
    <n v="69"/>
  </r>
  <r>
    <s v="ORD3763239"/>
    <s v="CUST0479"/>
    <x v="0"/>
    <x v="214"/>
    <d v="1899-12-30T16:16:00"/>
    <s v="Delivered"/>
    <n v="952"/>
    <n v="0"/>
    <n v="952"/>
    <n v="952"/>
  </r>
  <r>
    <s v="ORD2785542"/>
    <s v="CUST0209"/>
    <x v="0"/>
    <x v="316"/>
    <d v="1899-12-30T18:47:00"/>
    <s v="Delivered"/>
    <n v="615"/>
    <n v="0"/>
    <n v="615"/>
    <n v="615"/>
  </r>
  <r>
    <s v="ORD7813560"/>
    <s v="CUST0487"/>
    <x v="1"/>
    <x v="199"/>
    <d v="1899-12-30T16:44:00"/>
    <s v="Delivered"/>
    <n v="514"/>
    <n v="51.4"/>
    <n v="462.6"/>
    <n v="514"/>
  </r>
  <r>
    <s v="ORD6036779"/>
    <s v="CUST0207"/>
    <x v="1"/>
    <x v="257"/>
    <d v="1899-12-30T18:42:00"/>
    <s v="Delivered"/>
    <n v="296"/>
    <n v="0"/>
    <n v="296"/>
    <n v="296"/>
  </r>
  <r>
    <s v="ORD5291312"/>
    <s v="CUST0164"/>
    <x v="1"/>
    <x v="214"/>
    <d v="1899-12-30T16:31:00"/>
    <s v="Delivered"/>
    <n v="950"/>
    <n v="47.5"/>
    <n v="902.5"/>
    <n v="950"/>
  </r>
  <r>
    <s v="ORD2391916"/>
    <s v="CUST0130"/>
    <x v="0"/>
    <x v="73"/>
    <d v="1899-12-30T10:30:00"/>
    <s v="Delivered"/>
    <n v="1231"/>
    <n v="123.1"/>
    <n v="1107.9000000000001"/>
    <n v="1231"/>
  </r>
  <r>
    <s v="ORD1172703"/>
    <s v="CUST0315"/>
    <x v="1"/>
    <x v="0"/>
    <d v="1899-12-30T22:13:00"/>
    <s v="Delivered"/>
    <n v="377"/>
    <n v="0"/>
    <n v="377"/>
    <n v="377"/>
  </r>
  <r>
    <s v="ORD9669396"/>
    <s v="CUST0130"/>
    <x v="0"/>
    <x v="77"/>
    <d v="1899-12-30T21:03:00"/>
    <s v="Delivered"/>
    <n v="397"/>
    <n v="0"/>
    <n v="397"/>
    <n v="397"/>
  </r>
  <r>
    <s v="ORD1095504"/>
    <s v="CUST0247"/>
    <x v="1"/>
    <x v="86"/>
    <d v="1899-12-30T10:12:00"/>
    <s v="Delivered"/>
    <n v="327"/>
    <n v="0"/>
    <n v="327"/>
    <n v="327"/>
  </r>
  <r>
    <s v="ORD2947659"/>
    <s v="CUST0359"/>
    <x v="2"/>
    <x v="149"/>
    <d v="1899-12-30T19:51:00"/>
    <s v="Delivered"/>
    <n v="247"/>
    <n v="24.7"/>
    <n v="222.3"/>
    <n v="247"/>
  </r>
  <r>
    <s v="ORD7178852"/>
    <s v="CUST0269"/>
    <x v="2"/>
    <x v="184"/>
    <d v="1899-12-30T09:45:00"/>
    <s v="Delivered"/>
    <n v="119"/>
    <n v="0"/>
    <n v="119"/>
    <n v="119"/>
  </r>
  <r>
    <s v="ORD8962894"/>
    <s v="CUST0486"/>
    <x v="0"/>
    <x v="25"/>
    <d v="1899-12-30T18:56:00"/>
    <s v="Delivered"/>
    <n v="178"/>
    <n v="8.9"/>
    <n v="169.1"/>
    <n v="178"/>
  </r>
  <r>
    <s v="ORD2121034"/>
    <s v="CUST0286"/>
    <x v="1"/>
    <x v="136"/>
    <d v="1899-12-30T20:23:00"/>
    <s v="Delivered"/>
    <n v="465"/>
    <n v="0"/>
    <n v="465"/>
    <n v="465"/>
  </r>
  <r>
    <s v="ORD1148604"/>
    <s v="CUST0137"/>
    <x v="0"/>
    <x v="92"/>
    <d v="1899-12-30T20:42:00"/>
    <s v="Delivered"/>
    <n v="654"/>
    <n v="0"/>
    <n v="654"/>
    <n v="654"/>
  </r>
  <r>
    <s v="ORD9554163"/>
    <s v="CUST0342"/>
    <x v="1"/>
    <x v="179"/>
    <d v="1899-12-30T16:09:00"/>
    <s v="Delivered"/>
    <n v="862"/>
    <n v="0"/>
    <n v="862"/>
    <n v="862"/>
  </r>
  <r>
    <s v="ORD7620773"/>
    <s v="CUST0446"/>
    <x v="1"/>
    <x v="244"/>
    <d v="1899-12-30T19:02:00"/>
    <s v="Delivered"/>
    <n v="566"/>
    <n v="0"/>
    <n v="566"/>
    <n v="566"/>
  </r>
  <r>
    <s v="ORD3638806"/>
    <s v="CUST0209"/>
    <x v="0"/>
    <x v="45"/>
    <d v="1899-12-30T20:56:00"/>
    <s v="Delivered"/>
    <n v="357"/>
    <n v="0"/>
    <n v="357"/>
    <n v="357"/>
  </r>
  <r>
    <s v="ORD6729127"/>
    <s v="CUST0202"/>
    <x v="1"/>
    <x v="26"/>
    <d v="1899-12-30T18:17:00"/>
    <s v="Delivered"/>
    <n v="1260"/>
    <n v="0"/>
    <n v="1260"/>
    <n v="1260"/>
  </r>
  <r>
    <s v="ORD9215392"/>
    <s v="CUST0241"/>
    <x v="1"/>
    <x v="283"/>
    <d v="1899-12-30T20:08:00"/>
    <s v="Delivered"/>
    <n v="953"/>
    <n v="0"/>
    <n v="953"/>
    <n v="953"/>
  </r>
  <r>
    <s v="ORD6847081"/>
    <s v="CUST0123"/>
    <x v="0"/>
    <x v="293"/>
    <d v="1899-12-30T14:58:00"/>
    <s v="Delivered"/>
    <n v="267"/>
    <n v="13.35"/>
    <n v="253.65"/>
    <n v="267"/>
  </r>
  <r>
    <s v="ORD4187101"/>
    <s v="CUST0395"/>
    <x v="0"/>
    <x v="107"/>
    <d v="1899-12-30T11:51:00"/>
    <s v="Delivered"/>
    <n v="495"/>
    <n v="49.5"/>
    <n v="445.5"/>
    <n v="495"/>
  </r>
  <r>
    <s v="ORD9337532"/>
    <s v="CUST0173"/>
    <x v="1"/>
    <x v="250"/>
    <d v="1899-12-30T21:53:00"/>
    <s v="Delivered"/>
    <n v="496"/>
    <n v="74.400000000000006"/>
    <n v="421.6"/>
    <n v="496"/>
  </r>
  <r>
    <s v="ORD1054812"/>
    <s v="CUST0282"/>
    <x v="2"/>
    <x v="292"/>
    <d v="1899-12-30T19:52:00"/>
    <s v="Delivered"/>
    <n v="158"/>
    <n v="0"/>
    <n v="158"/>
    <n v="158"/>
  </r>
  <r>
    <s v="ORD8175737"/>
    <s v="CUST0102"/>
    <x v="1"/>
    <x v="13"/>
    <d v="1899-12-30T20:26:00"/>
    <s v="Delivered"/>
    <n v="615"/>
    <n v="30.75"/>
    <n v="584.25"/>
    <n v="615"/>
  </r>
  <r>
    <s v="ORD8101189"/>
    <s v="CUST0402"/>
    <x v="1"/>
    <x v="147"/>
    <d v="1899-12-30T18:08:00"/>
    <s v="Delivered"/>
    <n v="149"/>
    <n v="22.35"/>
    <n v="126.65"/>
    <n v="149"/>
  </r>
  <r>
    <s v="ORD5475083"/>
    <s v="CUST0113"/>
    <x v="0"/>
    <x v="320"/>
    <d v="1899-12-30T17:14:00"/>
    <s v="Delivered"/>
    <n v="395"/>
    <n v="0"/>
    <n v="395"/>
    <n v="395"/>
  </r>
  <r>
    <s v="ORD2529708"/>
    <s v="CUST0009"/>
    <x v="2"/>
    <x v="321"/>
    <d v="1899-12-30T20:39:00"/>
    <s v="Delivered"/>
    <n v="395"/>
    <n v="0"/>
    <n v="395"/>
    <n v="395"/>
  </r>
  <r>
    <s v="ORD6175674"/>
    <s v="CUST0055"/>
    <x v="1"/>
    <x v="322"/>
    <d v="1899-12-30T17:17:00"/>
    <s v="Delivered"/>
    <n v="406"/>
    <n v="0"/>
    <n v="406"/>
    <n v="406"/>
  </r>
  <r>
    <s v="ORD5558760"/>
    <s v="CUST0195"/>
    <x v="1"/>
    <x v="297"/>
    <d v="1899-12-30T20:48:00"/>
    <s v="Delivered"/>
    <n v="871"/>
    <n v="87.1"/>
    <n v="783.9"/>
    <n v="871"/>
  </r>
  <r>
    <s v="ORD7778101"/>
    <s v="CUST0194"/>
    <x v="1"/>
    <x v="26"/>
    <d v="1899-12-30T21:43:00"/>
    <s v="Delivered"/>
    <n v="554"/>
    <n v="0"/>
    <n v="554"/>
    <n v="554"/>
  </r>
  <r>
    <s v="ORD2085401"/>
    <s v="CUST0289"/>
    <x v="1"/>
    <x v="323"/>
    <d v="1899-12-30T01:59:00"/>
    <s v="Delivered"/>
    <n v="307"/>
    <n v="0"/>
    <n v="307"/>
    <n v="307"/>
  </r>
  <r>
    <s v="ORD9028413"/>
    <s v="CUST0467"/>
    <x v="2"/>
    <x v="324"/>
    <d v="1899-12-30T18:23:00"/>
    <s v="Delivered"/>
    <n v="755"/>
    <n v="0"/>
    <n v="755"/>
    <n v="755"/>
  </r>
  <r>
    <s v="ORD2549825"/>
    <s v="CUST0363"/>
    <x v="2"/>
    <x v="190"/>
    <d v="1899-12-30T17:05:00"/>
    <s v="Cancelled"/>
    <n v="574"/>
    <n v="0"/>
    <n v="0"/>
    <n v="574"/>
  </r>
  <r>
    <s v="ORD2548050"/>
    <s v="CUST0267"/>
    <x v="1"/>
    <x v="279"/>
    <d v="1899-12-30T18:10:00"/>
    <s v="Cancelled"/>
    <n v="447"/>
    <n v="0"/>
    <n v="0"/>
    <n v="447"/>
  </r>
  <r>
    <s v="ORD3817334"/>
    <s v="CUST0483"/>
    <x v="1"/>
    <x v="232"/>
    <d v="1899-12-30T20:30:00"/>
    <s v="Delivered"/>
    <n v="158"/>
    <n v="7.9"/>
    <n v="150.1"/>
    <n v="158"/>
  </r>
  <r>
    <s v="ORD7189628"/>
    <s v="CUST0399"/>
    <x v="1"/>
    <x v="227"/>
    <d v="1899-12-30T23:07:00"/>
    <s v="Delivered"/>
    <n v="336"/>
    <n v="0"/>
    <n v="336"/>
    <n v="336"/>
  </r>
  <r>
    <s v="ORD3801816"/>
    <s v="CUST0030"/>
    <x v="1"/>
    <x v="31"/>
    <d v="1899-12-30T20:57:00"/>
    <s v="Delivered"/>
    <n v="297"/>
    <n v="29.7"/>
    <n v="267.3"/>
    <n v="297"/>
  </r>
  <r>
    <s v="ORD1709232"/>
    <s v="CUST0366"/>
    <x v="1"/>
    <x v="303"/>
    <d v="1899-12-30T21:07:00"/>
    <s v="Delivered"/>
    <n v="1149"/>
    <n v="0"/>
    <n v="1149"/>
    <n v="1149"/>
  </r>
  <r>
    <s v="ORD7798104"/>
    <s v="CUST0368"/>
    <x v="0"/>
    <x v="64"/>
    <d v="1899-12-30T20:36:00"/>
    <s v="Delivered"/>
    <n v="356"/>
    <n v="0"/>
    <n v="356"/>
    <n v="356"/>
  </r>
  <r>
    <s v="ORD6025077"/>
    <s v="CUST0212"/>
    <x v="1"/>
    <x v="184"/>
    <d v="1899-12-30T20:57:00"/>
    <s v="Delivered"/>
    <n v="447"/>
    <n v="0"/>
    <n v="447"/>
    <n v="447"/>
  </r>
  <r>
    <s v="ORD3346211"/>
    <s v="CUST0303"/>
    <x v="0"/>
    <x v="143"/>
    <d v="1899-12-30T22:55:00"/>
    <s v="Delivered"/>
    <n v="415"/>
    <n v="41.5"/>
    <n v="373.5"/>
    <n v="415"/>
  </r>
  <r>
    <s v="ORD1861447"/>
    <s v="CUST0067"/>
    <x v="1"/>
    <x v="124"/>
    <d v="1899-12-30T17:29:00"/>
    <s v="Delivered"/>
    <n v="504"/>
    <n v="0"/>
    <n v="504"/>
    <n v="504"/>
  </r>
  <r>
    <s v="ORD9043979"/>
    <s v="CUST0479"/>
    <x v="2"/>
    <x v="113"/>
    <d v="1899-12-30T19:02:00"/>
    <s v="Delivered"/>
    <n v="484"/>
    <n v="72.599999999999994"/>
    <n v="411.4"/>
    <n v="484"/>
  </r>
  <r>
    <s v="ORD1404999"/>
    <s v="CUST0323"/>
    <x v="0"/>
    <x v="1"/>
    <d v="1899-12-30T20:13:00"/>
    <s v="Delivered"/>
    <n v="317"/>
    <n v="47.55"/>
    <n v="269.45"/>
    <n v="317"/>
  </r>
  <r>
    <s v="ORD9488394"/>
    <s v="CUST0391"/>
    <x v="0"/>
    <x v="13"/>
    <d v="1899-12-30T22:27:00"/>
    <s v="Delivered"/>
    <n v="1031"/>
    <n v="51.55"/>
    <n v="979.45"/>
    <n v="1031"/>
  </r>
  <r>
    <s v="ORD1203251"/>
    <s v="CUST0022"/>
    <x v="1"/>
    <x v="195"/>
    <d v="1899-12-30T19:14:00"/>
    <s v="Delivered"/>
    <n v="516"/>
    <n v="0"/>
    <n v="516"/>
    <n v="516"/>
  </r>
  <r>
    <s v="ORD5454479"/>
    <s v="CUST0084"/>
    <x v="2"/>
    <x v="306"/>
    <d v="1899-12-30T09:04:00"/>
    <s v="Delivered"/>
    <n v="415"/>
    <n v="0"/>
    <n v="415"/>
    <n v="415"/>
  </r>
  <r>
    <s v="ORD5329920"/>
    <s v="CUST0241"/>
    <x v="2"/>
    <x v="270"/>
    <d v="1899-12-30T14:54:00"/>
    <s v="Delivered"/>
    <n v="474"/>
    <n v="0"/>
    <n v="474"/>
    <n v="474"/>
  </r>
  <r>
    <s v="ORD1372876"/>
    <s v="CUST0460"/>
    <x v="1"/>
    <x v="27"/>
    <d v="1899-12-30T00:49:00"/>
    <s v="Delivered"/>
    <n v="416"/>
    <n v="0"/>
    <n v="416"/>
    <n v="416"/>
  </r>
  <r>
    <s v="ORD4751808"/>
    <s v="CUST0422"/>
    <x v="1"/>
    <x v="15"/>
    <d v="1899-12-30T18:06:00"/>
    <s v="Delivered"/>
    <n v="634"/>
    <n v="0"/>
    <n v="634"/>
    <n v="634"/>
  </r>
  <r>
    <s v="ORD1954674"/>
    <s v="CUST0397"/>
    <x v="1"/>
    <x v="139"/>
    <d v="1899-12-30T21:04:00"/>
    <s v="Delivered"/>
    <n v="664"/>
    <n v="66.400000000000006"/>
    <n v="597.6"/>
    <n v="664"/>
  </r>
  <r>
    <s v="ORD7800102"/>
    <s v="CUST0203"/>
    <x v="0"/>
    <x v="41"/>
    <d v="1899-12-30T19:59:00"/>
    <s v="Delivered"/>
    <n v="347"/>
    <n v="52.05"/>
    <n v="294.95"/>
    <n v="347"/>
  </r>
  <r>
    <s v="ORD3548252"/>
    <s v="CUST0048"/>
    <x v="2"/>
    <x v="8"/>
    <d v="1899-12-30T19:57:00"/>
    <s v="Delivered"/>
    <n v="89"/>
    <n v="0"/>
    <n v="89"/>
    <n v="89"/>
  </r>
  <r>
    <s v="ORD3771957"/>
    <s v="CUST0293"/>
    <x v="1"/>
    <x v="184"/>
    <d v="1899-12-30T14:42:00"/>
    <s v="Delivered"/>
    <n v="943"/>
    <n v="0"/>
    <n v="943"/>
    <n v="943"/>
  </r>
  <r>
    <s v="ORD5889357"/>
    <s v="CUST0252"/>
    <x v="1"/>
    <x v="131"/>
    <d v="1899-12-30T19:52:00"/>
    <s v="Cancelled"/>
    <n v="1151"/>
    <n v="0"/>
    <n v="0"/>
    <n v="1151"/>
  </r>
  <r>
    <s v="ORD8929924"/>
    <s v="CUST0174"/>
    <x v="0"/>
    <x v="308"/>
    <d v="1899-12-30T19:54:00"/>
    <s v="Delivered"/>
    <n v="327"/>
    <n v="0"/>
    <n v="327"/>
    <n v="327"/>
  </r>
  <r>
    <s v="ORD8739107"/>
    <s v="CUST0168"/>
    <x v="1"/>
    <x v="24"/>
    <d v="1899-12-30T13:42:00"/>
    <s v="Delivered"/>
    <n v="634"/>
    <n v="95.1"/>
    <n v="538.9"/>
    <n v="634"/>
  </r>
  <r>
    <s v="ORD8303706"/>
    <s v="CUST0123"/>
    <x v="0"/>
    <x v="6"/>
    <d v="1899-12-30T14:37:00"/>
    <s v="Delivered"/>
    <n v="476"/>
    <n v="23.8"/>
    <n v="452.2"/>
    <n v="476"/>
  </r>
  <r>
    <s v="ORD2108224"/>
    <s v="CUST0201"/>
    <x v="1"/>
    <x v="246"/>
    <d v="1899-12-30T14:10:00"/>
    <s v="Delivered"/>
    <n v="139"/>
    <n v="0"/>
    <n v="139"/>
    <n v="139"/>
  </r>
  <r>
    <s v="ORD8543241"/>
    <s v="CUST0364"/>
    <x v="2"/>
    <x v="203"/>
    <d v="1899-12-30T15:50:00"/>
    <s v="Delivered"/>
    <n v="1310"/>
    <n v="0"/>
    <n v="1310"/>
    <n v="1310"/>
  </r>
  <r>
    <s v="ORD5026924"/>
    <s v="CUST0022"/>
    <x v="2"/>
    <x v="171"/>
    <d v="1899-12-30T18:09:00"/>
    <s v="Delivered"/>
    <n v="634"/>
    <n v="0"/>
    <n v="634"/>
    <n v="634"/>
  </r>
  <r>
    <s v="ORD9406675"/>
    <s v="CUST0248"/>
    <x v="0"/>
    <x v="77"/>
    <d v="1899-12-30T16:06:00"/>
    <s v="Delivered"/>
    <n v="565"/>
    <n v="56.5"/>
    <n v="508.5"/>
    <n v="565"/>
  </r>
  <r>
    <s v="ORD1661445"/>
    <s v="CUST0314"/>
    <x v="1"/>
    <x v="325"/>
    <d v="1899-12-30T00:59:00"/>
    <s v="Delivered"/>
    <n v="811"/>
    <n v="40.549999999999997"/>
    <n v="770.45"/>
    <n v="811"/>
  </r>
  <r>
    <s v="ORD4874618"/>
    <s v="CUST0453"/>
    <x v="0"/>
    <x v="112"/>
    <d v="1899-12-30T22:58:00"/>
    <s v="Delivered"/>
    <n v="772"/>
    <n v="38.6"/>
    <n v="733.4"/>
    <n v="772"/>
  </r>
  <r>
    <s v="ORD1801342"/>
    <s v="CUST0204"/>
    <x v="1"/>
    <x v="309"/>
    <d v="1899-12-30T22:15:00"/>
    <s v="Delivered"/>
    <n v="1029"/>
    <n v="0"/>
    <n v="1029"/>
    <n v="1029"/>
  </r>
  <r>
    <s v="ORD5824408"/>
    <s v="CUST0274"/>
    <x v="0"/>
    <x v="219"/>
    <d v="1899-12-30T20:13:00"/>
    <s v="Delivered"/>
    <n v="575"/>
    <n v="0"/>
    <n v="575"/>
    <n v="575"/>
  </r>
  <r>
    <s v="ORD5904259"/>
    <s v="CUST0133"/>
    <x v="1"/>
    <x v="326"/>
    <d v="1899-12-30T21:46:00"/>
    <s v="Delivered"/>
    <n v="168"/>
    <n v="0"/>
    <n v="168"/>
    <n v="168"/>
  </r>
  <r>
    <s v="ORD3610008"/>
    <s v="CUST0036"/>
    <x v="1"/>
    <x v="32"/>
    <d v="1899-12-30T20:40:00"/>
    <s v="Delivered"/>
    <n v="1338"/>
    <n v="200.7"/>
    <n v="1137.3"/>
    <n v="1338"/>
  </r>
  <r>
    <s v="ORD6977035"/>
    <s v="CUST0143"/>
    <x v="0"/>
    <x v="124"/>
    <d v="1899-12-30T21:39:00"/>
    <s v="Delivered"/>
    <n v="534"/>
    <n v="0"/>
    <n v="534"/>
    <n v="534"/>
  </r>
  <r>
    <s v="ORD3690055"/>
    <s v="CUST0084"/>
    <x v="1"/>
    <x v="3"/>
    <d v="1899-12-30T10:04:00"/>
    <s v="Delivered"/>
    <n v="962"/>
    <n v="0"/>
    <n v="962"/>
    <n v="962"/>
  </r>
  <r>
    <s v="ORD2122405"/>
    <s v="CUST0318"/>
    <x v="0"/>
    <x v="143"/>
    <d v="1899-12-30T17:12:00"/>
    <s v="Delivered"/>
    <n v="803"/>
    <n v="0"/>
    <n v="803"/>
    <n v="803"/>
  </r>
  <r>
    <s v="ORD7971498"/>
    <s v="CUST0191"/>
    <x v="0"/>
    <x v="53"/>
    <d v="1899-12-30T21:59:00"/>
    <s v="Delivered"/>
    <n v="526"/>
    <n v="0"/>
    <n v="526"/>
    <n v="526"/>
  </r>
  <r>
    <s v="ORD6319500"/>
    <s v="CUST0320"/>
    <x v="0"/>
    <x v="117"/>
    <d v="1899-12-30T14:07:00"/>
    <s v="Delivered"/>
    <n v="386"/>
    <n v="0"/>
    <n v="386"/>
    <n v="386"/>
  </r>
  <r>
    <s v="ORD5708829"/>
    <s v="CUST0195"/>
    <x v="2"/>
    <x v="207"/>
    <d v="1899-12-30T18:52:00"/>
    <s v="Delivered"/>
    <n v="514"/>
    <n v="25.7"/>
    <n v="488.3"/>
    <n v="514"/>
  </r>
  <r>
    <s v="ORD7082280"/>
    <s v="CUST0307"/>
    <x v="2"/>
    <x v="85"/>
    <d v="1899-12-30T23:38:00"/>
    <s v="Delivered"/>
    <n v="99"/>
    <n v="0"/>
    <n v="99"/>
    <n v="99"/>
  </r>
  <r>
    <s v="ORD2336525"/>
    <s v="CUST0026"/>
    <x v="1"/>
    <x v="155"/>
    <d v="1899-12-30T16:14:00"/>
    <s v="Delivered"/>
    <n v="913"/>
    <n v="0"/>
    <n v="913"/>
    <n v="913"/>
  </r>
  <r>
    <s v="ORD1067267"/>
    <s v="CUST0071"/>
    <x v="1"/>
    <x v="90"/>
    <d v="1899-12-30T21:03:00"/>
    <s v="Delivered"/>
    <n v="940"/>
    <n v="0"/>
    <n v="940"/>
    <n v="940"/>
  </r>
  <r>
    <s v="ORD4664443"/>
    <s v="CUST0416"/>
    <x v="1"/>
    <x v="277"/>
    <d v="1899-12-30T10:40:00"/>
    <s v="Delivered"/>
    <n v="853"/>
    <n v="127.95"/>
    <n v="725.05"/>
    <n v="853"/>
  </r>
  <r>
    <s v="ORD4991496"/>
    <s v="CUST0432"/>
    <x v="1"/>
    <x v="28"/>
    <d v="1899-12-30T21:49:00"/>
    <s v="Delivered"/>
    <n v="566"/>
    <n v="84.9"/>
    <n v="481.1"/>
    <n v="566"/>
  </r>
  <r>
    <s v="ORD3091259"/>
    <s v="CUST0316"/>
    <x v="2"/>
    <x v="108"/>
    <d v="1899-12-30T18:15:00"/>
    <s v="Delivered"/>
    <n v="377"/>
    <n v="0"/>
    <n v="377"/>
    <n v="377"/>
  </r>
  <r>
    <s v="ORD5173838"/>
    <s v="CUST0062"/>
    <x v="2"/>
    <x v="242"/>
    <d v="1899-12-30T21:37:00"/>
    <s v="Delivered"/>
    <n v="673"/>
    <n v="0"/>
    <n v="673"/>
    <n v="673"/>
  </r>
  <r>
    <s v="ORD1230853"/>
    <s v="CUST0057"/>
    <x v="0"/>
    <x v="311"/>
    <d v="1899-12-30T17:45:00"/>
    <s v="Delivered"/>
    <n v="89"/>
    <n v="0"/>
    <n v="89"/>
    <n v="89"/>
  </r>
  <r>
    <s v="ORD5614818"/>
    <s v="CUST0194"/>
    <x v="0"/>
    <x v="55"/>
    <d v="1899-12-30T14:26:00"/>
    <s v="Delivered"/>
    <n v="693"/>
    <n v="0"/>
    <n v="693"/>
    <n v="693"/>
  </r>
  <r>
    <s v="ORD3660952"/>
    <s v="CUST0002"/>
    <x v="1"/>
    <x v="65"/>
    <d v="1899-12-30T16:16:00"/>
    <s v="Delivered"/>
    <n v="387"/>
    <n v="0"/>
    <n v="387"/>
    <n v="387"/>
  </r>
  <r>
    <s v="ORD8624054"/>
    <s v="CUST0391"/>
    <x v="0"/>
    <x v="173"/>
    <d v="1899-12-30T22:50:00"/>
    <s v="Delivered"/>
    <n v="504"/>
    <n v="50.4"/>
    <n v="453.6"/>
    <n v="504"/>
  </r>
  <r>
    <s v="ORD4932931"/>
    <s v="CUST0069"/>
    <x v="1"/>
    <x v="227"/>
    <d v="1899-12-30T19:57:00"/>
    <s v="Delivered"/>
    <n v="247"/>
    <n v="24.7"/>
    <n v="222.3"/>
    <n v="247"/>
  </r>
  <r>
    <s v="ORD9665105"/>
    <s v="CUST0140"/>
    <x v="2"/>
    <x v="10"/>
    <d v="1899-12-30T21:06:00"/>
    <s v="Delivered"/>
    <n v="605"/>
    <n v="0"/>
    <n v="605"/>
    <n v="605"/>
  </r>
  <r>
    <s v="ORD4069345"/>
    <s v="CUST0410"/>
    <x v="2"/>
    <x v="61"/>
    <d v="1899-12-30T20:36:00"/>
    <s v="Delivered"/>
    <n v="524"/>
    <n v="52.4"/>
    <n v="471.6"/>
    <n v="524"/>
  </r>
  <r>
    <s v="ORD7743663"/>
    <s v="CUST0140"/>
    <x v="0"/>
    <x v="10"/>
    <d v="1899-12-30T21:51:00"/>
    <s v="Cancelled"/>
    <n v="742"/>
    <n v="0"/>
    <n v="0"/>
    <n v="742"/>
  </r>
  <r>
    <s v="ORD1275672"/>
    <s v="CUST0221"/>
    <x v="2"/>
    <x v="165"/>
    <d v="1899-12-30T19:14:00"/>
    <s v="Delivered"/>
    <n v="79"/>
    <n v="0"/>
    <n v="79"/>
    <n v="79"/>
  </r>
  <r>
    <s v="ORD8403469"/>
    <s v="CUST0053"/>
    <x v="0"/>
    <x v="315"/>
    <d v="1899-12-30T21:04:00"/>
    <s v="Delivered"/>
    <n v="158"/>
    <n v="0"/>
    <n v="158"/>
    <n v="158"/>
  </r>
  <r>
    <s v="ORD2568383"/>
    <s v="CUST0231"/>
    <x v="2"/>
    <x v="41"/>
    <d v="1899-12-30T20:56:00"/>
    <s v="Delivered"/>
    <n v="1220"/>
    <n v="0"/>
    <n v="1220"/>
    <n v="1220"/>
  </r>
  <r>
    <s v="ORD4629894"/>
    <s v="CUST0432"/>
    <x v="1"/>
    <x v="34"/>
    <d v="1899-12-30T09:59:00"/>
    <s v="Delivered"/>
    <n v="1280"/>
    <n v="0"/>
    <n v="1280"/>
    <n v="1280"/>
  </r>
  <r>
    <s v="ORD4230362"/>
    <s v="CUST0011"/>
    <x v="0"/>
    <x v="145"/>
    <d v="1899-12-30T01:36:00"/>
    <s v="Delivered"/>
    <n v="366"/>
    <n v="0"/>
    <n v="366"/>
    <n v="366"/>
  </r>
  <r>
    <s v="ORD6026347"/>
    <s v="CUST0322"/>
    <x v="0"/>
    <x v="164"/>
    <d v="1899-12-30T12:23:00"/>
    <s v="Delivered"/>
    <n v="317"/>
    <n v="0"/>
    <n v="317"/>
    <n v="317"/>
  </r>
  <r>
    <s v="ORD4553165"/>
    <s v="CUST0044"/>
    <x v="0"/>
    <x v="96"/>
    <d v="1899-12-30T15:06:00"/>
    <s v="Delivered"/>
    <n v="316"/>
    <n v="0"/>
    <n v="316"/>
    <n v="316"/>
  </r>
  <r>
    <s v="ORD6537308"/>
    <s v="CUST0470"/>
    <x v="0"/>
    <x v="0"/>
    <d v="1899-12-30T00:57:00"/>
    <s v="Delivered"/>
    <n v="394"/>
    <n v="0"/>
    <n v="394"/>
    <n v="394"/>
  </r>
  <r>
    <s v="ORD1336009"/>
    <s v="CUST0134"/>
    <x v="0"/>
    <x v="166"/>
    <d v="1899-12-30T13:20:00"/>
    <s v="Delivered"/>
    <n v="663"/>
    <n v="33.15"/>
    <n v="629.85"/>
    <n v="663"/>
  </r>
  <r>
    <s v="ORD2898591"/>
    <s v="CUST0378"/>
    <x v="0"/>
    <x v="12"/>
    <d v="1899-12-30T16:14:00"/>
    <s v="Delivered"/>
    <n v="526"/>
    <n v="0"/>
    <n v="526"/>
    <n v="526"/>
  </r>
  <r>
    <s v="ORD2244415"/>
    <s v="CUST0465"/>
    <x v="1"/>
    <x v="313"/>
    <d v="1899-12-30T17:15:00"/>
    <s v="Delivered"/>
    <n v="574"/>
    <n v="57.4"/>
    <n v="516.6"/>
    <n v="574"/>
  </r>
  <r>
    <s v="ORD3480045"/>
    <s v="CUST0326"/>
    <x v="1"/>
    <x v="39"/>
    <d v="1899-12-30T17:44:00"/>
    <s v="Cancelled"/>
    <n v="366"/>
    <n v="0"/>
    <n v="0"/>
    <n v="366"/>
  </r>
  <r>
    <s v="ORD1458383"/>
    <s v="CUST0017"/>
    <x v="0"/>
    <x v="283"/>
    <d v="1899-12-30T14:01:00"/>
    <s v="Delivered"/>
    <n v="655"/>
    <n v="0"/>
    <n v="655"/>
    <n v="655"/>
  </r>
  <r>
    <s v="ORD1433544"/>
    <s v="CUST0191"/>
    <x v="1"/>
    <x v="175"/>
    <d v="1899-12-30T20:41:00"/>
    <s v="Delivered"/>
    <n v="605"/>
    <n v="90.75"/>
    <n v="514.25"/>
    <n v="605"/>
  </r>
  <r>
    <s v="ORD3526267"/>
    <s v="CUST0467"/>
    <x v="0"/>
    <x v="20"/>
    <d v="1899-12-30T19:33:00"/>
    <s v="Delivered"/>
    <n v="525"/>
    <n v="52.5"/>
    <n v="472.5"/>
    <n v="525"/>
  </r>
  <r>
    <s v="ORD9655209"/>
    <s v="CUST0046"/>
    <x v="1"/>
    <x v="57"/>
    <d v="1899-12-30T21:21:00"/>
    <s v="Delivered"/>
    <n v="247"/>
    <n v="0"/>
    <n v="247"/>
    <n v="247"/>
  </r>
  <r>
    <s v="ORD1702514"/>
    <s v="CUST0296"/>
    <x v="1"/>
    <x v="97"/>
    <d v="1899-12-30T17:50:00"/>
    <s v="Delivered"/>
    <n v="764"/>
    <n v="0"/>
    <n v="764"/>
    <n v="764"/>
  </r>
  <r>
    <s v="ORD9821826"/>
    <s v="CUST0326"/>
    <x v="2"/>
    <x v="55"/>
    <d v="1899-12-30T20:49:00"/>
    <s v="Delivered"/>
    <n v="773"/>
    <n v="0"/>
    <n v="773"/>
    <n v="773"/>
  </r>
  <r>
    <s v="ORD5339621"/>
    <s v="CUST0003"/>
    <x v="1"/>
    <x v="327"/>
    <d v="1899-12-30T23:47:00"/>
    <s v="Delivered"/>
    <n v="416"/>
    <n v="0"/>
    <n v="416"/>
    <n v="416"/>
  </r>
  <r>
    <s v="ORD5951813"/>
    <s v="CUST0073"/>
    <x v="0"/>
    <x v="328"/>
    <d v="1899-12-30T21:04:00"/>
    <s v="Delivered"/>
    <n v="575"/>
    <n v="0"/>
    <n v="575"/>
    <n v="575"/>
  </r>
  <r>
    <s v="ORD5225340"/>
    <s v="CUST0110"/>
    <x v="1"/>
    <x v="22"/>
    <d v="1899-12-30T23:27:00"/>
    <s v="Delivered"/>
    <n v="574"/>
    <n v="0"/>
    <n v="574"/>
    <n v="574"/>
  </r>
  <r>
    <s v="ORD7765901"/>
    <s v="CUST0448"/>
    <x v="1"/>
    <x v="329"/>
    <d v="1899-12-30T18:55:00"/>
    <s v="Delivered"/>
    <n v="554"/>
    <n v="0"/>
    <n v="554"/>
    <n v="554"/>
  </r>
  <r>
    <s v="ORD9897879"/>
    <s v="CUST0149"/>
    <x v="0"/>
    <x v="60"/>
    <d v="1899-12-30T18:55:00"/>
    <s v="Delivered"/>
    <n v="553"/>
    <n v="0"/>
    <n v="553"/>
    <n v="553"/>
  </r>
  <r>
    <s v="ORD6703062"/>
    <s v="CUST0357"/>
    <x v="1"/>
    <x v="259"/>
    <d v="1899-12-30T20:53:00"/>
    <s v="Delivered"/>
    <n v="208"/>
    <n v="0"/>
    <n v="208"/>
    <n v="208"/>
  </r>
  <r>
    <s v="ORD6286061"/>
    <s v="CUST0270"/>
    <x v="1"/>
    <x v="150"/>
    <d v="1899-12-30T12:53:00"/>
    <s v="Delivered"/>
    <n v="178"/>
    <n v="17.8"/>
    <n v="160.19999999999999"/>
    <n v="178"/>
  </r>
  <r>
    <s v="ORD4332271"/>
    <s v="CUST0025"/>
    <x v="0"/>
    <x v="314"/>
    <d v="1899-12-30T10:34:00"/>
    <s v="Delivered"/>
    <n v="327"/>
    <n v="0"/>
    <n v="327"/>
    <n v="327"/>
  </r>
  <r>
    <s v="ORD9470588"/>
    <s v="CUST0385"/>
    <x v="0"/>
    <x v="245"/>
    <d v="1899-12-30T10:58:00"/>
    <s v="Delivered"/>
    <n v="475"/>
    <n v="0"/>
    <n v="475"/>
    <n v="475"/>
  </r>
  <r>
    <s v="ORD1493220"/>
    <s v="CUST0421"/>
    <x v="1"/>
    <x v="99"/>
    <d v="1899-12-30T17:13:00"/>
    <s v="Cancelled"/>
    <n v="149"/>
    <n v="22.35"/>
    <n v="0"/>
    <n v="149"/>
  </r>
  <r>
    <s v="ORD9344176"/>
    <s v="CUST0171"/>
    <x v="1"/>
    <x v="174"/>
    <d v="1899-12-30T21:24:00"/>
    <s v="Delivered"/>
    <n v="1308"/>
    <n v="65.400000000000006"/>
    <n v="1242.5999999999999"/>
    <n v="1308"/>
  </r>
  <r>
    <s v="ORD6221536"/>
    <s v="CUST0454"/>
    <x v="1"/>
    <x v="238"/>
    <d v="1899-12-30T18:08:00"/>
    <s v="Cancelled"/>
    <n v="158"/>
    <n v="0"/>
    <n v="0"/>
    <n v="158"/>
  </r>
  <r>
    <s v="ORD6753751"/>
    <s v="CUST0204"/>
    <x v="0"/>
    <x v="330"/>
    <d v="1899-12-30T17:14:00"/>
    <s v="Delivered"/>
    <n v="912"/>
    <n v="0"/>
    <n v="912"/>
    <n v="912"/>
  </r>
  <r>
    <s v="ORD5280661"/>
    <s v="CUST0215"/>
    <x v="1"/>
    <x v="6"/>
    <d v="1899-12-30T18:21:00"/>
    <s v="Delivered"/>
    <n v="853"/>
    <n v="0"/>
    <n v="853"/>
    <n v="853"/>
  </r>
  <r>
    <s v="ORD1777764"/>
    <s v="CUST0203"/>
    <x v="1"/>
    <x v="331"/>
    <d v="1899-12-30T19:59:00"/>
    <s v="Delivered"/>
    <n v="327"/>
    <n v="0"/>
    <n v="327"/>
    <n v="327"/>
  </r>
  <r>
    <s v="ORD1457506"/>
    <s v="CUST0453"/>
    <x v="0"/>
    <x v="84"/>
    <d v="1899-12-30T19:25:00"/>
    <s v="Delivered"/>
    <n v="416"/>
    <n v="0"/>
    <n v="416"/>
    <n v="416"/>
  </r>
  <r>
    <s v="ORD4077006"/>
    <s v="CUST0419"/>
    <x v="1"/>
    <x v="167"/>
    <d v="1899-12-30T14:03:00"/>
    <s v="Delivered"/>
    <n v="852"/>
    <n v="0"/>
    <n v="852"/>
    <n v="852"/>
  </r>
  <r>
    <s v="ORD1083198"/>
    <s v="CUST0124"/>
    <x v="1"/>
    <x v="267"/>
    <d v="1899-12-30T16:07:00"/>
    <s v="Delivered"/>
    <n v="1060"/>
    <n v="0"/>
    <n v="1060"/>
    <n v="1060"/>
  </r>
  <r>
    <s v="ORD8575481"/>
    <s v="CUST0053"/>
    <x v="0"/>
    <x v="46"/>
    <d v="1899-12-30T16:03:00"/>
    <s v="Delivered"/>
    <n v="704"/>
    <n v="0"/>
    <n v="704"/>
    <n v="704"/>
  </r>
  <r>
    <s v="ORD8058810"/>
    <s v="CUST0414"/>
    <x v="1"/>
    <x v="130"/>
    <d v="1899-12-30T13:37:00"/>
    <s v="Cancelled"/>
    <n v="654"/>
    <n v="0"/>
    <n v="0"/>
    <n v="654"/>
  </r>
  <r>
    <s v="ORD3435733"/>
    <s v="CUST0456"/>
    <x v="0"/>
    <x v="263"/>
    <d v="1899-12-30T22:05:00"/>
    <s v="Delivered"/>
    <n v="457"/>
    <n v="0"/>
    <n v="457"/>
    <n v="457"/>
  </r>
  <r>
    <s v="ORD4262346"/>
    <s v="CUST0406"/>
    <x v="2"/>
    <x v="332"/>
    <d v="1899-12-30T00:39:00"/>
    <s v="Delivered"/>
    <n v="831"/>
    <n v="0"/>
    <n v="831"/>
    <n v="831"/>
  </r>
  <r>
    <s v="ORD2974957"/>
    <s v="CUST0243"/>
    <x v="1"/>
    <x v="48"/>
    <d v="1899-12-30T16:35:00"/>
    <s v="Delivered"/>
    <n v="752"/>
    <n v="0"/>
    <n v="752"/>
    <n v="752"/>
  </r>
  <r>
    <s v="ORD5092999"/>
    <s v="CUST0309"/>
    <x v="2"/>
    <x v="84"/>
    <d v="1899-12-30T21:42:00"/>
    <s v="Delivered"/>
    <n v="982"/>
    <n v="0"/>
    <n v="982"/>
    <n v="982"/>
  </r>
  <r>
    <s v="ORD8283798"/>
    <s v="CUST0073"/>
    <x v="2"/>
    <x v="67"/>
    <d v="1899-12-30T01:07:00"/>
    <s v="Delivered"/>
    <n v="297"/>
    <n v="0"/>
    <n v="297"/>
    <n v="297"/>
  </r>
  <r>
    <s v="ORD7416175"/>
    <s v="CUST0339"/>
    <x v="1"/>
    <x v="168"/>
    <d v="1899-12-30T17:27:00"/>
    <s v="Delivered"/>
    <n v="426"/>
    <n v="0"/>
    <n v="426"/>
    <n v="426"/>
  </r>
  <r>
    <s v="ORD9866836"/>
    <s v="CUST0075"/>
    <x v="0"/>
    <x v="236"/>
    <d v="1899-12-30T01:56:00"/>
    <s v="Delivered"/>
    <n v="346"/>
    <n v="17.3"/>
    <n v="328.7"/>
    <n v="346"/>
  </r>
  <r>
    <s v="ORD1494157"/>
    <s v="CUST0321"/>
    <x v="2"/>
    <x v="27"/>
    <d v="1899-12-30T23:17:00"/>
    <s v="Delivered"/>
    <n v="316"/>
    <n v="0"/>
    <n v="316"/>
    <n v="316"/>
  </r>
  <r>
    <s v="ORD7495927"/>
    <s v="CUST0427"/>
    <x v="2"/>
    <x v="302"/>
    <d v="1899-12-30T16:07:00"/>
    <s v="Delivered"/>
    <n v="535"/>
    <n v="26.75"/>
    <n v="508.25"/>
    <n v="535"/>
  </r>
  <r>
    <s v="ORD2343929"/>
    <s v="CUST0314"/>
    <x v="0"/>
    <x v="291"/>
    <d v="1899-12-30T20:03:00"/>
    <s v="Delivered"/>
    <n v="536"/>
    <n v="26.8"/>
    <n v="509.2"/>
    <n v="536"/>
  </r>
  <r>
    <s v="ORD7180073"/>
    <s v="CUST0322"/>
    <x v="1"/>
    <x v="300"/>
    <d v="1899-12-30T01:26:00"/>
    <s v="Delivered"/>
    <n v="376"/>
    <n v="0"/>
    <n v="376"/>
    <n v="376"/>
  </r>
  <r>
    <s v="ORD6780597"/>
    <s v="CUST0067"/>
    <x v="0"/>
    <x v="57"/>
    <d v="1899-12-30T15:42:00"/>
    <s v="Delivered"/>
    <n v="1429"/>
    <n v="0"/>
    <n v="1429"/>
    <n v="1429"/>
  </r>
  <r>
    <s v="ORD7665233"/>
    <s v="CUST0399"/>
    <x v="1"/>
    <x v="79"/>
    <d v="1899-12-30T10:49:00"/>
    <s v="Delivered"/>
    <n v="356"/>
    <n v="0"/>
    <n v="356"/>
    <n v="356"/>
  </r>
  <r>
    <s v="ORD2823906"/>
    <s v="CUST0469"/>
    <x v="2"/>
    <x v="76"/>
    <d v="1899-12-30T12:22:00"/>
    <s v="Delivered"/>
    <n v="574"/>
    <n v="0"/>
    <n v="574"/>
    <n v="574"/>
  </r>
  <r>
    <s v="ORD6331060"/>
    <s v="CUST0423"/>
    <x v="0"/>
    <x v="50"/>
    <d v="1899-12-30T19:15:00"/>
    <s v="Delivered"/>
    <n v="148"/>
    <n v="0"/>
    <n v="148"/>
    <n v="148"/>
  </r>
  <r>
    <s v="ORD3830208"/>
    <s v="CUST0304"/>
    <x v="1"/>
    <x v="99"/>
    <d v="1899-12-30T18:16:00"/>
    <s v="Cancelled"/>
    <n v="643"/>
    <n v="64.3"/>
    <n v="0"/>
    <n v="643"/>
  </r>
  <r>
    <s v="ORD2704824"/>
    <s v="CUST0350"/>
    <x v="1"/>
    <x v="262"/>
    <d v="1899-12-30T19:13:00"/>
    <s v="Delivered"/>
    <n v="455"/>
    <n v="22.75"/>
    <n v="432.25"/>
    <n v="455"/>
  </r>
  <r>
    <s v="ORD9996681"/>
    <s v="CUST0048"/>
    <x v="2"/>
    <x v="279"/>
    <d v="1899-12-30T17:40:00"/>
    <s v="Delivered"/>
    <n v="178"/>
    <n v="0"/>
    <n v="178"/>
    <n v="178"/>
  </r>
  <r>
    <s v="ORD8347263"/>
    <s v="CUST0252"/>
    <x v="0"/>
    <x v="156"/>
    <d v="1899-12-30T21:53:00"/>
    <s v="Delivered"/>
    <n v="456"/>
    <n v="0"/>
    <n v="456"/>
    <n v="456"/>
  </r>
  <r>
    <s v="ORD1384511"/>
    <s v="CUST0294"/>
    <x v="0"/>
    <x v="117"/>
    <d v="1899-12-30T18:14:00"/>
    <s v="Delivered"/>
    <n v="961"/>
    <n v="0"/>
    <n v="961"/>
    <n v="961"/>
  </r>
  <r>
    <s v="ORD3458603"/>
    <s v="CUST0208"/>
    <x v="0"/>
    <x v="204"/>
    <d v="1899-12-30T12:57:00"/>
    <s v="Delivered"/>
    <n v="376"/>
    <n v="0"/>
    <n v="376"/>
    <n v="376"/>
  </r>
  <r>
    <s v="ORD7141140"/>
    <s v="CUST0202"/>
    <x v="0"/>
    <x v="104"/>
    <d v="1899-12-30T17:05:00"/>
    <s v="Delivered"/>
    <n v="574"/>
    <n v="0"/>
    <n v="574"/>
    <n v="574"/>
  </r>
  <r>
    <s v="ORD8662586"/>
    <s v="CUST0168"/>
    <x v="0"/>
    <x v="332"/>
    <d v="1899-12-30T20:08:00"/>
    <s v="Cancelled"/>
    <n v="803"/>
    <n v="0"/>
    <n v="0"/>
    <n v="803"/>
  </r>
  <r>
    <s v="ORD4855388"/>
    <s v="CUST0170"/>
    <x v="0"/>
    <x v="15"/>
    <d v="1899-12-30T16:54:00"/>
    <s v="Delivered"/>
    <n v="159"/>
    <n v="15.9"/>
    <n v="143.1"/>
    <n v="159"/>
  </r>
  <r>
    <s v="ORD9593384"/>
    <s v="CUST0434"/>
    <x v="0"/>
    <x v="56"/>
    <d v="1899-12-30T20:21:00"/>
    <s v="Delivered"/>
    <n v="823"/>
    <n v="0"/>
    <n v="823"/>
    <n v="823"/>
  </r>
  <r>
    <s v="ORD7738624"/>
    <s v="CUST0092"/>
    <x v="1"/>
    <x v="266"/>
    <d v="1899-12-30T18:59:00"/>
    <s v="Delivered"/>
    <n v="327"/>
    <n v="0"/>
    <n v="327"/>
    <n v="327"/>
  </r>
  <r>
    <s v="ORD8741107"/>
    <s v="CUST0369"/>
    <x v="0"/>
    <x v="163"/>
    <d v="1899-12-30T00:04:00"/>
    <s v="Delivered"/>
    <n v="635"/>
    <n v="0"/>
    <n v="635"/>
    <n v="635"/>
  </r>
  <r>
    <s v="ORD1640552"/>
    <s v="CUST0101"/>
    <x v="1"/>
    <x v="261"/>
    <d v="1899-12-30T20:36:00"/>
    <s v="Delivered"/>
    <n v="277"/>
    <n v="0"/>
    <n v="277"/>
    <n v="277"/>
  </r>
  <r>
    <s v="ORD7545705"/>
    <s v="CUST0459"/>
    <x v="2"/>
    <x v="80"/>
    <d v="1899-12-30T16:42:00"/>
    <s v="Delivered"/>
    <n v="573"/>
    <n v="0"/>
    <n v="573"/>
    <n v="573"/>
  </r>
  <r>
    <s v="ORD7596354"/>
    <s v="CUST0094"/>
    <x v="2"/>
    <x v="82"/>
    <d v="1899-12-30T13:16:00"/>
    <s v="Delivered"/>
    <n v="445"/>
    <n v="66.75"/>
    <n v="378.25"/>
    <n v="445"/>
  </r>
  <r>
    <s v="ORD4264306"/>
    <s v="CUST0444"/>
    <x v="1"/>
    <x v="297"/>
    <d v="1899-12-30T15:53:00"/>
    <s v="Delivered"/>
    <n v="494"/>
    <n v="0"/>
    <n v="494"/>
    <n v="494"/>
  </r>
  <r>
    <s v="ORD3883285"/>
    <s v="CUST0086"/>
    <x v="2"/>
    <x v="16"/>
    <d v="1899-12-30T18:24:00"/>
    <s v="Delivered"/>
    <n v="1070"/>
    <n v="160.5"/>
    <n v="909.5"/>
    <n v="1070"/>
  </r>
  <r>
    <s v="ORD7480687"/>
    <s v="CUST0266"/>
    <x v="1"/>
    <x v="238"/>
    <d v="1899-12-30T21:31:00"/>
    <s v="Delivered"/>
    <n v="606"/>
    <n v="0"/>
    <n v="606"/>
    <n v="606"/>
  </r>
  <r>
    <s v="ORD9595138"/>
    <s v="CUST0450"/>
    <x v="0"/>
    <x v="160"/>
    <d v="1899-12-30T20:07:00"/>
    <s v="Delivered"/>
    <n v="556"/>
    <n v="0"/>
    <n v="556"/>
    <n v="556"/>
  </r>
  <r>
    <s v="ORD1632342"/>
    <s v="CUST0298"/>
    <x v="1"/>
    <x v="322"/>
    <d v="1899-12-30T21:21:00"/>
    <s v="Delivered"/>
    <n v="435"/>
    <n v="0"/>
    <n v="435"/>
    <n v="435"/>
  </r>
  <r>
    <s v="ORD2633729"/>
    <s v="CUST0434"/>
    <x v="2"/>
    <x v="57"/>
    <d v="1899-12-30T22:46:00"/>
    <s v="Delivered"/>
    <n v="693"/>
    <n v="0"/>
    <n v="693"/>
    <n v="693"/>
  </r>
  <r>
    <s v="ORD8661030"/>
    <s v="CUST0398"/>
    <x v="1"/>
    <x v="312"/>
    <d v="1899-12-30T16:02:00"/>
    <s v="Delivered"/>
    <n v="544"/>
    <n v="54.4"/>
    <n v="489.6"/>
    <n v="544"/>
  </r>
  <r>
    <s v="ORD6843777"/>
    <s v="CUST0264"/>
    <x v="0"/>
    <x v="160"/>
    <d v="1899-12-30T17:54:00"/>
    <s v="Delivered"/>
    <n v="474"/>
    <n v="0"/>
    <n v="474"/>
    <n v="474"/>
  </r>
  <r>
    <s v="ORD8546050"/>
    <s v="CUST0213"/>
    <x v="0"/>
    <x v="333"/>
    <d v="1899-12-30T20:32:00"/>
    <s v="Delivered"/>
    <n v="287"/>
    <n v="0"/>
    <n v="287"/>
    <n v="287"/>
  </r>
  <r>
    <s v="ORD8079391"/>
    <s v="CUST0174"/>
    <x v="0"/>
    <x v="297"/>
    <d v="1899-12-30T23:40:00"/>
    <s v="Delivered"/>
    <n v="854"/>
    <n v="0"/>
    <n v="854"/>
    <n v="854"/>
  </r>
  <r>
    <s v="ORD1104984"/>
    <s v="CUST0014"/>
    <x v="1"/>
    <x v="321"/>
    <d v="1899-12-30T15:21:00"/>
    <s v="Delivered"/>
    <n v="99"/>
    <n v="0"/>
    <n v="99"/>
    <n v="99"/>
  </r>
  <r>
    <s v="ORD2941686"/>
    <s v="CUST0330"/>
    <x v="2"/>
    <x v="64"/>
    <d v="1899-12-30T17:08:00"/>
    <s v="Delivered"/>
    <n v="574"/>
    <n v="28.7"/>
    <n v="545.29999999999995"/>
    <n v="574"/>
  </r>
  <r>
    <s v="ORD9231395"/>
    <s v="CUST0316"/>
    <x v="1"/>
    <x v="262"/>
    <d v="1899-12-30T20:33:00"/>
    <s v="Delivered"/>
    <n v="188"/>
    <n v="0"/>
    <n v="188"/>
    <n v="188"/>
  </r>
  <r>
    <s v="ORD3176618"/>
    <s v="CUST0077"/>
    <x v="0"/>
    <x v="154"/>
    <d v="1899-12-30T01:26:00"/>
    <s v="Delivered"/>
    <n v="961"/>
    <n v="0"/>
    <n v="961"/>
    <n v="961"/>
  </r>
  <r>
    <s v="ORD4358481"/>
    <s v="CUST0429"/>
    <x v="1"/>
    <x v="101"/>
    <d v="1899-12-30T17:12:00"/>
    <s v="Cancelled"/>
    <n v="218"/>
    <n v="0"/>
    <n v="0"/>
    <n v="218"/>
  </r>
  <r>
    <s v="ORD4421831"/>
    <s v="CUST0135"/>
    <x v="1"/>
    <x v="160"/>
    <d v="1899-12-30T17:26:00"/>
    <s v="Delivered"/>
    <n v="356"/>
    <n v="35.6"/>
    <n v="320.39999999999998"/>
    <n v="356"/>
  </r>
  <r>
    <s v="ORD7093273"/>
    <s v="CUST0238"/>
    <x v="1"/>
    <x v="173"/>
    <d v="1899-12-30T18:30:00"/>
    <s v="Delivered"/>
    <n v="943"/>
    <n v="0"/>
    <n v="943"/>
    <n v="943"/>
  </r>
  <r>
    <s v="ORD5044801"/>
    <s v="CUST0461"/>
    <x v="0"/>
    <x v="143"/>
    <d v="1899-12-30T22:24:00"/>
    <s v="Delivered"/>
    <n v="188"/>
    <n v="0"/>
    <n v="188"/>
    <n v="188"/>
  </r>
  <r>
    <s v="ORD4645184"/>
    <s v="CUST0404"/>
    <x v="0"/>
    <x v="206"/>
    <d v="1899-12-30T12:28:00"/>
    <s v="Delivered"/>
    <n v="158"/>
    <n v="0"/>
    <n v="158"/>
    <n v="158"/>
  </r>
  <r>
    <s v="ORD2691311"/>
    <s v="CUST0452"/>
    <x v="1"/>
    <x v="79"/>
    <d v="1899-12-30T21:26:00"/>
    <s v="Delivered"/>
    <n v="606"/>
    <n v="0"/>
    <n v="606"/>
    <n v="606"/>
  </r>
  <r>
    <s v="ORD4408903"/>
    <s v="CUST0296"/>
    <x v="2"/>
    <x v="100"/>
    <d v="1899-12-30T12:50:00"/>
    <s v="Delivered"/>
    <n v="861"/>
    <n v="0"/>
    <n v="861"/>
    <n v="861"/>
  </r>
  <r>
    <s v="ORD5259672"/>
    <s v="CUST0171"/>
    <x v="1"/>
    <x v="101"/>
    <d v="1899-12-30T16:36:00"/>
    <s v="Delivered"/>
    <n v="1172"/>
    <n v="58.6"/>
    <n v="1113.4000000000001"/>
    <n v="1172"/>
  </r>
  <r>
    <s v="ORD8860310"/>
    <s v="CUST0170"/>
    <x v="1"/>
    <x v="53"/>
    <d v="1899-12-30T17:03:00"/>
    <s v="Delivered"/>
    <n v="1111"/>
    <n v="55.55"/>
    <n v="1055.45"/>
    <n v="1111"/>
  </r>
  <r>
    <s v="ORD7112061"/>
    <s v="CUST0051"/>
    <x v="1"/>
    <x v="22"/>
    <d v="1899-12-30T21:48:00"/>
    <s v="Delivered"/>
    <n v="665"/>
    <n v="66.5"/>
    <n v="598.5"/>
    <n v="665"/>
  </r>
  <r>
    <s v="ORD8354627"/>
    <s v="CUST0258"/>
    <x v="0"/>
    <x v="180"/>
    <d v="1899-12-30T22:33:00"/>
    <s v="Delivered"/>
    <n v="466"/>
    <n v="0"/>
    <n v="466"/>
    <n v="466"/>
  </r>
  <r>
    <s v="ORD6068456"/>
    <s v="CUST0009"/>
    <x v="1"/>
    <x v="30"/>
    <d v="1899-12-30T09:12:00"/>
    <s v="Delivered"/>
    <n v="844"/>
    <n v="0"/>
    <n v="844"/>
    <n v="844"/>
  </r>
  <r>
    <s v="ORD3809849"/>
    <s v="CUST0399"/>
    <x v="1"/>
    <x v="129"/>
    <d v="1899-12-30T10:01:00"/>
    <s v="Cancelled"/>
    <n v="704"/>
    <n v="35.200000000000003"/>
    <n v="0"/>
    <n v="704"/>
  </r>
  <r>
    <s v="ORD9386347"/>
    <s v="CUST0108"/>
    <x v="0"/>
    <x v="146"/>
    <d v="1899-12-30T19:05:00"/>
    <s v="Delivered"/>
    <n v="485"/>
    <n v="0"/>
    <n v="485"/>
    <n v="485"/>
  </r>
  <r>
    <s v="ORD1897639"/>
    <s v="CUST0386"/>
    <x v="0"/>
    <x v="30"/>
    <d v="1899-12-30T15:29:00"/>
    <s v="Delivered"/>
    <n v="228"/>
    <n v="0"/>
    <n v="228"/>
    <n v="228"/>
  </r>
  <r>
    <s v="ORD9877751"/>
    <s v="CUST0371"/>
    <x v="1"/>
    <x v="44"/>
    <d v="1899-12-30T22:08:00"/>
    <s v="Delivered"/>
    <n v="754"/>
    <n v="37.700000000000003"/>
    <n v="716.3"/>
    <n v="754"/>
  </r>
  <r>
    <s v="ORD5731929"/>
    <s v="CUST0267"/>
    <x v="1"/>
    <x v="218"/>
    <d v="1899-12-30T13:49:00"/>
    <s v="Delivered"/>
    <n v="267"/>
    <n v="0"/>
    <n v="267"/>
    <n v="267"/>
  </r>
  <r>
    <s v="ORD6480097"/>
    <s v="CUST0005"/>
    <x v="0"/>
    <x v="89"/>
    <d v="1899-12-30T18:55:00"/>
    <s v="Delivered"/>
    <n v="475"/>
    <n v="0"/>
    <n v="475"/>
    <n v="475"/>
  </r>
  <r>
    <s v="ORD1020737"/>
    <s v="CUST0405"/>
    <x v="1"/>
    <x v="184"/>
    <d v="1899-12-30T15:53:00"/>
    <s v="Delivered"/>
    <n v="1052"/>
    <n v="0"/>
    <n v="1052"/>
    <n v="1052"/>
  </r>
  <r>
    <s v="ORD6480092"/>
    <s v="CUST0479"/>
    <x v="1"/>
    <x v="218"/>
    <d v="1899-12-30T17:27:00"/>
    <s v="Delivered"/>
    <n v="168"/>
    <n v="0"/>
    <n v="168"/>
    <n v="168"/>
  </r>
  <r>
    <s v="ORD8087699"/>
    <s v="CUST0247"/>
    <x v="2"/>
    <x v="57"/>
    <d v="1899-12-30T09:09:00"/>
    <s v="Delivered"/>
    <n v="257"/>
    <n v="0"/>
    <n v="257"/>
    <n v="257"/>
  </r>
  <r>
    <s v="ORD1375480"/>
    <s v="CUST0219"/>
    <x v="2"/>
    <x v="159"/>
    <d v="1899-12-30T10:27:00"/>
    <s v="Delivered"/>
    <n v="514"/>
    <n v="51.4"/>
    <n v="462.6"/>
    <n v="514"/>
  </r>
  <r>
    <s v="ORD1127128"/>
    <s v="CUST0450"/>
    <x v="0"/>
    <x v="47"/>
    <d v="1899-12-30T11:52:00"/>
    <s v="Delivered"/>
    <n v="238"/>
    <n v="0"/>
    <n v="238"/>
    <n v="238"/>
  </r>
  <r>
    <s v="ORD6171733"/>
    <s v="CUST0189"/>
    <x v="1"/>
    <x v="193"/>
    <d v="1899-12-30T21:28:00"/>
    <s v="Cancelled"/>
    <n v="238"/>
    <n v="0"/>
    <n v="0"/>
    <n v="238"/>
  </r>
  <r>
    <s v="ORD2785515"/>
    <s v="CUST0129"/>
    <x v="1"/>
    <x v="114"/>
    <d v="1899-12-30T17:15:00"/>
    <s v="Delivered"/>
    <n v="891"/>
    <n v="133.65"/>
    <n v="757.35"/>
    <n v="891"/>
  </r>
  <r>
    <s v="ORD2509625"/>
    <s v="CUST0205"/>
    <x v="1"/>
    <x v="94"/>
    <d v="1899-12-30T16:28:00"/>
    <s v="Delivered"/>
    <n v="645"/>
    <n v="64.5"/>
    <n v="580.5"/>
    <n v="645"/>
  </r>
  <r>
    <s v="ORD6749870"/>
    <s v="CUST0369"/>
    <x v="1"/>
    <x v="188"/>
    <d v="1899-12-30T16:55:00"/>
    <s v="Delivered"/>
    <n v="277"/>
    <n v="0"/>
    <n v="277"/>
    <n v="277"/>
  </r>
  <r>
    <s v="ORD9903570"/>
    <s v="CUST0446"/>
    <x v="1"/>
    <x v="293"/>
    <d v="1899-12-30T16:52:00"/>
    <s v="Delivered"/>
    <n v="178"/>
    <n v="17.8"/>
    <n v="160.19999999999999"/>
    <n v="178"/>
  </r>
  <r>
    <s v="ORD8205561"/>
    <s v="CUST0182"/>
    <x v="1"/>
    <x v="155"/>
    <d v="1899-12-30T20:43:00"/>
    <s v="Cancelled"/>
    <n v="158"/>
    <n v="0"/>
    <n v="0"/>
    <n v="158"/>
  </r>
  <r>
    <s v="ORD8373187"/>
    <s v="CUST0422"/>
    <x v="0"/>
    <x v="300"/>
    <d v="1899-12-30T19:10:00"/>
    <s v="Delivered"/>
    <n v="574"/>
    <n v="28.7"/>
    <n v="545.29999999999995"/>
    <n v="574"/>
  </r>
  <r>
    <s v="ORD1418312"/>
    <s v="CUST0160"/>
    <x v="2"/>
    <x v="217"/>
    <d v="1899-12-30T19:06:00"/>
    <s v="Delivered"/>
    <n v="397"/>
    <n v="0"/>
    <n v="397"/>
    <n v="397"/>
  </r>
  <r>
    <s v="ORD5522403"/>
    <s v="CUST0421"/>
    <x v="0"/>
    <x v="13"/>
    <d v="1899-12-30T20:04:00"/>
    <s v="Delivered"/>
    <n v="495"/>
    <n v="24.75"/>
    <n v="470.25"/>
    <n v="495"/>
  </r>
  <r>
    <s v="ORD9336696"/>
    <s v="CUST0414"/>
    <x v="0"/>
    <x v="214"/>
    <d v="1899-12-30T20:02:00"/>
    <s v="Delivered"/>
    <n v="406"/>
    <n v="40.6"/>
    <n v="365.4"/>
    <n v="406"/>
  </r>
  <r>
    <s v="ORD2670620"/>
    <s v="CUST0211"/>
    <x v="2"/>
    <x v="278"/>
    <d v="1899-12-30T18:06:00"/>
    <s v="Delivered"/>
    <n v="287"/>
    <n v="0"/>
    <n v="287"/>
    <n v="287"/>
  </r>
  <r>
    <s v="ORD9646777"/>
    <s v="CUST0378"/>
    <x v="0"/>
    <x v="285"/>
    <d v="1899-12-30T17:13:00"/>
    <s v="Cancelled"/>
    <n v="356"/>
    <n v="0"/>
    <n v="0"/>
    <n v="356"/>
  </r>
  <r>
    <s v="ORD1855315"/>
    <s v="CUST0014"/>
    <x v="1"/>
    <x v="322"/>
    <d v="1899-12-30T21:08:00"/>
    <s v="Delivered"/>
    <n v="218"/>
    <n v="0"/>
    <n v="218"/>
    <n v="218"/>
  </r>
  <r>
    <s v="ORD2595144"/>
    <s v="CUST0339"/>
    <x v="0"/>
    <x v="97"/>
    <d v="1899-12-30T01:51:00"/>
    <s v="Delivered"/>
    <n v="1399"/>
    <n v="0"/>
    <n v="1399"/>
    <n v="1399"/>
  </r>
  <r>
    <s v="ORD9449836"/>
    <s v="CUST0375"/>
    <x v="0"/>
    <x v="334"/>
    <d v="1899-12-30T19:01:00"/>
    <s v="Cancelled"/>
    <n v="1726"/>
    <n v="86.3"/>
    <n v="0"/>
    <n v="1726"/>
  </r>
  <r>
    <s v="ORD4911403"/>
    <s v="CUST0263"/>
    <x v="0"/>
    <x v="335"/>
    <d v="1899-12-30T18:33:00"/>
    <s v="Delivered"/>
    <n v="435"/>
    <n v="0"/>
    <n v="435"/>
    <n v="435"/>
  </r>
  <r>
    <s v="ORD2428211"/>
    <s v="CUST0097"/>
    <x v="1"/>
    <x v="61"/>
    <d v="1899-12-30T11:53:00"/>
    <s v="Delivered"/>
    <n v="873"/>
    <n v="0"/>
    <n v="873"/>
    <n v="873"/>
  </r>
  <r>
    <s v="ORD8773875"/>
    <s v="CUST0463"/>
    <x v="0"/>
    <x v="94"/>
    <d v="1899-12-30T19:35:00"/>
    <s v="Delivered"/>
    <n v="505"/>
    <n v="0"/>
    <n v="505"/>
    <n v="505"/>
  </r>
  <r>
    <s v="ORD6949369"/>
    <s v="CUST0298"/>
    <x v="1"/>
    <x v="41"/>
    <d v="1899-12-30T10:50:00"/>
    <s v="Delivered"/>
    <n v="158"/>
    <n v="0"/>
    <n v="158"/>
    <n v="158"/>
  </r>
  <r>
    <s v="ORD7331500"/>
    <s v="CUST0115"/>
    <x v="1"/>
    <x v="262"/>
    <d v="1899-12-30T23:35:00"/>
    <s v="Delivered"/>
    <n v="158"/>
    <n v="0"/>
    <n v="158"/>
    <n v="158"/>
  </r>
  <r>
    <s v="ORD8073819"/>
    <s v="CUST0328"/>
    <x v="1"/>
    <x v="253"/>
    <d v="1899-12-30T17:18:00"/>
    <s v="Delivered"/>
    <n v="515"/>
    <n v="0"/>
    <n v="515"/>
    <n v="515"/>
  </r>
  <r>
    <s v="ORD6965497"/>
    <s v="CUST0082"/>
    <x v="2"/>
    <x v="138"/>
    <d v="1899-12-30T19:09:00"/>
    <s v="Cancelled"/>
    <n v="435"/>
    <n v="0"/>
    <n v="0"/>
    <n v="435"/>
  </r>
  <r>
    <s v="ORD1689341"/>
    <s v="CUST0257"/>
    <x v="1"/>
    <x v="308"/>
    <d v="1899-12-30T20:44:00"/>
    <s v="Delivered"/>
    <n v="942"/>
    <n v="94.2"/>
    <n v="847.8"/>
    <n v="942"/>
  </r>
  <r>
    <s v="ORD6031481"/>
    <s v="CUST0427"/>
    <x v="1"/>
    <x v="219"/>
    <d v="1899-12-30T16:39:00"/>
    <s v="Delivered"/>
    <n v="595"/>
    <n v="59.5"/>
    <n v="535.5"/>
    <n v="595"/>
  </r>
  <r>
    <s v="ORD4432133"/>
    <s v="CUST0084"/>
    <x v="2"/>
    <x v="97"/>
    <d v="1899-12-30T01:52:00"/>
    <s v="Delivered"/>
    <n v="158"/>
    <n v="0"/>
    <n v="158"/>
    <n v="158"/>
  </r>
  <r>
    <s v="ORD9573888"/>
    <s v="CUST0131"/>
    <x v="1"/>
    <x v="270"/>
    <d v="1899-12-30T09:58:00"/>
    <s v="Delivered"/>
    <n v="755"/>
    <n v="0"/>
    <n v="755"/>
    <n v="755"/>
  </r>
  <r>
    <s v="ORD6333203"/>
    <s v="CUST0316"/>
    <x v="1"/>
    <x v="33"/>
    <d v="1899-12-30T18:07:00"/>
    <s v="Delivered"/>
    <n v="1168"/>
    <n v="0"/>
    <n v="1168"/>
    <n v="1168"/>
  </r>
  <r>
    <s v="ORD1701806"/>
    <s v="CUST0305"/>
    <x v="0"/>
    <x v="206"/>
    <d v="1899-12-30T21:16:00"/>
    <s v="Delivered"/>
    <n v="405"/>
    <n v="0"/>
    <n v="405"/>
    <n v="405"/>
  </r>
  <r>
    <s v="ORD4098885"/>
    <s v="CUST0116"/>
    <x v="0"/>
    <x v="137"/>
    <d v="1899-12-30T10:50:00"/>
    <s v="Delivered"/>
    <n v="754"/>
    <n v="0"/>
    <n v="754"/>
    <n v="754"/>
  </r>
  <r>
    <s v="ORD6240368"/>
    <s v="CUST0477"/>
    <x v="0"/>
    <x v="208"/>
    <d v="1899-12-30T19:19:00"/>
    <s v="Delivered"/>
    <n v="496"/>
    <n v="24.8"/>
    <n v="471.2"/>
    <n v="496"/>
  </r>
  <r>
    <s v="ORD7061877"/>
    <s v="CUST0352"/>
    <x v="0"/>
    <x v="10"/>
    <d v="1899-12-30T09:54:00"/>
    <s v="Delivered"/>
    <n v="406"/>
    <n v="20.3"/>
    <n v="385.7"/>
    <n v="406"/>
  </r>
  <r>
    <s v="ORD6274555"/>
    <s v="CUST0203"/>
    <x v="1"/>
    <x v="287"/>
    <d v="1899-12-30T20:51:00"/>
    <s v="Delivered"/>
    <n v="317"/>
    <n v="0"/>
    <n v="317"/>
    <n v="317"/>
  </r>
  <r>
    <s v="ORD6052169"/>
    <s v="CUST0305"/>
    <x v="0"/>
    <x v="48"/>
    <d v="1899-12-30T16:01:00"/>
    <s v="Delivered"/>
    <n v="475"/>
    <n v="0"/>
    <n v="475"/>
    <n v="475"/>
  </r>
  <r>
    <s v="ORD8236684"/>
    <s v="CUST0286"/>
    <x v="0"/>
    <x v="283"/>
    <d v="1899-12-30T21:55:00"/>
    <s v="Delivered"/>
    <n v="296"/>
    <n v="0"/>
    <n v="296"/>
    <n v="296"/>
  </r>
  <r>
    <s v="ORD1489629"/>
    <s v="CUST0227"/>
    <x v="1"/>
    <x v="197"/>
    <d v="1899-12-30T22:48:00"/>
    <s v="Delivered"/>
    <n v="544"/>
    <n v="0"/>
    <n v="544"/>
    <n v="544"/>
  </r>
  <r>
    <s v="ORD7785319"/>
    <s v="CUST0401"/>
    <x v="1"/>
    <x v="166"/>
    <d v="1899-12-30T17:54:00"/>
    <s v="Delivered"/>
    <n v="386"/>
    <n v="0"/>
    <n v="386"/>
    <n v="386"/>
  </r>
  <r>
    <s v="ORD8138632"/>
    <s v="CUST0356"/>
    <x v="2"/>
    <x v="166"/>
    <d v="1899-12-30T16:00:00"/>
    <s v="Delivered"/>
    <n v="1279"/>
    <n v="0"/>
    <n v="1279"/>
    <n v="1279"/>
  </r>
  <r>
    <s v="ORD3967512"/>
    <s v="CUST0015"/>
    <x v="1"/>
    <x v="336"/>
    <d v="1899-12-30T16:24:00"/>
    <s v="Delivered"/>
    <n v="652"/>
    <n v="0"/>
    <n v="652"/>
    <n v="652"/>
  </r>
  <r>
    <s v="ORD9661579"/>
    <s v="CUST0056"/>
    <x v="1"/>
    <x v="134"/>
    <d v="1899-12-30T20:00:00"/>
    <s v="Delivered"/>
    <n v="248"/>
    <n v="0"/>
    <n v="248"/>
    <n v="248"/>
  </r>
  <r>
    <s v="ORD3263414"/>
    <s v="CUST0411"/>
    <x v="1"/>
    <x v="302"/>
    <d v="1899-12-30T16:59:00"/>
    <s v="Delivered"/>
    <n v="367"/>
    <n v="0"/>
    <n v="367"/>
    <n v="367"/>
  </r>
  <r>
    <s v="ORD7473815"/>
    <s v="CUST0117"/>
    <x v="1"/>
    <x v="171"/>
    <d v="1899-12-30T22:21:00"/>
    <s v="Delivered"/>
    <n v="495"/>
    <n v="24.75"/>
    <n v="470.25"/>
    <n v="495"/>
  </r>
  <r>
    <s v="ORD4901721"/>
    <s v="CUST0159"/>
    <x v="1"/>
    <x v="184"/>
    <d v="1899-12-30T20:11:00"/>
    <s v="Delivered"/>
    <n v="594"/>
    <n v="59.4"/>
    <n v="534.6"/>
    <n v="594"/>
  </r>
  <r>
    <s v="ORD3443467"/>
    <s v="CUST0240"/>
    <x v="1"/>
    <x v="118"/>
    <d v="1899-12-30T13:41:00"/>
    <s v="Delivered"/>
    <n v="999"/>
    <n v="0"/>
    <n v="999"/>
    <n v="999"/>
  </r>
  <r>
    <s v="ORD7679747"/>
    <s v="CUST0225"/>
    <x v="2"/>
    <x v="65"/>
    <d v="1899-12-30T10:28:00"/>
    <s v="Delivered"/>
    <n v="655"/>
    <n v="98.25"/>
    <n v="556.75"/>
    <n v="655"/>
  </r>
  <r>
    <s v="ORD1211654"/>
    <s v="CUST0244"/>
    <x v="1"/>
    <x v="313"/>
    <d v="1899-12-30T10:57:00"/>
    <s v="Delivered"/>
    <n v="278"/>
    <n v="0"/>
    <n v="278"/>
    <n v="278"/>
  </r>
  <r>
    <s v="ORD7486289"/>
    <s v="CUST0326"/>
    <x v="1"/>
    <x v="128"/>
    <d v="1899-12-30T18:45:00"/>
    <s v="Cancelled"/>
    <n v="603"/>
    <n v="0"/>
    <n v="0"/>
    <n v="603"/>
  </r>
  <r>
    <s v="ORD7649465"/>
    <s v="CUST0054"/>
    <x v="0"/>
    <x v="265"/>
    <d v="1899-12-30T01:47:00"/>
    <s v="Delivered"/>
    <n v="326"/>
    <n v="0"/>
    <n v="326"/>
    <n v="326"/>
  </r>
  <r>
    <s v="ORD9921066"/>
    <s v="CUST0135"/>
    <x v="1"/>
    <x v="118"/>
    <d v="1899-12-30T14:16:00"/>
    <s v="Delivered"/>
    <n v="982"/>
    <n v="0"/>
    <n v="982"/>
    <n v="982"/>
  </r>
  <r>
    <s v="ORD3467652"/>
    <s v="CUST0330"/>
    <x v="0"/>
    <x v="231"/>
    <d v="1899-12-30T14:15:00"/>
    <s v="Delivered"/>
    <n v="894"/>
    <n v="89.4"/>
    <n v="804.6"/>
    <n v="894"/>
  </r>
  <r>
    <s v="ORD2022082"/>
    <s v="CUST0455"/>
    <x v="0"/>
    <x v="16"/>
    <d v="1899-12-30T17:56:00"/>
    <s v="Delivered"/>
    <n v="456"/>
    <n v="22.8"/>
    <n v="433.2"/>
    <n v="456"/>
  </r>
  <r>
    <s v="ORD3936508"/>
    <s v="CUST0196"/>
    <x v="0"/>
    <x v="178"/>
    <d v="1899-12-30T23:47:00"/>
    <s v="Delivered"/>
    <n v="188"/>
    <n v="9.4"/>
    <n v="178.6"/>
    <n v="188"/>
  </r>
  <r>
    <s v="ORD9388090"/>
    <s v="CUST0331"/>
    <x v="0"/>
    <x v="241"/>
    <d v="1899-12-30T11:07:00"/>
    <s v="Delivered"/>
    <n v="593"/>
    <n v="0"/>
    <n v="593"/>
    <n v="593"/>
  </r>
  <r>
    <s v="ORD3444535"/>
    <s v="CUST0474"/>
    <x v="1"/>
    <x v="31"/>
    <d v="1899-12-30T20:35:00"/>
    <s v="Delivered"/>
    <n v="79"/>
    <n v="3.95"/>
    <n v="75.05"/>
    <n v="79"/>
  </r>
  <r>
    <s v="ORD7365316"/>
    <s v="CUST0198"/>
    <x v="1"/>
    <x v="325"/>
    <d v="1899-12-30T21:33:00"/>
    <s v="Delivered"/>
    <n v="297"/>
    <n v="0"/>
    <n v="297"/>
    <n v="297"/>
  </r>
  <r>
    <s v="ORD1187973"/>
    <s v="CUST0367"/>
    <x v="1"/>
    <x v="105"/>
    <d v="1899-12-30T01:30:00"/>
    <s v="Delivered"/>
    <n v="89"/>
    <n v="0"/>
    <n v="89"/>
    <n v="89"/>
  </r>
  <r>
    <s v="ORD6357379"/>
    <s v="CUST0284"/>
    <x v="1"/>
    <x v="295"/>
    <d v="1899-12-30T12:57:00"/>
    <s v="Delivered"/>
    <n v="784"/>
    <n v="0"/>
    <n v="784"/>
    <n v="784"/>
  </r>
  <r>
    <s v="ORD6308180"/>
    <s v="CUST0444"/>
    <x v="2"/>
    <x v="95"/>
    <d v="1899-12-30T18:26:00"/>
    <s v="Delivered"/>
    <n v="267"/>
    <n v="26.7"/>
    <n v="240.3"/>
    <n v="267"/>
  </r>
  <r>
    <s v="ORD8340617"/>
    <s v="CUST0381"/>
    <x v="0"/>
    <x v="279"/>
    <d v="1899-12-30T18:21:00"/>
    <s v="Delivered"/>
    <n v="415"/>
    <n v="0"/>
    <n v="415"/>
    <n v="415"/>
  </r>
  <r>
    <s v="ORD2451929"/>
    <s v="CUST0470"/>
    <x v="1"/>
    <x v="227"/>
    <d v="1899-12-30T21:25:00"/>
    <s v="Delivered"/>
    <n v="207"/>
    <n v="0"/>
    <n v="207"/>
    <n v="207"/>
  </r>
  <r>
    <s v="ORD9771006"/>
    <s v="CUST0317"/>
    <x v="1"/>
    <x v="316"/>
    <d v="1899-12-30T13:49:00"/>
    <s v="Cancelled"/>
    <n v="447"/>
    <n v="0"/>
    <n v="0"/>
    <n v="447"/>
  </r>
  <r>
    <s v="ORD7799074"/>
    <s v="CUST0274"/>
    <x v="0"/>
    <x v="38"/>
    <d v="1899-12-30T17:24:00"/>
    <s v="Delivered"/>
    <n v="198"/>
    <n v="0"/>
    <n v="198"/>
    <n v="198"/>
  </r>
  <r>
    <s v="ORD9141900"/>
    <s v="CUST0350"/>
    <x v="0"/>
    <x v="67"/>
    <d v="1899-12-30T19:33:00"/>
    <s v="Cancelled"/>
    <n v="297"/>
    <n v="29.7"/>
    <n v="0"/>
    <n v="297"/>
  </r>
  <r>
    <s v="ORD1392144"/>
    <s v="CUST0233"/>
    <x v="2"/>
    <x v="78"/>
    <d v="1899-12-30T16:36:00"/>
    <s v="Cancelled"/>
    <n v="317"/>
    <n v="0"/>
    <n v="0"/>
    <n v="317"/>
  </r>
  <r>
    <s v="ORD4133513"/>
    <s v="CUST0287"/>
    <x v="0"/>
    <x v="218"/>
    <d v="1899-12-30T23:36:00"/>
    <s v="Delivered"/>
    <n v="98"/>
    <n v="14.7"/>
    <n v="83.3"/>
    <n v="98"/>
  </r>
  <r>
    <s v="ORD9564714"/>
    <s v="CUST0237"/>
    <x v="1"/>
    <x v="184"/>
    <d v="1899-12-30T16:50:00"/>
    <s v="Delivered"/>
    <n v="564"/>
    <n v="0"/>
    <n v="564"/>
    <n v="564"/>
  </r>
  <r>
    <s v="ORD7758079"/>
    <s v="CUST0075"/>
    <x v="1"/>
    <x v="6"/>
    <d v="1899-12-30T21:35:00"/>
    <s v="Delivered"/>
    <n v="455"/>
    <n v="22.75"/>
    <n v="432.25"/>
    <n v="455"/>
  </r>
  <r>
    <s v="ORD3212752"/>
    <s v="CUST0375"/>
    <x v="1"/>
    <x v="221"/>
    <d v="1899-12-30T13:46:00"/>
    <s v="Delivered"/>
    <n v="932"/>
    <n v="46.6"/>
    <n v="885.4"/>
    <n v="932"/>
  </r>
  <r>
    <s v="ORD1303026"/>
    <s v="CUST0001"/>
    <x v="0"/>
    <x v="126"/>
    <d v="1899-12-30T22:53:00"/>
    <s v="Delivered"/>
    <n v="356"/>
    <n v="0"/>
    <n v="356"/>
    <n v="356"/>
  </r>
  <r>
    <s v="ORD5671550"/>
    <s v="CUST0109"/>
    <x v="0"/>
    <x v="108"/>
    <d v="1899-12-30T22:10:00"/>
    <s v="Delivered"/>
    <n v="852"/>
    <n v="42.6"/>
    <n v="809.4"/>
    <n v="852"/>
  </r>
  <r>
    <s v="ORD8041150"/>
    <s v="CUST0047"/>
    <x v="1"/>
    <x v="335"/>
    <d v="1899-12-30T19:15:00"/>
    <s v="Delivered"/>
    <n v="316"/>
    <n v="0"/>
    <n v="316"/>
    <n v="316"/>
  </r>
  <r>
    <s v="ORD1989886"/>
    <s v="CUST0358"/>
    <x v="0"/>
    <x v="275"/>
    <d v="1899-12-30T20:41:00"/>
    <s v="Delivered"/>
    <n v="89"/>
    <n v="0"/>
    <n v="89"/>
    <n v="89"/>
  </r>
  <r>
    <s v="ORD2356787"/>
    <s v="CUST0162"/>
    <x v="1"/>
    <x v="124"/>
    <d v="1899-12-30T01:05:00"/>
    <s v="Delivered"/>
    <n v="277"/>
    <n v="0"/>
    <n v="277"/>
    <n v="277"/>
  </r>
  <r>
    <s v="ORD1077233"/>
    <s v="CUST0161"/>
    <x v="0"/>
    <x v="164"/>
    <d v="1899-12-30T19:37:00"/>
    <s v="Delivered"/>
    <n v="367"/>
    <n v="0"/>
    <n v="367"/>
    <n v="367"/>
  </r>
  <r>
    <s v="ORD9756078"/>
    <s v="CUST0416"/>
    <x v="0"/>
    <x v="1"/>
    <d v="1899-12-30T18:14:00"/>
    <s v="Delivered"/>
    <n v="376"/>
    <n v="0"/>
    <n v="376"/>
    <n v="376"/>
  </r>
  <r>
    <s v="ORD9634736"/>
    <s v="CUST0429"/>
    <x v="0"/>
    <x v="147"/>
    <d v="1899-12-30T16:26:00"/>
    <s v="Delivered"/>
    <n v="692"/>
    <n v="0"/>
    <n v="692"/>
    <n v="692"/>
  </r>
  <r>
    <s v="ORD8856301"/>
    <s v="CUST0351"/>
    <x v="1"/>
    <x v="143"/>
    <d v="1899-12-30T15:14:00"/>
    <s v="Delivered"/>
    <n v="178"/>
    <n v="0"/>
    <n v="178"/>
    <n v="178"/>
  </r>
  <r>
    <s v="ORD5580322"/>
    <s v="CUST0272"/>
    <x v="1"/>
    <x v="228"/>
    <d v="1899-12-30T17:26:00"/>
    <s v="Delivered"/>
    <n v="387"/>
    <n v="0"/>
    <n v="387"/>
    <n v="387"/>
  </r>
  <r>
    <s v="ORD3967499"/>
    <s v="CUST0100"/>
    <x v="0"/>
    <x v="171"/>
    <d v="1899-12-30T20:32:00"/>
    <s v="Delivered"/>
    <n v="582"/>
    <n v="58.2"/>
    <n v="523.79999999999995"/>
    <n v="582"/>
  </r>
  <r>
    <s v="ORD6912948"/>
    <s v="CUST0230"/>
    <x v="0"/>
    <x v="142"/>
    <d v="1899-12-30T15:23:00"/>
    <s v="Delivered"/>
    <n v="356"/>
    <n v="0"/>
    <n v="356"/>
    <n v="356"/>
  </r>
  <r>
    <s v="ORD6192100"/>
    <s v="CUST0022"/>
    <x v="1"/>
    <x v="201"/>
    <d v="1899-12-30T18:06:00"/>
    <s v="Delivered"/>
    <n v="605"/>
    <n v="0"/>
    <n v="605"/>
    <n v="605"/>
  </r>
  <r>
    <s v="ORD8468968"/>
    <s v="CUST0169"/>
    <x v="0"/>
    <x v="195"/>
    <d v="1899-12-30T09:09:00"/>
    <s v="Delivered"/>
    <n v="159"/>
    <n v="23.85"/>
    <n v="135.15"/>
    <n v="159"/>
  </r>
  <r>
    <s v="ORD2395156"/>
    <s v="CUST0471"/>
    <x v="2"/>
    <x v="3"/>
    <d v="1899-12-30T14:52:00"/>
    <s v="Delivered"/>
    <n v="1127"/>
    <n v="112.7"/>
    <n v="1014.3"/>
    <n v="1127"/>
  </r>
  <r>
    <s v="ORD4600370"/>
    <s v="CUST0164"/>
    <x v="1"/>
    <x v="70"/>
    <d v="1899-12-30T09:05:00"/>
    <s v="Delivered"/>
    <n v="773"/>
    <n v="38.65"/>
    <n v="734.35"/>
    <n v="773"/>
  </r>
  <r>
    <s v="ORD8779521"/>
    <s v="CUST0098"/>
    <x v="0"/>
    <x v="193"/>
    <d v="1899-12-30T19:45:00"/>
    <s v="Cancelled"/>
    <n v="387"/>
    <n v="0"/>
    <n v="0"/>
    <n v="387"/>
  </r>
  <r>
    <s v="ORD6101321"/>
    <s v="CUST0347"/>
    <x v="0"/>
    <x v="206"/>
    <d v="1899-12-30T19:18:00"/>
    <s v="Delivered"/>
    <n v="158"/>
    <n v="7.9"/>
    <n v="150.1"/>
    <n v="158"/>
  </r>
  <r>
    <s v="ORD6031351"/>
    <s v="CUST0146"/>
    <x v="1"/>
    <x v="59"/>
    <d v="1899-12-30T21:48:00"/>
    <s v="Cancelled"/>
    <n v="1178"/>
    <n v="0"/>
    <n v="0"/>
    <n v="1178"/>
  </r>
  <r>
    <s v="ORD1557971"/>
    <s v="CUST0186"/>
    <x v="1"/>
    <x v="269"/>
    <d v="1899-12-30T17:02:00"/>
    <s v="Delivered"/>
    <n v="228"/>
    <n v="0"/>
    <n v="228"/>
    <n v="228"/>
  </r>
  <r>
    <s v="ORD8369095"/>
    <s v="CUST0038"/>
    <x v="0"/>
    <x v="232"/>
    <d v="1899-12-30T23:03:00"/>
    <s v="Delivered"/>
    <n v="693"/>
    <n v="0"/>
    <n v="693"/>
    <n v="693"/>
  </r>
  <r>
    <s v="ORD5848213"/>
    <s v="CUST0100"/>
    <x v="0"/>
    <x v="126"/>
    <d v="1899-12-30T12:42:00"/>
    <s v="Delivered"/>
    <n v="326"/>
    <n v="0"/>
    <n v="326"/>
    <n v="326"/>
  </r>
  <r>
    <s v="ORD1185458"/>
    <s v="CUST0325"/>
    <x v="1"/>
    <x v="337"/>
    <d v="1899-12-30T17:10:00"/>
    <s v="Delivered"/>
    <n v="108"/>
    <n v="0"/>
    <n v="108"/>
    <n v="108"/>
  </r>
  <r>
    <s v="ORD3507382"/>
    <s v="CUST0322"/>
    <x v="1"/>
    <x v="303"/>
    <d v="1899-12-30T20:03:00"/>
    <s v="Delivered"/>
    <n v="585"/>
    <n v="0"/>
    <n v="585"/>
    <n v="585"/>
  </r>
  <r>
    <s v="ORD7945843"/>
    <s v="CUST0003"/>
    <x v="0"/>
    <x v="25"/>
    <d v="1899-12-30T14:15:00"/>
    <s v="Delivered"/>
    <n v="158"/>
    <n v="0"/>
    <n v="158"/>
    <n v="158"/>
  </r>
  <r>
    <s v="ORD8659445"/>
    <s v="CUST0459"/>
    <x v="0"/>
    <x v="12"/>
    <d v="1899-12-30T16:18:00"/>
    <s v="Delivered"/>
    <n v="345"/>
    <n v="0"/>
    <n v="345"/>
    <n v="345"/>
  </r>
  <r>
    <s v="ORD7631049"/>
    <s v="CUST0217"/>
    <x v="1"/>
    <x v="151"/>
    <d v="1899-12-30T20:49:00"/>
    <s v="Delivered"/>
    <n v="486"/>
    <n v="72.900000000000006"/>
    <n v="413.1"/>
    <n v="486"/>
  </r>
  <r>
    <s v="ORD8774013"/>
    <s v="CUST0040"/>
    <x v="1"/>
    <x v="255"/>
    <d v="1899-12-30T20:11:00"/>
    <s v="Delivered"/>
    <n v="474"/>
    <n v="0"/>
    <n v="474"/>
    <n v="474"/>
  </r>
  <r>
    <s v="ORD2660519"/>
    <s v="CUST0359"/>
    <x v="2"/>
    <x v="88"/>
    <d v="1899-12-30T17:27:00"/>
    <s v="Cancelled"/>
    <n v="741"/>
    <n v="37.049999999999997"/>
    <n v="0"/>
    <n v="741"/>
  </r>
  <r>
    <s v="ORD8323766"/>
    <s v="CUST0396"/>
    <x v="1"/>
    <x v="86"/>
    <d v="1899-12-30T19:06:00"/>
    <s v="Delivered"/>
    <n v="832"/>
    <n v="0"/>
    <n v="832"/>
    <n v="832"/>
  </r>
  <r>
    <s v="ORD1844630"/>
    <s v="CUST0265"/>
    <x v="1"/>
    <x v="34"/>
    <d v="1899-12-30T15:35:00"/>
    <s v="Delivered"/>
    <n v="1331"/>
    <n v="0"/>
    <n v="1331"/>
    <n v="1331"/>
  </r>
  <r>
    <s v="ORD6217575"/>
    <s v="CUST0170"/>
    <x v="2"/>
    <x v="326"/>
    <d v="1899-12-30T20:17:00"/>
    <s v="Delivered"/>
    <n v="406"/>
    <n v="20.3"/>
    <n v="385.7"/>
    <n v="406"/>
  </r>
  <r>
    <s v="ORD3269458"/>
    <s v="CUST0430"/>
    <x v="2"/>
    <x v="115"/>
    <d v="1899-12-30T21:59:00"/>
    <s v="Delivered"/>
    <n v="119"/>
    <n v="0"/>
    <n v="119"/>
    <n v="119"/>
  </r>
  <r>
    <s v="ORD7038145"/>
    <s v="CUST0057"/>
    <x v="1"/>
    <x v="100"/>
    <d v="1899-12-30T23:47:00"/>
    <s v="Delivered"/>
    <n v="336"/>
    <n v="0"/>
    <n v="336"/>
    <n v="336"/>
  </r>
  <r>
    <s v="ORD8363632"/>
    <s v="CUST0437"/>
    <x v="1"/>
    <x v="81"/>
    <d v="1899-12-30T11:14:00"/>
    <s v="Delivered"/>
    <n v="228"/>
    <n v="11.4"/>
    <n v="216.6"/>
    <n v="228"/>
  </r>
  <r>
    <s v="ORD1789113"/>
    <s v="CUST0048"/>
    <x v="1"/>
    <x v="214"/>
    <d v="1899-12-30T11:32:00"/>
    <s v="Delivered"/>
    <n v="416"/>
    <n v="0"/>
    <n v="416"/>
    <n v="416"/>
  </r>
  <r>
    <s v="ORD2609837"/>
    <s v="CUST0183"/>
    <x v="1"/>
    <x v="123"/>
    <d v="1899-12-30T22:29:00"/>
    <s v="Cancelled"/>
    <n v="416"/>
    <n v="0"/>
    <n v="0"/>
    <n v="416"/>
  </r>
  <r>
    <s v="ORD1685796"/>
    <s v="CUST0194"/>
    <x v="2"/>
    <x v="86"/>
    <d v="1899-12-30T22:19:00"/>
    <s v="Delivered"/>
    <n v="553"/>
    <n v="0"/>
    <n v="553"/>
    <n v="553"/>
  </r>
  <r>
    <s v="ORD4406178"/>
    <s v="CUST0078"/>
    <x v="0"/>
    <x v="62"/>
    <d v="1899-12-30T19:10:00"/>
    <s v="Delivered"/>
    <n v="475"/>
    <n v="47.5"/>
    <n v="427.5"/>
    <n v="475"/>
  </r>
  <r>
    <s v="ORD7428437"/>
    <s v="CUST0450"/>
    <x v="2"/>
    <x v="210"/>
    <d v="1899-12-30T22:48:00"/>
    <s v="Delivered"/>
    <n v="347"/>
    <n v="0"/>
    <n v="347"/>
    <n v="347"/>
  </r>
  <r>
    <s v="ORD7568552"/>
    <s v="CUST0226"/>
    <x v="2"/>
    <x v="168"/>
    <d v="1899-12-30T21:02:00"/>
    <s v="Delivered"/>
    <n v="466"/>
    <n v="0"/>
    <n v="466"/>
    <n v="466"/>
  </r>
  <r>
    <s v="ORD2970838"/>
    <s v="CUST0069"/>
    <x v="1"/>
    <x v="218"/>
    <d v="1899-12-30T17:24:00"/>
    <s v="Delivered"/>
    <n v="178"/>
    <n v="17.8"/>
    <n v="160.19999999999999"/>
    <n v="178"/>
  </r>
  <r>
    <s v="ORD9635016"/>
    <s v="CUST0345"/>
    <x v="1"/>
    <x v="232"/>
    <d v="1899-12-30T18:17:00"/>
    <s v="Delivered"/>
    <n v="1109"/>
    <n v="0"/>
    <n v="1109"/>
    <n v="1109"/>
  </r>
  <r>
    <s v="ORD2419946"/>
    <s v="CUST0160"/>
    <x v="2"/>
    <x v="318"/>
    <d v="1899-12-30T17:46:00"/>
    <s v="Cancelled"/>
    <n v="811"/>
    <n v="0"/>
    <n v="0"/>
    <n v="811"/>
  </r>
  <r>
    <s v="ORD7118155"/>
    <s v="CUST0188"/>
    <x v="0"/>
    <x v="248"/>
    <d v="1899-12-30T17:56:00"/>
    <s v="Delivered"/>
    <n v="475"/>
    <n v="0"/>
    <n v="475"/>
    <n v="475"/>
  </r>
  <r>
    <s v="ORD7805976"/>
    <s v="CUST0343"/>
    <x v="0"/>
    <x v="338"/>
    <d v="1899-12-30T14:54:00"/>
    <s v="Delivered"/>
    <n v="476"/>
    <n v="0"/>
    <n v="476"/>
    <n v="476"/>
  </r>
  <r>
    <s v="ORD5500507"/>
    <s v="CUST0233"/>
    <x v="1"/>
    <x v="79"/>
    <d v="1899-12-30T18:50:00"/>
    <s v="Delivered"/>
    <n v="792"/>
    <n v="0"/>
    <n v="792"/>
    <n v="792"/>
  </r>
  <r>
    <s v="ORD3121867"/>
    <s v="CUST0107"/>
    <x v="2"/>
    <x v="36"/>
    <d v="1899-12-30T10:27:00"/>
    <s v="Delivered"/>
    <n v="247"/>
    <n v="24.7"/>
    <n v="222.3"/>
    <n v="247"/>
  </r>
  <r>
    <s v="ORD4109904"/>
    <s v="CUST0045"/>
    <x v="0"/>
    <x v="142"/>
    <d v="1899-12-30T13:32:00"/>
    <s v="Delivered"/>
    <n v="405"/>
    <n v="0"/>
    <n v="405"/>
    <n v="405"/>
  </r>
  <r>
    <s v="ORD2990842"/>
    <s v="CUST0123"/>
    <x v="1"/>
    <x v="241"/>
    <d v="1899-12-30T18:08:00"/>
    <s v="Delivered"/>
    <n v="277"/>
    <n v="27.7"/>
    <n v="249.3"/>
    <n v="277"/>
  </r>
  <r>
    <s v="ORD7970196"/>
    <s v="CUST0460"/>
    <x v="1"/>
    <x v="56"/>
    <d v="1899-12-30T17:50:00"/>
    <s v="Delivered"/>
    <n v="207"/>
    <n v="0"/>
    <n v="207"/>
    <n v="207"/>
  </r>
  <r>
    <s v="ORD1303197"/>
    <s v="CUST0465"/>
    <x v="0"/>
    <x v="167"/>
    <d v="1899-12-30T12:06:00"/>
    <s v="Delivered"/>
    <n v="912"/>
    <n v="91.2"/>
    <n v="820.8"/>
    <n v="912"/>
  </r>
  <r>
    <s v="ORD7085903"/>
    <s v="CUST0163"/>
    <x v="1"/>
    <x v="129"/>
    <d v="1899-12-30T20:17:00"/>
    <s v="Delivered"/>
    <n v="555"/>
    <n v="0"/>
    <n v="555"/>
    <n v="555"/>
  </r>
  <r>
    <s v="ORD1424716"/>
    <s v="CUST0084"/>
    <x v="2"/>
    <x v="203"/>
    <d v="1899-12-30T17:41:00"/>
    <s v="Delivered"/>
    <n v="695"/>
    <n v="0"/>
    <n v="695"/>
    <n v="695"/>
  </r>
  <r>
    <s v="ORD8852250"/>
    <s v="CUST0209"/>
    <x v="1"/>
    <x v="106"/>
    <d v="1899-12-30T21:20:00"/>
    <s v="Delivered"/>
    <n v="158"/>
    <n v="23.7"/>
    <n v="134.30000000000001"/>
    <n v="158"/>
  </r>
  <r>
    <s v="ORD7165419"/>
    <s v="CUST0275"/>
    <x v="1"/>
    <x v="209"/>
    <d v="1899-12-30T22:59:00"/>
    <s v="Delivered"/>
    <n v="625"/>
    <n v="62.5"/>
    <n v="562.5"/>
    <n v="625"/>
  </r>
  <r>
    <s v="ORD6052021"/>
    <s v="CUST0218"/>
    <x v="1"/>
    <x v="277"/>
    <d v="1899-12-30T17:07:00"/>
    <s v="Delivered"/>
    <n v="1000"/>
    <n v="0"/>
    <n v="1000"/>
    <n v="1000"/>
  </r>
  <r>
    <s v="ORD9692233"/>
    <s v="CUST0180"/>
    <x v="0"/>
    <x v="339"/>
    <d v="1899-12-30T20:22:00"/>
    <s v="Delivered"/>
    <n v="467"/>
    <n v="46.7"/>
    <n v="420.3"/>
    <n v="467"/>
  </r>
  <r>
    <s v="ORD4577047"/>
    <s v="CUST0316"/>
    <x v="1"/>
    <x v="274"/>
    <d v="1899-12-30T21:23:00"/>
    <s v="Delivered"/>
    <n v="446"/>
    <n v="0"/>
    <n v="446"/>
    <n v="446"/>
  </r>
  <r>
    <s v="ORD8947055"/>
    <s v="CUST0148"/>
    <x v="1"/>
    <x v="340"/>
    <d v="1899-12-30T17:00:00"/>
    <s v="Delivered"/>
    <n v="503"/>
    <n v="0"/>
    <n v="503"/>
    <n v="503"/>
  </r>
  <r>
    <s v="ORD9352271"/>
    <s v="CUST0262"/>
    <x v="1"/>
    <x v="90"/>
    <d v="1899-12-30T19:02:00"/>
    <s v="Delivered"/>
    <n v="188"/>
    <n v="18.8"/>
    <n v="169.2"/>
    <n v="188"/>
  </r>
  <r>
    <s v="ORD4068301"/>
    <s v="CUST0458"/>
    <x v="2"/>
    <x v="58"/>
    <d v="1899-12-30T20:14:00"/>
    <s v="Delivered"/>
    <n v="843"/>
    <n v="0"/>
    <n v="843"/>
    <n v="843"/>
  </r>
  <r>
    <s v="ORD3562992"/>
    <s v="CUST0111"/>
    <x v="2"/>
    <x v="341"/>
    <d v="1899-12-30T17:13:00"/>
    <s v="Delivered"/>
    <n v="1768"/>
    <n v="0"/>
    <n v="1768"/>
    <n v="1768"/>
  </r>
  <r>
    <s v="ORD3997051"/>
    <s v="CUST0324"/>
    <x v="2"/>
    <x v="79"/>
    <d v="1899-12-30T01:43:00"/>
    <s v="Delivered"/>
    <n v="643"/>
    <n v="32.15"/>
    <n v="610.85"/>
    <n v="643"/>
  </r>
  <r>
    <s v="ORD9032737"/>
    <s v="CUST0427"/>
    <x v="2"/>
    <x v="114"/>
    <d v="1899-12-30T19:15:00"/>
    <s v="Delivered"/>
    <n v="318"/>
    <n v="31.8"/>
    <n v="286.2"/>
    <n v="318"/>
  </r>
  <r>
    <s v="ORD9146459"/>
    <s v="CUST0424"/>
    <x v="1"/>
    <x v="208"/>
    <d v="1899-12-30T13:06:00"/>
    <s v="Delivered"/>
    <n v="277"/>
    <n v="41.55"/>
    <n v="235.45"/>
    <n v="277"/>
  </r>
  <r>
    <s v="ORD5812104"/>
    <s v="CUST0339"/>
    <x v="1"/>
    <x v="292"/>
    <d v="1899-12-30T11:25:00"/>
    <s v="Delivered"/>
    <n v="218"/>
    <n v="0"/>
    <n v="218"/>
    <n v="218"/>
  </r>
  <r>
    <s v="ORD3923931"/>
    <s v="CUST0292"/>
    <x v="1"/>
    <x v="342"/>
    <d v="1899-12-30T18:16:00"/>
    <s v="Delivered"/>
    <n v="387"/>
    <n v="0"/>
    <n v="387"/>
    <n v="387"/>
  </r>
  <r>
    <s v="ORD7307818"/>
    <s v="CUST0478"/>
    <x v="0"/>
    <x v="270"/>
    <d v="1899-12-30T16:36:00"/>
    <s v="Cancelled"/>
    <n v="1052"/>
    <n v="0"/>
    <n v="0"/>
    <n v="1052"/>
  </r>
  <r>
    <s v="ORD2612189"/>
    <s v="CUST0444"/>
    <x v="0"/>
    <x v="187"/>
    <d v="1899-12-30T10:39:00"/>
    <s v="Delivered"/>
    <n v="484"/>
    <n v="0"/>
    <n v="484"/>
    <n v="484"/>
  </r>
  <r>
    <s v="ORD9778172"/>
    <s v="CUST0208"/>
    <x v="1"/>
    <x v="204"/>
    <d v="1899-12-30T21:29:00"/>
    <s v="Delivered"/>
    <n v="347"/>
    <n v="0"/>
    <n v="347"/>
    <n v="347"/>
  </r>
  <r>
    <s v="ORD8723932"/>
    <s v="CUST0346"/>
    <x v="0"/>
    <x v="332"/>
    <d v="1899-12-30T21:24:00"/>
    <s v="Delivered"/>
    <n v="634"/>
    <n v="0"/>
    <n v="634"/>
    <n v="634"/>
  </r>
  <r>
    <s v="ORD7412776"/>
    <s v="CUST0060"/>
    <x v="0"/>
    <x v="232"/>
    <d v="1899-12-30T13:12:00"/>
    <s v="Delivered"/>
    <n v="496"/>
    <n v="0"/>
    <n v="496"/>
    <n v="496"/>
  </r>
  <r>
    <s v="ORD1394582"/>
    <s v="CUST0301"/>
    <x v="1"/>
    <x v="11"/>
    <d v="1899-12-30T17:07:00"/>
    <s v="Delivered"/>
    <n v="276"/>
    <n v="27.6"/>
    <n v="248.4"/>
    <n v="276"/>
  </r>
  <r>
    <s v="ORD8789111"/>
    <s v="CUST0216"/>
    <x v="2"/>
    <x v="326"/>
    <d v="1899-12-30T09:08:00"/>
    <s v="Delivered"/>
    <n v="347"/>
    <n v="0"/>
    <n v="347"/>
    <n v="347"/>
  </r>
  <r>
    <s v="ORD6831067"/>
    <s v="CUST0418"/>
    <x v="1"/>
    <x v="221"/>
    <d v="1899-12-30T16:26:00"/>
    <s v="Delivered"/>
    <n v="238"/>
    <n v="0"/>
    <n v="238"/>
    <n v="238"/>
  </r>
  <r>
    <s v="ORD4128472"/>
    <s v="CUST0140"/>
    <x v="0"/>
    <x v="60"/>
    <d v="1899-12-30T21:24:00"/>
    <s v="Delivered"/>
    <n v="317"/>
    <n v="0"/>
    <n v="317"/>
    <n v="317"/>
  </r>
  <r>
    <s v="ORD1133496"/>
    <s v="CUST0304"/>
    <x v="1"/>
    <x v="308"/>
    <d v="1899-12-30T21:23:00"/>
    <s v="Delivered"/>
    <n v="356"/>
    <n v="0"/>
    <n v="356"/>
    <n v="356"/>
  </r>
  <r>
    <s v="ORD6627064"/>
    <s v="CUST0149"/>
    <x v="2"/>
    <x v="24"/>
    <d v="1899-12-30T18:39:00"/>
    <s v="Cancelled"/>
    <n v="148"/>
    <n v="0"/>
    <n v="0"/>
    <n v="148"/>
  </r>
  <r>
    <s v="ORD5318419"/>
    <s v="CUST0114"/>
    <x v="1"/>
    <x v="244"/>
    <d v="1899-12-30T13:47:00"/>
    <s v="Delivered"/>
    <n v="485"/>
    <n v="0"/>
    <n v="485"/>
    <n v="485"/>
  </r>
  <r>
    <s v="ORD5523795"/>
    <s v="CUST0146"/>
    <x v="1"/>
    <x v="230"/>
    <d v="1899-12-30T20:28:00"/>
    <s v="Delivered"/>
    <n v="496"/>
    <n v="24.8"/>
    <n v="471.2"/>
    <n v="496"/>
  </r>
  <r>
    <s v="ORD4666262"/>
    <s v="CUST0371"/>
    <x v="1"/>
    <x v="7"/>
    <d v="1899-12-30T17:38:00"/>
    <s v="Delivered"/>
    <n v="446"/>
    <n v="22.3"/>
    <n v="423.7"/>
    <n v="446"/>
  </r>
  <r>
    <s v="ORD3908113"/>
    <s v="CUST0067"/>
    <x v="1"/>
    <x v="226"/>
    <d v="1899-12-30T00:28:00"/>
    <s v="Delivered"/>
    <n v="665"/>
    <n v="0"/>
    <n v="665"/>
    <n v="665"/>
  </r>
  <r>
    <s v="ORD6062881"/>
    <s v="CUST0126"/>
    <x v="1"/>
    <x v="77"/>
    <d v="1899-12-30T17:02:00"/>
    <s v="Delivered"/>
    <n v="466"/>
    <n v="69.900000000000006"/>
    <n v="396.1"/>
    <n v="466"/>
  </r>
  <r>
    <s v="ORD6592155"/>
    <s v="CUST0376"/>
    <x v="2"/>
    <x v="28"/>
    <d v="1899-12-30T16:13:00"/>
    <s v="Delivered"/>
    <n v="1090"/>
    <n v="0"/>
    <n v="1090"/>
    <n v="1090"/>
  </r>
  <r>
    <s v="ORD5380387"/>
    <s v="CUST0112"/>
    <x v="2"/>
    <x v="239"/>
    <d v="1899-12-30T00:39:00"/>
    <s v="Delivered"/>
    <n v="594"/>
    <n v="0"/>
    <n v="594"/>
    <n v="594"/>
  </r>
  <r>
    <s v="ORD3277202"/>
    <s v="CUST0425"/>
    <x v="1"/>
    <x v="81"/>
    <d v="1899-12-30T17:12:00"/>
    <s v="Delivered"/>
    <n v="366"/>
    <n v="36.6"/>
    <n v="329.4"/>
    <n v="366"/>
  </r>
  <r>
    <s v="ORD7647888"/>
    <s v="CUST0346"/>
    <x v="0"/>
    <x v="85"/>
    <d v="1899-12-30T21:44:00"/>
    <s v="Delivered"/>
    <n v="1081"/>
    <n v="0"/>
    <n v="1081"/>
    <n v="1081"/>
  </r>
  <r>
    <s v="ORD9175462"/>
    <s v="CUST0332"/>
    <x v="0"/>
    <x v="91"/>
    <d v="1899-12-30T21:05:00"/>
    <s v="Delivered"/>
    <n v="772"/>
    <n v="0"/>
    <n v="772"/>
    <n v="772"/>
  </r>
  <r>
    <s v="ORD7557264"/>
    <s v="CUST0484"/>
    <x v="1"/>
    <x v="329"/>
    <d v="1899-12-30T20:39:00"/>
    <s v="Delivered"/>
    <n v="924"/>
    <n v="0"/>
    <n v="924"/>
    <n v="924"/>
  </r>
  <r>
    <s v="ORD1272490"/>
    <s v="CUST0120"/>
    <x v="1"/>
    <x v="106"/>
    <d v="1899-12-30T00:50:00"/>
    <s v="Delivered"/>
    <n v="228"/>
    <n v="11.4"/>
    <n v="216.6"/>
    <n v="228"/>
  </r>
  <r>
    <s v="ORD8176895"/>
    <s v="CUST0355"/>
    <x v="1"/>
    <x v="118"/>
    <d v="1899-12-30T16:46:00"/>
    <s v="Delivered"/>
    <n v="456"/>
    <n v="45.6"/>
    <n v="410.4"/>
    <n v="456"/>
  </r>
  <r>
    <s v="ORD7210843"/>
    <s v="CUST0089"/>
    <x v="1"/>
    <x v="33"/>
    <d v="1899-12-30T21:03:00"/>
    <s v="Delivered"/>
    <n v="79"/>
    <n v="0"/>
    <n v="79"/>
    <n v="79"/>
  </r>
  <r>
    <s v="ORD5544163"/>
    <s v="CUST0121"/>
    <x v="1"/>
    <x v="21"/>
    <d v="1899-12-30T22:10:00"/>
    <s v="Delivered"/>
    <n v="198"/>
    <n v="0"/>
    <n v="198"/>
    <n v="198"/>
  </r>
  <r>
    <s v="ORD3741507"/>
    <s v="CUST0233"/>
    <x v="0"/>
    <x v="87"/>
    <d v="1899-12-30T09:05:00"/>
    <s v="Delivered"/>
    <n v="435"/>
    <n v="0"/>
    <n v="435"/>
    <n v="435"/>
  </r>
  <r>
    <s v="ORD8990770"/>
    <s v="CUST0398"/>
    <x v="2"/>
    <x v="343"/>
    <d v="1899-12-30T22:46:00"/>
    <s v="Delivered"/>
    <n v="435"/>
    <n v="0"/>
    <n v="435"/>
    <n v="435"/>
  </r>
  <r>
    <s v="ORD8393823"/>
    <s v="CUST0278"/>
    <x v="1"/>
    <x v="142"/>
    <d v="1899-12-30T18:40:00"/>
    <s v="Delivered"/>
    <n v="724"/>
    <n v="36.200000000000003"/>
    <n v="687.8"/>
    <n v="724"/>
  </r>
  <r>
    <s v="ORD9955283"/>
    <s v="CUST0198"/>
    <x v="1"/>
    <x v="312"/>
    <d v="1899-12-30T21:21:00"/>
    <s v="Delivered"/>
    <n v="337"/>
    <n v="0"/>
    <n v="337"/>
    <n v="337"/>
  </r>
  <r>
    <s v="ORD1790983"/>
    <s v="CUST0044"/>
    <x v="1"/>
    <x v="232"/>
    <d v="1899-12-30T10:08:00"/>
    <s v="Delivered"/>
    <n v="990"/>
    <n v="0"/>
    <n v="990"/>
    <n v="990"/>
  </r>
  <r>
    <s v="ORD9132441"/>
    <s v="CUST0438"/>
    <x v="1"/>
    <x v="81"/>
    <d v="1899-12-30T10:29:00"/>
    <s v="Delivered"/>
    <n v="555"/>
    <n v="0"/>
    <n v="555"/>
    <n v="555"/>
  </r>
  <r>
    <s v="ORD9287806"/>
    <s v="CUST0460"/>
    <x v="0"/>
    <x v="113"/>
    <d v="1899-12-30T21:56:00"/>
    <s v="Delivered"/>
    <n v="248"/>
    <n v="0"/>
    <n v="248"/>
    <n v="248"/>
  </r>
  <r>
    <s v="ORD2895605"/>
    <s v="CUST0149"/>
    <x v="1"/>
    <x v="218"/>
    <d v="1899-12-30T18:54:00"/>
    <s v="Delivered"/>
    <n v="149"/>
    <n v="0"/>
    <n v="149"/>
    <n v="149"/>
  </r>
  <r>
    <s v="ORD4279979"/>
    <s v="CUST0377"/>
    <x v="1"/>
    <x v="278"/>
    <d v="1899-12-30T12:47:00"/>
    <s v="Delivered"/>
    <n v="732"/>
    <n v="0"/>
    <n v="732"/>
    <n v="732"/>
  </r>
  <r>
    <s v="ORD7333787"/>
    <s v="CUST0441"/>
    <x v="1"/>
    <x v="121"/>
    <d v="1899-12-30T17:00:00"/>
    <s v="Delivered"/>
    <n v="565"/>
    <n v="0"/>
    <n v="565"/>
    <n v="565"/>
  </r>
  <r>
    <s v="ORD6310532"/>
    <s v="CUST0082"/>
    <x v="2"/>
    <x v="78"/>
    <d v="1899-12-30T21:13:00"/>
    <s v="Delivered"/>
    <n v="415"/>
    <n v="0"/>
    <n v="415"/>
    <n v="415"/>
  </r>
  <r>
    <s v="ORD2404503"/>
    <s v="CUST0454"/>
    <x v="1"/>
    <x v="76"/>
    <d v="1899-12-30T19:05:00"/>
    <s v="Delivered"/>
    <n v="713"/>
    <n v="0"/>
    <n v="713"/>
    <n v="713"/>
  </r>
  <r>
    <s v="ORD7748185"/>
    <s v="CUST0163"/>
    <x v="1"/>
    <x v="107"/>
    <d v="1899-12-30T17:37:00"/>
    <s v="Delivered"/>
    <n v="278"/>
    <n v="0"/>
    <n v="278"/>
    <n v="278"/>
  </r>
  <r>
    <s v="ORD6624133"/>
    <s v="CUST0221"/>
    <x v="1"/>
    <x v="10"/>
    <d v="1899-12-30T11:02:00"/>
    <s v="Delivered"/>
    <n v="436"/>
    <n v="0"/>
    <n v="436"/>
    <n v="436"/>
  </r>
  <r>
    <s v="ORD3634592"/>
    <s v="CUST0437"/>
    <x v="2"/>
    <x v="39"/>
    <d v="1899-12-30T20:34:00"/>
    <s v="Delivered"/>
    <n v="693"/>
    <n v="34.65"/>
    <n v="658.35"/>
    <n v="693"/>
  </r>
  <r>
    <s v="ORD7735438"/>
    <s v="CUST0214"/>
    <x v="0"/>
    <x v="5"/>
    <d v="1899-12-30T19:34:00"/>
    <s v="Delivered"/>
    <n v="1299"/>
    <n v="64.95"/>
    <n v="1234.05"/>
    <n v="1299"/>
  </r>
  <r>
    <s v="ORD9352168"/>
    <s v="CUST0258"/>
    <x v="2"/>
    <x v="214"/>
    <d v="1899-12-30T20:59:00"/>
    <s v="Delivered"/>
    <n v="1151"/>
    <n v="0"/>
    <n v="1151"/>
    <n v="1151"/>
  </r>
  <r>
    <s v="ORD4652593"/>
    <s v="CUST0223"/>
    <x v="0"/>
    <x v="105"/>
    <d v="1899-12-30T10:38:00"/>
    <s v="Delivered"/>
    <n v="415"/>
    <n v="62.25"/>
    <n v="352.75"/>
    <n v="415"/>
  </r>
  <r>
    <s v="ORD2891931"/>
    <s v="CUST0273"/>
    <x v="1"/>
    <x v="206"/>
    <d v="1899-12-30T20:16:00"/>
    <s v="Delivered"/>
    <n v="763"/>
    <n v="0"/>
    <n v="763"/>
    <n v="763"/>
  </r>
  <r>
    <s v="ORD5658782"/>
    <s v="CUST0313"/>
    <x v="0"/>
    <x v="188"/>
    <d v="1899-12-30T15:37:00"/>
    <s v="Delivered"/>
    <n v="436"/>
    <n v="43.6"/>
    <n v="392.4"/>
    <n v="436"/>
  </r>
  <r>
    <s v="ORD2046696"/>
    <s v="CUST0087"/>
    <x v="0"/>
    <x v="25"/>
    <d v="1899-12-30T21:47:00"/>
    <s v="Delivered"/>
    <n v="287"/>
    <n v="0"/>
    <n v="287"/>
    <n v="287"/>
  </r>
  <r>
    <s v="ORD5098200"/>
    <s v="CUST0415"/>
    <x v="1"/>
    <x v="135"/>
    <d v="1899-12-30T16:20:00"/>
    <s v="Delivered"/>
    <n v="1159"/>
    <n v="0"/>
    <n v="1159"/>
    <n v="1159"/>
  </r>
  <r>
    <s v="ORD8673707"/>
    <s v="CUST0358"/>
    <x v="1"/>
    <x v="115"/>
    <d v="1899-12-30T19:34:00"/>
    <s v="Delivered"/>
    <n v="1268"/>
    <n v="0"/>
    <n v="1268"/>
    <n v="1268"/>
  </r>
  <r>
    <s v="ORD6640877"/>
    <s v="CUST0383"/>
    <x v="1"/>
    <x v="315"/>
    <d v="1899-12-30T15:57:00"/>
    <s v="Delivered"/>
    <n v="456"/>
    <n v="0"/>
    <n v="456"/>
    <n v="456"/>
  </r>
  <r>
    <s v="ORD3631527"/>
    <s v="CUST0080"/>
    <x v="0"/>
    <x v="207"/>
    <d v="1899-12-30T16:12:00"/>
    <s v="Delivered"/>
    <n v="1430"/>
    <n v="0"/>
    <n v="1430"/>
    <n v="1430"/>
  </r>
  <r>
    <s v="ORD1331934"/>
    <s v="CUST0481"/>
    <x v="0"/>
    <x v="245"/>
    <d v="1899-12-30T18:45:00"/>
    <s v="Delivered"/>
    <n v="714"/>
    <n v="0"/>
    <n v="714"/>
    <n v="714"/>
  </r>
  <r>
    <s v="ORD2259303"/>
    <s v="CUST0137"/>
    <x v="1"/>
    <x v="313"/>
    <d v="1899-12-30T21:52:00"/>
    <s v="Cancelled"/>
    <n v="675"/>
    <n v="0"/>
    <n v="0"/>
    <n v="675"/>
  </r>
  <r>
    <s v="ORD6014853"/>
    <s v="CUST0274"/>
    <x v="0"/>
    <x v="140"/>
    <d v="1899-12-30T20:54:00"/>
    <s v="Delivered"/>
    <n v="465"/>
    <n v="0"/>
    <n v="465"/>
    <n v="465"/>
  </r>
  <r>
    <s v="ORD6937488"/>
    <s v="CUST0088"/>
    <x v="0"/>
    <x v="15"/>
    <d v="1899-12-30T19:48:00"/>
    <s v="Delivered"/>
    <n v="872"/>
    <n v="0"/>
    <n v="872"/>
    <n v="872"/>
  </r>
  <r>
    <s v="ORD1377064"/>
    <s v="CUST0153"/>
    <x v="2"/>
    <x v="212"/>
    <d v="1899-12-30T19:47:00"/>
    <s v="Delivered"/>
    <n v="387"/>
    <n v="0"/>
    <n v="387"/>
    <n v="387"/>
  </r>
  <r>
    <s v="ORD1064545"/>
    <s v="CUST0249"/>
    <x v="1"/>
    <x v="206"/>
    <d v="1899-12-30T20:25:00"/>
    <s v="Delivered"/>
    <n v="983"/>
    <n v="0"/>
    <n v="983"/>
    <n v="983"/>
  </r>
  <r>
    <s v="ORD6071231"/>
    <s v="CUST0312"/>
    <x v="0"/>
    <x v="62"/>
    <d v="1899-12-30T12:51:00"/>
    <s v="Delivered"/>
    <n v="436"/>
    <n v="0"/>
    <n v="436"/>
    <n v="436"/>
  </r>
  <r>
    <s v="ORD9954070"/>
    <s v="CUST0195"/>
    <x v="1"/>
    <x v="40"/>
    <d v="1899-12-30T20:06:00"/>
    <s v="Delivered"/>
    <n v="217"/>
    <n v="21.7"/>
    <n v="195.3"/>
    <n v="217"/>
  </r>
  <r>
    <s v="ORD1526788"/>
    <s v="CUST0428"/>
    <x v="2"/>
    <x v="28"/>
    <d v="1899-12-30T17:07:00"/>
    <s v="Delivered"/>
    <n v="277"/>
    <n v="0"/>
    <n v="277"/>
    <n v="277"/>
  </r>
  <r>
    <s v="ORD9725552"/>
    <s v="CUST0427"/>
    <x v="1"/>
    <x v="130"/>
    <d v="1899-12-30T18:34:00"/>
    <s v="Delivered"/>
    <n v="386"/>
    <n v="38.6"/>
    <n v="347.4"/>
    <n v="386"/>
  </r>
  <r>
    <s v="ORD8947817"/>
    <s v="CUST0317"/>
    <x v="0"/>
    <x v="249"/>
    <d v="1899-12-30T23:15:00"/>
    <s v="Delivered"/>
    <n v="710"/>
    <n v="0"/>
    <n v="710"/>
    <n v="710"/>
  </r>
  <r>
    <s v="ORD7766201"/>
    <s v="CUST0369"/>
    <x v="1"/>
    <x v="291"/>
    <d v="1899-12-30T21:22:00"/>
    <s v="Delivered"/>
    <n v="1003"/>
    <n v="0"/>
    <n v="1003"/>
    <n v="1003"/>
  </r>
  <r>
    <s v="ORD5935684"/>
    <s v="CUST0225"/>
    <x v="2"/>
    <x v="344"/>
    <d v="1899-12-30T12:52:00"/>
    <s v="Delivered"/>
    <n v="992"/>
    <n v="0"/>
    <n v="992"/>
    <n v="992"/>
  </r>
  <r>
    <s v="ORD4423305"/>
    <s v="CUST0018"/>
    <x v="1"/>
    <x v="327"/>
    <d v="1899-12-30T21:51:00"/>
    <s v="Delivered"/>
    <n v="248"/>
    <n v="0"/>
    <n v="248"/>
    <n v="248"/>
  </r>
  <r>
    <s v="ORD6753647"/>
    <s v="CUST0248"/>
    <x v="1"/>
    <x v="171"/>
    <d v="1899-12-30T16:25:00"/>
    <s v="Delivered"/>
    <n v="267"/>
    <n v="13.35"/>
    <n v="253.65"/>
    <n v="267"/>
  </r>
  <r>
    <s v="ORD3297254"/>
    <s v="CUST0224"/>
    <x v="2"/>
    <x v="216"/>
    <d v="1899-12-30T00:38:00"/>
    <s v="Delivered"/>
    <n v="832"/>
    <n v="0"/>
    <n v="832"/>
    <n v="832"/>
  </r>
  <r>
    <s v="ORD5841463"/>
    <s v="CUST0462"/>
    <x v="1"/>
    <x v="94"/>
    <d v="1899-12-30T18:30:00"/>
    <s v="Delivered"/>
    <n v="436"/>
    <n v="0"/>
    <n v="436"/>
    <n v="436"/>
  </r>
  <r>
    <s v="ORD5822943"/>
    <s v="CUST0042"/>
    <x v="2"/>
    <x v="96"/>
    <d v="1899-12-30T19:53:00"/>
    <s v="Delivered"/>
    <n v="712"/>
    <n v="0"/>
    <n v="712"/>
    <n v="712"/>
  </r>
  <r>
    <s v="ORD4973323"/>
    <s v="CUST0368"/>
    <x v="0"/>
    <x v="253"/>
    <d v="1899-12-30T10:59:00"/>
    <s v="Delivered"/>
    <n v="635"/>
    <n v="0"/>
    <n v="635"/>
    <n v="635"/>
  </r>
  <r>
    <s v="ORD6121645"/>
    <s v="CUST0088"/>
    <x v="1"/>
    <x v="133"/>
    <d v="1899-12-30T23:20:00"/>
    <s v="Delivered"/>
    <n v="533"/>
    <n v="0"/>
    <n v="533"/>
    <n v="533"/>
  </r>
  <r>
    <s v="ORD1791274"/>
    <s v="CUST0027"/>
    <x v="0"/>
    <x v="251"/>
    <d v="1899-12-30T18:58:00"/>
    <s v="Delivered"/>
    <n v="317"/>
    <n v="31.7"/>
    <n v="285.3"/>
    <n v="317"/>
  </r>
  <r>
    <s v="ORD5962643"/>
    <s v="CUST0225"/>
    <x v="2"/>
    <x v="250"/>
    <d v="1899-12-30T17:19:00"/>
    <s v="Delivered"/>
    <n v="1299"/>
    <n v="0"/>
    <n v="1299"/>
    <n v="1299"/>
  </r>
  <r>
    <s v="ORD3093993"/>
    <s v="CUST0016"/>
    <x v="1"/>
    <x v="177"/>
    <d v="1899-12-30T20:34:00"/>
    <s v="Delivered"/>
    <n v="337"/>
    <n v="0"/>
    <n v="337"/>
    <n v="337"/>
  </r>
  <r>
    <s v="ORD9489734"/>
    <s v="CUST0020"/>
    <x v="0"/>
    <x v="279"/>
    <d v="1899-12-30T15:59:00"/>
    <s v="Delivered"/>
    <n v="544"/>
    <n v="0"/>
    <n v="544"/>
    <n v="544"/>
  </r>
  <r>
    <s v="ORD6481363"/>
    <s v="CUST0355"/>
    <x v="1"/>
    <x v="86"/>
    <d v="1899-12-30T16:28:00"/>
    <s v="Delivered"/>
    <n v="556"/>
    <n v="55.6"/>
    <n v="500.4"/>
    <n v="556"/>
  </r>
  <r>
    <s v="ORD9039487"/>
    <s v="CUST0196"/>
    <x v="1"/>
    <x v="86"/>
    <d v="1899-12-30T18:55:00"/>
    <s v="Delivered"/>
    <n v="1120"/>
    <n v="112"/>
    <n v="1008"/>
    <n v="1120"/>
  </r>
  <r>
    <s v="ORD8214397"/>
    <s v="CUST0193"/>
    <x v="0"/>
    <x v="272"/>
    <d v="1899-12-30T18:56:00"/>
    <s v="Delivered"/>
    <n v="773"/>
    <n v="0"/>
    <n v="773"/>
    <n v="773"/>
  </r>
  <r>
    <s v="ORD6710639"/>
    <s v="CUST0477"/>
    <x v="0"/>
    <x v="20"/>
    <d v="1899-12-30T17:53:00"/>
    <s v="Delivered"/>
    <n v="238"/>
    <n v="0"/>
    <n v="238"/>
    <n v="238"/>
  </r>
  <r>
    <s v="ORD9633551"/>
    <s v="CUST0200"/>
    <x v="1"/>
    <x v="345"/>
    <d v="1899-12-30T21:18:00"/>
    <s v="Delivered"/>
    <n v="456"/>
    <n v="0"/>
    <n v="456"/>
    <n v="456"/>
  </r>
  <r>
    <s v="ORD6512882"/>
    <s v="CUST0397"/>
    <x v="2"/>
    <x v="324"/>
    <d v="1899-12-30T18:52:00"/>
    <s v="Delivered"/>
    <n v="534"/>
    <n v="26.7"/>
    <n v="507.3"/>
    <n v="534"/>
  </r>
  <r>
    <s v="ORD2241156"/>
    <s v="CUST0237"/>
    <x v="0"/>
    <x v="35"/>
    <d v="1899-12-30T21:37:00"/>
    <s v="Delivered"/>
    <n v="714"/>
    <n v="35.700000000000003"/>
    <n v="678.3"/>
    <n v="714"/>
  </r>
  <r>
    <s v="ORD6515198"/>
    <s v="CUST0469"/>
    <x v="2"/>
    <x v="142"/>
    <d v="1899-12-30T23:19:00"/>
    <s v="Delivered"/>
    <n v="614"/>
    <n v="0"/>
    <n v="614"/>
    <n v="614"/>
  </r>
  <r>
    <s v="ORD6733093"/>
    <s v="CUST0108"/>
    <x v="0"/>
    <x v="251"/>
    <d v="1899-12-30T01:01:00"/>
    <s v="Delivered"/>
    <n v="691"/>
    <n v="0"/>
    <n v="691"/>
    <n v="691"/>
  </r>
  <r>
    <s v="ORD3800519"/>
    <s v="CUST0470"/>
    <x v="2"/>
    <x v="57"/>
    <d v="1899-12-30T20:42:00"/>
    <s v="Delivered"/>
    <n v="526"/>
    <n v="0"/>
    <n v="526"/>
    <n v="526"/>
  </r>
  <r>
    <s v="ORD6252627"/>
    <s v="CUST0322"/>
    <x v="0"/>
    <x v="13"/>
    <d v="1899-12-30T18:05:00"/>
    <s v="Delivered"/>
    <n v="475"/>
    <n v="47.5"/>
    <n v="427.5"/>
    <n v="475"/>
  </r>
  <r>
    <s v="ORD2339161"/>
    <s v="CUST0124"/>
    <x v="0"/>
    <x v="224"/>
    <d v="1899-12-30T10:36:00"/>
    <s v="Delivered"/>
    <n v="436"/>
    <n v="43.6"/>
    <n v="392.4"/>
    <n v="436"/>
  </r>
  <r>
    <s v="ORD9910694"/>
    <s v="CUST0294"/>
    <x v="1"/>
    <x v="271"/>
    <d v="1899-12-30T19:02:00"/>
    <s v="Delivered"/>
    <n v="933"/>
    <n v="0"/>
    <n v="933"/>
    <n v="933"/>
  </r>
  <r>
    <s v="ORD4450093"/>
    <s v="CUST0403"/>
    <x v="0"/>
    <x v="292"/>
    <d v="1899-12-30T21:50:00"/>
    <s v="Delivered"/>
    <n v="416"/>
    <n v="20.8"/>
    <n v="395.2"/>
    <n v="416"/>
  </r>
  <r>
    <s v="ORD6601298"/>
    <s v="CUST0361"/>
    <x v="1"/>
    <x v="346"/>
    <d v="1899-12-30T20:03:00"/>
    <s v="Delivered"/>
    <n v="884"/>
    <n v="0"/>
    <n v="884"/>
    <n v="884"/>
  </r>
  <r>
    <s v="ORD7301078"/>
    <s v="CUST0172"/>
    <x v="2"/>
    <x v="4"/>
    <d v="1899-12-30T10:41:00"/>
    <s v="Delivered"/>
    <n v="327"/>
    <n v="0"/>
    <n v="327"/>
    <n v="327"/>
  </r>
  <r>
    <s v="ORD4048600"/>
    <s v="CUST0123"/>
    <x v="1"/>
    <x v="115"/>
    <d v="1899-12-30T23:58:00"/>
    <s v="Delivered"/>
    <n v="198"/>
    <n v="19.8"/>
    <n v="178.2"/>
    <n v="198"/>
  </r>
  <r>
    <s v="ORD7336938"/>
    <s v="CUST0091"/>
    <x v="0"/>
    <x v="108"/>
    <d v="1899-12-30T17:18:00"/>
    <s v="Delivered"/>
    <n v="695"/>
    <n v="0"/>
    <n v="695"/>
    <n v="695"/>
  </r>
  <r>
    <s v="ORD9982743"/>
    <s v="CUST0457"/>
    <x v="1"/>
    <x v="183"/>
    <d v="1899-12-30T14:40:00"/>
    <s v="Delivered"/>
    <n v="544"/>
    <n v="0"/>
    <n v="544"/>
    <n v="544"/>
  </r>
  <r>
    <s v="ORD8041371"/>
    <s v="CUST0136"/>
    <x v="1"/>
    <x v="38"/>
    <d v="1899-12-30T17:00:00"/>
    <s v="Delivered"/>
    <n v="307"/>
    <n v="0"/>
    <n v="307"/>
    <n v="307"/>
  </r>
  <r>
    <s v="ORD4546948"/>
    <s v="CUST0304"/>
    <x v="1"/>
    <x v="218"/>
    <d v="1899-12-30T20:14:00"/>
    <s v="Delivered"/>
    <n v="1042"/>
    <n v="0"/>
    <n v="1042"/>
    <n v="1042"/>
  </r>
  <r>
    <s v="ORD5667750"/>
    <s v="CUST0089"/>
    <x v="1"/>
    <x v="89"/>
    <d v="1899-12-30T09:36:00"/>
    <s v="Cancelled"/>
    <n v="586"/>
    <n v="0"/>
    <n v="0"/>
    <n v="586"/>
  </r>
  <r>
    <s v="ORD3278090"/>
    <s v="CUST0384"/>
    <x v="2"/>
    <x v="241"/>
    <d v="1899-12-30T14:34:00"/>
    <s v="Delivered"/>
    <n v="277"/>
    <n v="0"/>
    <n v="277"/>
    <n v="277"/>
  </r>
  <r>
    <s v="ORD5546442"/>
    <s v="CUST0197"/>
    <x v="0"/>
    <x v="1"/>
    <d v="1899-12-30T16:48:00"/>
    <s v="Delivered"/>
    <n v="763"/>
    <n v="0"/>
    <n v="763"/>
    <n v="763"/>
  </r>
  <r>
    <s v="ORD4732002"/>
    <s v="CUST0184"/>
    <x v="2"/>
    <x v="315"/>
    <d v="1899-12-30T21:47:00"/>
    <s v="Delivered"/>
    <n v="208"/>
    <n v="0"/>
    <n v="208"/>
    <n v="208"/>
  </r>
  <r>
    <s v="ORD8031853"/>
    <s v="CUST0099"/>
    <x v="0"/>
    <x v="8"/>
    <d v="1899-12-30T16:22:00"/>
    <s v="Delivered"/>
    <n v="178"/>
    <n v="8.9"/>
    <n v="169.1"/>
    <n v="178"/>
  </r>
  <r>
    <s v="ORD2425937"/>
    <s v="CUST0446"/>
    <x v="1"/>
    <x v="30"/>
    <d v="1899-12-30T17:55:00"/>
    <s v="Cancelled"/>
    <n v="318"/>
    <n v="31.8"/>
    <n v="0"/>
    <n v="318"/>
  </r>
  <r>
    <s v="ORD5565271"/>
    <s v="CUST0354"/>
    <x v="1"/>
    <x v="165"/>
    <d v="1899-12-30T16:45:00"/>
    <s v="Delivered"/>
    <n v="634"/>
    <n v="0"/>
    <n v="634"/>
    <n v="634"/>
  </r>
  <r>
    <s v="ORD5648091"/>
    <s v="CUST0074"/>
    <x v="1"/>
    <x v="18"/>
    <d v="1899-12-30T21:59:00"/>
    <s v="Delivered"/>
    <n v="733"/>
    <n v="36.65"/>
    <n v="696.35"/>
    <n v="733"/>
  </r>
  <r>
    <s v="ORD4112545"/>
    <s v="CUST0153"/>
    <x v="0"/>
    <x v="173"/>
    <d v="1899-12-30T19:53:00"/>
    <s v="Delivered"/>
    <n v="278"/>
    <n v="0"/>
    <n v="278"/>
    <n v="278"/>
  </r>
  <r>
    <s v="ORD4228253"/>
    <s v="CUST0319"/>
    <x v="1"/>
    <x v="156"/>
    <d v="1899-12-30T20:53:00"/>
    <s v="Delivered"/>
    <n v="417"/>
    <n v="41.7"/>
    <n v="375.3"/>
    <n v="417"/>
  </r>
  <r>
    <s v="ORD1589684"/>
    <s v="CUST0477"/>
    <x v="1"/>
    <x v="221"/>
    <d v="1899-12-30T09:59:00"/>
    <s v="Delivered"/>
    <n v="456"/>
    <n v="0"/>
    <n v="456"/>
    <n v="456"/>
  </r>
  <r>
    <s v="ORD6251075"/>
    <s v="CUST0239"/>
    <x v="1"/>
    <x v="91"/>
    <d v="1899-12-30T16:21:00"/>
    <s v="Delivered"/>
    <n v="149"/>
    <n v="0"/>
    <n v="149"/>
    <n v="149"/>
  </r>
  <r>
    <s v="ORD4179392"/>
    <s v="CUST0316"/>
    <x v="1"/>
    <x v="1"/>
    <d v="1899-12-30T19:13:00"/>
    <s v="Delivered"/>
    <n v="425"/>
    <n v="0"/>
    <n v="425"/>
    <n v="425"/>
  </r>
  <r>
    <s v="ORD1418620"/>
    <s v="CUST0073"/>
    <x v="1"/>
    <x v="299"/>
    <d v="1899-12-30T19:31:00"/>
    <s v="Delivered"/>
    <n v="684"/>
    <n v="0"/>
    <n v="684"/>
    <n v="684"/>
  </r>
  <r>
    <s v="ORD5308981"/>
    <s v="CUST0428"/>
    <x v="1"/>
    <x v="347"/>
    <d v="1899-12-30T16:30:00"/>
    <s v="Delivered"/>
    <n v="444"/>
    <n v="0"/>
    <n v="444"/>
    <n v="444"/>
  </r>
  <r>
    <s v="ORD7665779"/>
    <s v="CUST0074"/>
    <x v="1"/>
    <x v="55"/>
    <d v="1899-12-30T11:23:00"/>
    <s v="Delivered"/>
    <n v="168"/>
    <n v="8.4"/>
    <n v="159.6"/>
    <n v="168"/>
  </r>
  <r>
    <s v="ORD4024840"/>
    <s v="CUST0432"/>
    <x v="1"/>
    <x v="13"/>
    <d v="1899-12-30T19:51:00"/>
    <s v="Delivered"/>
    <n v="594"/>
    <n v="0"/>
    <n v="594"/>
    <n v="594"/>
  </r>
  <r>
    <s v="ORD3247082"/>
    <s v="CUST0286"/>
    <x v="1"/>
    <x v="338"/>
    <d v="1899-12-30T18:46:00"/>
    <s v="Delivered"/>
    <n v="455"/>
    <n v="0"/>
    <n v="455"/>
    <n v="455"/>
  </r>
  <r>
    <s v="ORD7788118"/>
    <s v="CUST0413"/>
    <x v="1"/>
    <x v="313"/>
    <d v="1899-12-30T10:10:00"/>
    <s v="Delivered"/>
    <n v="831"/>
    <n v="83.1"/>
    <n v="747.9"/>
    <n v="831"/>
  </r>
  <r>
    <s v="ORD5517001"/>
    <s v="CUST0005"/>
    <x v="0"/>
    <x v="126"/>
    <d v="1899-12-30T16:58:00"/>
    <s v="Delivered"/>
    <n v="377"/>
    <n v="0"/>
    <n v="377"/>
    <n v="377"/>
  </r>
  <r>
    <s v="ORD3191599"/>
    <s v="CUST0150"/>
    <x v="0"/>
    <x v="190"/>
    <d v="1899-12-30T16:31:00"/>
    <s v="Delivered"/>
    <n v="504"/>
    <n v="0"/>
    <n v="504"/>
    <n v="504"/>
  </r>
  <r>
    <s v="ORD3145093"/>
    <s v="CUST0312"/>
    <x v="2"/>
    <x v="107"/>
    <d v="1899-12-30T12:25:00"/>
    <s v="Delivered"/>
    <n v="504"/>
    <n v="0"/>
    <n v="504"/>
    <n v="504"/>
  </r>
  <r>
    <s v="ORD4145588"/>
    <s v="CUST0164"/>
    <x v="1"/>
    <x v="216"/>
    <d v="1899-12-30T20:26:00"/>
    <s v="Delivered"/>
    <n v="871"/>
    <n v="43.55"/>
    <n v="827.45"/>
    <n v="871"/>
  </r>
  <r>
    <s v="ORD4654144"/>
    <s v="CUST0450"/>
    <x v="1"/>
    <x v="348"/>
    <d v="1899-12-30T18:00:00"/>
    <s v="Delivered"/>
    <n v="158"/>
    <n v="0"/>
    <n v="158"/>
    <n v="158"/>
  </r>
  <r>
    <s v="ORD1081021"/>
    <s v="CUST0123"/>
    <x v="0"/>
    <x v="4"/>
    <d v="1899-12-30T15:29:00"/>
    <s v="Delivered"/>
    <n v="894"/>
    <n v="44.7"/>
    <n v="849.3"/>
    <n v="894"/>
  </r>
  <r>
    <s v="ORD3554635"/>
    <s v="CUST0436"/>
    <x v="1"/>
    <x v="281"/>
    <d v="1899-12-30T20:54:00"/>
    <s v="Delivered"/>
    <n v="535"/>
    <n v="0"/>
    <n v="535"/>
    <n v="535"/>
  </r>
  <r>
    <s v="ORD6651210"/>
    <s v="CUST0199"/>
    <x v="1"/>
    <x v="143"/>
    <d v="1899-12-30T00:02:00"/>
    <s v="Delivered"/>
    <n v="615"/>
    <n v="0"/>
    <n v="615"/>
    <n v="615"/>
  </r>
  <r>
    <s v="ORD9641104"/>
    <s v="CUST0306"/>
    <x v="0"/>
    <x v="134"/>
    <d v="1899-12-30T16:58:00"/>
    <s v="Delivered"/>
    <n v="633"/>
    <n v="31.65"/>
    <n v="601.35"/>
    <n v="633"/>
  </r>
  <r>
    <s v="ORD7197168"/>
    <s v="CUST0310"/>
    <x v="0"/>
    <x v="174"/>
    <d v="1899-12-30T16:42:00"/>
    <s v="Delivered"/>
    <n v="446"/>
    <n v="66.900000000000006"/>
    <n v="379.1"/>
    <n v="446"/>
  </r>
  <r>
    <s v="ORD5012665"/>
    <s v="CUST0186"/>
    <x v="1"/>
    <x v="343"/>
    <d v="1899-12-30T09:04:00"/>
    <s v="Delivered"/>
    <n v="514"/>
    <n v="0"/>
    <n v="514"/>
    <n v="514"/>
  </r>
  <r>
    <s v="ORD1900408"/>
    <s v="CUST0227"/>
    <x v="1"/>
    <x v="21"/>
    <d v="1899-12-30T15:27:00"/>
    <s v="Delivered"/>
    <n v="396"/>
    <n v="0"/>
    <n v="396"/>
    <n v="396"/>
  </r>
  <r>
    <s v="ORD3553618"/>
    <s v="CUST0047"/>
    <x v="0"/>
    <x v="181"/>
    <d v="1899-12-30T23:58:00"/>
    <s v="Delivered"/>
    <n v="1490"/>
    <n v="223.5"/>
    <n v="1266.5"/>
    <n v="1490"/>
  </r>
  <r>
    <s v="ORD3280748"/>
    <s v="CUST0353"/>
    <x v="1"/>
    <x v="125"/>
    <d v="1899-12-30T22:16:00"/>
    <s v="Delivered"/>
    <n v="238"/>
    <n v="0"/>
    <n v="238"/>
    <n v="238"/>
  </r>
  <r>
    <s v="ORD2588823"/>
    <s v="CUST0151"/>
    <x v="1"/>
    <x v="308"/>
    <d v="1899-12-30T09:00:00"/>
    <s v="Delivered"/>
    <n v="871"/>
    <n v="0"/>
    <n v="871"/>
    <n v="871"/>
  </r>
  <r>
    <s v="ORD1531957"/>
    <s v="CUST0457"/>
    <x v="1"/>
    <x v="125"/>
    <d v="1899-12-30T21:55:00"/>
    <s v="Delivered"/>
    <n v="188"/>
    <n v="28.2"/>
    <n v="159.80000000000001"/>
    <n v="188"/>
  </r>
  <r>
    <s v="ORD3949116"/>
    <s v="CUST0046"/>
    <x v="0"/>
    <x v="139"/>
    <d v="1899-12-30T16:01:00"/>
    <s v="Delivered"/>
    <n v="465"/>
    <n v="0"/>
    <n v="465"/>
    <n v="465"/>
  </r>
  <r>
    <s v="ORD5337729"/>
    <s v="CUST0385"/>
    <x v="1"/>
    <x v="269"/>
    <d v="1899-12-30T19:27:00"/>
    <s v="Delivered"/>
    <n v="674"/>
    <n v="0"/>
    <n v="674"/>
    <n v="674"/>
  </r>
  <r>
    <s v="ORD1422000"/>
    <s v="CUST0197"/>
    <x v="0"/>
    <x v="349"/>
    <d v="1899-12-30T21:19:00"/>
    <s v="Delivered"/>
    <n v="504"/>
    <n v="0"/>
    <n v="504"/>
    <n v="504"/>
  </r>
  <r>
    <s v="ORD2393753"/>
    <s v="CUST0286"/>
    <x v="2"/>
    <x v="170"/>
    <d v="1899-12-30T17:22:00"/>
    <s v="Delivered"/>
    <n v="692"/>
    <n v="0"/>
    <n v="692"/>
    <n v="692"/>
  </r>
  <r>
    <s v="ORD6890185"/>
    <s v="CUST0415"/>
    <x v="1"/>
    <x v="268"/>
    <d v="1899-12-30T19:45:00"/>
    <s v="Delivered"/>
    <n v="1170"/>
    <n v="0"/>
    <n v="1170"/>
    <n v="1170"/>
  </r>
  <r>
    <s v="ORD3678376"/>
    <s v="CUST0240"/>
    <x v="0"/>
    <x v="149"/>
    <d v="1899-12-30T13:30:00"/>
    <s v="Cancelled"/>
    <n v="89"/>
    <n v="0"/>
    <n v="0"/>
    <n v="89"/>
  </r>
  <r>
    <s v="ORD6055598"/>
    <s v="CUST0290"/>
    <x v="1"/>
    <x v="350"/>
    <d v="1899-12-30T13:32:00"/>
    <s v="Delivered"/>
    <n v="158"/>
    <n v="0"/>
    <n v="158"/>
    <n v="158"/>
  </r>
  <r>
    <s v="ORD2457615"/>
    <s v="CUST0486"/>
    <x v="1"/>
    <x v="323"/>
    <d v="1899-12-30T23:09:00"/>
    <s v="Delivered"/>
    <n v="536"/>
    <n v="0"/>
    <n v="536"/>
    <n v="536"/>
  </r>
  <r>
    <s v="ORD2475412"/>
    <s v="CUST0145"/>
    <x v="0"/>
    <x v="194"/>
    <d v="1899-12-30T13:51:00"/>
    <s v="Delivered"/>
    <n v="318"/>
    <n v="0"/>
    <n v="318"/>
    <n v="318"/>
  </r>
  <r>
    <s v="ORD8198004"/>
    <s v="CUST0002"/>
    <x v="2"/>
    <x v="110"/>
    <d v="1899-12-30T19:15:00"/>
    <s v="Delivered"/>
    <n v="326"/>
    <n v="0"/>
    <n v="326"/>
    <n v="326"/>
  </r>
  <r>
    <s v="ORD1389216"/>
    <s v="CUST0301"/>
    <x v="0"/>
    <x v="35"/>
    <d v="1899-12-30T20:17:00"/>
    <s v="Delivered"/>
    <n v="654"/>
    <n v="32.700000000000003"/>
    <n v="621.29999999999995"/>
    <n v="654"/>
  </r>
  <r>
    <s v="ORD5680271"/>
    <s v="CUST0101"/>
    <x v="0"/>
    <x v="155"/>
    <d v="1899-12-30T18:19:00"/>
    <s v="Delivered"/>
    <n v="723"/>
    <n v="0"/>
    <n v="723"/>
    <n v="723"/>
  </r>
  <r>
    <s v="ORD1887034"/>
    <s v="CUST0447"/>
    <x v="0"/>
    <x v="203"/>
    <d v="1899-12-30T21:41:00"/>
    <s v="Delivered"/>
    <n v="278"/>
    <n v="0"/>
    <n v="278"/>
    <n v="278"/>
  </r>
  <r>
    <s v="ORD1544147"/>
    <s v="CUST0046"/>
    <x v="0"/>
    <x v="200"/>
    <d v="1899-12-30T09:05:00"/>
    <s v="Delivered"/>
    <n v="198"/>
    <n v="0"/>
    <n v="198"/>
    <n v="198"/>
  </r>
  <r>
    <s v="ORD1764825"/>
    <s v="CUST0334"/>
    <x v="0"/>
    <x v="33"/>
    <d v="1899-12-30T19:48:00"/>
    <s v="Delivered"/>
    <n v="1117"/>
    <n v="0"/>
    <n v="1117"/>
    <n v="1117"/>
  </r>
  <r>
    <s v="ORD9789306"/>
    <s v="CUST0326"/>
    <x v="1"/>
    <x v="343"/>
    <d v="1899-12-30T18:54:00"/>
    <s v="Delivered"/>
    <n v="436"/>
    <n v="0"/>
    <n v="436"/>
    <n v="436"/>
  </r>
  <r>
    <s v="ORD3308575"/>
    <s v="CUST0382"/>
    <x v="1"/>
    <x v="34"/>
    <d v="1899-12-30T19:33:00"/>
    <s v="Delivered"/>
    <n v="336"/>
    <n v="0"/>
    <n v="336"/>
    <n v="336"/>
  </r>
  <r>
    <s v="ORD7445760"/>
    <s v="CUST0458"/>
    <x v="1"/>
    <x v="331"/>
    <d v="1899-12-30T17:08:00"/>
    <s v="Delivered"/>
    <n v="645"/>
    <n v="64.5"/>
    <n v="580.5"/>
    <n v="645"/>
  </r>
  <r>
    <s v="ORD1250389"/>
    <s v="CUST0409"/>
    <x v="1"/>
    <x v="1"/>
    <d v="1899-12-30T16:11:00"/>
    <s v="Delivered"/>
    <n v="297"/>
    <n v="0"/>
    <n v="297"/>
    <n v="297"/>
  </r>
  <r>
    <s v="ORD4124302"/>
    <s v="CUST0449"/>
    <x v="1"/>
    <x v="61"/>
    <d v="1899-12-30T17:13:00"/>
    <s v="Delivered"/>
    <n v="584"/>
    <n v="58.4"/>
    <n v="525.6"/>
    <n v="584"/>
  </r>
  <r>
    <s v="ORD8330480"/>
    <s v="CUST0350"/>
    <x v="1"/>
    <x v="136"/>
    <d v="1899-12-30T19:43:00"/>
    <s v="Cancelled"/>
    <n v="673"/>
    <n v="33.65"/>
    <n v="0"/>
    <n v="673"/>
  </r>
  <r>
    <s v="ORD3435911"/>
    <s v="CUST0209"/>
    <x v="2"/>
    <x v="176"/>
    <d v="1899-12-30T16:53:00"/>
    <s v="Delivered"/>
    <n v="149"/>
    <n v="0"/>
    <n v="149"/>
    <n v="149"/>
  </r>
  <r>
    <s v="ORD3626317"/>
    <s v="CUST0393"/>
    <x v="1"/>
    <x v="291"/>
    <d v="1899-12-30T01:33:00"/>
    <s v="Delivered"/>
    <n v="1202"/>
    <n v="0"/>
    <n v="1202"/>
    <n v="1202"/>
  </r>
  <r>
    <s v="ORD1259548"/>
    <s v="CUST0415"/>
    <x v="0"/>
    <x v="8"/>
    <d v="1899-12-30T15:38:00"/>
    <s v="Delivered"/>
    <n v="1058"/>
    <n v="0"/>
    <n v="1058"/>
    <n v="1058"/>
  </r>
  <r>
    <s v="ORD6536394"/>
    <s v="CUST0445"/>
    <x v="2"/>
    <x v="204"/>
    <d v="1899-12-30T12:42:00"/>
    <s v="Delivered"/>
    <n v="158"/>
    <n v="0"/>
    <n v="158"/>
    <n v="158"/>
  </r>
  <r>
    <s v="ORD8121698"/>
    <s v="CUST0259"/>
    <x v="0"/>
    <x v="146"/>
    <d v="1899-12-30T17:31:00"/>
    <s v="Delivered"/>
    <n v="533"/>
    <n v="79.95"/>
    <n v="453.05"/>
    <n v="533"/>
  </r>
  <r>
    <s v="ORD4929395"/>
    <s v="CUST0414"/>
    <x v="1"/>
    <x v="332"/>
    <d v="1899-12-30T22:21:00"/>
    <s v="Cancelled"/>
    <n v="248"/>
    <n v="0"/>
    <n v="0"/>
    <n v="248"/>
  </r>
  <r>
    <s v="ORD4809816"/>
    <s v="CUST0307"/>
    <x v="1"/>
    <x v="213"/>
    <d v="1899-12-30T21:51:00"/>
    <s v="Delivered"/>
    <n v="89"/>
    <n v="0"/>
    <n v="89"/>
    <n v="89"/>
  </r>
  <r>
    <s v="ORD3371399"/>
    <s v="CUST0396"/>
    <x v="1"/>
    <x v="149"/>
    <d v="1899-12-30T18:27:00"/>
    <s v="Delivered"/>
    <n v="436"/>
    <n v="0"/>
    <n v="436"/>
    <n v="436"/>
  </r>
  <r>
    <s v="ORD4856748"/>
    <s v="CUST0273"/>
    <x v="2"/>
    <x v="351"/>
    <d v="1899-12-30T01:30:00"/>
    <s v="Delivered"/>
    <n v="810"/>
    <n v="0"/>
    <n v="810"/>
    <n v="810"/>
  </r>
  <r>
    <s v="ORD8701056"/>
    <s v="CUST0434"/>
    <x v="1"/>
    <x v="235"/>
    <d v="1899-12-30T18:32:00"/>
    <s v="Delivered"/>
    <n v="386"/>
    <n v="0"/>
    <n v="386"/>
    <n v="386"/>
  </r>
  <r>
    <s v="ORD6037482"/>
    <s v="CUST0285"/>
    <x v="0"/>
    <x v="204"/>
    <d v="1899-12-30T19:11:00"/>
    <s v="Delivered"/>
    <n v="375"/>
    <n v="0"/>
    <n v="375"/>
    <n v="375"/>
  </r>
  <r>
    <s v="ORD7725763"/>
    <s v="CUST0107"/>
    <x v="0"/>
    <x v="26"/>
    <d v="1899-12-30T12:21:00"/>
    <s v="Delivered"/>
    <n v="397"/>
    <n v="39.700000000000003"/>
    <n v="357.3"/>
    <n v="397"/>
  </r>
  <r>
    <s v="ORD9674029"/>
    <s v="CUST0016"/>
    <x v="0"/>
    <x v="166"/>
    <d v="1899-12-30T21:44:00"/>
    <s v="Delivered"/>
    <n v="504"/>
    <n v="0"/>
    <n v="504"/>
    <n v="504"/>
  </r>
  <r>
    <s v="ORD2406064"/>
    <s v="CUST0103"/>
    <x v="0"/>
    <x v="230"/>
    <d v="1899-12-30T17:30:00"/>
    <s v="Delivered"/>
    <n v="764"/>
    <n v="0"/>
    <n v="764"/>
    <n v="764"/>
  </r>
  <r>
    <s v="ORD6687491"/>
    <s v="CUST0238"/>
    <x v="1"/>
    <x v="333"/>
    <d v="1899-12-30T20:56:00"/>
    <s v="Delivered"/>
    <n v="357"/>
    <n v="0"/>
    <n v="357"/>
    <n v="357"/>
  </r>
  <r>
    <s v="ORD3185029"/>
    <s v="CUST0108"/>
    <x v="2"/>
    <x v="314"/>
    <d v="1899-12-30T17:30:00"/>
    <s v="Delivered"/>
    <n v="496"/>
    <n v="24.8"/>
    <n v="471.2"/>
    <n v="496"/>
  </r>
  <r>
    <s v="ORD3024875"/>
    <s v="CUST0251"/>
    <x v="1"/>
    <x v="288"/>
    <d v="1899-12-30T01:56:00"/>
    <s v="Delivered"/>
    <n v="297"/>
    <n v="0"/>
    <n v="297"/>
    <n v="297"/>
  </r>
  <r>
    <s v="ORD4903872"/>
    <s v="CUST0429"/>
    <x v="0"/>
    <x v="302"/>
    <d v="1899-12-30T18:17:00"/>
    <s v="Delivered"/>
    <n v="635"/>
    <n v="0"/>
    <n v="635"/>
    <n v="635"/>
  </r>
  <r>
    <s v="ORD1233441"/>
    <s v="CUST0212"/>
    <x v="2"/>
    <x v="101"/>
    <d v="1899-12-30T17:47:00"/>
    <s v="Delivered"/>
    <n v="406"/>
    <n v="0"/>
    <n v="406"/>
    <n v="406"/>
  </r>
  <r>
    <s v="ORD4255084"/>
    <s v="CUST0042"/>
    <x v="1"/>
    <x v="57"/>
    <d v="1899-12-30T17:51:00"/>
    <s v="Delivered"/>
    <n v="336"/>
    <n v="0"/>
    <n v="336"/>
    <n v="336"/>
  </r>
  <r>
    <s v="ORD8391531"/>
    <s v="CUST0437"/>
    <x v="1"/>
    <x v="118"/>
    <d v="1899-12-30T20:14:00"/>
    <s v="Delivered"/>
    <n v="852"/>
    <n v="42.6"/>
    <n v="809.4"/>
    <n v="852"/>
  </r>
  <r>
    <s v="ORD6868570"/>
    <s v="CUST0032"/>
    <x v="1"/>
    <x v="162"/>
    <d v="1899-12-30T14:16:00"/>
    <s v="Cancelled"/>
    <n v="574"/>
    <n v="57.4"/>
    <n v="0"/>
    <n v="574"/>
  </r>
  <r>
    <s v="ORD3685450"/>
    <s v="CUST0277"/>
    <x v="2"/>
    <x v="209"/>
    <d v="1899-12-30T22:11:00"/>
    <s v="Delivered"/>
    <n v="89"/>
    <n v="13.35"/>
    <n v="75.650000000000006"/>
    <n v="89"/>
  </r>
  <r>
    <s v="ORD6555400"/>
    <s v="CUST0215"/>
    <x v="1"/>
    <x v="305"/>
    <d v="1899-12-30T19:45:00"/>
    <s v="Delivered"/>
    <n v="258"/>
    <n v="0"/>
    <n v="258"/>
    <n v="258"/>
  </r>
  <r>
    <s v="ORD9483659"/>
    <s v="CUST0232"/>
    <x v="0"/>
    <x v="200"/>
    <d v="1899-12-30T18:01:00"/>
    <s v="Delivered"/>
    <n v="267"/>
    <n v="26.7"/>
    <n v="240.3"/>
    <n v="267"/>
  </r>
  <r>
    <s v="ORD2732796"/>
    <s v="CUST0006"/>
    <x v="0"/>
    <x v="51"/>
    <d v="1899-12-30T16:34:00"/>
    <s v="Delivered"/>
    <n v="2005"/>
    <n v="0"/>
    <n v="2005"/>
    <n v="2005"/>
  </r>
  <r>
    <s v="ORD3908376"/>
    <s v="CUST0018"/>
    <x v="0"/>
    <x v="164"/>
    <d v="1899-12-30T20:58:00"/>
    <s v="Delivered"/>
    <n v="89"/>
    <n v="0"/>
    <n v="89"/>
    <n v="89"/>
  </r>
  <r>
    <s v="ORD6772242"/>
    <s v="CUST0334"/>
    <x v="0"/>
    <x v="76"/>
    <d v="1899-12-30T18:57:00"/>
    <s v="Delivered"/>
    <n v="79"/>
    <n v="0"/>
    <n v="79"/>
    <n v="79"/>
  </r>
  <r>
    <s v="ORD9460643"/>
    <s v="CUST0438"/>
    <x v="1"/>
    <x v="37"/>
    <d v="1899-12-30T09:14:00"/>
    <s v="Delivered"/>
    <n v="715"/>
    <n v="0"/>
    <n v="715"/>
    <n v="715"/>
  </r>
  <r>
    <s v="ORD6818667"/>
    <s v="CUST0416"/>
    <x v="0"/>
    <x v="243"/>
    <d v="1899-12-30T17:00:00"/>
    <s v="Delivered"/>
    <n v="1011"/>
    <n v="151.65"/>
    <n v="859.35"/>
    <n v="1011"/>
  </r>
  <r>
    <s v="ORD3246423"/>
    <s v="CUST0161"/>
    <x v="2"/>
    <x v="333"/>
    <d v="1899-12-30T00:25:00"/>
    <s v="Delivered"/>
    <n v="198"/>
    <n v="0"/>
    <n v="198"/>
    <n v="198"/>
  </r>
  <r>
    <s v="ORD1249770"/>
    <s v="CUST0082"/>
    <x v="1"/>
    <x v="9"/>
    <d v="1899-12-30T18:17:00"/>
    <s v="Delivered"/>
    <n v="248"/>
    <n v="0"/>
    <n v="248"/>
    <n v="248"/>
  </r>
  <r>
    <s v="ORD2275295"/>
    <s v="CUST0093"/>
    <x v="1"/>
    <x v="200"/>
    <d v="1899-12-30T00:08:00"/>
    <s v="Delivered"/>
    <n v="178"/>
    <n v="17.8"/>
    <n v="160.19999999999999"/>
    <n v="178"/>
  </r>
  <r>
    <s v="ORD7688099"/>
    <s v="CUST0342"/>
    <x v="2"/>
    <x v="245"/>
    <d v="1899-12-30T18:09:00"/>
    <s v="Delivered"/>
    <n v="277"/>
    <n v="13.85"/>
    <n v="263.14999999999998"/>
    <n v="277"/>
  </r>
  <r>
    <s v="ORD5506019"/>
    <s v="CUST0380"/>
    <x v="2"/>
    <x v="276"/>
    <d v="1899-12-30T17:42:00"/>
    <s v="Delivered"/>
    <n v="793"/>
    <n v="0"/>
    <n v="793"/>
    <n v="793"/>
  </r>
  <r>
    <s v="ORD1828280"/>
    <s v="CUST0054"/>
    <x v="1"/>
    <x v="320"/>
    <d v="1899-12-30T20:40:00"/>
    <s v="Delivered"/>
    <n v="814"/>
    <n v="40.700000000000003"/>
    <n v="773.3"/>
    <n v="814"/>
  </r>
  <r>
    <s v="ORD2836456"/>
    <s v="CUST0409"/>
    <x v="0"/>
    <x v="36"/>
    <d v="1899-12-30T18:40:00"/>
    <s v="Cancelled"/>
    <n v="395"/>
    <n v="39.5"/>
    <n v="0"/>
    <n v="395"/>
  </r>
  <r>
    <s v="ORD3854736"/>
    <s v="CUST0451"/>
    <x v="1"/>
    <x v="179"/>
    <d v="1899-12-30T12:13:00"/>
    <s v="Cancelled"/>
    <n v="277"/>
    <n v="0"/>
    <n v="0"/>
    <n v="277"/>
  </r>
  <r>
    <s v="ORD6595931"/>
    <s v="CUST0030"/>
    <x v="2"/>
    <x v="233"/>
    <d v="1899-12-30T15:17:00"/>
    <s v="Delivered"/>
    <n v="603"/>
    <n v="60.3"/>
    <n v="542.70000000000005"/>
    <n v="603"/>
  </r>
  <r>
    <s v="ORD9521406"/>
    <s v="CUST0089"/>
    <x v="1"/>
    <x v="5"/>
    <d v="1899-12-30T19:50:00"/>
    <s v="Delivered"/>
    <n v="228"/>
    <n v="0"/>
    <n v="228"/>
    <n v="228"/>
  </r>
  <r>
    <s v="ORD3831541"/>
    <s v="CUST0403"/>
    <x v="0"/>
    <x v="196"/>
    <d v="1899-12-30T14:05:00"/>
    <s v="Delivered"/>
    <n v="425"/>
    <n v="42.5"/>
    <n v="382.5"/>
    <n v="425"/>
  </r>
  <r>
    <s v="ORD6031079"/>
    <s v="CUST0087"/>
    <x v="0"/>
    <x v="129"/>
    <d v="1899-12-30T01:25:00"/>
    <s v="Delivered"/>
    <n v="218"/>
    <n v="10.9"/>
    <n v="207.1"/>
    <n v="218"/>
  </r>
  <r>
    <s v="ORD3936064"/>
    <s v="CUST0148"/>
    <x v="0"/>
    <x v="94"/>
    <d v="1899-12-30T18:05:00"/>
    <s v="Cancelled"/>
    <n v="158"/>
    <n v="0"/>
    <n v="0"/>
    <n v="158"/>
  </r>
  <r>
    <s v="ORD5400264"/>
    <s v="CUST0210"/>
    <x v="1"/>
    <x v="156"/>
    <d v="1899-12-30T09:08:00"/>
    <s v="Delivered"/>
    <n v="564"/>
    <n v="0"/>
    <n v="564"/>
    <n v="564"/>
  </r>
  <r>
    <s v="ORD4368734"/>
    <s v="CUST0126"/>
    <x v="1"/>
    <x v="81"/>
    <d v="1899-12-30T00:14:00"/>
    <s v="Delivered"/>
    <n v="406"/>
    <n v="20.3"/>
    <n v="385.7"/>
    <n v="406"/>
  </r>
  <r>
    <s v="ORD1625318"/>
    <s v="CUST0237"/>
    <x v="1"/>
    <x v="349"/>
    <d v="1899-12-30T20:09:00"/>
    <s v="Delivered"/>
    <n v="504"/>
    <n v="50.4"/>
    <n v="453.6"/>
    <n v="504"/>
  </r>
  <r>
    <s v="ORD6938942"/>
    <s v="CUST0270"/>
    <x v="0"/>
    <x v="105"/>
    <d v="1899-12-30T17:45:00"/>
    <s v="Delivered"/>
    <n v="118"/>
    <n v="5.9"/>
    <n v="112.1"/>
    <n v="118"/>
  </r>
  <r>
    <s v="ORD2867709"/>
    <s v="CUST0076"/>
    <x v="2"/>
    <x v="121"/>
    <d v="1899-12-30T19:42:00"/>
    <s v="Delivered"/>
    <n v="1409"/>
    <n v="0"/>
    <n v="1409"/>
    <n v="1409"/>
  </r>
  <r>
    <s v="ORD5826896"/>
    <s v="CUST0142"/>
    <x v="2"/>
    <x v="213"/>
    <d v="1899-12-30T15:22:00"/>
    <s v="Delivered"/>
    <n v="455"/>
    <n v="0"/>
    <n v="455"/>
    <n v="455"/>
  </r>
  <r>
    <s v="ORD4020918"/>
    <s v="CUST0129"/>
    <x v="0"/>
    <x v="164"/>
    <d v="1899-12-30T12:50:00"/>
    <s v="Cancelled"/>
    <n v="574"/>
    <n v="28.7"/>
    <n v="0"/>
    <n v="574"/>
  </r>
  <r>
    <s v="ORD4066071"/>
    <s v="CUST0097"/>
    <x v="1"/>
    <x v="288"/>
    <d v="1899-12-30T20:36:00"/>
    <s v="Delivered"/>
    <n v="466"/>
    <n v="0"/>
    <n v="466"/>
    <n v="466"/>
  </r>
  <r>
    <s v="ORD8526850"/>
    <s v="CUST0200"/>
    <x v="0"/>
    <x v="196"/>
    <d v="1899-12-30T23:52:00"/>
    <s v="Delivered"/>
    <n v="504"/>
    <n v="0"/>
    <n v="504"/>
    <n v="504"/>
  </r>
  <r>
    <s v="ORD9652307"/>
    <s v="CUST0240"/>
    <x v="1"/>
    <x v="148"/>
    <d v="1899-12-30T18:44:00"/>
    <s v="Delivered"/>
    <n v="356"/>
    <n v="0"/>
    <n v="356"/>
    <n v="356"/>
  </r>
  <r>
    <s v="ORD5672909"/>
    <s v="CUST0047"/>
    <x v="1"/>
    <x v="57"/>
    <d v="1899-12-30T18:11:00"/>
    <s v="Delivered"/>
    <n v="535"/>
    <n v="0"/>
    <n v="535"/>
    <n v="535"/>
  </r>
  <r>
    <s v="ORD7888141"/>
    <s v="CUST0157"/>
    <x v="1"/>
    <x v="96"/>
    <d v="1899-12-30T19:03:00"/>
    <s v="Delivered"/>
    <n v="277"/>
    <n v="0"/>
    <n v="277"/>
    <n v="277"/>
  </r>
  <r>
    <s v="ORD6895559"/>
    <s v="CUST0232"/>
    <x v="0"/>
    <x v="208"/>
    <d v="1899-12-30T20:48:00"/>
    <s v="Delivered"/>
    <n v="307"/>
    <n v="15.35"/>
    <n v="291.64999999999998"/>
    <n v="307"/>
  </r>
  <r>
    <s v="ORD2461763"/>
    <s v="CUST0338"/>
    <x v="1"/>
    <x v="204"/>
    <d v="1899-12-30T10:23:00"/>
    <s v="Delivered"/>
    <n v="308"/>
    <n v="0"/>
    <n v="308"/>
    <n v="308"/>
  </r>
  <r>
    <s v="ORD6612339"/>
    <s v="CUST0398"/>
    <x v="0"/>
    <x v="30"/>
    <d v="1899-12-30T16:00:00"/>
    <s v="Delivered"/>
    <n v="387"/>
    <n v="0"/>
    <n v="387"/>
    <n v="387"/>
  </r>
  <r>
    <s v="ORD8127058"/>
    <s v="CUST0127"/>
    <x v="1"/>
    <x v="265"/>
    <d v="1899-12-30T12:45:00"/>
    <s v="Cancelled"/>
    <n v="336"/>
    <n v="33.6"/>
    <n v="0"/>
    <n v="336"/>
  </r>
  <r>
    <s v="ORD4077109"/>
    <s v="CUST0478"/>
    <x v="1"/>
    <x v="60"/>
    <d v="1899-12-30T10:35:00"/>
    <s v="Delivered"/>
    <n v="515"/>
    <n v="0"/>
    <n v="515"/>
    <n v="515"/>
  </r>
  <r>
    <s v="ORD9428560"/>
    <s v="CUST0221"/>
    <x v="1"/>
    <x v="332"/>
    <d v="1899-12-30T21:32:00"/>
    <s v="Delivered"/>
    <n v="317"/>
    <n v="0"/>
    <n v="317"/>
    <n v="317"/>
  </r>
  <r>
    <s v="ORD1403834"/>
    <s v="CUST0247"/>
    <x v="2"/>
    <x v="183"/>
    <d v="1899-12-30T23:48:00"/>
    <s v="Delivered"/>
    <n v="596"/>
    <n v="29.8"/>
    <n v="566.20000000000005"/>
    <n v="596"/>
  </r>
  <r>
    <s v="ORD2304420"/>
    <s v="CUST0288"/>
    <x v="1"/>
    <x v="266"/>
    <d v="1899-12-30T21:54:00"/>
    <s v="Delivered"/>
    <n v="842"/>
    <n v="0"/>
    <n v="842"/>
    <n v="842"/>
  </r>
  <r>
    <s v="ORD3974790"/>
    <s v="CUST0484"/>
    <x v="0"/>
    <x v="263"/>
    <d v="1899-12-30T22:12:00"/>
    <s v="Delivered"/>
    <n v="564"/>
    <n v="0"/>
    <n v="564"/>
    <n v="564"/>
  </r>
  <r>
    <s v="ORD1101935"/>
    <s v="CUST0235"/>
    <x v="0"/>
    <x v="315"/>
    <d v="1899-12-30T22:05:00"/>
    <s v="Delivered"/>
    <n v="417"/>
    <n v="0"/>
    <n v="417"/>
    <n v="417"/>
  </r>
  <r>
    <s v="ORD2461262"/>
    <s v="CUST0341"/>
    <x v="1"/>
    <x v="346"/>
    <d v="1899-12-30T23:43:00"/>
    <s v="Delivered"/>
    <n v="713"/>
    <n v="71.3"/>
    <n v="641.70000000000005"/>
    <n v="713"/>
  </r>
  <r>
    <s v="ORD1033416"/>
    <s v="CUST0276"/>
    <x v="1"/>
    <x v="191"/>
    <d v="1899-12-30T18:52:00"/>
    <s v="Delivered"/>
    <n v="644"/>
    <n v="64.400000000000006"/>
    <n v="579.6"/>
    <n v="644"/>
  </r>
  <r>
    <s v="ORD2264074"/>
    <s v="CUST0076"/>
    <x v="0"/>
    <x v="253"/>
    <d v="1899-12-30T16:44:00"/>
    <s v="Delivered"/>
    <n v="873"/>
    <n v="0"/>
    <n v="873"/>
    <n v="873"/>
  </r>
  <r>
    <s v="ORD1869144"/>
    <s v="CUST0297"/>
    <x v="2"/>
    <x v="308"/>
    <d v="1899-12-30T21:33:00"/>
    <s v="Delivered"/>
    <n v="436"/>
    <n v="65.400000000000006"/>
    <n v="370.6"/>
    <n v="436"/>
  </r>
  <r>
    <s v="ORD8985182"/>
    <s v="CUST0397"/>
    <x v="1"/>
    <x v="92"/>
    <d v="1899-12-30T17:28:00"/>
    <s v="Delivered"/>
    <n v="375"/>
    <n v="18.75"/>
    <n v="356.25"/>
    <n v="375"/>
  </r>
  <r>
    <s v="ORD3916773"/>
    <s v="CUST0308"/>
    <x v="2"/>
    <x v="218"/>
    <d v="1899-12-30T20:10:00"/>
    <s v="Delivered"/>
    <n v="564"/>
    <n v="0"/>
    <n v="564"/>
    <n v="564"/>
  </r>
  <r>
    <s v="ORD8028787"/>
    <s v="CUST0142"/>
    <x v="1"/>
    <x v="79"/>
    <d v="1899-12-30T19:40:00"/>
    <s v="Delivered"/>
    <n v="158"/>
    <n v="0"/>
    <n v="158"/>
    <n v="158"/>
  </r>
  <r>
    <s v="ORD7575211"/>
    <s v="CUST0410"/>
    <x v="1"/>
    <x v="302"/>
    <d v="1899-12-30T16:10:00"/>
    <s v="Delivered"/>
    <n v="99"/>
    <n v="14.85"/>
    <n v="84.15"/>
    <n v="99"/>
  </r>
  <r>
    <s v="ORD5438623"/>
    <s v="CUST0216"/>
    <x v="1"/>
    <x v="41"/>
    <d v="1899-12-30T17:59:00"/>
    <s v="Delivered"/>
    <n v="357"/>
    <n v="0"/>
    <n v="357"/>
    <n v="357"/>
  </r>
  <r>
    <s v="ORD1183744"/>
    <s v="CUST0004"/>
    <x v="1"/>
    <x v="17"/>
    <d v="1899-12-30T22:57:00"/>
    <s v="Delivered"/>
    <n v="435"/>
    <n v="0"/>
    <n v="435"/>
    <n v="435"/>
  </r>
  <r>
    <s v="ORD5467103"/>
    <s v="CUST0005"/>
    <x v="1"/>
    <x v="337"/>
    <d v="1899-12-30T18:15:00"/>
    <s v="Delivered"/>
    <n v="257"/>
    <n v="0"/>
    <n v="257"/>
    <n v="257"/>
  </r>
  <r>
    <s v="ORD6173064"/>
    <s v="CUST0193"/>
    <x v="1"/>
    <x v="221"/>
    <d v="1899-12-30T18:15:00"/>
    <s v="Delivered"/>
    <n v="526"/>
    <n v="0"/>
    <n v="526"/>
    <n v="526"/>
  </r>
  <r>
    <s v="ORD7712695"/>
    <s v="CUST0009"/>
    <x v="2"/>
    <x v="19"/>
    <d v="1899-12-30T13:43:00"/>
    <s v="Delivered"/>
    <n v="811"/>
    <n v="0"/>
    <n v="811"/>
    <n v="811"/>
  </r>
  <r>
    <s v="ORD7394795"/>
    <s v="CUST0119"/>
    <x v="1"/>
    <x v="116"/>
    <d v="1899-12-30T17:08:00"/>
    <s v="Delivered"/>
    <n v="674"/>
    <n v="0"/>
    <n v="674"/>
    <n v="674"/>
  </r>
  <r>
    <s v="ORD5304568"/>
    <s v="CUST0384"/>
    <x v="1"/>
    <x v="245"/>
    <d v="1899-12-30T11:08:00"/>
    <s v="Delivered"/>
    <n v="356"/>
    <n v="35.6"/>
    <n v="320.39999999999998"/>
    <n v="356"/>
  </r>
  <r>
    <s v="ORD7324261"/>
    <s v="CUST0097"/>
    <x v="2"/>
    <x v="52"/>
    <d v="1899-12-30T19:11:00"/>
    <s v="Cancelled"/>
    <n v="1168"/>
    <n v="0"/>
    <n v="0"/>
    <n v="1168"/>
  </r>
  <r>
    <s v="ORD9311973"/>
    <s v="CUST0264"/>
    <x v="1"/>
    <x v="88"/>
    <d v="1899-12-30T15:35:00"/>
    <s v="Delivered"/>
    <n v="317"/>
    <n v="0"/>
    <n v="317"/>
    <n v="317"/>
  </r>
  <r>
    <s v="ORD4357826"/>
    <s v="CUST0127"/>
    <x v="1"/>
    <x v="348"/>
    <d v="1899-12-30T20:52:00"/>
    <s v="Cancelled"/>
    <n v="713"/>
    <n v="0"/>
    <n v="0"/>
    <n v="713"/>
  </r>
  <r>
    <s v="ORD3462796"/>
    <s v="CUST0239"/>
    <x v="2"/>
    <x v="345"/>
    <d v="1899-12-30T21:44:00"/>
    <s v="Cancelled"/>
    <n v="326"/>
    <n v="0"/>
    <n v="0"/>
    <n v="326"/>
  </r>
  <r>
    <s v="ORD9316569"/>
    <s v="CUST0009"/>
    <x v="1"/>
    <x v="205"/>
    <d v="1899-12-30T18:07:00"/>
    <s v="Delivered"/>
    <n v="417"/>
    <n v="0"/>
    <n v="417"/>
    <n v="417"/>
  </r>
  <r>
    <s v="ORD3272177"/>
    <s v="CUST0082"/>
    <x v="0"/>
    <x v="46"/>
    <d v="1899-12-30T15:19:00"/>
    <s v="Delivered"/>
    <n v="455"/>
    <n v="0"/>
    <n v="455"/>
    <n v="455"/>
  </r>
  <r>
    <s v="ORD7722274"/>
    <s v="CUST0483"/>
    <x v="1"/>
    <x v="236"/>
    <d v="1899-12-30T16:39:00"/>
    <s v="Delivered"/>
    <n v="1218"/>
    <n v="0"/>
    <n v="1218"/>
    <n v="1218"/>
  </r>
  <r>
    <s v="ORD1046609"/>
    <s v="CUST0126"/>
    <x v="0"/>
    <x v="298"/>
    <d v="1899-12-30T21:23:00"/>
    <s v="Delivered"/>
    <n v="227"/>
    <n v="0"/>
    <n v="227"/>
    <n v="227"/>
  </r>
  <r>
    <s v="ORD5159219"/>
    <s v="CUST0434"/>
    <x v="1"/>
    <x v="100"/>
    <d v="1899-12-30T13:54:00"/>
    <s v="Delivered"/>
    <n v="178"/>
    <n v="0"/>
    <n v="178"/>
    <n v="178"/>
  </r>
  <r>
    <s v="ORD9224056"/>
    <s v="CUST0007"/>
    <x v="1"/>
    <x v="97"/>
    <d v="1899-12-30T19:06:00"/>
    <s v="Delivered"/>
    <n v="594"/>
    <n v="0"/>
    <n v="594"/>
    <n v="594"/>
  </r>
  <r>
    <s v="ORD2190891"/>
    <s v="CUST0076"/>
    <x v="0"/>
    <x v="165"/>
    <d v="1899-12-30T11:02:00"/>
    <s v="Cancelled"/>
    <n v="228"/>
    <n v="0"/>
    <n v="0"/>
    <n v="228"/>
  </r>
  <r>
    <s v="ORD1001433"/>
    <s v="CUST0230"/>
    <x v="1"/>
    <x v="74"/>
    <d v="1899-12-30T13:54:00"/>
    <s v="Delivered"/>
    <n v="605"/>
    <n v="0"/>
    <n v="605"/>
    <n v="605"/>
  </r>
  <r>
    <s v="ORD6391404"/>
    <s v="CUST0429"/>
    <x v="1"/>
    <x v="197"/>
    <d v="1899-12-30T16:44:00"/>
    <s v="Delivered"/>
    <n v="1540"/>
    <n v="0"/>
    <n v="1540"/>
    <n v="1540"/>
  </r>
  <r>
    <s v="ORD6823594"/>
    <s v="CUST0443"/>
    <x v="0"/>
    <x v="176"/>
    <d v="1899-12-30T01:10:00"/>
    <s v="Delivered"/>
    <n v="346"/>
    <n v="0"/>
    <n v="346"/>
    <n v="346"/>
  </r>
  <r>
    <s v="ORD2601153"/>
    <s v="CUST0380"/>
    <x v="1"/>
    <x v="113"/>
    <d v="1899-12-30T18:34:00"/>
    <s v="Delivered"/>
    <n v="525"/>
    <n v="0"/>
    <n v="525"/>
    <n v="525"/>
  </r>
  <r>
    <s v="ORD1211417"/>
    <s v="CUST0301"/>
    <x v="1"/>
    <x v="284"/>
    <d v="1899-12-30T18:00:00"/>
    <s v="Delivered"/>
    <n v="940"/>
    <n v="47"/>
    <n v="893"/>
    <n v="940"/>
  </r>
  <r>
    <s v="ORD1404895"/>
    <s v="CUST0092"/>
    <x v="1"/>
    <x v="180"/>
    <d v="1899-12-30T23:09:00"/>
    <s v="Delivered"/>
    <n v="465"/>
    <n v="0"/>
    <n v="465"/>
    <n v="465"/>
  </r>
  <r>
    <s v="ORD8462774"/>
    <s v="CUST0356"/>
    <x v="0"/>
    <x v="0"/>
    <d v="1899-12-30T13:40:00"/>
    <s v="Delivered"/>
    <n v="903"/>
    <n v="0"/>
    <n v="903"/>
    <n v="903"/>
  </r>
  <r>
    <s v="ORD8004884"/>
    <s v="CUST0122"/>
    <x v="1"/>
    <x v="5"/>
    <d v="1899-12-30T17:46:00"/>
    <s v="Delivered"/>
    <n v="377"/>
    <n v="56.55"/>
    <n v="320.45"/>
    <n v="377"/>
  </r>
  <r>
    <s v="ORD9102857"/>
    <s v="CUST0022"/>
    <x v="0"/>
    <x v="67"/>
    <d v="1899-12-30T15:31:00"/>
    <s v="Delivered"/>
    <n v="604"/>
    <n v="0"/>
    <n v="604"/>
    <n v="604"/>
  </r>
  <r>
    <s v="ORD3437048"/>
    <s v="CUST0048"/>
    <x v="1"/>
    <x v="104"/>
    <d v="1899-12-30T12:05:00"/>
    <s v="Delivered"/>
    <n v="356"/>
    <n v="0"/>
    <n v="356"/>
    <n v="356"/>
  </r>
  <r>
    <s v="ORD7765880"/>
    <s v="CUST0058"/>
    <x v="0"/>
    <x v="77"/>
    <d v="1899-12-30T21:07:00"/>
    <s v="Delivered"/>
    <n v="744"/>
    <n v="74.400000000000006"/>
    <n v="669.6"/>
    <n v="744"/>
  </r>
  <r>
    <s v="ORD5574086"/>
    <s v="CUST0244"/>
    <x v="1"/>
    <x v="198"/>
    <d v="1899-12-30T01:00:00"/>
    <s v="Delivered"/>
    <n v="673"/>
    <n v="0"/>
    <n v="673"/>
    <n v="673"/>
  </r>
  <r>
    <s v="ORD7549850"/>
    <s v="CUST0385"/>
    <x v="1"/>
    <x v="243"/>
    <d v="1899-12-30T10:28:00"/>
    <s v="Delivered"/>
    <n v="1449"/>
    <n v="144.9"/>
    <n v="1304.0999999999999"/>
    <n v="1449"/>
  </r>
  <r>
    <s v="ORD4893809"/>
    <s v="CUST0473"/>
    <x v="1"/>
    <x v="35"/>
    <d v="1899-12-30T20:24:00"/>
    <s v="Delivered"/>
    <n v="248"/>
    <n v="0"/>
    <n v="248"/>
    <n v="248"/>
  </r>
  <r>
    <s v="ORD1812330"/>
    <s v="CUST0199"/>
    <x v="0"/>
    <x v="344"/>
    <d v="1899-12-30T17:58:00"/>
    <s v="Delivered"/>
    <n v="425"/>
    <n v="0"/>
    <n v="425"/>
    <n v="425"/>
  </r>
  <r>
    <s v="ORD3024725"/>
    <s v="CUST0429"/>
    <x v="1"/>
    <x v="95"/>
    <d v="1899-12-30T19:17:00"/>
    <s v="Delivered"/>
    <n v="644"/>
    <n v="96.6"/>
    <n v="547.4"/>
    <n v="644"/>
  </r>
  <r>
    <s v="ORD7224807"/>
    <s v="CUST0483"/>
    <x v="1"/>
    <x v="244"/>
    <d v="1899-12-30T17:49:00"/>
    <s v="Delivered"/>
    <n v="377"/>
    <n v="0"/>
    <n v="377"/>
    <n v="377"/>
  </r>
  <r>
    <s v="ORD8775711"/>
    <s v="CUST0221"/>
    <x v="1"/>
    <x v="238"/>
    <d v="1899-12-30T21:34:00"/>
    <s v="Delivered"/>
    <n v="663"/>
    <n v="66.3"/>
    <n v="596.70000000000005"/>
    <n v="663"/>
  </r>
  <r>
    <s v="ORD4777038"/>
    <s v="CUST0147"/>
    <x v="2"/>
    <x v="33"/>
    <d v="1899-12-30T13:44:00"/>
    <s v="Delivered"/>
    <n v="198"/>
    <n v="29.7"/>
    <n v="168.3"/>
    <n v="198"/>
  </r>
  <r>
    <s v="ORD5747786"/>
    <s v="CUST0109"/>
    <x v="1"/>
    <x v="14"/>
    <d v="1899-12-30T18:33:00"/>
    <s v="Delivered"/>
    <n v="416"/>
    <n v="20.8"/>
    <n v="395.2"/>
    <n v="416"/>
  </r>
  <r>
    <s v="ORD1202528"/>
    <s v="CUST0359"/>
    <x v="1"/>
    <x v="44"/>
    <d v="1899-12-30T16:20:00"/>
    <s v="Delivered"/>
    <n v="574"/>
    <n v="28.7"/>
    <n v="545.29999999999995"/>
    <n v="574"/>
  </r>
  <r>
    <s v="ORD2055082"/>
    <s v="CUST0068"/>
    <x v="1"/>
    <x v="165"/>
    <d v="1899-12-30T15:01:00"/>
    <s v="Delivered"/>
    <n v="168"/>
    <n v="16.8"/>
    <n v="151.19999999999999"/>
    <n v="168"/>
  </r>
  <r>
    <s v="ORD6302160"/>
    <s v="CUST0255"/>
    <x v="0"/>
    <x v="123"/>
    <d v="1899-12-30T10:27:00"/>
    <s v="Delivered"/>
    <n v="198"/>
    <n v="0"/>
    <n v="198"/>
    <n v="198"/>
  </r>
  <r>
    <s v="ORD8421194"/>
    <s v="CUST0303"/>
    <x v="1"/>
    <x v="35"/>
    <d v="1899-12-30T17:15:00"/>
    <s v="Delivered"/>
    <n v="396"/>
    <n v="19.8"/>
    <n v="376.2"/>
    <n v="396"/>
  </r>
  <r>
    <s v="ORD8721462"/>
    <s v="CUST0028"/>
    <x v="1"/>
    <x v="283"/>
    <d v="1899-12-30T19:37:00"/>
    <s v="Delivered"/>
    <n v="615"/>
    <n v="0"/>
    <n v="615"/>
    <n v="615"/>
  </r>
  <r>
    <s v="ORD3064526"/>
    <s v="CUST0220"/>
    <x v="1"/>
    <x v="220"/>
    <d v="1899-12-30T00:13:00"/>
    <s v="Delivered"/>
    <n v="476"/>
    <n v="0"/>
    <n v="476"/>
    <n v="476"/>
  </r>
  <r>
    <s v="ORD4116123"/>
    <s v="CUST0240"/>
    <x v="1"/>
    <x v="208"/>
    <d v="1899-12-30T14:43:00"/>
    <s v="Delivered"/>
    <n v="1082"/>
    <n v="0"/>
    <n v="1082"/>
    <n v="1082"/>
  </r>
  <r>
    <s v="ORD3410155"/>
    <s v="CUST0112"/>
    <x v="1"/>
    <x v="276"/>
    <d v="1899-12-30T19:15:00"/>
    <s v="Cancelled"/>
    <n v="544"/>
    <n v="0"/>
    <n v="0"/>
    <n v="544"/>
  </r>
  <r>
    <s v="ORD7623361"/>
    <s v="CUST0123"/>
    <x v="0"/>
    <x v="277"/>
    <d v="1899-12-30T17:20:00"/>
    <s v="Delivered"/>
    <n v="298"/>
    <n v="14.9"/>
    <n v="283.10000000000002"/>
    <n v="298"/>
  </r>
  <r>
    <s v="ORD3360409"/>
    <s v="CUST0274"/>
    <x v="2"/>
    <x v="200"/>
    <d v="1899-12-30T12:46:00"/>
    <s v="Delivered"/>
    <n v="377"/>
    <n v="37.700000000000003"/>
    <n v="339.3"/>
    <n v="377"/>
  </r>
  <r>
    <s v="ORD4563779"/>
    <s v="CUST0143"/>
    <x v="1"/>
    <x v="18"/>
    <d v="1899-12-30T17:33:00"/>
    <s v="Delivered"/>
    <n v="417"/>
    <n v="0"/>
    <n v="417"/>
    <n v="417"/>
  </r>
  <r>
    <s v="ORD6739427"/>
    <s v="CUST0432"/>
    <x v="1"/>
    <x v="2"/>
    <d v="1899-12-30T10:21:00"/>
    <s v="Delivered"/>
    <n v="594"/>
    <n v="89.1"/>
    <n v="504.9"/>
    <n v="594"/>
  </r>
  <r>
    <s v="ORD8256078"/>
    <s v="CUST0345"/>
    <x v="1"/>
    <x v="267"/>
    <d v="1899-12-30T12:13:00"/>
    <s v="Delivered"/>
    <n v="624"/>
    <n v="0"/>
    <n v="624"/>
    <n v="624"/>
  </r>
  <r>
    <s v="ORD4478510"/>
    <s v="CUST0411"/>
    <x v="1"/>
    <x v="120"/>
    <d v="1899-12-30T09:59:00"/>
    <s v="Delivered"/>
    <n v="178"/>
    <n v="0"/>
    <n v="178"/>
    <n v="178"/>
  </r>
  <r>
    <s v="ORD8934226"/>
    <s v="CUST0373"/>
    <x v="0"/>
    <x v="12"/>
    <d v="1899-12-30T18:05:00"/>
    <s v="Delivered"/>
    <n v="704"/>
    <n v="0"/>
    <n v="704"/>
    <n v="704"/>
  </r>
  <r>
    <s v="ORD8209168"/>
    <s v="CUST0292"/>
    <x v="2"/>
    <x v="34"/>
    <d v="1899-12-30T17:23:00"/>
    <s v="Delivered"/>
    <n v="198"/>
    <n v="0"/>
    <n v="198"/>
    <n v="198"/>
  </r>
  <r>
    <s v="ORD7770277"/>
    <s v="CUST0407"/>
    <x v="0"/>
    <x v="92"/>
    <d v="1899-12-30T01:54:00"/>
    <s v="Delivered"/>
    <n v="1111"/>
    <n v="0"/>
    <n v="1111"/>
    <n v="1111"/>
  </r>
  <r>
    <s v="ORD5660649"/>
    <s v="CUST0295"/>
    <x v="0"/>
    <x v="183"/>
    <d v="1899-12-30T19:47:00"/>
    <s v="Cancelled"/>
    <n v="932"/>
    <n v="93.2"/>
    <n v="0"/>
    <n v="932"/>
  </r>
  <r>
    <s v="ORD7995191"/>
    <s v="CUST0339"/>
    <x v="1"/>
    <x v="29"/>
    <d v="1899-12-30T21:51:00"/>
    <s v="Delivered"/>
    <n v="544"/>
    <n v="0"/>
    <n v="544"/>
    <n v="544"/>
  </r>
  <r>
    <s v="ORD9953454"/>
    <s v="CUST0361"/>
    <x v="2"/>
    <x v="22"/>
    <d v="1899-12-30T20:37:00"/>
    <s v="Delivered"/>
    <n v="404"/>
    <n v="0"/>
    <n v="404"/>
    <n v="404"/>
  </r>
  <r>
    <s v="ORD3306375"/>
    <s v="CUST0471"/>
    <x v="2"/>
    <x v="155"/>
    <d v="1899-12-30T21:44:00"/>
    <s v="Delivered"/>
    <n v="1012"/>
    <n v="0"/>
    <n v="1012"/>
    <n v="1012"/>
  </r>
  <r>
    <s v="ORD9830779"/>
    <s v="CUST0263"/>
    <x v="0"/>
    <x v="82"/>
    <d v="1899-12-30T10:54:00"/>
    <s v="Delivered"/>
    <n v="1112"/>
    <n v="0"/>
    <n v="1112"/>
    <n v="1112"/>
  </r>
  <r>
    <s v="ORD5285200"/>
    <s v="CUST0375"/>
    <x v="1"/>
    <x v="134"/>
    <d v="1899-12-30T21:04:00"/>
    <s v="Delivered"/>
    <n v="928"/>
    <n v="92.8"/>
    <n v="835.2"/>
    <n v="928"/>
  </r>
  <r>
    <s v="ORD5518767"/>
    <s v="CUST0352"/>
    <x v="1"/>
    <x v="276"/>
    <d v="1899-12-30T23:27:00"/>
    <s v="Delivered"/>
    <n v="999"/>
    <n v="99.9"/>
    <n v="899.1"/>
    <n v="999"/>
  </r>
  <r>
    <s v="ORD3360703"/>
    <s v="CUST0430"/>
    <x v="0"/>
    <x v="337"/>
    <d v="1899-12-30T16:03:00"/>
    <s v="Delivered"/>
    <n v="89"/>
    <n v="0"/>
    <n v="89"/>
    <n v="89"/>
  </r>
  <r>
    <s v="ORD5660426"/>
    <s v="CUST0260"/>
    <x v="1"/>
    <x v="113"/>
    <d v="1899-12-30T19:43:00"/>
    <s v="Delivered"/>
    <n v="79"/>
    <n v="0"/>
    <n v="79"/>
    <n v="79"/>
  </r>
  <r>
    <s v="ORD5606976"/>
    <s v="CUST0131"/>
    <x v="1"/>
    <x v="76"/>
    <d v="1899-12-30T16:11:00"/>
    <s v="Delivered"/>
    <n v="89"/>
    <n v="0"/>
    <n v="89"/>
    <n v="89"/>
  </r>
  <r>
    <s v="ORD2196066"/>
    <s v="CUST0350"/>
    <x v="1"/>
    <x v="181"/>
    <d v="1899-12-30T11:18:00"/>
    <s v="Delivered"/>
    <n v="178"/>
    <n v="17.8"/>
    <n v="160.19999999999999"/>
    <n v="178"/>
  </r>
  <r>
    <s v="ORD1082850"/>
    <s v="CUST0242"/>
    <x v="2"/>
    <x v="185"/>
    <d v="1899-12-30T00:39:00"/>
    <s v="Delivered"/>
    <n v="535"/>
    <n v="53.5"/>
    <n v="481.5"/>
    <n v="535"/>
  </r>
  <r>
    <s v="ORD1764736"/>
    <s v="CUST0126"/>
    <x v="1"/>
    <x v="105"/>
    <d v="1899-12-30T22:01:00"/>
    <s v="Cancelled"/>
    <n v="257"/>
    <n v="12.85"/>
    <n v="0"/>
    <n v="257"/>
  </r>
  <r>
    <s v="ORD4747003"/>
    <s v="CUST0314"/>
    <x v="0"/>
    <x v="12"/>
    <d v="1899-12-30T16:34:00"/>
    <s v="Delivered"/>
    <n v="724"/>
    <n v="72.400000000000006"/>
    <n v="651.6"/>
    <n v="724"/>
  </r>
  <r>
    <s v="ORD5575750"/>
    <s v="CUST0250"/>
    <x v="1"/>
    <x v="14"/>
    <d v="1899-12-30T00:56:00"/>
    <s v="Delivered"/>
    <n v="831"/>
    <n v="0"/>
    <n v="831"/>
    <n v="831"/>
  </r>
  <r>
    <s v="ORD1237577"/>
    <s v="CUST0261"/>
    <x v="2"/>
    <x v="332"/>
    <d v="1899-12-30T22:19:00"/>
    <s v="Delivered"/>
    <n v="476"/>
    <n v="47.6"/>
    <n v="428.4"/>
    <n v="476"/>
  </r>
  <r>
    <s v="ORD8251052"/>
    <s v="CUST0072"/>
    <x v="0"/>
    <x v="13"/>
    <d v="1899-12-30T20:02:00"/>
    <s v="Delivered"/>
    <n v="615"/>
    <n v="30.75"/>
    <n v="584.25"/>
    <n v="615"/>
  </r>
  <r>
    <s v="ORD9733958"/>
    <s v="CUST0391"/>
    <x v="1"/>
    <x v="150"/>
    <d v="1899-12-30T20:38:00"/>
    <s v="Delivered"/>
    <n v="258"/>
    <n v="25.8"/>
    <n v="232.2"/>
    <n v="258"/>
  </r>
  <r>
    <s v="ORD7128711"/>
    <s v="CUST0236"/>
    <x v="1"/>
    <x v="136"/>
    <d v="1899-12-30T20:27:00"/>
    <s v="Delivered"/>
    <n v="1071"/>
    <n v="0"/>
    <n v="1071"/>
    <n v="1071"/>
  </r>
  <r>
    <s v="ORD9724147"/>
    <s v="CUST0311"/>
    <x v="1"/>
    <x v="352"/>
    <d v="1899-12-30T11:53:00"/>
    <s v="Delivered"/>
    <n v="496"/>
    <n v="0"/>
    <n v="496"/>
    <n v="496"/>
  </r>
  <r>
    <s v="ORD5696796"/>
    <s v="CUST0281"/>
    <x v="1"/>
    <x v="59"/>
    <d v="1899-12-30T14:46:00"/>
    <s v="Delivered"/>
    <n v="367"/>
    <n v="0"/>
    <n v="367"/>
    <n v="367"/>
  </r>
  <r>
    <s v="ORD2450419"/>
    <s v="CUST0432"/>
    <x v="0"/>
    <x v="131"/>
    <d v="1899-12-30T19:11:00"/>
    <s v="Delivered"/>
    <n v="396"/>
    <n v="0"/>
    <n v="396"/>
    <n v="396"/>
  </r>
  <r>
    <s v="ORD7400252"/>
    <s v="CUST0399"/>
    <x v="1"/>
    <x v="176"/>
    <d v="1899-12-30T17:18:00"/>
    <s v="Delivered"/>
    <n v="1021"/>
    <n v="0"/>
    <n v="1021"/>
    <n v="1021"/>
  </r>
  <r>
    <s v="ORD1452563"/>
    <s v="CUST0320"/>
    <x v="0"/>
    <x v="26"/>
    <d v="1899-12-30T10:28:00"/>
    <s v="Delivered"/>
    <n v="1130"/>
    <n v="0"/>
    <n v="1130"/>
    <n v="1130"/>
  </r>
  <r>
    <s v="ORD5707149"/>
    <s v="CUST0344"/>
    <x v="2"/>
    <x v="233"/>
    <d v="1899-12-30T19:03:00"/>
    <s v="Delivered"/>
    <n v="685"/>
    <n v="0"/>
    <n v="685"/>
    <n v="685"/>
  </r>
  <r>
    <s v="ORD4525412"/>
    <s v="CUST0021"/>
    <x v="0"/>
    <x v="323"/>
    <d v="1899-12-30T20:43:00"/>
    <s v="Delivered"/>
    <n v="277"/>
    <n v="0"/>
    <n v="277"/>
    <n v="277"/>
  </r>
  <r>
    <s v="ORD4524857"/>
    <s v="CUST0086"/>
    <x v="1"/>
    <x v="114"/>
    <d v="1899-12-30T01:24:00"/>
    <s v="Delivered"/>
    <n v="585"/>
    <n v="0"/>
    <n v="585"/>
    <n v="585"/>
  </r>
  <r>
    <s v="ORD2824928"/>
    <s v="CUST0304"/>
    <x v="1"/>
    <x v="86"/>
    <d v="1899-12-30T17:15:00"/>
    <s v="Delivered"/>
    <n v="318"/>
    <n v="31.8"/>
    <n v="286.2"/>
    <n v="318"/>
  </r>
  <r>
    <s v="ORD9774395"/>
    <s v="CUST0080"/>
    <x v="2"/>
    <x v="353"/>
    <d v="1899-12-30T20:06:00"/>
    <s v="Delivered"/>
    <n v="525"/>
    <n v="0"/>
    <n v="525"/>
    <n v="525"/>
  </r>
  <r>
    <s v="ORD8628291"/>
    <s v="CUST0448"/>
    <x v="1"/>
    <x v="233"/>
    <d v="1899-12-30T00:02:00"/>
    <s v="Cancelled"/>
    <n v="347"/>
    <n v="0"/>
    <n v="0"/>
    <n v="347"/>
  </r>
  <r>
    <s v="ORD8325920"/>
    <s v="CUST0340"/>
    <x v="2"/>
    <x v="11"/>
    <d v="1899-12-30T21:32:00"/>
    <s v="Delivered"/>
    <n v="635"/>
    <n v="0"/>
    <n v="635"/>
    <n v="635"/>
  </r>
  <r>
    <s v="ORD8484166"/>
    <s v="CUST0174"/>
    <x v="1"/>
    <x v="178"/>
    <d v="1899-12-30T12:12:00"/>
    <s v="Delivered"/>
    <n v="953"/>
    <n v="0"/>
    <n v="953"/>
    <n v="953"/>
  </r>
  <r>
    <s v="ORD3130343"/>
    <s v="CUST0464"/>
    <x v="1"/>
    <x v="283"/>
    <d v="1899-12-30T22:43:00"/>
    <s v="Delivered"/>
    <n v="775"/>
    <n v="77.5"/>
    <n v="697.5"/>
    <n v="775"/>
  </r>
  <r>
    <s v="ORD9110060"/>
    <s v="CUST0160"/>
    <x v="1"/>
    <x v="54"/>
    <d v="1899-12-30T16:04:00"/>
    <s v="Delivered"/>
    <n v="1459"/>
    <n v="0"/>
    <n v="1459"/>
    <n v="1459"/>
  </r>
  <r>
    <s v="ORD9955929"/>
    <s v="CUST0385"/>
    <x v="1"/>
    <x v="313"/>
    <d v="1899-12-30T18:40:00"/>
    <s v="Cancelled"/>
    <n v="198"/>
    <n v="0"/>
    <n v="0"/>
    <n v="198"/>
  </r>
  <r>
    <s v="ORD6075999"/>
    <s v="CUST0452"/>
    <x v="1"/>
    <x v="257"/>
    <d v="1899-12-30T16:55:00"/>
    <s v="Delivered"/>
    <n v="793"/>
    <n v="0"/>
    <n v="793"/>
    <n v="793"/>
  </r>
  <r>
    <s v="ORD6002347"/>
    <s v="CUST0439"/>
    <x v="1"/>
    <x v="354"/>
    <d v="1899-12-30T15:46:00"/>
    <s v="Delivered"/>
    <n v="79"/>
    <n v="0"/>
    <n v="79"/>
    <n v="79"/>
  </r>
  <r>
    <s v="ORD9358735"/>
    <s v="CUST0445"/>
    <x v="1"/>
    <x v="167"/>
    <d v="1899-12-30T21:13:00"/>
    <s v="Delivered"/>
    <n v="377"/>
    <n v="0"/>
    <n v="377"/>
    <n v="377"/>
  </r>
  <r>
    <s v="ORD1633270"/>
    <s v="CUST0381"/>
    <x v="1"/>
    <x v="93"/>
    <d v="1899-12-30T20:49:00"/>
    <s v="Delivered"/>
    <n v="831"/>
    <n v="0"/>
    <n v="831"/>
    <n v="831"/>
  </r>
  <r>
    <s v="ORD5266269"/>
    <s v="CUST0036"/>
    <x v="0"/>
    <x v="285"/>
    <d v="1899-12-30T21:23:00"/>
    <s v="Delivered"/>
    <n v="832"/>
    <n v="0"/>
    <n v="832"/>
    <n v="832"/>
  </r>
  <r>
    <s v="ORD6794463"/>
    <s v="CUST0091"/>
    <x v="0"/>
    <x v="12"/>
    <d v="1899-12-30T13:24:00"/>
    <s v="Delivered"/>
    <n v="327"/>
    <n v="0"/>
    <n v="327"/>
    <n v="327"/>
  </r>
  <r>
    <s v="ORD3710559"/>
    <s v="CUST0002"/>
    <x v="1"/>
    <x v="120"/>
    <d v="1899-12-30T16:28:00"/>
    <s v="Delivered"/>
    <n v="149"/>
    <n v="0"/>
    <n v="149"/>
    <n v="149"/>
  </r>
  <r>
    <s v="ORD5587854"/>
    <s v="CUST0404"/>
    <x v="0"/>
    <x v="64"/>
    <d v="1899-12-30T10:14:00"/>
    <s v="Delivered"/>
    <n v="397"/>
    <n v="0"/>
    <n v="397"/>
    <n v="397"/>
  </r>
  <r>
    <s v="ORD3103442"/>
    <s v="CUST0303"/>
    <x v="0"/>
    <x v="181"/>
    <d v="1899-12-30T21:08:00"/>
    <s v="Delivered"/>
    <n v="892"/>
    <n v="44.6"/>
    <n v="847.4"/>
    <n v="892"/>
  </r>
  <r>
    <s v="ORD7450350"/>
    <s v="CUST0478"/>
    <x v="0"/>
    <x v="181"/>
    <d v="1899-12-30T21:22:00"/>
    <s v="Delivered"/>
    <n v="79"/>
    <n v="0"/>
    <n v="79"/>
    <n v="79"/>
  </r>
  <r>
    <s v="ORD1025093"/>
    <s v="CUST0223"/>
    <x v="2"/>
    <x v="44"/>
    <d v="1899-12-30T15:26:00"/>
    <s v="Delivered"/>
    <n v="871"/>
    <n v="0"/>
    <n v="871"/>
    <n v="871"/>
  </r>
  <r>
    <s v="ORD4502357"/>
    <s v="CUST0021"/>
    <x v="1"/>
    <x v="190"/>
    <d v="1899-12-30T20:34:00"/>
    <s v="Delivered"/>
    <n v="724"/>
    <n v="72.400000000000006"/>
    <n v="651.6"/>
    <n v="724"/>
  </r>
  <r>
    <s v="ORD4544837"/>
    <s v="CUST0014"/>
    <x v="0"/>
    <x v="62"/>
    <d v="1899-12-30T18:18:00"/>
    <s v="Delivered"/>
    <n v="574"/>
    <n v="0"/>
    <n v="574"/>
    <n v="574"/>
  </r>
  <r>
    <s v="ORD3151521"/>
    <s v="CUST0127"/>
    <x v="1"/>
    <x v="66"/>
    <d v="1899-12-30T20:24:00"/>
    <s v="Delivered"/>
    <n v="745"/>
    <n v="0"/>
    <n v="745"/>
    <n v="745"/>
  </r>
  <r>
    <s v="ORD9153183"/>
    <s v="CUST0081"/>
    <x v="0"/>
    <x v="115"/>
    <d v="1899-12-30T20:48:00"/>
    <s v="Delivered"/>
    <n v="178"/>
    <n v="0"/>
    <n v="178"/>
    <n v="178"/>
  </r>
  <r>
    <s v="ORD6612357"/>
    <s v="CUST0002"/>
    <x v="2"/>
    <x v="310"/>
    <d v="1899-12-30T23:20:00"/>
    <s v="Delivered"/>
    <n v="159"/>
    <n v="0"/>
    <n v="159"/>
    <n v="159"/>
  </r>
  <r>
    <s v="ORD9071705"/>
    <s v="CUST0449"/>
    <x v="0"/>
    <x v="150"/>
    <d v="1899-12-30T01:16:00"/>
    <s v="Delivered"/>
    <n v="237"/>
    <n v="11.85"/>
    <n v="225.15"/>
    <n v="237"/>
  </r>
  <r>
    <s v="ORD2404119"/>
    <s v="CUST0194"/>
    <x v="0"/>
    <x v="193"/>
    <d v="1899-12-30T18:17:00"/>
    <s v="Delivered"/>
    <n v="465"/>
    <n v="0"/>
    <n v="465"/>
    <n v="465"/>
  </r>
  <r>
    <s v="ORD1135513"/>
    <s v="CUST0033"/>
    <x v="1"/>
    <x v="102"/>
    <d v="1899-12-30T18:13:00"/>
    <s v="Delivered"/>
    <n v="59"/>
    <n v="5.9"/>
    <n v="53.1"/>
    <n v="59"/>
  </r>
  <r>
    <s v="ORD7274275"/>
    <s v="CUST0027"/>
    <x v="0"/>
    <x v="56"/>
    <d v="1899-12-30T20:12:00"/>
    <s v="Delivered"/>
    <n v="158"/>
    <n v="15.8"/>
    <n v="142.19999999999999"/>
    <n v="158"/>
  </r>
  <r>
    <s v="ORD2089225"/>
    <s v="CUST0044"/>
    <x v="1"/>
    <x v="207"/>
    <d v="1899-12-30T17:37:00"/>
    <s v="Delivered"/>
    <n v="734"/>
    <n v="110.1"/>
    <n v="623.9"/>
    <n v="734"/>
  </r>
  <r>
    <s v="ORD9799742"/>
    <s v="CUST0344"/>
    <x v="1"/>
    <x v="338"/>
    <d v="1899-12-30T16:39:00"/>
    <s v="Delivered"/>
    <n v="546"/>
    <n v="0"/>
    <n v="546"/>
    <n v="546"/>
  </r>
  <r>
    <s v="ORD5100202"/>
    <s v="CUST0297"/>
    <x v="0"/>
    <x v="261"/>
    <d v="1899-12-30T19:52:00"/>
    <s v="Delivered"/>
    <n v="258"/>
    <n v="12.9"/>
    <n v="245.1"/>
    <n v="258"/>
  </r>
  <r>
    <s v="ORD6622669"/>
    <s v="CUST0172"/>
    <x v="2"/>
    <x v="80"/>
    <d v="1899-12-30T15:55:00"/>
    <s v="Delivered"/>
    <n v="267"/>
    <n v="0"/>
    <n v="267"/>
    <n v="267"/>
  </r>
  <r>
    <s v="ORD3376786"/>
    <s v="CUST0164"/>
    <x v="0"/>
    <x v="9"/>
    <d v="1899-12-30T16:16:00"/>
    <s v="Delivered"/>
    <n v="139"/>
    <n v="6.95"/>
    <n v="132.05000000000001"/>
    <n v="139"/>
  </r>
  <r>
    <s v="ORD5661974"/>
    <s v="CUST0070"/>
    <x v="2"/>
    <x v="315"/>
    <d v="1899-12-30T11:08:00"/>
    <s v="Delivered"/>
    <n v="177"/>
    <n v="0"/>
    <n v="177"/>
    <n v="177"/>
  </r>
  <r>
    <s v="ORD2603998"/>
    <s v="CUST0072"/>
    <x v="0"/>
    <x v="264"/>
    <d v="1899-12-30T18:24:00"/>
    <s v="Cancelled"/>
    <n v="475"/>
    <n v="0"/>
    <n v="0"/>
    <n v="475"/>
  </r>
  <r>
    <s v="ORD3656233"/>
    <s v="CUST0060"/>
    <x v="0"/>
    <x v="95"/>
    <d v="1899-12-30T20:24:00"/>
    <s v="Delivered"/>
    <n v="307"/>
    <n v="0"/>
    <n v="307"/>
    <n v="307"/>
  </r>
  <r>
    <s v="ORD3906864"/>
    <s v="CUST0220"/>
    <x v="0"/>
    <x v="235"/>
    <d v="1899-12-30T00:28:00"/>
    <s v="Delivered"/>
    <n v="296"/>
    <n v="0"/>
    <n v="296"/>
    <n v="296"/>
  </r>
  <r>
    <s v="ORD5068524"/>
    <s v="CUST0243"/>
    <x v="0"/>
    <x v="128"/>
    <d v="1899-12-30T01:42:00"/>
    <s v="Delivered"/>
    <n v="446"/>
    <n v="0"/>
    <n v="446"/>
    <n v="446"/>
  </r>
  <r>
    <s v="ORD2112928"/>
    <s v="CUST0190"/>
    <x v="0"/>
    <x v="172"/>
    <d v="1899-12-30T19:25:00"/>
    <s v="Delivered"/>
    <n v="158"/>
    <n v="0"/>
    <n v="158"/>
    <n v="158"/>
  </r>
  <r>
    <s v="ORD7198743"/>
    <s v="CUST0054"/>
    <x v="1"/>
    <x v="275"/>
    <d v="1899-12-30T15:19:00"/>
    <s v="Delivered"/>
    <n v="586"/>
    <n v="0"/>
    <n v="586"/>
    <n v="586"/>
  </r>
  <r>
    <s v="ORD4914547"/>
    <s v="CUST0369"/>
    <x v="1"/>
    <x v="52"/>
    <d v="1899-12-30T15:27:00"/>
    <s v="Delivered"/>
    <n v="745"/>
    <n v="0"/>
    <n v="745"/>
    <n v="745"/>
  </r>
  <r>
    <s v="ORD4398191"/>
    <s v="CUST0128"/>
    <x v="1"/>
    <x v="252"/>
    <d v="1899-12-30T18:47:00"/>
    <s v="Delivered"/>
    <n v="238"/>
    <n v="0"/>
    <n v="238"/>
    <n v="238"/>
  </r>
  <r>
    <s v="ORD4768255"/>
    <s v="CUST0382"/>
    <x v="0"/>
    <x v="178"/>
    <d v="1899-12-30T15:12:00"/>
    <s v="Delivered"/>
    <n v="336"/>
    <n v="0"/>
    <n v="336"/>
    <n v="336"/>
  </r>
  <r>
    <s v="ORD5966644"/>
    <s v="CUST0375"/>
    <x v="0"/>
    <x v="61"/>
    <d v="1899-12-30T16:25:00"/>
    <s v="Delivered"/>
    <n v="477"/>
    <n v="23.85"/>
    <n v="453.15"/>
    <n v="477"/>
  </r>
  <r>
    <s v="ORD2702989"/>
    <s v="CUST0485"/>
    <x v="0"/>
    <x v="103"/>
    <d v="1899-12-30T17:43:00"/>
    <s v="Delivered"/>
    <n v="753"/>
    <n v="0"/>
    <n v="753"/>
    <n v="753"/>
  </r>
  <r>
    <s v="ORD8107034"/>
    <s v="CUST0141"/>
    <x v="0"/>
    <x v="322"/>
    <d v="1899-12-30T09:06:00"/>
    <s v="Delivered"/>
    <n v="326"/>
    <n v="32.6"/>
    <n v="293.39999999999998"/>
    <n v="326"/>
  </r>
  <r>
    <s v="ORD4086060"/>
    <s v="CUST0396"/>
    <x v="1"/>
    <x v="328"/>
    <d v="1899-12-30T18:50:00"/>
    <s v="Delivered"/>
    <n v="535"/>
    <n v="0"/>
    <n v="535"/>
    <n v="535"/>
  </r>
  <r>
    <s v="ORD6042815"/>
    <s v="CUST0056"/>
    <x v="1"/>
    <x v="281"/>
    <d v="1899-12-30T12:38:00"/>
    <s v="Delivered"/>
    <n v="396"/>
    <n v="0"/>
    <n v="396"/>
    <n v="396"/>
  </r>
  <r>
    <s v="ORD2483629"/>
    <s v="CUST0150"/>
    <x v="0"/>
    <x v="78"/>
    <d v="1899-12-30T19:45:00"/>
    <s v="Cancelled"/>
    <n v="256"/>
    <n v="0"/>
    <n v="0"/>
    <n v="256"/>
  </r>
  <r>
    <s v="ORD1462042"/>
    <s v="CUST0056"/>
    <x v="1"/>
    <x v="167"/>
    <d v="1899-12-30T16:24:00"/>
    <s v="Delivered"/>
    <n v="467"/>
    <n v="0"/>
    <n v="467"/>
    <n v="467"/>
  </r>
  <r>
    <s v="ORD8034050"/>
    <s v="CUST0111"/>
    <x v="1"/>
    <x v="251"/>
    <d v="1899-12-30T18:17:00"/>
    <s v="Delivered"/>
    <n v="436"/>
    <n v="0"/>
    <n v="436"/>
    <n v="436"/>
  </r>
  <r>
    <s v="ORD4632437"/>
    <s v="CUST0223"/>
    <x v="1"/>
    <x v="258"/>
    <d v="1899-12-30T10:55:00"/>
    <s v="Delivered"/>
    <n v="198"/>
    <n v="9.9"/>
    <n v="188.1"/>
    <n v="198"/>
  </r>
  <r>
    <s v="ORD1418009"/>
    <s v="CUST0340"/>
    <x v="0"/>
    <x v="187"/>
    <d v="1899-12-30T21:37:00"/>
    <s v="Delivered"/>
    <n v="783"/>
    <n v="117.45"/>
    <n v="665.55"/>
    <n v="783"/>
  </r>
  <r>
    <s v="ORD5134708"/>
    <s v="CUST0318"/>
    <x v="0"/>
    <x v="17"/>
    <d v="1899-12-30T10:56:00"/>
    <s v="Delivered"/>
    <n v="675"/>
    <n v="0"/>
    <n v="675"/>
    <n v="675"/>
  </r>
  <r>
    <s v="ORD2253042"/>
    <s v="CUST0108"/>
    <x v="1"/>
    <x v="220"/>
    <d v="1899-12-30T17:03:00"/>
    <s v="Delivered"/>
    <n v="745"/>
    <n v="111.75"/>
    <n v="633.25"/>
    <n v="745"/>
  </r>
  <r>
    <s v="ORD9062331"/>
    <s v="CUST0041"/>
    <x v="1"/>
    <x v="58"/>
    <d v="1899-12-30T15:03:00"/>
    <s v="Delivered"/>
    <n v="514"/>
    <n v="0"/>
    <n v="514"/>
    <n v="514"/>
  </r>
  <r>
    <s v="ORD1072278"/>
    <s v="CUST0238"/>
    <x v="0"/>
    <x v="305"/>
    <d v="1899-12-30T13:57:00"/>
    <s v="Delivered"/>
    <n v="733"/>
    <n v="73.3"/>
    <n v="659.7"/>
    <n v="733"/>
  </r>
  <r>
    <s v="ORD9557662"/>
    <s v="CUST0224"/>
    <x v="1"/>
    <x v="205"/>
    <d v="1899-12-30T20:13:00"/>
    <s v="Delivered"/>
    <n v="227"/>
    <n v="0"/>
    <n v="227"/>
    <n v="227"/>
  </r>
  <r>
    <s v="ORD7357739"/>
    <s v="CUST0315"/>
    <x v="2"/>
    <x v="161"/>
    <d v="1899-12-30T22:19:00"/>
    <s v="Delivered"/>
    <n v="297"/>
    <n v="0"/>
    <n v="297"/>
    <n v="297"/>
  </r>
  <r>
    <s v="ORD8270280"/>
    <s v="CUST0211"/>
    <x v="0"/>
    <x v="251"/>
    <d v="1899-12-30T18:03:00"/>
    <s v="Delivered"/>
    <n v="168"/>
    <n v="0"/>
    <n v="168"/>
    <n v="168"/>
  </r>
  <r>
    <s v="ORD7094896"/>
    <s v="CUST0039"/>
    <x v="1"/>
    <x v="165"/>
    <d v="1899-12-30T18:57:00"/>
    <s v="Delivered"/>
    <n v="356"/>
    <n v="0"/>
    <n v="356"/>
    <n v="356"/>
  </r>
  <r>
    <s v="ORD9500739"/>
    <s v="CUST0200"/>
    <x v="0"/>
    <x v="62"/>
    <d v="1899-12-30T18:27:00"/>
    <s v="Delivered"/>
    <n v="840"/>
    <n v="0"/>
    <n v="840"/>
    <n v="840"/>
  </r>
  <r>
    <s v="ORD3443510"/>
    <s v="CUST0259"/>
    <x v="1"/>
    <x v="279"/>
    <d v="1899-12-30T18:49:00"/>
    <s v="Delivered"/>
    <n v="278"/>
    <n v="0"/>
    <n v="278"/>
    <n v="278"/>
  </r>
  <r>
    <s v="ORD1718625"/>
    <s v="CUST0005"/>
    <x v="1"/>
    <x v="204"/>
    <d v="1899-12-30T19:55:00"/>
    <s v="Delivered"/>
    <n v="128"/>
    <n v="0"/>
    <n v="128"/>
    <n v="128"/>
  </r>
  <r>
    <s v="ORD9589117"/>
    <s v="CUST0093"/>
    <x v="1"/>
    <x v="132"/>
    <d v="1899-12-30T19:55:00"/>
    <s v="Delivered"/>
    <n v="632"/>
    <n v="63.2"/>
    <n v="568.79999999999995"/>
    <n v="632"/>
  </r>
  <r>
    <s v="ORD1129313"/>
    <s v="CUST0070"/>
    <x v="0"/>
    <x v="16"/>
    <d v="1899-12-30T10:31:00"/>
    <s v="Delivered"/>
    <n v="566"/>
    <n v="0"/>
    <n v="566"/>
    <n v="566"/>
  </r>
  <r>
    <s v="ORD5763194"/>
    <s v="CUST0090"/>
    <x v="0"/>
    <x v="255"/>
    <d v="1899-12-30T17:11:00"/>
    <s v="Delivered"/>
    <n v="615"/>
    <n v="61.5"/>
    <n v="553.5"/>
    <n v="615"/>
  </r>
  <r>
    <s v="ORD2943171"/>
    <s v="CUST0232"/>
    <x v="0"/>
    <x v="90"/>
    <d v="1899-12-30T23:17:00"/>
    <s v="Delivered"/>
    <n v="755"/>
    <n v="37.75"/>
    <n v="717.25"/>
    <n v="755"/>
  </r>
  <r>
    <s v="ORD8432244"/>
    <s v="CUST0164"/>
    <x v="2"/>
    <x v="83"/>
    <d v="1899-12-30T14:12:00"/>
    <s v="Delivered"/>
    <n v="785"/>
    <n v="78.5"/>
    <n v="706.5"/>
    <n v="785"/>
  </r>
  <r>
    <s v="ORD1686773"/>
    <s v="CUST0251"/>
    <x v="0"/>
    <x v="345"/>
    <d v="1899-12-30T21:23:00"/>
    <s v="Cancelled"/>
    <n v="494"/>
    <n v="49.4"/>
    <n v="0"/>
    <n v="494"/>
  </r>
  <r>
    <s v="ORD6585409"/>
    <s v="CUST0155"/>
    <x v="1"/>
    <x v="231"/>
    <d v="1899-12-30T14:15:00"/>
    <s v="Delivered"/>
    <n v="386"/>
    <n v="0"/>
    <n v="386"/>
    <n v="386"/>
  </r>
  <r>
    <s v="ORD9555363"/>
    <s v="CUST0090"/>
    <x v="1"/>
    <x v="40"/>
    <d v="1899-12-30T20:02:00"/>
    <s v="Delivered"/>
    <n v="1357"/>
    <n v="0"/>
    <n v="1357"/>
    <n v="1357"/>
  </r>
  <r>
    <s v="ORD8459700"/>
    <s v="CUST0050"/>
    <x v="1"/>
    <x v="344"/>
    <d v="1899-12-30T01:09:00"/>
    <s v="Delivered"/>
    <n v="396"/>
    <n v="39.6"/>
    <n v="356.4"/>
    <n v="396"/>
  </r>
  <r>
    <s v="ORD5668383"/>
    <s v="CUST0394"/>
    <x v="1"/>
    <x v="274"/>
    <d v="1899-12-30T18:44:00"/>
    <s v="Delivered"/>
    <n v="755"/>
    <n v="0"/>
    <n v="755"/>
    <n v="755"/>
  </r>
  <r>
    <s v="ORD1813207"/>
    <s v="CUST0008"/>
    <x v="1"/>
    <x v="138"/>
    <d v="1899-12-30T20:27:00"/>
    <s v="Delivered"/>
    <n v="356"/>
    <n v="0"/>
    <n v="356"/>
    <n v="356"/>
  </r>
  <r>
    <s v="ORD8017149"/>
    <s v="CUST0048"/>
    <x v="2"/>
    <x v="251"/>
    <d v="1899-12-30T19:26:00"/>
    <s v="Delivered"/>
    <n v="298"/>
    <n v="14.9"/>
    <n v="283.10000000000002"/>
    <n v="298"/>
  </r>
  <r>
    <s v="ORD3696585"/>
    <s v="CUST0371"/>
    <x v="1"/>
    <x v="179"/>
    <d v="1899-12-30T17:30:00"/>
    <s v="Cancelled"/>
    <n v="1012"/>
    <n v="50.6"/>
    <n v="0"/>
    <n v="1012"/>
  </r>
  <r>
    <s v="ORD3921062"/>
    <s v="CUST0073"/>
    <x v="2"/>
    <x v="96"/>
    <d v="1899-12-30T12:47:00"/>
    <s v="Delivered"/>
    <n v="277"/>
    <n v="0"/>
    <n v="277"/>
    <n v="277"/>
  </r>
  <r>
    <s v="ORD6671312"/>
    <s v="CUST0056"/>
    <x v="1"/>
    <x v="320"/>
    <d v="1899-12-30T19:38:00"/>
    <s v="Delivered"/>
    <n v="288"/>
    <n v="0"/>
    <n v="288"/>
    <n v="288"/>
  </r>
  <r>
    <s v="ORD5012469"/>
    <s v="CUST0189"/>
    <x v="1"/>
    <x v="101"/>
    <d v="1899-12-30T18:10:00"/>
    <s v="Delivered"/>
    <n v="297"/>
    <n v="0"/>
    <n v="297"/>
    <n v="297"/>
  </r>
  <r>
    <s v="ORD9814090"/>
    <s v="CUST0472"/>
    <x v="0"/>
    <x v="308"/>
    <d v="1899-12-30T21:34:00"/>
    <s v="Delivered"/>
    <n v="168"/>
    <n v="0"/>
    <n v="168"/>
    <n v="168"/>
  </r>
  <r>
    <s v="ORD5957512"/>
    <s v="CUST0081"/>
    <x v="1"/>
    <x v="298"/>
    <d v="1899-12-30T16:28:00"/>
    <s v="Delivered"/>
    <n v="673"/>
    <n v="100.95"/>
    <n v="572.04999999999995"/>
    <n v="673"/>
  </r>
  <r>
    <s v="ORD1083118"/>
    <s v="CUST0310"/>
    <x v="1"/>
    <x v="355"/>
    <d v="1899-12-30T19:24:00"/>
    <s v="Delivered"/>
    <n v="158"/>
    <n v="0"/>
    <n v="158"/>
    <n v="158"/>
  </r>
  <r>
    <s v="ORD7011139"/>
    <s v="CUST0400"/>
    <x v="2"/>
    <x v="13"/>
    <d v="1899-12-30T18:34:00"/>
    <s v="Delivered"/>
    <n v="257"/>
    <n v="0"/>
    <n v="257"/>
    <n v="257"/>
  </r>
  <r>
    <s v="ORD2036734"/>
    <s v="CUST0310"/>
    <x v="1"/>
    <x v="254"/>
    <d v="1899-12-30T17:31:00"/>
    <s v="Delivered"/>
    <n v="158"/>
    <n v="0"/>
    <n v="158"/>
    <n v="158"/>
  </r>
  <r>
    <s v="ORD5710588"/>
    <s v="CUST0175"/>
    <x v="1"/>
    <x v="239"/>
    <d v="1899-12-30T17:53:00"/>
    <s v="Delivered"/>
    <n v="159"/>
    <n v="0"/>
    <n v="159"/>
    <n v="159"/>
  </r>
  <r>
    <s v="ORD1007893"/>
    <s v="CUST0461"/>
    <x v="1"/>
    <x v="268"/>
    <d v="1899-12-30T20:51:00"/>
    <s v="Delivered"/>
    <n v="415"/>
    <n v="0"/>
    <n v="415"/>
    <n v="415"/>
  </r>
  <r>
    <s v="ORD8400298"/>
    <s v="CUST0170"/>
    <x v="1"/>
    <x v="124"/>
    <d v="1899-12-30T10:18:00"/>
    <s v="Delivered"/>
    <n v="980"/>
    <n v="49"/>
    <n v="931"/>
    <n v="980"/>
  </r>
  <r>
    <s v="ORD1980012"/>
    <s v="CUST0365"/>
    <x v="1"/>
    <x v="317"/>
    <d v="1899-12-30T15:26:00"/>
    <s v="Delivered"/>
    <n v="198"/>
    <n v="0"/>
    <n v="198"/>
    <n v="198"/>
  </r>
  <r>
    <s v="ORD1921808"/>
    <s v="CUST0165"/>
    <x v="1"/>
    <x v="226"/>
    <d v="1899-12-30T21:41:00"/>
    <s v="Delivered"/>
    <n v="516"/>
    <n v="51.6"/>
    <n v="464.4"/>
    <n v="516"/>
  </r>
  <r>
    <s v="ORD5128444"/>
    <s v="CUST0219"/>
    <x v="1"/>
    <x v="182"/>
    <d v="1899-12-30T19:40:00"/>
    <s v="Delivered"/>
    <n v="228"/>
    <n v="11.4"/>
    <n v="216.6"/>
    <n v="228"/>
  </r>
  <r>
    <s v="ORD7947194"/>
    <s v="CUST0332"/>
    <x v="0"/>
    <x v="132"/>
    <d v="1899-12-30T21:18:00"/>
    <s v="Delivered"/>
    <n v="485"/>
    <n v="0"/>
    <n v="485"/>
    <n v="485"/>
  </r>
  <r>
    <s v="ORD3491461"/>
    <s v="CUST0276"/>
    <x v="0"/>
    <x v="63"/>
    <d v="1899-12-30T00:48:00"/>
    <s v="Delivered"/>
    <n v="773"/>
    <n v="77.3"/>
    <n v="695.7"/>
    <n v="773"/>
  </r>
  <r>
    <s v="ORD2732776"/>
    <s v="CUST0275"/>
    <x v="0"/>
    <x v="115"/>
    <d v="1899-12-30T19:48:00"/>
    <s v="Delivered"/>
    <n v="843"/>
    <n v="0"/>
    <n v="843"/>
    <n v="843"/>
  </r>
  <r>
    <s v="ORD1508917"/>
    <s v="CUST0141"/>
    <x v="0"/>
    <x v="174"/>
    <d v="1899-12-30T16:49:00"/>
    <s v="Delivered"/>
    <n v="950"/>
    <n v="47.5"/>
    <n v="902.5"/>
    <n v="950"/>
  </r>
  <r>
    <s v="ORD5175968"/>
    <s v="CUST0113"/>
    <x v="2"/>
    <x v="65"/>
    <d v="1899-12-30T14:22:00"/>
    <s v="Delivered"/>
    <n v="405"/>
    <n v="0"/>
    <n v="405"/>
    <n v="405"/>
  </r>
  <r>
    <s v="ORD7167441"/>
    <s v="CUST0411"/>
    <x v="0"/>
    <x v="27"/>
    <d v="1899-12-30T18:52:00"/>
    <s v="Delivered"/>
    <n v="69"/>
    <n v="6.9"/>
    <n v="62.1"/>
    <n v="69"/>
  </r>
  <r>
    <s v="ORD6600282"/>
    <s v="CUST0197"/>
    <x v="0"/>
    <x v="20"/>
    <d v="1899-12-30T15:20:00"/>
    <s v="Delivered"/>
    <n v="864"/>
    <n v="0"/>
    <n v="864"/>
    <n v="864"/>
  </r>
  <r>
    <s v="ORD8396229"/>
    <s v="CUST0164"/>
    <x v="0"/>
    <x v="5"/>
    <d v="1899-12-30T17:47:00"/>
    <s v="Cancelled"/>
    <n v="456"/>
    <n v="45.6"/>
    <n v="0"/>
    <n v="456"/>
  </r>
  <r>
    <s v="ORD1104897"/>
    <s v="CUST0458"/>
    <x v="1"/>
    <x v="169"/>
    <d v="1899-12-30T17:18:00"/>
    <s v="Delivered"/>
    <n v="833"/>
    <n v="0"/>
    <n v="833"/>
    <n v="833"/>
  </r>
  <r>
    <s v="ORD3416225"/>
    <s v="CUST0048"/>
    <x v="1"/>
    <x v="315"/>
    <d v="1899-12-30T20:08:00"/>
    <s v="Delivered"/>
    <n v="794"/>
    <n v="0"/>
    <n v="794"/>
    <n v="794"/>
  </r>
  <r>
    <s v="ORD8470341"/>
    <s v="CUST0205"/>
    <x v="0"/>
    <x v="227"/>
    <d v="1899-12-30T19:31:00"/>
    <s v="Delivered"/>
    <n v="286"/>
    <n v="28.6"/>
    <n v="257.39999999999998"/>
    <n v="286"/>
  </r>
  <r>
    <s v="ORD1454102"/>
    <s v="CUST0407"/>
    <x v="0"/>
    <x v="23"/>
    <d v="1899-12-30T17:56:00"/>
    <s v="Delivered"/>
    <n v="1043"/>
    <n v="0"/>
    <n v="1043"/>
    <n v="1043"/>
  </r>
  <r>
    <s v="ORD7392549"/>
    <s v="CUST0232"/>
    <x v="0"/>
    <x v="315"/>
    <d v="1899-12-30T15:54:00"/>
    <s v="Delivered"/>
    <n v="903"/>
    <n v="45.15"/>
    <n v="857.85"/>
    <n v="903"/>
  </r>
  <r>
    <s v="ORD8295839"/>
    <s v="CUST0470"/>
    <x v="1"/>
    <x v="39"/>
    <d v="1899-12-30T18:38:00"/>
    <s v="Cancelled"/>
    <n v="257"/>
    <n v="0"/>
    <n v="0"/>
    <n v="257"/>
  </r>
  <r>
    <s v="ORD2570040"/>
    <s v="CUST0190"/>
    <x v="0"/>
    <x v="157"/>
    <d v="1899-12-30T18:39:00"/>
    <s v="Delivered"/>
    <n v="823"/>
    <n v="0"/>
    <n v="823"/>
    <n v="823"/>
  </r>
  <r>
    <s v="ORD4636245"/>
    <s v="CUST0277"/>
    <x v="2"/>
    <x v="67"/>
    <d v="1899-12-30T01:03:00"/>
    <s v="Delivered"/>
    <n v="606"/>
    <n v="30.3"/>
    <n v="575.70000000000005"/>
    <n v="606"/>
  </r>
  <r>
    <s v="ORD6539379"/>
    <s v="CUST0039"/>
    <x v="0"/>
    <x v="206"/>
    <d v="1899-12-30T20:21:00"/>
    <s v="Delivered"/>
    <n v="715"/>
    <n v="35.75"/>
    <n v="679.25"/>
    <n v="715"/>
  </r>
  <r>
    <s v="ORD5728360"/>
    <s v="CUST0477"/>
    <x v="1"/>
    <x v="89"/>
    <d v="1899-12-30T19:33:00"/>
    <s v="Delivered"/>
    <n v="278"/>
    <n v="0"/>
    <n v="278"/>
    <n v="278"/>
  </r>
  <r>
    <s v="ORD2723145"/>
    <s v="CUST0455"/>
    <x v="1"/>
    <x v="90"/>
    <d v="1899-12-30T09:09:00"/>
    <s v="Delivered"/>
    <n v="407"/>
    <n v="0"/>
    <n v="407"/>
    <n v="407"/>
  </r>
  <r>
    <s v="ORD8885674"/>
    <s v="CUST0044"/>
    <x v="0"/>
    <x v="236"/>
    <d v="1899-12-30T15:07:00"/>
    <s v="Delivered"/>
    <n v="308"/>
    <n v="0"/>
    <n v="308"/>
    <n v="308"/>
  </r>
  <r>
    <s v="ORD9997784"/>
    <s v="CUST0015"/>
    <x v="1"/>
    <x v="112"/>
    <d v="1899-12-30T18:55:00"/>
    <s v="Delivered"/>
    <n v="258"/>
    <n v="0"/>
    <n v="258"/>
    <n v="258"/>
  </r>
  <r>
    <s v="ORD9542620"/>
    <s v="CUST0123"/>
    <x v="2"/>
    <x v="301"/>
    <d v="1899-12-30T17:23:00"/>
    <s v="Delivered"/>
    <n v="505"/>
    <n v="50.5"/>
    <n v="454.5"/>
    <n v="505"/>
  </r>
  <r>
    <s v="ORD8135725"/>
    <s v="CUST0277"/>
    <x v="0"/>
    <x v="172"/>
    <d v="1899-12-30T21:21:00"/>
    <s v="Delivered"/>
    <n v="783"/>
    <n v="0"/>
    <n v="783"/>
    <n v="783"/>
  </r>
  <r>
    <s v="ORD4724182"/>
    <s v="CUST0387"/>
    <x v="1"/>
    <x v="226"/>
    <d v="1899-12-30T11:30:00"/>
    <s v="Delivered"/>
    <n v="357"/>
    <n v="53.55"/>
    <n v="303.45"/>
    <n v="357"/>
  </r>
  <r>
    <s v="ORD8836901"/>
    <s v="CUST0003"/>
    <x v="0"/>
    <x v="114"/>
    <d v="1899-12-30T16:15:00"/>
    <s v="Delivered"/>
    <n v="395"/>
    <n v="0"/>
    <n v="395"/>
    <n v="395"/>
  </r>
  <r>
    <s v="ORD8648406"/>
    <s v="CUST0407"/>
    <x v="1"/>
    <x v="344"/>
    <d v="1899-12-30T11:30:00"/>
    <s v="Delivered"/>
    <n v="327"/>
    <n v="0"/>
    <n v="327"/>
    <n v="327"/>
  </r>
  <r>
    <s v="ORD8425350"/>
    <s v="CUST0309"/>
    <x v="1"/>
    <x v="36"/>
    <d v="1899-12-30T16:49:00"/>
    <s v="Delivered"/>
    <n v="396"/>
    <n v="0"/>
    <n v="396"/>
    <n v="396"/>
  </r>
  <r>
    <s v="ORD9110583"/>
    <s v="CUST0179"/>
    <x v="0"/>
    <x v="345"/>
    <d v="1899-12-30T21:03:00"/>
    <s v="Delivered"/>
    <n v="714"/>
    <n v="71.400000000000006"/>
    <n v="642.6"/>
    <n v="714"/>
  </r>
  <r>
    <s v="ORD5965982"/>
    <s v="CUST0395"/>
    <x v="1"/>
    <x v="5"/>
    <d v="1899-12-30T19:25:00"/>
    <s v="Delivered"/>
    <n v="565"/>
    <n v="56.5"/>
    <n v="508.5"/>
    <n v="565"/>
  </r>
  <r>
    <s v="ORD7115786"/>
    <s v="CUST0346"/>
    <x v="1"/>
    <x v="138"/>
    <d v="1899-12-30T13:08:00"/>
    <s v="Delivered"/>
    <n v="902"/>
    <n v="0"/>
    <n v="902"/>
    <n v="902"/>
  </r>
  <r>
    <s v="ORD5081001"/>
    <s v="CUST0355"/>
    <x v="1"/>
    <x v="200"/>
    <d v="1899-12-30T16:23:00"/>
    <s v="Delivered"/>
    <n v="158"/>
    <n v="7.9"/>
    <n v="150.1"/>
    <n v="158"/>
  </r>
  <r>
    <s v="ORD2161701"/>
    <s v="CUST0360"/>
    <x v="1"/>
    <x v="251"/>
    <d v="1899-12-30T09:47:00"/>
    <s v="Delivered"/>
    <n v="326"/>
    <n v="0"/>
    <n v="326"/>
    <n v="326"/>
  </r>
  <r>
    <s v="ORD4410943"/>
    <s v="CUST0234"/>
    <x v="2"/>
    <x v="317"/>
    <d v="1899-12-30T14:38:00"/>
    <s v="Delivered"/>
    <n v="755"/>
    <n v="37.75"/>
    <n v="717.25"/>
    <n v="755"/>
  </r>
  <r>
    <s v="ORD7449227"/>
    <s v="CUST0047"/>
    <x v="0"/>
    <x v="199"/>
    <d v="1899-12-30T19:36:00"/>
    <s v="Delivered"/>
    <n v="632"/>
    <n v="0"/>
    <n v="632"/>
    <n v="632"/>
  </r>
  <r>
    <s v="ORD7121455"/>
    <s v="CUST0337"/>
    <x v="1"/>
    <x v="232"/>
    <d v="1899-12-30T11:52:00"/>
    <s v="Delivered"/>
    <n v="464"/>
    <n v="0"/>
    <n v="464"/>
    <n v="464"/>
  </r>
  <r>
    <s v="ORD3369785"/>
    <s v="CUST0018"/>
    <x v="0"/>
    <x v="317"/>
    <d v="1899-12-30T16:51:00"/>
    <s v="Delivered"/>
    <n v="268"/>
    <n v="13.4"/>
    <n v="254.6"/>
    <n v="268"/>
  </r>
  <r>
    <s v="ORD2921689"/>
    <s v="CUST0074"/>
    <x v="1"/>
    <x v="1"/>
    <d v="1899-12-30T17:52:00"/>
    <s v="Delivered"/>
    <n v="1021"/>
    <n v="51.05"/>
    <n v="969.95"/>
    <n v="1021"/>
  </r>
  <r>
    <s v="ORD1976642"/>
    <s v="CUST0007"/>
    <x v="1"/>
    <x v="73"/>
    <d v="1899-12-30T12:51:00"/>
    <s v="Delivered"/>
    <n v="397"/>
    <n v="0"/>
    <n v="397"/>
    <n v="397"/>
  </r>
  <r>
    <s v="ORD1752540"/>
    <s v="CUST0422"/>
    <x v="0"/>
    <x v="259"/>
    <d v="1899-12-30T13:54:00"/>
    <s v="Delivered"/>
    <n v="764"/>
    <n v="0"/>
    <n v="764"/>
    <n v="764"/>
  </r>
  <r>
    <s v="ORD5404222"/>
    <s v="CUST0118"/>
    <x v="1"/>
    <x v="35"/>
    <d v="1899-12-30T00:47:00"/>
    <s v="Delivered"/>
    <n v="555"/>
    <n v="0"/>
    <n v="555"/>
    <n v="555"/>
  </r>
  <r>
    <s v="ORD2120379"/>
    <s v="CUST0326"/>
    <x v="1"/>
    <x v="181"/>
    <d v="1899-12-30T17:43:00"/>
    <s v="Delivered"/>
    <n v="1846"/>
    <n v="0"/>
    <n v="1846"/>
    <n v="1846"/>
  </r>
  <r>
    <s v="ORD4558295"/>
    <s v="CUST0179"/>
    <x v="0"/>
    <x v="167"/>
    <d v="1899-12-30T10:02:00"/>
    <s v="Delivered"/>
    <n v="318"/>
    <n v="0"/>
    <n v="318"/>
    <n v="318"/>
  </r>
  <r>
    <s v="ORD3093662"/>
    <s v="CUST0286"/>
    <x v="0"/>
    <x v="188"/>
    <d v="1899-12-30T17:06:00"/>
    <s v="Delivered"/>
    <n v="602"/>
    <n v="0"/>
    <n v="602"/>
    <n v="602"/>
  </r>
  <r>
    <s v="ORD2649093"/>
    <s v="CUST0249"/>
    <x v="1"/>
    <x v="202"/>
    <d v="1899-12-30T15:51:00"/>
    <s v="Delivered"/>
    <n v="336"/>
    <n v="0"/>
    <n v="336"/>
    <n v="336"/>
  </r>
  <r>
    <s v="ORD6998442"/>
    <s v="CUST0464"/>
    <x v="0"/>
    <x v="108"/>
    <d v="1899-12-30T20:33:00"/>
    <s v="Delivered"/>
    <n v="447"/>
    <n v="0"/>
    <n v="447"/>
    <n v="447"/>
  </r>
  <r>
    <s v="ORD8252042"/>
    <s v="CUST0082"/>
    <x v="1"/>
    <x v="335"/>
    <d v="1899-12-30T11:37:00"/>
    <s v="Delivered"/>
    <n v="496"/>
    <n v="0"/>
    <n v="496"/>
    <n v="496"/>
  </r>
  <r>
    <s v="ORD1011337"/>
    <s v="CUST0096"/>
    <x v="0"/>
    <x v="208"/>
    <d v="1899-12-30T14:10:00"/>
    <s v="Delivered"/>
    <n v="347"/>
    <n v="0"/>
    <n v="347"/>
    <n v="347"/>
  </r>
  <r>
    <s v="ORD9321592"/>
    <s v="CUST0166"/>
    <x v="2"/>
    <x v="200"/>
    <d v="1899-12-30T17:27:00"/>
    <s v="Delivered"/>
    <n v="554"/>
    <n v="0"/>
    <n v="554"/>
    <n v="554"/>
  </r>
  <r>
    <s v="ORD7501701"/>
    <s v="CUST0396"/>
    <x v="1"/>
    <x v="197"/>
    <d v="1899-12-30T13:07:00"/>
    <s v="Delivered"/>
    <n v="596"/>
    <n v="59.6"/>
    <n v="536.4"/>
    <n v="596"/>
  </r>
  <r>
    <s v="ORD2915131"/>
    <s v="CUST0273"/>
    <x v="1"/>
    <x v="105"/>
    <d v="1899-12-30T16:34:00"/>
    <s v="Delivered"/>
    <n v="456"/>
    <n v="0"/>
    <n v="456"/>
    <n v="456"/>
  </r>
  <r>
    <s v="ORD6864992"/>
    <s v="CUST0428"/>
    <x v="2"/>
    <x v="301"/>
    <d v="1899-12-30T19:35:00"/>
    <s v="Delivered"/>
    <n v="755"/>
    <n v="0"/>
    <n v="755"/>
    <n v="755"/>
  </r>
  <r>
    <s v="ORD5617711"/>
    <s v="CUST0321"/>
    <x v="1"/>
    <x v="29"/>
    <d v="1899-12-30T19:53:00"/>
    <s v="Delivered"/>
    <n v="943"/>
    <n v="0"/>
    <n v="943"/>
    <n v="943"/>
  </r>
  <r>
    <s v="ORD3821058"/>
    <s v="CUST0288"/>
    <x v="1"/>
    <x v="281"/>
    <d v="1899-12-30T16:40:00"/>
    <s v="Delivered"/>
    <n v="158"/>
    <n v="7.9"/>
    <n v="150.1"/>
    <n v="158"/>
  </r>
  <r>
    <s v="ORD5354733"/>
    <s v="CUST0364"/>
    <x v="1"/>
    <x v="181"/>
    <d v="1899-12-30T15:41:00"/>
    <s v="Delivered"/>
    <n v="316"/>
    <n v="31.6"/>
    <n v="284.39999999999998"/>
    <n v="316"/>
  </r>
  <r>
    <s v="ORD6118318"/>
    <s v="CUST0329"/>
    <x v="0"/>
    <x v="170"/>
    <d v="1899-12-30T10:51:00"/>
    <s v="Delivered"/>
    <n v="662"/>
    <n v="0"/>
    <n v="662"/>
    <n v="662"/>
  </r>
  <r>
    <s v="ORD2100308"/>
    <s v="CUST0131"/>
    <x v="1"/>
    <x v="351"/>
    <d v="1899-12-30T18:14:00"/>
    <s v="Delivered"/>
    <n v="405"/>
    <n v="0"/>
    <n v="405"/>
    <n v="405"/>
  </r>
  <r>
    <s v="ORD5977356"/>
    <s v="CUST0138"/>
    <x v="0"/>
    <x v="307"/>
    <d v="1899-12-30T21:55:00"/>
    <s v="Delivered"/>
    <n v="316"/>
    <n v="0"/>
    <n v="316"/>
    <n v="316"/>
  </r>
  <r>
    <s v="ORD5032195"/>
    <s v="CUST0154"/>
    <x v="0"/>
    <x v="170"/>
    <d v="1899-12-30T19:53:00"/>
    <s v="Delivered"/>
    <n v="298"/>
    <n v="0"/>
    <n v="298"/>
    <n v="298"/>
  </r>
  <r>
    <s v="ORD7853714"/>
    <s v="CUST0125"/>
    <x v="1"/>
    <x v="60"/>
    <d v="1899-12-30T00:18:00"/>
    <s v="Cancelled"/>
    <n v="1220"/>
    <n v="0"/>
    <n v="0"/>
    <n v="1220"/>
  </r>
  <r>
    <s v="ORD6354067"/>
    <s v="CUST0371"/>
    <x v="0"/>
    <x v="348"/>
    <d v="1899-12-30T16:48:00"/>
    <s v="Delivered"/>
    <n v="457"/>
    <n v="22.85"/>
    <n v="434.15"/>
    <n v="457"/>
  </r>
  <r>
    <s v="ORD4290868"/>
    <s v="CUST0144"/>
    <x v="1"/>
    <x v="40"/>
    <d v="1899-12-30T19:12:00"/>
    <s v="Delivered"/>
    <n v="119"/>
    <n v="0"/>
    <n v="119"/>
    <n v="119"/>
  </r>
  <r>
    <s v="ORD6794172"/>
    <s v="CUST0139"/>
    <x v="0"/>
    <x v="45"/>
    <d v="1899-12-30T00:20:00"/>
    <s v="Delivered"/>
    <n v="277"/>
    <n v="0"/>
    <n v="277"/>
    <n v="277"/>
  </r>
  <r>
    <s v="ORD1388554"/>
    <s v="CUST0154"/>
    <x v="2"/>
    <x v="113"/>
    <d v="1899-12-30T01:00:00"/>
    <s v="Delivered"/>
    <n v="791"/>
    <n v="0"/>
    <n v="791"/>
    <n v="791"/>
  </r>
  <r>
    <s v="ORD6546744"/>
    <s v="CUST0440"/>
    <x v="0"/>
    <x v="86"/>
    <d v="1899-12-30T22:39:00"/>
    <s v="Delivered"/>
    <n v="636"/>
    <n v="31.8"/>
    <n v="604.20000000000005"/>
    <n v="636"/>
  </r>
  <r>
    <s v="ORD4097922"/>
    <s v="CUST0086"/>
    <x v="1"/>
    <x v="253"/>
    <d v="1899-12-30T18:55:00"/>
    <s v="Delivered"/>
    <n v="912"/>
    <n v="0"/>
    <n v="912"/>
    <n v="912"/>
  </r>
  <r>
    <s v="ORD2346321"/>
    <s v="CUST0179"/>
    <x v="1"/>
    <x v="327"/>
    <d v="1899-12-30T21:22:00"/>
    <s v="Delivered"/>
    <n v="724"/>
    <n v="72.400000000000006"/>
    <n v="651.6"/>
    <n v="724"/>
  </r>
  <r>
    <s v="ORD4689637"/>
    <s v="CUST0184"/>
    <x v="1"/>
    <x v="136"/>
    <d v="1899-12-30T14:53:00"/>
    <s v="Delivered"/>
    <n v="465"/>
    <n v="0"/>
    <n v="465"/>
    <n v="465"/>
  </r>
  <r>
    <s v="ORD8979708"/>
    <s v="CUST0045"/>
    <x v="0"/>
    <x v="171"/>
    <d v="1899-12-30T17:54:00"/>
    <s v="Delivered"/>
    <n v="308"/>
    <n v="0"/>
    <n v="308"/>
    <n v="308"/>
  </r>
  <r>
    <s v="ORD7580946"/>
    <s v="CUST0402"/>
    <x v="0"/>
    <x v="202"/>
    <d v="1899-12-30T16:32:00"/>
    <s v="Delivered"/>
    <n v="159"/>
    <n v="0"/>
    <n v="159"/>
    <n v="159"/>
  </r>
  <r>
    <s v="ORD6637599"/>
    <s v="CUST0405"/>
    <x v="0"/>
    <x v="251"/>
    <d v="1899-12-30T12:01:00"/>
    <s v="Delivered"/>
    <n v="397"/>
    <n v="0"/>
    <n v="397"/>
    <n v="397"/>
  </r>
  <r>
    <s v="ORD8025845"/>
    <s v="CUST0347"/>
    <x v="0"/>
    <x v="284"/>
    <d v="1899-12-30T17:58:00"/>
    <s v="Delivered"/>
    <n v="475"/>
    <n v="0"/>
    <n v="475"/>
    <n v="475"/>
  </r>
  <r>
    <s v="ORD6773984"/>
    <s v="CUST0020"/>
    <x v="1"/>
    <x v="43"/>
    <d v="1899-12-30T20:33:00"/>
    <s v="Delivered"/>
    <n v="495"/>
    <n v="0"/>
    <n v="495"/>
    <n v="495"/>
  </r>
  <r>
    <s v="ORD3223226"/>
    <s v="CUST0055"/>
    <x v="1"/>
    <x v="26"/>
    <d v="1899-12-30T21:15:00"/>
    <s v="Delivered"/>
    <n v="257"/>
    <n v="25.7"/>
    <n v="231.3"/>
    <n v="257"/>
  </r>
  <r>
    <s v="ORD2427420"/>
    <s v="CUST0133"/>
    <x v="1"/>
    <x v="74"/>
    <d v="1899-12-30T18:40:00"/>
    <s v="Delivered"/>
    <n v="1260"/>
    <n v="0"/>
    <n v="1260"/>
    <n v="1260"/>
  </r>
  <r>
    <s v="ORD6380339"/>
    <s v="CUST0348"/>
    <x v="0"/>
    <x v="136"/>
    <d v="1899-12-30T19:07:00"/>
    <s v="Delivered"/>
    <n v="456"/>
    <n v="45.6"/>
    <n v="410.4"/>
    <n v="456"/>
  </r>
  <r>
    <s v="ORD8169923"/>
    <s v="CUST0083"/>
    <x v="0"/>
    <x v="101"/>
    <d v="1899-12-30T12:54:00"/>
    <s v="Delivered"/>
    <n v="466"/>
    <n v="0"/>
    <n v="466"/>
    <n v="466"/>
  </r>
  <r>
    <s v="ORD8726065"/>
    <s v="CUST0165"/>
    <x v="1"/>
    <x v="237"/>
    <d v="1899-12-30T16:50:00"/>
    <s v="Delivered"/>
    <n v="435"/>
    <n v="43.5"/>
    <n v="391.5"/>
    <n v="435"/>
  </r>
  <r>
    <s v="ORD4296668"/>
    <s v="CUST0374"/>
    <x v="1"/>
    <x v="125"/>
    <d v="1899-12-30T20:53:00"/>
    <s v="Delivered"/>
    <n v="454"/>
    <n v="0"/>
    <n v="454"/>
    <n v="454"/>
  </r>
  <r>
    <s v="ORD1574034"/>
    <s v="CUST0254"/>
    <x v="0"/>
    <x v="66"/>
    <d v="1899-12-30T12:35:00"/>
    <s v="Delivered"/>
    <n v="534"/>
    <n v="0"/>
    <n v="534"/>
    <n v="534"/>
  </r>
  <r>
    <s v="ORD4451332"/>
    <s v="CUST0310"/>
    <x v="0"/>
    <x v="241"/>
    <d v="1899-12-30T13:00:00"/>
    <s v="Delivered"/>
    <n v="149"/>
    <n v="22.35"/>
    <n v="126.65"/>
    <n v="149"/>
  </r>
  <r>
    <s v="ORD2266964"/>
    <s v="CUST0259"/>
    <x v="1"/>
    <x v="259"/>
    <d v="1899-12-30T19:34:00"/>
    <s v="Delivered"/>
    <n v="526"/>
    <n v="0"/>
    <n v="526"/>
    <n v="526"/>
  </r>
  <r>
    <s v="ORD7067682"/>
    <s v="CUST0337"/>
    <x v="0"/>
    <x v="226"/>
    <d v="1899-12-30T17:34:00"/>
    <s v="Delivered"/>
    <n v="457"/>
    <n v="0"/>
    <n v="457"/>
    <n v="457"/>
  </r>
  <r>
    <s v="ORD1151625"/>
    <s v="CUST0114"/>
    <x v="1"/>
    <x v="356"/>
    <d v="1899-12-30T21:26:00"/>
    <s v="Delivered"/>
    <n v="1063"/>
    <n v="0"/>
    <n v="1063"/>
    <n v="1063"/>
  </r>
  <r>
    <s v="ORD9155269"/>
    <s v="CUST0362"/>
    <x v="1"/>
    <x v="219"/>
    <d v="1899-12-30T20:37:00"/>
    <s v="Delivered"/>
    <n v="178"/>
    <n v="8.9"/>
    <n v="169.1"/>
    <n v="178"/>
  </r>
  <r>
    <s v="ORD5512974"/>
    <s v="CUST0059"/>
    <x v="1"/>
    <x v="196"/>
    <d v="1899-12-30T09:29:00"/>
    <s v="Delivered"/>
    <n v="198"/>
    <n v="0"/>
    <n v="198"/>
    <n v="198"/>
  </r>
  <r>
    <s v="ORD2847661"/>
    <s v="CUST0271"/>
    <x v="1"/>
    <x v="47"/>
    <d v="1899-12-30T19:00:00"/>
    <s v="Cancelled"/>
    <n v="436"/>
    <n v="43.6"/>
    <n v="0"/>
    <n v="436"/>
  </r>
  <r>
    <s v="ORD9363715"/>
    <s v="CUST0096"/>
    <x v="1"/>
    <x v="109"/>
    <d v="1899-12-30T16:38:00"/>
    <s v="Delivered"/>
    <n v="566"/>
    <n v="0"/>
    <n v="566"/>
    <n v="566"/>
  </r>
  <r>
    <s v="ORD2787641"/>
    <s v="CUST0300"/>
    <x v="1"/>
    <x v="103"/>
    <d v="1899-12-30T19:15:00"/>
    <s v="Delivered"/>
    <n v="654"/>
    <n v="0"/>
    <n v="654"/>
    <n v="654"/>
  </r>
  <r>
    <s v="ORD9016612"/>
    <s v="CUST0434"/>
    <x v="2"/>
    <x v="170"/>
    <d v="1899-12-30T17:34:00"/>
    <s v="Delivered"/>
    <n v="1747"/>
    <n v="0"/>
    <n v="1747"/>
    <n v="1747"/>
  </r>
  <r>
    <s v="ORD4664351"/>
    <s v="CUST0218"/>
    <x v="1"/>
    <x v="55"/>
    <d v="1899-12-30T11:31:00"/>
    <s v="Delivered"/>
    <n v="685"/>
    <n v="0"/>
    <n v="685"/>
    <n v="685"/>
  </r>
  <r>
    <s v="ORD2890702"/>
    <s v="CUST0152"/>
    <x v="0"/>
    <x v="285"/>
    <d v="1899-12-30T14:11:00"/>
    <s v="Cancelled"/>
    <n v="465"/>
    <n v="0"/>
    <n v="0"/>
    <n v="465"/>
  </r>
  <r>
    <s v="ORD9565000"/>
    <s v="CUST0290"/>
    <x v="1"/>
    <x v="210"/>
    <d v="1899-12-30T19:34:00"/>
    <s v="Delivered"/>
    <n v="575"/>
    <n v="0"/>
    <n v="575"/>
    <n v="575"/>
  </r>
  <r>
    <s v="ORD6780009"/>
    <s v="CUST0432"/>
    <x v="1"/>
    <x v="95"/>
    <d v="1899-12-30T17:44:00"/>
    <s v="Delivered"/>
    <n v="751"/>
    <n v="0"/>
    <n v="751"/>
    <n v="751"/>
  </r>
  <r>
    <s v="ORD3435279"/>
    <s v="CUST0136"/>
    <x v="1"/>
    <x v="191"/>
    <d v="1899-12-30T16:58:00"/>
    <s v="Cancelled"/>
    <n v="99"/>
    <n v="0"/>
    <n v="0"/>
    <n v="99"/>
  </r>
  <r>
    <s v="ORD8488510"/>
    <s v="CUST0045"/>
    <x v="0"/>
    <x v="248"/>
    <d v="1899-12-30T17:01:00"/>
    <s v="Cancelled"/>
    <n v="754"/>
    <n v="0"/>
    <n v="0"/>
    <n v="754"/>
  </r>
  <r>
    <s v="ORD5779148"/>
    <s v="CUST0296"/>
    <x v="1"/>
    <x v="261"/>
    <d v="1899-12-30T18:53:00"/>
    <s v="Cancelled"/>
    <n v="675"/>
    <n v="0"/>
    <n v="0"/>
    <n v="675"/>
  </r>
  <r>
    <s v="ORD9968045"/>
    <s v="CUST0265"/>
    <x v="0"/>
    <x v="75"/>
    <d v="1899-12-30T15:22:00"/>
    <s v="Delivered"/>
    <n v="830"/>
    <n v="0"/>
    <n v="830"/>
    <n v="830"/>
  </r>
  <r>
    <s v="ORD7149241"/>
    <s v="CUST0306"/>
    <x v="1"/>
    <x v="195"/>
    <d v="1899-12-30T16:10:00"/>
    <s v="Delivered"/>
    <n v="228"/>
    <n v="0"/>
    <n v="228"/>
    <n v="228"/>
  </r>
  <r>
    <s v="ORD4544340"/>
    <s v="CUST0037"/>
    <x v="1"/>
    <x v="108"/>
    <d v="1899-12-30T20:32:00"/>
    <s v="Delivered"/>
    <n v="1151"/>
    <n v="0"/>
    <n v="1151"/>
    <n v="1151"/>
  </r>
  <r>
    <s v="ORD3881328"/>
    <s v="CUST0179"/>
    <x v="1"/>
    <x v="228"/>
    <d v="1899-12-30T19:31:00"/>
    <s v="Delivered"/>
    <n v="248"/>
    <n v="0"/>
    <n v="248"/>
    <n v="248"/>
  </r>
  <r>
    <s v="ORD1761836"/>
    <s v="CUST0138"/>
    <x v="0"/>
    <x v="273"/>
    <d v="1899-12-30T20:21:00"/>
    <s v="Delivered"/>
    <n v="824"/>
    <n v="0"/>
    <n v="824"/>
    <n v="824"/>
  </r>
  <r>
    <s v="ORD3074710"/>
    <s v="CUST0421"/>
    <x v="2"/>
    <x v="36"/>
    <d v="1899-12-30T19:57:00"/>
    <s v="Delivered"/>
    <n v="407"/>
    <n v="0"/>
    <n v="407"/>
    <n v="407"/>
  </r>
  <r>
    <s v="ORD4091304"/>
    <s v="CUST0415"/>
    <x v="1"/>
    <x v="331"/>
    <d v="1899-12-30T10:28:00"/>
    <s v="Delivered"/>
    <n v="1210"/>
    <n v="0"/>
    <n v="1210"/>
    <n v="1210"/>
  </r>
  <r>
    <s v="ORD4151929"/>
    <s v="CUST0361"/>
    <x v="2"/>
    <x v="67"/>
    <d v="1899-12-30T10:52:00"/>
    <s v="Delivered"/>
    <n v="604"/>
    <n v="0"/>
    <n v="604"/>
    <n v="604"/>
  </r>
  <r>
    <s v="ORD1145575"/>
    <s v="CUST0027"/>
    <x v="0"/>
    <x v="11"/>
    <d v="1899-12-30T17:49:00"/>
    <s v="Delivered"/>
    <n v="655"/>
    <n v="65.5"/>
    <n v="589.5"/>
    <n v="655"/>
  </r>
  <r>
    <s v="ORD1538723"/>
    <s v="CUST0070"/>
    <x v="0"/>
    <x v="351"/>
    <d v="1899-12-30T23:29:00"/>
    <s v="Delivered"/>
    <n v="1629"/>
    <n v="0"/>
    <n v="1629"/>
    <n v="1629"/>
  </r>
  <r>
    <s v="ORD8893152"/>
    <s v="CUST0106"/>
    <x v="1"/>
    <x v="349"/>
    <d v="1899-12-30T16:56:00"/>
    <s v="Delivered"/>
    <n v="367"/>
    <n v="0"/>
    <n v="367"/>
    <n v="367"/>
  </r>
  <r>
    <s v="ORD5536103"/>
    <s v="CUST0377"/>
    <x v="2"/>
    <x v="249"/>
    <d v="1899-12-30T01:10:00"/>
    <s v="Delivered"/>
    <n v="714"/>
    <n v="0"/>
    <n v="714"/>
    <n v="714"/>
  </r>
  <r>
    <s v="ORD2675675"/>
    <s v="CUST0008"/>
    <x v="1"/>
    <x v="40"/>
    <d v="1899-12-30T18:57:00"/>
    <s v="Delivered"/>
    <n v="595"/>
    <n v="0"/>
    <n v="595"/>
    <n v="595"/>
  </r>
  <r>
    <s v="ORD7171594"/>
    <s v="CUST0126"/>
    <x v="0"/>
    <x v="357"/>
    <d v="1899-12-30T21:17:00"/>
    <s v="Delivered"/>
    <n v="972"/>
    <n v="0"/>
    <n v="972"/>
    <n v="972"/>
  </r>
  <r>
    <s v="ORD5781626"/>
    <s v="CUST0314"/>
    <x v="0"/>
    <x v="206"/>
    <d v="1899-12-30T18:00:00"/>
    <s v="Delivered"/>
    <n v="317"/>
    <n v="15.85"/>
    <n v="301.14999999999998"/>
    <n v="317"/>
  </r>
  <r>
    <s v="ORD2565963"/>
    <s v="CUST0154"/>
    <x v="0"/>
    <x v="60"/>
    <d v="1899-12-30T21:08:00"/>
    <s v="Cancelled"/>
    <n v="79"/>
    <n v="0"/>
    <n v="0"/>
    <n v="79"/>
  </r>
  <r>
    <s v="ORD7431224"/>
    <s v="CUST0330"/>
    <x v="1"/>
    <x v="61"/>
    <d v="1899-12-30T10:01:00"/>
    <s v="Delivered"/>
    <n v="734"/>
    <n v="73.400000000000006"/>
    <n v="660.6"/>
    <n v="734"/>
  </r>
  <r>
    <s v="ORD3816575"/>
    <s v="CUST0217"/>
    <x v="0"/>
    <x v="5"/>
    <d v="1899-12-30T21:59:00"/>
    <s v="Delivered"/>
    <n v="247"/>
    <n v="37.049999999999997"/>
    <n v="209.95"/>
    <n v="247"/>
  </r>
  <r>
    <s v="ORD4867069"/>
    <s v="CUST0428"/>
    <x v="0"/>
    <x v="358"/>
    <d v="1899-12-30T21:01:00"/>
    <s v="Delivered"/>
    <n v="288"/>
    <n v="0"/>
    <n v="288"/>
    <n v="288"/>
  </r>
  <r>
    <s v="ORD9680402"/>
    <s v="CUST0104"/>
    <x v="0"/>
    <x v="31"/>
    <d v="1899-12-30T19:12:00"/>
    <s v="Delivered"/>
    <n v="753"/>
    <n v="0"/>
    <n v="753"/>
    <n v="753"/>
  </r>
  <r>
    <s v="ORD5831336"/>
    <s v="CUST0398"/>
    <x v="0"/>
    <x v="115"/>
    <d v="1899-12-30T23:27:00"/>
    <s v="Delivered"/>
    <n v="992"/>
    <n v="0"/>
    <n v="992"/>
    <n v="992"/>
  </r>
  <r>
    <s v="ORD6828339"/>
    <s v="CUST0421"/>
    <x v="0"/>
    <x v="109"/>
    <d v="1899-12-30T17:21:00"/>
    <s v="Delivered"/>
    <n v="1566"/>
    <n v="0"/>
    <n v="1566"/>
    <n v="1566"/>
  </r>
  <r>
    <s v="ORD8079136"/>
    <s v="CUST0464"/>
    <x v="0"/>
    <x v="348"/>
    <d v="1899-12-30T19:51:00"/>
    <s v="Delivered"/>
    <n v="296"/>
    <n v="29.6"/>
    <n v="266.39999999999998"/>
    <n v="296"/>
  </r>
  <r>
    <s v="ORD6707994"/>
    <s v="CUST0020"/>
    <x v="0"/>
    <x v="126"/>
    <d v="1899-12-30T17:00:00"/>
    <s v="Delivered"/>
    <n v="1221"/>
    <n v="0"/>
    <n v="1221"/>
    <n v="1221"/>
  </r>
  <r>
    <s v="ORD5332113"/>
    <s v="CUST0223"/>
    <x v="1"/>
    <x v="166"/>
    <d v="1899-12-30T19:33:00"/>
    <s v="Delivered"/>
    <n v="318"/>
    <n v="0"/>
    <n v="318"/>
    <n v="318"/>
  </r>
  <r>
    <s v="ORD5376542"/>
    <s v="CUST0027"/>
    <x v="1"/>
    <x v="46"/>
    <d v="1899-12-30T15:37:00"/>
    <s v="Cancelled"/>
    <n v="594"/>
    <n v="59.4"/>
    <n v="0"/>
    <n v="594"/>
  </r>
  <r>
    <s v="ORD7014574"/>
    <s v="CUST0173"/>
    <x v="1"/>
    <x v="12"/>
    <d v="1899-12-30T22:06:00"/>
    <s v="Delivered"/>
    <n v="277"/>
    <n v="0"/>
    <n v="277"/>
    <n v="277"/>
  </r>
  <r>
    <s v="ORD4031676"/>
    <s v="CUST0150"/>
    <x v="1"/>
    <x v="224"/>
    <d v="1899-12-30T19:42:00"/>
    <s v="Delivered"/>
    <n v="336"/>
    <n v="0"/>
    <n v="336"/>
    <n v="336"/>
  </r>
  <r>
    <s v="ORD6622443"/>
    <s v="CUST0389"/>
    <x v="2"/>
    <x v="102"/>
    <d v="1899-12-30T18:20:00"/>
    <s v="Delivered"/>
    <n v="258"/>
    <n v="38.700000000000003"/>
    <n v="219.3"/>
    <n v="258"/>
  </r>
  <r>
    <s v="ORD8912619"/>
    <s v="CUST0288"/>
    <x v="1"/>
    <x v="33"/>
    <d v="1899-12-30T17:50:00"/>
    <s v="Delivered"/>
    <n v="652"/>
    <n v="0"/>
    <n v="652"/>
    <n v="652"/>
  </r>
  <r>
    <s v="ORD8177839"/>
    <s v="CUST0362"/>
    <x v="2"/>
    <x v="283"/>
    <d v="1899-12-30T18:55:00"/>
    <s v="Delivered"/>
    <n v="455"/>
    <n v="45.5"/>
    <n v="409.5"/>
    <n v="455"/>
  </r>
  <r>
    <s v="ORD7465311"/>
    <s v="CUST0287"/>
    <x v="2"/>
    <x v="53"/>
    <d v="1899-12-30T15:55:00"/>
    <s v="Delivered"/>
    <n v="316"/>
    <n v="15.8"/>
    <n v="300.2"/>
    <n v="316"/>
  </r>
  <r>
    <s v="ORD4496308"/>
    <s v="CUST0044"/>
    <x v="2"/>
    <x v="154"/>
    <d v="1899-12-30T20:21:00"/>
    <s v="Delivered"/>
    <n v="1250"/>
    <n v="0"/>
    <n v="1250"/>
    <n v="1250"/>
  </r>
  <r>
    <s v="ORD1865796"/>
    <s v="CUST0168"/>
    <x v="1"/>
    <x v="66"/>
    <d v="1899-12-30T17:24:00"/>
    <s v="Delivered"/>
    <n v="247"/>
    <n v="0"/>
    <n v="247"/>
    <n v="247"/>
  </r>
  <r>
    <s v="ORD3525628"/>
    <s v="CUST0054"/>
    <x v="0"/>
    <x v="191"/>
    <d v="1899-12-30T12:14:00"/>
    <s v="Delivered"/>
    <n v="445"/>
    <n v="0"/>
    <n v="445"/>
    <n v="445"/>
  </r>
  <r>
    <s v="ORD6994969"/>
    <s v="CUST0229"/>
    <x v="1"/>
    <x v="221"/>
    <d v="1899-12-30T16:56:00"/>
    <s v="Delivered"/>
    <n v="665"/>
    <n v="0"/>
    <n v="665"/>
    <n v="665"/>
  </r>
  <r>
    <s v="ORD9193739"/>
    <s v="CUST0315"/>
    <x v="2"/>
    <x v="341"/>
    <d v="1899-12-30T16:32:00"/>
    <s v="Delivered"/>
    <n v="298"/>
    <n v="0"/>
    <n v="298"/>
    <n v="298"/>
  </r>
  <r>
    <s v="ORD6941510"/>
    <s v="CUST0172"/>
    <x v="1"/>
    <x v="241"/>
    <d v="1899-12-30T20:45:00"/>
    <s v="Delivered"/>
    <n v="456"/>
    <n v="0"/>
    <n v="456"/>
    <n v="456"/>
  </r>
  <r>
    <s v="ORD5448284"/>
    <s v="CUST0244"/>
    <x v="1"/>
    <x v="355"/>
    <d v="1899-12-30T19:35:00"/>
    <s v="Delivered"/>
    <n v="139"/>
    <n v="0"/>
    <n v="139"/>
    <n v="139"/>
  </r>
  <r>
    <s v="ORD8905164"/>
    <s v="CUST0046"/>
    <x v="1"/>
    <x v="290"/>
    <d v="1899-12-30T17:19:00"/>
    <s v="Delivered"/>
    <n v="595"/>
    <n v="0"/>
    <n v="595"/>
    <n v="595"/>
  </r>
  <r>
    <s v="ORD5062907"/>
    <s v="CUST0372"/>
    <x v="0"/>
    <x v="265"/>
    <d v="1899-12-30T19:22:00"/>
    <s v="Delivered"/>
    <n v="336"/>
    <n v="33.6"/>
    <n v="302.39999999999998"/>
    <n v="336"/>
  </r>
  <r>
    <s v="ORD1535053"/>
    <s v="CUST0483"/>
    <x v="1"/>
    <x v="15"/>
    <d v="1899-12-30T01:08:00"/>
    <s v="Delivered"/>
    <n v="506"/>
    <n v="0"/>
    <n v="506"/>
    <n v="506"/>
  </r>
  <r>
    <s v="ORD9419884"/>
    <s v="CUST0308"/>
    <x v="0"/>
    <x v="136"/>
    <d v="1899-12-30T10:05:00"/>
    <s v="Delivered"/>
    <n v="445"/>
    <n v="0"/>
    <n v="445"/>
    <n v="445"/>
  </r>
  <r>
    <s v="ORD6140751"/>
    <s v="CUST0219"/>
    <x v="1"/>
    <x v="280"/>
    <d v="1899-12-30T13:25:00"/>
    <s v="Delivered"/>
    <n v="386"/>
    <n v="38.6"/>
    <n v="347.4"/>
    <n v="386"/>
  </r>
  <r>
    <s v="ORD7432383"/>
    <s v="CUST0299"/>
    <x v="1"/>
    <x v="61"/>
    <d v="1899-12-30T19:46:00"/>
    <s v="Delivered"/>
    <n v="911"/>
    <n v="45.55"/>
    <n v="865.45"/>
    <n v="911"/>
  </r>
  <r>
    <s v="ORD4027962"/>
    <s v="CUST0119"/>
    <x v="1"/>
    <x v="62"/>
    <d v="1899-12-30T17:44:00"/>
    <s v="Delivered"/>
    <n v="674"/>
    <n v="0"/>
    <n v="674"/>
    <n v="674"/>
  </r>
  <r>
    <s v="ORD4628600"/>
    <s v="CUST0029"/>
    <x v="1"/>
    <x v="25"/>
    <d v="1899-12-30T10:16:00"/>
    <s v="Delivered"/>
    <n v="356"/>
    <n v="17.8"/>
    <n v="338.2"/>
    <n v="356"/>
  </r>
  <r>
    <s v="ORD6020284"/>
    <s v="CUST0086"/>
    <x v="1"/>
    <x v="118"/>
    <d v="1899-12-30T23:21:00"/>
    <s v="Delivered"/>
    <n v="1047"/>
    <n v="0"/>
    <n v="1047"/>
    <n v="1047"/>
  </r>
  <r>
    <s v="ORD7816369"/>
    <s v="CUST0276"/>
    <x v="2"/>
    <x v="152"/>
    <d v="1899-12-30T18:05:00"/>
    <s v="Delivered"/>
    <n v="288"/>
    <n v="14.4"/>
    <n v="273.60000000000002"/>
    <n v="288"/>
  </r>
  <r>
    <s v="ORD9625447"/>
    <s v="CUST0005"/>
    <x v="1"/>
    <x v="243"/>
    <d v="1899-12-30T21:12:00"/>
    <s v="Delivered"/>
    <n v="395"/>
    <n v="19.75"/>
    <n v="375.25"/>
    <n v="395"/>
  </r>
  <r>
    <s v="ORD2995270"/>
    <s v="CUST0327"/>
    <x v="1"/>
    <x v="71"/>
    <d v="1899-12-30T23:23:00"/>
    <s v="Delivered"/>
    <n v="336"/>
    <n v="0"/>
    <n v="336"/>
    <n v="336"/>
  </r>
  <r>
    <s v="ORD9704510"/>
    <s v="CUST0193"/>
    <x v="1"/>
    <x v="94"/>
    <d v="1899-12-30T17:35:00"/>
    <s v="Delivered"/>
    <n v="238"/>
    <n v="0"/>
    <n v="238"/>
    <n v="238"/>
  </r>
  <r>
    <s v="ORD1688743"/>
    <s v="CUST0281"/>
    <x v="2"/>
    <x v="27"/>
    <d v="1899-12-30T20:05:00"/>
    <s v="Delivered"/>
    <n v="901"/>
    <n v="0"/>
    <n v="901"/>
    <n v="901"/>
  </r>
  <r>
    <s v="ORD5062815"/>
    <s v="CUST0238"/>
    <x v="0"/>
    <x v="93"/>
    <d v="1899-12-30T18:36:00"/>
    <s v="Delivered"/>
    <n v="495"/>
    <n v="0"/>
    <n v="495"/>
    <n v="495"/>
  </r>
  <r>
    <s v="ORD4284596"/>
    <s v="CUST0329"/>
    <x v="1"/>
    <x v="176"/>
    <d v="1899-12-30T18:56:00"/>
    <s v="Delivered"/>
    <n v="247"/>
    <n v="0"/>
    <n v="247"/>
    <n v="247"/>
  </r>
  <r>
    <s v="ORD6084824"/>
    <s v="CUST0185"/>
    <x v="0"/>
    <x v="340"/>
    <d v="1899-12-30T21:26:00"/>
    <s v="Delivered"/>
    <n v="346"/>
    <n v="0"/>
    <n v="346"/>
    <n v="346"/>
  </r>
  <r>
    <s v="ORD2648873"/>
    <s v="CUST0095"/>
    <x v="0"/>
    <x v="256"/>
    <d v="1899-12-30T20:47:00"/>
    <s v="Delivered"/>
    <n v="238"/>
    <n v="0"/>
    <n v="238"/>
    <n v="238"/>
  </r>
  <r>
    <s v="ORD7416366"/>
    <s v="CUST0215"/>
    <x v="2"/>
    <x v="86"/>
    <d v="1899-12-30T10:01:00"/>
    <s v="Delivered"/>
    <n v="733"/>
    <n v="109.95"/>
    <n v="623.04999999999995"/>
    <n v="733"/>
  </r>
  <r>
    <s v="ORD9446620"/>
    <s v="CUST0275"/>
    <x v="1"/>
    <x v="171"/>
    <d v="1899-12-30T10:25:00"/>
    <s v="Delivered"/>
    <n v="317"/>
    <n v="0"/>
    <n v="317"/>
    <n v="317"/>
  </r>
  <r>
    <s v="ORD1511319"/>
    <s v="CUST0196"/>
    <x v="2"/>
    <x v="358"/>
    <d v="1899-12-30T00:49:00"/>
    <s v="Delivered"/>
    <n v="695"/>
    <n v="34.75"/>
    <n v="660.25"/>
    <n v="695"/>
  </r>
  <r>
    <s v="ORD6900463"/>
    <s v="CUST0410"/>
    <x v="0"/>
    <x v="8"/>
    <d v="1899-12-30T17:42:00"/>
    <s v="Delivered"/>
    <n v="258"/>
    <n v="12.9"/>
    <n v="245.1"/>
    <n v="258"/>
  </r>
  <r>
    <s v="ORD3161205"/>
    <s v="CUST0174"/>
    <x v="0"/>
    <x v="91"/>
    <d v="1899-12-30T13:35:00"/>
    <s v="Delivered"/>
    <n v="435"/>
    <n v="0"/>
    <n v="435"/>
    <n v="435"/>
  </r>
  <r>
    <s v="ORD9657185"/>
    <s v="CUST0362"/>
    <x v="2"/>
    <x v="31"/>
    <d v="1899-12-30T01:01:00"/>
    <s v="Delivered"/>
    <n v="89"/>
    <n v="4.45"/>
    <n v="84.55"/>
    <n v="89"/>
  </r>
  <r>
    <s v="ORD7016513"/>
    <s v="CUST0007"/>
    <x v="1"/>
    <x v="285"/>
    <d v="1899-12-30T11:16:00"/>
    <s v="Delivered"/>
    <n v="731"/>
    <n v="109.65"/>
    <n v="621.35"/>
    <n v="731"/>
  </r>
  <r>
    <s v="ORD5355118"/>
    <s v="CUST0201"/>
    <x v="2"/>
    <x v="194"/>
    <d v="1899-12-30T18:27:00"/>
    <s v="Delivered"/>
    <n v="79"/>
    <n v="0"/>
    <n v="79"/>
    <n v="79"/>
  </r>
  <r>
    <s v="ORD9563936"/>
    <s v="CUST0252"/>
    <x v="0"/>
    <x v="239"/>
    <d v="1899-12-30T20:35:00"/>
    <s v="Delivered"/>
    <n v="472"/>
    <n v="0"/>
    <n v="472"/>
    <n v="472"/>
  </r>
  <r>
    <s v="ORD1386380"/>
    <s v="CUST0454"/>
    <x v="2"/>
    <x v="253"/>
    <d v="1899-12-30T21:08:00"/>
    <s v="Delivered"/>
    <n v="772"/>
    <n v="0"/>
    <n v="772"/>
    <n v="772"/>
  </r>
  <r>
    <s v="ORD6524250"/>
    <s v="CUST0261"/>
    <x v="1"/>
    <x v="161"/>
    <d v="1899-12-30T16:13:00"/>
    <s v="Delivered"/>
    <n v="1032"/>
    <n v="51.6"/>
    <n v="980.4"/>
    <n v="1032"/>
  </r>
  <r>
    <s v="ORD3047411"/>
    <s v="CUST0302"/>
    <x v="0"/>
    <x v="71"/>
    <d v="1899-12-30T18:04:00"/>
    <s v="Delivered"/>
    <n v="198"/>
    <n v="9.9"/>
    <n v="188.1"/>
    <n v="198"/>
  </r>
  <r>
    <s v="ORD6559653"/>
    <s v="CUST0111"/>
    <x v="0"/>
    <x v="27"/>
    <d v="1899-12-30T15:30:00"/>
    <s v="Delivered"/>
    <n v="606"/>
    <n v="0"/>
    <n v="606"/>
    <n v="606"/>
  </r>
  <r>
    <s v="ORD6565483"/>
    <s v="CUST0395"/>
    <x v="1"/>
    <x v="102"/>
    <d v="1899-12-30T23:47:00"/>
    <s v="Delivered"/>
    <n v="514"/>
    <n v="25.7"/>
    <n v="488.3"/>
    <n v="514"/>
  </r>
  <r>
    <s v="ORD2858631"/>
    <s v="CUST0001"/>
    <x v="0"/>
    <x v="314"/>
    <d v="1899-12-30T20:57:00"/>
    <s v="Delivered"/>
    <n v="277"/>
    <n v="0"/>
    <n v="277"/>
    <n v="277"/>
  </r>
  <r>
    <s v="ORD9308229"/>
    <s v="CUST0465"/>
    <x v="1"/>
    <x v="96"/>
    <d v="1899-12-30T19:31:00"/>
    <s v="Delivered"/>
    <n v="79"/>
    <n v="0"/>
    <n v="79"/>
    <n v="79"/>
  </r>
  <r>
    <s v="ORD8968236"/>
    <s v="CUST0167"/>
    <x v="0"/>
    <x v="167"/>
    <d v="1899-12-30T13:36:00"/>
    <s v="Delivered"/>
    <n v="397"/>
    <n v="0"/>
    <n v="397"/>
    <n v="397"/>
  </r>
  <r>
    <s v="ORD9196420"/>
    <s v="CUST0082"/>
    <x v="2"/>
    <x v="86"/>
    <d v="1899-12-30T00:40:00"/>
    <s v="Delivered"/>
    <n v="812"/>
    <n v="0"/>
    <n v="812"/>
    <n v="812"/>
  </r>
  <r>
    <s v="ORD2976629"/>
    <s v="CUST0166"/>
    <x v="0"/>
    <x v="57"/>
    <d v="1899-12-30T15:28:00"/>
    <s v="Cancelled"/>
    <n v="365"/>
    <n v="0"/>
    <n v="0"/>
    <n v="365"/>
  </r>
  <r>
    <s v="ORD8159977"/>
    <s v="CUST0207"/>
    <x v="1"/>
    <x v="95"/>
    <d v="1899-12-30T16:39:00"/>
    <s v="Delivered"/>
    <n v="772"/>
    <n v="0"/>
    <n v="772"/>
    <n v="772"/>
  </r>
  <r>
    <s v="ORD3604390"/>
    <s v="CUST0295"/>
    <x v="1"/>
    <x v="261"/>
    <d v="1899-12-30T21:20:00"/>
    <s v="Delivered"/>
    <n v="892"/>
    <n v="89.2"/>
    <n v="802.8"/>
    <n v="892"/>
  </r>
  <r>
    <s v="ORD1827363"/>
    <s v="CUST0131"/>
    <x v="1"/>
    <x v="0"/>
    <d v="1899-12-30T20:49:00"/>
    <s v="Delivered"/>
    <n v="614"/>
    <n v="0"/>
    <n v="614"/>
    <n v="614"/>
  </r>
  <r>
    <s v="ORD7714998"/>
    <s v="CUST0452"/>
    <x v="0"/>
    <x v="167"/>
    <d v="1899-12-30T14:50:00"/>
    <s v="Delivered"/>
    <n v="79"/>
    <n v="0"/>
    <n v="79"/>
    <n v="79"/>
  </r>
  <r>
    <s v="ORD8338663"/>
    <s v="CUST0202"/>
    <x v="1"/>
    <x v="130"/>
    <d v="1899-12-30T17:57:00"/>
    <s v="Delivered"/>
    <n v="565"/>
    <n v="0"/>
    <n v="565"/>
    <n v="565"/>
  </r>
  <r>
    <s v="ORD3569548"/>
    <s v="CUST0055"/>
    <x v="0"/>
    <x v="75"/>
    <d v="1899-12-30T20:04:00"/>
    <s v="Delivered"/>
    <n v="1300"/>
    <n v="0"/>
    <n v="1300"/>
    <n v="1300"/>
  </r>
  <r>
    <s v="ORD5125519"/>
    <s v="CUST0337"/>
    <x v="1"/>
    <x v="52"/>
    <d v="1899-12-30T01:53:00"/>
    <s v="Delivered"/>
    <n v="357"/>
    <n v="0"/>
    <n v="357"/>
    <n v="357"/>
  </r>
  <r>
    <s v="ORD7634113"/>
    <s v="CUST0263"/>
    <x v="1"/>
    <x v="232"/>
    <d v="1899-12-30T19:41:00"/>
    <s v="Delivered"/>
    <n v="894"/>
    <n v="134.1"/>
    <n v="759.9"/>
    <n v="894"/>
  </r>
  <r>
    <s v="ORD7285488"/>
    <s v="CUST0034"/>
    <x v="1"/>
    <x v="183"/>
    <d v="1899-12-30T00:32:00"/>
    <s v="Delivered"/>
    <n v="298"/>
    <n v="0"/>
    <n v="298"/>
    <n v="298"/>
  </r>
  <r>
    <s v="ORD8204875"/>
    <s v="CUST0106"/>
    <x v="0"/>
    <x v="94"/>
    <d v="1899-12-30T17:21:00"/>
    <s v="Delivered"/>
    <n v="476"/>
    <n v="0"/>
    <n v="476"/>
    <n v="476"/>
  </r>
  <r>
    <s v="ORD1615730"/>
    <s v="CUST0195"/>
    <x v="0"/>
    <x v="112"/>
    <d v="1899-12-30T19:22:00"/>
    <s v="Delivered"/>
    <n v="118"/>
    <n v="11.8"/>
    <n v="106.2"/>
    <n v="118"/>
  </r>
  <r>
    <s v="ORD8246236"/>
    <s v="CUST0157"/>
    <x v="1"/>
    <x v="56"/>
    <d v="1899-12-30T01:53:00"/>
    <s v="Delivered"/>
    <n v="357"/>
    <n v="0"/>
    <n v="357"/>
    <n v="357"/>
  </r>
  <r>
    <s v="ORD1902080"/>
    <s v="CUST0314"/>
    <x v="2"/>
    <x v="259"/>
    <d v="1899-12-30T13:49:00"/>
    <s v="Delivered"/>
    <n v="316"/>
    <n v="31.6"/>
    <n v="284.39999999999998"/>
    <n v="316"/>
  </r>
  <r>
    <s v="ORD6587247"/>
    <s v="CUST0025"/>
    <x v="1"/>
    <x v="7"/>
    <d v="1899-12-30T16:42:00"/>
    <s v="Delivered"/>
    <n v="437"/>
    <n v="0"/>
    <n v="437"/>
    <n v="437"/>
  </r>
  <r>
    <s v="ORD7128421"/>
    <s v="CUST0069"/>
    <x v="1"/>
    <x v="316"/>
    <d v="1899-12-30T23:30:00"/>
    <s v="Delivered"/>
    <n v="652"/>
    <n v="65.2"/>
    <n v="586.79999999999995"/>
    <n v="652"/>
  </r>
  <r>
    <s v="ORD6269284"/>
    <s v="CUST0110"/>
    <x v="0"/>
    <x v="96"/>
    <d v="1899-12-30T14:29:00"/>
    <s v="Delivered"/>
    <n v="277"/>
    <n v="0"/>
    <n v="277"/>
    <n v="277"/>
  </r>
  <r>
    <s v="ORD9183911"/>
    <s v="CUST0383"/>
    <x v="0"/>
    <x v="223"/>
    <d v="1899-12-30T18:31:00"/>
    <s v="Delivered"/>
    <n v="850"/>
    <n v="0"/>
    <n v="850"/>
    <n v="850"/>
  </r>
  <r>
    <s v="ORD6065908"/>
    <s v="CUST0336"/>
    <x v="0"/>
    <x v="108"/>
    <d v="1899-12-30T21:47:00"/>
    <s v="Delivered"/>
    <n v="79"/>
    <n v="0"/>
    <n v="79"/>
    <n v="79"/>
  </r>
  <r>
    <s v="ORD9266135"/>
    <s v="CUST0050"/>
    <x v="1"/>
    <x v="7"/>
    <d v="1899-12-30T01:45:00"/>
    <s v="Cancelled"/>
    <n v="99"/>
    <n v="9.9"/>
    <n v="0"/>
    <n v="99"/>
  </r>
  <r>
    <s v="ORD9693979"/>
    <s v="CUST0175"/>
    <x v="2"/>
    <x v="126"/>
    <d v="1899-12-30T18:36:00"/>
    <s v="Delivered"/>
    <n v="248"/>
    <n v="37.200000000000003"/>
    <n v="210.8"/>
    <n v="248"/>
  </r>
  <r>
    <s v="ORD1524116"/>
    <s v="CUST0179"/>
    <x v="0"/>
    <x v="83"/>
    <d v="1899-12-30T16:29:00"/>
    <s v="Delivered"/>
    <n v="614"/>
    <n v="0"/>
    <n v="614"/>
    <n v="614"/>
  </r>
  <r>
    <s v="ORD7675125"/>
    <s v="CUST0161"/>
    <x v="0"/>
    <x v="222"/>
    <d v="1899-12-30T20:20:00"/>
    <s v="Delivered"/>
    <n v="198"/>
    <n v="0"/>
    <n v="198"/>
    <n v="198"/>
  </r>
  <r>
    <s v="ORD5194080"/>
    <s v="CUST0228"/>
    <x v="1"/>
    <x v="136"/>
    <d v="1899-12-30T00:27:00"/>
    <s v="Delivered"/>
    <n v="742"/>
    <n v="37.1"/>
    <n v="704.9"/>
    <n v="742"/>
  </r>
  <r>
    <s v="ORD4866878"/>
    <s v="CUST0044"/>
    <x v="2"/>
    <x v="106"/>
    <d v="1899-12-30T18:49:00"/>
    <s v="Delivered"/>
    <n v="1121"/>
    <n v="0"/>
    <n v="1121"/>
    <n v="1121"/>
  </r>
  <r>
    <s v="ORD7946545"/>
    <s v="CUST0116"/>
    <x v="1"/>
    <x v="115"/>
    <d v="1899-12-30T21:59:00"/>
    <s v="Delivered"/>
    <n v="771"/>
    <n v="0"/>
    <n v="771"/>
    <n v="771"/>
  </r>
  <r>
    <s v="ORD7110350"/>
    <s v="CUST0370"/>
    <x v="1"/>
    <x v="61"/>
    <d v="1899-12-30T22:43:00"/>
    <s v="Delivered"/>
    <n v="1288"/>
    <n v="0"/>
    <n v="1288"/>
    <n v="1288"/>
  </r>
  <r>
    <s v="ORD3373815"/>
    <s v="CUST0399"/>
    <x v="0"/>
    <x v="129"/>
    <d v="1899-12-30T13:45:00"/>
    <s v="Delivered"/>
    <n v="574"/>
    <n v="86.1"/>
    <n v="487.9"/>
    <n v="574"/>
  </r>
  <r>
    <s v="ORD2815385"/>
    <s v="CUST0194"/>
    <x v="1"/>
    <x v="253"/>
    <d v="1899-12-30T17:51:00"/>
    <s v="Cancelled"/>
    <n v="1242"/>
    <n v="0"/>
    <n v="0"/>
    <n v="1242"/>
  </r>
  <r>
    <s v="ORD5577636"/>
    <s v="CUST0136"/>
    <x v="0"/>
    <x v="348"/>
    <d v="1899-12-30T18:28:00"/>
    <s v="Delivered"/>
    <n v="833"/>
    <n v="0"/>
    <n v="833"/>
    <n v="833"/>
  </r>
  <r>
    <s v="ORD8552187"/>
    <s v="CUST0110"/>
    <x v="1"/>
    <x v="136"/>
    <d v="1899-12-30T14:05:00"/>
    <s v="Delivered"/>
    <n v="197"/>
    <n v="0"/>
    <n v="197"/>
    <n v="197"/>
  </r>
  <r>
    <s v="ORD8194732"/>
    <s v="CUST0429"/>
    <x v="2"/>
    <x v="201"/>
    <d v="1899-12-30T12:28:00"/>
    <s v="Delivered"/>
    <n v="377"/>
    <n v="37.700000000000003"/>
    <n v="339.3"/>
    <n v="377"/>
  </r>
  <r>
    <s v="ORD4327362"/>
    <s v="CUST0339"/>
    <x v="0"/>
    <x v="317"/>
    <d v="1899-12-30T16:16:00"/>
    <s v="Delivered"/>
    <n v="158"/>
    <n v="0"/>
    <n v="158"/>
    <n v="158"/>
  </r>
  <r>
    <s v="ORD7625199"/>
    <s v="CUST0247"/>
    <x v="2"/>
    <x v="146"/>
    <d v="1899-12-30T16:32:00"/>
    <s v="Delivered"/>
    <n v="308"/>
    <n v="0"/>
    <n v="308"/>
    <n v="308"/>
  </r>
  <r>
    <s v="ORD7260863"/>
    <s v="CUST0239"/>
    <x v="1"/>
    <x v="212"/>
    <d v="1899-12-30T12:49:00"/>
    <s v="Delivered"/>
    <n v="149"/>
    <n v="0"/>
    <n v="149"/>
    <n v="149"/>
  </r>
  <r>
    <s v="ORD9659485"/>
    <s v="CUST0280"/>
    <x v="0"/>
    <x v="91"/>
    <d v="1899-12-30T16:18:00"/>
    <s v="Delivered"/>
    <n v="663"/>
    <n v="0"/>
    <n v="663"/>
    <n v="663"/>
  </r>
  <r>
    <s v="ORD8204131"/>
    <s v="CUST0206"/>
    <x v="1"/>
    <x v="134"/>
    <d v="1899-12-30T18:50:00"/>
    <s v="Delivered"/>
    <n v="417"/>
    <n v="0"/>
    <n v="417"/>
    <n v="417"/>
  </r>
  <r>
    <s v="ORD1556841"/>
    <s v="CUST0467"/>
    <x v="1"/>
    <x v="123"/>
    <d v="1899-12-30T15:50:00"/>
    <s v="Delivered"/>
    <n v="1321"/>
    <n v="0"/>
    <n v="1321"/>
    <n v="1321"/>
  </r>
  <r>
    <s v="ORD7270714"/>
    <s v="CUST0036"/>
    <x v="0"/>
    <x v="14"/>
    <d v="1899-12-30T10:35:00"/>
    <s v="Delivered"/>
    <n v="583"/>
    <n v="0"/>
    <n v="583"/>
    <n v="583"/>
  </r>
  <r>
    <s v="ORD7676881"/>
    <s v="CUST0128"/>
    <x v="0"/>
    <x v="91"/>
    <d v="1899-12-30T10:38:00"/>
    <s v="Delivered"/>
    <n v="306"/>
    <n v="0"/>
    <n v="306"/>
    <n v="306"/>
  </r>
  <r>
    <s v="ORD1175565"/>
    <s v="CUST0406"/>
    <x v="1"/>
    <x v="276"/>
    <d v="1899-12-30T22:23:00"/>
    <s v="Delivered"/>
    <n v="614"/>
    <n v="0"/>
    <n v="614"/>
    <n v="614"/>
  </r>
  <r>
    <s v="ORD2417020"/>
    <s v="CUST0454"/>
    <x v="0"/>
    <x v="251"/>
    <d v="1899-12-30T19:15:00"/>
    <s v="Delivered"/>
    <n v="257"/>
    <n v="0"/>
    <n v="257"/>
    <n v="257"/>
  </r>
  <r>
    <s v="ORD2483561"/>
    <s v="CUST0025"/>
    <x v="2"/>
    <x v="276"/>
    <d v="1899-12-30T16:19:00"/>
    <s v="Delivered"/>
    <n v="703"/>
    <n v="0"/>
    <n v="703"/>
    <n v="703"/>
  </r>
  <r>
    <s v="ORD2366435"/>
    <s v="CUST0253"/>
    <x v="2"/>
    <x v="101"/>
    <d v="1899-12-30T22:06:00"/>
    <s v="Delivered"/>
    <n v="1031"/>
    <n v="154.65"/>
    <n v="876.35"/>
    <n v="1031"/>
  </r>
  <r>
    <s v="ORD6381462"/>
    <s v="CUST0277"/>
    <x v="0"/>
    <x v="278"/>
    <d v="1899-12-30T19:16:00"/>
    <s v="Delivered"/>
    <n v="475"/>
    <n v="0"/>
    <n v="475"/>
    <n v="475"/>
  </r>
  <r>
    <s v="ORD5694522"/>
    <s v="CUST0032"/>
    <x v="1"/>
    <x v="359"/>
    <d v="1899-12-30T15:54:00"/>
    <s v="Delivered"/>
    <n v="456"/>
    <n v="45.6"/>
    <n v="410.4"/>
    <n v="456"/>
  </r>
  <r>
    <s v="ORD8925877"/>
    <s v="CUST0041"/>
    <x v="0"/>
    <x v="263"/>
    <d v="1899-12-30T12:53:00"/>
    <s v="Delivered"/>
    <n v="79"/>
    <n v="0"/>
    <n v="79"/>
    <n v="79"/>
  </r>
  <r>
    <s v="ORD9386469"/>
    <s v="CUST0468"/>
    <x v="0"/>
    <x v="33"/>
    <d v="1899-12-30T22:21:00"/>
    <s v="Delivered"/>
    <n v="446"/>
    <n v="0"/>
    <n v="446"/>
    <n v="446"/>
  </r>
  <r>
    <s v="ORD7493063"/>
    <s v="CUST0048"/>
    <x v="2"/>
    <x v="154"/>
    <d v="1899-12-30T10:34:00"/>
    <s v="Delivered"/>
    <n v="1160"/>
    <n v="0"/>
    <n v="1160"/>
    <n v="1160"/>
  </r>
  <r>
    <s v="ORD8929859"/>
    <s v="CUST0056"/>
    <x v="1"/>
    <x v="312"/>
    <d v="1899-12-30T16:06:00"/>
    <s v="Delivered"/>
    <n v="446"/>
    <n v="0"/>
    <n v="446"/>
    <n v="446"/>
  </r>
  <r>
    <s v="ORD4524697"/>
    <s v="CUST0199"/>
    <x v="0"/>
    <x v="31"/>
    <d v="1899-12-30T11:10:00"/>
    <s v="Delivered"/>
    <n v="148"/>
    <n v="22.2"/>
    <n v="125.8"/>
    <n v="148"/>
  </r>
  <r>
    <s v="ORD1191390"/>
    <s v="CUST0179"/>
    <x v="0"/>
    <x v="111"/>
    <d v="1899-12-30T23:54:00"/>
    <s v="Delivered"/>
    <n v="596"/>
    <n v="0"/>
    <n v="596"/>
    <n v="596"/>
  </r>
  <r>
    <s v="ORD8991958"/>
    <s v="CUST0068"/>
    <x v="2"/>
    <x v="320"/>
    <d v="1899-12-30T17:33:00"/>
    <s v="Delivered"/>
    <n v="218"/>
    <n v="10.9"/>
    <n v="207.1"/>
    <n v="218"/>
  </r>
  <r>
    <s v="ORD7312402"/>
    <s v="CUST0423"/>
    <x v="1"/>
    <x v="165"/>
    <d v="1899-12-30T20:57:00"/>
    <s v="Delivered"/>
    <n v="833"/>
    <n v="41.65"/>
    <n v="791.35"/>
    <n v="833"/>
  </r>
  <r>
    <s v="ORD8037085"/>
    <s v="CUST0064"/>
    <x v="1"/>
    <x v="48"/>
    <d v="1899-12-30T17:22:00"/>
    <s v="Delivered"/>
    <n v="633"/>
    <n v="0"/>
    <n v="633"/>
    <n v="633"/>
  </r>
  <r>
    <s v="ORD3400778"/>
    <s v="CUST0124"/>
    <x v="1"/>
    <x v="23"/>
    <d v="1899-12-30T21:49:00"/>
    <s v="Delivered"/>
    <n v="880"/>
    <n v="0"/>
    <n v="880"/>
    <n v="880"/>
  </r>
  <r>
    <s v="ORD1038690"/>
    <s v="CUST0117"/>
    <x v="0"/>
    <x v="15"/>
    <d v="1899-12-30T18:45:00"/>
    <s v="Delivered"/>
    <n v="535"/>
    <n v="53.5"/>
    <n v="481.5"/>
    <n v="535"/>
  </r>
  <r>
    <s v="ORD1553753"/>
    <s v="CUST0367"/>
    <x v="0"/>
    <x v="176"/>
    <d v="1899-12-30T17:30:00"/>
    <s v="Delivered"/>
    <n v="653"/>
    <n v="0"/>
    <n v="653"/>
    <n v="653"/>
  </r>
  <r>
    <s v="ORD7075197"/>
    <s v="CUST0006"/>
    <x v="1"/>
    <x v="179"/>
    <d v="1899-12-30T23:50:00"/>
    <s v="Delivered"/>
    <n v="554"/>
    <n v="0"/>
    <n v="554"/>
    <n v="554"/>
  </r>
  <r>
    <s v="ORD8493210"/>
    <s v="CUST0272"/>
    <x v="0"/>
    <x v="164"/>
    <d v="1899-12-30T19:35:00"/>
    <s v="Delivered"/>
    <n v="694"/>
    <n v="0"/>
    <n v="694"/>
    <n v="694"/>
  </r>
  <r>
    <s v="ORD6469850"/>
    <s v="CUST0462"/>
    <x v="2"/>
    <x v="128"/>
    <d v="1899-12-30T19:02:00"/>
    <s v="Delivered"/>
    <n v="296"/>
    <n v="29.6"/>
    <n v="266.39999999999998"/>
    <n v="296"/>
  </r>
  <r>
    <s v="ORD4405484"/>
    <s v="CUST0454"/>
    <x v="0"/>
    <x v="79"/>
    <d v="1899-12-30T11:58:00"/>
    <s v="Delivered"/>
    <n v="188"/>
    <n v="0"/>
    <n v="188"/>
    <n v="188"/>
  </r>
  <r>
    <s v="ORD8165721"/>
    <s v="CUST0159"/>
    <x v="1"/>
    <x v="311"/>
    <d v="1899-12-30T00:25:00"/>
    <s v="Delivered"/>
    <n v="496"/>
    <n v="24.8"/>
    <n v="471.2"/>
    <n v="496"/>
  </r>
  <r>
    <s v="ORD3517639"/>
    <s v="CUST0174"/>
    <x v="0"/>
    <x v="209"/>
    <d v="1899-12-30T19:19:00"/>
    <s v="Delivered"/>
    <n v="456"/>
    <n v="0"/>
    <n v="456"/>
    <n v="456"/>
  </r>
  <r>
    <s v="ORD9359905"/>
    <s v="CUST0204"/>
    <x v="1"/>
    <x v="98"/>
    <d v="1899-12-30T18:04:00"/>
    <s v="Cancelled"/>
    <n v="496"/>
    <n v="0"/>
    <n v="0"/>
    <n v="496"/>
  </r>
  <r>
    <s v="ORD3870871"/>
    <s v="CUST0400"/>
    <x v="1"/>
    <x v="307"/>
    <d v="1899-12-30T21:01:00"/>
    <s v="Delivered"/>
    <n v="635"/>
    <n v="0"/>
    <n v="635"/>
    <n v="635"/>
  </r>
  <r>
    <s v="ORD4164842"/>
    <s v="CUST0478"/>
    <x v="2"/>
    <x v="45"/>
    <d v="1899-12-30T21:34:00"/>
    <s v="Delivered"/>
    <n v="158"/>
    <n v="0"/>
    <n v="158"/>
    <n v="158"/>
  </r>
  <r>
    <s v="ORD1175585"/>
    <s v="CUST0274"/>
    <x v="0"/>
    <x v="169"/>
    <d v="1899-12-30T12:25:00"/>
    <s v="Delivered"/>
    <n v="119"/>
    <n v="0"/>
    <n v="119"/>
    <n v="119"/>
  </r>
  <r>
    <s v="ORD9917509"/>
    <s v="CUST0039"/>
    <x v="1"/>
    <x v="14"/>
    <d v="1899-12-30T19:31:00"/>
    <s v="Delivered"/>
    <n v="238"/>
    <n v="0"/>
    <n v="238"/>
    <n v="238"/>
  </r>
  <r>
    <s v="ORD3166384"/>
    <s v="CUST0068"/>
    <x v="1"/>
    <x v="79"/>
    <d v="1899-12-30T19:42:00"/>
    <s v="Delivered"/>
    <n v="99"/>
    <n v="4.95"/>
    <n v="94.05"/>
    <n v="99"/>
  </r>
  <r>
    <s v="ORD8549131"/>
    <s v="CUST0117"/>
    <x v="0"/>
    <x v="110"/>
    <d v="1899-12-30T11:15:00"/>
    <s v="Delivered"/>
    <n v="725"/>
    <n v="72.5"/>
    <n v="652.5"/>
    <n v="725"/>
  </r>
  <r>
    <s v="ORD8442905"/>
    <s v="CUST0432"/>
    <x v="1"/>
    <x v="354"/>
    <d v="1899-12-30T10:27:00"/>
    <s v="Delivered"/>
    <n v="336"/>
    <n v="0"/>
    <n v="336"/>
    <n v="336"/>
  </r>
  <r>
    <s v="ORD8847442"/>
    <s v="CUST0094"/>
    <x v="1"/>
    <x v="158"/>
    <d v="1899-12-30T13:58:00"/>
    <s v="Delivered"/>
    <n v="496"/>
    <n v="0"/>
    <n v="496"/>
    <n v="496"/>
  </r>
  <r>
    <s v="ORD8285393"/>
    <s v="CUST0231"/>
    <x v="1"/>
    <x v="173"/>
    <d v="1899-12-30T22:46:00"/>
    <s v="Delivered"/>
    <n v="178"/>
    <n v="0"/>
    <n v="178"/>
    <n v="178"/>
  </r>
  <r>
    <s v="ORD7314805"/>
    <s v="CUST0254"/>
    <x v="1"/>
    <x v="270"/>
    <d v="1899-12-30T19:33:00"/>
    <s v="Delivered"/>
    <n v="197"/>
    <n v="0"/>
    <n v="197"/>
    <n v="197"/>
  </r>
  <r>
    <s v="ORD4798268"/>
    <s v="CUST0469"/>
    <x v="0"/>
    <x v="348"/>
    <d v="1899-12-30T17:39:00"/>
    <s v="Delivered"/>
    <n v="1270"/>
    <n v="0"/>
    <n v="1270"/>
    <n v="1270"/>
  </r>
  <r>
    <s v="ORD4826119"/>
    <s v="CUST0358"/>
    <x v="1"/>
    <x v="49"/>
    <d v="1899-12-30T16:26:00"/>
    <s v="Delivered"/>
    <n v="366"/>
    <n v="0"/>
    <n v="366"/>
    <n v="366"/>
  </r>
  <r>
    <s v="ORD7922134"/>
    <s v="CUST0473"/>
    <x v="1"/>
    <x v="272"/>
    <d v="1899-12-30T20:09:00"/>
    <s v="Cancelled"/>
    <n v="1072"/>
    <n v="0"/>
    <n v="0"/>
    <n v="1072"/>
  </r>
  <r>
    <s v="ORD2906711"/>
    <s v="CUST0239"/>
    <x v="1"/>
    <x v="333"/>
    <d v="1899-12-30T18:09:00"/>
    <s v="Delivered"/>
    <n v="267"/>
    <n v="0"/>
    <n v="267"/>
    <n v="267"/>
  </r>
  <r>
    <s v="ORD9752729"/>
    <s v="CUST0006"/>
    <x v="0"/>
    <x v="25"/>
    <d v="1899-12-30T09:56:00"/>
    <s v="Delivered"/>
    <n v="713"/>
    <n v="0"/>
    <n v="713"/>
    <n v="713"/>
  </r>
  <r>
    <s v="ORD5066077"/>
    <s v="CUST0295"/>
    <x v="0"/>
    <x v="319"/>
    <d v="1899-12-30T11:10:00"/>
    <s v="Delivered"/>
    <n v="1359"/>
    <n v="67.95"/>
    <n v="1291.05"/>
    <n v="1359"/>
  </r>
  <r>
    <s v="ORD3743507"/>
    <s v="CUST0221"/>
    <x v="0"/>
    <x v="178"/>
    <d v="1899-12-30T17:10:00"/>
    <s v="Delivered"/>
    <n v="287"/>
    <n v="43.05"/>
    <n v="243.95"/>
    <n v="287"/>
  </r>
  <r>
    <s v="ORD8604820"/>
    <s v="CUST0222"/>
    <x v="1"/>
    <x v="130"/>
    <d v="1899-12-30T21:03:00"/>
    <s v="Delivered"/>
    <n v="139"/>
    <n v="6.95"/>
    <n v="132.05000000000001"/>
    <n v="139"/>
  </r>
  <r>
    <s v="ORD1880761"/>
    <s v="CUST0167"/>
    <x v="1"/>
    <x v="257"/>
    <d v="1899-12-30T21:45:00"/>
    <s v="Delivered"/>
    <n v="287"/>
    <n v="0"/>
    <n v="287"/>
    <n v="287"/>
  </r>
  <r>
    <s v="ORD4768730"/>
    <s v="CUST0442"/>
    <x v="1"/>
    <x v="159"/>
    <d v="1899-12-30T18:51:00"/>
    <s v="Cancelled"/>
    <n v="228"/>
    <n v="0"/>
    <n v="0"/>
    <n v="228"/>
  </r>
  <r>
    <s v="ORD6817661"/>
    <s v="CUST0094"/>
    <x v="0"/>
    <x v="360"/>
    <d v="1899-12-30T00:55:00"/>
    <s v="Delivered"/>
    <n v="277"/>
    <n v="0"/>
    <n v="277"/>
    <n v="277"/>
  </r>
  <r>
    <s v="ORD5651218"/>
    <s v="CUST0479"/>
    <x v="1"/>
    <x v="92"/>
    <d v="1899-12-30T12:01:00"/>
    <s v="Delivered"/>
    <n v="824"/>
    <n v="0"/>
    <n v="824"/>
    <n v="824"/>
  </r>
  <r>
    <s v="ORD1363038"/>
    <s v="CUST0244"/>
    <x v="2"/>
    <x v="58"/>
    <d v="1899-12-30T18:48:00"/>
    <s v="Delivered"/>
    <n v="287"/>
    <n v="14.35"/>
    <n v="272.64999999999998"/>
    <n v="287"/>
  </r>
  <r>
    <s v="ORD2506164"/>
    <s v="CUST0420"/>
    <x v="1"/>
    <x v="126"/>
    <d v="1899-12-30T14:06:00"/>
    <s v="Delivered"/>
    <n v="1250"/>
    <n v="0"/>
    <n v="1250"/>
    <n v="1250"/>
  </r>
  <r>
    <s v="ORD2320303"/>
    <s v="CUST0202"/>
    <x v="1"/>
    <x v="64"/>
    <d v="1899-12-30T13:21:00"/>
    <s v="Cancelled"/>
    <n v="297"/>
    <n v="0"/>
    <n v="0"/>
    <n v="297"/>
  </r>
  <r>
    <s v="ORD6792490"/>
    <s v="CUST0047"/>
    <x v="0"/>
    <x v="232"/>
    <d v="1899-12-30T10:37:00"/>
    <s v="Delivered"/>
    <n v="944"/>
    <n v="0"/>
    <n v="944"/>
    <n v="944"/>
  </r>
  <r>
    <s v="ORD6269035"/>
    <s v="CUST0171"/>
    <x v="0"/>
    <x v="187"/>
    <d v="1899-12-30T19:07:00"/>
    <s v="Delivered"/>
    <n v="158"/>
    <n v="7.9"/>
    <n v="150.1"/>
    <n v="158"/>
  </r>
  <r>
    <s v="ORD7887337"/>
    <s v="CUST0402"/>
    <x v="1"/>
    <x v="217"/>
    <d v="1899-12-30T16:53:00"/>
    <s v="Delivered"/>
    <n v="743"/>
    <n v="0"/>
    <n v="743"/>
    <n v="743"/>
  </r>
  <r>
    <s v="ORD6274627"/>
    <s v="CUST0149"/>
    <x v="1"/>
    <x v="359"/>
    <d v="1899-12-30T14:02:00"/>
    <s v="Cancelled"/>
    <n v="515"/>
    <n v="0"/>
    <n v="0"/>
    <n v="515"/>
  </r>
  <r>
    <s v="ORD1705194"/>
    <s v="CUST0468"/>
    <x v="2"/>
    <x v="86"/>
    <d v="1899-12-30T15:01:00"/>
    <s v="Cancelled"/>
    <n v="396"/>
    <n v="0"/>
    <n v="0"/>
    <n v="396"/>
  </r>
  <r>
    <s v="ORD9146884"/>
    <s v="CUST0111"/>
    <x v="0"/>
    <x v="148"/>
    <d v="1899-12-30T16:46:00"/>
    <s v="Delivered"/>
    <n v="544"/>
    <n v="0"/>
    <n v="544"/>
    <n v="544"/>
  </r>
  <r>
    <s v="ORD9527123"/>
    <s v="CUST0059"/>
    <x v="1"/>
    <x v="157"/>
    <d v="1899-12-30T23:33:00"/>
    <s v="Delivered"/>
    <n v="536"/>
    <n v="0"/>
    <n v="536"/>
    <n v="536"/>
  </r>
  <r>
    <s v="ORD9997668"/>
    <s v="CUST0205"/>
    <x v="0"/>
    <x v="104"/>
    <d v="1899-12-30T15:21:00"/>
    <s v="Delivered"/>
    <n v="277"/>
    <n v="27.7"/>
    <n v="249.3"/>
    <n v="277"/>
  </r>
  <r>
    <s v="ORD5871820"/>
    <s v="CUST0058"/>
    <x v="0"/>
    <x v="337"/>
    <d v="1899-12-30T21:35:00"/>
    <s v="Delivered"/>
    <n v="168"/>
    <n v="8.4"/>
    <n v="159.6"/>
    <n v="168"/>
  </r>
  <r>
    <s v="ORD7716629"/>
    <s v="CUST0114"/>
    <x v="1"/>
    <x v="259"/>
    <d v="1899-12-30T09:34:00"/>
    <s v="Cancelled"/>
    <n v="903"/>
    <n v="0"/>
    <n v="0"/>
    <n v="903"/>
  </r>
  <r>
    <s v="ORD8741856"/>
    <s v="CUST0281"/>
    <x v="1"/>
    <x v="95"/>
    <d v="1899-12-30T18:38:00"/>
    <s v="Delivered"/>
    <n v="545"/>
    <n v="0"/>
    <n v="545"/>
    <n v="545"/>
  </r>
  <r>
    <s v="ORD2694100"/>
    <s v="CUST0391"/>
    <x v="1"/>
    <x v="148"/>
    <d v="1899-12-30T20:21:00"/>
    <s v="Delivered"/>
    <n v="455"/>
    <n v="45.5"/>
    <n v="409.5"/>
    <n v="455"/>
  </r>
  <r>
    <s v="ORD8363445"/>
    <s v="CUST0025"/>
    <x v="2"/>
    <x v="346"/>
    <d v="1899-12-30T16:32:00"/>
    <s v="Delivered"/>
    <n v="993"/>
    <n v="0"/>
    <n v="993"/>
    <n v="993"/>
  </r>
  <r>
    <s v="ORD5059317"/>
    <s v="CUST0245"/>
    <x v="1"/>
    <x v="165"/>
    <d v="1899-12-30T19:45:00"/>
    <s v="Delivered"/>
    <n v="823"/>
    <n v="82.3"/>
    <n v="740.7"/>
    <n v="823"/>
  </r>
  <r>
    <s v="ORD1965982"/>
    <s v="CUST0053"/>
    <x v="1"/>
    <x v="38"/>
    <d v="1899-12-30T09:54:00"/>
    <s v="Delivered"/>
    <n v="1017"/>
    <n v="0"/>
    <n v="1017"/>
    <n v="1017"/>
  </r>
  <r>
    <s v="ORD9321087"/>
    <s v="CUST0107"/>
    <x v="0"/>
    <x v="177"/>
    <d v="1899-12-30T20:53:00"/>
    <s v="Delivered"/>
    <n v="327"/>
    <n v="32.700000000000003"/>
    <n v="294.3"/>
    <n v="327"/>
  </r>
  <r>
    <s v="ORD2333249"/>
    <s v="CUST0015"/>
    <x v="1"/>
    <x v="128"/>
    <d v="1899-12-30T21:03:00"/>
    <s v="Delivered"/>
    <n v="841"/>
    <n v="0"/>
    <n v="841"/>
    <n v="841"/>
  </r>
  <r>
    <s v="ORD7925241"/>
    <s v="CUST0290"/>
    <x v="2"/>
    <x v="187"/>
    <d v="1899-12-30T19:36:00"/>
    <s v="Delivered"/>
    <n v="456"/>
    <n v="0"/>
    <n v="456"/>
    <n v="456"/>
  </r>
  <r>
    <s v="ORD3783903"/>
    <s v="CUST0207"/>
    <x v="1"/>
    <x v="26"/>
    <d v="1899-12-30T18:40:00"/>
    <s v="Delivered"/>
    <n v="178"/>
    <n v="0"/>
    <n v="178"/>
    <n v="178"/>
  </r>
  <r>
    <s v="ORD7190164"/>
    <s v="CUST0185"/>
    <x v="1"/>
    <x v="257"/>
    <d v="1899-12-30T10:11:00"/>
    <s v="Delivered"/>
    <n v="633"/>
    <n v="0"/>
    <n v="633"/>
    <n v="633"/>
  </r>
  <r>
    <s v="ORD2925327"/>
    <s v="CUST0023"/>
    <x v="0"/>
    <x v="29"/>
    <d v="1899-12-30T19:27:00"/>
    <s v="Delivered"/>
    <n v="178"/>
    <n v="8.9"/>
    <n v="169.1"/>
    <n v="178"/>
  </r>
  <r>
    <s v="ORD8946282"/>
    <s v="CUST0043"/>
    <x v="1"/>
    <x v="13"/>
    <d v="1899-12-30T17:26:00"/>
    <s v="Delivered"/>
    <n v="238"/>
    <n v="11.9"/>
    <n v="226.1"/>
    <n v="238"/>
  </r>
  <r>
    <s v="ORD7591537"/>
    <s v="CUST0285"/>
    <x v="1"/>
    <x v="26"/>
    <d v="1899-12-30T13:44:00"/>
    <s v="Delivered"/>
    <n v="218"/>
    <n v="0"/>
    <n v="218"/>
    <n v="218"/>
  </r>
  <r>
    <s v="ORD7386221"/>
    <s v="CUST0357"/>
    <x v="1"/>
    <x v="261"/>
    <d v="1899-12-30T23:02:00"/>
    <s v="Cancelled"/>
    <n v="525"/>
    <n v="0"/>
    <n v="0"/>
    <n v="525"/>
  </r>
  <r>
    <s v="ORD2710197"/>
    <s v="CUST0382"/>
    <x v="1"/>
    <x v="342"/>
    <d v="1899-12-30T00:53:00"/>
    <s v="Cancelled"/>
    <n v="1270"/>
    <n v="0"/>
    <n v="0"/>
    <n v="1270"/>
  </r>
  <r>
    <s v="ORD2316876"/>
    <s v="CUST0024"/>
    <x v="1"/>
    <x v="0"/>
    <d v="1899-12-30T13:04:00"/>
    <s v="Delivered"/>
    <n v="298"/>
    <n v="44.7"/>
    <n v="253.3"/>
    <n v="298"/>
  </r>
  <r>
    <s v="ORD4883185"/>
    <s v="CUST0044"/>
    <x v="0"/>
    <x v="179"/>
    <d v="1899-12-30T18:58:00"/>
    <s v="Delivered"/>
    <n v="297"/>
    <n v="0"/>
    <n v="297"/>
    <n v="297"/>
  </r>
  <r>
    <s v="ORD7482581"/>
    <s v="CUST0141"/>
    <x v="0"/>
    <x v="36"/>
    <d v="1899-12-30T20:47:00"/>
    <s v="Delivered"/>
    <n v="298"/>
    <n v="14.9"/>
    <n v="283.10000000000002"/>
    <n v="298"/>
  </r>
  <r>
    <s v="ORD7538508"/>
    <s v="CUST0414"/>
    <x v="1"/>
    <x v="211"/>
    <d v="1899-12-30T18:51:00"/>
    <s v="Delivered"/>
    <n v="456"/>
    <n v="0"/>
    <n v="456"/>
    <n v="456"/>
  </r>
  <r>
    <s v="ORD8545277"/>
    <s v="CUST0014"/>
    <x v="1"/>
    <x v="227"/>
    <d v="1899-12-30T21:17:00"/>
    <s v="Delivered"/>
    <n v="795"/>
    <n v="0"/>
    <n v="795"/>
    <n v="795"/>
  </r>
  <r>
    <s v="ORD5847450"/>
    <s v="CUST0363"/>
    <x v="1"/>
    <x v="180"/>
    <d v="1899-12-30T20:06:00"/>
    <s v="Delivered"/>
    <n v="556"/>
    <n v="27.8"/>
    <n v="528.20000000000005"/>
    <n v="556"/>
  </r>
  <r>
    <s v="ORD1762915"/>
    <s v="CUST0482"/>
    <x v="1"/>
    <x v="236"/>
    <d v="1899-12-30T14:14:00"/>
    <s v="Delivered"/>
    <n v="237"/>
    <n v="35.549999999999997"/>
    <n v="201.45"/>
    <n v="237"/>
  </r>
  <r>
    <s v="ORD6404262"/>
    <s v="CUST0403"/>
    <x v="1"/>
    <x v="219"/>
    <d v="1899-12-30T18:26:00"/>
    <s v="Delivered"/>
    <n v="178"/>
    <n v="17.8"/>
    <n v="160.19999999999999"/>
    <n v="178"/>
  </r>
  <r>
    <s v="ORD9704445"/>
    <s v="CUST0397"/>
    <x v="0"/>
    <x v="124"/>
    <d v="1899-12-30T20:24:00"/>
    <s v="Cancelled"/>
    <n v="317"/>
    <n v="31.7"/>
    <n v="0"/>
    <n v="317"/>
  </r>
  <r>
    <s v="ORD8860718"/>
    <s v="CUST0457"/>
    <x v="1"/>
    <x v="101"/>
    <d v="1899-12-30T16:58:00"/>
    <s v="Delivered"/>
    <n v="545"/>
    <n v="0"/>
    <n v="545"/>
    <n v="545"/>
  </r>
  <r>
    <s v="ORD2239574"/>
    <s v="CUST0271"/>
    <x v="1"/>
    <x v="339"/>
    <d v="1899-12-30T16:28:00"/>
    <s v="Delivered"/>
    <n v="159"/>
    <n v="7.95"/>
    <n v="151.05000000000001"/>
    <n v="159"/>
  </r>
  <r>
    <s v="ORD6983968"/>
    <s v="CUST0147"/>
    <x v="1"/>
    <x v="147"/>
    <d v="1899-12-30T16:17:00"/>
    <s v="Delivered"/>
    <n v="1108"/>
    <n v="0"/>
    <n v="1108"/>
    <n v="1108"/>
  </r>
  <r>
    <s v="ORD1444826"/>
    <s v="CUST0246"/>
    <x v="0"/>
    <x v="269"/>
    <d v="1899-12-30T20:06:00"/>
    <s v="Delivered"/>
    <n v="474"/>
    <n v="23.7"/>
    <n v="450.3"/>
    <n v="474"/>
  </r>
  <r>
    <s v="ORD2873480"/>
    <s v="CUST0369"/>
    <x v="1"/>
    <x v="356"/>
    <d v="1899-12-30T18:13:00"/>
    <s v="Cancelled"/>
    <n v="494"/>
    <n v="0"/>
    <n v="0"/>
    <n v="494"/>
  </r>
  <r>
    <s v="ORD3554104"/>
    <s v="CUST0260"/>
    <x v="1"/>
    <x v="158"/>
    <d v="1899-12-30T17:17:00"/>
    <s v="Delivered"/>
    <n v="238"/>
    <n v="0"/>
    <n v="238"/>
    <n v="238"/>
  </r>
  <r>
    <s v="ORD8604021"/>
    <s v="CUST0416"/>
    <x v="1"/>
    <x v="288"/>
    <d v="1899-12-30T19:42:00"/>
    <s v="Delivered"/>
    <n v="277"/>
    <n v="0"/>
    <n v="277"/>
    <n v="277"/>
  </r>
  <r>
    <s v="ORD8221267"/>
    <s v="CUST0226"/>
    <x v="2"/>
    <x v="340"/>
    <d v="1899-12-30T20:24:00"/>
    <s v="Delivered"/>
    <n v="534"/>
    <n v="0"/>
    <n v="534"/>
    <n v="534"/>
  </r>
  <r>
    <s v="ORD7596826"/>
    <s v="CUST0070"/>
    <x v="1"/>
    <x v="126"/>
    <d v="1899-12-30T10:24:00"/>
    <s v="Cancelled"/>
    <n v="615"/>
    <n v="0"/>
    <n v="0"/>
    <n v="615"/>
  </r>
  <r>
    <s v="ORD7050186"/>
    <s v="CUST0322"/>
    <x v="0"/>
    <x v="14"/>
    <d v="1899-12-30T18:42:00"/>
    <s v="Delivered"/>
    <n v="278"/>
    <n v="0"/>
    <n v="278"/>
    <n v="278"/>
  </r>
  <r>
    <s v="ORD7669492"/>
    <s v="CUST0277"/>
    <x v="2"/>
    <x v="97"/>
    <d v="1899-12-30T16:46:00"/>
    <s v="Cancelled"/>
    <n v="911"/>
    <n v="136.65"/>
    <n v="0"/>
    <n v="911"/>
  </r>
  <r>
    <s v="ORD2395263"/>
    <s v="CUST0395"/>
    <x v="0"/>
    <x v="161"/>
    <d v="1899-12-30T10:42:00"/>
    <s v="Delivered"/>
    <n v="416"/>
    <n v="41.6"/>
    <n v="374.4"/>
    <n v="4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5">
  <r>
    <s v="ORD6443037"/>
    <s v="ITM013"/>
    <n v="3"/>
    <n v="207"/>
    <x v="0"/>
    <x v="0"/>
    <n v="21"/>
    <n v="63"/>
  </r>
  <r>
    <s v="ORD7387623"/>
    <s v="ITM015"/>
    <n v="1"/>
    <n v="149"/>
    <x v="1"/>
    <x v="1"/>
    <n v="45"/>
    <n v="45"/>
  </r>
  <r>
    <s v="ORD7387623"/>
    <s v="ITM009"/>
    <n v="1"/>
    <n v="89"/>
    <x v="2"/>
    <x v="2"/>
    <n v="27"/>
    <n v="27"/>
  </r>
  <r>
    <s v="ORD4280754"/>
    <s v="ITM009"/>
    <n v="4"/>
    <n v="356"/>
    <x v="2"/>
    <x v="2"/>
    <n v="27"/>
    <n v="108"/>
  </r>
  <r>
    <s v="ORD3283789"/>
    <s v="ITM006"/>
    <n v="1"/>
    <n v="89"/>
    <x v="3"/>
    <x v="3"/>
    <n v="27"/>
    <n v="27"/>
  </r>
  <r>
    <s v="ORD3283789"/>
    <s v="ITM026"/>
    <n v="5"/>
    <n v="395"/>
    <x v="4"/>
    <x v="4"/>
    <n v="24"/>
    <n v="120"/>
  </r>
  <r>
    <s v="ORD7309161"/>
    <s v="ITM004"/>
    <n v="2"/>
    <n v="158"/>
    <x v="5"/>
    <x v="3"/>
    <n v="24"/>
    <n v="48"/>
  </r>
  <r>
    <s v="ORD7309161"/>
    <s v="ITM017"/>
    <n v="2"/>
    <n v="298"/>
    <x v="6"/>
    <x v="1"/>
    <n v="45"/>
    <n v="90"/>
  </r>
  <r>
    <s v="ORD7309161"/>
    <s v="ITM016"/>
    <n v="2"/>
    <n v="198"/>
    <x v="7"/>
    <x v="1"/>
    <n v="30"/>
    <n v="60"/>
  </r>
  <r>
    <s v="ORD7309161"/>
    <s v="ITM012"/>
    <n v="4"/>
    <n v="356"/>
    <x v="8"/>
    <x v="0"/>
    <n v="27"/>
    <n v="108"/>
  </r>
  <r>
    <s v="ORD7864256"/>
    <s v="ITM008"/>
    <n v="1"/>
    <n v="99"/>
    <x v="9"/>
    <x v="2"/>
    <n v="30"/>
    <n v="30"/>
  </r>
  <r>
    <s v="ORD7864256"/>
    <s v="ITM009"/>
    <n v="1"/>
    <n v="89"/>
    <x v="2"/>
    <x v="2"/>
    <n v="27"/>
    <n v="27"/>
  </r>
  <r>
    <s v="ORD8017921"/>
    <s v="ITM027"/>
    <n v="2"/>
    <n v="158"/>
    <x v="10"/>
    <x v="4"/>
    <n v="24"/>
    <n v="48"/>
  </r>
  <r>
    <s v="ORD6956059"/>
    <s v="ITM019"/>
    <n v="1"/>
    <n v="149"/>
    <x v="11"/>
    <x v="1"/>
    <n v="45"/>
    <n v="45"/>
  </r>
  <r>
    <s v="ORD6956059"/>
    <s v="ITM002"/>
    <n v="3"/>
    <n v="297"/>
    <x v="12"/>
    <x v="5"/>
    <n v="30"/>
    <n v="90"/>
  </r>
  <r>
    <s v="ORD6956059"/>
    <s v="ITM028"/>
    <n v="5"/>
    <n v="245"/>
    <x v="13"/>
    <x v="4"/>
    <n v="15"/>
    <n v="75"/>
  </r>
  <r>
    <s v="ORD4708297"/>
    <s v="ITM014"/>
    <n v="2"/>
    <n v="238"/>
    <x v="14"/>
    <x v="1"/>
    <n v="36"/>
    <n v="72"/>
  </r>
  <r>
    <s v="ORD4708297"/>
    <s v="ITM019"/>
    <n v="1"/>
    <n v="149"/>
    <x v="11"/>
    <x v="1"/>
    <n v="45"/>
    <n v="45"/>
  </r>
  <r>
    <s v="ORD3376915"/>
    <s v="ITM006"/>
    <n v="2"/>
    <n v="178"/>
    <x v="3"/>
    <x v="3"/>
    <n v="27"/>
    <n v="54"/>
  </r>
  <r>
    <s v="ORD3376915"/>
    <s v="ITM014"/>
    <n v="2"/>
    <n v="238"/>
    <x v="14"/>
    <x v="1"/>
    <n v="36"/>
    <n v="72"/>
  </r>
  <r>
    <s v="ORD2930810"/>
    <s v="ITM018"/>
    <n v="1"/>
    <n v="159"/>
    <x v="15"/>
    <x v="1"/>
    <n v="48"/>
    <n v="48"/>
  </r>
  <r>
    <s v="ORD2930810"/>
    <s v="ITM019"/>
    <n v="1"/>
    <n v="149"/>
    <x v="11"/>
    <x v="1"/>
    <n v="45"/>
    <n v="45"/>
  </r>
  <r>
    <s v="ORD2930810"/>
    <s v="ITM028"/>
    <n v="1"/>
    <n v="49"/>
    <x v="13"/>
    <x v="4"/>
    <n v="15"/>
    <n v="15"/>
  </r>
  <r>
    <s v="ORD2930810"/>
    <s v="ITM005"/>
    <n v="2"/>
    <n v="198"/>
    <x v="16"/>
    <x v="3"/>
    <n v="30"/>
    <n v="60"/>
  </r>
  <r>
    <s v="ORD7636771"/>
    <s v="ITM024"/>
    <n v="1"/>
    <n v="79"/>
    <x v="17"/>
    <x v="4"/>
    <n v="24"/>
    <n v="24"/>
  </r>
  <r>
    <s v="ORD7636771"/>
    <s v="ITM014"/>
    <n v="1"/>
    <n v="119"/>
    <x v="14"/>
    <x v="1"/>
    <n v="36"/>
    <n v="36"/>
  </r>
  <r>
    <s v="ORD7636771"/>
    <s v="ITM013"/>
    <n v="1"/>
    <n v="69"/>
    <x v="0"/>
    <x v="0"/>
    <n v="21"/>
    <n v="21"/>
  </r>
  <r>
    <s v="ORD8676422"/>
    <s v="ITM016"/>
    <n v="2"/>
    <n v="198"/>
    <x v="7"/>
    <x v="1"/>
    <n v="30"/>
    <n v="60"/>
  </r>
  <r>
    <s v="ORD8676422"/>
    <s v="ITM023"/>
    <n v="2"/>
    <n v="278"/>
    <x v="18"/>
    <x v="1"/>
    <n v="42"/>
    <n v="84"/>
  </r>
  <r>
    <s v="ORD5990296"/>
    <s v="ITM007"/>
    <n v="1"/>
    <n v="79"/>
    <x v="19"/>
    <x v="2"/>
    <n v="24"/>
    <n v="24"/>
  </r>
  <r>
    <s v="ORD5990296"/>
    <s v="ITM019"/>
    <n v="1"/>
    <n v="149"/>
    <x v="11"/>
    <x v="1"/>
    <n v="45"/>
    <n v="45"/>
  </r>
  <r>
    <s v="ORD5990296"/>
    <s v="ITM010"/>
    <n v="1"/>
    <n v="59"/>
    <x v="20"/>
    <x v="0"/>
    <n v="18"/>
    <n v="18"/>
  </r>
  <r>
    <s v="ORD3906397"/>
    <s v="ITM006"/>
    <n v="3"/>
    <n v="267"/>
    <x v="3"/>
    <x v="3"/>
    <n v="27"/>
    <n v="81"/>
  </r>
  <r>
    <s v="ORD3906397"/>
    <s v="ITM009"/>
    <n v="2"/>
    <n v="178"/>
    <x v="2"/>
    <x v="2"/>
    <n v="27"/>
    <n v="54"/>
  </r>
  <r>
    <s v="ORD9479842"/>
    <s v="ITM020"/>
    <n v="1"/>
    <n v="159"/>
    <x v="21"/>
    <x v="1"/>
    <n v="48"/>
    <n v="48"/>
  </r>
  <r>
    <s v="ORD9479842"/>
    <s v="ITM015"/>
    <n v="1"/>
    <n v="149"/>
    <x v="1"/>
    <x v="1"/>
    <n v="45"/>
    <n v="45"/>
  </r>
  <r>
    <s v="ORD3822078"/>
    <s v="ITM021"/>
    <n v="2"/>
    <n v="298"/>
    <x v="22"/>
    <x v="1"/>
    <n v="45"/>
    <n v="90"/>
  </r>
  <r>
    <s v="ORD3822078"/>
    <s v="ITM015"/>
    <n v="1"/>
    <n v="149"/>
    <x v="1"/>
    <x v="1"/>
    <n v="45"/>
    <n v="45"/>
  </r>
  <r>
    <s v="ORD4666525"/>
    <s v="ITM022"/>
    <n v="3"/>
    <n v="297"/>
    <x v="23"/>
    <x v="1"/>
    <n v="30"/>
    <n v="90"/>
  </r>
  <r>
    <s v="ORD2969410"/>
    <s v="ITM019"/>
    <n v="3"/>
    <n v="447"/>
    <x v="11"/>
    <x v="1"/>
    <n v="45"/>
    <n v="135"/>
  </r>
  <r>
    <s v="ORD2969410"/>
    <s v="ITM020"/>
    <n v="2"/>
    <n v="318"/>
    <x v="21"/>
    <x v="1"/>
    <n v="48"/>
    <n v="96"/>
  </r>
  <r>
    <s v="ORD9930189"/>
    <s v="ITM006"/>
    <n v="2"/>
    <n v="178"/>
    <x v="3"/>
    <x v="3"/>
    <n v="27"/>
    <n v="54"/>
  </r>
  <r>
    <s v="ORD9930189"/>
    <s v="ITM028"/>
    <n v="4"/>
    <n v="196"/>
    <x v="13"/>
    <x v="4"/>
    <n v="15"/>
    <n v="60"/>
  </r>
  <r>
    <s v="ORD9930189"/>
    <s v="ITM009"/>
    <n v="2"/>
    <n v="178"/>
    <x v="2"/>
    <x v="2"/>
    <n v="27"/>
    <n v="54"/>
  </r>
  <r>
    <s v="ORD3128830"/>
    <s v="ITM022"/>
    <n v="3"/>
    <n v="297"/>
    <x v="23"/>
    <x v="1"/>
    <n v="30"/>
    <n v="90"/>
  </r>
  <r>
    <s v="ORD3128830"/>
    <s v="ITM020"/>
    <n v="2"/>
    <n v="318"/>
    <x v="21"/>
    <x v="1"/>
    <n v="48"/>
    <n v="96"/>
  </r>
  <r>
    <s v="ORD2561871"/>
    <s v="ITM026"/>
    <n v="1"/>
    <n v="79"/>
    <x v="4"/>
    <x v="4"/>
    <n v="24"/>
    <n v="24"/>
  </r>
  <r>
    <s v="ORD2561871"/>
    <s v="ITM009"/>
    <n v="4"/>
    <n v="356"/>
    <x v="2"/>
    <x v="2"/>
    <n v="27"/>
    <n v="108"/>
  </r>
  <r>
    <s v="ORD7009980"/>
    <s v="ITM027"/>
    <n v="2"/>
    <n v="158"/>
    <x v="10"/>
    <x v="4"/>
    <n v="24"/>
    <n v="48"/>
  </r>
  <r>
    <s v="ORD7009980"/>
    <s v="ITM022"/>
    <n v="1"/>
    <n v="99"/>
    <x v="23"/>
    <x v="1"/>
    <n v="30"/>
    <n v="30"/>
  </r>
  <r>
    <s v="ORD7009980"/>
    <s v="ITM012"/>
    <n v="1"/>
    <n v="89"/>
    <x v="8"/>
    <x v="0"/>
    <n v="27"/>
    <n v="27"/>
  </r>
  <r>
    <s v="ORD1770794"/>
    <s v="ITM001"/>
    <n v="1"/>
    <n v="79"/>
    <x v="24"/>
    <x v="5"/>
    <n v="24"/>
    <n v="24"/>
  </r>
  <r>
    <s v="ORD1770794"/>
    <s v="ITM023"/>
    <n v="2"/>
    <n v="278"/>
    <x v="18"/>
    <x v="1"/>
    <n v="42"/>
    <n v="84"/>
  </r>
  <r>
    <s v="ORD1770794"/>
    <s v="ITM026"/>
    <n v="5"/>
    <n v="395"/>
    <x v="4"/>
    <x v="4"/>
    <n v="24"/>
    <n v="120"/>
  </r>
  <r>
    <s v="ORD5597283"/>
    <s v="ITM025"/>
    <n v="1"/>
    <n v="79"/>
    <x v="25"/>
    <x v="4"/>
    <n v="24"/>
    <n v="24"/>
  </r>
  <r>
    <s v="ORD5597283"/>
    <s v="ITM008"/>
    <n v="1"/>
    <n v="99"/>
    <x v="9"/>
    <x v="2"/>
    <n v="30"/>
    <n v="30"/>
  </r>
  <r>
    <s v="ORD5597283"/>
    <s v="ITM012"/>
    <n v="1"/>
    <n v="89"/>
    <x v="8"/>
    <x v="0"/>
    <n v="27"/>
    <n v="27"/>
  </r>
  <r>
    <s v="ORD3226333"/>
    <s v="ITM001"/>
    <n v="2"/>
    <n v="158"/>
    <x v="24"/>
    <x v="5"/>
    <n v="24"/>
    <n v="48"/>
  </r>
  <r>
    <s v="ORD3226333"/>
    <s v="ITM019"/>
    <n v="3"/>
    <n v="447"/>
    <x v="11"/>
    <x v="1"/>
    <n v="45"/>
    <n v="135"/>
  </r>
  <r>
    <s v="ORD2718442"/>
    <s v="ITM024"/>
    <n v="3"/>
    <n v="237"/>
    <x v="17"/>
    <x v="4"/>
    <n v="24"/>
    <n v="72"/>
  </r>
  <r>
    <s v="ORD2718442"/>
    <s v="ITM005"/>
    <n v="3"/>
    <n v="297"/>
    <x v="16"/>
    <x v="3"/>
    <n v="30"/>
    <n v="90"/>
  </r>
  <r>
    <s v="ORD6891952"/>
    <s v="ITM005"/>
    <n v="3"/>
    <n v="297"/>
    <x v="16"/>
    <x v="3"/>
    <n v="30"/>
    <n v="90"/>
  </r>
  <r>
    <s v="ORD6891952"/>
    <s v="ITM019"/>
    <n v="1"/>
    <n v="149"/>
    <x v="11"/>
    <x v="1"/>
    <n v="45"/>
    <n v="45"/>
  </r>
  <r>
    <s v="ORD6891952"/>
    <s v="ITM013"/>
    <n v="1"/>
    <n v="69"/>
    <x v="0"/>
    <x v="0"/>
    <n v="21"/>
    <n v="21"/>
  </r>
  <r>
    <s v="ORD5646746"/>
    <s v="ITM017"/>
    <n v="1"/>
    <n v="149"/>
    <x v="6"/>
    <x v="1"/>
    <n v="45"/>
    <n v="45"/>
  </r>
  <r>
    <s v="ORD5646746"/>
    <s v="ITM020"/>
    <n v="4"/>
    <n v="636"/>
    <x v="21"/>
    <x v="1"/>
    <n v="48"/>
    <n v="192"/>
  </r>
  <r>
    <s v="ORD5958372"/>
    <s v="ITM007"/>
    <n v="1"/>
    <n v="79"/>
    <x v="19"/>
    <x v="2"/>
    <n v="24"/>
    <n v="24"/>
  </r>
  <r>
    <s v="ORD5958372"/>
    <s v="ITM022"/>
    <n v="2"/>
    <n v="198"/>
    <x v="23"/>
    <x v="1"/>
    <n v="30"/>
    <n v="60"/>
  </r>
  <r>
    <s v="ORD5958372"/>
    <s v="ITM012"/>
    <n v="1"/>
    <n v="89"/>
    <x v="8"/>
    <x v="0"/>
    <n v="27"/>
    <n v="27"/>
  </r>
  <r>
    <s v="ORD8060918"/>
    <s v="ITM006"/>
    <n v="1"/>
    <n v="89"/>
    <x v="3"/>
    <x v="3"/>
    <n v="27"/>
    <n v="27"/>
  </r>
  <r>
    <s v="ORD8060918"/>
    <s v="ITM014"/>
    <n v="2"/>
    <n v="238"/>
    <x v="14"/>
    <x v="1"/>
    <n v="36"/>
    <n v="72"/>
  </r>
  <r>
    <s v="ORD8060918"/>
    <s v="ITM028"/>
    <n v="1"/>
    <n v="49"/>
    <x v="13"/>
    <x v="4"/>
    <n v="15"/>
    <n v="15"/>
  </r>
  <r>
    <s v="ORD9406206"/>
    <s v="ITM018"/>
    <n v="2"/>
    <n v="318"/>
    <x v="15"/>
    <x v="1"/>
    <n v="48"/>
    <n v="96"/>
  </r>
  <r>
    <s v="ORD9406206"/>
    <s v="ITM013"/>
    <n v="1"/>
    <n v="69"/>
    <x v="0"/>
    <x v="0"/>
    <n v="21"/>
    <n v="21"/>
  </r>
  <r>
    <s v="ORD2109227"/>
    <s v="ITM023"/>
    <n v="1"/>
    <n v="139"/>
    <x v="18"/>
    <x v="1"/>
    <n v="42"/>
    <n v="42"/>
  </r>
  <r>
    <s v="ORD2109227"/>
    <s v="ITM002"/>
    <n v="1"/>
    <n v="99"/>
    <x v="12"/>
    <x v="5"/>
    <n v="30"/>
    <n v="30"/>
  </r>
  <r>
    <s v="ORD2109227"/>
    <s v="ITM020"/>
    <n v="2"/>
    <n v="318"/>
    <x v="21"/>
    <x v="1"/>
    <n v="48"/>
    <n v="96"/>
  </r>
  <r>
    <s v="ORD1190431"/>
    <s v="ITM011"/>
    <n v="3"/>
    <n v="237"/>
    <x v="26"/>
    <x v="0"/>
    <n v="24"/>
    <n v="72"/>
  </r>
  <r>
    <s v="ORD1190431"/>
    <s v="ITM015"/>
    <n v="1"/>
    <n v="149"/>
    <x v="1"/>
    <x v="1"/>
    <n v="45"/>
    <n v="45"/>
  </r>
  <r>
    <s v="ORD8202871"/>
    <s v="ITM027"/>
    <n v="2"/>
    <n v="158"/>
    <x v="10"/>
    <x v="4"/>
    <n v="24"/>
    <n v="48"/>
  </r>
  <r>
    <s v="ORD8202871"/>
    <s v="ITM018"/>
    <n v="2"/>
    <n v="318"/>
    <x v="15"/>
    <x v="1"/>
    <n v="48"/>
    <n v="96"/>
  </r>
  <r>
    <s v="ORD8202871"/>
    <s v="ITM008"/>
    <n v="1"/>
    <n v="99"/>
    <x v="9"/>
    <x v="2"/>
    <n v="30"/>
    <n v="30"/>
  </r>
  <r>
    <s v="ORD2934976"/>
    <s v="ITM001"/>
    <n v="1"/>
    <n v="79"/>
    <x v="24"/>
    <x v="5"/>
    <n v="24"/>
    <n v="24"/>
  </r>
  <r>
    <s v="ORD2934976"/>
    <s v="ITM023"/>
    <n v="1"/>
    <n v="139"/>
    <x v="18"/>
    <x v="1"/>
    <n v="42"/>
    <n v="42"/>
  </r>
  <r>
    <s v="ORD8035849"/>
    <s v="ITM013"/>
    <n v="1"/>
    <n v="69"/>
    <x v="0"/>
    <x v="0"/>
    <n v="21"/>
    <n v="21"/>
  </r>
  <r>
    <s v="ORD8035849"/>
    <s v="ITM020"/>
    <n v="1"/>
    <n v="159"/>
    <x v="21"/>
    <x v="1"/>
    <n v="48"/>
    <n v="48"/>
  </r>
  <r>
    <s v="ORD1770553"/>
    <s v="ITM014"/>
    <n v="1"/>
    <n v="119"/>
    <x v="14"/>
    <x v="1"/>
    <n v="36"/>
    <n v="36"/>
  </r>
  <r>
    <s v="ORD6098752"/>
    <s v="ITM011"/>
    <n v="5"/>
    <n v="395"/>
    <x v="26"/>
    <x v="0"/>
    <n v="24"/>
    <n v="120"/>
  </r>
  <r>
    <s v="ORD6098752"/>
    <s v="ITM027"/>
    <n v="3"/>
    <n v="237"/>
    <x v="10"/>
    <x v="4"/>
    <n v="24"/>
    <n v="72"/>
  </r>
  <r>
    <s v="ORD4909053"/>
    <s v="ITM024"/>
    <n v="4"/>
    <n v="316"/>
    <x v="17"/>
    <x v="4"/>
    <n v="24"/>
    <n v="96"/>
  </r>
  <r>
    <s v="ORD4909053"/>
    <s v="ITM023"/>
    <n v="1"/>
    <n v="139"/>
    <x v="18"/>
    <x v="1"/>
    <n v="42"/>
    <n v="42"/>
  </r>
  <r>
    <s v="ORD8043341"/>
    <s v="ITM027"/>
    <n v="1"/>
    <n v="79"/>
    <x v="10"/>
    <x v="4"/>
    <n v="24"/>
    <n v="24"/>
  </r>
  <r>
    <s v="ORD8043341"/>
    <s v="ITM005"/>
    <n v="3"/>
    <n v="297"/>
    <x v="16"/>
    <x v="3"/>
    <n v="30"/>
    <n v="90"/>
  </r>
  <r>
    <s v="ORD8043341"/>
    <s v="ITM002"/>
    <n v="1"/>
    <n v="99"/>
    <x v="12"/>
    <x v="5"/>
    <n v="30"/>
    <n v="30"/>
  </r>
  <r>
    <s v="ORD8043341"/>
    <s v="ITM009"/>
    <n v="4"/>
    <n v="356"/>
    <x v="2"/>
    <x v="2"/>
    <n v="27"/>
    <n v="108"/>
  </r>
  <r>
    <s v="ORD2255447"/>
    <s v="ITM007"/>
    <n v="1"/>
    <n v="79"/>
    <x v="19"/>
    <x v="2"/>
    <n v="24"/>
    <n v="24"/>
  </r>
  <r>
    <s v="ORD2255447"/>
    <s v="ITM027"/>
    <n v="1"/>
    <n v="79"/>
    <x v="10"/>
    <x v="4"/>
    <n v="24"/>
    <n v="24"/>
  </r>
  <r>
    <s v="ORD2255447"/>
    <s v="ITM014"/>
    <n v="3"/>
    <n v="357"/>
    <x v="14"/>
    <x v="1"/>
    <n v="36"/>
    <n v="108"/>
  </r>
  <r>
    <s v="ORD3283577"/>
    <s v="ITM004"/>
    <n v="1"/>
    <n v="79"/>
    <x v="5"/>
    <x v="3"/>
    <n v="24"/>
    <n v="24"/>
  </r>
  <r>
    <s v="ORD3011815"/>
    <s v="ITM022"/>
    <n v="2"/>
    <n v="198"/>
    <x v="23"/>
    <x v="1"/>
    <n v="30"/>
    <n v="60"/>
  </r>
  <r>
    <s v="ORD3011815"/>
    <s v="ITM019"/>
    <n v="1"/>
    <n v="149"/>
    <x v="11"/>
    <x v="1"/>
    <n v="45"/>
    <n v="45"/>
  </r>
  <r>
    <s v="ORD6013715"/>
    <s v="ITM006"/>
    <n v="2"/>
    <n v="178"/>
    <x v="3"/>
    <x v="3"/>
    <n v="27"/>
    <n v="54"/>
  </r>
  <r>
    <s v="ORD6013715"/>
    <s v="ITM027"/>
    <n v="1"/>
    <n v="79"/>
    <x v="10"/>
    <x v="4"/>
    <n v="24"/>
    <n v="24"/>
  </r>
  <r>
    <s v="ORD6013715"/>
    <s v="ITM023"/>
    <n v="1"/>
    <n v="139"/>
    <x v="18"/>
    <x v="1"/>
    <n v="42"/>
    <n v="42"/>
  </r>
  <r>
    <s v="ORD6013715"/>
    <s v="ITM016"/>
    <n v="3"/>
    <n v="297"/>
    <x v="7"/>
    <x v="1"/>
    <n v="30"/>
    <n v="90"/>
  </r>
  <r>
    <s v="ORD2409947"/>
    <s v="ITM003"/>
    <n v="1"/>
    <n v="119"/>
    <x v="27"/>
    <x v="5"/>
    <n v="36"/>
    <n v="36"/>
  </r>
  <r>
    <s v="ORD2409947"/>
    <s v="ITM028"/>
    <n v="2"/>
    <n v="98"/>
    <x v="13"/>
    <x v="4"/>
    <n v="15"/>
    <n v="30"/>
  </r>
  <r>
    <s v="ORD2409947"/>
    <s v="ITM025"/>
    <n v="3"/>
    <n v="237"/>
    <x v="25"/>
    <x v="4"/>
    <n v="24"/>
    <n v="72"/>
  </r>
  <r>
    <s v="ORD7626978"/>
    <s v="ITM019"/>
    <n v="1"/>
    <n v="149"/>
    <x v="11"/>
    <x v="1"/>
    <n v="45"/>
    <n v="45"/>
  </r>
  <r>
    <s v="ORD5123584"/>
    <s v="ITM024"/>
    <n v="1"/>
    <n v="79"/>
    <x v="17"/>
    <x v="4"/>
    <n v="24"/>
    <n v="24"/>
  </r>
  <r>
    <s v="ORD5123584"/>
    <s v="ITM015"/>
    <n v="1"/>
    <n v="149"/>
    <x v="1"/>
    <x v="1"/>
    <n v="45"/>
    <n v="45"/>
  </r>
  <r>
    <s v="ORD1327658"/>
    <s v="ITM011"/>
    <n v="4"/>
    <n v="316"/>
    <x v="26"/>
    <x v="0"/>
    <n v="24"/>
    <n v="96"/>
  </r>
  <r>
    <s v="ORD1327658"/>
    <s v="ITM016"/>
    <n v="2"/>
    <n v="198"/>
    <x v="7"/>
    <x v="1"/>
    <n v="30"/>
    <n v="60"/>
  </r>
  <r>
    <s v="ORD1327658"/>
    <s v="ITM015"/>
    <n v="1"/>
    <n v="149"/>
    <x v="1"/>
    <x v="1"/>
    <n v="45"/>
    <n v="45"/>
  </r>
  <r>
    <s v="ORD9882399"/>
    <s v="ITM004"/>
    <n v="2"/>
    <n v="158"/>
    <x v="5"/>
    <x v="3"/>
    <n v="24"/>
    <n v="48"/>
  </r>
  <r>
    <s v="ORD9882399"/>
    <s v="ITM027"/>
    <n v="1"/>
    <n v="79"/>
    <x v="10"/>
    <x v="4"/>
    <n v="24"/>
    <n v="24"/>
  </r>
  <r>
    <s v="ORD9882399"/>
    <s v="ITM028"/>
    <n v="3"/>
    <n v="147"/>
    <x v="13"/>
    <x v="4"/>
    <n v="15"/>
    <n v="45"/>
  </r>
  <r>
    <s v="ORD7516648"/>
    <s v="ITM006"/>
    <n v="3"/>
    <n v="267"/>
    <x v="3"/>
    <x v="3"/>
    <n v="27"/>
    <n v="81"/>
  </r>
  <r>
    <s v="ORD7516648"/>
    <s v="ITM007"/>
    <n v="1"/>
    <n v="79"/>
    <x v="19"/>
    <x v="2"/>
    <n v="24"/>
    <n v="24"/>
  </r>
  <r>
    <s v="ORD7516648"/>
    <s v="ITM028"/>
    <n v="2"/>
    <n v="98"/>
    <x v="13"/>
    <x v="4"/>
    <n v="15"/>
    <n v="30"/>
  </r>
  <r>
    <s v="ORD7516648"/>
    <s v="ITM010"/>
    <n v="2"/>
    <n v="118"/>
    <x v="20"/>
    <x v="0"/>
    <n v="18"/>
    <n v="36"/>
  </r>
  <r>
    <s v="ORD9258194"/>
    <s v="ITM004"/>
    <n v="1"/>
    <n v="79"/>
    <x v="5"/>
    <x v="3"/>
    <n v="24"/>
    <n v="24"/>
  </r>
  <r>
    <s v="ORD9258194"/>
    <s v="ITM015"/>
    <n v="1"/>
    <n v="149"/>
    <x v="1"/>
    <x v="1"/>
    <n v="45"/>
    <n v="45"/>
  </r>
  <r>
    <s v="ORD3977282"/>
    <s v="ITM005"/>
    <n v="2"/>
    <n v="198"/>
    <x v="16"/>
    <x v="3"/>
    <n v="30"/>
    <n v="60"/>
  </r>
  <r>
    <s v="ORD7636992"/>
    <s v="ITM009"/>
    <n v="1"/>
    <n v="89"/>
    <x v="2"/>
    <x v="2"/>
    <n v="27"/>
    <n v="27"/>
  </r>
  <r>
    <s v="ORD6986539"/>
    <s v="ITM022"/>
    <n v="1"/>
    <n v="99"/>
    <x v="23"/>
    <x v="1"/>
    <n v="30"/>
    <n v="30"/>
  </r>
  <r>
    <s v="ORD6986539"/>
    <s v="ITM012"/>
    <n v="1"/>
    <n v="89"/>
    <x v="8"/>
    <x v="0"/>
    <n v="27"/>
    <n v="27"/>
  </r>
  <r>
    <s v="ORD6986539"/>
    <s v="ITM020"/>
    <n v="1"/>
    <n v="159"/>
    <x v="21"/>
    <x v="1"/>
    <n v="48"/>
    <n v="48"/>
  </r>
  <r>
    <s v="ORD4706007"/>
    <s v="ITM015"/>
    <n v="1"/>
    <n v="149"/>
    <x v="1"/>
    <x v="1"/>
    <n v="45"/>
    <n v="45"/>
  </r>
  <r>
    <s v="ORD6632941"/>
    <s v="ITM007"/>
    <n v="2"/>
    <n v="158"/>
    <x v="19"/>
    <x v="2"/>
    <n v="24"/>
    <n v="48"/>
  </r>
  <r>
    <s v="ORD3790695"/>
    <s v="ITM016"/>
    <n v="1"/>
    <n v="99"/>
    <x v="7"/>
    <x v="1"/>
    <n v="30"/>
    <n v="30"/>
  </r>
  <r>
    <s v="ORD3790695"/>
    <s v="ITM012"/>
    <n v="2"/>
    <n v="178"/>
    <x v="8"/>
    <x v="0"/>
    <n v="27"/>
    <n v="54"/>
  </r>
  <r>
    <s v="ORD1560573"/>
    <s v="ITM008"/>
    <n v="1"/>
    <n v="99"/>
    <x v="9"/>
    <x v="2"/>
    <n v="30"/>
    <n v="30"/>
  </r>
  <r>
    <s v="ORD2562037"/>
    <s v="ITM018"/>
    <n v="4"/>
    <n v="636"/>
    <x v="15"/>
    <x v="1"/>
    <n v="48"/>
    <n v="192"/>
  </r>
  <r>
    <s v="ORD2562037"/>
    <s v="ITM002"/>
    <n v="1"/>
    <n v="99"/>
    <x v="12"/>
    <x v="5"/>
    <n v="30"/>
    <n v="30"/>
  </r>
  <r>
    <s v="ORD2562037"/>
    <s v="ITM015"/>
    <n v="4"/>
    <n v="596"/>
    <x v="1"/>
    <x v="1"/>
    <n v="45"/>
    <n v="180"/>
  </r>
  <r>
    <s v="ORD5450404"/>
    <s v="ITM004"/>
    <n v="2"/>
    <n v="158"/>
    <x v="5"/>
    <x v="3"/>
    <n v="24"/>
    <n v="48"/>
  </r>
  <r>
    <s v="ORD5450404"/>
    <s v="ITM012"/>
    <n v="2"/>
    <n v="178"/>
    <x v="8"/>
    <x v="0"/>
    <n v="27"/>
    <n v="54"/>
  </r>
  <r>
    <s v="ORD2627170"/>
    <s v="ITM018"/>
    <n v="2"/>
    <n v="318"/>
    <x v="15"/>
    <x v="1"/>
    <n v="48"/>
    <n v="96"/>
  </r>
  <r>
    <s v="ORD2627170"/>
    <s v="ITM028"/>
    <n v="1"/>
    <n v="49"/>
    <x v="13"/>
    <x v="4"/>
    <n v="15"/>
    <n v="15"/>
  </r>
  <r>
    <s v="ORD4101792"/>
    <s v="ITM011"/>
    <n v="1"/>
    <n v="79"/>
    <x v="26"/>
    <x v="0"/>
    <n v="24"/>
    <n v="24"/>
  </r>
  <r>
    <s v="ORD4101792"/>
    <s v="ITM014"/>
    <n v="1"/>
    <n v="119"/>
    <x v="14"/>
    <x v="1"/>
    <n v="36"/>
    <n v="36"/>
  </r>
  <r>
    <s v="ORD4101792"/>
    <s v="ITM008"/>
    <n v="1"/>
    <n v="99"/>
    <x v="9"/>
    <x v="2"/>
    <n v="30"/>
    <n v="30"/>
  </r>
  <r>
    <s v="ORD4817030"/>
    <s v="ITM012"/>
    <n v="2"/>
    <n v="178"/>
    <x v="8"/>
    <x v="0"/>
    <n v="27"/>
    <n v="54"/>
  </r>
  <r>
    <s v="ORD1582647"/>
    <s v="ITM017"/>
    <n v="1"/>
    <n v="149"/>
    <x v="6"/>
    <x v="1"/>
    <n v="45"/>
    <n v="45"/>
  </r>
  <r>
    <s v="ORD1582647"/>
    <s v="ITM028"/>
    <n v="4"/>
    <n v="196"/>
    <x v="13"/>
    <x v="4"/>
    <n v="15"/>
    <n v="60"/>
  </r>
  <r>
    <s v="ORD1582647"/>
    <s v="ITM015"/>
    <n v="1"/>
    <n v="149"/>
    <x v="1"/>
    <x v="1"/>
    <n v="45"/>
    <n v="45"/>
  </r>
  <r>
    <s v="ORD8304686"/>
    <s v="ITM018"/>
    <n v="4"/>
    <n v="636"/>
    <x v="15"/>
    <x v="1"/>
    <n v="48"/>
    <n v="192"/>
  </r>
  <r>
    <s v="ORD8304686"/>
    <s v="ITM008"/>
    <n v="1"/>
    <n v="99"/>
    <x v="9"/>
    <x v="2"/>
    <n v="30"/>
    <n v="30"/>
  </r>
  <r>
    <s v="ORD8304686"/>
    <s v="ITM025"/>
    <n v="1"/>
    <n v="79"/>
    <x v="25"/>
    <x v="4"/>
    <n v="24"/>
    <n v="24"/>
  </r>
  <r>
    <s v="ORD8304686"/>
    <s v="ITM023"/>
    <n v="1"/>
    <n v="139"/>
    <x v="18"/>
    <x v="1"/>
    <n v="42"/>
    <n v="42"/>
  </r>
  <r>
    <s v="ORD9767135"/>
    <s v="ITM005"/>
    <n v="2"/>
    <n v="198"/>
    <x v="16"/>
    <x v="3"/>
    <n v="30"/>
    <n v="60"/>
  </r>
  <r>
    <s v="ORD6769167"/>
    <s v="ITM019"/>
    <n v="2"/>
    <n v="298"/>
    <x v="11"/>
    <x v="1"/>
    <n v="45"/>
    <n v="90"/>
  </r>
  <r>
    <s v="ORD6769167"/>
    <s v="ITM017"/>
    <n v="1"/>
    <n v="149"/>
    <x v="6"/>
    <x v="1"/>
    <n v="45"/>
    <n v="45"/>
  </r>
  <r>
    <s v="ORD6561547"/>
    <s v="ITM014"/>
    <n v="1"/>
    <n v="119"/>
    <x v="14"/>
    <x v="1"/>
    <n v="36"/>
    <n v="36"/>
  </r>
  <r>
    <s v="ORD2647814"/>
    <s v="ITM027"/>
    <n v="3"/>
    <n v="237"/>
    <x v="10"/>
    <x v="4"/>
    <n v="24"/>
    <n v="72"/>
  </r>
  <r>
    <s v="ORD2647814"/>
    <s v="ITM014"/>
    <n v="1"/>
    <n v="119"/>
    <x v="14"/>
    <x v="1"/>
    <n v="36"/>
    <n v="36"/>
  </r>
  <r>
    <s v="ORD9127895"/>
    <s v="ITM022"/>
    <n v="2"/>
    <n v="198"/>
    <x v="23"/>
    <x v="1"/>
    <n v="30"/>
    <n v="60"/>
  </r>
  <r>
    <s v="ORD9127895"/>
    <s v="ITM005"/>
    <n v="1"/>
    <n v="99"/>
    <x v="16"/>
    <x v="3"/>
    <n v="30"/>
    <n v="30"/>
  </r>
  <r>
    <s v="ORD9127895"/>
    <s v="ITM009"/>
    <n v="3"/>
    <n v="267"/>
    <x v="2"/>
    <x v="2"/>
    <n v="27"/>
    <n v="81"/>
  </r>
  <r>
    <s v="ORD9127895"/>
    <s v="ITM015"/>
    <n v="3"/>
    <n v="447"/>
    <x v="1"/>
    <x v="1"/>
    <n v="45"/>
    <n v="135"/>
  </r>
  <r>
    <s v="ORD7046090"/>
    <s v="ITM022"/>
    <n v="2"/>
    <n v="198"/>
    <x v="23"/>
    <x v="1"/>
    <n v="30"/>
    <n v="60"/>
  </r>
  <r>
    <s v="ORD7046090"/>
    <s v="ITM015"/>
    <n v="1"/>
    <n v="149"/>
    <x v="1"/>
    <x v="1"/>
    <n v="45"/>
    <n v="45"/>
  </r>
  <r>
    <s v="ORD3743303"/>
    <s v="ITM019"/>
    <n v="1"/>
    <n v="149"/>
    <x v="11"/>
    <x v="1"/>
    <n v="45"/>
    <n v="45"/>
  </r>
  <r>
    <s v="ORD3743303"/>
    <s v="ITM012"/>
    <n v="2"/>
    <n v="178"/>
    <x v="8"/>
    <x v="0"/>
    <n v="27"/>
    <n v="54"/>
  </r>
  <r>
    <s v="ORD3743303"/>
    <s v="ITM009"/>
    <n v="5"/>
    <n v="445"/>
    <x v="2"/>
    <x v="2"/>
    <n v="27"/>
    <n v="135"/>
  </r>
  <r>
    <s v="ORD1149283"/>
    <s v="ITM001"/>
    <n v="3"/>
    <n v="237"/>
    <x v="24"/>
    <x v="5"/>
    <n v="24"/>
    <n v="72"/>
  </r>
  <r>
    <s v="ORD1149283"/>
    <s v="ITM018"/>
    <n v="1"/>
    <n v="159"/>
    <x v="15"/>
    <x v="1"/>
    <n v="48"/>
    <n v="48"/>
  </r>
  <r>
    <s v="ORD1149283"/>
    <s v="ITM017"/>
    <n v="5"/>
    <n v="745"/>
    <x v="6"/>
    <x v="1"/>
    <n v="45"/>
    <n v="225"/>
  </r>
  <r>
    <s v="ORD1149283"/>
    <s v="ITM008"/>
    <n v="2"/>
    <n v="198"/>
    <x v="9"/>
    <x v="2"/>
    <n v="30"/>
    <n v="60"/>
  </r>
  <r>
    <s v="ORD9734854"/>
    <s v="ITM004"/>
    <n v="2"/>
    <n v="158"/>
    <x v="5"/>
    <x v="3"/>
    <n v="24"/>
    <n v="48"/>
  </r>
  <r>
    <s v="ORD9734854"/>
    <s v="ITM015"/>
    <n v="3"/>
    <n v="447"/>
    <x v="1"/>
    <x v="1"/>
    <n v="45"/>
    <n v="135"/>
  </r>
  <r>
    <s v="ORD6641903"/>
    <s v="ITM023"/>
    <n v="4"/>
    <n v="556"/>
    <x v="18"/>
    <x v="1"/>
    <n v="42"/>
    <n v="168"/>
  </r>
  <r>
    <s v="ORD6641903"/>
    <s v="ITM008"/>
    <n v="1"/>
    <n v="99"/>
    <x v="9"/>
    <x v="2"/>
    <n v="30"/>
    <n v="30"/>
  </r>
  <r>
    <s v="ORD6641903"/>
    <s v="ITM020"/>
    <n v="1"/>
    <n v="159"/>
    <x v="21"/>
    <x v="1"/>
    <n v="48"/>
    <n v="48"/>
  </r>
  <r>
    <s v="ORD3347627"/>
    <s v="ITM008"/>
    <n v="1"/>
    <n v="99"/>
    <x v="9"/>
    <x v="2"/>
    <n v="30"/>
    <n v="30"/>
  </r>
  <r>
    <s v="ORD3347627"/>
    <s v="ITM028"/>
    <n v="1"/>
    <n v="49"/>
    <x v="13"/>
    <x v="4"/>
    <n v="15"/>
    <n v="15"/>
  </r>
  <r>
    <s v="ORD3347627"/>
    <s v="ITM013"/>
    <n v="2"/>
    <n v="138"/>
    <x v="0"/>
    <x v="0"/>
    <n v="21"/>
    <n v="42"/>
  </r>
  <r>
    <s v="ORD8981512"/>
    <s v="ITM023"/>
    <n v="3"/>
    <n v="417"/>
    <x v="18"/>
    <x v="1"/>
    <n v="42"/>
    <n v="126"/>
  </r>
  <r>
    <s v="ORD4071377"/>
    <s v="ITM007"/>
    <n v="1"/>
    <n v="79"/>
    <x v="19"/>
    <x v="2"/>
    <n v="24"/>
    <n v="24"/>
  </r>
  <r>
    <s v="ORD4071377"/>
    <s v="ITM023"/>
    <n v="4"/>
    <n v="556"/>
    <x v="18"/>
    <x v="1"/>
    <n v="42"/>
    <n v="168"/>
  </r>
  <r>
    <s v="ORD2194801"/>
    <s v="ITM009"/>
    <n v="1"/>
    <n v="89"/>
    <x v="2"/>
    <x v="2"/>
    <n v="27"/>
    <n v="27"/>
  </r>
  <r>
    <s v="ORD2194801"/>
    <s v="ITM023"/>
    <n v="3"/>
    <n v="417"/>
    <x v="18"/>
    <x v="1"/>
    <n v="42"/>
    <n v="126"/>
  </r>
  <r>
    <s v="ORD2194801"/>
    <s v="ITM012"/>
    <n v="1"/>
    <n v="89"/>
    <x v="8"/>
    <x v="0"/>
    <n v="27"/>
    <n v="27"/>
  </r>
  <r>
    <s v="ORD2194801"/>
    <s v="ITM015"/>
    <n v="1"/>
    <n v="149"/>
    <x v="1"/>
    <x v="1"/>
    <n v="45"/>
    <n v="45"/>
  </r>
  <r>
    <s v="ORD4025884"/>
    <s v="ITM006"/>
    <n v="2"/>
    <n v="178"/>
    <x v="3"/>
    <x v="3"/>
    <n v="27"/>
    <n v="54"/>
  </r>
  <r>
    <s v="ORD4025884"/>
    <s v="ITM018"/>
    <n v="1"/>
    <n v="159"/>
    <x v="15"/>
    <x v="1"/>
    <n v="48"/>
    <n v="48"/>
  </r>
  <r>
    <s v="ORD2477088"/>
    <s v="ITM027"/>
    <n v="1"/>
    <n v="79"/>
    <x v="10"/>
    <x v="4"/>
    <n v="24"/>
    <n v="24"/>
  </r>
  <r>
    <s v="ORD2477088"/>
    <s v="ITM018"/>
    <n v="1"/>
    <n v="159"/>
    <x v="15"/>
    <x v="1"/>
    <n v="48"/>
    <n v="48"/>
  </r>
  <r>
    <s v="ORD2477088"/>
    <s v="ITM013"/>
    <n v="1"/>
    <n v="69"/>
    <x v="0"/>
    <x v="0"/>
    <n v="21"/>
    <n v="21"/>
  </r>
  <r>
    <s v="ORD5174559"/>
    <s v="ITM011"/>
    <n v="2"/>
    <n v="158"/>
    <x v="26"/>
    <x v="0"/>
    <n v="24"/>
    <n v="48"/>
  </r>
  <r>
    <s v="ORD5174559"/>
    <s v="ITM005"/>
    <n v="1"/>
    <n v="99"/>
    <x v="16"/>
    <x v="3"/>
    <n v="30"/>
    <n v="30"/>
  </r>
  <r>
    <s v="ORD5174559"/>
    <s v="ITM012"/>
    <n v="3"/>
    <n v="267"/>
    <x v="8"/>
    <x v="0"/>
    <n v="27"/>
    <n v="81"/>
  </r>
  <r>
    <s v="ORD3244614"/>
    <s v="ITM021"/>
    <n v="3"/>
    <n v="447"/>
    <x v="22"/>
    <x v="1"/>
    <n v="45"/>
    <n v="135"/>
  </r>
  <r>
    <s v="ORD3244614"/>
    <s v="ITM005"/>
    <n v="1"/>
    <n v="99"/>
    <x v="16"/>
    <x v="3"/>
    <n v="30"/>
    <n v="30"/>
  </r>
  <r>
    <s v="ORD3244614"/>
    <s v="ITM025"/>
    <n v="1"/>
    <n v="79"/>
    <x v="25"/>
    <x v="4"/>
    <n v="24"/>
    <n v="24"/>
  </r>
  <r>
    <s v="ORD3244614"/>
    <s v="ITM015"/>
    <n v="5"/>
    <n v="745"/>
    <x v="1"/>
    <x v="1"/>
    <n v="45"/>
    <n v="225"/>
  </r>
  <r>
    <s v="ORD1626854"/>
    <s v="ITM016"/>
    <n v="2"/>
    <n v="198"/>
    <x v="7"/>
    <x v="1"/>
    <n v="30"/>
    <n v="60"/>
  </r>
  <r>
    <s v="ORD1626854"/>
    <s v="ITM002"/>
    <n v="2"/>
    <n v="198"/>
    <x v="12"/>
    <x v="5"/>
    <n v="30"/>
    <n v="60"/>
  </r>
  <r>
    <s v="ORD1626854"/>
    <s v="ITM008"/>
    <n v="1"/>
    <n v="99"/>
    <x v="9"/>
    <x v="2"/>
    <n v="30"/>
    <n v="30"/>
  </r>
  <r>
    <s v="ORD1626854"/>
    <s v="ITM028"/>
    <n v="2"/>
    <n v="98"/>
    <x v="13"/>
    <x v="4"/>
    <n v="15"/>
    <n v="30"/>
  </r>
  <r>
    <s v="ORD1156104"/>
    <s v="ITM004"/>
    <n v="2"/>
    <n v="158"/>
    <x v="5"/>
    <x v="3"/>
    <n v="24"/>
    <n v="48"/>
  </r>
  <r>
    <s v="ORD1156104"/>
    <s v="ITM016"/>
    <n v="2"/>
    <n v="198"/>
    <x v="7"/>
    <x v="1"/>
    <n v="30"/>
    <n v="60"/>
  </r>
  <r>
    <s v="ORD2782809"/>
    <s v="ITM006"/>
    <n v="2"/>
    <n v="178"/>
    <x v="3"/>
    <x v="3"/>
    <n v="27"/>
    <n v="54"/>
  </r>
  <r>
    <s v="ORD2782809"/>
    <s v="ITM008"/>
    <n v="1"/>
    <n v="99"/>
    <x v="9"/>
    <x v="2"/>
    <n v="30"/>
    <n v="30"/>
  </r>
  <r>
    <s v="ORD9064202"/>
    <s v="ITM001"/>
    <n v="1"/>
    <n v="79"/>
    <x v="24"/>
    <x v="5"/>
    <n v="24"/>
    <n v="24"/>
  </r>
  <r>
    <s v="ORD9064202"/>
    <s v="ITM003"/>
    <n v="2"/>
    <n v="238"/>
    <x v="27"/>
    <x v="5"/>
    <n v="36"/>
    <n v="72"/>
  </r>
  <r>
    <s v="ORD5293157"/>
    <s v="ITM008"/>
    <n v="1"/>
    <n v="99"/>
    <x v="9"/>
    <x v="2"/>
    <n v="30"/>
    <n v="30"/>
  </r>
  <r>
    <s v="ORD5293157"/>
    <s v="ITM028"/>
    <n v="3"/>
    <n v="147"/>
    <x v="13"/>
    <x v="4"/>
    <n v="15"/>
    <n v="45"/>
  </r>
  <r>
    <s v="ORD2593809"/>
    <s v="ITM005"/>
    <n v="2"/>
    <n v="198"/>
    <x v="16"/>
    <x v="3"/>
    <n v="30"/>
    <n v="60"/>
  </r>
  <r>
    <s v="ORD7251562"/>
    <s v="ITM027"/>
    <n v="1"/>
    <n v="79"/>
    <x v="10"/>
    <x v="4"/>
    <n v="24"/>
    <n v="24"/>
  </r>
  <r>
    <s v="ORD7251562"/>
    <s v="ITM012"/>
    <n v="1"/>
    <n v="89"/>
    <x v="8"/>
    <x v="0"/>
    <n v="27"/>
    <n v="27"/>
  </r>
  <r>
    <s v="ORD1983923"/>
    <s v="ITM025"/>
    <n v="2"/>
    <n v="158"/>
    <x v="25"/>
    <x v="4"/>
    <n v="24"/>
    <n v="48"/>
  </r>
  <r>
    <s v="ORD3192032"/>
    <s v="ITM004"/>
    <n v="1"/>
    <n v="79"/>
    <x v="5"/>
    <x v="3"/>
    <n v="24"/>
    <n v="24"/>
  </r>
  <r>
    <s v="ORD3192032"/>
    <s v="ITM008"/>
    <n v="2"/>
    <n v="198"/>
    <x v="9"/>
    <x v="2"/>
    <n v="30"/>
    <n v="60"/>
  </r>
  <r>
    <s v="ORD3192032"/>
    <s v="ITM002"/>
    <n v="2"/>
    <n v="198"/>
    <x v="12"/>
    <x v="5"/>
    <n v="30"/>
    <n v="60"/>
  </r>
  <r>
    <s v="ORD3192032"/>
    <s v="ITM013"/>
    <n v="3"/>
    <n v="207"/>
    <x v="0"/>
    <x v="0"/>
    <n v="21"/>
    <n v="63"/>
  </r>
  <r>
    <s v="ORD2597897"/>
    <s v="ITM011"/>
    <n v="1"/>
    <n v="79"/>
    <x v="26"/>
    <x v="0"/>
    <n v="24"/>
    <n v="24"/>
  </r>
  <r>
    <s v="ORD2597897"/>
    <s v="ITM019"/>
    <n v="3"/>
    <n v="447"/>
    <x v="11"/>
    <x v="1"/>
    <n v="45"/>
    <n v="135"/>
  </r>
  <r>
    <s v="ORD2597897"/>
    <s v="ITM008"/>
    <n v="2"/>
    <n v="198"/>
    <x v="9"/>
    <x v="2"/>
    <n v="30"/>
    <n v="60"/>
  </r>
  <r>
    <s v="ORD9318729"/>
    <s v="ITM015"/>
    <n v="1"/>
    <n v="149"/>
    <x v="1"/>
    <x v="1"/>
    <n v="45"/>
    <n v="45"/>
  </r>
  <r>
    <s v="ORD2322557"/>
    <s v="ITM003"/>
    <n v="2"/>
    <n v="238"/>
    <x v="27"/>
    <x v="5"/>
    <n v="36"/>
    <n v="72"/>
  </r>
  <r>
    <s v="ORD2322557"/>
    <s v="ITM017"/>
    <n v="1"/>
    <n v="149"/>
    <x v="6"/>
    <x v="1"/>
    <n v="45"/>
    <n v="45"/>
  </r>
  <r>
    <s v="ORD1002847"/>
    <s v="ITM027"/>
    <n v="2"/>
    <n v="158"/>
    <x v="10"/>
    <x v="4"/>
    <n v="24"/>
    <n v="48"/>
  </r>
  <r>
    <s v="ORD1002847"/>
    <s v="ITM018"/>
    <n v="2"/>
    <n v="318"/>
    <x v="15"/>
    <x v="1"/>
    <n v="48"/>
    <n v="96"/>
  </r>
  <r>
    <s v="ORD1002847"/>
    <s v="ITM024"/>
    <n v="2"/>
    <n v="158"/>
    <x v="17"/>
    <x v="4"/>
    <n v="24"/>
    <n v="48"/>
  </r>
  <r>
    <s v="ORD8937865"/>
    <s v="ITM004"/>
    <n v="1"/>
    <n v="79"/>
    <x v="5"/>
    <x v="3"/>
    <n v="24"/>
    <n v="24"/>
  </r>
  <r>
    <s v="ORD8937865"/>
    <s v="ITM021"/>
    <n v="3"/>
    <n v="447"/>
    <x v="22"/>
    <x v="1"/>
    <n v="45"/>
    <n v="135"/>
  </r>
  <r>
    <s v="ORD8937865"/>
    <s v="ITM007"/>
    <n v="5"/>
    <n v="395"/>
    <x v="19"/>
    <x v="2"/>
    <n v="24"/>
    <n v="120"/>
  </r>
  <r>
    <s v="ORD7865417"/>
    <s v="ITM006"/>
    <n v="3"/>
    <n v="267"/>
    <x v="3"/>
    <x v="3"/>
    <n v="27"/>
    <n v="81"/>
  </r>
  <r>
    <s v="ORD7865417"/>
    <s v="ITM004"/>
    <n v="1"/>
    <n v="79"/>
    <x v="5"/>
    <x v="3"/>
    <n v="24"/>
    <n v="24"/>
  </r>
  <r>
    <s v="ORD3067274"/>
    <s v="ITM017"/>
    <n v="5"/>
    <n v="745"/>
    <x v="6"/>
    <x v="1"/>
    <n v="45"/>
    <n v="225"/>
  </r>
  <r>
    <s v="ORD3067274"/>
    <s v="ITM015"/>
    <n v="1"/>
    <n v="149"/>
    <x v="1"/>
    <x v="1"/>
    <n v="45"/>
    <n v="45"/>
  </r>
  <r>
    <s v="ORD3972963"/>
    <s v="ITM004"/>
    <n v="2"/>
    <n v="158"/>
    <x v="5"/>
    <x v="3"/>
    <n v="24"/>
    <n v="48"/>
  </r>
  <r>
    <s v="ORD3972963"/>
    <s v="ITM022"/>
    <n v="2"/>
    <n v="198"/>
    <x v="23"/>
    <x v="1"/>
    <n v="30"/>
    <n v="60"/>
  </r>
  <r>
    <s v="ORD5590177"/>
    <s v="ITM027"/>
    <n v="2"/>
    <n v="158"/>
    <x v="10"/>
    <x v="4"/>
    <n v="24"/>
    <n v="48"/>
  </r>
  <r>
    <s v="ORD5590177"/>
    <s v="ITM014"/>
    <n v="3"/>
    <n v="357"/>
    <x v="14"/>
    <x v="1"/>
    <n v="36"/>
    <n v="108"/>
  </r>
  <r>
    <s v="ORD5590177"/>
    <s v="ITM005"/>
    <n v="1"/>
    <n v="99"/>
    <x v="16"/>
    <x v="3"/>
    <n v="30"/>
    <n v="30"/>
  </r>
  <r>
    <s v="ORD5590177"/>
    <s v="ITM013"/>
    <n v="2"/>
    <n v="138"/>
    <x v="0"/>
    <x v="0"/>
    <n v="21"/>
    <n v="42"/>
  </r>
  <r>
    <s v="ORD5875114"/>
    <s v="ITM006"/>
    <n v="2"/>
    <n v="178"/>
    <x v="3"/>
    <x v="3"/>
    <n v="27"/>
    <n v="54"/>
  </r>
  <r>
    <s v="ORD5875114"/>
    <s v="ITM027"/>
    <n v="2"/>
    <n v="158"/>
    <x v="10"/>
    <x v="4"/>
    <n v="24"/>
    <n v="48"/>
  </r>
  <r>
    <s v="ORD5875114"/>
    <s v="ITM005"/>
    <n v="2"/>
    <n v="198"/>
    <x v="16"/>
    <x v="3"/>
    <n v="30"/>
    <n v="60"/>
  </r>
  <r>
    <s v="ORD5875114"/>
    <s v="ITM020"/>
    <n v="3"/>
    <n v="477"/>
    <x v="21"/>
    <x v="1"/>
    <n v="48"/>
    <n v="144"/>
  </r>
  <r>
    <s v="ORD9957402"/>
    <s v="ITM001"/>
    <n v="1"/>
    <n v="79"/>
    <x v="24"/>
    <x v="5"/>
    <n v="24"/>
    <n v="24"/>
  </r>
  <r>
    <s v="ORD9957402"/>
    <s v="ITM013"/>
    <n v="1"/>
    <n v="69"/>
    <x v="0"/>
    <x v="0"/>
    <n v="21"/>
    <n v="21"/>
  </r>
  <r>
    <s v="ORD9957402"/>
    <s v="ITM012"/>
    <n v="1"/>
    <n v="89"/>
    <x v="8"/>
    <x v="0"/>
    <n v="27"/>
    <n v="27"/>
  </r>
  <r>
    <s v="ORD9957402"/>
    <s v="ITM004"/>
    <n v="3"/>
    <n v="237"/>
    <x v="5"/>
    <x v="3"/>
    <n v="24"/>
    <n v="72"/>
  </r>
  <r>
    <s v="ORD1542011"/>
    <s v="ITM004"/>
    <n v="3"/>
    <n v="237"/>
    <x v="5"/>
    <x v="3"/>
    <n v="24"/>
    <n v="72"/>
  </r>
  <r>
    <s v="ORD1542011"/>
    <s v="ITM023"/>
    <n v="2"/>
    <n v="278"/>
    <x v="18"/>
    <x v="1"/>
    <n v="42"/>
    <n v="84"/>
  </r>
  <r>
    <s v="ORD1542011"/>
    <s v="ITM020"/>
    <n v="1"/>
    <n v="159"/>
    <x v="21"/>
    <x v="1"/>
    <n v="48"/>
    <n v="48"/>
  </r>
  <r>
    <s v="ORD7988821"/>
    <s v="ITM006"/>
    <n v="3"/>
    <n v="267"/>
    <x v="3"/>
    <x v="3"/>
    <n v="27"/>
    <n v="81"/>
  </r>
  <r>
    <s v="ORD7988821"/>
    <s v="ITM021"/>
    <n v="1"/>
    <n v="149"/>
    <x v="22"/>
    <x v="1"/>
    <n v="45"/>
    <n v="45"/>
  </r>
  <r>
    <s v="ORD7988821"/>
    <s v="ITM002"/>
    <n v="1"/>
    <n v="99"/>
    <x v="12"/>
    <x v="5"/>
    <n v="30"/>
    <n v="30"/>
  </r>
  <r>
    <s v="ORD7988821"/>
    <s v="ITM023"/>
    <n v="2"/>
    <n v="278"/>
    <x v="18"/>
    <x v="1"/>
    <n v="42"/>
    <n v="84"/>
  </r>
  <r>
    <s v="ORD4246352"/>
    <s v="ITM003"/>
    <n v="5"/>
    <n v="595"/>
    <x v="27"/>
    <x v="5"/>
    <n v="36"/>
    <n v="180"/>
  </r>
  <r>
    <s v="ORD4246352"/>
    <s v="ITM028"/>
    <n v="3"/>
    <n v="147"/>
    <x v="13"/>
    <x v="4"/>
    <n v="15"/>
    <n v="45"/>
  </r>
  <r>
    <s v="ORD1094709"/>
    <s v="ITM002"/>
    <n v="4"/>
    <n v="396"/>
    <x v="12"/>
    <x v="5"/>
    <n v="30"/>
    <n v="120"/>
  </r>
  <r>
    <s v="ORD1094709"/>
    <s v="ITM026"/>
    <n v="2"/>
    <n v="158"/>
    <x v="4"/>
    <x v="4"/>
    <n v="24"/>
    <n v="48"/>
  </r>
  <r>
    <s v="ORD7007679"/>
    <s v="ITM007"/>
    <n v="1"/>
    <n v="79"/>
    <x v="19"/>
    <x v="2"/>
    <n v="24"/>
    <n v="24"/>
  </r>
  <r>
    <s v="ORD7007679"/>
    <s v="ITM006"/>
    <n v="2"/>
    <n v="178"/>
    <x v="3"/>
    <x v="3"/>
    <n v="27"/>
    <n v="54"/>
  </r>
  <r>
    <s v="ORD7007679"/>
    <s v="ITM010"/>
    <n v="1"/>
    <n v="59"/>
    <x v="20"/>
    <x v="0"/>
    <n v="18"/>
    <n v="18"/>
  </r>
  <r>
    <s v="ORD5925360"/>
    <s v="ITM014"/>
    <n v="2"/>
    <n v="238"/>
    <x v="14"/>
    <x v="1"/>
    <n v="36"/>
    <n v="72"/>
  </r>
  <r>
    <s v="ORD5925360"/>
    <s v="ITM021"/>
    <n v="1"/>
    <n v="149"/>
    <x v="22"/>
    <x v="1"/>
    <n v="45"/>
    <n v="45"/>
  </r>
  <r>
    <s v="ORD5925360"/>
    <s v="ITM018"/>
    <n v="1"/>
    <n v="159"/>
    <x v="15"/>
    <x v="1"/>
    <n v="48"/>
    <n v="48"/>
  </r>
  <r>
    <s v="ORD5925360"/>
    <s v="ITM016"/>
    <n v="1"/>
    <n v="99"/>
    <x v="7"/>
    <x v="1"/>
    <n v="30"/>
    <n v="30"/>
  </r>
  <r>
    <s v="ORD2902100"/>
    <s v="ITM001"/>
    <n v="2"/>
    <n v="158"/>
    <x v="24"/>
    <x v="5"/>
    <n v="24"/>
    <n v="48"/>
  </r>
  <r>
    <s v="ORD2902100"/>
    <s v="ITM020"/>
    <n v="3"/>
    <n v="477"/>
    <x v="21"/>
    <x v="1"/>
    <n v="48"/>
    <n v="144"/>
  </r>
  <r>
    <s v="ORD9621722"/>
    <s v="ITM016"/>
    <n v="1"/>
    <n v="99"/>
    <x v="7"/>
    <x v="1"/>
    <n v="30"/>
    <n v="30"/>
  </r>
  <r>
    <s v="ORD9621722"/>
    <s v="ITM027"/>
    <n v="2"/>
    <n v="158"/>
    <x v="10"/>
    <x v="4"/>
    <n v="24"/>
    <n v="48"/>
  </r>
  <r>
    <s v="ORD9621722"/>
    <s v="ITM005"/>
    <n v="3"/>
    <n v="297"/>
    <x v="16"/>
    <x v="3"/>
    <n v="30"/>
    <n v="90"/>
  </r>
  <r>
    <s v="ORD9621722"/>
    <s v="ITM001"/>
    <n v="3"/>
    <n v="237"/>
    <x v="24"/>
    <x v="5"/>
    <n v="24"/>
    <n v="72"/>
  </r>
  <r>
    <s v="ORD2209981"/>
    <s v="ITM020"/>
    <n v="1"/>
    <n v="159"/>
    <x v="21"/>
    <x v="1"/>
    <n v="48"/>
    <n v="48"/>
  </r>
  <r>
    <s v="ORD7838943"/>
    <s v="ITM013"/>
    <n v="1"/>
    <n v="69"/>
    <x v="0"/>
    <x v="0"/>
    <n v="21"/>
    <n v="21"/>
  </r>
  <r>
    <s v="ORD7838943"/>
    <s v="ITM010"/>
    <n v="1"/>
    <n v="59"/>
    <x v="20"/>
    <x v="0"/>
    <n v="18"/>
    <n v="18"/>
  </r>
  <r>
    <s v="ORD2217848"/>
    <s v="ITM004"/>
    <n v="3"/>
    <n v="237"/>
    <x v="5"/>
    <x v="3"/>
    <n v="24"/>
    <n v="72"/>
  </r>
  <r>
    <s v="ORD2217848"/>
    <s v="ITM003"/>
    <n v="1"/>
    <n v="119"/>
    <x v="27"/>
    <x v="5"/>
    <n v="36"/>
    <n v="36"/>
  </r>
  <r>
    <s v="ORD2217848"/>
    <s v="ITM021"/>
    <n v="1"/>
    <n v="149"/>
    <x v="22"/>
    <x v="1"/>
    <n v="45"/>
    <n v="45"/>
  </r>
  <r>
    <s v="ORD2217848"/>
    <s v="ITM009"/>
    <n v="2"/>
    <n v="178"/>
    <x v="2"/>
    <x v="2"/>
    <n v="27"/>
    <n v="54"/>
  </r>
  <r>
    <s v="ORD5948917"/>
    <s v="ITM024"/>
    <n v="3"/>
    <n v="237"/>
    <x v="17"/>
    <x v="4"/>
    <n v="24"/>
    <n v="72"/>
  </r>
  <r>
    <s v="ORD5948917"/>
    <s v="ITM027"/>
    <n v="2"/>
    <n v="158"/>
    <x v="10"/>
    <x v="4"/>
    <n v="24"/>
    <n v="48"/>
  </r>
  <r>
    <s v="ORD7611593"/>
    <s v="ITM007"/>
    <n v="2"/>
    <n v="158"/>
    <x v="19"/>
    <x v="2"/>
    <n v="24"/>
    <n v="48"/>
  </r>
  <r>
    <s v="ORD7611593"/>
    <s v="ITM003"/>
    <n v="1"/>
    <n v="119"/>
    <x v="27"/>
    <x v="5"/>
    <n v="36"/>
    <n v="36"/>
  </r>
  <r>
    <s v="ORD7611593"/>
    <s v="ITM020"/>
    <n v="4"/>
    <n v="636"/>
    <x v="21"/>
    <x v="1"/>
    <n v="48"/>
    <n v="192"/>
  </r>
  <r>
    <s v="ORD4042682"/>
    <s v="ITM014"/>
    <n v="2"/>
    <n v="238"/>
    <x v="14"/>
    <x v="1"/>
    <n v="36"/>
    <n v="72"/>
  </r>
  <r>
    <s v="ORD4042682"/>
    <s v="ITM023"/>
    <n v="1"/>
    <n v="139"/>
    <x v="18"/>
    <x v="1"/>
    <n v="42"/>
    <n v="42"/>
  </r>
  <r>
    <s v="ORD4042682"/>
    <s v="ITM028"/>
    <n v="1"/>
    <n v="49"/>
    <x v="13"/>
    <x v="4"/>
    <n v="15"/>
    <n v="15"/>
  </r>
  <r>
    <s v="ORD4042682"/>
    <s v="ITM026"/>
    <n v="1"/>
    <n v="79"/>
    <x v="4"/>
    <x v="4"/>
    <n v="24"/>
    <n v="24"/>
  </r>
  <r>
    <s v="ORD5783807"/>
    <s v="ITM006"/>
    <n v="2"/>
    <n v="178"/>
    <x v="3"/>
    <x v="3"/>
    <n v="27"/>
    <n v="54"/>
  </r>
  <r>
    <s v="ORD6307189"/>
    <s v="ITM021"/>
    <n v="2"/>
    <n v="298"/>
    <x v="22"/>
    <x v="1"/>
    <n v="45"/>
    <n v="90"/>
  </r>
  <r>
    <s v="ORD6307189"/>
    <s v="ITM010"/>
    <n v="2"/>
    <n v="118"/>
    <x v="20"/>
    <x v="0"/>
    <n v="18"/>
    <n v="36"/>
  </r>
  <r>
    <s v="ORD7018685"/>
    <s v="ITM004"/>
    <n v="1"/>
    <n v="79"/>
    <x v="5"/>
    <x v="3"/>
    <n v="24"/>
    <n v="24"/>
  </r>
  <r>
    <s v="ORD7018685"/>
    <s v="ITM018"/>
    <n v="1"/>
    <n v="159"/>
    <x v="15"/>
    <x v="1"/>
    <n v="48"/>
    <n v="48"/>
  </r>
  <r>
    <s v="ORD2265001"/>
    <s v="ITM022"/>
    <n v="1"/>
    <n v="99"/>
    <x v="23"/>
    <x v="1"/>
    <n v="30"/>
    <n v="30"/>
  </r>
  <r>
    <s v="ORD2265001"/>
    <s v="ITM018"/>
    <n v="1"/>
    <n v="159"/>
    <x v="15"/>
    <x v="1"/>
    <n v="48"/>
    <n v="48"/>
  </r>
  <r>
    <s v="ORD2265001"/>
    <s v="ITM017"/>
    <n v="1"/>
    <n v="149"/>
    <x v="6"/>
    <x v="1"/>
    <n v="45"/>
    <n v="45"/>
  </r>
  <r>
    <s v="ORD2265001"/>
    <s v="ITM021"/>
    <n v="4"/>
    <n v="596"/>
    <x v="22"/>
    <x v="1"/>
    <n v="45"/>
    <n v="180"/>
  </r>
  <r>
    <s v="ORD5882155"/>
    <s v="ITM012"/>
    <n v="2"/>
    <n v="178"/>
    <x v="8"/>
    <x v="0"/>
    <n v="27"/>
    <n v="54"/>
  </r>
  <r>
    <s v="ORD5882155"/>
    <s v="ITM015"/>
    <n v="2"/>
    <n v="298"/>
    <x v="1"/>
    <x v="1"/>
    <n v="45"/>
    <n v="90"/>
  </r>
  <r>
    <s v="ORD3671308"/>
    <s v="ITM023"/>
    <n v="3"/>
    <n v="417"/>
    <x v="18"/>
    <x v="1"/>
    <n v="42"/>
    <n v="126"/>
  </r>
  <r>
    <s v="ORD3671308"/>
    <s v="ITM005"/>
    <n v="4"/>
    <n v="396"/>
    <x v="16"/>
    <x v="3"/>
    <n v="30"/>
    <n v="120"/>
  </r>
  <r>
    <s v="ORD3671308"/>
    <s v="ITM017"/>
    <n v="1"/>
    <n v="149"/>
    <x v="6"/>
    <x v="1"/>
    <n v="45"/>
    <n v="45"/>
  </r>
  <r>
    <s v="ORD7060792"/>
    <s v="ITM014"/>
    <n v="5"/>
    <n v="595"/>
    <x v="14"/>
    <x v="1"/>
    <n v="36"/>
    <n v="180"/>
  </r>
  <r>
    <s v="ORD7060792"/>
    <s v="ITM002"/>
    <n v="1"/>
    <n v="99"/>
    <x v="12"/>
    <x v="5"/>
    <n v="30"/>
    <n v="30"/>
  </r>
  <r>
    <s v="ORD7319298"/>
    <s v="ITM018"/>
    <n v="2"/>
    <n v="318"/>
    <x v="15"/>
    <x v="1"/>
    <n v="48"/>
    <n v="96"/>
  </r>
  <r>
    <s v="ORD7319298"/>
    <s v="ITM023"/>
    <n v="1"/>
    <n v="139"/>
    <x v="18"/>
    <x v="1"/>
    <n v="42"/>
    <n v="42"/>
  </r>
  <r>
    <s v="ORD1110690"/>
    <s v="ITM007"/>
    <n v="1"/>
    <n v="79"/>
    <x v="19"/>
    <x v="2"/>
    <n v="24"/>
    <n v="24"/>
  </r>
  <r>
    <s v="ORD1110690"/>
    <s v="ITM009"/>
    <n v="1"/>
    <n v="89"/>
    <x v="2"/>
    <x v="2"/>
    <n v="27"/>
    <n v="27"/>
  </r>
  <r>
    <s v="ORD1110690"/>
    <s v="ITM014"/>
    <n v="2"/>
    <n v="238"/>
    <x v="14"/>
    <x v="1"/>
    <n v="36"/>
    <n v="72"/>
  </r>
  <r>
    <s v="ORD1110690"/>
    <s v="ITM015"/>
    <n v="3"/>
    <n v="447"/>
    <x v="1"/>
    <x v="1"/>
    <n v="45"/>
    <n v="135"/>
  </r>
  <r>
    <s v="ORD4535025"/>
    <s v="ITM001"/>
    <n v="1"/>
    <n v="79"/>
    <x v="24"/>
    <x v="5"/>
    <n v="24"/>
    <n v="24"/>
  </r>
  <r>
    <s v="ORD4535025"/>
    <s v="ITM023"/>
    <n v="2"/>
    <n v="278"/>
    <x v="18"/>
    <x v="1"/>
    <n v="42"/>
    <n v="84"/>
  </r>
  <r>
    <s v="ORD4020528"/>
    <s v="ITM016"/>
    <n v="2"/>
    <n v="198"/>
    <x v="7"/>
    <x v="1"/>
    <n v="30"/>
    <n v="60"/>
  </r>
  <r>
    <s v="ORD4020528"/>
    <s v="ITM017"/>
    <n v="1"/>
    <n v="149"/>
    <x v="6"/>
    <x v="1"/>
    <n v="45"/>
    <n v="45"/>
  </r>
  <r>
    <s v="ORD4020528"/>
    <s v="ITM020"/>
    <n v="1"/>
    <n v="159"/>
    <x v="21"/>
    <x v="1"/>
    <n v="48"/>
    <n v="48"/>
  </r>
  <r>
    <s v="ORD4020528"/>
    <s v="ITM001"/>
    <n v="1"/>
    <n v="79"/>
    <x v="24"/>
    <x v="5"/>
    <n v="24"/>
    <n v="24"/>
  </r>
  <r>
    <s v="ORD4051509"/>
    <s v="ITM011"/>
    <n v="2"/>
    <n v="158"/>
    <x v="26"/>
    <x v="0"/>
    <n v="24"/>
    <n v="48"/>
  </r>
  <r>
    <s v="ORD4051509"/>
    <s v="ITM008"/>
    <n v="2"/>
    <n v="198"/>
    <x v="9"/>
    <x v="2"/>
    <n v="30"/>
    <n v="60"/>
  </r>
  <r>
    <s v="ORD4051509"/>
    <s v="ITM020"/>
    <n v="1"/>
    <n v="159"/>
    <x v="21"/>
    <x v="1"/>
    <n v="48"/>
    <n v="48"/>
  </r>
  <r>
    <s v="ORD8042991"/>
    <s v="ITM006"/>
    <n v="3"/>
    <n v="267"/>
    <x v="3"/>
    <x v="3"/>
    <n v="27"/>
    <n v="81"/>
  </r>
  <r>
    <s v="ORD8042991"/>
    <s v="ITM017"/>
    <n v="2"/>
    <n v="298"/>
    <x v="6"/>
    <x v="1"/>
    <n v="45"/>
    <n v="90"/>
  </r>
  <r>
    <s v="ORD8042991"/>
    <s v="ITM025"/>
    <n v="3"/>
    <n v="237"/>
    <x v="25"/>
    <x v="4"/>
    <n v="24"/>
    <n v="72"/>
  </r>
  <r>
    <s v="ORD8239315"/>
    <s v="ITM023"/>
    <n v="1"/>
    <n v="139"/>
    <x v="18"/>
    <x v="1"/>
    <n v="42"/>
    <n v="42"/>
  </r>
  <r>
    <s v="ORD8239315"/>
    <s v="ITM019"/>
    <n v="4"/>
    <n v="596"/>
    <x v="11"/>
    <x v="1"/>
    <n v="45"/>
    <n v="180"/>
  </r>
  <r>
    <s v="ORD2639417"/>
    <s v="ITM007"/>
    <n v="3"/>
    <n v="237"/>
    <x v="19"/>
    <x v="2"/>
    <n v="24"/>
    <n v="72"/>
  </r>
  <r>
    <s v="ORD2639417"/>
    <s v="ITM015"/>
    <n v="1"/>
    <n v="149"/>
    <x v="1"/>
    <x v="1"/>
    <n v="45"/>
    <n v="45"/>
  </r>
  <r>
    <s v="ORD9766777"/>
    <s v="ITM006"/>
    <n v="3"/>
    <n v="267"/>
    <x v="3"/>
    <x v="3"/>
    <n v="27"/>
    <n v="81"/>
  </r>
  <r>
    <s v="ORD9766777"/>
    <s v="ITM012"/>
    <n v="1"/>
    <n v="89"/>
    <x v="8"/>
    <x v="0"/>
    <n v="27"/>
    <n v="27"/>
  </r>
  <r>
    <s v="ORD5623138"/>
    <s v="ITM021"/>
    <n v="1"/>
    <n v="149"/>
    <x v="22"/>
    <x v="1"/>
    <n v="45"/>
    <n v="45"/>
  </r>
  <r>
    <s v="ORD5623138"/>
    <s v="ITM013"/>
    <n v="2"/>
    <n v="138"/>
    <x v="0"/>
    <x v="0"/>
    <n v="21"/>
    <n v="42"/>
  </r>
  <r>
    <s v="ORD5623138"/>
    <s v="ITM015"/>
    <n v="1"/>
    <n v="149"/>
    <x v="1"/>
    <x v="1"/>
    <n v="45"/>
    <n v="45"/>
  </r>
  <r>
    <s v="ORD4854922"/>
    <s v="ITM004"/>
    <n v="3"/>
    <n v="237"/>
    <x v="5"/>
    <x v="3"/>
    <n v="24"/>
    <n v="72"/>
  </r>
  <r>
    <s v="ORD4854922"/>
    <s v="ITM015"/>
    <n v="3"/>
    <n v="447"/>
    <x v="1"/>
    <x v="1"/>
    <n v="45"/>
    <n v="135"/>
  </r>
  <r>
    <s v="ORD4854922"/>
    <s v="ITM026"/>
    <n v="2"/>
    <n v="158"/>
    <x v="4"/>
    <x v="4"/>
    <n v="24"/>
    <n v="48"/>
  </r>
  <r>
    <s v="ORD3438206"/>
    <s v="ITM007"/>
    <n v="1"/>
    <n v="79"/>
    <x v="19"/>
    <x v="2"/>
    <n v="24"/>
    <n v="24"/>
  </r>
  <r>
    <s v="ORD3438206"/>
    <s v="ITM003"/>
    <n v="1"/>
    <n v="119"/>
    <x v="27"/>
    <x v="5"/>
    <n v="36"/>
    <n v="36"/>
  </r>
  <r>
    <s v="ORD3438206"/>
    <s v="ITM014"/>
    <n v="5"/>
    <n v="595"/>
    <x v="14"/>
    <x v="1"/>
    <n v="36"/>
    <n v="180"/>
  </r>
  <r>
    <s v="ORD3940561"/>
    <s v="ITM006"/>
    <n v="3"/>
    <n v="267"/>
    <x v="3"/>
    <x v="3"/>
    <n v="27"/>
    <n v="81"/>
  </r>
  <r>
    <s v="ORD3940561"/>
    <s v="ITM019"/>
    <n v="1"/>
    <n v="149"/>
    <x v="11"/>
    <x v="1"/>
    <n v="45"/>
    <n v="45"/>
  </r>
  <r>
    <s v="ORD5014060"/>
    <s v="ITM003"/>
    <n v="1"/>
    <n v="119"/>
    <x v="27"/>
    <x v="5"/>
    <n v="36"/>
    <n v="36"/>
  </r>
  <r>
    <s v="ORD5014060"/>
    <s v="ITM019"/>
    <n v="1"/>
    <n v="149"/>
    <x v="11"/>
    <x v="1"/>
    <n v="45"/>
    <n v="45"/>
  </r>
  <r>
    <s v="ORD5014060"/>
    <s v="ITM008"/>
    <n v="1"/>
    <n v="99"/>
    <x v="9"/>
    <x v="2"/>
    <n v="30"/>
    <n v="30"/>
  </r>
  <r>
    <s v="ORD5014060"/>
    <s v="ITM012"/>
    <n v="2"/>
    <n v="178"/>
    <x v="8"/>
    <x v="0"/>
    <n v="27"/>
    <n v="54"/>
  </r>
  <r>
    <s v="ORD5639031"/>
    <s v="ITM006"/>
    <n v="1"/>
    <n v="89"/>
    <x v="3"/>
    <x v="3"/>
    <n v="27"/>
    <n v="27"/>
  </r>
  <r>
    <s v="ORD5639031"/>
    <s v="ITM017"/>
    <n v="1"/>
    <n v="149"/>
    <x v="6"/>
    <x v="1"/>
    <n v="45"/>
    <n v="45"/>
  </r>
  <r>
    <s v="ORD5639031"/>
    <s v="ITM026"/>
    <n v="1"/>
    <n v="79"/>
    <x v="4"/>
    <x v="4"/>
    <n v="24"/>
    <n v="24"/>
  </r>
  <r>
    <s v="ORD5196677"/>
    <s v="ITM016"/>
    <n v="2"/>
    <n v="198"/>
    <x v="7"/>
    <x v="1"/>
    <n v="30"/>
    <n v="60"/>
  </r>
  <r>
    <s v="ORD5196677"/>
    <s v="ITM027"/>
    <n v="2"/>
    <n v="158"/>
    <x v="10"/>
    <x v="4"/>
    <n v="24"/>
    <n v="48"/>
  </r>
  <r>
    <s v="ORD5196677"/>
    <s v="ITM021"/>
    <n v="2"/>
    <n v="298"/>
    <x v="22"/>
    <x v="1"/>
    <n v="45"/>
    <n v="90"/>
  </r>
  <r>
    <s v="ORD6297082"/>
    <s v="ITM001"/>
    <n v="1"/>
    <n v="79"/>
    <x v="24"/>
    <x v="5"/>
    <n v="24"/>
    <n v="24"/>
  </r>
  <r>
    <s v="ORD6297082"/>
    <s v="ITM023"/>
    <n v="2"/>
    <n v="278"/>
    <x v="18"/>
    <x v="1"/>
    <n v="42"/>
    <n v="84"/>
  </r>
  <r>
    <s v="ORD6297082"/>
    <s v="ITM008"/>
    <n v="3"/>
    <n v="297"/>
    <x v="9"/>
    <x v="2"/>
    <n v="30"/>
    <n v="90"/>
  </r>
  <r>
    <s v="ORD6297082"/>
    <s v="ITM015"/>
    <n v="1"/>
    <n v="149"/>
    <x v="1"/>
    <x v="1"/>
    <n v="45"/>
    <n v="45"/>
  </r>
  <r>
    <s v="ORD4190481"/>
    <s v="ITM007"/>
    <n v="1"/>
    <n v="79"/>
    <x v="19"/>
    <x v="2"/>
    <n v="24"/>
    <n v="24"/>
  </r>
  <r>
    <s v="ORD4190481"/>
    <s v="ITM008"/>
    <n v="3"/>
    <n v="297"/>
    <x v="9"/>
    <x v="2"/>
    <n v="30"/>
    <n v="90"/>
  </r>
  <r>
    <s v="ORD9265544"/>
    <s v="ITM023"/>
    <n v="4"/>
    <n v="556"/>
    <x v="18"/>
    <x v="1"/>
    <n v="42"/>
    <n v="168"/>
  </r>
  <r>
    <s v="ORD9575399"/>
    <s v="ITM004"/>
    <n v="2"/>
    <n v="158"/>
    <x v="5"/>
    <x v="3"/>
    <n v="24"/>
    <n v="48"/>
  </r>
  <r>
    <s v="ORD9575399"/>
    <s v="ITM021"/>
    <n v="1"/>
    <n v="149"/>
    <x v="22"/>
    <x v="1"/>
    <n v="45"/>
    <n v="45"/>
  </r>
  <r>
    <s v="ORD3019442"/>
    <s v="ITM001"/>
    <n v="1"/>
    <n v="79"/>
    <x v="24"/>
    <x v="5"/>
    <n v="24"/>
    <n v="24"/>
  </r>
  <r>
    <s v="ORD3019442"/>
    <s v="ITM019"/>
    <n v="2"/>
    <n v="298"/>
    <x v="11"/>
    <x v="1"/>
    <n v="45"/>
    <n v="90"/>
  </r>
  <r>
    <s v="ORD6756203"/>
    <s v="ITM013"/>
    <n v="3"/>
    <n v="207"/>
    <x v="0"/>
    <x v="0"/>
    <n v="21"/>
    <n v="63"/>
  </r>
  <r>
    <s v="ORD2675536"/>
    <s v="ITM016"/>
    <n v="3"/>
    <n v="297"/>
    <x v="7"/>
    <x v="1"/>
    <n v="30"/>
    <n v="90"/>
  </r>
  <r>
    <s v="ORD2675536"/>
    <s v="ITM022"/>
    <n v="2"/>
    <n v="198"/>
    <x v="23"/>
    <x v="1"/>
    <n v="30"/>
    <n v="60"/>
  </r>
  <r>
    <s v="ORD2675536"/>
    <s v="ITM023"/>
    <n v="1"/>
    <n v="139"/>
    <x v="18"/>
    <x v="1"/>
    <n v="42"/>
    <n v="42"/>
  </r>
  <r>
    <s v="ORD2675536"/>
    <s v="ITM006"/>
    <n v="1"/>
    <n v="89"/>
    <x v="3"/>
    <x v="3"/>
    <n v="27"/>
    <n v="27"/>
  </r>
  <r>
    <s v="ORD9164132"/>
    <s v="ITM023"/>
    <n v="1"/>
    <n v="139"/>
    <x v="18"/>
    <x v="1"/>
    <n v="42"/>
    <n v="42"/>
  </r>
  <r>
    <s v="ORD9164132"/>
    <s v="ITM002"/>
    <n v="1"/>
    <n v="99"/>
    <x v="12"/>
    <x v="5"/>
    <n v="30"/>
    <n v="30"/>
  </r>
  <r>
    <s v="ORD7055937"/>
    <s v="ITM001"/>
    <n v="1"/>
    <n v="79"/>
    <x v="24"/>
    <x v="5"/>
    <n v="24"/>
    <n v="24"/>
  </r>
  <r>
    <s v="ORD7055937"/>
    <s v="ITM008"/>
    <n v="3"/>
    <n v="297"/>
    <x v="9"/>
    <x v="2"/>
    <n v="30"/>
    <n v="90"/>
  </r>
  <r>
    <s v="ORD7055937"/>
    <s v="ITM026"/>
    <n v="5"/>
    <n v="395"/>
    <x v="4"/>
    <x v="4"/>
    <n v="24"/>
    <n v="120"/>
  </r>
  <r>
    <s v="ORD9563838"/>
    <s v="ITM003"/>
    <n v="2"/>
    <n v="238"/>
    <x v="27"/>
    <x v="5"/>
    <n v="36"/>
    <n v="72"/>
  </r>
  <r>
    <s v="ORD9563838"/>
    <s v="ITM014"/>
    <n v="4"/>
    <n v="476"/>
    <x v="14"/>
    <x v="1"/>
    <n v="36"/>
    <n v="144"/>
  </r>
  <r>
    <s v="ORD9563838"/>
    <s v="ITM018"/>
    <n v="3"/>
    <n v="477"/>
    <x v="15"/>
    <x v="1"/>
    <n v="48"/>
    <n v="144"/>
  </r>
  <r>
    <s v="ORD2196955"/>
    <s v="ITM007"/>
    <n v="1"/>
    <n v="79"/>
    <x v="19"/>
    <x v="2"/>
    <n v="24"/>
    <n v="24"/>
  </r>
  <r>
    <s v="ORD2196955"/>
    <s v="ITM010"/>
    <n v="1"/>
    <n v="59"/>
    <x v="20"/>
    <x v="0"/>
    <n v="18"/>
    <n v="18"/>
  </r>
  <r>
    <s v="ORD8554590"/>
    <s v="ITM004"/>
    <n v="1"/>
    <n v="79"/>
    <x v="5"/>
    <x v="3"/>
    <n v="24"/>
    <n v="24"/>
  </r>
  <r>
    <s v="ORD8554590"/>
    <s v="ITM023"/>
    <n v="1"/>
    <n v="139"/>
    <x v="18"/>
    <x v="1"/>
    <n v="42"/>
    <n v="42"/>
  </r>
  <r>
    <s v="ORD1903041"/>
    <s v="ITM016"/>
    <n v="2"/>
    <n v="198"/>
    <x v="7"/>
    <x v="1"/>
    <n v="30"/>
    <n v="60"/>
  </r>
  <r>
    <s v="ORD1903041"/>
    <s v="ITM028"/>
    <n v="1"/>
    <n v="49"/>
    <x v="13"/>
    <x v="4"/>
    <n v="15"/>
    <n v="15"/>
  </r>
  <r>
    <s v="ORD1903041"/>
    <s v="ITM004"/>
    <n v="4"/>
    <n v="316"/>
    <x v="5"/>
    <x v="3"/>
    <n v="24"/>
    <n v="96"/>
  </r>
  <r>
    <s v="ORD3862327"/>
    <s v="ITM011"/>
    <n v="4"/>
    <n v="316"/>
    <x v="26"/>
    <x v="0"/>
    <n v="24"/>
    <n v="96"/>
  </r>
  <r>
    <s v="ORD3970181"/>
    <s v="ITM016"/>
    <n v="2"/>
    <n v="198"/>
    <x v="7"/>
    <x v="1"/>
    <n v="30"/>
    <n v="60"/>
  </r>
  <r>
    <s v="ORD3970181"/>
    <s v="ITM018"/>
    <n v="2"/>
    <n v="318"/>
    <x v="15"/>
    <x v="1"/>
    <n v="48"/>
    <n v="96"/>
  </r>
  <r>
    <s v="ORD5358838"/>
    <s v="ITM001"/>
    <n v="3"/>
    <n v="237"/>
    <x v="24"/>
    <x v="5"/>
    <n v="24"/>
    <n v="72"/>
  </r>
  <r>
    <s v="ORD5358838"/>
    <s v="ITM022"/>
    <n v="1"/>
    <n v="99"/>
    <x v="23"/>
    <x v="1"/>
    <n v="30"/>
    <n v="30"/>
  </r>
  <r>
    <s v="ORD8221506"/>
    <s v="ITM016"/>
    <n v="4"/>
    <n v="396"/>
    <x v="7"/>
    <x v="1"/>
    <n v="30"/>
    <n v="120"/>
  </r>
  <r>
    <s v="ORD8221506"/>
    <s v="ITM022"/>
    <n v="1"/>
    <n v="99"/>
    <x v="23"/>
    <x v="1"/>
    <n v="30"/>
    <n v="30"/>
  </r>
  <r>
    <s v="ORD8221506"/>
    <s v="ITM006"/>
    <n v="1"/>
    <n v="89"/>
    <x v="3"/>
    <x v="3"/>
    <n v="27"/>
    <n v="27"/>
  </r>
  <r>
    <s v="ORD5019180"/>
    <s v="ITM022"/>
    <n v="1"/>
    <n v="99"/>
    <x v="23"/>
    <x v="1"/>
    <n v="30"/>
    <n v="30"/>
  </r>
  <r>
    <s v="ORD5019180"/>
    <s v="ITM019"/>
    <n v="3"/>
    <n v="447"/>
    <x v="11"/>
    <x v="1"/>
    <n v="45"/>
    <n v="135"/>
  </r>
  <r>
    <s v="ORD5019180"/>
    <s v="ITM025"/>
    <n v="3"/>
    <n v="237"/>
    <x v="25"/>
    <x v="4"/>
    <n v="24"/>
    <n v="72"/>
  </r>
  <r>
    <s v="ORD8596173"/>
    <s v="ITM005"/>
    <n v="5"/>
    <n v="495"/>
    <x v="16"/>
    <x v="3"/>
    <n v="30"/>
    <n v="150"/>
  </r>
  <r>
    <s v="ORD8596173"/>
    <s v="ITM010"/>
    <n v="1"/>
    <n v="59"/>
    <x v="20"/>
    <x v="0"/>
    <n v="18"/>
    <n v="18"/>
  </r>
  <r>
    <s v="ORD8596173"/>
    <s v="ITM015"/>
    <n v="5"/>
    <n v="745"/>
    <x v="1"/>
    <x v="1"/>
    <n v="45"/>
    <n v="225"/>
  </r>
  <r>
    <s v="ORD9280890"/>
    <s v="ITM022"/>
    <n v="5"/>
    <n v="495"/>
    <x v="23"/>
    <x v="1"/>
    <n v="30"/>
    <n v="150"/>
  </r>
  <r>
    <s v="ORD9280890"/>
    <s v="ITM009"/>
    <n v="2"/>
    <n v="178"/>
    <x v="2"/>
    <x v="2"/>
    <n v="27"/>
    <n v="54"/>
  </r>
  <r>
    <s v="ORD2197636"/>
    <s v="ITM006"/>
    <n v="3"/>
    <n v="267"/>
    <x v="3"/>
    <x v="3"/>
    <n v="27"/>
    <n v="81"/>
  </r>
  <r>
    <s v="ORD2197636"/>
    <s v="ITM023"/>
    <n v="3"/>
    <n v="417"/>
    <x v="18"/>
    <x v="1"/>
    <n v="42"/>
    <n v="126"/>
  </r>
  <r>
    <s v="ORD4341683"/>
    <s v="ITM004"/>
    <n v="1"/>
    <n v="79"/>
    <x v="5"/>
    <x v="3"/>
    <n v="24"/>
    <n v="24"/>
  </r>
  <r>
    <s v="ORD4341683"/>
    <s v="ITM007"/>
    <n v="5"/>
    <n v="395"/>
    <x v="19"/>
    <x v="2"/>
    <n v="24"/>
    <n v="120"/>
  </r>
  <r>
    <s v="ORD4341683"/>
    <s v="ITM019"/>
    <n v="4"/>
    <n v="596"/>
    <x v="11"/>
    <x v="1"/>
    <n v="45"/>
    <n v="180"/>
  </r>
  <r>
    <s v="ORD6013251"/>
    <s v="ITM019"/>
    <n v="5"/>
    <n v="745"/>
    <x v="11"/>
    <x v="1"/>
    <n v="45"/>
    <n v="225"/>
  </r>
  <r>
    <s v="ORD6013251"/>
    <s v="ITM002"/>
    <n v="1"/>
    <n v="99"/>
    <x v="12"/>
    <x v="5"/>
    <n v="30"/>
    <n v="30"/>
  </r>
  <r>
    <s v="ORD1149818"/>
    <s v="ITM019"/>
    <n v="3"/>
    <n v="447"/>
    <x v="11"/>
    <x v="1"/>
    <n v="45"/>
    <n v="135"/>
  </r>
  <r>
    <s v="ORD1149818"/>
    <s v="ITM005"/>
    <n v="1"/>
    <n v="99"/>
    <x v="16"/>
    <x v="3"/>
    <n v="30"/>
    <n v="30"/>
  </r>
  <r>
    <s v="ORD3582322"/>
    <s v="ITM004"/>
    <n v="3"/>
    <n v="237"/>
    <x v="5"/>
    <x v="3"/>
    <n v="24"/>
    <n v="72"/>
  </r>
  <r>
    <s v="ORD3582322"/>
    <s v="ITM007"/>
    <n v="3"/>
    <n v="237"/>
    <x v="19"/>
    <x v="2"/>
    <n v="24"/>
    <n v="72"/>
  </r>
  <r>
    <s v="ORD3582322"/>
    <s v="ITM028"/>
    <n v="3"/>
    <n v="147"/>
    <x v="13"/>
    <x v="4"/>
    <n v="15"/>
    <n v="45"/>
  </r>
  <r>
    <s v="ORD1662507"/>
    <s v="ITM016"/>
    <n v="2"/>
    <n v="198"/>
    <x v="7"/>
    <x v="1"/>
    <n v="30"/>
    <n v="60"/>
  </r>
  <r>
    <s v="ORD1662507"/>
    <s v="ITM015"/>
    <n v="2"/>
    <n v="298"/>
    <x v="1"/>
    <x v="1"/>
    <n v="45"/>
    <n v="90"/>
  </r>
  <r>
    <s v="ORD2155557"/>
    <s v="ITM008"/>
    <n v="1"/>
    <n v="99"/>
    <x v="9"/>
    <x v="2"/>
    <n v="30"/>
    <n v="30"/>
  </r>
  <r>
    <s v="ORD2155557"/>
    <s v="ITM009"/>
    <n v="1"/>
    <n v="89"/>
    <x v="2"/>
    <x v="2"/>
    <n v="27"/>
    <n v="27"/>
  </r>
  <r>
    <s v="ORD5006173"/>
    <s v="ITM016"/>
    <n v="2"/>
    <n v="198"/>
    <x v="7"/>
    <x v="1"/>
    <n v="30"/>
    <n v="60"/>
  </r>
  <r>
    <s v="ORD5006173"/>
    <s v="ITM019"/>
    <n v="2"/>
    <n v="298"/>
    <x v="11"/>
    <x v="1"/>
    <n v="45"/>
    <n v="90"/>
  </r>
  <r>
    <s v="ORD5006173"/>
    <s v="ITM012"/>
    <n v="2"/>
    <n v="178"/>
    <x v="8"/>
    <x v="0"/>
    <n v="27"/>
    <n v="54"/>
  </r>
  <r>
    <s v="ORD1734460"/>
    <s v="ITM004"/>
    <n v="1"/>
    <n v="79"/>
    <x v="5"/>
    <x v="3"/>
    <n v="24"/>
    <n v="24"/>
  </r>
  <r>
    <s v="ORD1734460"/>
    <s v="ITM002"/>
    <n v="1"/>
    <n v="99"/>
    <x v="12"/>
    <x v="5"/>
    <n v="30"/>
    <n v="30"/>
  </r>
  <r>
    <s v="ORD7146400"/>
    <s v="ITM007"/>
    <n v="2"/>
    <n v="158"/>
    <x v="19"/>
    <x v="2"/>
    <n v="24"/>
    <n v="48"/>
  </r>
  <r>
    <s v="ORD7146400"/>
    <s v="ITM003"/>
    <n v="4"/>
    <n v="476"/>
    <x v="27"/>
    <x v="5"/>
    <n v="36"/>
    <n v="144"/>
  </r>
  <r>
    <s v="ORD7146400"/>
    <s v="ITM026"/>
    <n v="1"/>
    <n v="79"/>
    <x v="4"/>
    <x v="4"/>
    <n v="24"/>
    <n v="24"/>
  </r>
  <r>
    <s v="ORD1978112"/>
    <s v="ITM003"/>
    <n v="1"/>
    <n v="119"/>
    <x v="27"/>
    <x v="5"/>
    <n v="36"/>
    <n v="36"/>
  </r>
  <r>
    <s v="ORD1978112"/>
    <s v="ITM002"/>
    <n v="4"/>
    <n v="396"/>
    <x v="12"/>
    <x v="5"/>
    <n v="30"/>
    <n v="120"/>
  </r>
  <r>
    <s v="ORD5173551"/>
    <s v="ITM006"/>
    <n v="1"/>
    <n v="89"/>
    <x v="3"/>
    <x v="3"/>
    <n v="27"/>
    <n v="27"/>
  </r>
  <r>
    <s v="ORD5173551"/>
    <s v="ITM021"/>
    <n v="2"/>
    <n v="298"/>
    <x v="22"/>
    <x v="1"/>
    <n v="45"/>
    <n v="90"/>
  </r>
  <r>
    <s v="ORD5173551"/>
    <s v="ITM013"/>
    <n v="1"/>
    <n v="69"/>
    <x v="0"/>
    <x v="0"/>
    <n v="21"/>
    <n v="21"/>
  </r>
  <r>
    <s v="ORD9467339"/>
    <s v="ITM016"/>
    <n v="4"/>
    <n v="396"/>
    <x v="7"/>
    <x v="1"/>
    <n v="30"/>
    <n v="120"/>
  </r>
  <r>
    <s v="ORD9467339"/>
    <s v="ITM017"/>
    <n v="2"/>
    <n v="298"/>
    <x v="6"/>
    <x v="1"/>
    <n v="45"/>
    <n v="90"/>
  </r>
  <r>
    <s v="ORD9467339"/>
    <s v="ITM026"/>
    <n v="5"/>
    <n v="395"/>
    <x v="4"/>
    <x v="4"/>
    <n v="24"/>
    <n v="120"/>
  </r>
  <r>
    <s v="ORD4589118"/>
    <s v="ITM027"/>
    <n v="1"/>
    <n v="79"/>
    <x v="10"/>
    <x v="4"/>
    <n v="24"/>
    <n v="24"/>
  </r>
  <r>
    <s v="ORD4589118"/>
    <s v="ITM008"/>
    <n v="1"/>
    <n v="99"/>
    <x v="9"/>
    <x v="2"/>
    <n v="30"/>
    <n v="30"/>
  </r>
  <r>
    <s v="ORD4589118"/>
    <s v="ITM026"/>
    <n v="2"/>
    <n v="158"/>
    <x v="4"/>
    <x v="4"/>
    <n v="24"/>
    <n v="48"/>
  </r>
  <r>
    <s v="ORD4604128"/>
    <s v="ITM022"/>
    <n v="2"/>
    <n v="198"/>
    <x v="23"/>
    <x v="1"/>
    <n v="30"/>
    <n v="60"/>
  </r>
  <r>
    <s v="ORD6966913"/>
    <s v="ITM011"/>
    <n v="1"/>
    <n v="79"/>
    <x v="26"/>
    <x v="0"/>
    <n v="24"/>
    <n v="24"/>
  </r>
  <r>
    <s v="ORD6966913"/>
    <s v="ITM017"/>
    <n v="3"/>
    <n v="447"/>
    <x v="6"/>
    <x v="1"/>
    <n v="45"/>
    <n v="135"/>
  </r>
  <r>
    <s v="ORD3900822"/>
    <s v="ITM019"/>
    <n v="1"/>
    <n v="149"/>
    <x v="11"/>
    <x v="1"/>
    <n v="45"/>
    <n v="45"/>
  </r>
  <r>
    <s v="ORD3900822"/>
    <s v="ITM017"/>
    <n v="3"/>
    <n v="447"/>
    <x v="6"/>
    <x v="1"/>
    <n v="45"/>
    <n v="135"/>
  </r>
  <r>
    <s v="ORD3900822"/>
    <s v="ITM025"/>
    <n v="2"/>
    <n v="158"/>
    <x v="25"/>
    <x v="4"/>
    <n v="24"/>
    <n v="48"/>
  </r>
  <r>
    <s v="ORD4803691"/>
    <s v="ITM016"/>
    <n v="1"/>
    <n v="99"/>
    <x v="7"/>
    <x v="1"/>
    <n v="30"/>
    <n v="30"/>
  </r>
  <r>
    <s v="ORD4803691"/>
    <s v="ITM018"/>
    <n v="2"/>
    <n v="318"/>
    <x v="15"/>
    <x v="1"/>
    <n v="48"/>
    <n v="96"/>
  </r>
  <r>
    <s v="ORD4803691"/>
    <s v="ITM002"/>
    <n v="1"/>
    <n v="99"/>
    <x v="12"/>
    <x v="5"/>
    <n v="30"/>
    <n v="30"/>
  </r>
  <r>
    <s v="ORD9467953"/>
    <s v="ITM012"/>
    <n v="1"/>
    <n v="89"/>
    <x v="8"/>
    <x v="0"/>
    <n v="27"/>
    <n v="27"/>
  </r>
  <r>
    <s v="ORD9467953"/>
    <s v="ITM009"/>
    <n v="1"/>
    <n v="89"/>
    <x v="2"/>
    <x v="2"/>
    <n v="27"/>
    <n v="27"/>
  </r>
  <r>
    <s v="ORD3187332"/>
    <s v="ITM006"/>
    <n v="2"/>
    <n v="178"/>
    <x v="3"/>
    <x v="3"/>
    <n v="27"/>
    <n v="54"/>
  </r>
  <r>
    <s v="ORD3187332"/>
    <s v="ITM012"/>
    <n v="2"/>
    <n v="178"/>
    <x v="8"/>
    <x v="0"/>
    <n v="27"/>
    <n v="54"/>
  </r>
  <r>
    <s v="ORD2503148"/>
    <s v="ITM011"/>
    <n v="2"/>
    <n v="158"/>
    <x v="26"/>
    <x v="0"/>
    <n v="24"/>
    <n v="48"/>
  </r>
  <r>
    <s v="ORD2503148"/>
    <s v="ITM013"/>
    <n v="1"/>
    <n v="69"/>
    <x v="0"/>
    <x v="0"/>
    <n v="21"/>
    <n v="21"/>
  </r>
  <r>
    <s v="ORD2503148"/>
    <s v="ITM010"/>
    <n v="1"/>
    <n v="59"/>
    <x v="20"/>
    <x v="0"/>
    <n v="18"/>
    <n v="18"/>
  </r>
  <r>
    <s v="ORD4917305"/>
    <s v="ITM003"/>
    <n v="3"/>
    <n v="357"/>
    <x v="27"/>
    <x v="5"/>
    <n v="36"/>
    <n v="108"/>
  </r>
  <r>
    <s v="ORD4917305"/>
    <s v="ITM005"/>
    <n v="1"/>
    <n v="99"/>
    <x v="16"/>
    <x v="3"/>
    <n v="30"/>
    <n v="30"/>
  </r>
  <r>
    <s v="ORD4917305"/>
    <s v="ITM020"/>
    <n v="2"/>
    <n v="318"/>
    <x v="21"/>
    <x v="1"/>
    <n v="48"/>
    <n v="96"/>
  </r>
  <r>
    <s v="ORD6119031"/>
    <s v="ITM010"/>
    <n v="1"/>
    <n v="59"/>
    <x v="20"/>
    <x v="0"/>
    <n v="18"/>
    <n v="18"/>
  </r>
  <r>
    <s v="ORD6119031"/>
    <s v="ITM020"/>
    <n v="2"/>
    <n v="318"/>
    <x v="21"/>
    <x v="1"/>
    <n v="48"/>
    <n v="96"/>
  </r>
  <r>
    <s v="ORD7318411"/>
    <s v="ITM016"/>
    <n v="2"/>
    <n v="198"/>
    <x v="7"/>
    <x v="1"/>
    <n v="30"/>
    <n v="60"/>
  </r>
  <r>
    <s v="ORD7318411"/>
    <s v="ITM003"/>
    <n v="1"/>
    <n v="119"/>
    <x v="27"/>
    <x v="5"/>
    <n v="36"/>
    <n v="36"/>
  </r>
  <r>
    <s v="ORD7318411"/>
    <s v="ITM008"/>
    <n v="2"/>
    <n v="198"/>
    <x v="9"/>
    <x v="2"/>
    <n v="30"/>
    <n v="60"/>
  </r>
  <r>
    <s v="ORD7318411"/>
    <s v="ITM006"/>
    <n v="4"/>
    <n v="356"/>
    <x v="3"/>
    <x v="3"/>
    <n v="27"/>
    <n v="108"/>
  </r>
  <r>
    <s v="ORD5907261"/>
    <s v="ITM028"/>
    <n v="1"/>
    <n v="49"/>
    <x v="13"/>
    <x v="4"/>
    <n v="15"/>
    <n v="15"/>
  </r>
  <r>
    <s v="ORD5907261"/>
    <s v="ITM012"/>
    <n v="1"/>
    <n v="89"/>
    <x v="8"/>
    <x v="0"/>
    <n v="27"/>
    <n v="27"/>
  </r>
  <r>
    <s v="ORD1360516"/>
    <s v="ITM016"/>
    <n v="1"/>
    <n v="99"/>
    <x v="7"/>
    <x v="1"/>
    <n v="30"/>
    <n v="30"/>
  </r>
  <r>
    <s v="ORD1360516"/>
    <s v="ITM010"/>
    <n v="1"/>
    <n v="59"/>
    <x v="20"/>
    <x v="0"/>
    <n v="18"/>
    <n v="18"/>
  </r>
  <r>
    <s v="ORD5323142"/>
    <s v="ITM001"/>
    <n v="1"/>
    <n v="79"/>
    <x v="24"/>
    <x v="5"/>
    <n v="24"/>
    <n v="24"/>
  </r>
  <r>
    <s v="ORD5323142"/>
    <s v="ITM022"/>
    <n v="4"/>
    <n v="396"/>
    <x v="23"/>
    <x v="1"/>
    <n v="30"/>
    <n v="120"/>
  </r>
  <r>
    <s v="ORD5323142"/>
    <s v="ITM016"/>
    <n v="2"/>
    <n v="198"/>
    <x v="7"/>
    <x v="1"/>
    <n v="30"/>
    <n v="60"/>
  </r>
  <r>
    <s v="ORD5323142"/>
    <s v="ITM009"/>
    <n v="1"/>
    <n v="89"/>
    <x v="2"/>
    <x v="2"/>
    <n v="27"/>
    <n v="27"/>
  </r>
  <r>
    <s v="ORD3562705"/>
    <s v="ITM010"/>
    <n v="1"/>
    <n v="59"/>
    <x v="20"/>
    <x v="0"/>
    <n v="18"/>
    <n v="18"/>
  </r>
  <r>
    <s v="ORD3562705"/>
    <s v="ITM006"/>
    <n v="2"/>
    <n v="178"/>
    <x v="3"/>
    <x v="3"/>
    <n v="27"/>
    <n v="54"/>
  </r>
  <r>
    <s v="ORD3562705"/>
    <s v="ITM016"/>
    <n v="3"/>
    <n v="297"/>
    <x v="7"/>
    <x v="1"/>
    <n v="30"/>
    <n v="90"/>
  </r>
  <r>
    <s v="ORD3562705"/>
    <s v="ITM025"/>
    <n v="3"/>
    <n v="237"/>
    <x v="25"/>
    <x v="4"/>
    <n v="24"/>
    <n v="72"/>
  </r>
  <r>
    <s v="ORD3435253"/>
    <s v="ITM016"/>
    <n v="1"/>
    <n v="99"/>
    <x v="7"/>
    <x v="1"/>
    <n v="30"/>
    <n v="30"/>
  </r>
  <r>
    <s v="ORD3435253"/>
    <s v="ITM004"/>
    <n v="3"/>
    <n v="237"/>
    <x v="5"/>
    <x v="3"/>
    <n v="24"/>
    <n v="72"/>
  </r>
  <r>
    <s v="ORD3435253"/>
    <s v="ITM010"/>
    <n v="2"/>
    <n v="118"/>
    <x v="20"/>
    <x v="0"/>
    <n v="18"/>
    <n v="36"/>
  </r>
  <r>
    <s v="ORD3435253"/>
    <s v="ITM026"/>
    <n v="3"/>
    <n v="237"/>
    <x v="4"/>
    <x v="4"/>
    <n v="24"/>
    <n v="72"/>
  </r>
  <r>
    <s v="ORD5593537"/>
    <s v="ITM004"/>
    <n v="2"/>
    <n v="158"/>
    <x v="5"/>
    <x v="3"/>
    <n v="24"/>
    <n v="48"/>
  </r>
  <r>
    <s v="ORD5593537"/>
    <s v="ITM021"/>
    <n v="1"/>
    <n v="149"/>
    <x v="22"/>
    <x v="1"/>
    <n v="45"/>
    <n v="45"/>
  </r>
  <r>
    <s v="ORD5593537"/>
    <s v="ITM006"/>
    <n v="2"/>
    <n v="178"/>
    <x v="3"/>
    <x v="3"/>
    <n v="27"/>
    <n v="54"/>
  </r>
  <r>
    <s v="ORD3249600"/>
    <s v="ITM006"/>
    <n v="2"/>
    <n v="178"/>
    <x v="3"/>
    <x v="3"/>
    <n v="27"/>
    <n v="54"/>
  </r>
  <r>
    <s v="ORD3249600"/>
    <s v="ITM014"/>
    <n v="1"/>
    <n v="119"/>
    <x v="14"/>
    <x v="1"/>
    <n v="36"/>
    <n v="36"/>
  </r>
  <r>
    <s v="ORD3249600"/>
    <s v="ITM018"/>
    <n v="1"/>
    <n v="159"/>
    <x v="15"/>
    <x v="1"/>
    <n v="48"/>
    <n v="48"/>
  </r>
  <r>
    <s v="ORD3249600"/>
    <s v="ITM012"/>
    <n v="1"/>
    <n v="89"/>
    <x v="8"/>
    <x v="0"/>
    <n v="27"/>
    <n v="27"/>
  </r>
  <r>
    <s v="ORD4431982"/>
    <s v="ITM027"/>
    <n v="2"/>
    <n v="158"/>
    <x v="10"/>
    <x v="4"/>
    <n v="24"/>
    <n v="48"/>
  </r>
  <r>
    <s v="ORD4431982"/>
    <s v="ITM014"/>
    <n v="2"/>
    <n v="238"/>
    <x v="14"/>
    <x v="1"/>
    <n v="36"/>
    <n v="72"/>
  </r>
  <r>
    <s v="ORD6249548"/>
    <s v="ITM016"/>
    <n v="3"/>
    <n v="297"/>
    <x v="7"/>
    <x v="1"/>
    <n v="30"/>
    <n v="90"/>
  </r>
  <r>
    <s v="ORD6249548"/>
    <s v="ITM017"/>
    <n v="3"/>
    <n v="447"/>
    <x v="6"/>
    <x v="1"/>
    <n v="45"/>
    <n v="135"/>
  </r>
  <r>
    <s v="ORD6249548"/>
    <s v="ITM020"/>
    <n v="2"/>
    <n v="318"/>
    <x v="21"/>
    <x v="1"/>
    <n v="48"/>
    <n v="96"/>
  </r>
  <r>
    <s v="ORD1658532"/>
    <s v="ITM027"/>
    <n v="1"/>
    <n v="79"/>
    <x v="10"/>
    <x v="4"/>
    <n v="24"/>
    <n v="24"/>
  </r>
  <r>
    <s v="ORD1658532"/>
    <s v="ITM021"/>
    <n v="1"/>
    <n v="149"/>
    <x v="22"/>
    <x v="1"/>
    <n v="45"/>
    <n v="45"/>
  </r>
  <r>
    <s v="ORD1915141"/>
    <s v="ITM004"/>
    <n v="1"/>
    <n v="79"/>
    <x v="5"/>
    <x v="3"/>
    <n v="24"/>
    <n v="24"/>
  </r>
  <r>
    <s v="ORD1915141"/>
    <s v="ITM014"/>
    <n v="2"/>
    <n v="238"/>
    <x v="14"/>
    <x v="1"/>
    <n v="36"/>
    <n v="72"/>
  </r>
  <r>
    <s v="ORD1915141"/>
    <s v="ITM018"/>
    <n v="4"/>
    <n v="636"/>
    <x v="15"/>
    <x v="1"/>
    <n v="48"/>
    <n v="192"/>
  </r>
  <r>
    <s v="ORD1915141"/>
    <s v="ITM015"/>
    <n v="2"/>
    <n v="298"/>
    <x v="1"/>
    <x v="1"/>
    <n v="45"/>
    <n v="90"/>
  </r>
  <r>
    <s v="ORD4387856"/>
    <s v="ITM010"/>
    <n v="2"/>
    <n v="118"/>
    <x v="20"/>
    <x v="0"/>
    <n v="18"/>
    <n v="36"/>
  </r>
  <r>
    <s v="ORD7089179"/>
    <s v="ITM022"/>
    <n v="4"/>
    <n v="396"/>
    <x v="23"/>
    <x v="1"/>
    <n v="30"/>
    <n v="120"/>
  </r>
  <r>
    <s v="ORD7089179"/>
    <s v="ITM012"/>
    <n v="1"/>
    <n v="89"/>
    <x v="8"/>
    <x v="0"/>
    <n v="27"/>
    <n v="27"/>
  </r>
  <r>
    <s v="ORD7089179"/>
    <s v="ITM015"/>
    <n v="1"/>
    <n v="149"/>
    <x v="1"/>
    <x v="1"/>
    <n v="45"/>
    <n v="45"/>
  </r>
  <r>
    <s v="ORD3426109"/>
    <s v="ITM020"/>
    <n v="5"/>
    <n v="795"/>
    <x v="21"/>
    <x v="1"/>
    <n v="48"/>
    <n v="240"/>
  </r>
  <r>
    <s v="ORD3426109"/>
    <s v="ITM002"/>
    <n v="1"/>
    <n v="99"/>
    <x v="12"/>
    <x v="5"/>
    <n v="30"/>
    <n v="30"/>
  </r>
  <r>
    <s v="ORD3426109"/>
    <s v="ITM009"/>
    <n v="1"/>
    <n v="89"/>
    <x v="2"/>
    <x v="2"/>
    <n v="27"/>
    <n v="27"/>
  </r>
  <r>
    <s v="ORD9365828"/>
    <s v="ITM007"/>
    <n v="2"/>
    <n v="158"/>
    <x v="19"/>
    <x v="2"/>
    <n v="24"/>
    <n v="48"/>
  </r>
  <r>
    <s v="ORD9365828"/>
    <s v="ITM019"/>
    <n v="1"/>
    <n v="149"/>
    <x v="11"/>
    <x v="1"/>
    <n v="45"/>
    <n v="45"/>
  </r>
  <r>
    <s v="ORD9365828"/>
    <s v="ITM017"/>
    <n v="2"/>
    <n v="298"/>
    <x v="6"/>
    <x v="1"/>
    <n v="45"/>
    <n v="90"/>
  </r>
  <r>
    <s v="ORD9365828"/>
    <s v="ITM015"/>
    <n v="1"/>
    <n v="149"/>
    <x v="1"/>
    <x v="1"/>
    <n v="45"/>
    <n v="45"/>
  </r>
  <r>
    <s v="ORD6855581"/>
    <s v="ITM017"/>
    <n v="2"/>
    <n v="298"/>
    <x v="6"/>
    <x v="1"/>
    <n v="45"/>
    <n v="90"/>
  </r>
  <r>
    <s v="ORD6855581"/>
    <s v="ITM002"/>
    <n v="1"/>
    <n v="99"/>
    <x v="12"/>
    <x v="5"/>
    <n v="30"/>
    <n v="30"/>
  </r>
  <r>
    <s v="ORD3976601"/>
    <s v="ITM011"/>
    <n v="1"/>
    <n v="79"/>
    <x v="26"/>
    <x v="0"/>
    <n v="24"/>
    <n v="24"/>
  </r>
  <r>
    <s v="ORD3976601"/>
    <s v="ITM021"/>
    <n v="4"/>
    <n v="596"/>
    <x v="22"/>
    <x v="1"/>
    <n v="45"/>
    <n v="180"/>
  </r>
  <r>
    <s v="ORD3976601"/>
    <s v="ITM002"/>
    <n v="3"/>
    <n v="297"/>
    <x v="12"/>
    <x v="5"/>
    <n v="30"/>
    <n v="90"/>
  </r>
  <r>
    <s v="ORD5603979"/>
    <s v="ITM016"/>
    <n v="1"/>
    <n v="99"/>
    <x v="7"/>
    <x v="1"/>
    <n v="30"/>
    <n v="30"/>
  </r>
  <r>
    <s v="ORD5603979"/>
    <s v="ITM018"/>
    <n v="2"/>
    <n v="318"/>
    <x v="15"/>
    <x v="1"/>
    <n v="48"/>
    <n v="96"/>
  </r>
  <r>
    <s v="ORD5603979"/>
    <s v="ITM019"/>
    <n v="2"/>
    <n v="298"/>
    <x v="11"/>
    <x v="1"/>
    <n v="45"/>
    <n v="90"/>
  </r>
  <r>
    <s v="ORD5356372"/>
    <s v="ITM018"/>
    <n v="2"/>
    <n v="318"/>
    <x v="15"/>
    <x v="1"/>
    <n v="48"/>
    <n v="96"/>
  </r>
  <r>
    <s v="ORD5356372"/>
    <s v="ITM026"/>
    <n v="2"/>
    <n v="158"/>
    <x v="4"/>
    <x v="4"/>
    <n v="24"/>
    <n v="48"/>
  </r>
  <r>
    <s v="ORD1026523"/>
    <s v="ITM018"/>
    <n v="1"/>
    <n v="159"/>
    <x v="15"/>
    <x v="1"/>
    <n v="48"/>
    <n v="48"/>
  </r>
  <r>
    <s v="ORD4562439"/>
    <s v="ITM003"/>
    <n v="1"/>
    <n v="119"/>
    <x v="27"/>
    <x v="5"/>
    <n v="36"/>
    <n v="36"/>
  </r>
  <r>
    <s v="ORD4562439"/>
    <s v="ITM019"/>
    <n v="2"/>
    <n v="298"/>
    <x v="11"/>
    <x v="1"/>
    <n v="45"/>
    <n v="90"/>
  </r>
  <r>
    <s v="ORD4562439"/>
    <s v="ITM008"/>
    <n v="3"/>
    <n v="297"/>
    <x v="9"/>
    <x v="2"/>
    <n v="30"/>
    <n v="90"/>
  </r>
  <r>
    <s v="ORD3946567"/>
    <s v="ITM019"/>
    <n v="4"/>
    <n v="596"/>
    <x v="11"/>
    <x v="1"/>
    <n v="45"/>
    <n v="180"/>
  </r>
  <r>
    <s v="ORD3946567"/>
    <s v="ITM010"/>
    <n v="3"/>
    <n v="177"/>
    <x v="20"/>
    <x v="0"/>
    <n v="18"/>
    <n v="54"/>
  </r>
  <r>
    <s v="ORD7944979"/>
    <s v="ITM020"/>
    <n v="1"/>
    <n v="159"/>
    <x v="21"/>
    <x v="1"/>
    <n v="48"/>
    <n v="48"/>
  </r>
  <r>
    <s v="ORD7944979"/>
    <s v="ITM016"/>
    <n v="2"/>
    <n v="198"/>
    <x v="7"/>
    <x v="1"/>
    <n v="30"/>
    <n v="60"/>
  </r>
  <r>
    <s v="ORD7944979"/>
    <s v="ITM010"/>
    <n v="3"/>
    <n v="177"/>
    <x v="20"/>
    <x v="0"/>
    <n v="18"/>
    <n v="54"/>
  </r>
  <r>
    <s v="ORD7944979"/>
    <s v="ITM009"/>
    <n v="4"/>
    <n v="356"/>
    <x v="2"/>
    <x v="2"/>
    <n v="27"/>
    <n v="108"/>
  </r>
  <r>
    <s v="ORD3784505"/>
    <s v="ITM006"/>
    <n v="1"/>
    <n v="89"/>
    <x v="3"/>
    <x v="3"/>
    <n v="27"/>
    <n v="27"/>
  </r>
  <r>
    <s v="ORD3784505"/>
    <s v="ITM021"/>
    <n v="3"/>
    <n v="447"/>
    <x v="22"/>
    <x v="1"/>
    <n v="45"/>
    <n v="135"/>
  </r>
  <r>
    <s v="ORD3784505"/>
    <s v="ITM004"/>
    <n v="2"/>
    <n v="158"/>
    <x v="5"/>
    <x v="3"/>
    <n v="24"/>
    <n v="48"/>
  </r>
  <r>
    <s v="ORD4626225"/>
    <s v="ITM004"/>
    <n v="3"/>
    <n v="237"/>
    <x v="5"/>
    <x v="3"/>
    <n v="24"/>
    <n v="72"/>
  </r>
  <r>
    <s v="ORD4626225"/>
    <s v="ITM021"/>
    <n v="4"/>
    <n v="596"/>
    <x v="22"/>
    <x v="1"/>
    <n v="45"/>
    <n v="180"/>
  </r>
  <r>
    <s v="ORD9111313"/>
    <s v="ITM021"/>
    <n v="1"/>
    <n v="149"/>
    <x v="22"/>
    <x v="1"/>
    <n v="45"/>
    <n v="45"/>
  </r>
  <r>
    <s v="ORD9111313"/>
    <s v="ITM010"/>
    <n v="5"/>
    <n v="295"/>
    <x v="20"/>
    <x v="0"/>
    <n v="18"/>
    <n v="90"/>
  </r>
  <r>
    <s v="ORD9763492"/>
    <s v="ITM026"/>
    <n v="2"/>
    <n v="158"/>
    <x v="4"/>
    <x v="4"/>
    <n v="24"/>
    <n v="48"/>
  </r>
  <r>
    <s v="ORD6242557"/>
    <s v="ITM024"/>
    <n v="1"/>
    <n v="79"/>
    <x v="17"/>
    <x v="4"/>
    <n v="24"/>
    <n v="24"/>
  </r>
  <r>
    <s v="ORD6242557"/>
    <s v="ITM010"/>
    <n v="1"/>
    <n v="59"/>
    <x v="20"/>
    <x v="0"/>
    <n v="18"/>
    <n v="18"/>
  </r>
  <r>
    <s v="ORD9624506"/>
    <s v="ITM011"/>
    <n v="1"/>
    <n v="79"/>
    <x v="26"/>
    <x v="0"/>
    <n v="24"/>
    <n v="24"/>
  </r>
  <r>
    <s v="ORD9624506"/>
    <s v="ITM010"/>
    <n v="2"/>
    <n v="118"/>
    <x v="20"/>
    <x v="0"/>
    <n v="18"/>
    <n v="36"/>
  </r>
  <r>
    <s v="ORD8443172"/>
    <s v="ITM014"/>
    <n v="1"/>
    <n v="119"/>
    <x v="14"/>
    <x v="1"/>
    <n v="36"/>
    <n v="36"/>
  </r>
  <r>
    <s v="ORD8443172"/>
    <s v="ITM019"/>
    <n v="1"/>
    <n v="149"/>
    <x v="11"/>
    <x v="1"/>
    <n v="45"/>
    <n v="45"/>
  </r>
  <r>
    <s v="ORD8479891"/>
    <s v="ITM006"/>
    <n v="3"/>
    <n v="267"/>
    <x v="3"/>
    <x v="3"/>
    <n v="27"/>
    <n v="81"/>
  </r>
  <r>
    <s v="ORD8479891"/>
    <s v="ITM010"/>
    <n v="3"/>
    <n v="177"/>
    <x v="20"/>
    <x v="0"/>
    <n v="18"/>
    <n v="54"/>
  </r>
  <r>
    <s v="ORD8808058"/>
    <s v="ITM007"/>
    <n v="2"/>
    <n v="158"/>
    <x v="19"/>
    <x v="2"/>
    <n v="24"/>
    <n v="48"/>
  </r>
  <r>
    <s v="ORD8808058"/>
    <s v="ITM023"/>
    <n v="4"/>
    <n v="556"/>
    <x v="18"/>
    <x v="1"/>
    <n v="42"/>
    <n v="168"/>
  </r>
  <r>
    <s v="ORD8604827"/>
    <s v="ITM015"/>
    <n v="1"/>
    <n v="149"/>
    <x v="1"/>
    <x v="1"/>
    <n v="45"/>
    <n v="45"/>
  </r>
  <r>
    <s v="ORD7806281"/>
    <s v="ITM022"/>
    <n v="2"/>
    <n v="198"/>
    <x v="23"/>
    <x v="1"/>
    <n v="30"/>
    <n v="60"/>
  </r>
  <r>
    <s v="ORD7806281"/>
    <s v="ITM018"/>
    <n v="1"/>
    <n v="159"/>
    <x v="15"/>
    <x v="1"/>
    <n v="48"/>
    <n v="48"/>
  </r>
  <r>
    <s v="ORD8233471"/>
    <s v="ITM011"/>
    <n v="2"/>
    <n v="158"/>
    <x v="26"/>
    <x v="0"/>
    <n v="24"/>
    <n v="48"/>
  </r>
  <r>
    <s v="ORD8233471"/>
    <s v="ITM019"/>
    <n v="3"/>
    <n v="447"/>
    <x v="11"/>
    <x v="1"/>
    <n v="45"/>
    <n v="135"/>
  </r>
  <r>
    <s v="ORD8233471"/>
    <s v="ITM006"/>
    <n v="2"/>
    <n v="178"/>
    <x v="3"/>
    <x v="3"/>
    <n v="27"/>
    <n v="54"/>
  </r>
  <r>
    <s v="ORD3955709"/>
    <s v="ITM004"/>
    <n v="1"/>
    <n v="79"/>
    <x v="5"/>
    <x v="3"/>
    <n v="24"/>
    <n v="24"/>
  </r>
  <r>
    <s v="ORD3955709"/>
    <s v="ITM003"/>
    <n v="2"/>
    <n v="238"/>
    <x v="27"/>
    <x v="5"/>
    <n v="36"/>
    <n v="72"/>
  </r>
  <r>
    <s v="ORD3955709"/>
    <s v="ITM021"/>
    <n v="2"/>
    <n v="298"/>
    <x v="22"/>
    <x v="1"/>
    <n v="45"/>
    <n v="90"/>
  </r>
  <r>
    <s v="ORD3955709"/>
    <s v="ITM022"/>
    <n v="1"/>
    <n v="99"/>
    <x v="23"/>
    <x v="1"/>
    <n v="30"/>
    <n v="30"/>
  </r>
  <r>
    <s v="ORD3503436"/>
    <s v="ITM006"/>
    <n v="2"/>
    <n v="178"/>
    <x v="3"/>
    <x v="3"/>
    <n v="27"/>
    <n v="54"/>
  </r>
  <r>
    <s v="ORD3503436"/>
    <s v="ITM017"/>
    <n v="1"/>
    <n v="149"/>
    <x v="6"/>
    <x v="1"/>
    <n v="45"/>
    <n v="45"/>
  </r>
  <r>
    <s v="ORD3503436"/>
    <s v="ITM012"/>
    <n v="2"/>
    <n v="178"/>
    <x v="8"/>
    <x v="0"/>
    <n v="27"/>
    <n v="54"/>
  </r>
  <r>
    <s v="ORD2497994"/>
    <s v="ITM028"/>
    <n v="1"/>
    <n v="49"/>
    <x v="13"/>
    <x v="4"/>
    <n v="15"/>
    <n v="15"/>
  </r>
  <r>
    <s v="ORD7027124"/>
    <s v="ITM007"/>
    <n v="1"/>
    <n v="79"/>
    <x v="19"/>
    <x v="2"/>
    <n v="24"/>
    <n v="24"/>
  </r>
  <r>
    <s v="ORD7027124"/>
    <s v="ITM023"/>
    <n v="1"/>
    <n v="139"/>
    <x v="18"/>
    <x v="1"/>
    <n v="42"/>
    <n v="42"/>
  </r>
  <r>
    <s v="ORD7027124"/>
    <s v="ITM012"/>
    <n v="1"/>
    <n v="89"/>
    <x v="8"/>
    <x v="0"/>
    <n v="27"/>
    <n v="27"/>
  </r>
  <r>
    <s v="ORD7027124"/>
    <s v="ITM020"/>
    <n v="2"/>
    <n v="318"/>
    <x v="21"/>
    <x v="1"/>
    <n v="48"/>
    <n v="96"/>
  </r>
  <r>
    <s v="ORD8000050"/>
    <s v="ITM004"/>
    <n v="1"/>
    <n v="79"/>
    <x v="5"/>
    <x v="3"/>
    <n v="24"/>
    <n v="24"/>
  </r>
  <r>
    <s v="ORD8000050"/>
    <s v="ITM023"/>
    <n v="2"/>
    <n v="278"/>
    <x v="18"/>
    <x v="1"/>
    <n v="42"/>
    <n v="84"/>
  </r>
  <r>
    <s v="ORD7976896"/>
    <s v="ITM014"/>
    <n v="1"/>
    <n v="119"/>
    <x v="14"/>
    <x v="1"/>
    <n v="36"/>
    <n v="36"/>
  </r>
  <r>
    <s v="ORD7976896"/>
    <s v="ITM018"/>
    <n v="3"/>
    <n v="477"/>
    <x v="15"/>
    <x v="1"/>
    <n v="48"/>
    <n v="144"/>
  </r>
  <r>
    <s v="ORD7976896"/>
    <s v="ITM019"/>
    <n v="1"/>
    <n v="149"/>
    <x v="11"/>
    <x v="1"/>
    <n v="45"/>
    <n v="45"/>
  </r>
  <r>
    <s v="ORD7976896"/>
    <s v="ITM026"/>
    <n v="1"/>
    <n v="79"/>
    <x v="4"/>
    <x v="4"/>
    <n v="24"/>
    <n v="24"/>
  </r>
  <r>
    <s v="ORD7892714"/>
    <s v="ITM002"/>
    <n v="1"/>
    <n v="99"/>
    <x v="12"/>
    <x v="5"/>
    <n v="30"/>
    <n v="30"/>
  </r>
  <r>
    <s v="ORD7892714"/>
    <s v="ITM015"/>
    <n v="2"/>
    <n v="298"/>
    <x v="1"/>
    <x v="1"/>
    <n v="45"/>
    <n v="90"/>
  </r>
  <r>
    <s v="ORD8800337"/>
    <s v="ITM024"/>
    <n v="1"/>
    <n v="79"/>
    <x v="17"/>
    <x v="4"/>
    <n v="24"/>
    <n v="24"/>
  </r>
  <r>
    <s v="ORD6242875"/>
    <s v="ITM011"/>
    <n v="3"/>
    <n v="237"/>
    <x v="26"/>
    <x v="0"/>
    <n v="24"/>
    <n v="72"/>
  </r>
  <r>
    <s v="ORD5942868"/>
    <s v="ITM019"/>
    <n v="1"/>
    <n v="149"/>
    <x v="11"/>
    <x v="1"/>
    <n v="45"/>
    <n v="45"/>
  </r>
  <r>
    <s v="ORD5942868"/>
    <s v="ITM017"/>
    <n v="3"/>
    <n v="447"/>
    <x v="6"/>
    <x v="1"/>
    <n v="45"/>
    <n v="135"/>
  </r>
  <r>
    <s v="ORD1457985"/>
    <s v="ITM004"/>
    <n v="3"/>
    <n v="237"/>
    <x v="5"/>
    <x v="3"/>
    <n v="24"/>
    <n v="72"/>
  </r>
  <r>
    <s v="ORD1457985"/>
    <s v="ITM003"/>
    <n v="1"/>
    <n v="119"/>
    <x v="27"/>
    <x v="5"/>
    <n v="36"/>
    <n v="36"/>
  </r>
  <r>
    <s v="ORD3535634"/>
    <s v="ITM006"/>
    <n v="1"/>
    <n v="89"/>
    <x v="3"/>
    <x v="3"/>
    <n v="27"/>
    <n v="27"/>
  </r>
  <r>
    <s v="ORD3535634"/>
    <s v="ITM021"/>
    <n v="1"/>
    <n v="149"/>
    <x v="22"/>
    <x v="1"/>
    <n v="45"/>
    <n v="45"/>
  </r>
  <r>
    <s v="ORD9320631"/>
    <s v="ITM007"/>
    <n v="1"/>
    <n v="79"/>
    <x v="19"/>
    <x v="2"/>
    <n v="24"/>
    <n v="24"/>
  </r>
  <r>
    <s v="ORD9320631"/>
    <s v="ITM014"/>
    <n v="3"/>
    <n v="357"/>
    <x v="14"/>
    <x v="1"/>
    <n v="36"/>
    <n v="108"/>
  </r>
  <r>
    <s v="ORD9320631"/>
    <s v="ITM018"/>
    <n v="1"/>
    <n v="159"/>
    <x v="15"/>
    <x v="1"/>
    <n v="48"/>
    <n v="48"/>
  </r>
  <r>
    <s v="ORD8990421"/>
    <s v="ITM019"/>
    <n v="1"/>
    <n v="149"/>
    <x v="11"/>
    <x v="1"/>
    <n v="45"/>
    <n v="45"/>
  </r>
  <r>
    <s v="ORD8990421"/>
    <s v="ITM012"/>
    <n v="2"/>
    <n v="178"/>
    <x v="8"/>
    <x v="0"/>
    <n v="27"/>
    <n v="54"/>
  </r>
  <r>
    <s v="ORD9896176"/>
    <s v="ITM016"/>
    <n v="1"/>
    <n v="99"/>
    <x v="7"/>
    <x v="1"/>
    <n v="30"/>
    <n v="30"/>
  </r>
  <r>
    <s v="ORD2648810"/>
    <s v="ITM021"/>
    <n v="3"/>
    <n v="447"/>
    <x v="22"/>
    <x v="1"/>
    <n v="45"/>
    <n v="135"/>
  </r>
  <r>
    <s v="ORD2648810"/>
    <s v="ITM012"/>
    <n v="2"/>
    <n v="178"/>
    <x v="8"/>
    <x v="0"/>
    <n v="27"/>
    <n v="54"/>
  </r>
  <r>
    <s v="ORD1142206"/>
    <s v="ITM004"/>
    <n v="1"/>
    <n v="79"/>
    <x v="5"/>
    <x v="3"/>
    <n v="24"/>
    <n v="24"/>
  </r>
  <r>
    <s v="ORD1954320"/>
    <s v="ITM023"/>
    <n v="2"/>
    <n v="278"/>
    <x v="18"/>
    <x v="1"/>
    <n v="42"/>
    <n v="84"/>
  </r>
  <r>
    <s v="ORD1954320"/>
    <s v="ITM018"/>
    <n v="1"/>
    <n v="159"/>
    <x v="15"/>
    <x v="1"/>
    <n v="48"/>
    <n v="48"/>
  </r>
  <r>
    <s v="ORD1954320"/>
    <s v="ITM026"/>
    <n v="3"/>
    <n v="237"/>
    <x v="4"/>
    <x v="4"/>
    <n v="24"/>
    <n v="72"/>
  </r>
  <r>
    <s v="ORD5250268"/>
    <s v="ITM018"/>
    <n v="4"/>
    <n v="636"/>
    <x v="15"/>
    <x v="1"/>
    <n v="48"/>
    <n v="192"/>
  </r>
  <r>
    <s v="ORD5250268"/>
    <s v="ITM026"/>
    <n v="1"/>
    <n v="79"/>
    <x v="4"/>
    <x v="4"/>
    <n v="24"/>
    <n v="24"/>
  </r>
  <r>
    <s v="ORD5652111"/>
    <s v="ITM003"/>
    <n v="4"/>
    <n v="476"/>
    <x v="27"/>
    <x v="5"/>
    <n v="36"/>
    <n v="144"/>
  </r>
  <r>
    <s v="ORD5652111"/>
    <s v="ITM010"/>
    <n v="1"/>
    <n v="59"/>
    <x v="20"/>
    <x v="0"/>
    <n v="18"/>
    <n v="18"/>
  </r>
  <r>
    <s v="ORD2819161"/>
    <s v="ITM004"/>
    <n v="1"/>
    <n v="79"/>
    <x v="5"/>
    <x v="3"/>
    <n v="24"/>
    <n v="24"/>
  </r>
  <r>
    <s v="ORD2819161"/>
    <s v="ITM014"/>
    <n v="1"/>
    <n v="119"/>
    <x v="14"/>
    <x v="1"/>
    <n v="36"/>
    <n v="36"/>
  </r>
  <r>
    <s v="ORD2819161"/>
    <s v="ITM018"/>
    <n v="1"/>
    <n v="159"/>
    <x v="15"/>
    <x v="1"/>
    <n v="48"/>
    <n v="48"/>
  </r>
  <r>
    <s v="ORD1634776"/>
    <s v="ITM025"/>
    <n v="2"/>
    <n v="158"/>
    <x v="25"/>
    <x v="4"/>
    <n v="24"/>
    <n v="48"/>
  </r>
  <r>
    <s v="ORD1634776"/>
    <s v="ITM020"/>
    <n v="2"/>
    <n v="318"/>
    <x v="21"/>
    <x v="1"/>
    <n v="48"/>
    <n v="96"/>
  </r>
  <r>
    <s v="ORD4789081"/>
    <s v="ITM021"/>
    <n v="1"/>
    <n v="149"/>
    <x v="22"/>
    <x v="1"/>
    <n v="45"/>
    <n v="45"/>
  </r>
  <r>
    <s v="ORD4789081"/>
    <s v="ITM019"/>
    <n v="2"/>
    <n v="298"/>
    <x v="11"/>
    <x v="1"/>
    <n v="45"/>
    <n v="90"/>
  </r>
  <r>
    <s v="ORD9969540"/>
    <s v="ITM014"/>
    <n v="3"/>
    <n v="357"/>
    <x v="14"/>
    <x v="1"/>
    <n v="36"/>
    <n v="108"/>
  </r>
  <r>
    <s v="ORD7544871"/>
    <s v="ITM011"/>
    <n v="3"/>
    <n v="237"/>
    <x v="26"/>
    <x v="0"/>
    <n v="24"/>
    <n v="72"/>
  </r>
  <r>
    <s v="ORD7544871"/>
    <s v="ITM003"/>
    <n v="1"/>
    <n v="119"/>
    <x v="27"/>
    <x v="5"/>
    <n v="36"/>
    <n v="36"/>
  </r>
  <r>
    <s v="ORD7544871"/>
    <s v="ITM018"/>
    <n v="1"/>
    <n v="159"/>
    <x v="15"/>
    <x v="1"/>
    <n v="48"/>
    <n v="48"/>
  </r>
  <r>
    <s v="ORD9383308"/>
    <s v="ITM001"/>
    <n v="1"/>
    <n v="79"/>
    <x v="24"/>
    <x v="5"/>
    <n v="24"/>
    <n v="24"/>
  </r>
  <r>
    <s v="ORD9383308"/>
    <s v="ITM022"/>
    <n v="2"/>
    <n v="198"/>
    <x v="23"/>
    <x v="1"/>
    <n v="30"/>
    <n v="60"/>
  </r>
  <r>
    <s v="ORD9383308"/>
    <s v="ITM027"/>
    <n v="1"/>
    <n v="79"/>
    <x v="10"/>
    <x v="4"/>
    <n v="24"/>
    <n v="24"/>
  </r>
  <r>
    <s v="ORD9383308"/>
    <s v="ITM010"/>
    <n v="1"/>
    <n v="59"/>
    <x v="20"/>
    <x v="0"/>
    <n v="18"/>
    <n v="18"/>
  </r>
  <r>
    <s v="ORD2208521"/>
    <s v="ITM001"/>
    <n v="2"/>
    <n v="158"/>
    <x v="24"/>
    <x v="5"/>
    <n v="24"/>
    <n v="48"/>
  </r>
  <r>
    <s v="ORD2208521"/>
    <s v="ITM025"/>
    <n v="1"/>
    <n v="79"/>
    <x v="25"/>
    <x v="4"/>
    <n v="24"/>
    <n v="24"/>
  </r>
  <r>
    <s v="ORD2208521"/>
    <s v="ITM015"/>
    <n v="2"/>
    <n v="298"/>
    <x v="1"/>
    <x v="1"/>
    <n v="45"/>
    <n v="90"/>
  </r>
  <r>
    <s v="ORD2073030"/>
    <s v="ITM017"/>
    <n v="2"/>
    <n v="298"/>
    <x v="6"/>
    <x v="1"/>
    <n v="45"/>
    <n v="90"/>
  </r>
  <r>
    <s v="ORD3304005"/>
    <s v="ITM022"/>
    <n v="1"/>
    <n v="99"/>
    <x v="23"/>
    <x v="1"/>
    <n v="30"/>
    <n v="30"/>
  </r>
  <r>
    <s v="ORD3304005"/>
    <s v="ITM021"/>
    <n v="1"/>
    <n v="149"/>
    <x v="22"/>
    <x v="1"/>
    <n v="45"/>
    <n v="45"/>
  </r>
  <r>
    <s v="ORD3304005"/>
    <s v="ITM017"/>
    <n v="1"/>
    <n v="149"/>
    <x v="6"/>
    <x v="1"/>
    <n v="45"/>
    <n v="45"/>
  </r>
  <r>
    <s v="ORD3304005"/>
    <s v="ITM010"/>
    <n v="2"/>
    <n v="118"/>
    <x v="20"/>
    <x v="0"/>
    <n v="18"/>
    <n v="36"/>
  </r>
  <r>
    <s v="ORD7310431"/>
    <s v="ITM015"/>
    <n v="1"/>
    <n v="149"/>
    <x v="1"/>
    <x v="1"/>
    <n v="45"/>
    <n v="45"/>
  </r>
  <r>
    <s v="ORD8986164"/>
    <s v="ITM016"/>
    <n v="1"/>
    <n v="99"/>
    <x v="7"/>
    <x v="1"/>
    <n v="30"/>
    <n v="30"/>
  </r>
  <r>
    <s v="ORD8986164"/>
    <s v="ITM018"/>
    <n v="4"/>
    <n v="636"/>
    <x v="15"/>
    <x v="1"/>
    <n v="48"/>
    <n v="192"/>
  </r>
  <r>
    <s v="ORD6053293"/>
    <s v="ITM016"/>
    <n v="5"/>
    <n v="495"/>
    <x v="7"/>
    <x v="1"/>
    <n v="30"/>
    <n v="150"/>
  </r>
  <r>
    <s v="ORD6053293"/>
    <s v="ITM006"/>
    <n v="5"/>
    <n v="445"/>
    <x v="3"/>
    <x v="3"/>
    <n v="27"/>
    <n v="135"/>
  </r>
  <r>
    <s v="ORD4491484"/>
    <s v="ITM004"/>
    <n v="1"/>
    <n v="79"/>
    <x v="5"/>
    <x v="3"/>
    <n v="24"/>
    <n v="24"/>
  </r>
  <r>
    <s v="ORD7110145"/>
    <s v="ITM018"/>
    <n v="4"/>
    <n v="636"/>
    <x v="15"/>
    <x v="1"/>
    <n v="48"/>
    <n v="192"/>
  </r>
  <r>
    <s v="ORD7110145"/>
    <s v="ITM008"/>
    <n v="2"/>
    <n v="198"/>
    <x v="9"/>
    <x v="2"/>
    <n v="30"/>
    <n v="60"/>
  </r>
  <r>
    <s v="ORD4947676"/>
    <s v="ITM006"/>
    <n v="1"/>
    <n v="89"/>
    <x v="3"/>
    <x v="3"/>
    <n v="27"/>
    <n v="27"/>
  </r>
  <r>
    <s v="ORD4947676"/>
    <s v="ITM019"/>
    <n v="3"/>
    <n v="447"/>
    <x v="11"/>
    <x v="1"/>
    <n v="45"/>
    <n v="135"/>
  </r>
  <r>
    <s v="ORD4947676"/>
    <s v="ITM010"/>
    <n v="1"/>
    <n v="59"/>
    <x v="20"/>
    <x v="0"/>
    <n v="18"/>
    <n v="18"/>
  </r>
  <r>
    <s v="ORD1911663"/>
    <s v="ITM014"/>
    <n v="1"/>
    <n v="119"/>
    <x v="14"/>
    <x v="1"/>
    <n v="36"/>
    <n v="36"/>
  </r>
  <r>
    <s v="ORD1911663"/>
    <s v="ITM026"/>
    <n v="1"/>
    <n v="79"/>
    <x v="4"/>
    <x v="4"/>
    <n v="24"/>
    <n v="24"/>
  </r>
  <r>
    <s v="ORD2000789"/>
    <s v="ITM014"/>
    <n v="1"/>
    <n v="119"/>
    <x v="14"/>
    <x v="1"/>
    <n v="36"/>
    <n v="36"/>
  </r>
  <r>
    <s v="ORD2000789"/>
    <s v="ITM023"/>
    <n v="1"/>
    <n v="139"/>
    <x v="18"/>
    <x v="1"/>
    <n v="42"/>
    <n v="42"/>
  </r>
  <r>
    <s v="ORD4853765"/>
    <s v="ITM016"/>
    <n v="1"/>
    <n v="99"/>
    <x v="7"/>
    <x v="1"/>
    <n v="30"/>
    <n v="30"/>
  </r>
  <r>
    <s v="ORD4853765"/>
    <s v="ITM023"/>
    <n v="2"/>
    <n v="278"/>
    <x v="18"/>
    <x v="1"/>
    <n v="42"/>
    <n v="84"/>
  </r>
  <r>
    <s v="ORD4731363"/>
    <s v="ITM024"/>
    <n v="5"/>
    <n v="395"/>
    <x v="17"/>
    <x v="4"/>
    <n v="24"/>
    <n v="120"/>
  </r>
  <r>
    <s v="ORD4731363"/>
    <s v="ITM002"/>
    <n v="3"/>
    <n v="297"/>
    <x v="12"/>
    <x v="5"/>
    <n v="30"/>
    <n v="90"/>
  </r>
  <r>
    <s v="ORD4731363"/>
    <s v="ITM013"/>
    <n v="2"/>
    <n v="138"/>
    <x v="0"/>
    <x v="0"/>
    <n v="21"/>
    <n v="42"/>
  </r>
  <r>
    <s v="ORD4731363"/>
    <s v="ITM025"/>
    <n v="1"/>
    <n v="79"/>
    <x v="25"/>
    <x v="4"/>
    <n v="24"/>
    <n v="24"/>
  </r>
  <r>
    <s v="ORD1208423"/>
    <s v="ITM004"/>
    <n v="2"/>
    <n v="158"/>
    <x v="5"/>
    <x v="3"/>
    <n v="24"/>
    <n v="48"/>
  </r>
  <r>
    <s v="ORD1208423"/>
    <s v="ITM018"/>
    <n v="1"/>
    <n v="159"/>
    <x v="15"/>
    <x v="1"/>
    <n v="48"/>
    <n v="48"/>
  </r>
  <r>
    <s v="ORD1208423"/>
    <s v="ITM005"/>
    <n v="2"/>
    <n v="198"/>
    <x v="16"/>
    <x v="3"/>
    <n v="30"/>
    <n v="60"/>
  </r>
  <r>
    <s v="ORD1208423"/>
    <s v="ITM009"/>
    <n v="3"/>
    <n v="267"/>
    <x v="2"/>
    <x v="2"/>
    <n v="27"/>
    <n v="81"/>
  </r>
  <r>
    <s v="ORD7214624"/>
    <s v="ITM001"/>
    <n v="2"/>
    <n v="158"/>
    <x v="24"/>
    <x v="5"/>
    <n v="24"/>
    <n v="48"/>
  </r>
  <r>
    <s v="ORD7214624"/>
    <s v="ITM018"/>
    <n v="2"/>
    <n v="318"/>
    <x v="15"/>
    <x v="1"/>
    <n v="48"/>
    <n v="96"/>
  </r>
  <r>
    <s v="ORD7214624"/>
    <s v="ITM012"/>
    <n v="1"/>
    <n v="89"/>
    <x v="8"/>
    <x v="0"/>
    <n v="27"/>
    <n v="27"/>
  </r>
  <r>
    <s v="ORD2358267"/>
    <s v="ITM026"/>
    <n v="4"/>
    <n v="316"/>
    <x v="4"/>
    <x v="4"/>
    <n v="24"/>
    <n v="96"/>
  </r>
  <r>
    <s v="ORD2358267"/>
    <s v="ITM019"/>
    <n v="1"/>
    <n v="149"/>
    <x v="11"/>
    <x v="1"/>
    <n v="45"/>
    <n v="45"/>
  </r>
  <r>
    <s v="ORD2358267"/>
    <s v="ITM002"/>
    <n v="1"/>
    <n v="99"/>
    <x v="12"/>
    <x v="5"/>
    <n v="30"/>
    <n v="30"/>
  </r>
  <r>
    <s v="ORD2358267"/>
    <s v="ITM020"/>
    <n v="2"/>
    <n v="318"/>
    <x v="21"/>
    <x v="1"/>
    <n v="48"/>
    <n v="96"/>
  </r>
  <r>
    <s v="ORD4434507"/>
    <s v="ITM007"/>
    <n v="2"/>
    <n v="158"/>
    <x v="19"/>
    <x v="2"/>
    <n v="24"/>
    <n v="48"/>
  </r>
  <r>
    <s v="ORD4434507"/>
    <s v="ITM015"/>
    <n v="4"/>
    <n v="596"/>
    <x v="1"/>
    <x v="1"/>
    <n v="45"/>
    <n v="180"/>
  </r>
  <r>
    <s v="ORD4434507"/>
    <s v="ITM026"/>
    <n v="1"/>
    <n v="79"/>
    <x v="4"/>
    <x v="4"/>
    <n v="24"/>
    <n v="24"/>
  </r>
  <r>
    <s v="ORD4434507"/>
    <s v="ITM004"/>
    <n v="3"/>
    <n v="237"/>
    <x v="5"/>
    <x v="3"/>
    <n v="24"/>
    <n v="72"/>
  </r>
  <r>
    <s v="ORD7254777"/>
    <s v="ITM022"/>
    <n v="2"/>
    <n v="198"/>
    <x v="23"/>
    <x v="1"/>
    <n v="30"/>
    <n v="60"/>
  </r>
  <r>
    <s v="ORD7254777"/>
    <s v="ITM015"/>
    <n v="2"/>
    <n v="298"/>
    <x v="1"/>
    <x v="1"/>
    <n v="45"/>
    <n v="90"/>
  </r>
  <r>
    <s v="ORD2101048"/>
    <s v="ITM003"/>
    <n v="4"/>
    <n v="476"/>
    <x v="27"/>
    <x v="5"/>
    <n v="36"/>
    <n v="144"/>
  </r>
  <r>
    <s v="ORD2101048"/>
    <s v="ITM014"/>
    <n v="1"/>
    <n v="119"/>
    <x v="14"/>
    <x v="1"/>
    <n v="36"/>
    <n v="36"/>
  </r>
  <r>
    <s v="ORD2101048"/>
    <s v="ITM024"/>
    <n v="1"/>
    <n v="79"/>
    <x v="17"/>
    <x v="4"/>
    <n v="24"/>
    <n v="24"/>
  </r>
  <r>
    <s v="ORD2101048"/>
    <s v="ITM009"/>
    <n v="2"/>
    <n v="178"/>
    <x v="2"/>
    <x v="2"/>
    <n v="27"/>
    <n v="54"/>
  </r>
  <r>
    <s v="ORD3215051"/>
    <s v="ITM014"/>
    <n v="1"/>
    <n v="119"/>
    <x v="14"/>
    <x v="1"/>
    <n v="36"/>
    <n v="36"/>
  </r>
  <r>
    <s v="ORD3215051"/>
    <s v="ITM018"/>
    <n v="1"/>
    <n v="159"/>
    <x v="15"/>
    <x v="1"/>
    <n v="48"/>
    <n v="48"/>
  </r>
  <r>
    <s v="ORD6474513"/>
    <s v="ITM014"/>
    <n v="1"/>
    <n v="119"/>
    <x v="14"/>
    <x v="1"/>
    <n v="36"/>
    <n v="36"/>
  </r>
  <r>
    <s v="ORD6474513"/>
    <s v="ITM023"/>
    <n v="1"/>
    <n v="139"/>
    <x v="18"/>
    <x v="1"/>
    <n v="42"/>
    <n v="42"/>
  </r>
  <r>
    <s v="ORD6474513"/>
    <s v="ITM019"/>
    <n v="3"/>
    <n v="447"/>
    <x v="11"/>
    <x v="1"/>
    <n v="45"/>
    <n v="135"/>
  </r>
  <r>
    <s v="ORD6924385"/>
    <s v="ITM005"/>
    <n v="2"/>
    <n v="198"/>
    <x v="16"/>
    <x v="3"/>
    <n v="30"/>
    <n v="60"/>
  </r>
  <r>
    <s v="ORD6924385"/>
    <s v="ITM025"/>
    <n v="1"/>
    <n v="79"/>
    <x v="25"/>
    <x v="4"/>
    <n v="24"/>
    <n v="24"/>
  </r>
  <r>
    <s v="ORD2961547"/>
    <s v="ITM011"/>
    <n v="2"/>
    <n v="158"/>
    <x v="26"/>
    <x v="0"/>
    <n v="24"/>
    <n v="48"/>
  </r>
  <r>
    <s v="ORD2961547"/>
    <s v="ITM014"/>
    <n v="2"/>
    <n v="238"/>
    <x v="14"/>
    <x v="1"/>
    <n v="36"/>
    <n v="72"/>
  </r>
  <r>
    <s v="ORD2961547"/>
    <s v="ITM017"/>
    <n v="5"/>
    <n v="745"/>
    <x v="6"/>
    <x v="1"/>
    <n v="45"/>
    <n v="225"/>
  </r>
  <r>
    <s v="ORD2961547"/>
    <s v="ITM006"/>
    <n v="1"/>
    <n v="89"/>
    <x v="3"/>
    <x v="3"/>
    <n v="27"/>
    <n v="27"/>
  </r>
  <r>
    <s v="ORD9378825"/>
    <s v="ITM016"/>
    <n v="2"/>
    <n v="198"/>
    <x v="7"/>
    <x v="1"/>
    <n v="30"/>
    <n v="60"/>
  </r>
  <r>
    <s v="ORD9378825"/>
    <s v="ITM027"/>
    <n v="2"/>
    <n v="158"/>
    <x v="10"/>
    <x v="4"/>
    <n v="24"/>
    <n v="48"/>
  </r>
  <r>
    <s v="ORD9378825"/>
    <s v="ITM005"/>
    <n v="1"/>
    <n v="99"/>
    <x v="16"/>
    <x v="3"/>
    <n v="30"/>
    <n v="30"/>
  </r>
  <r>
    <s v="ORD9378825"/>
    <s v="ITM026"/>
    <n v="4"/>
    <n v="316"/>
    <x v="4"/>
    <x v="4"/>
    <n v="24"/>
    <n v="96"/>
  </r>
  <r>
    <s v="ORD8417300"/>
    <s v="ITM024"/>
    <n v="2"/>
    <n v="158"/>
    <x v="17"/>
    <x v="4"/>
    <n v="24"/>
    <n v="48"/>
  </r>
  <r>
    <s v="ORD8417300"/>
    <s v="ITM005"/>
    <n v="1"/>
    <n v="99"/>
    <x v="16"/>
    <x v="3"/>
    <n v="30"/>
    <n v="30"/>
  </r>
  <r>
    <s v="ORD8417300"/>
    <s v="ITM020"/>
    <n v="1"/>
    <n v="159"/>
    <x v="21"/>
    <x v="1"/>
    <n v="48"/>
    <n v="48"/>
  </r>
  <r>
    <s v="ORD9832094"/>
    <s v="ITM006"/>
    <n v="3"/>
    <n v="267"/>
    <x v="3"/>
    <x v="3"/>
    <n v="27"/>
    <n v="81"/>
  </r>
  <r>
    <s v="ORD9832094"/>
    <s v="ITM003"/>
    <n v="2"/>
    <n v="238"/>
    <x v="27"/>
    <x v="5"/>
    <n v="36"/>
    <n v="72"/>
  </r>
  <r>
    <s v="ORD9832094"/>
    <s v="ITM021"/>
    <n v="4"/>
    <n v="596"/>
    <x v="22"/>
    <x v="1"/>
    <n v="45"/>
    <n v="180"/>
  </r>
  <r>
    <s v="ORD7057663"/>
    <s v="ITM011"/>
    <n v="1"/>
    <n v="79"/>
    <x v="26"/>
    <x v="0"/>
    <n v="24"/>
    <n v="24"/>
  </r>
  <r>
    <s v="ORD7057663"/>
    <s v="ITM023"/>
    <n v="1"/>
    <n v="139"/>
    <x v="18"/>
    <x v="1"/>
    <n v="42"/>
    <n v="42"/>
  </r>
  <r>
    <s v="ORD7972774"/>
    <s v="ITM022"/>
    <n v="1"/>
    <n v="99"/>
    <x v="23"/>
    <x v="1"/>
    <n v="30"/>
    <n v="30"/>
  </r>
  <r>
    <s v="ORD7972774"/>
    <s v="ITM027"/>
    <n v="4"/>
    <n v="316"/>
    <x v="10"/>
    <x v="4"/>
    <n v="24"/>
    <n v="96"/>
  </r>
  <r>
    <s v="ORD6627359"/>
    <s v="ITM001"/>
    <n v="1"/>
    <n v="79"/>
    <x v="24"/>
    <x v="5"/>
    <n v="24"/>
    <n v="24"/>
  </r>
  <r>
    <s v="ORD6627359"/>
    <s v="ITM018"/>
    <n v="1"/>
    <n v="159"/>
    <x v="15"/>
    <x v="1"/>
    <n v="48"/>
    <n v="48"/>
  </r>
  <r>
    <s v="ORD6627359"/>
    <s v="ITM017"/>
    <n v="2"/>
    <n v="298"/>
    <x v="6"/>
    <x v="1"/>
    <n v="45"/>
    <n v="90"/>
  </r>
  <r>
    <s v="ORD6627359"/>
    <s v="ITM012"/>
    <n v="2"/>
    <n v="178"/>
    <x v="8"/>
    <x v="0"/>
    <n v="27"/>
    <n v="54"/>
  </r>
  <r>
    <s v="ORD6066600"/>
    <s v="ITM016"/>
    <n v="1"/>
    <n v="99"/>
    <x v="7"/>
    <x v="1"/>
    <n v="30"/>
    <n v="30"/>
  </r>
  <r>
    <s v="ORD6066600"/>
    <s v="ITM014"/>
    <n v="1"/>
    <n v="119"/>
    <x v="14"/>
    <x v="1"/>
    <n v="36"/>
    <n v="36"/>
  </r>
  <r>
    <s v="ORD5826621"/>
    <s v="ITM018"/>
    <n v="1"/>
    <n v="159"/>
    <x v="15"/>
    <x v="1"/>
    <n v="48"/>
    <n v="48"/>
  </r>
  <r>
    <s v="ORD5826621"/>
    <s v="ITM025"/>
    <n v="3"/>
    <n v="237"/>
    <x v="25"/>
    <x v="4"/>
    <n v="24"/>
    <n v="72"/>
  </r>
  <r>
    <s v="ORD5327037"/>
    <s v="ITM001"/>
    <n v="1"/>
    <n v="79"/>
    <x v="24"/>
    <x v="5"/>
    <n v="24"/>
    <n v="24"/>
  </r>
  <r>
    <s v="ORD5327037"/>
    <s v="ITM022"/>
    <n v="2"/>
    <n v="198"/>
    <x v="23"/>
    <x v="1"/>
    <n v="30"/>
    <n v="60"/>
  </r>
  <r>
    <s v="ORD5327037"/>
    <s v="ITM012"/>
    <n v="1"/>
    <n v="89"/>
    <x v="8"/>
    <x v="0"/>
    <n v="27"/>
    <n v="27"/>
  </r>
  <r>
    <s v="ORD5327037"/>
    <s v="ITM020"/>
    <n v="2"/>
    <n v="318"/>
    <x v="21"/>
    <x v="1"/>
    <n v="48"/>
    <n v="96"/>
  </r>
  <r>
    <s v="ORD6972425"/>
    <s v="ITM016"/>
    <n v="2"/>
    <n v="198"/>
    <x v="7"/>
    <x v="1"/>
    <n v="30"/>
    <n v="60"/>
  </r>
  <r>
    <s v="ORD6972425"/>
    <s v="ITM026"/>
    <n v="3"/>
    <n v="237"/>
    <x v="4"/>
    <x v="4"/>
    <n v="24"/>
    <n v="72"/>
  </r>
  <r>
    <s v="ORD6051155"/>
    <s v="ITM004"/>
    <n v="3"/>
    <n v="237"/>
    <x v="5"/>
    <x v="3"/>
    <n v="24"/>
    <n v="72"/>
  </r>
  <r>
    <s v="ORD6051155"/>
    <s v="ITM019"/>
    <n v="1"/>
    <n v="149"/>
    <x v="11"/>
    <x v="1"/>
    <n v="45"/>
    <n v="45"/>
  </r>
  <r>
    <s v="ORD6051155"/>
    <s v="ITM017"/>
    <n v="2"/>
    <n v="298"/>
    <x v="6"/>
    <x v="1"/>
    <n v="45"/>
    <n v="90"/>
  </r>
  <r>
    <s v="ORD4709668"/>
    <s v="ITM016"/>
    <n v="3"/>
    <n v="297"/>
    <x v="7"/>
    <x v="1"/>
    <n v="30"/>
    <n v="90"/>
  </r>
  <r>
    <s v="ORD4709668"/>
    <s v="ITM027"/>
    <n v="2"/>
    <n v="158"/>
    <x v="10"/>
    <x v="4"/>
    <n v="24"/>
    <n v="48"/>
  </r>
  <r>
    <s v="ORD4709668"/>
    <s v="ITM019"/>
    <n v="2"/>
    <n v="298"/>
    <x v="11"/>
    <x v="1"/>
    <n v="45"/>
    <n v="90"/>
  </r>
  <r>
    <s v="ORD9044980"/>
    <s v="ITM011"/>
    <n v="4"/>
    <n v="316"/>
    <x v="26"/>
    <x v="0"/>
    <n v="24"/>
    <n v="96"/>
  </r>
  <r>
    <s v="ORD9044980"/>
    <s v="ITM022"/>
    <n v="2"/>
    <n v="198"/>
    <x v="23"/>
    <x v="1"/>
    <n v="30"/>
    <n v="60"/>
  </r>
  <r>
    <s v="ORD3388393"/>
    <s v="ITM007"/>
    <n v="1"/>
    <n v="79"/>
    <x v="19"/>
    <x v="2"/>
    <n v="24"/>
    <n v="24"/>
  </r>
  <r>
    <s v="ORD3388393"/>
    <s v="ITM028"/>
    <n v="3"/>
    <n v="147"/>
    <x v="13"/>
    <x v="4"/>
    <n v="15"/>
    <n v="45"/>
  </r>
  <r>
    <s v="ORD9614751"/>
    <s v="ITM004"/>
    <n v="1"/>
    <n v="79"/>
    <x v="5"/>
    <x v="3"/>
    <n v="24"/>
    <n v="24"/>
  </r>
  <r>
    <s v="ORD4355853"/>
    <s v="ITM001"/>
    <n v="1"/>
    <n v="79"/>
    <x v="24"/>
    <x v="5"/>
    <n v="24"/>
    <n v="24"/>
  </r>
  <r>
    <s v="ORD4355853"/>
    <s v="ITM021"/>
    <n v="2"/>
    <n v="298"/>
    <x v="22"/>
    <x v="1"/>
    <n v="45"/>
    <n v="90"/>
  </r>
  <r>
    <s v="ORD4355853"/>
    <s v="ITM005"/>
    <n v="1"/>
    <n v="99"/>
    <x v="16"/>
    <x v="3"/>
    <n v="30"/>
    <n v="30"/>
  </r>
  <r>
    <s v="ORD1234617"/>
    <s v="ITM006"/>
    <n v="4"/>
    <n v="356"/>
    <x v="3"/>
    <x v="3"/>
    <n v="27"/>
    <n v="108"/>
  </r>
  <r>
    <s v="ORD1234617"/>
    <s v="ITM009"/>
    <n v="2"/>
    <n v="178"/>
    <x v="2"/>
    <x v="2"/>
    <n v="27"/>
    <n v="54"/>
  </r>
  <r>
    <s v="ORD4105895"/>
    <s v="ITM004"/>
    <n v="1"/>
    <n v="79"/>
    <x v="5"/>
    <x v="3"/>
    <n v="24"/>
    <n v="24"/>
  </r>
  <r>
    <s v="ORD4105895"/>
    <s v="ITM023"/>
    <n v="2"/>
    <n v="278"/>
    <x v="18"/>
    <x v="1"/>
    <n v="42"/>
    <n v="84"/>
  </r>
  <r>
    <s v="ORD4105895"/>
    <s v="ITM028"/>
    <n v="1"/>
    <n v="49"/>
    <x v="13"/>
    <x v="4"/>
    <n v="15"/>
    <n v="15"/>
  </r>
  <r>
    <s v="ORD5836389"/>
    <s v="ITM003"/>
    <n v="2"/>
    <n v="238"/>
    <x v="27"/>
    <x v="5"/>
    <n v="36"/>
    <n v="72"/>
  </r>
  <r>
    <s v="ORD5836389"/>
    <s v="ITM012"/>
    <n v="3"/>
    <n v="267"/>
    <x v="8"/>
    <x v="0"/>
    <n v="27"/>
    <n v="81"/>
  </r>
  <r>
    <s v="ORD5836389"/>
    <s v="ITM015"/>
    <n v="2"/>
    <n v="298"/>
    <x v="1"/>
    <x v="1"/>
    <n v="45"/>
    <n v="90"/>
  </r>
  <r>
    <s v="ORD8980532"/>
    <s v="ITM028"/>
    <n v="1"/>
    <n v="49"/>
    <x v="13"/>
    <x v="4"/>
    <n v="15"/>
    <n v="15"/>
  </r>
  <r>
    <s v="ORD8980532"/>
    <s v="ITM015"/>
    <n v="1"/>
    <n v="149"/>
    <x v="1"/>
    <x v="1"/>
    <n v="45"/>
    <n v="45"/>
  </r>
  <r>
    <s v="ORD3830705"/>
    <s v="ITM006"/>
    <n v="3"/>
    <n v="267"/>
    <x v="3"/>
    <x v="3"/>
    <n v="27"/>
    <n v="81"/>
  </r>
  <r>
    <s v="ORD5579723"/>
    <s v="ITM019"/>
    <n v="5"/>
    <n v="745"/>
    <x v="11"/>
    <x v="1"/>
    <n v="45"/>
    <n v="225"/>
  </r>
  <r>
    <s v="ORD5579723"/>
    <s v="ITM026"/>
    <n v="2"/>
    <n v="158"/>
    <x v="4"/>
    <x v="4"/>
    <n v="24"/>
    <n v="48"/>
  </r>
  <r>
    <s v="ORD1498677"/>
    <s v="ITM001"/>
    <n v="1"/>
    <n v="79"/>
    <x v="24"/>
    <x v="5"/>
    <n v="24"/>
    <n v="24"/>
  </r>
  <r>
    <s v="ORD1498677"/>
    <s v="ITM022"/>
    <n v="2"/>
    <n v="198"/>
    <x v="23"/>
    <x v="1"/>
    <n v="30"/>
    <n v="60"/>
  </r>
  <r>
    <s v="ORD1498677"/>
    <s v="ITM015"/>
    <n v="1"/>
    <n v="149"/>
    <x v="1"/>
    <x v="1"/>
    <n v="45"/>
    <n v="45"/>
  </r>
  <r>
    <s v="ORD8818548"/>
    <s v="ITM015"/>
    <n v="2"/>
    <n v="298"/>
    <x v="1"/>
    <x v="1"/>
    <n v="45"/>
    <n v="90"/>
  </r>
  <r>
    <s v="ORD7436241"/>
    <s v="ITM014"/>
    <n v="1"/>
    <n v="119"/>
    <x v="14"/>
    <x v="1"/>
    <n v="36"/>
    <n v="36"/>
  </r>
  <r>
    <s v="ORD7436241"/>
    <s v="ITM012"/>
    <n v="2"/>
    <n v="178"/>
    <x v="8"/>
    <x v="0"/>
    <n v="27"/>
    <n v="54"/>
  </r>
  <r>
    <s v="ORD7527687"/>
    <s v="ITM016"/>
    <n v="2"/>
    <n v="198"/>
    <x v="7"/>
    <x v="1"/>
    <n v="30"/>
    <n v="60"/>
  </r>
  <r>
    <s v="ORD7527687"/>
    <s v="ITM017"/>
    <n v="2"/>
    <n v="298"/>
    <x v="6"/>
    <x v="1"/>
    <n v="45"/>
    <n v="90"/>
  </r>
  <r>
    <s v="ORD7527687"/>
    <s v="ITM015"/>
    <n v="2"/>
    <n v="298"/>
    <x v="1"/>
    <x v="1"/>
    <n v="45"/>
    <n v="90"/>
  </r>
  <r>
    <s v="ORD6918393"/>
    <s v="ITM001"/>
    <n v="3"/>
    <n v="237"/>
    <x v="24"/>
    <x v="5"/>
    <n v="24"/>
    <n v="72"/>
  </r>
  <r>
    <s v="ORD6918393"/>
    <s v="ITM002"/>
    <n v="1"/>
    <n v="99"/>
    <x v="12"/>
    <x v="5"/>
    <n v="30"/>
    <n v="30"/>
  </r>
  <r>
    <s v="ORD6995607"/>
    <s v="ITM019"/>
    <n v="2"/>
    <n v="298"/>
    <x v="11"/>
    <x v="1"/>
    <n v="45"/>
    <n v="90"/>
  </r>
  <r>
    <s v="ORD6995607"/>
    <s v="ITM008"/>
    <n v="2"/>
    <n v="198"/>
    <x v="9"/>
    <x v="2"/>
    <n v="30"/>
    <n v="60"/>
  </r>
  <r>
    <s v="ORD8732776"/>
    <s v="ITM019"/>
    <n v="2"/>
    <n v="298"/>
    <x v="11"/>
    <x v="1"/>
    <n v="45"/>
    <n v="90"/>
  </r>
  <r>
    <s v="ORD8732776"/>
    <s v="ITM008"/>
    <n v="5"/>
    <n v="495"/>
    <x v="9"/>
    <x v="2"/>
    <n v="30"/>
    <n v="150"/>
  </r>
  <r>
    <s v="ORD8732776"/>
    <s v="ITM025"/>
    <n v="1"/>
    <n v="79"/>
    <x v="25"/>
    <x v="4"/>
    <n v="24"/>
    <n v="24"/>
  </r>
  <r>
    <s v="ORD6636598"/>
    <s v="ITM021"/>
    <n v="2"/>
    <n v="298"/>
    <x v="22"/>
    <x v="1"/>
    <n v="45"/>
    <n v="90"/>
  </r>
  <r>
    <s v="ORD6636598"/>
    <s v="ITM010"/>
    <n v="1"/>
    <n v="59"/>
    <x v="20"/>
    <x v="0"/>
    <n v="18"/>
    <n v="18"/>
  </r>
  <r>
    <s v="ORD5821026"/>
    <s v="ITM028"/>
    <n v="1"/>
    <n v="49"/>
    <x v="13"/>
    <x v="4"/>
    <n v="15"/>
    <n v="15"/>
  </r>
  <r>
    <s v="ORD2128599"/>
    <s v="ITM007"/>
    <n v="1"/>
    <n v="79"/>
    <x v="19"/>
    <x v="2"/>
    <n v="24"/>
    <n v="24"/>
  </r>
  <r>
    <s v="ORD2128599"/>
    <s v="ITM022"/>
    <n v="3"/>
    <n v="297"/>
    <x v="23"/>
    <x v="1"/>
    <n v="30"/>
    <n v="90"/>
  </r>
  <r>
    <s v="ORD2128599"/>
    <s v="ITM018"/>
    <n v="1"/>
    <n v="159"/>
    <x v="15"/>
    <x v="1"/>
    <n v="48"/>
    <n v="48"/>
  </r>
  <r>
    <s v="ORD2128599"/>
    <s v="ITM015"/>
    <n v="2"/>
    <n v="298"/>
    <x v="1"/>
    <x v="1"/>
    <n v="45"/>
    <n v="90"/>
  </r>
  <r>
    <s v="ORD1312111"/>
    <s v="ITM007"/>
    <n v="2"/>
    <n v="158"/>
    <x v="19"/>
    <x v="2"/>
    <n v="24"/>
    <n v="48"/>
  </r>
  <r>
    <s v="ORD1312111"/>
    <s v="ITM027"/>
    <n v="4"/>
    <n v="316"/>
    <x v="10"/>
    <x v="4"/>
    <n v="24"/>
    <n v="96"/>
  </r>
  <r>
    <s v="ORD1312111"/>
    <s v="ITM017"/>
    <n v="2"/>
    <n v="298"/>
    <x v="6"/>
    <x v="1"/>
    <n v="45"/>
    <n v="90"/>
  </r>
  <r>
    <s v="ORD1312111"/>
    <s v="ITM020"/>
    <n v="2"/>
    <n v="318"/>
    <x v="21"/>
    <x v="1"/>
    <n v="48"/>
    <n v="96"/>
  </r>
  <r>
    <s v="ORD3478727"/>
    <s v="ITM019"/>
    <n v="1"/>
    <n v="149"/>
    <x v="11"/>
    <x v="1"/>
    <n v="45"/>
    <n v="45"/>
  </r>
  <r>
    <s v="ORD3478727"/>
    <s v="ITM009"/>
    <n v="1"/>
    <n v="89"/>
    <x v="2"/>
    <x v="2"/>
    <n v="27"/>
    <n v="27"/>
  </r>
  <r>
    <s v="ORD3694157"/>
    <s v="ITM007"/>
    <n v="1"/>
    <n v="79"/>
    <x v="19"/>
    <x v="2"/>
    <n v="24"/>
    <n v="24"/>
  </r>
  <r>
    <s v="ORD3694157"/>
    <s v="ITM005"/>
    <n v="3"/>
    <n v="297"/>
    <x v="16"/>
    <x v="3"/>
    <n v="30"/>
    <n v="90"/>
  </r>
  <r>
    <s v="ORD3673591"/>
    <s v="ITM022"/>
    <n v="2"/>
    <n v="198"/>
    <x v="23"/>
    <x v="1"/>
    <n v="30"/>
    <n v="60"/>
  </r>
  <r>
    <s v="ORD3673591"/>
    <s v="ITM008"/>
    <n v="1"/>
    <n v="99"/>
    <x v="9"/>
    <x v="2"/>
    <n v="30"/>
    <n v="30"/>
  </r>
  <r>
    <s v="ORD6266448"/>
    <s v="ITM003"/>
    <n v="4"/>
    <n v="476"/>
    <x v="27"/>
    <x v="5"/>
    <n v="36"/>
    <n v="144"/>
  </r>
  <r>
    <s v="ORD6266448"/>
    <s v="ITM027"/>
    <n v="2"/>
    <n v="158"/>
    <x v="10"/>
    <x v="4"/>
    <n v="24"/>
    <n v="48"/>
  </r>
  <r>
    <s v="ORD9392777"/>
    <s v="ITM022"/>
    <n v="1"/>
    <n v="99"/>
    <x v="23"/>
    <x v="1"/>
    <n v="30"/>
    <n v="30"/>
  </r>
  <r>
    <s v="ORD9392777"/>
    <s v="ITM026"/>
    <n v="4"/>
    <n v="316"/>
    <x v="4"/>
    <x v="4"/>
    <n v="24"/>
    <n v="96"/>
  </r>
  <r>
    <s v="ORD7542286"/>
    <s v="ITM007"/>
    <n v="1"/>
    <n v="79"/>
    <x v="19"/>
    <x v="2"/>
    <n v="24"/>
    <n v="24"/>
  </r>
  <r>
    <s v="ORD7542286"/>
    <s v="ITM008"/>
    <n v="3"/>
    <n v="297"/>
    <x v="9"/>
    <x v="2"/>
    <n v="30"/>
    <n v="90"/>
  </r>
  <r>
    <s v="ORD7542286"/>
    <s v="ITM004"/>
    <n v="1"/>
    <n v="79"/>
    <x v="5"/>
    <x v="3"/>
    <n v="24"/>
    <n v="24"/>
  </r>
  <r>
    <s v="ORD5659599"/>
    <s v="ITM022"/>
    <n v="1"/>
    <n v="99"/>
    <x v="23"/>
    <x v="1"/>
    <n v="30"/>
    <n v="30"/>
  </r>
  <r>
    <s v="ORD5659599"/>
    <s v="ITM020"/>
    <n v="5"/>
    <n v="795"/>
    <x v="21"/>
    <x v="1"/>
    <n v="48"/>
    <n v="240"/>
  </r>
  <r>
    <s v="ORD5021093"/>
    <s v="ITM011"/>
    <n v="3"/>
    <n v="237"/>
    <x v="26"/>
    <x v="0"/>
    <n v="24"/>
    <n v="72"/>
  </r>
  <r>
    <s v="ORD5021093"/>
    <s v="ITM027"/>
    <n v="1"/>
    <n v="79"/>
    <x v="10"/>
    <x v="4"/>
    <n v="24"/>
    <n v="24"/>
  </r>
  <r>
    <s v="ORD5021093"/>
    <s v="ITM009"/>
    <n v="3"/>
    <n v="267"/>
    <x v="2"/>
    <x v="2"/>
    <n v="27"/>
    <n v="81"/>
  </r>
  <r>
    <s v="ORD2514149"/>
    <s v="ITM023"/>
    <n v="1"/>
    <n v="139"/>
    <x v="18"/>
    <x v="1"/>
    <n v="42"/>
    <n v="42"/>
  </r>
  <r>
    <s v="ORD2514149"/>
    <s v="ITM005"/>
    <n v="1"/>
    <n v="99"/>
    <x v="16"/>
    <x v="3"/>
    <n v="30"/>
    <n v="30"/>
  </r>
  <r>
    <s v="ORD9249220"/>
    <s v="ITM013"/>
    <n v="4"/>
    <n v="276"/>
    <x v="0"/>
    <x v="0"/>
    <n v="21"/>
    <n v="84"/>
  </r>
  <r>
    <s v="ORD9249220"/>
    <s v="ITM010"/>
    <n v="1"/>
    <n v="59"/>
    <x v="20"/>
    <x v="0"/>
    <n v="18"/>
    <n v="18"/>
  </r>
  <r>
    <s v="ORD9249220"/>
    <s v="ITM026"/>
    <n v="1"/>
    <n v="79"/>
    <x v="4"/>
    <x v="4"/>
    <n v="24"/>
    <n v="24"/>
  </r>
  <r>
    <s v="ORD8604470"/>
    <s v="ITM006"/>
    <n v="2"/>
    <n v="178"/>
    <x v="3"/>
    <x v="3"/>
    <n v="27"/>
    <n v="54"/>
  </r>
  <r>
    <s v="ORD8604470"/>
    <s v="ITM018"/>
    <n v="1"/>
    <n v="159"/>
    <x v="15"/>
    <x v="1"/>
    <n v="48"/>
    <n v="48"/>
  </r>
  <r>
    <s v="ORD8604470"/>
    <s v="ITM014"/>
    <n v="1"/>
    <n v="119"/>
    <x v="14"/>
    <x v="1"/>
    <n v="36"/>
    <n v="36"/>
  </r>
  <r>
    <s v="ORD3182597"/>
    <s v="ITM022"/>
    <n v="3"/>
    <n v="297"/>
    <x v="23"/>
    <x v="1"/>
    <n v="30"/>
    <n v="90"/>
  </r>
  <r>
    <s v="ORD3182597"/>
    <s v="ITM010"/>
    <n v="1"/>
    <n v="59"/>
    <x v="20"/>
    <x v="0"/>
    <n v="18"/>
    <n v="18"/>
  </r>
  <r>
    <s v="ORD3182597"/>
    <s v="ITM015"/>
    <n v="2"/>
    <n v="298"/>
    <x v="1"/>
    <x v="1"/>
    <n v="45"/>
    <n v="90"/>
  </r>
  <r>
    <s v="ORD7330379"/>
    <s v="ITM025"/>
    <n v="2"/>
    <n v="158"/>
    <x v="25"/>
    <x v="4"/>
    <n v="24"/>
    <n v="48"/>
  </r>
  <r>
    <s v="ORD7330379"/>
    <s v="ITM026"/>
    <n v="2"/>
    <n v="158"/>
    <x v="4"/>
    <x v="4"/>
    <n v="24"/>
    <n v="48"/>
  </r>
  <r>
    <s v="ORD8195804"/>
    <s v="ITM011"/>
    <n v="4"/>
    <n v="316"/>
    <x v="26"/>
    <x v="0"/>
    <n v="24"/>
    <n v="96"/>
  </r>
  <r>
    <s v="ORD8195804"/>
    <s v="ITM003"/>
    <n v="1"/>
    <n v="119"/>
    <x v="27"/>
    <x v="5"/>
    <n v="36"/>
    <n v="36"/>
  </r>
  <r>
    <s v="ORD4766215"/>
    <s v="ITM021"/>
    <n v="1"/>
    <n v="149"/>
    <x v="22"/>
    <x v="1"/>
    <n v="45"/>
    <n v="45"/>
  </r>
  <r>
    <s v="ORD4766215"/>
    <s v="ITM023"/>
    <n v="2"/>
    <n v="278"/>
    <x v="18"/>
    <x v="1"/>
    <n v="42"/>
    <n v="84"/>
  </r>
  <r>
    <s v="ORD4026104"/>
    <s v="ITM001"/>
    <n v="2"/>
    <n v="158"/>
    <x v="24"/>
    <x v="5"/>
    <n v="24"/>
    <n v="48"/>
  </r>
  <r>
    <s v="ORD4026104"/>
    <s v="ITM007"/>
    <n v="1"/>
    <n v="79"/>
    <x v="19"/>
    <x v="2"/>
    <n v="24"/>
    <n v="24"/>
  </r>
  <r>
    <s v="ORD4026104"/>
    <s v="ITM028"/>
    <n v="2"/>
    <n v="98"/>
    <x v="13"/>
    <x v="4"/>
    <n v="15"/>
    <n v="30"/>
  </r>
  <r>
    <s v="ORD7433986"/>
    <s v="ITM004"/>
    <n v="1"/>
    <n v="79"/>
    <x v="5"/>
    <x v="3"/>
    <n v="24"/>
    <n v="24"/>
  </r>
  <r>
    <s v="ORD7433986"/>
    <s v="ITM002"/>
    <n v="1"/>
    <n v="99"/>
    <x v="12"/>
    <x v="5"/>
    <n v="30"/>
    <n v="30"/>
  </r>
  <r>
    <s v="ORD7433986"/>
    <s v="ITM008"/>
    <n v="4"/>
    <n v="396"/>
    <x v="9"/>
    <x v="2"/>
    <n v="30"/>
    <n v="120"/>
  </r>
  <r>
    <s v="ORD1089942"/>
    <s v="ITM028"/>
    <n v="2"/>
    <n v="98"/>
    <x v="13"/>
    <x v="4"/>
    <n v="15"/>
    <n v="30"/>
  </r>
  <r>
    <s v="ORD1089942"/>
    <s v="ITM012"/>
    <n v="1"/>
    <n v="89"/>
    <x v="8"/>
    <x v="0"/>
    <n v="27"/>
    <n v="27"/>
  </r>
  <r>
    <s v="ORD8853160"/>
    <s v="ITM020"/>
    <n v="1"/>
    <n v="159"/>
    <x v="21"/>
    <x v="1"/>
    <n v="48"/>
    <n v="48"/>
  </r>
  <r>
    <s v="ORD7049733"/>
    <s v="ITM024"/>
    <n v="3"/>
    <n v="237"/>
    <x v="17"/>
    <x v="4"/>
    <n v="24"/>
    <n v="72"/>
  </r>
  <r>
    <s v="ORD7049733"/>
    <s v="ITM018"/>
    <n v="1"/>
    <n v="159"/>
    <x v="15"/>
    <x v="1"/>
    <n v="48"/>
    <n v="48"/>
  </r>
  <r>
    <s v="ORD8381800"/>
    <s v="ITM006"/>
    <n v="2"/>
    <n v="178"/>
    <x v="3"/>
    <x v="3"/>
    <n v="27"/>
    <n v="54"/>
  </r>
  <r>
    <s v="ORD8381800"/>
    <s v="ITM002"/>
    <n v="1"/>
    <n v="99"/>
    <x v="12"/>
    <x v="5"/>
    <n v="30"/>
    <n v="30"/>
  </r>
  <r>
    <s v="ORD9140297"/>
    <s v="ITM023"/>
    <n v="1"/>
    <n v="139"/>
    <x v="18"/>
    <x v="1"/>
    <n v="42"/>
    <n v="42"/>
  </r>
  <r>
    <s v="ORD4563416"/>
    <s v="ITM001"/>
    <n v="1"/>
    <n v="79"/>
    <x v="24"/>
    <x v="5"/>
    <n v="24"/>
    <n v="24"/>
  </r>
  <r>
    <s v="ORD4563416"/>
    <s v="ITM021"/>
    <n v="2"/>
    <n v="298"/>
    <x v="22"/>
    <x v="1"/>
    <n v="45"/>
    <n v="90"/>
  </r>
  <r>
    <s v="ORD4563416"/>
    <s v="ITM025"/>
    <n v="1"/>
    <n v="79"/>
    <x v="25"/>
    <x v="4"/>
    <n v="24"/>
    <n v="24"/>
  </r>
  <r>
    <s v="ORD4563416"/>
    <s v="ITM006"/>
    <n v="1"/>
    <n v="89"/>
    <x v="3"/>
    <x v="3"/>
    <n v="27"/>
    <n v="27"/>
  </r>
  <r>
    <s v="ORD6428072"/>
    <s v="ITM014"/>
    <n v="2"/>
    <n v="238"/>
    <x v="14"/>
    <x v="1"/>
    <n v="36"/>
    <n v="72"/>
  </r>
  <r>
    <s v="ORD1735630"/>
    <s v="ITM027"/>
    <n v="2"/>
    <n v="158"/>
    <x v="10"/>
    <x v="4"/>
    <n v="24"/>
    <n v="48"/>
  </r>
  <r>
    <s v="ORD1735630"/>
    <s v="ITM010"/>
    <n v="1"/>
    <n v="59"/>
    <x v="20"/>
    <x v="0"/>
    <n v="18"/>
    <n v="18"/>
  </r>
  <r>
    <s v="ORD1735630"/>
    <s v="ITM020"/>
    <n v="1"/>
    <n v="159"/>
    <x v="21"/>
    <x v="1"/>
    <n v="48"/>
    <n v="48"/>
  </r>
  <r>
    <s v="ORD7691735"/>
    <s v="ITM027"/>
    <n v="1"/>
    <n v="79"/>
    <x v="10"/>
    <x v="4"/>
    <n v="24"/>
    <n v="24"/>
  </r>
  <r>
    <s v="ORD7691735"/>
    <s v="ITM023"/>
    <n v="3"/>
    <n v="417"/>
    <x v="18"/>
    <x v="1"/>
    <n v="42"/>
    <n v="126"/>
  </r>
  <r>
    <s v="ORD8253770"/>
    <s v="ITM011"/>
    <n v="1"/>
    <n v="79"/>
    <x v="26"/>
    <x v="0"/>
    <n v="24"/>
    <n v="24"/>
  </r>
  <r>
    <s v="ORD8253770"/>
    <s v="ITM017"/>
    <n v="1"/>
    <n v="149"/>
    <x v="6"/>
    <x v="1"/>
    <n v="45"/>
    <n v="45"/>
  </r>
  <r>
    <s v="ORD8253770"/>
    <s v="ITM004"/>
    <n v="1"/>
    <n v="79"/>
    <x v="5"/>
    <x v="3"/>
    <n v="24"/>
    <n v="24"/>
  </r>
  <r>
    <s v="ORD8283088"/>
    <s v="ITM015"/>
    <n v="5"/>
    <n v="745"/>
    <x v="1"/>
    <x v="1"/>
    <n v="45"/>
    <n v="225"/>
  </r>
  <r>
    <s v="ORD2408784"/>
    <s v="ITM003"/>
    <n v="1"/>
    <n v="119"/>
    <x v="27"/>
    <x v="5"/>
    <n v="36"/>
    <n v="36"/>
  </r>
  <r>
    <s v="ORD2408784"/>
    <s v="ITM022"/>
    <n v="5"/>
    <n v="495"/>
    <x v="23"/>
    <x v="1"/>
    <n v="30"/>
    <n v="150"/>
  </r>
  <r>
    <s v="ORD2284002"/>
    <s v="ITM013"/>
    <n v="2"/>
    <n v="138"/>
    <x v="0"/>
    <x v="0"/>
    <n v="21"/>
    <n v="42"/>
  </r>
  <r>
    <s v="ORD2284002"/>
    <s v="ITM015"/>
    <n v="2"/>
    <n v="298"/>
    <x v="1"/>
    <x v="1"/>
    <n v="45"/>
    <n v="90"/>
  </r>
  <r>
    <s v="ORD8765820"/>
    <s v="ITM023"/>
    <n v="2"/>
    <n v="278"/>
    <x v="18"/>
    <x v="1"/>
    <n v="42"/>
    <n v="84"/>
  </r>
  <r>
    <s v="ORD8765820"/>
    <s v="ITM002"/>
    <n v="1"/>
    <n v="99"/>
    <x v="12"/>
    <x v="5"/>
    <n v="30"/>
    <n v="30"/>
  </r>
  <r>
    <s v="ORD8765820"/>
    <s v="ITM013"/>
    <n v="2"/>
    <n v="138"/>
    <x v="0"/>
    <x v="0"/>
    <n v="21"/>
    <n v="42"/>
  </r>
  <r>
    <s v="ORD4541139"/>
    <s v="ITM028"/>
    <n v="1"/>
    <n v="49"/>
    <x v="13"/>
    <x v="4"/>
    <n v="15"/>
    <n v="15"/>
  </r>
  <r>
    <s v="ORD9004743"/>
    <s v="ITM027"/>
    <n v="2"/>
    <n v="158"/>
    <x v="10"/>
    <x v="4"/>
    <n v="24"/>
    <n v="48"/>
  </r>
  <r>
    <s v="ORD9004743"/>
    <s v="ITM023"/>
    <n v="2"/>
    <n v="278"/>
    <x v="18"/>
    <x v="1"/>
    <n v="42"/>
    <n v="84"/>
  </r>
  <r>
    <s v="ORD9004743"/>
    <s v="ITM017"/>
    <n v="5"/>
    <n v="745"/>
    <x v="6"/>
    <x v="1"/>
    <n v="45"/>
    <n v="225"/>
  </r>
  <r>
    <s v="ORD3266835"/>
    <s v="ITM022"/>
    <n v="1"/>
    <n v="99"/>
    <x v="23"/>
    <x v="1"/>
    <n v="30"/>
    <n v="30"/>
  </r>
  <r>
    <s v="ORD3266835"/>
    <s v="ITM019"/>
    <n v="1"/>
    <n v="149"/>
    <x v="11"/>
    <x v="1"/>
    <n v="45"/>
    <n v="45"/>
  </r>
  <r>
    <s v="ORD2444410"/>
    <s v="ITM004"/>
    <n v="4"/>
    <n v="316"/>
    <x v="5"/>
    <x v="3"/>
    <n v="24"/>
    <n v="96"/>
  </r>
  <r>
    <s v="ORD2444410"/>
    <s v="ITM005"/>
    <n v="3"/>
    <n v="297"/>
    <x v="16"/>
    <x v="3"/>
    <n v="30"/>
    <n v="90"/>
  </r>
  <r>
    <s v="ORD2444410"/>
    <s v="ITM013"/>
    <n v="1"/>
    <n v="69"/>
    <x v="0"/>
    <x v="0"/>
    <n v="21"/>
    <n v="21"/>
  </r>
  <r>
    <s v="ORD7572195"/>
    <s v="ITM004"/>
    <n v="1"/>
    <n v="79"/>
    <x v="5"/>
    <x v="3"/>
    <n v="24"/>
    <n v="24"/>
  </r>
  <r>
    <s v="ORD7572195"/>
    <s v="ITM023"/>
    <n v="1"/>
    <n v="139"/>
    <x v="18"/>
    <x v="1"/>
    <n v="42"/>
    <n v="42"/>
  </r>
  <r>
    <s v="ORD9612679"/>
    <s v="ITM023"/>
    <n v="1"/>
    <n v="139"/>
    <x v="18"/>
    <x v="1"/>
    <n v="42"/>
    <n v="42"/>
  </r>
  <r>
    <s v="ORD9612679"/>
    <s v="ITM025"/>
    <n v="1"/>
    <n v="79"/>
    <x v="25"/>
    <x v="4"/>
    <n v="24"/>
    <n v="24"/>
  </r>
  <r>
    <s v="ORD9612679"/>
    <s v="ITM026"/>
    <n v="1"/>
    <n v="79"/>
    <x v="4"/>
    <x v="4"/>
    <n v="24"/>
    <n v="24"/>
  </r>
  <r>
    <s v="ORD9301178"/>
    <s v="ITM011"/>
    <n v="1"/>
    <n v="79"/>
    <x v="26"/>
    <x v="0"/>
    <n v="24"/>
    <n v="24"/>
  </r>
  <r>
    <s v="ORD9301178"/>
    <s v="ITM009"/>
    <n v="1"/>
    <n v="89"/>
    <x v="2"/>
    <x v="2"/>
    <n v="27"/>
    <n v="27"/>
  </r>
  <r>
    <s v="ORD9301178"/>
    <s v="ITM019"/>
    <n v="1"/>
    <n v="149"/>
    <x v="11"/>
    <x v="1"/>
    <n v="45"/>
    <n v="45"/>
  </r>
  <r>
    <s v="ORD9301178"/>
    <s v="ITM001"/>
    <n v="1"/>
    <n v="79"/>
    <x v="24"/>
    <x v="5"/>
    <n v="24"/>
    <n v="24"/>
  </r>
  <r>
    <s v="ORD5922335"/>
    <s v="ITM022"/>
    <n v="3"/>
    <n v="297"/>
    <x v="23"/>
    <x v="1"/>
    <n v="30"/>
    <n v="90"/>
  </r>
  <r>
    <s v="ORD5922335"/>
    <s v="ITM023"/>
    <n v="3"/>
    <n v="417"/>
    <x v="18"/>
    <x v="1"/>
    <n v="42"/>
    <n v="126"/>
  </r>
  <r>
    <s v="ORD5922335"/>
    <s v="ITM019"/>
    <n v="2"/>
    <n v="298"/>
    <x v="11"/>
    <x v="1"/>
    <n v="45"/>
    <n v="90"/>
  </r>
  <r>
    <s v="ORD5922335"/>
    <s v="ITM020"/>
    <n v="1"/>
    <n v="159"/>
    <x v="21"/>
    <x v="1"/>
    <n v="48"/>
    <n v="48"/>
  </r>
  <r>
    <s v="ORD7979059"/>
    <s v="ITM007"/>
    <n v="1"/>
    <n v="79"/>
    <x v="19"/>
    <x v="2"/>
    <n v="24"/>
    <n v="24"/>
  </r>
  <r>
    <s v="ORD7979059"/>
    <s v="ITM002"/>
    <n v="4"/>
    <n v="396"/>
    <x v="12"/>
    <x v="5"/>
    <n v="30"/>
    <n v="120"/>
  </r>
  <r>
    <s v="ORD8224612"/>
    <s v="ITM004"/>
    <n v="1"/>
    <n v="79"/>
    <x v="5"/>
    <x v="3"/>
    <n v="24"/>
    <n v="24"/>
  </r>
  <r>
    <s v="ORD8224612"/>
    <s v="ITM007"/>
    <n v="1"/>
    <n v="79"/>
    <x v="19"/>
    <x v="2"/>
    <n v="24"/>
    <n v="24"/>
  </r>
  <r>
    <s v="ORD8224612"/>
    <s v="ITM008"/>
    <n v="1"/>
    <n v="99"/>
    <x v="9"/>
    <x v="2"/>
    <n v="30"/>
    <n v="30"/>
  </r>
  <r>
    <s v="ORD2747213"/>
    <s v="ITM004"/>
    <n v="1"/>
    <n v="79"/>
    <x v="5"/>
    <x v="3"/>
    <n v="24"/>
    <n v="24"/>
  </r>
  <r>
    <s v="ORD2747213"/>
    <s v="ITM014"/>
    <n v="2"/>
    <n v="238"/>
    <x v="14"/>
    <x v="1"/>
    <n v="36"/>
    <n v="72"/>
  </r>
  <r>
    <s v="ORD2747213"/>
    <s v="ITM023"/>
    <n v="3"/>
    <n v="417"/>
    <x v="18"/>
    <x v="1"/>
    <n v="42"/>
    <n v="126"/>
  </r>
  <r>
    <s v="ORD4445809"/>
    <s v="ITM014"/>
    <n v="2"/>
    <n v="238"/>
    <x v="14"/>
    <x v="1"/>
    <n v="36"/>
    <n v="72"/>
  </r>
  <r>
    <s v="ORD4445809"/>
    <s v="ITM009"/>
    <n v="3"/>
    <n v="267"/>
    <x v="2"/>
    <x v="2"/>
    <n v="27"/>
    <n v="81"/>
  </r>
  <r>
    <s v="ORD7975124"/>
    <s v="ITM022"/>
    <n v="2"/>
    <n v="198"/>
    <x v="23"/>
    <x v="1"/>
    <n v="30"/>
    <n v="60"/>
  </r>
  <r>
    <s v="ORD7975124"/>
    <s v="ITM010"/>
    <n v="1"/>
    <n v="59"/>
    <x v="20"/>
    <x v="0"/>
    <n v="18"/>
    <n v="18"/>
  </r>
  <r>
    <s v="ORD9886057"/>
    <s v="ITM005"/>
    <n v="4"/>
    <n v="396"/>
    <x v="16"/>
    <x v="3"/>
    <n v="30"/>
    <n v="120"/>
  </r>
  <r>
    <s v="ORD9886057"/>
    <s v="ITM013"/>
    <n v="4"/>
    <n v="276"/>
    <x v="0"/>
    <x v="0"/>
    <n v="21"/>
    <n v="84"/>
  </r>
  <r>
    <s v="ORD9886057"/>
    <s v="ITM025"/>
    <n v="2"/>
    <n v="158"/>
    <x v="25"/>
    <x v="4"/>
    <n v="24"/>
    <n v="48"/>
  </r>
  <r>
    <s v="ORD2167378"/>
    <s v="ITM021"/>
    <n v="1"/>
    <n v="149"/>
    <x v="22"/>
    <x v="1"/>
    <n v="45"/>
    <n v="45"/>
  </r>
  <r>
    <s v="ORD2167378"/>
    <s v="ITM013"/>
    <n v="1"/>
    <n v="69"/>
    <x v="0"/>
    <x v="0"/>
    <n v="21"/>
    <n v="21"/>
  </r>
  <r>
    <s v="ORD9720433"/>
    <s v="ITM024"/>
    <n v="3"/>
    <n v="237"/>
    <x v="17"/>
    <x v="4"/>
    <n v="24"/>
    <n v="72"/>
  </r>
  <r>
    <s v="ORD9720433"/>
    <s v="ITM020"/>
    <n v="2"/>
    <n v="318"/>
    <x v="21"/>
    <x v="1"/>
    <n v="48"/>
    <n v="96"/>
  </r>
  <r>
    <s v="ORD3463932"/>
    <s v="ITM006"/>
    <n v="3"/>
    <n v="267"/>
    <x v="3"/>
    <x v="3"/>
    <n v="27"/>
    <n v="81"/>
  </r>
  <r>
    <s v="ORD3463932"/>
    <s v="ITM016"/>
    <n v="2"/>
    <n v="198"/>
    <x v="7"/>
    <x v="1"/>
    <n v="30"/>
    <n v="60"/>
  </r>
  <r>
    <s v="ORD2413999"/>
    <s v="ITM024"/>
    <n v="2"/>
    <n v="158"/>
    <x v="17"/>
    <x v="4"/>
    <n v="24"/>
    <n v="48"/>
  </r>
  <r>
    <s v="ORD2413999"/>
    <s v="ITM012"/>
    <n v="2"/>
    <n v="178"/>
    <x v="8"/>
    <x v="0"/>
    <n v="27"/>
    <n v="54"/>
  </r>
  <r>
    <s v="ORD2413999"/>
    <s v="ITM020"/>
    <n v="1"/>
    <n v="159"/>
    <x v="21"/>
    <x v="1"/>
    <n v="48"/>
    <n v="48"/>
  </r>
  <r>
    <s v="ORD5340101"/>
    <s v="ITM020"/>
    <n v="3"/>
    <n v="477"/>
    <x v="21"/>
    <x v="1"/>
    <n v="48"/>
    <n v="144"/>
  </r>
  <r>
    <s v="ORD5340101"/>
    <s v="ITM015"/>
    <n v="1"/>
    <n v="149"/>
    <x v="1"/>
    <x v="1"/>
    <n v="45"/>
    <n v="45"/>
  </r>
  <r>
    <s v="ORD5340101"/>
    <s v="ITM013"/>
    <n v="2"/>
    <n v="138"/>
    <x v="0"/>
    <x v="0"/>
    <n v="21"/>
    <n v="42"/>
  </r>
  <r>
    <s v="ORD5340101"/>
    <s v="ITM009"/>
    <n v="1"/>
    <n v="89"/>
    <x v="2"/>
    <x v="2"/>
    <n v="27"/>
    <n v="27"/>
  </r>
  <r>
    <s v="ORD4961055"/>
    <s v="ITM016"/>
    <n v="2"/>
    <n v="198"/>
    <x v="7"/>
    <x v="1"/>
    <n v="30"/>
    <n v="60"/>
  </r>
  <r>
    <s v="ORD4961055"/>
    <s v="ITM024"/>
    <n v="1"/>
    <n v="79"/>
    <x v="17"/>
    <x v="4"/>
    <n v="24"/>
    <n v="24"/>
  </r>
  <r>
    <s v="ORD4961055"/>
    <s v="ITM018"/>
    <n v="1"/>
    <n v="159"/>
    <x v="15"/>
    <x v="1"/>
    <n v="48"/>
    <n v="48"/>
  </r>
  <r>
    <s v="ORD6500359"/>
    <s v="ITM011"/>
    <n v="2"/>
    <n v="158"/>
    <x v="26"/>
    <x v="0"/>
    <n v="24"/>
    <n v="48"/>
  </r>
  <r>
    <s v="ORD6500359"/>
    <s v="ITM022"/>
    <n v="3"/>
    <n v="297"/>
    <x v="23"/>
    <x v="1"/>
    <n v="30"/>
    <n v="90"/>
  </r>
  <r>
    <s v="ORD6500359"/>
    <s v="ITM004"/>
    <n v="1"/>
    <n v="79"/>
    <x v="5"/>
    <x v="3"/>
    <n v="24"/>
    <n v="24"/>
  </r>
  <r>
    <s v="ORD9706452"/>
    <s v="ITM018"/>
    <n v="4"/>
    <n v="636"/>
    <x v="15"/>
    <x v="1"/>
    <n v="48"/>
    <n v="192"/>
  </r>
  <r>
    <s v="ORD9706452"/>
    <s v="ITM019"/>
    <n v="3"/>
    <n v="447"/>
    <x v="11"/>
    <x v="1"/>
    <n v="45"/>
    <n v="135"/>
  </r>
  <r>
    <s v="ORD9706452"/>
    <s v="ITM017"/>
    <n v="1"/>
    <n v="149"/>
    <x v="6"/>
    <x v="1"/>
    <n v="45"/>
    <n v="45"/>
  </r>
  <r>
    <s v="ORD9706452"/>
    <s v="ITM028"/>
    <n v="1"/>
    <n v="49"/>
    <x v="13"/>
    <x v="4"/>
    <n v="15"/>
    <n v="15"/>
  </r>
  <r>
    <s v="ORD4567549"/>
    <s v="ITM021"/>
    <n v="1"/>
    <n v="149"/>
    <x v="22"/>
    <x v="1"/>
    <n v="45"/>
    <n v="45"/>
  </r>
  <r>
    <s v="ORD4567549"/>
    <s v="ITM026"/>
    <n v="4"/>
    <n v="316"/>
    <x v="4"/>
    <x v="4"/>
    <n v="24"/>
    <n v="96"/>
  </r>
  <r>
    <s v="ORD2975386"/>
    <s v="ITM012"/>
    <n v="1"/>
    <n v="89"/>
    <x v="8"/>
    <x v="0"/>
    <n v="27"/>
    <n v="27"/>
  </r>
  <r>
    <s v="ORD2975386"/>
    <s v="ITM009"/>
    <n v="1"/>
    <n v="89"/>
    <x v="2"/>
    <x v="2"/>
    <n v="27"/>
    <n v="27"/>
  </r>
  <r>
    <s v="ORD9200596"/>
    <s v="ITM011"/>
    <n v="1"/>
    <n v="79"/>
    <x v="26"/>
    <x v="0"/>
    <n v="24"/>
    <n v="24"/>
  </r>
  <r>
    <s v="ORD9200596"/>
    <s v="ITM023"/>
    <n v="2"/>
    <n v="278"/>
    <x v="18"/>
    <x v="1"/>
    <n v="42"/>
    <n v="84"/>
  </r>
  <r>
    <s v="ORD3228175"/>
    <s v="ITM014"/>
    <n v="1"/>
    <n v="119"/>
    <x v="14"/>
    <x v="1"/>
    <n v="36"/>
    <n v="36"/>
  </r>
  <r>
    <s v="ORD7633663"/>
    <s v="ITM027"/>
    <n v="2"/>
    <n v="158"/>
    <x v="10"/>
    <x v="4"/>
    <n v="24"/>
    <n v="48"/>
  </r>
  <r>
    <s v="ORD7633663"/>
    <s v="ITM024"/>
    <n v="3"/>
    <n v="237"/>
    <x v="17"/>
    <x v="4"/>
    <n v="24"/>
    <n v="72"/>
  </r>
  <r>
    <s v="ORD7633663"/>
    <s v="ITM020"/>
    <n v="2"/>
    <n v="318"/>
    <x v="21"/>
    <x v="1"/>
    <n v="48"/>
    <n v="96"/>
  </r>
  <r>
    <s v="ORD2428614"/>
    <s v="ITM016"/>
    <n v="3"/>
    <n v="297"/>
    <x v="7"/>
    <x v="1"/>
    <n v="30"/>
    <n v="90"/>
  </r>
  <r>
    <s v="ORD2428614"/>
    <s v="ITM027"/>
    <n v="2"/>
    <n v="158"/>
    <x v="10"/>
    <x v="4"/>
    <n v="24"/>
    <n v="48"/>
  </r>
  <r>
    <s v="ORD2428614"/>
    <s v="ITM021"/>
    <n v="1"/>
    <n v="149"/>
    <x v="22"/>
    <x v="1"/>
    <n v="45"/>
    <n v="45"/>
  </r>
  <r>
    <s v="ORD8452933"/>
    <s v="ITM023"/>
    <n v="1"/>
    <n v="139"/>
    <x v="18"/>
    <x v="1"/>
    <n v="42"/>
    <n v="42"/>
  </r>
  <r>
    <s v="ORD8452933"/>
    <s v="ITM002"/>
    <n v="1"/>
    <n v="99"/>
    <x v="12"/>
    <x v="5"/>
    <n v="30"/>
    <n v="30"/>
  </r>
  <r>
    <s v="ORD8452933"/>
    <s v="ITM017"/>
    <n v="1"/>
    <n v="149"/>
    <x v="6"/>
    <x v="1"/>
    <n v="45"/>
    <n v="45"/>
  </r>
  <r>
    <s v="ORD8452933"/>
    <s v="ITM013"/>
    <n v="3"/>
    <n v="207"/>
    <x v="0"/>
    <x v="0"/>
    <n v="21"/>
    <n v="63"/>
  </r>
  <r>
    <s v="ORD4064676"/>
    <s v="ITM027"/>
    <n v="1"/>
    <n v="79"/>
    <x v="10"/>
    <x v="4"/>
    <n v="24"/>
    <n v="24"/>
  </r>
  <r>
    <s v="ORD4064676"/>
    <s v="ITM005"/>
    <n v="5"/>
    <n v="495"/>
    <x v="16"/>
    <x v="3"/>
    <n v="30"/>
    <n v="150"/>
  </r>
  <r>
    <s v="ORD4064676"/>
    <s v="ITM019"/>
    <n v="1"/>
    <n v="149"/>
    <x v="11"/>
    <x v="1"/>
    <n v="45"/>
    <n v="45"/>
  </r>
  <r>
    <s v="ORD7300065"/>
    <s v="ITM007"/>
    <n v="2"/>
    <n v="158"/>
    <x v="19"/>
    <x v="2"/>
    <n v="24"/>
    <n v="48"/>
  </r>
  <r>
    <s v="ORD7829609"/>
    <s v="ITM007"/>
    <n v="4"/>
    <n v="316"/>
    <x v="19"/>
    <x v="2"/>
    <n v="24"/>
    <n v="96"/>
  </r>
  <r>
    <s v="ORD7829609"/>
    <s v="ITM013"/>
    <n v="1"/>
    <n v="69"/>
    <x v="0"/>
    <x v="0"/>
    <n v="21"/>
    <n v="21"/>
  </r>
  <r>
    <s v="ORD2407748"/>
    <s v="ITM027"/>
    <n v="5"/>
    <n v="395"/>
    <x v="10"/>
    <x v="4"/>
    <n v="24"/>
    <n v="120"/>
  </r>
  <r>
    <s v="ORD2407748"/>
    <s v="ITM012"/>
    <n v="3"/>
    <n v="267"/>
    <x v="8"/>
    <x v="0"/>
    <n v="27"/>
    <n v="81"/>
  </r>
  <r>
    <s v="ORD5852800"/>
    <s v="ITM026"/>
    <n v="2"/>
    <n v="158"/>
    <x v="4"/>
    <x v="4"/>
    <n v="24"/>
    <n v="48"/>
  </r>
  <r>
    <s v="ORD9561890"/>
    <s v="ITM020"/>
    <n v="2"/>
    <n v="318"/>
    <x v="21"/>
    <x v="1"/>
    <n v="48"/>
    <n v="96"/>
  </r>
  <r>
    <s v="ORD8247127"/>
    <s v="ITM027"/>
    <n v="1"/>
    <n v="79"/>
    <x v="10"/>
    <x v="4"/>
    <n v="24"/>
    <n v="24"/>
  </r>
  <r>
    <s v="ORD8247127"/>
    <s v="ITM019"/>
    <n v="1"/>
    <n v="149"/>
    <x v="11"/>
    <x v="1"/>
    <n v="45"/>
    <n v="45"/>
  </r>
  <r>
    <s v="ORD8247127"/>
    <s v="ITM010"/>
    <n v="3"/>
    <n v="177"/>
    <x v="20"/>
    <x v="0"/>
    <n v="18"/>
    <n v="54"/>
  </r>
  <r>
    <s v="ORD6510598"/>
    <s v="ITM001"/>
    <n v="1"/>
    <n v="79"/>
    <x v="24"/>
    <x v="5"/>
    <n v="24"/>
    <n v="24"/>
  </r>
  <r>
    <s v="ORD6510598"/>
    <s v="ITM005"/>
    <n v="1"/>
    <n v="99"/>
    <x v="16"/>
    <x v="3"/>
    <n v="30"/>
    <n v="30"/>
  </r>
  <r>
    <s v="ORD6510598"/>
    <s v="ITM017"/>
    <n v="2"/>
    <n v="298"/>
    <x v="6"/>
    <x v="1"/>
    <n v="45"/>
    <n v="90"/>
  </r>
  <r>
    <s v="ORD6510598"/>
    <s v="ITM025"/>
    <n v="2"/>
    <n v="158"/>
    <x v="25"/>
    <x v="4"/>
    <n v="24"/>
    <n v="48"/>
  </r>
  <r>
    <s v="ORD8468826"/>
    <s v="ITM022"/>
    <n v="1"/>
    <n v="99"/>
    <x v="23"/>
    <x v="1"/>
    <n v="30"/>
    <n v="30"/>
  </r>
  <r>
    <s v="ORD4237849"/>
    <s v="ITM021"/>
    <n v="3"/>
    <n v="447"/>
    <x v="22"/>
    <x v="1"/>
    <n v="45"/>
    <n v="135"/>
  </r>
  <r>
    <s v="ORD4710242"/>
    <s v="ITM020"/>
    <n v="2"/>
    <n v="318"/>
    <x v="21"/>
    <x v="1"/>
    <n v="48"/>
    <n v="96"/>
  </r>
  <r>
    <s v="ORD4710242"/>
    <s v="ITM027"/>
    <n v="1"/>
    <n v="79"/>
    <x v="10"/>
    <x v="4"/>
    <n v="24"/>
    <n v="24"/>
  </r>
  <r>
    <s v="ORD4710242"/>
    <s v="ITM002"/>
    <n v="5"/>
    <n v="495"/>
    <x v="12"/>
    <x v="5"/>
    <n v="30"/>
    <n v="150"/>
  </r>
  <r>
    <s v="ORD4710242"/>
    <s v="ITM015"/>
    <n v="2"/>
    <n v="298"/>
    <x v="1"/>
    <x v="1"/>
    <n v="45"/>
    <n v="90"/>
  </r>
  <r>
    <s v="ORD3944885"/>
    <s v="ITM004"/>
    <n v="3"/>
    <n v="237"/>
    <x v="5"/>
    <x v="3"/>
    <n v="24"/>
    <n v="72"/>
  </r>
  <r>
    <s v="ORD3944885"/>
    <s v="ITM021"/>
    <n v="4"/>
    <n v="596"/>
    <x v="22"/>
    <x v="1"/>
    <n v="45"/>
    <n v="180"/>
  </r>
  <r>
    <s v="ORD3944885"/>
    <s v="ITM026"/>
    <n v="2"/>
    <n v="158"/>
    <x v="4"/>
    <x v="4"/>
    <n v="24"/>
    <n v="48"/>
  </r>
  <r>
    <s v="ORD8615616"/>
    <s v="ITM018"/>
    <n v="1"/>
    <n v="159"/>
    <x v="15"/>
    <x v="1"/>
    <n v="48"/>
    <n v="48"/>
  </r>
  <r>
    <s v="ORD8615616"/>
    <s v="ITM002"/>
    <n v="5"/>
    <n v="495"/>
    <x v="12"/>
    <x v="5"/>
    <n v="30"/>
    <n v="150"/>
  </r>
  <r>
    <s v="ORD8615616"/>
    <s v="ITM026"/>
    <n v="1"/>
    <n v="79"/>
    <x v="4"/>
    <x v="4"/>
    <n v="24"/>
    <n v="24"/>
  </r>
  <r>
    <s v="ORD5662942"/>
    <s v="ITM010"/>
    <n v="4"/>
    <n v="236"/>
    <x v="20"/>
    <x v="0"/>
    <n v="18"/>
    <n v="72"/>
  </r>
  <r>
    <s v="ORD5662942"/>
    <s v="ITM012"/>
    <n v="3"/>
    <n v="267"/>
    <x v="8"/>
    <x v="0"/>
    <n v="27"/>
    <n v="81"/>
  </r>
  <r>
    <s v="ORD6523472"/>
    <s v="ITM018"/>
    <n v="1"/>
    <n v="159"/>
    <x v="15"/>
    <x v="1"/>
    <n v="48"/>
    <n v="48"/>
  </r>
  <r>
    <s v="ORD8945295"/>
    <s v="ITM007"/>
    <n v="1"/>
    <n v="79"/>
    <x v="19"/>
    <x v="2"/>
    <n v="24"/>
    <n v="24"/>
  </r>
  <r>
    <s v="ORD8945295"/>
    <s v="ITM022"/>
    <n v="2"/>
    <n v="198"/>
    <x v="23"/>
    <x v="1"/>
    <n v="30"/>
    <n v="60"/>
  </r>
  <r>
    <s v="ORD8945295"/>
    <s v="ITM023"/>
    <n v="1"/>
    <n v="139"/>
    <x v="18"/>
    <x v="1"/>
    <n v="42"/>
    <n v="42"/>
  </r>
  <r>
    <s v="ORD8945295"/>
    <s v="ITM015"/>
    <n v="1"/>
    <n v="149"/>
    <x v="1"/>
    <x v="1"/>
    <n v="45"/>
    <n v="45"/>
  </r>
  <r>
    <s v="ORD2090992"/>
    <s v="ITM022"/>
    <n v="1"/>
    <n v="99"/>
    <x v="23"/>
    <x v="1"/>
    <n v="30"/>
    <n v="30"/>
  </r>
  <r>
    <s v="ORD7399761"/>
    <s v="ITM021"/>
    <n v="1"/>
    <n v="149"/>
    <x v="22"/>
    <x v="1"/>
    <n v="45"/>
    <n v="45"/>
  </r>
  <r>
    <s v="ORD6697818"/>
    <s v="ITM006"/>
    <n v="1"/>
    <n v="89"/>
    <x v="3"/>
    <x v="3"/>
    <n v="27"/>
    <n v="27"/>
  </r>
  <r>
    <s v="ORD6697818"/>
    <s v="ITM010"/>
    <n v="2"/>
    <n v="118"/>
    <x v="20"/>
    <x v="0"/>
    <n v="18"/>
    <n v="36"/>
  </r>
  <r>
    <s v="ORD8459558"/>
    <s v="ITM022"/>
    <n v="1"/>
    <n v="99"/>
    <x v="23"/>
    <x v="1"/>
    <n v="30"/>
    <n v="30"/>
  </r>
  <r>
    <s v="ORD8459558"/>
    <s v="ITM003"/>
    <n v="1"/>
    <n v="119"/>
    <x v="27"/>
    <x v="5"/>
    <n v="36"/>
    <n v="36"/>
  </r>
  <r>
    <s v="ORD6178697"/>
    <s v="ITM011"/>
    <n v="2"/>
    <n v="158"/>
    <x v="26"/>
    <x v="0"/>
    <n v="24"/>
    <n v="48"/>
  </r>
  <r>
    <s v="ORD6178697"/>
    <s v="ITM001"/>
    <n v="2"/>
    <n v="158"/>
    <x v="24"/>
    <x v="5"/>
    <n v="24"/>
    <n v="48"/>
  </r>
  <r>
    <s v="ORD4278387"/>
    <s v="ITM006"/>
    <n v="2"/>
    <n v="178"/>
    <x v="3"/>
    <x v="3"/>
    <n v="27"/>
    <n v="54"/>
  </r>
  <r>
    <s v="ORD4278387"/>
    <s v="ITM003"/>
    <n v="2"/>
    <n v="238"/>
    <x v="27"/>
    <x v="5"/>
    <n v="36"/>
    <n v="72"/>
  </r>
  <r>
    <s v="ORD6513312"/>
    <s v="ITM023"/>
    <n v="4"/>
    <n v="556"/>
    <x v="18"/>
    <x v="1"/>
    <n v="42"/>
    <n v="168"/>
  </r>
  <r>
    <s v="ORD5010074"/>
    <s v="ITM027"/>
    <n v="1"/>
    <n v="79"/>
    <x v="10"/>
    <x v="4"/>
    <n v="24"/>
    <n v="24"/>
  </r>
  <r>
    <s v="ORD5010074"/>
    <s v="ITM010"/>
    <n v="1"/>
    <n v="59"/>
    <x v="20"/>
    <x v="0"/>
    <n v="18"/>
    <n v="18"/>
  </r>
  <r>
    <s v="ORD5010074"/>
    <s v="ITM020"/>
    <n v="5"/>
    <n v="795"/>
    <x v="21"/>
    <x v="1"/>
    <n v="48"/>
    <n v="240"/>
  </r>
  <r>
    <s v="ORD7038275"/>
    <s v="ITM006"/>
    <n v="1"/>
    <n v="89"/>
    <x v="3"/>
    <x v="3"/>
    <n v="27"/>
    <n v="27"/>
  </r>
  <r>
    <s v="ORD7038275"/>
    <s v="ITM007"/>
    <n v="3"/>
    <n v="237"/>
    <x v="19"/>
    <x v="2"/>
    <n v="24"/>
    <n v="72"/>
  </r>
  <r>
    <s v="ORD7038275"/>
    <s v="ITM008"/>
    <n v="1"/>
    <n v="99"/>
    <x v="9"/>
    <x v="2"/>
    <n v="30"/>
    <n v="30"/>
  </r>
  <r>
    <s v="ORD7038275"/>
    <s v="ITM009"/>
    <n v="1"/>
    <n v="89"/>
    <x v="2"/>
    <x v="2"/>
    <n v="27"/>
    <n v="27"/>
  </r>
  <r>
    <s v="ORD2861751"/>
    <s v="ITM007"/>
    <n v="4"/>
    <n v="316"/>
    <x v="19"/>
    <x v="2"/>
    <n v="24"/>
    <n v="96"/>
  </r>
  <r>
    <s v="ORD2861751"/>
    <s v="ITM022"/>
    <n v="5"/>
    <n v="495"/>
    <x v="23"/>
    <x v="1"/>
    <n v="30"/>
    <n v="150"/>
  </r>
  <r>
    <s v="ORD2861751"/>
    <s v="ITM019"/>
    <n v="5"/>
    <n v="745"/>
    <x v="11"/>
    <x v="1"/>
    <n v="45"/>
    <n v="225"/>
  </r>
  <r>
    <s v="ORD2861751"/>
    <s v="ITM009"/>
    <n v="4"/>
    <n v="356"/>
    <x v="2"/>
    <x v="2"/>
    <n v="27"/>
    <n v="108"/>
  </r>
  <r>
    <s v="ORD7345068"/>
    <s v="ITM018"/>
    <n v="4"/>
    <n v="636"/>
    <x v="15"/>
    <x v="1"/>
    <n v="48"/>
    <n v="192"/>
  </r>
  <r>
    <s v="ORD7345068"/>
    <s v="ITM013"/>
    <n v="3"/>
    <n v="207"/>
    <x v="0"/>
    <x v="0"/>
    <n v="21"/>
    <n v="63"/>
  </r>
  <r>
    <s v="ORD5698850"/>
    <s v="ITM007"/>
    <n v="2"/>
    <n v="158"/>
    <x v="19"/>
    <x v="2"/>
    <n v="24"/>
    <n v="48"/>
  </r>
  <r>
    <s v="ORD5698850"/>
    <s v="ITM027"/>
    <n v="2"/>
    <n v="158"/>
    <x v="10"/>
    <x v="4"/>
    <n v="24"/>
    <n v="48"/>
  </r>
  <r>
    <s v="ORD5698850"/>
    <s v="ITM003"/>
    <n v="1"/>
    <n v="119"/>
    <x v="27"/>
    <x v="5"/>
    <n v="36"/>
    <n v="36"/>
  </r>
  <r>
    <s v="ORD5698850"/>
    <s v="ITM024"/>
    <n v="2"/>
    <n v="158"/>
    <x v="17"/>
    <x v="4"/>
    <n v="24"/>
    <n v="48"/>
  </r>
  <r>
    <s v="ORD7272644"/>
    <s v="ITM015"/>
    <n v="1"/>
    <n v="149"/>
    <x v="1"/>
    <x v="1"/>
    <n v="45"/>
    <n v="45"/>
  </r>
  <r>
    <s v="ORD7272644"/>
    <s v="ITM008"/>
    <n v="4"/>
    <n v="396"/>
    <x v="9"/>
    <x v="2"/>
    <n v="30"/>
    <n v="120"/>
  </r>
  <r>
    <s v="ORD7272644"/>
    <s v="ITM020"/>
    <n v="2"/>
    <n v="318"/>
    <x v="21"/>
    <x v="1"/>
    <n v="48"/>
    <n v="96"/>
  </r>
  <r>
    <s v="ORD7326402"/>
    <s v="ITM023"/>
    <n v="1"/>
    <n v="139"/>
    <x v="18"/>
    <x v="1"/>
    <n v="42"/>
    <n v="42"/>
  </r>
  <r>
    <s v="ORD7326402"/>
    <s v="ITM008"/>
    <n v="3"/>
    <n v="297"/>
    <x v="9"/>
    <x v="2"/>
    <n v="30"/>
    <n v="90"/>
  </r>
  <r>
    <s v="ORD8148811"/>
    <s v="ITM022"/>
    <n v="1"/>
    <n v="99"/>
    <x v="23"/>
    <x v="1"/>
    <n v="30"/>
    <n v="30"/>
  </r>
  <r>
    <s v="ORD8148811"/>
    <s v="ITM013"/>
    <n v="1"/>
    <n v="69"/>
    <x v="0"/>
    <x v="0"/>
    <n v="21"/>
    <n v="21"/>
  </r>
  <r>
    <s v="ORD9418218"/>
    <s v="ITM007"/>
    <n v="1"/>
    <n v="79"/>
    <x v="19"/>
    <x v="2"/>
    <n v="24"/>
    <n v="24"/>
  </r>
  <r>
    <s v="ORD9418218"/>
    <s v="ITM003"/>
    <n v="1"/>
    <n v="119"/>
    <x v="27"/>
    <x v="5"/>
    <n v="36"/>
    <n v="36"/>
  </r>
  <r>
    <s v="ORD9418218"/>
    <s v="ITM008"/>
    <n v="2"/>
    <n v="198"/>
    <x v="9"/>
    <x v="2"/>
    <n v="30"/>
    <n v="60"/>
  </r>
  <r>
    <s v="ORD5604751"/>
    <s v="ITM021"/>
    <n v="3"/>
    <n v="447"/>
    <x v="22"/>
    <x v="1"/>
    <n v="45"/>
    <n v="135"/>
  </r>
  <r>
    <s v="ORD5604751"/>
    <s v="ITM028"/>
    <n v="4"/>
    <n v="196"/>
    <x v="13"/>
    <x v="4"/>
    <n v="15"/>
    <n v="60"/>
  </r>
  <r>
    <s v="ORD1199493"/>
    <s v="ITM027"/>
    <n v="1"/>
    <n v="79"/>
    <x v="10"/>
    <x v="4"/>
    <n v="24"/>
    <n v="24"/>
  </r>
  <r>
    <s v="ORD1199493"/>
    <s v="ITM023"/>
    <n v="2"/>
    <n v="278"/>
    <x v="18"/>
    <x v="1"/>
    <n v="42"/>
    <n v="84"/>
  </r>
  <r>
    <s v="ORD1199493"/>
    <s v="ITM028"/>
    <n v="1"/>
    <n v="49"/>
    <x v="13"/>
    <x v="4"/>
    <n v="15"/>
    <n v="15"/>
  </r>
  <r>
    <s v="ORD2440757"/>
    <s v="ITM014"/>
    <n v="3"/>
    <n v="357"/>
    <x v="14"/>
    <x v="1"/>
    <n v="36"/>
    <n v="108"/>
  </r>
  <r>
    <s v="ORD2440757"/>
    <s v="ITM013"/>
    <n v="1"/>
    <n v="69"/>
    <x v="0"/>
    <x v="0"/>
    <n v="21"/>
    <n v="21"/>
  </r>
  <r>
    <s v="ORD2440757"/>
    <s v="ITM026"/>
    <n v="1"/>
    <n v="79"/>
    <x v="4"/>
    <x v="4"/>
    <n v="24"/>
    <n v="24"/>
  </r>
  <r>
    <s v="ORD6701271"/>
    <s v="ITM019"/>
    <n v="3"/>
    <n v="447"/>
    <x v="11"/>
    <x v="1"/>
    <n v="45"/>
    <n v="135"/>
  </r>
  <r>
    <s v="ORD6701271"/>
    <s v="ITM013"/>
    <n v="2"/>
    <n v="138"/>
    <x v="0"/>
    <x v="0"/>
    <n v="21"/>
    <n v="42"/>
  </r>
  <r>
    <s v="ORD7557976"/>
    <s v="ITM016"/>
    <n v="1"/>
    <n v="99"/>
    <x v="7"/>
    <x v="1"/>
    <n v="30"/>
    <n v="30"/>
  </r>
  <r>
    <s v="ORD7557976"/>
    <s v="ITM012"/>
    <n v="1"/>
    <n v="89"/>
    <x v="8"/>
    <x v="0"/>
    <n v="27"/>
    <n v="27"/>
  </r>
  <r>
    <s v="ORD1537863"/>
    <s v="ITM006"/>
    <n v="5"/>
    <n v="445"/>
    <x v="3"/>
    <x v="3"/>
    <n v="27"/>
    <n v="135"/>
  </r>
  <r>
    <s v="ORD1537863"/>
    <s v="ITM003"/>
    <n v="1"/>
    <n v="119"/>
    <x v="27"/>
    <x v="5"/>
    <n v="36"/>
    <n v="36"/>
  </r>
  <r>
    <s v="ORD6482325"/>
    <s v="ITM005"/>
    <n v="1"/>
    <n v="99"/>
    <x v="16"/>
    <x v="3"/>
    <n v="30"/>
    <n v="30"/>
  </r>
  <r>
    <s v="ORD6482325"/>
    <s v="ITM028"/>
    <n v="3"/>
    <n v="147"/>
    <x v="13"/>
    <x v="4"/>
    <n v="15"/>
    <n v="45"/>
  </r>
  <r>
    <s v="ORD8965487"/>
    <s v="ITM015"/>
    <n v="2"/>
    <n v="298"/>
    <x v="1"/>
    <x v="1"/>
    <n v="45"/>
    <n v="90"/>
  </r>
  <r>
    <s v="ORD8965487"/>
    <s v="ITM017"/>
    <n v="1"/>
    <n v="149"/>
    <x v="6"/>
    <x v="1"/>
    <n v="45"/>
    <n v="45"/>
  </r>
  <r>
    <s v="ORD8965487"/>
    <s v="ITM026"/>
    <n v="1"/>
    <n v="79"/>
    <x v="4"/>
    <x v="4"/>
    <n v="24"/>
    <n v="24"/>
  </r>
  <r>
    <s v="ORD9236918"/>
    <s v="ITM004"/>
    <n v="2"/>
    <n v="158"/>
    <x v="5"/>
    <x v="3"/>
    <n v="24"/>
    <n v="48"/>
  </r>
  <r>
    <s v="ORD9236918"/>
    <s v="ITM002"/>
    <n v="4"/>
    <n v="396"/>
    <x v="12"/>
    <x v="5"/>
    <n v="30"/>
    <n v="120"/>
  </r>
  <r>
    <s v="ORD3938131"/>
    <s v="ITM024"/>
    <n v="2"/>
    <n v="158"/>
    <x v="17"/>
    <x v="4"/>
    <n v="24"/>
    <n v="48"/>
  </r>
  <r>
    <s v="ORD3938131"/>
    <s v="ITM020"/>
    <n v="4"/>
    <n v="636"/>
    <x v="21"/>
    <x v="1"/>
    <n v="48"/>
    <n v="192"/>
  </r>
  <r>
    <s v="ORD5593203"/>
    <s v="ITM025"/>
    <n v="2"/>
    <n v="158"/>
    <x v="25"/>
    <x v="4"/>
    <n v="24"/>
    <n v="48"/>
  </r>
  <r>
    <s v="ORD5593203"/>
    <s v="ITM020"/>
    <n v="1"/>
    <n v="159"/>
    <x v="21"/>
    <x v="1"/>
    <n v="48"/>
    <n v="48"/>
  </r>
  <r>
    <s v="ORD6469592"/>
    <s v="ITM008"/>
    <n v="2"/>
    <n v="198"/>
    <x v="9"/>
    <x v="2"/>
    <n v="30"/>
    <n v="60"/>
  </r>
  <r>
    <s v="ORD6469592"/>
    <s v="ITM015"/>
    <n v="1"/>
    <n v="149"/>
    <x v="1"/>
    <x v="1"/>
    <n v="45"/>
    <n v="45"/>
  </r>
  <r>
    <s v="ORD1633753"/>
    <s v="ITM005"/>
    <n v="2"/>
    <n v="198"/>
    <x v="16"/>
    <x v="3"/>
    <n v="30"/>
    <n v="60"/>
  </r>
  <r>
    <s v="ORD1633753"/>
    <s v="ITM020"/>
    <n v="2"/>
    <n v="318"/>
    <x v="21"/>
    <x v="1"/>
    <n v="48"/>
    <n v="96"/>
  </r>
  <r>
    <s v="ORD3707281"/>
    <s v="ITM006"/>
    <n v="1"/>
    <n v="89"/>
    <x v="3"/>
    <x v="3"/>
    <n v="27"/>
    <n v="27"/>
  </r>
  <r>
    <s v="ORD3707281"/>
    <s v="ITM017"/>
    <n v="2"/>
    <n v="298"/>
    <x v="6"/>
    <x v="1"/>
    <n v="45"/>
    <n v="90"/>
  </r>
  <r>
    <s v="ORD3707281"/>
    <s v="ITM020"/>
    <n v="1"/>
    <n v="159"/>
    <x v="21"/>
    <x v="1"/>
    <n v="48"/>
    <n v="48"/>
  </r>
  <r>
    <s v="ORD3707281"/>
    <s v="ITM004"/>
    <n v="1"/>
    <n v="79"/>
    <x v="5"/>
    <x v="3"/>
    <n v="24"/>
    <n v="24"/>
  </r>
  <r>
    <s v="ORD8416504"/>
    <s v="ITM022"/>
    <n v="1"/>
    <n v="99"/>
    <x v="23"/>
    <x v="1"/>
    <n v="30"/>
    <n v="30"/>
  </r>
  <r>
    <s v="ORD8416504"/>
    <s v="ITM018"/>
    <n v="1"/>
    <n v="159"/>
    <x v="15"/>
    <x v="1"/>
    <n v="48"/>
    <n v="48"/>
  </r>
  <r>
    <s v="ORD8416504"/>
    <s v="ITM024"/>
    <n v="1"/>
    <n v="79"/>
    <x v="17"/>
    <x v="4"/>
    <n v="24"/>
    <n v="24"/>
  </r>
  <r>
    <s v="ORD8416504"/>
    <s v="ITM020"/>
    <n v="1"/>
    <n v="159"/>
    <x v="21"/>
    <x v="1"/>
    <n v="48"/>
    <n v="48"/>
  </r>
  <r>
    <s v="ORD1269080"/>
    <s v="ITM001"/>
    <n v="3"/>
    <n v="237"/>
    <x v="24"/>
    <x v="5"/>
    <n v="24"/>
    <n v="72"/>
  </r>
  <r>
    <s v="ORD7973953"/>
    <s v="ITM010"/>
    <n v="2"/>
    <n v="118"/>
    <x v="20"/>
    <x v="0"/>
    <n v="18"/>
    <n v="36"/>
  </r>
  <r>
    <s v="ORD2776460"/>
    <s v="ITM001"/>
    <n v="1"/>
    <n v="79"/>
    <x v="24"/>
    <x v="5"/>
    <n v="24"/>
    <n v="24"/>
  </r>
  <r>
    <s v="ORD2776460"/>
    <s v="ITM019"/>
    <n v="1"/>
    <n v="149"/>
    <x v="11"/>
    <x v="1"/>
    <n v="45"/>
    <n v="45"/>
  </r>
  <r>
    <s v="ORD4666842"/>
    <s v="ITM017"/>
    <n v="1"/>
    <n v="149"/>
    <x v="6"/>
    <x v="1"/>
    <n v="45"/>
    <n v="45"/>
  </r>
  <r>
    <s v="ORD4666842"/>
    <s v="ITM028"/>
    <n v="2"/>
    <n v="98"/>
    <x v="13"/>
    <x v="4"/>
    <n v="15"/>
    <n v="30"/>
  </r>
  <r>
    <s v="ORD3230219"/>
    <s v="ITM021"/>
    <n v="5"/>
    <n v="745"/>
    <x v="22"/>
    <x v="1"/>
    <n v="45"/>
    <n v="225"/>
  </r>
  <r>
    <s v="ORD3230219"/>
    <s v="ITM019"/>
    <n v="2"/>
    <n v="298"/>
    <x v="11"/>
    <x v="1"/>
    <n v="45"/>
    <n v="90"/>
  </r>
  <r>
    <s v="ORD9445986"/>
    <s v="ITM001"/>
    <n v="1"/>
    <n v="79"/>
    <x v="24"/>
    <x v="5"/>
    <n v="24"/>
    <n v="24"/>
  </r>
  <r>
    <s v="ORD9445986"/>
    <s v="ITM021"/>
    <n v="1"/>
    <n v="149"/>
    <x v="22"/>
    <x v="1"/>
    <n v="45"/>
    <n v="45"/>
  </r>
  <r>
    <s v="ORD3544610"/>
    <s v="ITM002"/>
    <n v="2"/>
    <n v="198"/>
    <x v="12"/>
    <x v="5"/>
    <n v="30"/>
    <n v="60"/>
  </r>
  <r>
    <s v="ORD3544610"/>
    <s v="ITM025"/>
    <n v="4"/>
    <n v="316"/>
    <x v="25"/>
    <x v="4"/>
    <n v="24"/>
    <n v="96"/>
  </r>
  <r>
    <s v="ORD7960756"/>
    <s v="ITM007"/>
    <n v="1"/>
    <n v="79"/>
    <x v="19"/>
    <x v="2"/>
    <n v="24"/>
    <n v="24"/>
  </r>
  <r>
    <s v="ORD7960756"/>
    <s v="ITM011"/>
    <n v="1"/>
    <n v="79"/>
    <x v="26"/>
    <x v="0"/>
    <n v="24"/>
    <n v="24"/>
  </r>
  <r>
    <s v="ORD7960756"/>
    <s v="ITM020"/>
    <n v="4"/>
    <n v="636"/>
    <x v="21"/>
    <x v="1"/>
    <n v="48"/>
    <n v="192"/>
  </r>
  <r>
    <s v="ORD6396173"/>
    <s v="ITM001"/>
    <n v="1"/>
    <n v="79"/>
    <x v="24"/>
    <x v="5"/>
    <n v="24"/>
    <n v="24"/>
  </r>
  <r>
    <s v="ORD6396173"/>
    <s v="ITM023"/>
    <n v="1"/>
    <n v="139"/>
    <x v="18"/>
    <x v="1"/>
    <n v="42"/>
    <n v="42"/>
  </r>
  <r>
    <s v="ORD4428815"/>
    <s v="ITM014"/>
    <n v="1"/>
    <n v="119"/>
    <x v="14"/>
    <x v="1"/>
    <n v="36"/>
    <n v="36"/>
  </r>
  <r>
    <s v="ORD4428815"/>
    <s v="ITM013"/>
    <n v="1"/>
    <n v="69"/>
    <x v="0"/>
    <x v="0"/>
    <n v="21"/>
    <n v="21"/>
  </r>
  <r>
    <s v="ORD9072704"/>
    <s v="ITM011"/>
    <n v="2"/>
    <n v="158"/>
    <x v="26"/>
    <x v="0"/>
    <n v="24"/>
    <n v="48"/>
  </r>
  <r>
    <s v="ORD9072704"/>
    <s v="ITM014"/>
    <n v="1"/>
    <n v="119"/>
    <x v="14"/>
    <x v="1"/>
    <n v="36"/>
    <n v="36"/>
  </r>
  <r>
    <s v="ORD9072704"/>
    <s v="ITM013"/>
    <n v="1"/>
    <n v="69"/>
    <x v="0"/>
    <x v="0"/>
    <n v="21"/>
    <n v="21"/>
  </r>
  <r>
    <s v="ORD9072704"/>
    <s v="ITM012"/>
    <n v="4"/>
    <n v="356"/>
    <x v="8"/>
    <x v="0"/>
    <n v="27"/>
    <n v="108"/>
  </r>
  <r>
    <s v="ORD3563536"/>
    <s v="ITM014"/>
    <n v="1"/>
    <n v="119"/>
    <x v="14"/>
    <x v="1"/>
    <n v="36"/>
    <n v="36"/>
  </r>
  <r>
    <s v="ORD3563536"/>
    <s v="ITM008"/>
    <n v="2"/>
    <n v="198"/>
    <x v="9"/>
    <x v="2"/>
    <n v="30"/>
    <n v="60"/>
  </r>
  <r>
    <s v="ORD7279004"/>
    <s v="ITM013"/>
    <n v="3"/>
    <n v="207"/>
    <x v="0"/>
    <x v="0"/>
    <n v="21"/>
    <n v="63"/>
  </r>
  <r>
    <s v="ORD7279004"/>
    <s v="ITM012"/>
    <n v="1"/>
    <n v="89"/>
    <x v="8"/>
    <x v="0"/>
    <n v="27"/>
    <n v="27"/>
  </r>
  <r>
    <s v="ORD3723988"/>
    <s v="ITM027"/>
    <n v="1"/>
    <n v="79"/>
    <x v="10"/>
    <x v="4"/>
    <n v="24"/>
    <n v="24"/>
  </r>
  <r>
    <s v="ORD3723988"/>
    <s v="ITM021"/>
    <n v="2"/>
    <n v="298"/>
    <x v="22"/>
    <x v="1"/>
    <n v="45"/>
    <n v="90"/>
  </r>
  <r>
    <s v="ORD5066006"/>
    <s v="ITM022"/>
    <n v="2"/>
    <n v="198"/>
    <x v="23"/>
    <x v="1"/>
    <n v="30"/>
    <n v="60"/>
  </r>
  <r>
    <s v="ORD3472414"/>
    <s v="ITM019"/>
    <n v="1"/>
    <n v="149"/>
    <x v="11"/>
    <x v="1"/>
    <n v="45"/>
    <n v="45"/>
  </r>
  <r>
    <s v="ORD3472414"/>
    <s v="ITM017"/>
    <n v="1"/>
    <n v="149"/>
    <x v="6"/>
    <x v="1"/>
    <n v="45"/>
    <n v="45"/>
  </r>
  <r>
    <s v="ORD2348021"/>
    <s v="ITM023"/>
    <n v="2"/>
    <n v="278"/>
    <x v="18"/>
    <x v="1"/>
    <n v="42"/>
    <n v="84"/>
  </r>
  <r>
    <s v="ORD2348021"/>
    <s v="ITM005"/>
    <n v="2"/>
    <n v="198"/>
    <x v="16"/>
    <x v="3"/>
    <n v="30"/>
    <n v="60"/>
  </r>
  <r>
    <s v="ORD2348021"/>
    <s v="ITM019"/>
    <n v="4"/>
    <n v="596"/>
    <x v="11"/>
    <x v="1"/>
    <n v="45"/>
    <n v="180"/>
  </r>
  <r>
    <s v="ORD2348021"/>
    <s v="ITM013"/>
    <n v="2"/>
    <n v="138"/>
    <x v="0"/>
    <x v="0"/>
    <n v="21"/>
    <n v="42"/>
  </r>
  <r>
    <s v="ORD6777952"/>
    <s v="ITM007"/>
    <n v="2"/>
    <n v="158"/>
    <x v="19"/>
    <x v="2"/>
    <n v="24"/>
    <n v="48"/>
  </r>
  <r>
    <s v="ORD6777952"/>
    <s v="ITM021"/>
    <n v="1"/>
    <n v="149"/>
    <x v="22"/>
    <x v="1"/>
    <n v="45"/>
    <n v="45"/>
  </r>
  <r>
    <s v="ORD5837546"/>
    <s v="ITM012"/>
    <n v="1"/>
    <n v="89"/>
    <x v="8"/>
    <x v="0"/>
    <n v="27"/>
    <n v="27"/>
  </r>
  <r>
    <s v="ORD5837546"/>
    <s v="ITM020"/>
    <n v="1"/>
    <n v="159"/>
    <x v="21"/>
    <x v="1"/>
    <n v="48"/>
    <n v="48"/>
  </r>
  <r>
    <s v="ORD4219293"/>
    <s v="ITM014"/>
    <n v="2"/>
    <n v="238"/>
    <x v="14"/>
    <x v="1"/>
    <n v="36"/>
    <n v="72"/>
  </r>
  <r>
    <s v="ORD4219293"/>
    <s v="ITM023"/>
    <n v="1"/>
    <n v="139"/>
    <x v="18"/>
    <x v="1"/>
    <n v="42"/>
    <n v="42"/>
  </r>
  <r>
    <s v="ORD4219293"/>
    <s v="ITM025"/>
    <n v="1"/>
    <n v="79"/>
    <x v="25"/>
    <x v="4"/>
    <n v="24"/>
    <n v="24"/>
  </r>
  <r>
    <s v="ORD4219293"/>
    <s v="ITM004"/>
    <n v="1"/>
    <n v="79"/>
    <x v="5"/>
    <x v="3"/>
    <n v="24"/>
    <n v="24"/>
  </r>
  <r>
    <s v="ORD5464094"/>
    <s v="ITM007"/>
    <n v="3"/>
    <n v="237"/>
    <x v="19"/>
    <x v="2"/>
    <n v="24"/>
    <n v="72"/>
  </r>
  <r>
    <s v="ORD5464094"/>
    <s v="ITM022"/>
    <n v="1"/>
    <n v="99"/>
    <x v="23"/>
    <x v="1"/>
    <n v="30"/>
    <n v="30"/>
  </r>
  <r>
    <s v="ORD5464094"/>
    <s v="ITM002"/>
    <n v="2"/>
    <n v="198"/>
    <x v="12"/>
    <x v="5"/>
    <n v="30"/>
    <n v="60"/>
  </r>
  <r>
    <s v="ORD6755884"/>
    <s v="ITM019"/>
    <n v="1"/>
    <n v="149"/>
    <x v="11"/>
    <x v="1"/>
    <n v="45"/>
    <n v="45"/>
  </r>
  <r>
    <s v="ORD6755884"/>
    <s v="ITM002"/>
    <n v="1"/>
    <n v="99"/>
    <x v="12"/>
    <x v="5"/>
    <n v="30"/>
    <n v="30"/>
  </r>
  <r>
    <s v="ORD6755884"/>
    <s v="ITM012"/>
    <n v="1"/>
    <n v="89"/>
    <x v="8"/>
    <x v="0"/>
    <n v="27"/>
    <n v="27"/>
  </r>
  <r>
    <s v="ORD6755884"/>
    <s v="ITM026"/>
    <n v="2"/>
    <n v="158"/>
    <x v="4"/>
    <x v="4"/>
    <n v="24"/>
    <n v="48"/>
  </r>
  <r>
    <s v="ORD9902483"/>
    <s v="ITM014"/>
    <n v="3"/>
    <n v="357"/>
    <x v="14"/>
    <x v="1"/>
    <n v="36"/>
    <n v="108"/>
  </r>
  <r>
    <s v="ORD9902483"/>
    <s v="ITM021"/>
    <n v="2"/>
    <n v="298"/>
    <x v="22"/>
    <x v="1"/>
    <n v="45"/>
    <n v="90"/>
  </r>
  <r>
    <s v="ORD9902483"/>
    <s v="ITM019"/>
    <n v="2"/>
    <n v="298"/>
    <x v="11"/>
    <x v="1"/>
    <n v="45"/>
    <n v="90"/>
  </r>
  <r>
    <s v="ORD9902483"/>
    <s v="ITM008"/>
    <n v="1"/>
    <n v="99"/>
    <x v="9"/>
    <x v="2"/>
    <n v="30"/>
    <n v="30"/>
  </r>
  <r>
    <s v="ORD6461406"/>
    <s v="ITM020"/>
    <n v="3"/>
    <n v="477"/>
    <x v="21"/>
    <x v="1"/>
    <n v="48"/>
    <n v="144"/>
  </r>
  <r>
    <s v="ORD6461406"/>
    <s v="ITM015"/>
    <n v="1"/>
    <n v="149"/>
    <x v="1"/>
    <x v="1"/>
    <n v="45"/>
    <n v="45"/>
  </r>
  <r>
    <s v="ORD7456854"/>
    <s v="ITM023"/>
    <n v="3"/>
    <n v="417"/>
    <x v="18"/>
    <x v="1"/>
    <n v="42"/>
    <n v="126"/>
  </r>
  <r>
    <s v="ORD7456854"/>
    <s v="ITM020"/>
    <n v="2"/>
    <n v="318"/>
    <x v="21"/>
    <x v="1"/>
    <n v="48"/>
    <n v="96"/>
  </r>
  <r>
    <s v="ORD8831655"/>
    <s v="ITM016"/>
    <n v="1"/>
    <n v="99"/>
    <x v="7"/>
    <x v="1"/>
    <n v="30"/>
    <n v="30"/>
  </r>
  <r>
    <s v="ORD8831655"/>
    <s v="ITM027"/>
    <n v="4"/>
    <n v="316"/>
    <x v="10"/>
    <x v="4"/>
    <n v="24"/>
    <n v="96"/>
  </r>
  <r>
    <s v="ORD8831655"/>
    <s v="ITM008"/>
    <n v="2"/>
    <n v="198"/>
    <x v="9"/>
    <x v="2"/>
    <n v="30"/>
    <n v="60"/>
  </r>
  <r>
    <s v="ORD8831655"/>
    <s v="ITM015"/>
    <n v="1"/>
    <n v="149"/>
    <x v="1"/>
    <x v="1"/>
    <n v="45"/>
    <n v="45"/>
  </r>
  <r>
    <s v="ORD4697296"/>
    <s v="ITM027"/>
    <n v="4"/>
    <n v="316"/>
    <x v="10"/>
    <x v="4"/>
    <n v="24"/>
    <n v="96"/>
  </r>
  <r>
    <s v="ORD4697296"/>
    <s v="ITM019"/>
    <n v="2"/>
    <n v="298"/>
    <x v="11"/>
    <x v="1"/>
    <n v="45"/>
    <n v="90"/>
  </r>
  <r>
    <s v="ORD2084932"/>
    <s v="ITM020"/>
    <n v="1"/>
    <n v="159"/>
    <x v="21"/>
    <x v="1"/>
    <n v="48"/>
    <n v="48"/>
  </r>
  <r>
    <s v="ORD6708243"/>
    <s v="ITM004"/>
    <n v="4"/>
    <n v="316"/>
    <x v="5"/>
    <x v="3"/>
    <n v="24"/>
    <n v="96"/>
  </r>
  <r>
    <s v="ORD6708243"/>
    <s v="ITM021"/>
    <n v="2"/>
    <n v="298"/>
    <x v="22"/>
    <x v="1"/>
    <n v="45"/>
    <n v="90"/>
  </r>
  <r>
    <s v="ORD6708243"/>
    <s v="ITM023"/>
    <n v="1"/>
    <n v="139"/>
    <x v="18"/>
    <x v="1"/>
    <n v="42"/>
    <n v="42"/>
  </r>
  <r>
    <s v="ORD6708243"/>
    <s v="ITM011"/>
    <n v="1"/>
    <n v="79"/>
    <x v="26"/>
    <x v="0"/>
    <n v="24"/>
    <n v="24"/>
  </r>
  <r>
    <s v="ORD3119085"/>
    <s v="ITM004"/>
    <n v="3"/>
    <n v="237"/>
    <x v="5"/>
    <x v="3"/>
    <n v="24"/>
    <n v="72"/>
  </r>
  <r>
    <s v="ORD3119085"/>
    <s v="ITM017"/>
    <n v="1"/>
    <n v="149"/>
    <x v="6"/>
    <x v="1"/>
    <n v="45"/>
    <n v="45"/>
  </r>
  <r>
    <s v="ORD3119085"/>
    <s v="ITM001"/>
    <n v="3"/>
    <n v="237"/>
    <x v="24"/>
    <x v="5"/>
    <n v="24"/>
    <n v="72"/>
  </r>
  <r>
    <s v="ORD1576194"/>
    <s v="ITM019"/>
    <n v="1"/>
    <n v="149"/>
    <x v="11"/>
    <x v="1"/>
    <n v="45"/>
    <n v="45"/>
  </r>
  <r>
    <s v="ORD1576194"/>
    <s v="ITM015"/>
    <n v="3"/>
    <n v="447"/>
    <x v="1"/>
    <x v="1"/>
    <n v="45"/>
    <n v="135"/>
  </r>
  <r>
    <s v="ORD6589238"/>
    <s v="ITM007"/>
    <n v="1"/>
    <n v="79"/>
    <x v="19"/>
    <x v="2"/>
    <n v="24"/>
    <n v="24"/>
  </r>
  <r>
    <s v="ORD6589238"/>
    <s v="ITM022"/>
    <n v="3"/>
    <n v="297"/>
    <x v="23"/>
    <x v="1"/>
    <n v="30"/>
    <n v="90"/>
  </r>
  <r>
    <s v="ORD6589238"/>
    <s v="ITM020"/>
    <n v="1"/>
    <n v="159"/>
    <x v="21"/>
    <x v="1"/>
    <n v="48"/>
    <n v="48"/>
  </r>
  <r>
    <s v="ORD1361814"/>
    <s v="ITM014"/>
    <n v="1"/>
    <n v="119"/>
    <x v="14"/>
    <x v="1"/>
    <n v="36"/>
    <n v="36"/>
  </r>
  <r>
    <s v="ORD1361814"/>
    <s v="ITM013"/>
    <n v="1"/>
    <n v="69"/>
    <x v="0"/>
    <x v="0"/>
    <n v="21"/>
    <n v="21"/>
  </r>
  <r>
    <s v="ORD2632751"/>
    <s v="ITM022"/>
    <n v="1"/>
    <n v="99"/>
    <x v="23"/>
    <x v="1"/>
    <n v="30"/>
    <n v="30"/>
  </r>
  <r>
    <s v="ORD2632751"/>
    <s v="ITM023"/>
    <n v="4"/>
    <n v="556"/>
    <x v="18"/>
    <x v="1"/>
    <n v="42"/>
    <n v="168"/>
  </r>
  <r>
    <s v="ORD3429724"/>
    <s v="ITM021"/>
    <n v="1"/>
    <n v="149"/>
    <x v="22"/>
    <x v="1"/>
    <n v="45"/>
    <n v="45"/>
  </r>
  <r>
    <s v="ORD3429724"/>
    <s v="ITM020"/>
    <n v="2"/>
    <n v="318"/>
    <x v="21"/>
    <x v="1"/>
    <n v="48"/>
    <n v="96"/>
  </r>
  <r>
    <s v="ORD3822312"/>
    <s v="ITM027"/>
    <n v="1"/>
    <n v="79"/>
    <x v="10"/>
    <x v="4"/>
    <n v="24"/>
    <n v="24"/>
  </r>
  <r>
    <s v="ORD1570305"/>
    <s v="ITM019"/>
    <n v="4"/>
    <n v="596"/>
    <x v="11"/>
    <x v="1"/>
    <n v="45"/>
    <n v="180"/>
  </r>
  <r>
    <s v="ORD1570305"/>
    <s v="ITM015"/>
    <n v="2"/>
    <n v="298"/>
    <x v="1"/>
    <x v="1"/>
    <n v="45"/>
    <n v="90"/>
  </r>
  <r>
    <s v="ORD7410589"/>
    <s v="ITM001"/>
    <n v="1"/>
    <n v="79"/>
    <x v="24"/>
    <x v="5"/>
    <n v="24"/>
    <n v="24"/>
  </r>
  <r>
    <s v="ORD7410589"/>
    <s v="ITM014"/>
    <n v="2"/>
    <n v="238"/>
    <x v="14"/>
    <x v="1"/>
    <n v="36"/>
    <n v="72"/>
  </r>
  <r>
    <s v="ORD7410589"/>
    <s v="ITM004"/>
    <n v="4"/>
    <n v="316"/>
    <x v="5"/>
    <x v="3"/>
    <n v="24"/>
    <n v="96"/>
  </r>
  <r>
    <s v="ORD4038296"/>
    <s v="ITM014"/>
    <n v="2"/>
    <n v="238"/>
    <x v="14"/>
    <x v="1"/>
    <n v="36"/>
    <n v="72"/>
  </r>
  <r>
    <s v="ORD4038296"/>
    <s v="ITM018"/>
    <n v="1"/>
    <n v="159"/>
    <x v="15"/>
    <x v="1"/>
    <n v="48"/>
    <n v="48"/>
  </r>
  <r>
    <s v="ORD9893395"/>
    <s v="ITM023"/>
    <n v="2"/>
    <n v="278"/>
    <x v="18"/>
    <x v="1"/>
    <n v="42"/>
    <n v="84"/>
  </r>
  <r>
    <s v="ORD4018851"/>
    <s v="ITM004"/>
    <n v="1"/>
    <n v="79"/>
    <x v="5"/>
    <x v="3"/>
    <n v="24"/>
    <n v="24"/>
  </r>
  <r>
    <s v="ORD4018851"/>
    <s v="ITM022"/>
    <n v="1"/>
    <n v="99"/>
    <x v="23"/>
    <x v="1"/>
    <n v="30"/>
    <n v="30"/>
  </r>
  <r>
    <s v="ORD4018851"/>
    <s v="ITM005"/>
    <n v="2"/>
    <n v="198"/>
    <x v="16"/>
    <x v="3"/>
    <n v="30"/>
    <n v="60"/>
  </r>
  <r>
    <s v="ORD3879023"/>
    <s v="ITM002"/>
    <n v="4"/>
    <n v="396"/>
    <x v="12"/>
    <x v="5"/>
    <n v="30"/>
    <n v="120"/>
  </r>
  <r>
    <s v="ORD3879023"/>
    <s v="ITM019"/>
    <n v="1"/>
    <n v="149"/>
    <x v="11"/>
    <x v="1"/>
    <n v="45"/>
    <n v="45"/>
  </r>
  <r>
    <s v="ORD3879023"/>
    <s v="ITM008"/>
    <n v="2"/>
    <n v="198"/>
    <x v="9"/>
    <x v="2"/>
    <n v="30"/>
    <n v="60"/>
  </r>
  <r>
    <s v="ORD3879023"/>
    <s v="ITM026"/>
    <n v="1"/>
    <n v="79"/>
    <x v="4"/>
    <x v="4"/>
    <n v="24"/>
    <n v="24"/>
  </r>
  <r>
    <s v="ORD2661097"/>
    <s v="ITM006"/>
    <n v="3"/>
    <n v="267"/>
    <x v="3"/>
    <x v="3"/>
    <n v="27"/>
    <n v="81"/>
  </r>
  <r>
    <s v="ORD2661097"/>
    <s v="ITM009"/>
    <n v="4"/>
    <n v="356"/>
    <x v="2"/>
    <x v="2"/>
    <n v="27"/>
    <n v="108"/>
  </r>
  <r>
    <s v="ORD5277642"/>
    <s v="ITM025"/>
    <n v="1"/>
    <n v="79"/>
    <x v="25"/>
    <x v="4"/>
    <n v="24"/>
    <n v="24"/>
  </r>
  <r>
    <s v="ORD5277642"/>
    <s v="ITM012"/>
    <n v="1"/>
    <n v="89"/>
    <x v="8"/>
    <x v="0"/>
    <n v="27"/>
    <n v="27"/>
  </r>
  <r>
    <s v="ORD4231751"/>
    <s v="ITM018"/>
    <n v="3"/>
    <n v="477"/>
    <x v="15"/>
    <x v="1"/>
    <n v="48"/>
    <n v="144"/>
  </r>
  <r>
    <s v="ORD4231751"/>
    <s v="ITM005"/>
    <n v="1"/>
    <n v="99"/>
    <x v="16"/>
    <x v="3"/>
    <n v="30"/>
    <n v="30"/>
  </r>
  <r>
    <s v="ORD4231751"/>
    <s v="ITM015"/>
    <n v="3"/>
    <n v="447"/>
    <x v="1"/>
    <x v="1"/>
    <n v="45"/>
    <n v="135"/>
  </r>
  <r>
    <s v="ORD7824657"/>
    <s v="ITM003"/>
    <n v="3"/>
    <n v="357"/>
    <x v="27"/>
    <x v="5"/>
    <n v="36"/>
    <n v="108"/>
  </r>
  <r>
    <s v="ORD7824657"/>
    <s v="ITM025"/>
    <n v="1"/>
    <n v="79"/>
    <x v="25"/>
    <x v="4"/>
    <n v="24"/>
    <n v="24"/>
  </r>
  <r>
    <s v="ORD3072044"/>
    <s v="ITM022"/>
    <n v="1"/>
    <n v="99"/>
    <x v="23"/>
    <x v="1"/>
    <n v="30"/>
    <n v="30"/>
  </r>
  <r>
    <s v="ORD3072044"/>
    <s v="ITM023"/>
    <n v="1"/>
    <n v="139"/>
    <x v="18"/>
    <x v="1"/>
    <n v="42"/>
    <n v="42"/>
  </r>
  <r>
    <s v="ORD3072044"/>
    <s v="ITM017"/>
    <n v="2"/>
    <n v="298"/>
    <x v="6"/>
    <x v="1"/>
    <n v="45"/>
    <n v="90"/>
  </r>
  <r>
    <s v="ORD7535788"/>
    <s v="ITM027"/>
    <n v="2"/>
    <n v="158"/>
    <x v="10"/>
    <x v="4"/>
    <n v="24"/>
    <n v="48"/>
  </r>
  <r>
    <s v="ORD7535788"/>
    <s v="ITM020"/>
    <n v="2"/>
    <n v="318"/>
    <x v="21"/>
    <x v="1"/>
    <n v="48"/>
    <n v="96"/>
  </r>
  <r>
    <s v="ORD3120109"/>
    <s v="ITM002"/>
    <n v="2"/>
    <n v="198"/>
    <x v="12"/>
    <x v="5"/>
    <n v="30"/>
    <n v="60"/>
  </r>
  <r>
    <s v="ORD3120109"/>
    <s v="ITM020"/>
    <n v="5"/>
    <n v="795"/>
    <x v="21"/>
    <x v="1"/>
    <n v="48"/>
    <n v="240"/>
  </r>
  <r>
    <s v="ORD6939158"/>
    <s v="ITM008"/>
    <n v="4"/>
    <n v="396"/>
    <x v="9"/>
    <x v="2"/>
    <n v="30"/>
    <n v="120"/>
  </r>
  <r>
    <s v="ORD6939158"/>
    <s v="ITM013"/>
    <n v="4"/>
    <n v="276"/>
    <x v="0"/>
    <x v="0"/>
    <n v="21"/>
    <n v="84"/>
  </r>
  <r>
    <s v="ORD2512308"/>
    <s v="ITM007"/>
    <n v="1"/>
    <n v="79"/>
    <x v="19"/>
    <x v="2"/>
    <n v="24"/>
    <n v="24"/>
  </r>
  <r>
    <s v="ORD8113264"/>
    <s v="ITM005"/>
    <n v="2"/>
    <n v="198"/>
    <x v="16"/>
    <x v="3"/>
    <n v="30"/>
    <n v="60"/>
  </r>
  <r>
    <s v="ORD8113264"/>
    <s v="ITM019"/>
    <n v="1"/>
    <n v="149"/>
    <x v="11"/>
    <x v="1"/>
    <n v="45"/>
    <n v="45"/>
  </r>
  <r>
    <s v="ORD8113264"/>
    <s v="ITM015"/>
    <n v="1"/>
    <n v="149"/>
    <x v="1"/>
    <x v="1"/>
    <n v="45"/>
    <n v="45"/>
  </r>
  <r>
    <s v="ORD5097436"/>
    <s v="ITM006"/>
    <n v="4"/>
    <n v="356"/>
    <x v="3"/>
    <x v="3"/>
    <n v="27"/>
    <n v="108"/>
  </r>
  <r>
    <s v="ORD5097436"/>
    <s v="ITM014"/>
    <n v="3"/>
    <n v="357"/>
    <x v="14"/>
    <x v="1"/>
    <n v="36"/>
    <n v="108"/>
  </r>
  <r>
    <s v="ORD5097436"/>
    <s v="ITM002"/>
    <n v="4"/>
    <n v="396"/>
    <x v="12"/>
    <x v="5"/>
    <n v="30"/>
    <n v="120"/>
  </r>
  <r>
    <s v="ORD3860246"/>
    <s v="ITM023"/>
    <n v="3"/>
    <n v="417"/>
    <x v="18"/>
    <x v="1"/>
    <n v="42"/>
    <n v="126"/>
  </r>
  <r>
    <s v="ORD3860246"/>
    <s v="ITM019"/>
    <n v="1"/>
    <n v="149"/>
    <x v="11"/>
    <x v="1"/>
    <n v="45"/>
    <n v="45"/>
  </r>
  <r>
    <s v="ORD3860246"/>
    <s v="ITM010"/>
    <n v="2"/>
    <n v="118"/>
    <x v="20"/>
    <x v="0"/>
    <n v="18"/>
    <n v="36"/>
  </r>
  <r>
    <s v="ORD9649141"/>
    <s v="ITM001"/>
    <n v="2"/>
    <n v="158"/>
    <x v="24"/>
    <x v="5"/>
    <n v="24"/>
    <n v="48"/>
  </r>
  <r>
    <s v="ORD9649141"/>
    <s v="ITM024"/>
    <n v="1"/>
    <n v="79"/>
    <x v="17"/>
    <x v="4"/>
    <n v="24"/>
    <n v="24"/>
  </r>
  <r>
    <s v="ORD9649141"/>
    <s v="ITM023"/>
    <n v="1"/>
    <n v="139"/>
    <x v="18"/>
    <x v="1"/>
    <n v="42"/>
    <n v="42"/>
  </r>
  <r>
    <s v="ORD9649141"/>
    <s v="ITM002"/>
    <n v="1"/>
    <n v="99"/>
    <x v="12"/>
    <x v="5"/>
    <n v="30"/>
    <n v="30"/>
  </r>
  <r>
    <s v="ORD9628834"/>
    <s v="ITM001"/>
    <n v="3"/>
    <n v="237"/>
    <x v="24"/>
    <x v="5"/>
    <n v="24"/>
    <n v="72"/>
  </r>
  <r>
    <s v="ORD9628834"/>
    <s v="ITM025"/>
    <n v="1"/>
    <n v="79"/>
    <x v="25"/>
    <x v="4"/>
    <n v="24"/>
    <n v="24"/>
  </r>
  <r>
    <s v="ORD8358018"/>
    <s v="ITM011"/>
    <n v="1"/>
    <n v="79"/>
    <x v="26"/>
    <x v="0"/>
    <n v="24"/>
    <n v="24"/>
  </r>
  <r>
    <s v="ORD8358018"/>
    <s v="ITM014"/>
    <n v="3"/>
    <n v="357"/>
    <x v="14"/>
    <x v="1"/>
    <n v="36"/>
    <n v="108"/>
  </r>
  <r>
    <s v="ORD1530269"/>
    <s v="ITM027"/>
    <n v="1"/>
    <n v="79"/>
    <x v="10"/>
    <x v="4"/>
    <n v="24"/>
    <n v="24"/>
  </r>
  <r>
    <s v="ORD1530269"/>
    <s v="ITM028"/>
    <n v="2"/>
    <n v="98"/>
    <x v="13"/>
    <x v="4"/>
    <n v="15"/>
    <n v="30"/>
  </r>
  <r>
    <s v="ORD1530269"/>
    <s v="ITM026"/>
    <n v="2"/>
    <n v="158"/>
    <x v="4"/>
    <x v="4"/>
    <n v="24"/>
    <n v="48"/>
  </r>
  <r>
    <s v="ORD7523795"/>
    <s v="ITM004"/>
    <n v="1"/>
    <n v="79"/>
    <x v="5"/>
    <x v="3"/>
    <n v="24"/>
    <n v="24"/>
  </r>
  <r>
    <s v="ORD6740173"/>
    <s v="ITM009"/>
    <n v="3"/>
    <n v="267"/>
    <x v="2"/>
    <x v="2"/>
    <n v="27"/>
    <n v="81"/>
  </r>
  <r>
    <s v="ORD6740173"/>
    <s v="ITM014"/>
    <n v="1"/>
    <n v="119"/>
    <x v="14"/>
    <x v="1"/>
    <n v="36"/>
    <n v="36"/>
  </r>
  <r>
    <s v="ORD6740173"/>
    <s v="ITM015"/>
    <n v="1"/>
    <n v="149"/>
    <x v="1"/>
    <x v="1"/>
    <n v="45"/>
    <n v="45"/>
  </r>
  <r>
    <s v="ORD6740173"/>
    <s v="ITM020"/>
    <n v="2"/>
    <n v="318"/>
    <x v="21"/>
    <x v="1"/>
    <n v="48"/>
    <n v="96"/>
  </r>
  <r>
    <s v="ORD8200092"/>
    <s v="ITM004"/>
    <n v="3"/>
    <n v="237"/>
    <x v="5"/>
    <x v="3"/>
    <n v="24"/>
    <n v="72"/>
  </r>
  <r>
    <s v="ORD8200092"/>
    <s v="ITM021"/>
    <n v="2"/>
    <n v="298"/>
    <x v="22"/>
    <x v="1"/>
    <n v="45"/>
    <n v="90"/>
  </r>
  <r>
    <s v="ORD1643681"/>
    <s v="ITM004"/>
    <n v="1"/>
    <n v="79"/>
    <x v="5"/>
    <x v="3"/>
    <n v="24"/>
    <n v="24"/>
  </r>
  <r>
    <s v="ORD1643681"/>
    <s v="ITM018"/>
    <n v="1"/>
    <n v="159"/>
    <x v="15"/>
    <x v="1"/>
    <n v="48"/>
    <n v="48"/>
  </r>
  <r>
    <s v="ORD1643681"/>
    <s v="ITM013"/>
    <n v="1"/>
    <n v="69"/>
    <x v="0"/>
    <x v="0"/>
    <n v="21"/>
    <n v="21"/>
  </r>
  <r>
    <s v="ORD1643681"/>
    <s v="ITM026"/>
    <n v="2"/>
    <n v="158"/>
    <x v="4"/>
    <x v="4"/>
    <n v="24"/>
    <n v="48"/>
  </r>
  <r>
    <s v="ORD2846415"/>
    <s v="ITM020"/>
    <n v="1"/>
    <n v="159"/>
    <x v="21"/>
    <x v="1"/>
    <n v="48"/>
    <n v="48"/>
  </r>
  <r>
    <s v="ORD2846415"/>
    <s v="ITM026"/>
    <n v="4"/>
    <n v="316"/>
    <x v="4"/>
    <x v="4"/>
    <n v="24"/>
    <n v="96"/>
  </r>
  <r>
    <s v="ORD5700293"/>
    <s v="ITM006"/>
    <n v="4"/>
    <n v="356"/>
    <x v="3"/>
    <x v="3"/>
    <n v="27"/>
    <n v="108"/>
  </r>
  <r>
    <s v="ORD3186206"/>
    <s v="ITM022"/>
    <n v="2"/>
    <n v="198"/>
    <x v="23"/>
    <x v="1"/>
    <n v="30"/>
    <n v="60"/>
  </r>
  <r>
    <s v="ORD3186206"/>
    <s v="ITM021"/>
    <n v="2"/>
    <n v="298"/>
    <x v="22"/>
    <x v="1"/>
    <n v="45"/>
    <n v="90"/>
  </r>
  <r>
    <s v="ORD3019210"/>
    <s v="ITM006"/>
    <n v="2"/>
    <n v="178"/>
    <x v="3"/>
    <x v="3"/>
    <n v="27"/>
    <n v="54"/>
  </r>
  <r>
    <s v="ORD3019210"/>
    <s v="ITM019"/>
    <n v="4"/>
    <n v="596"/>
    <x v="11"/>
    <x v="1"/>
    <n v="45"/>
    <n v="180"/>
  </r>
  <r>
    <s v="ORD3019210"/>
    <s v="ITM025"/>
    <n v="1"/>
    <n v="79"/>
    <x v="25"/>
    <x v="4"/>
    <n v="24"/>
    <n v="24"/>
  </r>
  <r>
    <s v="ORD3144664"/>
    <s v="ITM024"/>
    <n v="3"/>
    <n v="237"/>
    <x v="17"/>
    <x v="4"/>
    <n v="24"/>
    <n v="72"/>
  </r>
  <r>
    <s v="ORD3144664"/>
    <s v="ITM020"/>
    <n v="3"/>
    <n v="477"/>
    <x v="21"/>
    <x v="1"/>
    <n v="48"/>
    <n v="144"/>
  </r>
  <r>
    <s v="ORD2135960"/>
    <s v="ITM015"/>
    <n v="1"/>
    <n v="149"/>
    <x v="1"/>
    <x v="1"/>
    <n v="45"/>
    <n v="45"/>
  </r>
  <r>
    <s v="ORD2135960"/>
    <s v="ITM026"/>
    <n v="2"/>
    <n v="158"/>
    <x v="4"/>
    <x v="4"/>
    <n v="24"/>
    <n v="48"/>
  </r>
  <r>
    <s v="ORD4190874"/>
    <s v="ITM016"/>
    <n v="1"/>
    <n v="99"/>
    <x v="7"/>
    <x v="1"/>
    <n v="30"/>
    <n v="30"/>
  </r>
  <r>
    <s v="ORD4190874"/>
    <s v="ITM015"/>
    <n v="1"/>
    <n v="149"/>
    <x v="1"/>
    <x v="1"/>
    <n v="45"/>
    <n v="45"/>
  </r>
  <r>
    <s v="ORD3684405"/>
    <s v="ITM024"/>
    <n v="3"/>
    <n v="237"/>
    <x v="17"/>
    <x v="4"/>
    <n v="24"/>
    <n v="72"/>
  </r>
  <r>
    <s v="ORD3684405"/>
    <s v="ITM019"/>
    <n v="2"/>
    <n v="298"/>
    <x v="11"/>
    <x v="1"/>
    <n v="45"/>
    <n v="90"/>
  </r>
  <r>
    <s v="ORD2998223"/>
    <s v="ITM016"/>
    <n v="2"/>
    <n v="198"/>
    <x v="7"/>
    <x v="1"/>
    <n v="30"/>
    <n v="60"/>
  </r>
  <r>
    <s v="ORD2998223"/>
    <s v="ITM009"/>
    <n v="4"/>
    <n v="356"/>
    <x v="2"/>
    <x v="2"/>
    <n v="27"/>
    <n v="108"/>
  </r>
  <r>
    <s v="ORD4522752"/>
    <s v="ITM018"/>
    <n v="2"/>
    <n v="318"/>
    <x v="15"/>
    <x v="1"/>
    <n v="48"/>
    <n v="96"/>
  </r>
  <r>
    <s v="ORD5947522"/>
    <s v="ITM001"/>
    <n v="1"/>
    <n v="79"/>
    <x v="24"/>
    <x v="5"/>
    <n v="24"/>
    <n v="24"/>
  </r>
  <r>
    <s v="ORD5947522"/>
    <s v="ITM018"/>
    <n v="1"/>
    <n v="159"/>
    <x v="15"/>
    <x v="1"/>
    <n v="48"/>
    <n v="48"/>
  </r>
  <r>
    <s v="ORD5947522"/>
    <s v="ITM020"/>
    <n v="1"/>
    <n v="159"/>
    <x v="21"/>
    <x v="1"/>
    <n v="48"/>
    <n v="48"/>
  </r>
  <r>
    <s v="ORD5947522"/>
    <s v="ITM011"/>
    <n v="2"/>
    <n v="158"/>
    <x v="26"/>
    <x v="0"/>
    <n v="24"/>
    <n v="48"/>
  </r>
  <r>
    <s v="ORD5317535"/>
    <s v="ITM007"/>
    <n v="2"/>
    <n v="158"/>
    <x v="19"/>
    <x v="2"/>
    <n v="24"/>
    <n v="48"/>
  </r>
  <r>
    <s v="ORD5317535"/>
    <s v="ITM022"/>
    <n v="3"/>
    <n v="297"/>
    <x v="23"/>
    <x v="1"/>
    <n v="30"/>
    <n v="90"/>
  </r>
  <r>
    <s v="ORD5317535"/>
    <s v="ITM008"/>
    <n v="3"/>
    <n v="297"/>
    <x v="9"/>
    <x v="2"/>
    <n v="30"/>
    <n v="90"/>
  </r>
  <r>
    <s v="ORD9320847"/>
    <s v="ITM006"/>
    <n v="2"/>
    <n v="178"/>
    <x v="3"/>
    <x v="3"/>
    <n v="27"/>
    <n v="54"/>
  </r>
  <r>
    <s v="ORD9320847"/>
    <s v="ITM022"/>
    <n v="4"/>
    <n v="396"/>
    <x v="23"/>
    <x v="1"/>
    <n v="30"/>
    <n v="120"/>
  </r>
  <r>
    <s v="ORD4151566"/>
    <s v="ITM014"/>
    <n v="2"/>
    <n v="238"/>
    <x v="14"/>
    <x v="1"/>
    <n v="36"/>
    <n v="72"/>
  </r>
  <r>
    <s v="ORD4151566"/>
    <s v="ITM013"/>
    <n v="1"/>
    <n v="69"/>
    <x v="0"/>
    <x v="0"/>
    <n v="21"/>
    <n v="21"/>
  </r>
  <r>
    <s v="ORD1347555"/>
    <s v="ITM008"/>
    <n v="1"/>
    <n v="99"/>
    <x v="9"/>
    <x v="2"/>
    <n v="30"/>
    <n v="30"/>
  </r>
  <r>
    <s v="ORD1347555"/>
    <s v="ITM021"/>
    <n v="1"/>
    <n v="149"/>
    <x v="22"/>
    <x v="1"/>
    <n v="45"/>
    <n v="45"/>
  </r>
  <r>
    <s v="ORD1347555"/>
    <s v="ITM018"/>
    <n v="2"/>
    <n v="318"/>
    <x v="15"/>
    <x v="1"/>
    <n v="48"/>
    <n v="96"/>
  </r>
  <r>
    <s v="ORD1347555"/>
    <s v="ITM002"/>
    <n v="1"/>
    <n v="99"/>
    <x v="12"/>
    <x v="5"/>
    <n v="30"/>
    <n v="30"/>
  </r>
  <r>
    <s v="ORD2425479"/>
    <s v="ITM024"/>
    <n v="3"/>
    <n v="237"/>
    <x v="17"/>
    <x v="4"/>
    <n v="24"/>
    <n v="72"/>
  </r>
  <r>
    <s v="ORD2425479"/>
    <s v="ITM021"/>
    <n v="1"/>
    <n v="149"/>
    <x v="22"/>
    <x v="1"/>
    <n v="45"/>
    <n v="45"/>
  </r>
  <r>
    <s v="ORD1747019"/>
    <s v="ITM004"/>
    <n v="1"/>
    <n v="79"/>
    <x v="5"/>
    <x v="3"/>
    <n v="24"/>
    <n v="24"/>
  </r>
  <r>
    <s v="ORD1747019"/>
    <s v="ITM024"/>
    <n v="1"/>
    <n v="79"/>
    <x v="17"/>
    <x v="4"/>
    <n v="24"/>
    <n v="24"/>
  </r>
  <r>
    <s v="ORD1747019"/>
    <s v="ITM013"/>
    <n v="1"/>
    <n v="69"/>
    <x v="0"/>
    <x v="0"/>
    <n v="21"/>
    <n v="21"/>
  </r>
  <r>
    <s v="ORD2885904"/>
    <s v="ITM004"/>
    <n v="4"/>
    <n v="316"/>
    <x v="5"/>
    <x v="3"/>
    <n v="24"/>
    <n v="96"/>
  </r>
  <r>
    <s v="ORD1727239"/>
    <s v="ITM013"/>
    <n v="1"/>
    <n v="69"/>
    <x v="0"/>
    <x v="0"/>
    <n v="21"/>
    <n v="21"/>
  </r>
  <r>
    <s v="ORD1727239"/>
    <s v="ITM010"/>
    <n v="1"/>
    <n v="59"/>
    <x v="20"/>
    <x v="0"/>
    <n v="18"/>
    <n v="18"/>
  </r>
  <r>
    <s v="ORD7192680"/>
    <s v="ITM001"/>
    <n v="1"/>
    <n v="79"/>
    <x v="24"/>
    <x v="5"/>
    <n v="24"/>
    <n v="24"/>
  </r>
  <r>
    <s v="ORD7192680"/>
    <s v="ITM003"/>
    <n v="2"/>
    <n v="238"/>
    <x v="27"/>
    <x v="5"/>
    <n v="36"/>
    <n v="72"/>
  </r>
  <r>
    <s v="ORD7192680"/>
    <s v="ITM026"/>
    <n v="1"/>
    <n v="79"/>
    <x v="4"/>
    <x v="4"/>
    <n v="24"/>
    <n v="24"/>
  </r>
  <r>
    <s v="ORD7192680"/>
    <s v="ITM020"/>
    <n v="1"/>
    <n v="159"/>
    <x v="21"/>
    <x v="1"/>
    <n v="48"/>
    <n v="48"/>
  </r>
  <r>
    <s v="ORD5672054"/>
    <s v="ITM028"/>
    <n v="1"/>
    <n v="49"/>
    <x v="13"/>
    <x v="4"/>
    <n v="15"/>
    <n v="15"/>
  </r>
  <r>
    <s v="ORD6594616"/>
    <s v="ITM015"/>
    <n v="2"/>
    <n v="298"/>
    <x v="1"/>
    <x v="1"/>
    <n v="45"/>
    <n v="90"/>
  </r>
  <r>
    <s v="ORD6594616"/>
    <s v="ITM019"/>
    <n v="2"/>
    <n v="298"/>
    <x v="11"/>
    <x v="1"/>
    <n v="45"/>
    <n v="90"/>
  </r>
  <r>
    <s v="ORD6594616"/>
    <s v="ITM008"/>
    <n v="3"/>
    <n v="297"/>
    <x v="9"/>
    <x v="2"/>
    <n v="30"/>
    <n v="90"/>
  </r>
  <r>
    <s v="ORD6594616"/>
    <s v="ITM013"/>
    <n v="1"/>
    <n v="69"/>
    <x v="0"/>
    <x v="0"/>
    <n v="21"/>
    <n v="21"/>
  </r>
  <r>
    <s v="ORD2463815"/>
    <s v="ITM006"/>
    <n v="1"/>
    <n v="89"/>
    <x v="3"/>
    <x v="3"/>
    <n v="27"/>
    <n v="27"/>
  </r>
  <r>
    <s v="ORD2463815"/>
    <s v="ITM023"/>
    <n v="2"/>
    <n v="278"/>
    <x v="18"/>
    <x v="1"/>
    <n v="42"/>
    <n v="84"/>
  </r>
  <r>
    <s v="ORD8064499"/>
    <s v="ITM007"/>
    <n v="1"/>
    <n v="79"/>
    <x v="19"/>
    <x v="2"/>
    <n v="24"/>
    <n v="24"/>
  </r>
  <r>
    <s v="ORD8064499"/>
    <s v="ITM021"/>
    <n v="2"/>
    <n v="298"/>
    <x v="22"/>
    <x v="1"/>
    <n v="45"/>
    <n v="90"/>
  </r>
  <r>
    <s v="ORD2237660"/>
    <s v="ITM011"/>
    <n v="1"/>
    <n v="79"/>
    <x v="26"/>
    <x v="0"/>
    <n v="24"/>
    <n v="24"/>
  </r>
  <r>
    <s v="ORD2237660"/>
    <s v="ITM003"/>
    <n v="2"/>
    <n v="238"/>
    <x v="27"/>
    <x v="5"/>
    <n v="36"/>
    <n v="72"/>
  </r>
  <r>
    <s v="ORD2237660"/>
    <s v="ITM023"/>
    <n v="3"/>
    <n v="417"/>
    <x v="18"/>
    <x v="1"/>
    <n v="42"/>
    <n v="126"/>
  </r>
  <r>
    <s v="ORD2237660"/>
    <s v="ITM002"/>
    <n v="1"/>
    <n v="99"/>
    <x v="12"/>
    <x v="5"/>
    <n v="30"/>
    <n v="30"/>
  </r>
  <r>
    <s v="ORD8448641"/>
    <s v="ITM024"/>
    <n v="1"/>
    <n v="79"/>
    <x v="17"/>
    <x v="4"/>
    <n v="24"/>
    <n v="24"/>
  </r>
  <r>
    <s v="ORD8448641"/>
    <s v="ITM005"/>
    <n v="3"/>
    <n v="297"/>
    <x v="16"/>
    <x v="3"/>
    <n v="30"/>
    <n v="90"/>
  </r>
  <r>
    <s v="ORD5329433"/>
    <s v="ITM013"/>
    <n v="1"/>
    <n v="69"/>
    <x v="0"/>
    <x v="0"/>
    <n v="21"/>
    <n v="21"/>
  </r>
  <r>
    <s v="ORD5329433"/>
    <s v="ITM020"/>
    <n v="5"/>
    <n v="795"/>
    <x v="21"/>
    <x v="1"/>
    <n v="48"/>
    <n v="240"/>
  </r>
  <r>
    <s v="ORD7581550"/>
    <s v="ITM003"/>
    <n v="2"/>
    <n v="238"/>
    <x v="27"/>
    <x v="5"/>
    <n v="36"/>
    <n v="72"/>
  </r>
  <r>
    <s v="ORD7581550"/>
    <s v="ITM019"/>
    <n v="2"/>
    <n v="298"/>
    <x v="11"/>
    <x v="1"/>
    <n v="45"/>
    <n v="90"/>
  </r>
  <r>
    <s v="ORD7581550"/>
    <s v="ITM017"/>
    <n v="1"/>
    <n v="149"/>
    <x v="6"/>
    <x v="1"/>
    <n v="45"/>
    <n v="45"/>
  </r>
  <r>
    <s v="ORD7581550"/>
    <s v="ITM028"/>
    <n v="1"/>
    <n v="49"/>
    <x v="13"/>
    <x v="4"/>
    <n v="15"/>
    <n v="15"/>
  </r>
  <r>
    <s v="ORD6628280"/>
    <s v="ITM004"/>
    <n v="1"/>
    <n v="79"/>
    <x v="5"/>
    <x v="3"/>
    <n v="24"/>
    <n v="24"/>
  </r>
  <r>
    <s v="ORD6628280"/>
    <s v="ITM005"/>
    <n v="1"/>
    <n v="99"/>
    <x v="16"/>
    <x v="3"/>
    <n v="30"/>
    <n v="30"/>
  </r>
  <r>
    <s v="ORD1752869"/>
    <s v="ITM004"/>
    <n v="5"/>
    <n v="395"/>
    <x v="5"/>
    <x v="3"/>
    <n v="24"/>
    <n v="120"/>
  </r>
  <r>
    <s v="ORD1752869"/>
    <s v="ITM009"/>
    <n v="3"/>
    <n v="267"/>
    <x v="2"/>
    <x v="2"/>
    <n v="27"/>
    <n v="81"/>
  </r>
  <r>
    <s v="ORD1752869"/>
    <s v="ITM002"/>
    <n v="4"/>
    <n v="396"/>
    <x v="12"/>
    <x v="5"/>
    <n v="30"/>
    <n v="120"/>
  </r>
  <r>
    <s v="ORD1752869"/>
    <s v="ITM015"/>
    <n v="2"/>
    <n v="298"/>
    <x v="1"/>
    <x v="1"/>
    <n v="45"/>
    <n v="90"/>
  </r>
  <r>
    <s v="ORD7833134"/>
    <s v="ITM022"/>
    <n v="1"/>
    <n v="99"/>
    <x v="23"/>
    <x v="1"/>
    <n v="30"/>
    <n v="30"/>
  </r>
  <r>
    <s v="ORD8769633"/>
    <s v="ITM004"/>
    <n v="2"/>
    <n v="158"/>
    <x v="5"/>
    <x v="3"/>
    <n v="24"/>
    <n v="48"/>
  </r>
  <r>
    <s v="ORD8769633"/>
    <s v="ITM024"/>
    <n v="3"/>
    <n v="237"/>
    <x v="17"/>
    <x v="4"/>
    <n v="24"/>
    <n v="72"/>
  </r>
  <r>
    <s v="ORD8769633"/>
    <s v="ITM022"/>
    <n v="1"/>
    <n v="99"/>
    <x v="23"/>
    <x v="1"/>
    <n v="30"/>
    <n v="30"/>
  </r>
  <r>
    <s v="ORD8769633"/>
    <s v="ITM020"/>
    <n v="5"/>
    <n v="795"/>
    <x v="21"/>
    <x v="1"/>
    <n v="48"/>
    <n v="240"/>
  </r>
  <r>
    <s v="ORD5879512"/>
    <s v="ITM020"/>
    <n v="2"/>
    <n v="318"/>
    <x v="21"/>
    <x v="1"/>
    <n v="48"/>
    <n v="96"/>
  </r>
  <r>
    <s v="ORD5879512"/>
    <s v="ITM002"/>
    <n v="1"/>
    <n v="99"/>
    <x v="12"/>
    <x v="5"/>
    <n v="30"/>
    <n v="30"/>
  </r>
  <r>
    <s v="ORD5879512"/>
    <s v="ITM026"/>
    <n v="5"/>
    <n v="395"/>
    <x v="4"/>
    <x v="4"/>
    <n v="24"/>
    <n v="120"/>
  </r>
  <r>
    <s v="ORD6193258"/>
    <s v="ITM022"/>
    <n v="1"/>
    <n v="99"/>
    <x v="23"/>
    <x v="1"/>
    <n v="30"/>
    <n v="30"/>
  </r>
  <r>
    <s v="ORD6193258"/>
    <s v="ITM014"/>
    <n v="1"/>
    <n v="119"/>
    <x v="14"/>
    <x v="1"/>
    <n v="36"/>
    <n v="36"/>
  </r>
  <r>
    <s v="ORD6193258"/>
    <s v="ITM024"/>
    <n v="1"/>
    <n v="79"/>
    <x v="17"/>
    <x v="4"/>
    <n v="24"/>
    <n v="24"/>
  </r>
  <r>
    <s v="ORD6193258"/>
    <s v="ITM015"/>
    <n v="2"/>
    <n v="298"/>
    <x v="1"/>
    <x v="1"/>
    <n v="45"/>
    <n v="90"/>
  </r>
  <r>
    <s v="ORD8416290"/>
    <s v="ITM011"/>
    <n v="1"/>
    <n v="79"/>
    <x v="26"/>
    <x v="0"/>
    <n v="24"/>
    <n v="24"/>
  </r>
  <r>
    <s v="ORD8416290"/>
    <s v="ITM027"/>
    <n v="2"/>
    <n v="158"/>
    <x v="10"/>
    <x v="4"/>
    <n v="24"/>
    <n v="48"/>
  </r>
  <r>
    <s v="ORD8416290"/>
    <s v="ITM009"/>
    <n v="2"/>
    <n v="178"/>
    <x v="2"/>
    <x v="2"/>
    <n v="27"/>
    <n v="54"/>
  </r>
  <r>
    <s v="ORD8416290"/>
    <s v="ITM015"/>
    <n v="1"/>
    <n v="149"/>
    <x v="1"/>
    <x v="1"/>
    <n v="45"/>
    <n v="45"/>
  </r>
  <r>
    <s v="ORD5409512"/>
    <s v="ITM018"/>
    <n v="3"/>
    <n v="477"/>
    <x v="15"/>
    <x v="1"/>
    <n v="48"/>
    <n v="144"/>
  </r>
  <r>
    <s v="ORD5409512"/>
    <s v="ITM008"/>
    <n v="1"/>
    <n v="99"/>
    <x v="9"/>
    <x v="2"/>
    <n v="30"/>
    <n v="30"/>
  </r>
  <r>
    <s v="ORD5409512"/>
    <s v="ITM020"/>
    <n v="3"/>
    <n v="477"/>
    <x v="21"/>
    <x v="1"/>
    <n v="48"/>
    <n v="144"/>
  </r>
  <r>
    <s v="ORD2568722"/>
    <s v="ITM024"/>
    <n v="2"/>
    <n v="158"/>
    <x v="17"/>
    <x v="4"/>
    <n v="24"/>
    <n v="48"/>
  </r>
  <r>
    <s v="ORD2568722"/>
    <s v="ITM018"/>
    <n v="1"/>
    <n v="159"/>
    <x v="15"/>
    <x v="1"/>
    <n v="48"/>
    <n v="48"/>
  </r>
  <r>
    <s v="ORD6323156"/>
    <s v="ITM020"/>
    <n v="1"/>
    <n v="159"/>
    <x v="21"/>
    <x v="1"/>
    <n v="48"/>
    <n v="48"/>
  </r>
  <r>
    <s v="ORD6323156"/>
    <s v="ITM009"/>
    <n v="1"/>
    <n v="89"/>
    <x v="2"/>
    <x v="2"/>
    <n v="27"/>
    <n v="27"/>
  </r>
  <r>
    <s v="ORD6323156"/>
    <s v="ITM015"/>
    <n v="2"/>
    <n v="298"/>
    <x v="1"/>
    <x v="1"/>
    <n v="45"/>
    <n v="90"/>
  </r>
  <r>
    <s v="ORD7064842"/>
    <s v="ITM007"/>
    <n v="1"/>
    <n v="79"/>
    <x v="19"/>
    <x v="2"/>
    <n v="24"/>
    <n v="24"/>
  </r>
  <r>
    <s v="ORD7064842"/>
    <s v="ITM021"/>
    <n v="1"/>
    <n v="149"/>
    <x v="22"/>
    <x v="1"/>
    <n v="45"/>
    <n v="45"/>
  </r>
  <r>
    <s v="ORD7064842"/>
    <s v="ITM001"/>
    <n v="1"/>
    <n v="79"/>
    <x v="24"/>
    <x v="5"/>
    <n v="24"/>
    <n v="24"/>
  </r>
  <r>
    <s v="ORD8041764"/>
    <s v="ITM006"/>
    <n v="1"/>
    <n v="89"/>
    <x v="3"/>
    <x v="3"/>
    <n v="27"/>
    <n v="27"/>
  </r>
  <r>
    <s v="ORD8041764"/>
    <s v="ITM024"/>
    <n v="4"/>
    <n v="316"/>
    <x v="17"/>
    <x v="4"/>
    <n v="24"/>
    <n v="96"/>
  </r>
  <r>
    <s v="ORD8977556"/>
    <s v="ITM011"/>
    <n v="2"/>
    <n v="158"/>
    <x v="26"/>
    <x v="0"/>
    <n v="24"/>
    <n v="48"/>
  </r>
  <r>
    <s v="ORD8977556"/>
    <s v="ITM005"/>
    <n v="1"/>
    <n v="99"/>
    <x v="16"/>
    <x v="3"/>
    <n v="30"/>
    <n v="30"/>
  </r>
  <r>
    <s v="ORD8977556"/>
    <s v="ITM019"/>
    <n v="1"/>
    <n v="149"/>
    <x v="11"/>
    <x v="1"/>
    <n v="45"/>
    <n v="45"/>
  </r>
  <r>
    <s v="ORD6310245"/>
    <s v="ITM014"/>
    <n v="3"/>
    <n v="357"/>
    <x v="14"/>
    <x v="1"/>
    <n v="36"/>
    <n v="108"/>
  </r>
  <r>
    <s v="ORD6310245"/>
    <s v="ITM005"/>
    <n v="1"/>
    <n v="99"/>
    <x v="16"/>
    <x v="3"/>
    <n v="30"/>
    <n v="30"/>
  </r>
  <r>
    <s v="ORD3109184"/>
    <s v="ITM021"/>
    <n v="1"/>
    <n v="149"/>
    <x v="22"/>
    <x v="1"/>
    <n v="45"/>
    <n v="45"/>
  </r>
  <r>
    <s v="ORD3109184"/>
    <s v="ITM017"/>
    <n v="2"/>
    <n v="298"/>
    <x v="6"/>
    <x v="1"/>
    <n v="45"/>
    <n v="90"/>
  </r>
  <r>
    <s v="ORD3109184"/>
    <s v="ITM002"/>
    <n v="3"/>
    <n v="297"/>
    <x v="12"/>
    <x v="5"/>
    <n v="30"/>
    <n v="90"/>
  </r>
  <r>
    <s v="ORD7211871"/>
    <s v="ITM024"/>
    <n v="2"/>
    <n v="158"/>
    <x v="17"/>
    <x v="4"/>
    <n v="24"/>
    <n v="48"/>
  </r>
  <r>
    <s v="ORD8144563"/>
    <s v="ITM014"/>
    <n v="2"/>
    <n v="238"/>
    <x v="14"/>
    <x v="1"/>
    <n v="36"/>
    <n v="72"/>
  </r>
  <r>
    <s v="ORD8144563"/>
    <s v="ITM012"/>
    <n v="1"/>
    <n v="89"/>
    <x v="8"/>
    <x v="0"/>
    <n v="27"/>
    <n v="27"/>
  </r>
  <r>
    <s v="ORD8144563"/>
    <s v="ITM010"/>
    <n v="1"/>
    <n v="59"/>
    <x v="20"/>
    <x v="0"/>
    <n v="18"/>
    <n v="18"/>
  </r>
  <r>
    <s v="ORD8144563"/>
    <s v="ITM026"/>
    <n v="1"/>
    <n v="79"/>
    <x v="4"/>
    <x v="4"/>
    <n v="24"/>
    <n v="24"/>
  </r>
  <r>
    <s v="ORD2664720"/>
    <s v="ITM004"/>
    <n v="2"/>
    <n v="158"/>
    <x v="5"/>
    <x v="3"/>
    <n v="24"/>
    <n v="48"/>
  </r>
  <r>
    <s v="ORD2664720"/>
    <s v="ITM018"/>
    <n v="3"/>
    <n v="477"/>
    <x v="15"/>
    <x v="1"/>
    <n v="48"/>
    <n v="144"/>
  </r>
  <r>
    <s v="ORD2664720"/>
    <s v="ITM013"/>
    <n v="4"/>
    <n v="276"/>
    <x v="0"/>
    <x v="0"/>
    <n v="21"/>
    <n v="84"/>
  </r>
  <r>
    <s v="ORD4739295"/>
    <s v="ITM004"/>
    <n v="1"/>
    <n v="79"/>
    <x v="5"/>
    <x v="3"/>
    <n v="24"/>
    <n v="24"/>
  </r>
  <r>
    <s v="ORD4739295"/>
    <s v="ITM027"/>
    <n v="3"/>
    <n v="237"/>
    <x v="10"/>
    <x v="4"/>
    <n v="24"/>
    <n v="72"/>
  </r>
  <r>
    <s v="ORD4739295"/>
    <s v="ITM023"/>
    <n v="2"/>
    <n v="278"/>
    <x v="18"/>
    <x v="1"/>
    <n v="42"/>
    <n v="84"/>
  </r>
  <r>
    <s v="ORD5437558"/>
    <s v="ITM007"/>
    <n v="1"/>
    <n v="79"/>
    <x v="19"/>
    <x v="2"/>
    <n v="24"/>
    <n v="24"/>
  </r>
  <r>
    <s v="ORD5437558"/>
    <s v="ITM022"/>
    <n v="1"/>
    <n v="99"/>
    <x v="23"/>
    <x v="1"/>
    <n v="30"/>
    <n v="30"/>
  </r>
  <r>
    <s v="ORD5437558"/>
    <s v="ITM013"/>
    <n v="1"/>
    <n v="69"/>
    <x v="0"/>
    <x v="0"/>
    <n v="21"/>
    <n v="21"/>
  </r>
  <r>
    <s v="ORD5437558"/>
    <s v="ITM024"/>
    <n v="1"/>
    <n v="79"/>
    <x v="17"/>
    <x v="4"/>
    <n v="24"/>
    <n v="24"/>
  </r>
  <r>
    <s v="ORD5057252"/>
    <s v="ITM006"/>
    <n v="2"/>
    <n v="178"/>
    <x v="3"/>
    <x v="3"/>
    <n v="27"/>
    <n v="54"/>
  </r>
  <r>
    <s v="ORD5057252"/>
    <s v="ITM022"/>
    <n v="1"/>
    <n v="99"/>
    <x v="23"/>
    <x v="1"/>
    <n v="30"/>
    <n v="30"/>
  </r>
  <r>
    <s v="ORD5057252"/>
    <s v="ITM018"/>
    <n v="2"/>
    <n v="318"/>
    <x v="15"/>
    <x v="1"/>
    <n v="48"/>
    <n v="96"/>
  </r>
  <r>
    <s v="ORD3119470"/>
    <s v="ITM017"/>
    <n v="1"/>
    <n v="149"/>
    <x v="6"/>
    <x v="1"/>
    <n v="45"/>
    <n v="45"/>
  </r>
  <r>
    <s v="ORD1430171"/>
    <s v="ITM021"/>
    <n v="1"/>
    <n v="149"/>
    <x v="22"/>
    <x v="1"/>
    <n v="45"/>
    <n v="45"/>
  </r>
  <r>
    <s v="ORD3190232"/>
    <s v="ITM006"/>
    <n v="1"/>
    <n v="89"/>
    <x v="3"/>
    <x v="3"/>
    <n v="27"/>
    <n v="27"/>
  </r>
  <r>
    <s v="ORD3190232"/>
    <s v="ITM021"/>
    <n v="1"/>
    <n v="149"/>
    <x v="22"/>
    <x v="1"/>
    <n v="45"/>
    <n v="45"/>
  </r>
  <r>
    <s v="ORD3190232"/>
    <s v="ITM018"/>
    <n v="3"/>
    <n v="477"/>
    <x v="15"/>
    <x v="1"/>
    <n v="48"/>
    <n v="144"/>
  </r>
  <r>
    <s v="ORD3412052"/>
    <s v="ITM004"/>
    <n v="2"/>
    <n v="158"/>
    <x v="5"/>
    <x v="3"/>
    <n v="24"/>
    <n v="48"/>
  </r>
  <r>
    <s v="ORD3412052"/>
    <s v="ITM014"/>
    <n v="1"/>
    <n v="119"/>
    <x v="14"/>
    <x v="1"/>
    <n v="36"/>
    <n v="36"/>
  </r>
  <r>
    <s v="ORD3412052"/>
    <s v="ITM017"/>
    <n v="1"/>
    <n v="149"/>
    <x v="6"/>
    <x v="1"/>
    <n v="45"/>
    <n v="45"/>
  </r>
  <r>
    <s v="ORD2688991"/>
    <s v="ITM018"/>
    <n v="1"/>
    <n v="159"/>
    <x v="15"/>
    <x v="1"/>
    <n v="48"/>
    <n v="48"/>
  </r>
  <r>
    <s v="ORD2688991"/>
    <s v="ITM013"/>
    <n v="1"/>
    <n v="69"/>
    <x v="0"/>
    <x v="0"/>
    <n v="21"/>
    <n v="21"/>
  </r>
  <r>
    <s v="ORD2688991"/>
    <s v="ITM015"/>
    <n v="4"/>
    <n v="596"/>
    <x v="1"/>
    <x v="1"/>
    <n v="45"/>
    <n v="180"/>
  </r>
  <r>
    <s v="ORD1527651"/>
    <s v="ITM016"/>
    <n v="1"/>
    <n v="99"/>
    <x v="7"/>
    <x v="1"/>
    <n v="30"/>
    <n v="30"/>
  </r>
  <r>
    <s v="ORD1527651"/>
    <s v="ITM018"/>
    <n v="3"/>
    <n v="477"/>
    <x v="15"/>
    <x v="1"/>
    <n v="48"/>
    <n v="144"/>
  </r>
  <r>
    <s v="ORD1527651"/>
    <s v="ITM028"/>
    <n v="4"/>
    <n v="196"/>
    <x v="13"/>
    <x v="4"/>
    <n v="15"/>
    <n v="60"/>
  </r>
  <r>
    <s v="ORD1527651"/>
    <s v="ITM015"/>
    <n v="1"/>
    <n v="149"/>
    <x v="1"/>
    <x v="1"/>
    <n v="45"/>
    <n v="45"/>
  </r>
  <r>
    <s v="ORD4639947"/>
    <s v="ITM007"/>
    <n v="4"/>
    <n v="316"/>
    <x v="19"/>
    <x v="2"/>
    <n v="24"/>
    <n v="96"/>
  </r>
  <r>
    <s v="ORD4639947"/>
    <s v="ITM020"/>
    <n v="1"/>
    <n v="159"/>
    <x v="21"/>
    <x v="1"/>
    <n v="48"/>
    <n v="48"/>
  </r>
  <r>
    <s v="ORD9318172"/>
    <s v="ITM006"/>
    <n v="1"/>
    <n v="89"/>
    <x v="3"/>
    <x v="3"/>
    <n v="27"/>
    <n v="27"/>
  </r>
  <r>
    <s v="ORD9318172"/>
    <s v="ITM012"/>
    <n v="2"/>
    <n v="178"/>
    <x v="8"/>
    <x v="0"/>
    <n v="27"/>
    <n v="54"/>
  </r>
  <r>
    <s v="ORD3779198"/>
    <s v="ITM024"/>
    <n v="3"/>
    <n v="237"/>
    <x v="17"/>
    <x v="4"/>
    <n v="24"/>
    <n v="72"/>
  </r>
  <r>
    <s v="ORD3779198"/>
    <s v="ITM021"/>
    <n v="2"/>
    <n v="298"/>
    <x v="22"/>
    <x v="1"/>
    <n v="45"/>
    <n v="90"/>
  </r>
  <r>
    <s v="ORD3779198"/>
    <s v="ITM013"/>
    <n v="2"/>
    <n v="138"/>
    <x v="0"/>
    <x v="0"/>
    <n v="21"/>
    <n v="42"/>
  </r>
  <r>
    <s v="ORD3779198"/>
    <s v="ITM015"/>
    <n v="1"/>
    <n v="149"/>
    <x v="1"/>
    <x v="1"/>
    <n v="45"/>
    <n v="45"/>
  </r>
  <r>
    <s v="ORD9579143"/>
    <s v="ITM022"/>
    <n v="5"/>
    <n v="495"/>
    <x v="23"/>
    <x v="1"/>
    <n v="30"/>
    <n v="150"/>
  </r>
  <r>
    <s v="ORD9579143"/>
    <s v="ITM018"/>
    <n v="1"/>
    <n v="159"/>
    <x v="15"/>
    <x v="1"/>
    <n v="48"/>
    <n v="48"/>
  </r>
  <r>
    <s v="ORD9579143"/>
    <s v="ITM009"/>
    <n v="1"/>
    <n v="89"/>
    <x v="2"/>
    <x v="2"/>
    <n v="27"/>
    <n v="27"/>
  </r>
  <r>
    <s v="ORD7235425"/>
    <s v="ITM001"/>
    <n v="2"/>
    <n v="158"/>
    <x v="24"/>
    <x v="5"/>
    <n v="24"/>
    <n v="48"/>
  </r>
  <r>
    <s v="ORD7235425"/>
    <s v="ITM010"/>
    <n v="2"/>
    <n v="118"/>
    <x v="20"/>
    <x v="0"/>
    <n v="18"/>
    <n v="36"/>
  </r>
  <r>
    <s v="ORD4559708"/>
    <s v="ITM016"/>
    <n v="4"/>
    <n v="396"/>
    <x v="7"/>
    <x v="1"/>
    <n v="30"/>
    <n v="120"/>
  </r>
  <r>
    <s v="ORD4559708"/>
    <s v="ITM020"/>
    <n v="3"/>
    <n v="477"/>
    <x v="21"/>
    <x v="1"/>
    <n v="48"/>
    <n v="144"/>
  </r>
  <r>
    <s v="ORD6370746"/>
    <s v="ITM022"/>
    <n v="5"/>
    <n v="495"/>
    <x v="23"/>
    <x v="1"/>
    <n v="30"/>
    <n v="150"/>
  </r>
  <r>
    <s v="ORD6370746"/>
    <s v="ITM015"/>
    <n v="1"/>
    <n v="149"/>
    <x v="1"/>
    <x v="1"/>
    <n v="45"/>
    <n v="45"/>
  </r>
  <r>
    <s v="ORD1077963"/>
    <s v="ITM023"/>
    <n v="4"/>
    <n v="556"/>
    <x v="18"/>
    <x v="1"/>
    <n v="42"/>
    <n v="168"/>
  </r>
  <r>
    <s v="ORD1077963"/>
    <s v="ITM013"/>
    <n v="4"/>
    <n v="276"/>
    <x v="0"/>
    <x v="0"/>
    <n v="21"/>
    <n v="84"/>
  </r>
  <r>
    <s v="ORD6801971"/>
    <s v="ITM021"/>
    <n v="2"/>
    <n v="298"/>
    <x v="22"/>
    <x v="1"/>
    <n v="45"/>
    <n v="90"/>
  </r>
  <r>
    <s v="ORD2723751"/>
    <s v="ITM022"/>
    <n v="5"/>
    <n v="495"/>
    <x v="23"/>
    <x v="1"/>
    <n v="30"/>
    <n v="150"/>
  </r>
  <r>
    <s v="ORD2723751"/>
    <s v="ITM005"/>
    <n v="3"/>
    <n v="297"/>
    <x v="16"/>
    <x v="3"/>
    <n v="30"/>
    <n v="90"/>
  </r>
  <r>
    <s v="ORD1082902"/>
    <s v="ITM004"/>
    <n v="4"/>
    <n v="316"/>
    <x v="5"/>
    <x v="3"/>
    <n v="24"/>
    <n v="96"/>
  </r>
  <r>
    <s v="ORD1082902"/>
    <s v="ITM021"/>
    <n v="1"/>
    <n v="149"/>
    <x v="22"/>
    <x v="1"/>
    <n v="45"/>
    <n v="45"/>
  </r>
  <r>
    <s v="ORD8729158"/>
    <s v="ITM021"/>
    <n v="4"/>
    <n v="596"/>
    <x v="22"/>
    <x v="1"/>
    <n v="45"/>
    <n v="180"/>
  </r>
  <r>
    <s v="ORD8729158"/>
    <s v="ITM023"/>
    <n v="5"/>
    <n v="695"/>
    <x v="18"/>
    <x v="1"/>
    <n v="42"/>
    <n v="210"/>
  </r>
  <r>
    <s v="ORD9222577"/>
    <s v="ITM007"/>
    <n v="1"/>
    <n v="79"/>
    <x v="19"/>
    <x v="2"/>
    <n v="24"/>
    <n v="24"/>
  </r>
  <r>
    <s v="ORD9222577"/>
    <s v="ITM020"/>
    <n v="1"/>
    <n v="159"/>
    <x v="21"/>
    <x v="1"/>
    <n v="48"/>
    <n v="48"/>
  </r>
  <r>
    <s v="ORD2308903"/>
    <s v="ITM001"/>
    <n v="1"/>
    <n v="79"/>
    <x v="24"/>
    <x v="5"/>
    <n v="24"/>
    <n v="24"/>
  </r>
  <r>
    <s v="ORD2308903"/>
    <s v="ITM003"/>
    <n v="1"/>
    <n v="119"/>
    <x v="27"/>
    <x v="5"/>
    <n v="36"/>
    <n v="36"/>
  </r>
  <r>
    <s v="ORD2308903"/>
    <s v="ITM007"/>
    <n v="1"/>
    <n v="79"/>
    <x v="19"/>
    <x v="2"/>
    <n v="24"/>
    <n v="24"/>
  </r>
  <r>
    <s v="ORD2308903"/>
    <s v="ITM022"/>
    <n v="2"/>
    <n v="198"/>
    <x v="23"/>
    <x v="1"/>
    <n v="30"/>
    <n v="60"/>
  </r>
  <r>
    <s v="ORD9464296"/>
    <s v="ITM007"/>
    <n v="2"/>
    <n v="158"/>
    <x v="19"/>
    <x v="2"/>
    <n v="24"/>
    <n v="48"/>
  </r>
  <r>
    <s v="ORD9464296"/>
    <s v="ITM027"/>
    <n v="3"/>
    <n v="237"/>
    <x v="10"/>
    <x v="4"/>
    <n v="24"/>
    <n v="72"/>
  </r>
  <r>
    <s v="ORD9464296"/>
    <s v="ITM023"/>
    <n v="1"/>
    <n v="139"/>
    <x v="18"/>
    <x v="1"/>
    <n v="42"/>
    <n v="42"/>
  </r>
  <r>
    <s v="ORD9464296"/>
    <s v="ITM011"/>
    <n v="1"/>
    <n v="79"/>
    <x v="26"/>
    <x v="0"/>
    <n v="24"/>
    <n v="24"/>
  </r>
  <r>
    <s v="ORD2798071"/>
    <s v="ITM006"/>
    <n v="1"/>
    <n v="89"/>
    <x v="3"/>
    <x v="3"/>
    <n v="27"/>
    <n v="27"/>
  </r>
  <r>
    <s v="ORD2798071"/>
    <s v="ITM024"/>
    <n v="2"/>
    <n v="158"/>
    <x v="17"/>
    <x v="4"/>
    <n v="24"/>
    <n v="48"/>
  </r>
  <r>
    <s v="ORD7659346"/>
    <s v="ITM014"/>
    <n v="1"/>
    <n v="119"/>
    <x v="14"/>
    <x v="1"/>
    <n v="36"/>
    <n v="36"/>
  </r>
  <r>
    <s v="ORD7659346"/>
    <s v="ITM010"/>
    <n v="1"/>
    <n v="59"/>
    <x v="20"/>
    <x v="0"/>
    <n v="18"/>
    <n v="18"/>
  </r>
  <r>
    <s v="ORD9884588"/>
    <s v="ITM014"/>
    <n v="2"/>
    <n v="238"/>
    <x v="14"/>
    <x v="1"/>
    <n v="36"/>
    <n v="72"/>
  </r>
  <r>
    <s v="ORD9884588"/>
    <s v="ITM019"/>
    <n v="4"/>
    <n v="596"/>
    <x v="11"/>
    <x v="1"/>
    <n v="45"/>
    <n v="180"/>
  </r>
  <r>
    <s v="ORD5621443"/>
    <s v="ITM007"/>
    <n v="3"/>
    <n v="237"/>
    <x v="19"/>
    <x v="2"/>
    <n v="24"/>
    <n v="72"/>
  </r>
  <r>
    <s v="ORD5621443"/>
    <s v="ITM013"/>
    <n v="2"/>
    <n v="138"/>
    <x v="0"/>
    <x v="0"/>
    <n v="21"/>
    <n v="42"/>
  </r>
  <r>
    <s v="ORD5621443"/>
    <s v="ITM012"/>
    <n v="2"/>
    <n v="178"/>
    <x v="8"/>
    <x v="0"/>
    <n v="27"/>
    <n v="54"/>
  </r>
  <r>
    <s v="ORD5621443"/>
    <s v="ITM020"/>
    <n v="1"/>
    <n v="159"/>
    <x v="21"/>
    <x v="1"/>
    <n v="48"/>
    <n v="48"/>
  </r>
  <r>
    <s v="ORD9442968"/>
    <s v="ITM025"/>
    <n v="1"/>
    <n v="79"/>
    <x v="25"/>
    <x v="4"/>
    <n v="24"/>
    <n v="24"/>
  </r>
  <r>
    <s v="ORD9442968"/>
    <s v="ITM009"/>
    <n v="1"/>
    <n v="89"/>
    <x v="2"/>
    <x v="2"/>
    <n v="27"/>
    <n v="27"/>
  </r>
  <r>
    <s v="ORD1349416"/>
    <s v="ITM006"/>
    <n v="1"/>
    <n v="89"/>
    <x v="3"/>
    <x v="3"/>
    <n v="27"/>
    <n v="27"/>
  </r>
  <r>
    <s v="ORD1349416"/>
    <s v="ITM024"/>
    <n v="2"/>
    <n v="158"/>
    <x v="17"/>
    <x v="4"/>
    <n v="24"/>
    <n v="48"/>
  </r>
  <r>
    <s v="ORD1349416"/>
    <s v="ITM021"/>
    <n v="1"/>
    <n v="149"/>
    <x v="22"/>
    <x v="1"/>
    <n v="45"/>
    <n v="45"/>
  </r>
  <r>
    <s v="ORD1349416"/>
    <s v="ITM001"/>
    <n v="3"/>
    <n v="237"/>
    <x v="24"/>
    <x v="5"/>
    <n v="24"/>
    <n v="72"/>
  </r>
  <r>
    <s v="ORD9441397"/>
    <s v="ITM004"/>
    <n v="1"/>
    <n v="79"/>
    <x v="5"/>
    <x v="3"/>
    <n v="24"/>
    <n v="24"/>
  </r>
  <r>
    <s v="ORD9441397"/>
    <s v="ITM022"/>
    <n v="2"/>
    <n v="198"/>
    <x v="23"/>
    <x v="1"/>
    <n v="30"/>
    <n v="60"/>
  </r>
  <r>
    <s v="ORD9441397"/>
    <s v="ITM021"/>
    <n v="1"/>
    <n v="149"/>
    <x v="22"/>
    <x v="1"/>
    <n v="45"/>
    <n v="45"/>
  </r>
  <r>
    <s v="ORD6599209"/>
    <s v="ITM023"/>
    <n v="1"/>
    <n v="139"/>
    <x v="18"/>
    <x v="1"/>
    <n v="42"/>
    <n v="42"/>
  </r>
  <r>
    <s v="ORD6599209"/>
    <s v="ITM017"/>
    <n v="2"/>
    <n v="298"/>
    <x v="6"/>
    <x v="1"/>
    <n v="45"/>
    <n v="90"/>
  </r>
  <r>
    <s v="ORD6599209"/>
    <s v="ITM025"/>
    <n v="2"/>
    <n v="158"/>
    <x v="25"/>
    <x v="4"/>
    <n v="24"/>
    <n v="48"/>
  </r>
  <r>
    <s v="ORD8226291"/>
    <s v="ITM004"/>
    <n v="1"/>
    <n v="79"/>
    <x v="5"/>
    <x v="3"/>
    <n v="24"/>
    <n v="24"/>
  </r>
  <r>
    <s v="ORD8226291"/>
    <s v="ITM025"/>
    <n v="1"/>
    <n v="79"/>
    <x v="25"/>
    <x v="4"/>
    <n v="24"/>
    <n v="24"/>
  </r>
  <r>
    <s v="ORD6852648"/>
    <s v="ITM013"/>
    <n v="1"/>
    <n v="69"/>
    <x v="0"/>
    <x v="0"/>
    <n v="21"/>
    <n v="21"/>
  </r>
  <r>
    <s v="ORD6852648"/>
    <s v="ITM028"/>
    <n v="1"/>
    <n v="49"/>
    <x v="13"/>
    <x v="4"/>
    <n v="15"/>
    <n v="15"/>
  </r>
  <r>
    <s v="ORD5838692"/>
    <s v="ITM014"/>
    <n v="5"/>
    <n v="595"/>
    <x v="14"/>
    <x v="1"/>
    <n v="36"/>
    <n v="180"/>
  </r>
  <r>
    <s v="ORD5838692"/>
    <s v="ITM019"/>
    <n v="2"/>
    <n v="298"/>
    <x v="11"/>
    <x v="1"/>
    <n v="45"/>
    <n v="90"/>
  </r>
  <r>
    <s v="ORD5838692"/>
    <s v="ITM005"/>
    <n v="2"/>
    <n v="198"/>
    <x v="16"/>
    <x v="3"/>
    <n v="30"/>
    <n v="60"/>
  </r>
  <r>
    <s v="ORD5838692"/>
    <s v="ITM015"/>
    <n v="1"/>
    <n v="149"/>
    <x v="1"/>
    <x v="1"/>
    <n v="45"/>
    <n v="45"/>
  </r>
  <r>
    <s v="ORD3070908"/>
    <s v="ITM001"/>
    <n v="3"/>
    <n v="237"/>
    <x v="24"/>
    <x v="5"/>
    <n v="24"/>
    <n v="72"/>
  </r>
  <r>
    <s v="ORD3070908"/>
    <s v="ITM011"/>
    <n v="1"/>
    <n v="79"/>
    <x v="26"/>
    <x v="0"/>
    <n v="24"/>
    <n v="24"/>
  </r>
  <r>
    <s v="ORD3393173"/>
    <s v="ITM025"/>
    <n v="1"/>
    <n v="79"/>
    <x v="25"/>
    <x v="4"/>
    <n v="24"/>
    <n v="24"/>
  </r>
  <r>
    <s v="ORD3393173"/>
    <s v="ITM009"/>
    <n v="4"/>
    <n v="356"/>
    <x v="2"/>
    <x v="2"/>
    <n v="27"/>
    <n v="108"/>
  </r>
  <r>
    <s v="ORD6067099"/>
    <s v="ITM016"/>
    <n v="1"/>
    <n v="99"/>
    <x v="7"/>
    <x v="1"/>
    <n v="30"/>
    <n v="30"/>
  </r>
  <r>
    <s v="ORD6067099"/>
    <s v="ITM019"/>
    <n v="2"/>
    <n v="298"/>
    <x v="11"/>
    <x v="1"/>
    <n v="45"/>
    <n v="90"/>
  </r>
  <r>
    <s v="ORD8736886"/>
    <s v="ITM021"/>
    <n v="1"/>
    <n v="149"/>
    <x v="22"/>
    <x v="1"/>
    <n v="45"/>
    <n v="45"/>
  </r>
  <r>
    <s v="ORD8736886"/>
    <s v="ITM023"/>
    <n v="2"/>
    <n v="278"/>
    <x v="18"/>
    <x v="1"/>
    <n v="42"/>
    <n v="84"/>
  </r>
  <r>
    <s v="ORD8054914"/>
    <s v="ITM001"/>
    <n v="3"/>
    <n v="237"/>
    <x v="24"/>
    <x v="5"/>
    <n v="24"/>
    <n v="72"/>
  </r>
  <r>
    <s v="ORD8054914"/>
    <s v="ITM025"/>
    <n v="1"/>
    <n v="79"/>
    <x v="25"/>
    <x v="4"/>
    <n v="24"/>
    <n v="24"/>
  </r>
  <r>
    <s v="ORD5921482"/>
    <s v="ITM001"/>
    <n v="3"/>
    <n v="237"/>
    <x v="24"/>
    <x v="5"/>
    <n v="24"/>
    <n v="72"/>
  </r>
  <r>
    <s v="ORD5921482"/>
    <s v="ITM013"/>
    <n v="3"/>
    <n v="207"/>
    <x v="0"/>
    <x v="0"/>
    <n v="21"/>
    <n v="63"/>
  </r>
  <r>
    <s v="ORD5921482"/>
    <s v="ITM012"/>
    <n v="2"/>
    <n v="178"/>
    <x v="8"/>
    <x v="0"/>
    <n v="27"/>
    <n v="54"/>
  </r>
  <r>
    <s v="ORD5875071"/>
    <s v="ITM003"/>
    <n v="3"/>
    <n v="357"/>
    <x v="27"/>
    <x v="5"/>
    <n v="36"/>
    <n v="108"/>
  </r>
  <r>
    <s v="ORD5875071"/>
    <s v="ITM010"/>
    <n v="2"/>
    <n v="118"/>
    <x v="20"/>
    <x v="0"/>
    <n v="18"/>
    <n v="36"/>
  </r>
  <r>
    <s v="ORD3288458"/>
    <s v="ITM018"/>
    <n v="4"/>
    <n v="636"/>
    <x v="15"/>
    <x v="1"/>
    <n v="48"/>
    <n v="192"/>
  </r>
  <r>
    <s v="ORD3288458"/>
    <s v="ITM005"/>
    <n v="3"/>
    <n v="297"/>
    <x v="16"/>
    <x v="3"/>
    <n v="30"/>
    <n v="90"/>
  </r>
  <r>
    <s v="ORD3288458"/>
    <s v="ITM020"/>
    <n v="2"/>
    <n v="318"/>
    <x v="21"/>
    <x v="1"/>
    <n v="48"/>
    <n v="96"/>
  </r>
  <r>
    <s v="ORD2738237"/>
    <s v="ITM015"/>
    <n v="1"/>
    <n v="149"/>
    <x v="1"/>
    <x v="1"/>
    <n v="45"/>
    <n v="45"/>
  </r>
  <r>
    <s v="ORD5366631"/>
    <s v="ITM014"/>
    <n v="2"/>
    <n v="238"/>
    <x v="14"/>
    <x v="1"/>
    <n v="36"/>
    <n v="72"/>
  </r>
  <r>
    <s v="ORD5366631"/>
    <s v="ITM023"/>
    <n v="1"/>
    <n v="139"/>
    <x v="18"/>
    <x v="1"/>
    <n v="42"/>
    <n v="42"/>
  </r>
  <r>
    <s v="ORD5366631"/>
    <s v="ITM018"/>
    <n v="3"/>
    <n v="477"/>
    <x v="15"/>
    <x v="1"/>
    <n v="48"/>
    <n v="144"/>
  </r>
  <r>
    <s v="ORD5856148"/>
    <s v="ITM019"/>
    <n v="1"/>
    <n v="149"/>
    <x v="11"/>
    <x v="1"/>
    <n v="45"/>
    <n v="45"/>
  </r>
  <r>
    <s v="ORD5856148"/>
    <s v="ITM012"/>
    <n v="1"/>
    <n v="89"/>
    <x v="8"/>
    <x v="0"/>
    <n v="27"/>
    <n v="27"/>
  </r>
  <r>
    <s v="ORD5856148"/>
    <s v="ITM015"/>
    <n v="1"/>
    <n v="149"/>
    <x v="1"/>
    <x v="1"/>
    <n v="45"/>
    <n v="45"/>
  </r>
  <r>
    <s v="ORD8457126"/>
    <s v="ITM011"/>
    <n v="1"/>
    <n v="79"/>
    <x v="26"/>
    <x v="0"/>
    <n v="24"/>
    <n v="24"/>
  </r>
  <r>
    <s v="ORD8457126"/>
    <s v="ITM024"/>
    <n v="1"/>
    <n v="79"/>
    <x v="17"/>
    <x v="4"/>
    <n v="24"/>
    <n v="24"/>
  </r>
  <r>
    <s v="ORD8457126"/>
    <s v="ITM014"/>
    <n v="2"/>
    <n v="238"/>
    <x v="14"/>
    <x v="1"/>
    <n v="36"/>
    <n v="72"/>
  </r>
  <r>
    <s v="ORD8457126"/>
    <s v="ITM005"/>
    <n v="3"/>
    <n v="297"/>
    <x v="16"/>
    <x v="3"/>
    <n v="30"/>
    <n v="90"/>
  </r>
  <r>
    <s v="ORD6903348"/>
    <s v="ITM021"/>
    <n v="1"/>
    <n v="149"/>
    <x v="22"/>
    <x v="1"/>
    <n v="45"/>
    <n v="45"/>
  </r>
  <r>
    <s v="ORD6903348"/>
    <s v="ITM020"/>
    <n v="3"/>
    <n v="477"/>
    <x v="21"/>
    <x v="1"/>
    <n v="48"/>
    <n v="144"/>
  </r>
  <r>
    <s v="ORD4026182"/>
    <s v="ITM019"/>
    <n v="2"/>
    <n v="298"/>
    <x v="11"/>
    <x v="1"/>
    <n v="45"/>
    <n v="90"/>
  </r>
  <r>
    <s v="ORD4026182"/>
    <s v="ITM008"/>
    <n v="2"/>
    <n v="198"/>
    <x v="9"/>
    <x v="2"/>
    <n v="30"/>
    <n v="60"/>
  </r>
  <r>
    <s v="ORD4026182"/>
    <s v="ITM015"/>
    <n v="2"/>
    <n v="298"/>
    <x v="1"/>
    <x v="1"/>
    <n v="45"/>
    <n v="90"/>
  </r>
  <r>
    <s v="ORD2619679"/>
    <s v="ITM019"/>
    <n v="1"/>
    <n v="149"/>
    <x v="11"/>
    <x v="1"/>
    <n v="45"/>
    <n v="45"/>
  </r>
  <r>
    <s v="ORD2619679"/>
    <s v="ITM010"/>
    <n v="3"/>
    <n v="177"/>
    <x v="20"/>
    <x v="0"/>
    <n v="18"/>
    <n v="54"/>
  </r>
  <r>
    <s v="ORD8047372"/>
    <s v="ITM008"/>
    <n v="1"/>
    <n v="99"/>
    <x v="9"/>
    <x v="2"/>
    <n v="30"/>
    <n v="30"/>
  </r>
  <r>
    <s v="ORD6388157"/>
    <s v="ITM017"/>
    <n v="1"/>
    <n v="149"/>
    <x v="6"/>
    <x v="1"/>
    <n v="45"/>
    <n v="45"/>
  </r>
  <r>
    <s v="ORD6388157"/>
    <s v="ITM028"/>
    <n v="1"/>
    <n v="49"/>
    <x v="13"/>
    <x v="4"/>
    <n v="15"/>
    <n v="15"/>
  </r>
  <r>
    <s v="ORD6388157"/>
    <s v="ITM012"/>
    <n v="1"/>
    <n v="89"/>
    <x v="8"/>
    <x v="0"/>
    <n v="27"/>
    <n v="27"/>
  </r>
  <r>
    <s v="ORD1406730"/>
    <s v="ITM022"/>
    <n v="1"/>
    <n v="99"/>
    <x v="23"/>
    <x v="1"/>
    <n v="30"/>
    <n v="30"/>
  </r>
  <r>
    <s v="ORD1406730"/>
    <s v="ITM024"/>
    <n v="1"/>
    <n v="79"/>
    <x v="17"/>
    <x v="4"/>
    <n v="24"/>
    <n v="24"/>
  </r>
  <r>
    <s v="ORD9324443"/>
    <s v="ITM011"/>
    <n v="2"/>
    <n v="158"/>
    <x v="26"/>
    <x v="0"/>
    <n v="24"/>
    <n v="48"/>
  </r>
  <r>
    <s v="ORD9324443"/>
    <s v="ITM018"/>
    <n v="1"/>
    <n v="159"/>
    <x v="15"/>
    <x v="1"/>
    <n v="48"/>
    <n v="48"/>
  </r>
  <r>
    <s v="ORD9324443"/>
    <s v="ITM014"/>
    <n v="1"/>
    <n v="119"/>
    <x v="14"/>
    <x v="1"/>
    <n v="36"/>
    <n v="36"/>
  </r>
  <r>
    <s v="ORD9324443"/>
    <s v="ITM017"/>
    <n v="1"/>
    <n v="149"/>
    <x v="6"/>
    <x v="1"/>
    <n v="45"/>
    <n v="45"/>
  </r>
  <r>
    <s v="ORD4868381"/>
    <s v="ITM007"/>
    <n v="4"/>
    <n v="316"/>
    <x v="19"/>
    <x v="2"/>
    <n v="24"/>
    <n v="96"/>
  </r>
  <r>
    <s v="ORD4868381"/>
    <s v="ITM010"/>
    <n v="1"/>
    <n v="59"/>
    <x v="20"/>
    <x v="0"/>
    <n v="18"/>
    <n v="18"/>
  </r>
  <r>
    <s v="ORD4868381"/>
    <s v="ITM026"/>
    <n v="2"/>
    <n v="158"/>
    <x v="4"/>
    <x v="4"/>
    <n v="24"/>
    <n v="48"/>
  </r>
  <r>
    <s v="ORD9389396"/>
    <s v="ITM019"/>
    <n v="1"/>
    <n v="149"/>
    <x v="11"/>
    <x v="1"/>
    <n v="45"/>
    <n v="45"/>
  </r>
  <r>
    <s v="ORD9389396"/>
    <s v="ITM002"/>
    <n v="2"/>
    <n v="198"/>
    <x v="12"/>
    <x v="5"/>
    <n v="30"/>
    <n v="60"/>
  </r>
  <r>
    <s v="ORD1996431"/>
    <s v="ITM022"/>
    <n v="3"/>
    <n v="297"/>
    <x v="23"/>
    <x v="1"/>
    <n v="30"/>
    <n v="90"/>
  </r>
  <r>
    <s v="ORD1996431"/>
    <s v="ITM010"/>
    <n v="4"/>
    <n v="236"/>
    <x v="20"/>
    <x v="0"/>
    <n v="18"/>
    <n v="72"/>
  </r>
  <r>
    <s v="ORD1593277"/>
    <s v="ITM003"/>
    <n v="2"/>
    <n v="238"/>
    <x v="27"/>
    <x v="5"/>
    <n v="36"/>
    <n v="72"/>
  </r>
  <r>
    <s v="ORD1593277"/>
    <s v="ITM018"/>
    <n v="4"/>
    <n v="636"/>
    <x v="15"/>
    <x v="1"/>
    <n v="48"/>
    <n v="192"/>
  </r>
  <r>
    <s v="ORD1593277"/>
    <s v="ITM017"/>
    <n v="1"/>
    <n v="149"/>
    <x v="6"/>
    <x v="1"/>
    <n v="45"/>
    <n v="45"/>
  </r>
  <r>
    <s v="ORD1593277"/>
    <s v="ITM026"/>
    <n v="1"/>
    <n v="79"/>
    <x v="4"/>
    <x v="4"/>
    <n v="24"/>
    <n v="24"/>
  </r>
  <r>
    <s v="ORD4821097"/>
    <s v="ITM001"/>
    <n v="1"/>
    <n v="79"/>
    <x v="24"/>
    <x v="5"/>
    <n v="24"/>
    <n v="24"/>
  </r>
  <r>
    <s v="ORD4821097"/>
    <s v="ITM021"/>
    <n v="2"/>
    <n v="298"/>
    <x v="22"/>
    <x v="1"/>
    <n v="45"/>
    <n v="90"/>
  </r>
  <r>
    <s v="ORD4821097"/>
    <s v="ITM017"/>
    <n v="1"/>
    <n v="149"/>
    <x v="6"/>
    <x v="1"/>
    <n v="45"/>
    <n v="45"/>
  </r>
  <r>
    <s v="ORD4821097"/>
    <s v="ITM006"/>
    <n v="2"/>
    <n v="178"/>
    <x v="3"/>
    <x v="3"/>
    <n v="27"/>
    <n v="54"/>
  </r>
  <r>
    <s v="ORD8347629"/>
    <s v="ITM011"/>
    <n v="1"/>
    <n v="79"/>
    <x v="26"/>
    <x v="0"/>
    <n v="24"/>
    <n v="24"/>
  </r>
  <r>
    <s v="ORD8347629"/>
    <s v="ITM014"/>
    <n v="1"/>
    <n v="119"/>
    <x v="14"/>
    <x v="1"/>
    <n v="36"/>
    <n v="36"/>
  </r>
  <r>
    <s v="ORD8347629"/>
    <s v="ITM028"/>
    <n v="2"/>
    <n v="98"/>
    <x v="13"/>
    <x v="4"/>
    <n v="15"/>
    <n v="30"/>
  </r>
  <r>
    <s v="ORD8347629"/>
    <s v="ITM006"/>
    <n v="1"/>
    <n v="89"/>
    <x v="3"/>
    <x v="3"/>
    <n v="27"/>
    <n v="27"/>
  </r>
  <r>
    <s v="ORD5193002"/>
    <s v="ITM004"/>
    <n v="1"/>
    <n v="79"/>
    <x v="5"/>
    <x v="3"/>
    <n v="24"/>
    <n v="24"/>
  </r>
  <r>
    <s v="ORD3053134"/>
    <s v="ITM026"/>
    <n v="1"/>
    <n v="79"/>
    <x v="4"/>
    <x v="4"/>
    <n v="24"/>
    <n v="24"/>
  </r>
  <r>
    <s v="ORD7156124"/>
    <s v="ITM016"/>
    <n v="1"/>
    <n v="99"/>
    <x v="7"/>
    <x v="1"/>
    <n v="30"/>
    <n v="30"/>
  </r>
  <r>
    <s v="ORD7156124"/>
    <s v="ITM019"/>
    <n v="2"/>
    <n v="298"/>
    <x v="11"/>
    <x v="1"/>
    <n v="45"/>
    <n v="90"/>
  </r>
  <r>
    <s v="ORD3300684"/>
    <s v="ITM007"/>
    <n v="1"/>
    <n v="79"/>
    <x v="19"/>
    <x v="2"/>
    <n v="24"/>
    <n v="24"/>
  </r>
  <r>
    <s v="ORD3300684"/>
    <s v="ITM020"/>
    <n v="3"/>
    <n v="477"/>
    <x v="21"/>
    <x v="1"/>
    <n v="48"/>
    <n v="144"/>
  </r>
  <r>
    <s v="ORD1566334"/>
    <s v="ITM022"/>
    <n v="1"/>
    <n v="99"/>
    <x v="23"/>
    <x v="1"/>
    <n v="30"/>
    <n v="30"/>
  </r>
  <r>
    <s v="ORD1566334"/>
    <s v="ITM012"/>
    <n v="1"/>
    <n v="89"/>
    <x v="8"/>
    <x v="0"/>
    <n v="27"/>
    <n v="27"/>
  </r>
  <r>
    <s v="ORD7364050"/>
    <s v="ITM016"/>
    <n v="3"/>
    <n v="297"/>
    <x v="7"/>
    <x v="1"/>
    <n v="30"/>
    <n v="90"/>
  </r>
  <r>
    <s v="ORD7364050"/>
    <s v="ITM019"/>
    <n v="4"/>
    <n v="596"/>
    <x v="11"/>
    <x v="1"/>
    <n v="45"/>
    <n v="180"/>
  </r>
  <r>
    <s v="ORD7364050"/>
    <s v="ITM002"/>
    <n v="4"/>
    <n v="396"/>
    <x v="12"/>
    <x v="5"/>
    <n v="30"/>
    <n v="120"/>
  </r>
  <r>
    <s v="ORD8282586"/>
    <s v="ITM022"/>
    <n v="2"/>
    <n v="198"/>
    <x v="23"/>
    <x v="1"/>
    <n v="30"/>
    <n v="60"/>
  </r>
  <r>
    <s v="ORD8282586"/>
    <s v="ITM021"/>
    <n v="4"/>
    <n v="596"/>
    <x v="22"/>
    <x v="1"/>
    <n v="45"/>
    <n v="180"/>
  </r>
  <r>
    <s v="ORD8282586"/>
    <s v="ITM026"/>
    <n v="4"/>
    <n v="316"/>
    <x v="4"/>
    <x v="4"/>
    <n v="24"/>
    <n v="96"/>
  </r>
  <r>
    <s v="ORD9705913"/>
    <s v="ITM021"/>
    <n v="4"/>
    <n v="596"/>
    <x v="22"/>
    <x v="1"/>
    <n v="45"/>
    <n v="180"/>
  </r>
  <r>
    <s v="ORD9705913"/>
    <s v="ITM012"/>
    <n v="1"/>
    <n v="89"/>
    <x v="8"/>
    <x v="0"/>
    <n v="27"/>
    <n v="27"/>
  </r>
  <r>
    <s v="ORD7620309"/>
    <s v="ITM011"/>
    <n v="3"/>
    <n v="237"/>
    <x v="26"/>
    <x v="0"/>
    <n v="24"/>
    <n v="72"/>
  </r>
  <r>
    <s v="ORD7620309"/>
    <s v="ITM021"/>
    <n v="2"/>
    <n v="298"/>
    <x v="22"/>
    <x v="1"/>
    <n v="45"/>
    <n v="90"/>
  </r>
  <r>
    <s v="ORD7620309"/>
    <s v="ITM019"/>
    <n v="1"/>
    <n v="149"/>
    <x v="11"/>
    <x v="1"/>
    <n v="45"/>
    <n v="45"/>
  </r>
  <r>
    <s v="ORD8825556"/>
    <s v="ITM007"/>
    <n v="4"/>
    <n v="316"/>
    <x v="19"/>
    <x v="2"/>
    <n v="24"/>
    <n v="96"/>
  </r>
  <r>
    <s v="ORD8825556"/>
    <s v="ITM023"/>
    <n v="1"/>
    <n v="139"/>
    <x v="18"/>
    <x v="1"/>
    <n v="42"/>
    <n v="42"/>
  </r>
  <r>
    <s v="ORD8825556"/>
    <s v="ITM002"/>
    <n v="2"/>
    <n v="198"/>
    <x v="12"/>
    <x v="5"/>
    <n v="30"/>
    <n v="60"/>
  </r>
  <r>
    <s v="ORD8825556"/>
    <s v="ITM015"/>
    <n v="1"/>
    <n v="149"/>
    <x v="1"/>
    <x v="1"/>
    <n v="45"/>
    <n v="45"/>
  </r>
  <r>
    <s v="ORD3927545"/>
    <s v="ITM007"/>
    <n v="2"/>
    <n v="158"/>
    <x v="19"/>
    <x v="2"/>
    <n v="24"/>
    <n v="48"/>
  </r>
  <r>
    <s v="ORD3927545"/>
    <s v="ITM019"/>
    <n v="1"/>
    <n v="149"/>
    <x v="11"/>
    <x v="1"/>
    <n v="45"/>
    <n v="45"/>
  </r>
  <r>
    <s v="ORD3927545"/>
    <s v="ITM006"/>
    <n v="1"/>
    <n v="89"/>
    <x v="3"/>
    <x v="3"/>
    <n v="27"/>
    <n v="27"/>
  </r>
  <r>
    <s v="ORD6927978"/>
    <s v="ITM011"/>
    <n v="1"/>
    <n v="79"/>
    <x v="26"/>
    <x v="0"/>
    <n v="24"/>
    <n v="24"/>
  </r>
  <r>
    <s v="ORD6927978"/>
    <s v="ITM003"/>
    <n v="2"/>
    <n v="238"/>
    <x v="27"/>
    <x v="5"/>
    <n v="36"/>
    <n v="72"/>
  </r>
  <r>
    <s v="ORD6927978"/>
    <s v="ITM017"/>
    <n v="1"/>
    <n v="149"/>
    <x v="6"/>
    <x v="1"/>
    <n v="45"/>
    <n v="45"/>
  </r>
  <r>
    <s v="ORD5749368"/>
    <s v="ITM017"/>
    <n v="1"/>
    <n v="149"/>
    <x v="6"/>
    <x v="1"/>
    <n v="45"/>
    <n v="45"/>
  </r>
  <r>
    <s v="ORD1748441"/>
    <s v="ITM001"/>
    <n v="2"/>
    <n v="158"/>
    <x v="24"/>
    <x v="5"/>
    <n v="24"/>
    <n v="48"/>
  </r>
  <r>
    <s v="ORD1748441"/>
    <s v="ITM022"/>
    <n v="3"/>
    <n v="297"/>
    <x v="23"/>
    <x v="1"/>
    <n v="30"/>
    <n v="90"/>
  </r>
  <r>
    <s v="ORD1748441"/>
    <s v="ITM018"/>
    <n v="2"/>
    <n v="318"/>
    <x v="15"/>
    <x v="1"/>
    <n v="48"/>
    <n v="96"/>
  </r>
  <r>
    <s v="ORD1748441"/>
    <s v="ITM025"/>
    <n v="2"/>
    <n v="158"/>
    <x v="25"/>
    <x v="4"/>
    <n v="24"/>
    <n v="48"/>
  </r>
  <r>
    <s v="ORD2316088"/>
    <s v="ITM018"/>
    <n v="3"/>
    <n v="477"/>
    <x v="15"/>
    <x v="1"/>
    <n v="48"/>
    <n v="144"/>
  </r>
  <r>
    <s v="ORD2316088"/>
    <s v="ITM017"/>
    <n v="2"/>
    <n v="298"/>
    <x v="6"/>
    <x v="1"/>
    <n v="45"/>
    <n v="90"/>
  </r>
  <r>
    <s v="ORD2316088"/>
    <s v="ITM028"/>
    <n v="1"/>
    <n v="49"/>
    <x v="13"/>
    <x v="4"/>
    <n v="15"/>
    <n v="15"/>
  </r>
  <r>
    <s v="ORD5916819"/>
    <s v="ITM022"/>
    <n v="1"/>
    <n v="99"/>
    <x v="23"/>
    <x v="1"/>
    <n v="30"/>
    <n v="30"/>
  </r>
  <r>
    <s v="ORD5916819"/>
    <s v="ITM028"/>
    <n v="1"/>
    <n v="49"/>
    <x v="13"/>
    <x v="4"/>
    <n v="15"/>
    <n v="15"/>
  </r>
  <r>
    <s v="ORD9483289"/>
    <s v="ITM014"/>
    <n v="2"/>
    <n v="238"/>
    <x v="14"/>
    <x v="1"/>
    <n v="36"/>
    <n v="72"/>
  </r>
  <r>
    <s v="ORD9483289"/>
    <s v="ITM018"/>
    <n v="3"/>
    <n v="477"/>
    <x v="15"/>
    <x v="1"/>
    <n v="48"/>
    <n v="144"/>
  </r>
  <r>
    <s v="ORD9483289"/>
    <s v="ITM017"/>
    <n v="1"/>
    <n v="149"/>
    <x v="6"/>
    <x v="1"/>
    <n v="45"/>
    <n v="45"/>
  </r>
  <r>
    <s v="ORD9483289"/>
    <s v="ITM013"/>
    <n v="2"/>
    <n v="138"/>
    <x v="0"/>
    <x v="0"/>
    <n v="21"/>
    <n v="42"/>
  </r>
  <r>
    <s v="ORD6730623"/>
    <s v="ITM013"/>
    <n v="2"/>
    <n v="138"/>
    <x v="0"/>
    <x v="0"/>
    <n v="21"/>
    <n v="42"/>
  </r>
  <r>
    <s v="ORD1260252"/>
    <s v="ITM016"/>
    <n v="4"/>
    <n v="396"/>
    <x v="7"/>
    <x v="1"/>
    <n v="30"/>
    <n v="120"/>
  </r>
  <r>
    <s v="ORD1260252"/>
    <s v="ITM008"/>
    <n v="3"/>
    <n v="297"/>
    <x v="9"/>
    <x v="2"/>
    <n v="30"/>
    <n v="90"/>
  </r>
  <r>
    <s v="ORD9880342"/>
    <s v="ITM011"/>
    <n v="1"/>
    <n v="79"/>
    <x v="26"/>
    <x v="0"/>
    <n v="24"/>
    <n v="24"/>
  </r>
  <r>
    <s v="ORD9880342"/>
    <s v="ITM013"/>
    <n v="4"/>
    <n v="276"/>
    <x v="0"/>
    <x v="0"/>
    <n v="21"/>
    <n v="84"/>
  </r>
  <r>
    <s v="ORD9880342"/>
    <s v="ITM020"/>
    <n v="4"/>
    <n v="636"/>
    <x v="21"/>
    <x v="1"/>
    <n v="48"/>
    <n v="192"/>
  </r>
  <r>
    <s v="ORD9880342"/>
    <s v="ITM016"/>
    <n v="2"/>
    <n v="198"/>
    <x v="7"/>
    <x v="1"/>
    <n v="30"/>
    <n v="60"/>
  </r>
  <r>
    <s v="ORD7859779"/>
    <s v="ITM021"/>
    <n v="3"/>
    <n v="447"/>
    <x v="22"/>
    <x v="1"/>
    <n v="45"/>
    <n v="135"/>
  </r>
  <r>
    <s v="ORD7859779"/>
    <s v="ITM014"/>
    <n v="2"/>
    <n v="238"/>
    <x v="14"/>
    <x v="1"/>
    <n v="36"/>
    <n v="72"/>
  </r>
  <r>
    <s v="ORD7859779"/>
    <s v="ITM020"/>
    <n v="2"/>
    <n v="318"/>
    <x v="21"/>
    <x v="1"/>
    <n v="48"/>
    <n v="96"/>
  </r>
  <r>
    <s v="ORD8608923"/>
    <s v="ITM006"/>
    <n v="1"/>
    <n v="89"/>
    <x v="3"/>
    <x v="3"/>
    <n v="27"/>
    <n v="27"/>
  </r>
  <r>
    <s v="ORD8608923"/>
    <s v="ITM020"/>
    <n v="3"/>
    <n v="477"/>
    <x v="21"/>
    <x v="1"/>
    <n v="48"/>
    <n v="144"/>
  </r>
  <r>
    <s v="ORD8158662"/>
    <s v="ITM006"/>
    <n v="1"/>
    <n v="89"/>
    <x v="3"/>
    <x v="3"/>
    <n v="27"/>
    <n v="27"/>
  </r>
  <r>
    <s v="ORD8158662"/>
    <s v="ITM010"/>
    <n v="3"/>
    <n v="177"/>
    <x v="20"/>
    <x v="0"/>
    <n v="18"/>
    <n v="54"/>
  </r>
  <r>
    <s v="ORD6274209"/>
    <s v="ITM005"/>
    <n v="2"/>
    <n v="198"/>
    <x v="16"/>
    <x v="3"/>
    <n v="30"/>
    <n v="60"/>
  </r>
  <r>
    <s v="ORD6274209"/>
    <s v="ITM009"/>
    <n v="1"/>
    <n v="89"/>
    <x v="2"/>
    <x v="2"/>
    <n v="27"/>
    <n v="27"/>
  </r>
  <r>
    <s v="ORD5674614"/>
    <s v="ITM016"/>
    <n v="2"/>
    <n v="198"/>
    <x v="7"/>
    <x v="1"/>
    <n v="30"/>
    <n v="60"/>
  </r>
  <r>
    <s v="ORD9193420"/>
    <s v="ITM026"/>
    <n v="1"/>
    <n v="79"/>
    <x v="4"/>
    <x v="4"/>
    <n v="24"/>
    <n v="24"/>
  </r>
  <r>
    <s v="ORD9193420"/>
    <s v="ITM009"/>
    <n v="1"/>
    <n v="89"/>
    <x v="2"/>
    <x v="2"/>
    <n v="27"/>
    <n v="27"/>
  </r>
  <r>
    <s v="ORD8252219"/>
    <s v="ITM023"/>
    <n v="3"/>
    <n v="417"/>
    <x v="18"/>
    <x v="1"/>
    <n v="42"/>
    <n v="126"/>
  </r>
  <r>
    <s v="ORD8252219"/>
    <s v="ITM028"/>
    <n v="1"/>
    <n v="49"/>
    <x v="13"/>
    <x v="4"/>
    <n v="15"/>
    <n v="15"/>
  </r>
  <r>
    <s v="ORD5632324"/>
    <s v="ITM020"/>
    <n v="1"/>
    <n v="159"/>
    <x v="21"/>
    <x v="1"/>
    <n v="48"/>
    <n v="48"/>
  </r>
  <r>
    <s v="ORD5632324"/>
    <s v="ITM021"/>
    <n v="4"/>
    <n v="596"/>
    <x v="22"/>
    <x v="1"/>
    <n v="45"/>
    <n v="180"/>
  </r>
  <r>
    <s v="ORD5632324"/>
    <s v="ITM015"/>
    <n v="1"/>
    <n v="149"/>
    <x v="1"/>
    <x v="1"/>
    <n v="45"/>
    <n v="45"/>
  </r>
  <r>
    <s v="ORD1597875"/>
    <s v="ITM023"/>
    <n v="1"/>
    <n v="139"/>
    <x v="18"/>
    <x v="1"/>
    <n v="42"/>
    <n v="42"/>
  </r>
  <r>
    <s v="ORD1597875"/>
    <s v="ITM017"/>
    <n v="1"/>
    <n v="149"/>
    <x v="6"/>
    <x v="1"/>
    <n v="45"/>
    <n v="45"/>
  </r>
  <r>
    <s v="ORD2488335"/>
    <s v="ITM001"/>
    <n v="1"/>
    <n v="79"/>
    <x v="24"/>
    <x v="5"/>
    <n v="24"/>
    <n v="24"/>
  </r>
  <r>
    <s v="ORD2488335"/>
    <s v="ITM003"/>
    <n v="1"/>
    <n v="119"/>
    <x v="27"/>
    <x v="5"/>
    <n v="36"/>
    <n v="36"/>
  </r>
  <r>
    <s v="ORD2488335"/>
    <s v="ITM021"/>
    <n v="1"/>
    <n v="149"/>
    <x v="22"/>
    <x v="1"/>
    <n v="45"/>
    <n v="45"/>
  </r>
  <r>
    <s v="ORD2488335"/>
    <s v="ITM016"/>
    <n v="1"/>
    <n v="99"/>
    <x v="7"/>
    <x v="1"/>
    <n v="30"/>
    <n v="30"/>
  </r>
  <r>
    <s v="ORD4020978"/>
    <s v="ITM023"/>
    <n v="2"/>
    <n v="278"/>
    <x v="18"/>
    <x v="1"/>
    <n v="42"/>
    <n v="84"/>
  </r>
  <r>
    <s v="ORD4020978"/>
    <s v="ITM019"/>
    <n v="2"/>
    <n v="298"/>
    <x v="11"/>
    <x v="1"/>
    <n v="45"/>
    <n v="90"/>
  </r>
  <r>
    <s v="ORD4020978"/>
    <s v="ITM018"/>
    <n v="1"/>
    <n v="159"/>
    <x v="15"/>
    <x v="1"/>
    <n v="48"/>
    <n v="48"/>
  </r>
  <r>
    <s v="ORD4020978"/>
    <s v="ITM015"/>
    <n v="1"/>
    <n v="149"/>
    <x v="1"/>
    <x v="1"/>
    <n v="45"/>
    <n v="45"/>
  </r>
  <r>
    <s v="ORD8128056"/>
    <s v="ITM027"/>
    <n v="1"/>
    <n v="79"/>
    <x v="10"/>
    <x v="4"/>
    <n v="24"/>
    <n v="24"/>
  </r>
  <r>
    <s v="ORD8128056"/>
    <s v="ITM019"/>
    <n v="1"/>
    <n v="149"/>
    <x v="11"/>
    <x v="1"/>
    <n v="45"/>
    <n v="45"/>
  </r>
  <r>
    <s v="ORD5880999"/>
    <s v="ITM024"/>
    <n v="1"/>
    <n v="79"/>
    <x v="17"/>
    <x v="4"/>
    <n v="24"/>
    <n v="24"/>
  </r>
  <r>
    <s v="ORD5880999"/>
    <s v="ITM021"/>
    <n v="3"/>
    <n v="447"/>
    <x v="22"/>
    <x v="1"/>
    <n v="45"/>
    <n v="135"/>
  </r>
  <r>
    <s v="ORD1916595"/>
    <s v="ITM007"/>
    <n v="1"/>
    <n v="79"/>
    <x v="19"/>
    <x v="2"/>
    <n v="24"/>
    <n v="24"/>
  </r>
  <r>
    <s v="ORD1916595"/>
    <s v="ITM018"/>
    <n v="1"/>
    <n v="159"/>
    <x v="15"/>
    <x v="1"/>
    <n v="48"/>
    <n v="48"/>
  </r>
  <r>
    <s v="ORD6531182"/>
    <s v="ITM001"/>
    <n v="1"/>
    <n v="79"/>
    <x v="24"/>
    <x v="5"/>
    <n v="24"/>
    <n v="24"/>
  </r>
  <r>
    <s v="ORD6531182"/>
    <s v="ITM022"/>
    <n v="2"/>
    <n v="198"/>
    <x v="23"/>
    <x v="1"/>
    <n v="30"/>
    <n v="60"/>
  </r>
  <r>
    <s v="ORD6531182"/>
    <s v="ITM020"/>
    <n v="4"/>
    <n v="636"/>
    <x v="21"/>
    <x v="1"/>
    <n v="48"/>
    <n v="192"/>
  </r>
  <r>
    <s v="ORD3633903"/>
    <s v="ITM009"/>
    <n v="1"/>
    <n v="89"/>
    <x v="2"/>
    <x v="2"/>
    <n v="27"/>
    <n v="27"/>
  </r>
  <r>
    <s v="ORD3633903"/>
    <s v="ITM020"/>
    <n v="1"/>
    <n v="159"/>
    <x v="21"/>
    <x v="1"/>
    <n v="48"/>
    <n v="48"/>
  </r>
  <r>
    <s v="ORD9834133"/>
    <s v="ITM022"/>
    <n v="1"/>
    <n v="99"/>
    <x v="23"/>
    <x v="1"/>
    <n v="30"/>
    <n v="30"/>
  </r>
  <r>
    <s v="ORD9834133"/>
    <s v="ITM002"/>
    <n v="1"/>
    <n v="99"/>
    <x v="12"/>
    <x v="5"/>
    <n v="30"/>
    <n v="30"/>
  </r>
  <r>
    <s v="ORD7723485"/>
    <s v="ITM024"/>
    <n v="2"/>
    <n v="158"/>
    <x v="17"/>
    <x v="4"/>
    <n v="24"/>
    <n v="48"/>
  </r>
  <r>
    <s v="ORD7723485"/>
    <s v="ITM023"/>
    <n v="3"/>
    <n v="417"/>
    <x v="18"/>
    <x v="1"/>
    <n v="42"/>
    <n v="126"/>
  </r>
  <r>
    <s v="ORD7723485"/>
    <s v="ITM003"/>
    <n v="1"/>
    <n v="119"/>
    <x v="27"/>
    <x v="5"/>
    <n v="36"/>
    <n v="36"/>
  </r>
  <r>
    <s v="ORD7723485"/>
    <s v="ITM015"/>
    <n v="3"/>
    <n v="447"/>
    <x v="1"/>
    <x v="1"/>
    <n v="45"/>
    <n v="135"/>
  </r>
  <r>
    <s v="ORD6237674"/>
    <s v="ITM021"/>
    <n v="2"/>
    <n v="298"/>
    <x v="22"/>
    <x v="1"/>
    <n v="45"/>
    <n v="90"/>
  </r>
  <r>
    <s v="ORD6237674"/>
    <s v="ITM009"/>
    <n v="1"/>
    <n v="89"/>
    <x v="2"/>
    <x v="2"/>
    <n v="27"/>
    <n v="27"/>
  </r>
  <r>
    <s v="ORD5771825"/>
    <s v="ITM028"/>
    <n v="2"/>
    <n v="98"/>
    <x v="13"/>
    <x v="4"/>
    <n v="15"/>
    <n v="30"/>
  </r>
  <r>
    <s v="ORD5771825"/>
    <s v="ITM012"/>
    <n v="4"/>
    <n v="356"/>
    <x v="8"/>
    <x v="0"/>
    <n v="27"/>
    <n v="108"/>
  </r>
  <r>
    <s v="ORD8500846"/>
    <s v="ITM004"/>
    <n v="1"/>
    <n v="79"/>
    <x v="5"/>
    <x v="3"/>
    <n v="24"/>
    <n v="24"/>
  </r>
  <r>
    <s v="ORD8500846"/>
    <s v="ITM009"/>
    <n v="2"/>
    <n v="178"/>
    <x v="2"/>
    <x v="2"/>
    <n v="27"/>
    <n v="54"/>
  </r>
  <r>
    <s v="ORD7764490"/>
    <s v="ITM016"/>
    <n v="2"/>
    <n v="198"/>
    <x v="7"/>
    <x v="1"/>
    <n v="30"/>
    <n v="60"/>
  </r>
  <r>
    <s v="ORD7764490"/>
    <s v="ITM021"/>
    <n v="1"/>
    <n v="149"/>
    <x v="22"/>
    <x v="1"/>
    <n v="45"/>
    <n v="45"/>
  </r>
  <r>
    <s v="ORD7764490"/>
    <s v="ITM023"/>
    <n v="3"/>
    <n v="417"/>
    <x v="18"/>
    <x v="1"/>
    <n v="42"/>
    <n v="126"/>
  </r>
  <r>
    <s v="ORD7764490"/>
    <s v="ITM002"/>
    <n v="3"/>
    <n v="297"/>
    <x v="12"/>
    <x v="5"/>
    <n v="30"/>
    <n v="90"/>
  </r>
  <r>
    <s v="ORD9199476"/>
    <s v="ITM007"/>
    <n v="2"/>
    <n v="158"/>
    <x v="19"/>
    <x v="2"/>
    <n v="24"/>
    <n v="48"/>
  </r>
  <r>
    <s v="ORD9199476"/>
    <s v="ITM027"/>
    <n v="2"/>
    <n v="158"/>
    <x v="10"/>
    <x v="4"/>
    <n v="24"/>
    <n v="48"/>
  </r>
  <r>
    <s v="ORD3135445"/>
    <s v="ITM021"/>
    <n v="1"/>
    <n v="149"/>
    <x v="22"/>
    <x v="1"/>
    <n v="45"/>
    <n v="45"/>
  </r>
  <r>
    <s v="ORD3135445"/>
    <s v="ITM005"/>
    <n v="5"/>
    <n v="495"/>
    <x v="16"/>
    <x v="3"/>
    <n v="30"/>
    <n v="150"/>
  </r>
  <r>
    <s v="ORD8015348"/>
    <s v="ITM004"/>
    <n v="5"/>
    <n v="395"/>
    <x v="5"/>
    <x v="3"/>
    <n v="24"/>
    <n v="120"/>
  </r>
  <r>
    <s v="ORD3784106"/>
    <s v="ITM022"/>
    <n v="4"/>
    <n v="396"/>
    <x v="23"/>
    <x v="1"/>
    <n v="30"/>
    <n v="120"/>
  </r>
  <r>
    <s v="ORD3784106"/>
    <s v="ITM019"/>
    <n v="1"/>
    <n v="149"/>
    <x v="11"/>
    <x v="1"/>
    <n v="45"/>
    <n v="45"/>
  </r>
  <r>
    <s v="ORD3270615"/>
    <s v="ITM001"/>
    <n v="1"/>
    <n v="79"/>
    <x v="24"/>
    <x v="5"/>
    <n v="24"/>
    <n v="24"/>
  </r>
  <r>
    <s v="ORD3270615"/>
    <s v="ITM022"/>
    <n v="1"/>
    <n v="99"/>
    <x v="23"/>
    <x v="1"/>
    <n v="30"/>
    <n v="30"/>
  </r>
  <r>
    <s v="ORD3270615"/>
    <s v="ITM013"/>
    <n v="5"/>
    <n v="345"/>
    <x v="0"/>
    <x v="0"/>
    <n v="21"/>
    <n v="105"/>
  </r>
  <r>
    <s v="ORD8863382"/>
    <s v="ITM011"/>
    <n v="1"/>
    <n v="79"/>
    <x v="26"/>
    <x v="0"/>
    <n v="24"/>
    <n v="24"/>
  </r>
  <r>
    <s v="ORD8863382"/>
    <s v="ITM016"/>
    <n v="2"/>
    <n v="198"/>
    <x v="7"/>
    <x v="1"/>
    <n v="30"/>
    <n v="60"/>
  </r>
  <r>
    <s v="ORD7765720"/>
    <s v="ITM006"/>
    <n v="1"/>
    <n v="89"/>
    <x v="3"/>
    <x v="3"/>
    <n v="27"/>
    <n v="27"/>
  </r>
  <r>
    <s v="ORD7765720"/>
    <s v="ITM018"/>
    <n v="1"/>
    <n v="159"/>
    <x v="15"/>
    <x v="1"/>
    <n v="48"/>
    <n v="48"/>
  </r>
  <r>
    <s v="ORD7765720"/>
    <s v="ITM017"/>
    <n v="1"/>
    <n v="149"/>
    <x v="6"/>
    <x v="1"/>
    <n v="45"/>
    <n v="45"/>
  </r>
  <r>
    <s v="ORD5651273"/>
    <s v="ITM021"/>
    <n v="5"/>
    <n v="745"/>
    <x v="22"/>
    <x v="1"/>
    <n v="45"/>
    <n v="225"/>
  </r>
  <r>
    <s v="ORD5651273"/>
    <s v="ITM014"/>
    <n v="1"/>
    <n v="119"/>
    <x v="14"/>
    <x v="1"/>
    <n v="36"/>
    <n v="36"/>
  </r>
  <r>
    <s v="ORD5651273"/>
    <s v="ITM005"/>
    <n v="3"/>
    <n v="297"/>
    <x v="16"/>
    <x v="3"/>
    <n v="30"/>
    <n v="90"/>
  </r>
  <r>
    <s v="ORD8376757"/>
    <s v="ITM004"/>
    <n v="2"/>
    <n v="158"/>
    <x v="5"/>
    <x v="3"/>
    <n v="24"/>
    <n v="48"/>
  </r>
  <r>
    <s v="ORD8376757"/>
    <s v="ITM010"/>
    <n v="1"/>
    <n v="59"/>
    <x v="20"/>
    <x v="0"/>
    <n v="18"/>
    <n v="18"/>
  </r>
  <r>
    <s v="ORD8376757"/>
    <s v="ITM015"/>
    <n v="1"/>
    <n v="149"/>
    <x v="1"/>
    <x v="1"/>
    <n v="45"/>
    <n v="45"/>
  </r>
  <r>
    <s v="ORD4588635"/>
    <s v="ITM016"/>
    <n v="2"/>
    <n v="198"/>
    <x v="7"/>
    <x v="1"/>
    <n v="30"/>
    <n v="60"/>
  </r>
  <r>
    <s v="ORD4588635"/>
    <s v="ITM023"/>
    <n v="3"/>
    <n v="417"/>
    <x v="18"/>
    <x v="1"/>
    <n v="42"/>
    <n v="126"/>
  </r>
  <r>
    <s v="ORD4588635"/>
    <s v="ITM020"/>
    <n v="2"/>
    <n v="318"/>
    <x v="21"/>
    <x v="1"/>
    <n v="48"/>
    <n v="96"/>
  </r>
  <r>
    <s v="ORD6804775"/>
    <s v="ITM016"/>
    <n v="4"/>
    <n v="396"/>
    <x v="7"/>
    <x v="1"/>
    <n v="30"/>
    <n v="120"/>
  </r>
  <r>
    <s v="ORD6804775"/>
    <s v="ITM028"/>
    <n v="1"/>
    <n v="49"/>
    <x v="13"/>
    <x v="4"/>
    <n v="15"/>
    <n v="15"/>
  </r>
  <r>
    <s v="ORD6207491"/>
    <s v="ITM011"/>
    <n v="1"/>
    <n v="79"/>
    <x v="26"/>
    <x v="0"/>
    <n v="24"/>
    <n v="24"/>
  </r>
  <r>
    <s v="ORD5245272"/>
    <s v="ITM027"/>
    <n v="4"/>
    <n v="316"/>
    <x v="10"/>
    <x v="4"/>
    <n v="24"/>
    <n v="96"/>
  </r>
  <r>
    <s v="ORD5245272"/>
    <s v="ITM023"/>
    <n v="5"/>
    <n v="695"/>
    <x v="18"/>
    <x v="1"/>
    <n v="42"/>
    <n v="210"/>
  </r>
  <r>
    <s v="ORD5245272"/>
    <s v="ITM022"/>
    <n v="2"/>
    <n v="198"/>
    <x v="23"/>
    <x v="1"/>
    <n v="30"/>
    <n v="60"/>
  </r>
  <r>
    <s v="ORD1640782"/>
    <s v="ITM024"/>
    <n v="1"/>
    <n v="79"/>
    <x v="17"/>
    <x v="4"/>
    <n v="24"/>
    <n v="24"/>
  </r>
  <r>
    <s v="ORD8438648"/>
    <s v="ITM023"/>
    <n v="3"/>
    <n v="417"/>
    <x v="18"/>
    <x v="1"/>
    <n v="42"/>
    <n v="126"/>
  </r>
  <r>
    <s v="ORD8438648"/>
    <s v="ITM009"/>
    <n v="2"/>
    <n v="178"/>
    <x v="2"/>
    <x v="2"/>
    <n v="27"/>
    <n v="54"/>
  </r>
  <r>
    <s v="ORD7144765"/>
    <s v="ITM019"/>
    <n v="1"/>
    <n v="149"/>
    <x v="11"/>
    <x v="1"/>
    <n v="45"/>
    <n v="45"/>
  </r>
  <r>
    <s v="ORD3895499"/>
    <s v="ITM017"/>
    <n v="2"/>
    <n v="298"/>
    <x v="6"/>
    <x v="1"/>
    <n v="45"/>
    <n v="90"/>
  </r>
  <r>
    <s v="ORD2974922"/>
    <s v="ITM003"/>
    <n v="4"/>
    <n v="476"/>
    <x v="27"/>
    <x v="5"/>
    <n v="36"/>
    <n v="144"/>
  </r>
  <r>
    <s v="ORD2974922"/>
    <s v="ITM023"/>
    <n v="1"/>
    <n v="139"/>
    <x v="18"/>
    <x v="1"/>
    <n v="42"/>
    <n v="42"/>
  </r>
  <r>
    <s v="ORD3840983"/>
    <s v="ITM003"/>
    <n v="2"/>
    <n v="238"/>
    <x v="27"/>
    <x v="5"/>
    <n v="36"/>
    <n v="72"/>
  </r>
  <r>
    <s v="ORD3840983"/>
    <s v="ITM012"/>
    <n v="1"/>
    <n v="89"/>
    <x v="8"/>
    <x v="0"/>
    <n v="27"/>
    <n v="27"/>
  </r>
  <r>
    <s v="ORD6209108"/>
    <s v="ITM009"/>
    <n v="2"/>
    <n v="178"/>
    <x v="2"/>
    <x v="2"/>
    <n v="27"/>
    <n v="54"/>
  </r>
  <r>
    <s v="ORD8375236"/>
    <s v="ITM011"/>
    <n v="1"/>
    <n v="79"/>
    <x v="26"/>
    <x v="0"/>
    <n v="24"/>
    <n v="24"/>
  </r>
  <r>
    <s v="ORD7470648"/>
    <s v="ITM007"/>
    <n v="3"/>
    <n v="237"/>
    <x v="19"/>
    <x v="2"/>
    <n v="24"/>
    <n v="72"/>
  </r>
  <r>
    <s v="ORD7470648"/>
    <s v="ITM011"/>
    <n v="3"/>
    <n v="237"/>
    <x v="26"/>
    <x v="0"/>
    <n v="24"/>
    <n v="72"/>
  </r>
  <r>
    <s v="ORD7470648"/>
    <s v="ITM020"/>
    <n v="1"/>
    <n v="159"/>
    <x v="21"/>
    <x v="1"/>
    <n v="48"/>
    <n v="48"/>
  </r>
  <r>
    <s v="ORD5332109"/>
    <s v="ITM004"/>
    <n v="2"/>
    <n v="158"/>
    <x v="5"/>
    <x v="3"/>
    <n v="24"/>
    <n v="48"/>
  </r>
  <r>
    <s v="ORD5332109"/>
    <s v="ITM002"/>
    <n v="1"/>
    <n v="99"/>
    <x v="12"/>
    <x v="5"/>
    <n v="30"/>
    <n v="30"/>
  </r>
  <r>
    <s v="ORD2755114"/>
    <s v="ITM001"/>
    <n v="1"/>
    <n v="79"/>
    <x v="24"/>
    <x v="5"/>
    <n v="24"/>
    <n v="24"/>
  </r>
  <r>
    <s v="ORD2755114"/>
    <s v="ITM018"/>
    <n v="4"/>
    <n v="636"/>
    <x v="15"/>
    <x v="1"/>
    <n v="48"/>
    <n v="192"/>
  </r>
  <r>
    <s v="ORD2755114"/>
    <s v="ITM013"/>
    <n v="1"/>
    <n v="69"/>
    <x v="0"/>
    <x v="0"/>
    <n v="21"/>
    <n v="21"/>
  </r>
  <r>
    <s v="ORD2755114"/>
    <s v="ITM010"/>
    <n v="2"/>
    <n v="118"/>
    <x v="20"/>
    <x v="0"/>
    <n v="18"/>
    <n v="36"/>
  </r>
  <r>
    <s v="ORD7699704"/>
    <s v="ITM010"/>
    <n v="1"/>
    <n v="59"/>
    <x v="20"/>
    <x v="0"/>
    <n v="18"/>
    <n v="18"/>
  </r>
  <r>
    <s v="ORD7699704"/>
    <s v="ITM019"/>
    <n v="5"/>
    <n v="745"/>
    <x v="11"/>
    <x v="1"/>
    <n v="45"/>
    <n v="225"/>
  </r>
  <r>
    <s v="ORD7699704"/>
    <s v="ITM008"/>
    <n v="3"/>
    <n v="297"/>
    <x v="9"/>
    <x v="2"/>
    <n v="30"/>
    <n v="90"/>
  </r>
  <r>
    <s v="ORD7699704"/>
    <s v="ITM012"/>
    <n v="3"/>
    <n v="267"/>
    <x v="8"/>
    <x v="0"/>
    <n v="27"/>
    <n v="81"/>
  </r>
  <r>
    <s v="ORD9593363"/>
    <s v="ITM006"/>
    <n v="5"/>
    <n v="445"/>
    <x v="3"/>
    <x v="3"/>
    <n v="27"/>
    <n v="135"/>
  </r>
  <r>
    <s v="ORD9593363"/>
    <s v="ITM024"/>
    <n v="3"/>
    <n v="237"/>
    <x v="17"/>
    <x v="4"/>
    <n v="24"/>
    <n v="72"/>
  </r>
  <r>
    <s v="ORD9593363"/>
    <s v="ITM027"/>
    <n v="1"/>
    <n v="79"/>
    <x v="10"/>
    <x v="4"/>
    <n v="24"/>
    <n v="24"/>
  </r>
  <r>
    <s v="ORD9593363"/>
    <s v="ITM026"/>
    <n v="1"/>
    <n v="79"/>
    <x v="4"/>
    <x v="4"/>
    <n v="24"/>
    <n v="24"/>
  </r>
  <r>
    <s v="ORD3773979"/>
    <s v="ITM005"/>
    <n v="4"/>
    <n v="396"/>
    <x v="16"/>
    <x v="3"/>
    <n v="30"/>
    <n v="120"/>
  </r>
  <r>
    <s v="ORD3586005"/>
    <s v="ITM011"/>
    <n v="2"/>
    <n v="158"/>
    <x v="26"/>
    <x v="0"/>
    <n v="24"/>
    <n v="48"/>
  </r>
  <r>
    <s v="ORD3586005"/>
    <s v="ITM014"/>
    <n v="2"/>
    <n v="238"/>
    <x v="14"/>
    <x v="1"/>
    <n v="36"/>
    <n v="72"/>
  </r>
  <r>
    <s v="ORD3586005"/>
    <s v="ITM012"/>
    <n v="4"/>
    <n v="356"/>
    <x v="8"/>
    <x v="0"/>
    <n v="27"/>
    <n v="108"/>
  </r>
  <r>
    <s v="ORD3586005"/>
    <s v="ITM015"/>
    <n v="2"/>
    <n v="298"/>
    <x v="1"/>
    <x v="1"/>
    <n v="45"/>
    <n v="90"/>
  </r>
  <r>
    <s v="ORD3240199"/>
    <s v="ITM024"/>
    <n v="1"/>
    <n v="79"/>
    <x v="17"/>
    <x v="4"/>
    <n v="24"/>
    <n v="24"/>
  </r>
  <r>
    <s v="ORD3240199"/>
    <s v="ITM022"/>
    <n v="1"/>
    <n v="99"/>
    <x v="23"/>
    <x v="1"/>
    <n v="30"/>
    <n v="30"/>
  </r>
  <r>
    <s v="ORD3240199"/>
    <s v="ITM020"/>
    <n v="1"/>
    <n v="159"/>
    <x v="21"/>
    <x v="1"/>
    <n v="48"/>
    <n v="48"/>
  </r>
  <r>
    <s v="ORD4945289"/>
    <s v="ITM001"/>
    <n v="2"/>
    <n v="158"/>
    <x v="24"/>
    <x v="5"/>
    <n v="24"/>
    <n v="48"/>
  </r>
  <r>
    <s v="ORD4945289"/>
    <s v="ITM015"/>
    <n v="1"/>
    <n v="149"/>
    <x v="1"/>
    <x v="1"/>
    <n v="45"/>
    <n v="45"/>
  </r>
  <r>
    <s v="ORD7443567"/>
    <s v="ITM012"/>
    <n v="3"/>
    <n v="267"/>
    <x v="8"/>
    <x v="0"/>
    <n v="27"/>
    <n v="81"/>
  </r>
  <r>
    <s v="ORD7443567"/>
    <s v="ITM009"/>
    <n v="1"/>
    <n v="89"/>
    <x v="2"/>
    <x v="2"/>
    <n v="27"/>
    <n v="27"/>
  </r>
  <r>
    <s v="ORD2386477"/>
    <s v="ITM004"/>
    <n v="1"/>
    <n v="79"/>
    <x v="5"/>
    <x v="3"/>
    <n v="24"/>
    <n v="24"/>
  </r>
  <r>
    <s v="ORD2386477"/>
    <s v="ITM022"/>
    <n v="1"/>
    <n v="99"/>
    <x v="23"/>
    <x v="1"/>
    <n v="30"/>
    <n v="30"/>
  </r>
  <r>
    <s v="ORD2386477"/>
    <s v="ITM023"/>
    <n v="2"/>
    <n v="278"/>
    <x v="18"/>
    <x v="1"/>
    <n v="42"/>
    <n v="84"/>
  </r>
  <r>
    <s v="ORD6082733"/>
    <s v="ITM018"/>
    <n v="3"/>
    <n v="477"/>
    <x v="15"/>
    <x v="1"/>
    <n v="48"/>
    <n v="144"/>
  </r>
  <r>
    <s v="ORD6082733"/>
    <s v="ITM017"/>
    <n v="2"/>
    <n v="298"/>
    <x v="6"/>
    <x v="1"/>
    <n v="45"/>
    <n v="90"/>
  </r>
  <r>
    <s v="ORD8114632"/>
    <s v="ITM001"/>
    <n v="4"/>
    <n v="316"/>
    <x v="24"/>
    <x v="5"/>
    <n v="24"/>
    <n v="96"/>
  </r>
  <r>
    <s v="ORD8114632"/>
    <s v="ITM003"/>
    <n v="2"/>
    <n v="238"/>
    <x v="27"/>
    <x v="5"/>
    <n v="36"/>
    <n v="72"/>
  </r>
  <r>
    <s v="ORD8114632"/>
    <s v="ITM023"/>
    <n v="1"/>
    <n v="139"/>
    <x v="18"/>
    <x v="1"/>
    <n v="42"/>
    <n v="42"/>
  </r>
  <r>
    <s v="ORD7158985"/>
    <s v="ITM019"/>
    <n v="3"/>
    <n v="447"/>
    <x v="11"/>
    <x v="1"/>
    <n v="45"/>
    <n v="135"/>
  </r>
  <r>
    <s v="ORD7158985"/>
    <s v="ITM008"/>
    <n v="2"/>
    <n v="198"/>
    <x v="9"/>
    <x v="2"/>
    <n v="30"/>
    <n v="60"/>
  </r>
  <r>
    <s v="ORD7158985"/>
    <s v="ITM010"/>
    <n v="1"/>
    <n v="59"/>
    <x v="20"/>
    <x v="0"/>
    <n v="18"/>
    <n v="18"/>
  </r>
  <r>
    <s v="ORD7158985"/>
    <s v="ITM009"/>
    <n v="1"/>
    <n v="89"/>
    <x v="2"/>
    <x v="2"/>
    <n v="27"/>
    <n v="27"/>
  </r>
  <r>
    <s v="ORD7647377"/>
    <s v="ITM016"/>
    <n v="1"/>
    <n v="99"/>
    <x v="7"/>
    <x v="1"/>
    <n v="30"/>
    <n v="30"/>
  </r>
  <r>
    <s v="ORD7647377"/>
    <s v="ITM004"/>
    <n v="2"/>
    <n v="158"/>
    <x v="5"/>
    <x v="3"/>
    <n v="24"/>
    <n v="48"/>
  </r>
  <r>
    <s v="ORD9783858"/>
    <s v="ITM003"/>
    <n v="1"/>
    <n v="119"/>
    <x v="27"/>
    <x v="5"/>
    <n v="36"/>
    <n v="36"/>
  </r>
  <r>
    <s v="ORD9783858"/>
    <s v="ITM012"/>
    <n v="5"/>
    <n v="445"/>
    <x v="8"/>
    <x v="0"/>
    <n v="27"/>
    <n v="135"/>
  </r>
  <r>
    <s v="ORD6066483"/>
    <s v="ITM006"/>
    <n v="2"/>
    <n v="178"/>
    <x v="3"/>
    <x v="3"/>
    <n v="27"/>
    <n v="54"/>
  </r>
  <r>
    <s v="ORD6066483"/>
    <s v="ITM021"/>
    <n v="3"/>
    <n v="447"/>
    <x v="22"/>
    <x v="1"/>
    <n v="45"/>
    <n v="135"/>
  </r>
  <r>
    <s v="ORD5089486"/>
    <s v="ITM021"/>
    <n v="1"/>
    <n v="149"/>
    <x v="22"/>
    <x v="1"/>
    <n v="45"/>
    <n v="45"/>
  </r>
  <r>
    <s v="ORD5089486"/>
    <s v="ITM014"/>
    <n v="3"/>
    <n v="357"/>
    <x v="14"/>
    <x v="1"/>
    <n v="36"/>
    <n v="108"/>
  </r>
  <r>
    <s v="ORD5780038"/>
    <s v="ITM006"/>
    <n v="3"/>
    <n v="267"/>
    <x v="3"/>
    <x v="3"/>
    <n v="27"/>
    <n v="81"/>
  </r>
  <r>
    <s v="ORD1303213"/>
    <s v="ITM018"/>
    <n v="2"/>
    <n v="318"/>
    <x v="15"/>
    <x v="1"/>
    <n v="48"/>
    <n v="96"/>
  </r>
  <r>
    <s v="ORD1303213"/>
    <s v="ITM020"/>
    <n v="2"/>
    <n v="318"/>
    <x v="21"/>
    <x v="1"/>
    <n v="48"/>
    <n v="96"/>
  </r>
  <r>
    <s v="ORD6753758"/>
    <s v="ITM022"/>
    <n v="3"/>
    <n v="297"/>
    <x v="23"/>
    <x v="1"/>
    <n v="30"/>
    <n v="90"/>
  </r>
  <r>
    <s v="ORD6753758"/>
    <s v="ITM005"/>
    <n v="2"/>
    <n v="198"/>
    <x v="16"/>
    <x v="3"/>
    <n v="30"/>
    <n v="60"/>
  </r>
  <r>
    <s v="ORD2318832"/>
    <s v="ITM011"/>
    <n v="1"/>
    <n v="79"/>
    <x v="26"/>
    <x v="0"/>
    <n v="24"/>
    <n v="24"/>
  </r>
  <r>
    <s v="ORD2318832"/>
    <s v="ITM028"/>
    <n v="1"/>
    <n v="49"/>
    <x v="13"/>
    <x v="4"/>
    <n v="15"/>
    <n v="15"/>
  </r>
  <r>
    <s v="ORD2318832"/>
    <s v="ITM006"/>
    <n v="1"/>
    <n v="89"/>
    <x v="3"/>
    <x v="3"/>
    <n v="27"/>
    <n v="27"/>
  </r>
  <r>
    <s v="ORD7969137"/>
    <s v="ITM021"/>
    <n v="1"/>
    <n v="149"/>
    <x v="22"/>
    <x v="1"/>
    <n v="45"/>
    <n v="45"/>
  </r>
  <r>
    <s v="ORD7969137"/>
    <s v="ITM028"/>
    <n v="2"/>
    <n v="98"/>
    <x v="13"/>
    <x v="4"/>
    <n v="15"/>
    <n v="30"/>
  </r>
  <r>
    <s v="ORD7969137"/>
    <s v="ITM009"/>
    <n v="1"/>
    <n v="89"/>
    <x v="2"/>
    <x v="2"/>
    <n v="27"/>
    <n v="27"/>
  </r>
  <r>
    <s v="ORD3669548"/>
    <s v="ITM011"/>
    <n v="1"/>
    <n v="79"/>
    <x v="26"/>
    <x v="0"/>
    <n v="24"/>
    <n v="24"/>
  </r>
  <r>
    <s v="ORD3669548"/>
    <s v="ITM024"/>
    <n v="3"/>
    <n v="237"/>
    <x v="17"/>
    <x v="4"/>
    <n v="24"/>
    <n v="72"/>
  </r>
  <r>
    <s v="ORD3669548"/>
    <s v="ITM007"/>
    <n v="2"/>
    <n v="158"/>
    <x v="19"/>
    <x v="2"/>
    <n v="24"/>
    <n v="48"/>
  </r>
  <r>
    <s v="ORD7579577"/>
    <s v="ITM022"/>
    <n v="4"/>
    <n v="396"/>
    <x v="23"/>
    <x v="1"/>
    <n v="30"/>
    <n v="120"/>
  </r>
  <r>
    <s v="ORD7579577"/>
    <s v="ITM014"/>
    <n v="1"/>
    <n v="119"/>
    <x v="14"/>
    <x v="1"/>
    <n v="36"/>
    <n v="36"/>
  </r>
  <r>
    <s v="ORD7579577"/>
    <s v="ITM015"/>
    <n v="1"/>
    <n v="149"/>
    <x v="1"/>
    <x v="1"/>
    <n v="45"/>
    <n v="45"/>
  </r>
  <r>
    <s v="ORD8014552"/>
    <s v="ITM018"/>
    <n v="1"/>
    <n v="159"/>
    <x v="15"/>
    <x v="1"/>
    <n v="48"/>
    <n v="48"/>
  </r>
  <r>
    <s v="ORD5193310"/>
    <s v="ITM004"/>
    <n v="3"/>
    <n v="237"/>
    <x v="5"/>
    <x v="3"/>
    <n v="24"/>
    <n v="72"/>
  </r>
  <r>
    <s v="ORD5193310"/>
    <s v="ITM014"/>
    <n v="4"/>
    <n v="476"/>
    <x v="14"/>
    <x v="1"/>
    <n v="36"/>
    <n v="144"/>
  </r>
  <r>
    <s v="ORD5193310"/>
    <s v="ITM011"/>
    <n v="2"/>
    <n v="158"/>
    <x v="26"/>
    <x v="0"/>
    <n v="24"/>
    <n v="48"/>
  </r>
  <r>
    <s v="ORD5015044"/>
    <s v="ITM006"/>
    <n v="1"/>
    <n v="89"/>
    <x v="3"/>
    <x v="3"/>
    <n v="27"/>
    <n v="27"/>
  </r>
  <r>
    <s v="ORD5015044"/>
    <s v="ITM020"/>
    <n v="1"/>
    <n v="159"/>
    <x v="21"/>
    <x v="1"/>
    <n v="48"/>
    <n v="48"/>
  </r>
  <r>
    <s v="ORD8741111"/>
    <s v="ITM022"/>
    <n v="4"/>
    <n v="396"/>
    <x v="23"/>
    <x v="1"/>
    <n v="30"/>
    <n v="120"/>
  </r>
  <r>
    <s v="ORD8741111"/>
    <s v="ITM023"/>
    <n v="1"/>
    <n v="139"/>
    <x v="18"/>
    <x v="1"/>
    <n v="42"/>
    <n v="42"/>
  </r>
  <r>
    <s v="ORD8888801"/>
    <s v="ITM013"/>
    <n v="1"/>
    <n v="69"/>
    <x v="0"/>
    <x v="0"/>
    <n v="21"/>
    <n v="21"/>
  </r>
  <r>
    <s v="ORD9066612"/>
    <s v="ITM022"/>
    <n v="3"/>
    <n v="297"/>
    <x v="23"/>
    <x v="1"/>
    <n v="30"/>
    <n v="90"/>
  </r>
  <r>
    <s v="ORD9066612"/>
    <s v="ITM012"/>
    <n v="1"/>
    <n v="89"/>
    <x v="8"/>
    <x v="0"/>
    <n v="27"/>
    <n v="27"/>
  </r>
  <r>
    <s v="ORD5404004"/>
    <s v="ITM004"/>
    <n v="1"/>
    <n v="79"/>
    <x v="5"/>
    <x v="3"/>
    <n v="24"/>
    <n v="24"/>
  </r>
  <r>
    <s v="ORD5404004"/>
    <s v="ITM013"/>
    <n v="4"/>
    <n v="276"/>
    <x v="0"/>
    <x v="0"/>
    <n v="21"/>
    <n v="84"/>
  </r>
  <r>
    <s v="ORD5404004"/>
    <s v="ITM006"/>
    <n v="3"/>
    <n v="267"/>
    <x v="3"/>
    <x v="3"/>
    <n v="27"/>
    <n v="81"/>
  </r>
  <r>
    <s v="ORD5105861"/>
    <s v="ITM019"/>
    <n v="2"/>
    <n v="298"/>
    <x v="11"/>
    <x v="1"/>
    <n v="45"/>
    <n v="90"/>
  </r>
  <r>
    <s v="ORD5105861"/>
    <s v="ITM010"/>
    <n v="1"/>
    <n v="59"/>
    <x v="20"/>
    <x v="0"/>
    <n v="18"/>
    <n v="18"/>
  </r>
  <r>
    <s v="ORD7221849"/>
    <s v="ITM026"/>
    <n v="1"/>
    <n v="79"/>
    <x v="4"/>
    <x v="4"/>
    <n v="24"/>
    <n v="24"/>
  </r>
  <r>
    <s v="ORD7221849"/>
    <s v="ITM009"/>
    <n v="2"/>
    <n v="178"/>
    <x v="2"/>
    <x v="2"/>
    <n v="27"/>
    <n v="54"/>
  </r>
  <r>
    <s v="ORD5904531"/>
    <s v="ITM007"/>
    <n v="2"/>
    <n v="158"/>
    <x v="19"/>
    <x v="2"/>
    <n v="24"/>
    <n v="48"/>
  </r>
  <r>
    <s v="ORD5904531"/>
    <s v="ITM023"/>
    <n v="1"/>
    <n v="139"/>
    <x v="18"/>
    <x v="1"/>
    <n v="42"/>
    <n v="42"/>
  </r>
  <r>
    <s v="ORD3859007"/>
    <s v="ITM016"/>
    <n v="1"/>
    <n v="99"/>
    <x v="7"/>
    <x v="1"/>
    <n v="30"/>
    <n v="30"/>
  </r>
  <r>
    <s v="ORD3859007"/>
    <s v="ITM017"/>
    <n v="4"/>
    <n v="596"/>
    <x v="6"/>
    <x v="1"/>
    <n v="45"/>
    <n v="180"/>
  </r>
  <r>
    <s v="ORD3859007"/>
    <s v="ITM015"/>
    <n v="2"/>
    <n v="298"/>
    <x v="1"/>
    <x v="1"/>
    <n v="45"/>
    <n v="90"/>
  </r>
  <r>
    <s v="ORD6743965"/>
    <s v="ITM007"/>
    <n v="3"/>
    <n v="237"/>
    <x v="19"/>
    <x v="2"/>
    <n v="24"/>
    <n v="72"/>
  </r>
  <r>
    <s v="ORD6743965"/>
    <s v="ITM009"/>
    <n v="3"/>
    <n v="267"/>
    <x v="2"/>
    <x v="2"/>
    <n v="27"/>
    <n v="81"/>
  </r>
  <r>
    <s v="ORD9793246"/>
    <s v="ITM011"/>
    <n v="4"/>
    <n v="316"/>
    <x v="26"/>
    <x v="0"/>
    <n v="24"/>
    <n v="96"/>
  </r>
  <r>
    <s v="ORD9793246"/>
    <s v="ITM018"/>
    <n v="2"/>
    <n v="318"/>
    <x v="15"/>
    <x v="1"/>
    <n v="48"/>
    <n v="96"/>
  </r>
  <r>
    <s v="ORD9793246"/>
    <s v="ITM002"/>
    <n v="1"/>
    <n v="99"/>
    <x v="12"/>
    <x v="5"/>
    <n v="30"/>
    <n v="30"/>
  </r>
  <r>
    <s v="ORD9773624"/>
    <s v="ITM006"/>
    <n v="4"/>
    <n v="356"/>
    <x v="3"/>
    <x v="3"/>
    <n v="27"/>
    <n v="108"/>
  </r>
  <r>
    <s v="ORD9773624"/>
    <s v="ITM022"/>
    <n v="3"/>
    <n v="297"/>
    <x v="23"/>
    <x v="1"/>
    <n v="30"/>
    <n v="90"/>
  </r>
  <r>
    <s v="ORD2532752"/>
    <s v="ITM005"/>
    <n v="1"/>
    <n v="99"/>
    <x v="16"/>
    <x v="3"/>
    <n v="30"/>
    <n v="30"/>
  </r>
  <r>
    <s v="ORD2532752"/>
    <s v="ITM025"/>
    <n v="1"/>
    <n v="79"/>
    <x v="25"/>
    <x v="4"/>
    <n v="24"/>
    <n v="24"/>
  </r>
  <r>
    <s v="ORD6349555"/>
    <s v="ITM004"/>
    <n v="1"/>
    <n v="79"/>
    <x v="5"/>
    <x v="3"/>
    <n v="24"/>
    <n v="24"/>
  </r>
  <r>
    <s v="ORD6349555"/>
    <s v="ITM003"/>
    <n v="2"/>
    <n v="238"/>
    <x v="27"/>
    <x v="5"/>
    <n v="36"/>
    <n v="72"/>
  </r>
  <r>
    <s v="ORD8426297"/>
    <s v="ITM021"/>
    <n v="1"/>
    <n v="149"/>
    <x v="22"/>
    <x v="1"/>
    <n v="45"/>
    <n v="45"/>
  </r>
  <r>
    <s v="ORD8426297"/>
    <s v="ITM018"/>
    <n v="1"/>
    <n v="159"/>
    <x v="15"/>
    <x v="1"/>
    <n v="48"/>
    <n v="48"/>
  </r>
  <r>
    <s v="ORD8426297"/>
    <s v="ITM028"/>
    <n v="1"/>
    <n v="49"/>
    <x v="13"/>
    <x v="4"/>
    <n v="15"/>
    <n v="15"/>
  </r>
  <r>
    <s v="ORD9928667"/>
    <s v="ITM019"/>
    <n v="2"/>
    <n v="298"/>
    <x v="11"/>
    <x v="1"/>
    <n v="45"/>
    <n v="90"/>
  </r>
  <r>
    <s v="ORD9928667"/>
    <s v="ITM015"/>
    <n v="1"/>
    <n v="149"/>
    <x v="1"/>
    <x v="1"/>
    <n v="45"/>
    <n v="45"/>
  </r>
  <r>
    <s v="ORD2099905"/>
    <s v="ITM004"/>
    <n v="2"/>
    <n v="158"/>
    <x v="5"/>
    <x v="3"/>
    <n v="24"/>
    <n v="48"/>
  </r>
  <r>
    <s v="ORD2099905"/>
    <s v="ITM023"/>
    <n v="3"/>
    <n v="417"/>
    <x v="18"/>
    <x v="1"/>
    <n v="42"/>
    <n v="126"/>
  </r>
  <r>
    <s v="ORD2099905"/>
    <s v="ITM011"/>
    <n v="1"/>
    <n v="79"/>
    <x v="26"/>
    <x v="0"/>
    <n v="24"/>
    <n v="24"/>
  </r>
  <r>
    <s v="ORD6034195"/>
    <s v="ITM019"/>
    <n v="1"/>
    <n v="149"/>
    <x v="11"/>
    <x v="1"/>
    <n v="45"/>
    <n v="45"/>
  </r>
  <r>
    <s v="ORD6034195"/>
    <s v="ITM010"/>
    <n v="1"/>
    <n v="59"/>
    <x v="20"/>
    <x v="0"/>
    <n v="18"/>
    <n v="18"/>
  </r>
  <r>
    <s v="ORD7994575"/>
    <s v="ITM008"/>
    <n v="3"/>
    <n v="297"/>
    <x v="9"/>
    <x v="2"/>
    <n v="30"/>
    <n v="90"/>
  </r>
  <r>
    <s v="ORD7994575"/>
    <s v="ITM026"/>
    <n v="1"/>
    <n v="79"/>
    <x v="4"/>
    <x v="4"/>
    <n v="24"/>
    <n v="24"/>
  </r>
  <r>
    <s v="ORD7602542"/>
    <s v="ITM026"/>
    <n v="1"/>
    <n v="79"/>
    <x v="4"/>
    <x v="4"/>
    <n v="24"/>
    <n v="24"/>
  </r>
  <r>
    <s v="ORD4392572"/>
    <s v="ITM001"/>
    <n v="1"/>
    <n v="79"/>
    <x v="24"/>
    <x v="5"/>
    <n v="24"/>
    <n v="24"/>
  </r>
  <r>
    <s v="ORD4392572"/>
    <s v="ITM023"/>
    <n v="1"/>
    <n v="139"/>
    <x v="18"/>
    <x v="1"/>
    <n v="42"/>
    <n v="42"/>
  </r>
  <r>
    <s v="ORD4392572"/>
    <s v="ITM008"/>
    <n v="2"/>
    <n v="198"/>
    <x v="9"/>
    <x v="2"/>
    <n v="30"/>
    <n v="60"/>
  </r>
  <r>
    <s v="ORD5079175"/>
    <s v="ITM020"/>
    <n v="2"/>
    <n v="318"/>
    <x v="21"/>
    <x v="1"/>
    <n v="48"/>
    <n v="96"/>
  </r>
  <r>
    <s v="ORD5079175"/>
    <s v="ITM015"/>
    <n v="5"/>
    <n v="745"/>
    <x v="1"/>
    <x v="1"/>
    <n v="45"/>
    <n v="225"/>
  </r>
  <r>
    <s v="ORD7291774"/>
    <s v="ITM018"/>
    <n v="1"/>
    <n v="159"/>
    <x v="15"/>
    <x v="1"/>
    <n v="48"/>
    <n v="48"/>
  </r>
  <r>
    <s v="ORD7942032"/>
    <s v="ITM016"/>
    <n v="1"/>
    <n v="99"/>
    <x v="7"/>
    <x v="1"/>
    <n v="30"/>
    <n v="30"/>
  </r>
  <r>
    <s v="ORD7942032"/>
    <s v="ITM014"/>
    <n v="2"/>
    <n v="238"/>
    <x v="14"/>
    <x v="1"/>
    <n v="36"/>
    <n v="72"/>
  </r>
  <r>
    <s v="ORD7942032"/>
    <s v="ITM017"/>
    <n v="2"/>
    <n v="298"/>
    <x v="6"/>
    <x v="1"/>
    <n v="45"/>
    <n v="90"/>
  </r>
  <r>
    <s v="ORD6267395"/>
    <s v="ITM006"/>
    <n v="2"/>
    <n v="178"/>
    <x v="3"/>
    <x v="3"/>
    <n v="27"/>
    <n v="54"/>
  </r>
  <r>
    <s v="ORD6267395"/>
    <s v="ITM024"/>
    <n v="1"/>
    <n v="79"/>
    <x v="17"/>
    <x v="4"/>
    <n v="24"/>
    <n v="24"/>
  </r>
  <r>
    <s v="ORD6267395"/>
    <s v="ITM014"/>
    <n v="2"/>
    <n v="238"/>
    <x v="14"/>
    <x v="1"/>
    <n v="36"/>
    <n v="72"/>
  </r>
  <r>
    <s v="ORD8169423"/>
    <s v="ITM022"/>
    <n v="1"/>
    <n v="99"/>
    <x v="23"/>
    <x v="1"/>
    <n v="30"/>
    <n v="30"/>
  </r>
  <r>
    <s v="ORD8169423"/>
    <s v="ITM003"/>
    <n v="2"/>
    <n v="238"/>
    <x v="27"/>
    <x v="5"/>
    <n v="36"/>
    <n v="72"/>
  </r>
  <r>
    <s v="ORD8169423"/>
    <s v="ITM028"/>
    <n v="5"/>
    <n v="245"/>
    <x v="13"/>
    <x v="4"/>
    <n v="15"/>
    <n v="75"/>
  </r>
  <r>
    <s v="ORD2125910"/>
    <s v="ITM016"/>
    <n v="3"/>
    <n v="297"/>
    <x v="7"/>
    <x v="1"/>
    <n v="30"/>
    <n v="90"/>
  </r>
  <r>
    <s v="ORD2125910"/>
    <s v="ITM027"/>
    <n v="3"/>
    <n v="237"/>
    <x v="10"/>
    <x v="4"/>
    <n v="24"/>
    <n v="72"/>
  </r>
  <r>
    <s v="ORD2125910"/>
    <s v="ITM021"/>
    <n v="1"/>
    <n v="149"/>
    <x v="22"/>
    <x v="1"/>
    <n v="45"/>
    <n v="45"/>
  </r>
  <r>
    <s v="ORD5645022"/>
    <s v="ITM024"/>
    <n v="2"/>
    <n v="158"/>
    <x v="17"/>
    <x v="4"/>
    <n v="24"/>
    <n v="48"/>
  </r>
  <r>
    <s v="ORD5645022"/>
    <s v="ITM020"/>
    <n v="1"/>
    <n v="159"/>
    <x v="21"/>
    <x v="1"/>
    <n v="48"/>
    <n v="48"/>
  </r>
  <r>
    <s v="ORD1360433"/>
    <s v="ITM001"/>
    <n v="1"/>
    <n v="79"/>
    <x v="24"/>
    <x v="5"/>
    <n v="24"/>
    <n v="24"/>
  </r>
  <r>
    <s v="ORD1360433"/>
    <s v="ITM022"/>
    <n v="1"/>
    <n v="99"/>
    <x v="23"/>
    <x v="1"/>
    <n v="30"/>
    <n v="30"/>
  </r>
  <r>
    <s v="ORD4361005"/>
    <s v="ITM006"/>
    <n v="1"/>
    <n v="89"/>
    <x v="3"/>
    <x v="3"/>
    <n v="27"/>
    <n v="27"/>
  </r>
  <r>
    <s v="ORD4361005"/>
    <s v="ITM024"/>
    <n v="1"/>
    <n v="79"/>
    <x v="17"/>
    <x v="4"/>
    <n v="24"/>
    <n v="24"/>
  </r>
  <r>
    <s v="ORD4361005"/>
    <s v="ITM017"/>
    <n v="1"/>
    <n v="149"/>
    <x v="6"/>
    <x v="1"/>
    <n v="45"/>
    <n v="45"/>
  </r>
  <r>
    <s v="ORD4361005"/>
    <s v="ITM020"/>
    <n v="2"/>
    <n v="318"/>
    <x v="21"/>
    <x v="1"/>
    <n v="48"/>
    <n v="96"/>
  </r>
  <r>
    <s v="ORD4860502"/>
    <s v="ITM005"/>
    <n v="1"/>
    <n v="99"/>
    <x v="16"/>
    <x v="3"/>
    <n v="30"/>
    <n v="30"/>
  </r>
  <r>
    <s v="ORD4860502"/>
    <s v="ITM028"/>
    <n v="4"/>
    <n v="196"/>
    <x v="13"/>
    <x v="4"/>
    <n v="15"/>
    <n v="60"/>
  </r>
  <r>
    <s v="ORD1426542"/>
    <s v="ITM007"/>
    <n v="1"/>
    <n v="79"/>
    <x v="19"/>
    <x v="2"/>
    <n v="24"/>
    <n v="24"/>
  </r>
  <r>
    <s v="ORD1426542"/>
    <s v="ITM023"/>
    <n v="3"/>
    <n v="417"/>
    <x v="18"/>
    <x v="1"/>
    <n v="42"/>
    <n v="126"/>
  </r>
  <r>
    <s v="ORD1426542"/>
    <s v="ITM014"/>
    <n v="2"/>
    <n v="238"/>
    <x v="14"/>
    <x v="1"/>
    <n v="36"/>
    <n v="72"/>
  </r>
  <r>
    <s v="ORD1426542"/>
    <s v="ITM002"/>
    <n v="1"/>
    <n v="99"/>
    <x v="12"/>
    <x v="5"/>
    <n v="30"/>
    <n v="30"/>
  </r>
  <r>
    <s v="ORD3019277"/>
    <s v="ITM011"/>
    <n v="1"/>
    <n v="79"/>
    <x v="26"/>
    <x v="0"/>
    <n v="24"/>
    <n v="24"/>
  </r>
  <r>
    <s v="ORD3019277"/>
    <s v="ITM028"/>
    <n v="1"/>
    <n v="49"/>
    <x v="13"/>
    <x v="4"/>
    <n v="15"/>
    <n v="15"/>
  </r>
  <r>
    <s v="ORD3019277"/>
    <s v="ITM013"/>
    <n v="2"/>
    <n v="138"/>
    <x v="0"/>
    <x v="0"/>
    <n v="21"/>
    <n v="42"/>
  </r>
  <r>
    <s v="ORD7716059"/>
    <s v="ITM023"/>
    <n v="1"/>
    <n v="139"/>
    <x v="18"/>
    <x v="1"/>
    <n v="42"/>
    <n v="42"/>
  </r>
  <r>
    <s v="ORD7716059"/>
    <s v="ITM026"/>
    <n v="3"/>
    <n v="237"/>
    <x v="4"/>
    <x v="4"/>
    <n v="24"/>
    <n v="72"/>
  </r>
  <r>
    <s v="ORD8908133"/>
    <s v="ITM018"/>
    <n v="1"/>
    <n v="159"/>
    <x v="15"/>
    <x v="1"/>
    <n v="48"/>
    <n v="48"/>
  </r>
  <r>
    <s v="ORD8908133"/>
    <s v="ITM005"/>
    <n v="2"/>
    <n v="198"/>
    <x v="16"/>
    <x v="3"/>
    <n v="30"/>
    <n v="60"/>
  </r>
  <r>
    <s v="ORD8908133"/>
    <s v="ITM008"/>
    <n v="1"/>
    <n v="99"/>
    <x v="9"/>
    <x v="2"/>
    <n v="30"/>
    <n v="30"/>
  </r>
  <r>
    <s v="ORD8908133"/>
    <s v="ITM010"/>
    <n v="1"/>
    <n v="59"/>
    <x v="20"/>
    <x v="0"/>
    <n v="18"/>
    <n v="18"/>
  </r>
  <r>
    <s v="ORD7236158"/>
    <s v="ITM006"/>
    <n v="4"/>
    <n v="356"/>
    <x v="3"/>
    <x v="3"/>
    <n v="27"/>
    <n v="108"/>
  </r>
  <r>
    <s v="ORD7236158"/>
    <s v="ITM005"/>
    <n v="5"/>
    <n v="495"/>
    <x v="16"/>
    <x v="3"/>
    <n v="30"/>
    <n v="150"/>
  </r>
  <r>
    <s v="ORD7772195"/>
    <s v="ITM021"/>
    <n v="4"/>
    <n v="596"/>
    <x v="22"/>
    <x v="1"/>
    <n v="45"/>
    <n v="180"/>
  </r>
  <r>
    <s v="ORD7772195"/>
    <s v="ITM008"/>
    <n v="1"/>
    <n v="99"/>
    <x v="9"/>
    <x v="2"/>
    <n v="30"/>
    <n v="30"/>
  </r>
  <r>
    <s v="ORD7772195"/>
    <s v="ITM010"/>
    <n v="3"/>
    <n v="177"/>
    <x v="20"/>
    <x v="0"/>
    <n v="18"/>
    <n v="54"/>
  </r>
  <r>
    <s v="ORD2679655"/>
    <s v="ITM007"/>
    <n v="1"/>
    <n v="79"/>
    <x v="19"/>
    <x v="2"/>
    <n v="24"/>
    <n v="24"/>
  </r>
  <r>
    <s v="ORD2679655"/>
    <s v="ITM013"/>
    <n v="5"/>
    <n v="345"/>
    <x v="0"/>
    <x v="0"/>
    <n v="21"/>
    <n v="105"/>
  </r>
  <r>
    <s v="ORD1012106"/>
    <s v="ITM024"/>
    <n v="1"/>
    <n v="79"/>
    <x v="17"/>
    <x v="4"/>
    <n v="24"/>
    <n v="24"/>
  </r>
  <r>
    <s v="ORD1012106"/>
    <s v="ITM008"/>
    <n v="2"/>
    <n v="198"/>
    <x v="9"/>
    <x v="2"/>
    <n v="30"/>
    <n v="60"/>
  </r>
  <r>
    <s v="ORD4293151"/>
    <s v="ITM005"/>
    <n v="1"/>
    <n v="99"/>
    <x v="16"/>
    <x v="3"/>
    <n v="30"/>
    <n v="30"/>
  </r>
  <r>
    <s v="ORD4293151"/>
    <s v="ITM026"/>
    <n v="1"/>
    <n v="79"/>
    <x v="4"/>
    <x v="4"/>
    <n v="24"/>
    <n v="24"/>
  </r>
  <r>
    <s v="ORD4097522"/>
    <s v="ITM027"/>
    <n v="2"/>
    <n v="158"/>
    <x v="10"/>
    <x v="4"/>
    <n v="24"/>
    <n v="48"/>
  </r>
  <r>
    <s v="ORD4097522"/>
    <s v="ITM019"/>
    <n v="2"/>
    <n v="298"/>
    <x v="11"/>
    <x v="1"/>
    <n v="45"/>
    <n v="90"/>
  </r>
  <r>
    <s v="ORD1574205"/>
    <s v="ITM001"/>
    <n v="2"/>
    <n v="158"/>
    <x v="24"/>
    <x v="5"/>
    <n v="24"/>
    <n v="48"/>
  </r>
  <r>
    <s v="ORD1574205"/>
    <s v="ITM022"/>
    <n v="3"/>
    <n v="297"/>
    <x v="23"/>
    <x v="1"/>
    <n v="30"/>
    <n v="90"/>
  </r>
  <r>
    <s v="ORD1574205"/>
    <s v="ITM028"/>
    <n v="1"/>
    <n v="49"/>
    <x v="13"/>
    <x v="4"/>
    <n v="15"/>
    <n v="15"/>
  </r>
  <r>
    <s v="ORD7805792"/>
    <s v="ITM021"/>
    <n v="2"/>
    <n v="298"/>
    <x v="22"/>
    <x v="1"/>
    <n v="45"/>
    <n v="90"/>
  </r>
  <r>
    <s v="ORD7805792"/>
    <s v="ITM014"/>
    <n v="2"/>
    <n v="238"/>
    <x v="14"/>
    <x v="1"/>
    <n v="36"/>
    <n v="72"/>
  </r>
  <r>
    <s v="ORD7805792"/>
    <s v="ITM008"/>
    <n v="1"/>
    <n v="99"/>
    <x v="9"/>
    <x v="2"/>
    <n v="30"/>
    <n v="30"/>
  </r>
  <r>
    <s v="ORD2619058"/>
    <s v="ITM021"/>
    <n v="1"/>
    <n v="149"/>
    <x v="22"/>
    <x v="1"/>
    <n v="45"/>
    <n v="45"/>
  </r>
  <r>
    <s v="ORD2619058"/>
    <s v="ITM008"/>
    <n v="2"/>
    <n v="198"/>
    <x v="9"/>
    <x v="2"/>
    <n v="30"/>
    <n v="60"/>
  </r>
  <r>
    <s v="ORD2619058"/>
    <s v="ITM013"/>
    <n v="1"/>
    <n v="69"/>
    <x v="0"/>
    <x v="0"/>
    <n v="21"/>
    <n v="21"/>
  </r>
  <r>
    <s v="ORD6151115"/>
    <s v="ITM003"/>
    <n v="3"/>
    <n v="357"/>
    <x v="27"/>
    <x v="5"/>
    <n v="36"/>
    <n v="108"/>
  </r>
  <r>
    <s v="ORD6151115"/>
    <s v="ITM028"/>
    <n v="2"/>
    <n v="98"/>
    <x v="13"/>
    <x v="4"/>
    <n v="15"/>
    <n v="30"/>
  </r>
  <r>
    <s v="ORD1280502"/>
    <s v="ITM011"/>
    <n v="3"/>
    <n v="237"/>
    <x v="26"/>
    <x v="0"/>
    <n v="24"/>
    <n v="72"/>
  </r>
  <r>
    <s v="ORD1280502"/>
    <s v="ITM005"/>
    <n v="2"/>
    <n v="198"/>
    <x v="16"/>
    <x v="3"/>
    <n v="30"/>
    <n v="60"/>
  </r>
  <r>
    <s v="ORD1280502"/>
    <s v="ITM017"/>
    <n v="3"/>
    <n v="447"/>
    <x v="6"/>
    <x v="1"/>
    <n v="45"/>
    <n v="135"/>
  </r>
  <r>
    <s v="ORD3778902"/>
    <s v="ITM020"/>
    <n v="2"/>
    <n v="318"/>
    <x v="21"/>
    <x v="1"/>
    <n v="48"/>
    <n v="96"/>
  </r>
  <r>
    <s v="ORD3778902"/>
    <s v="ITM026"/>
    <n v="4"/>
    <n v="316"/>
    <x v="4"/>
    <x v="4"/>
    <n v="24"/>
    <n v="96"/>
  </r>
  <r>
    <s v="ORD8067639"/>
    <s v="ITM005"/>
    <n v="1"/>
    <n v="99"/>
    <x v="16"/>
    <x v="3"/>
    <n v="30"/>
    <n v="30"/>
  </r>
  <r>
    <s v="ORD8067639"/>
    <s v="ITM026"/>
    <n v="1"/>
    <n v="79"/>
    <x v="4"/>
    <x v="4"/>
    <n v="24"/>
    <n v="24"/>
  </r>
  <r>
    <s v="ORD7884958"/>
    <s v="ITM022"/>
    <n v="3"/>
    <n v="297"/>
    <x v="23"/>
    <x v="1"/>
    <n v="30"/>
    <n v="90"/>
  </r>
  <r>
    <s v="ORD7884958"/>
    <s v="ITM021"/>
    <n v="4"/>
    <n v="596"/>
    <x v="22"/>
    <x v="1"/>
    <n v="45"/>
    <n v="180"/>
  </r>
  <r>
    <s v="ORD6878859"/>
    <s v="ITM005"/>
    <n v="1"/>
    <n v="99"/>
    <x v="16"/>
    <x v="3"/>
    <n v="30"/>
    <n v="30"/>
  </r>
  <r>
    <s v="ORD6878859"/>
    <s v="ITM026"/>
    <n v="2"/>
    <n v="158"/>
    <x v="4"/>
    <x v="4"/>
    <n v="24"/>
    <n v="48"/>
  </r>
  <r>
    <s v="ORD1180674"/>
    <s v="ITM016"/>
    <n v="1"/>
    <n v="99"/>
    <x v="7"/>
    <x v="1"/>
    <n v="30"/>
    <n v="30"/>
  </r>
  <r>
    <s v="ORD1180674"/>
    <s v="ITM021"/>
    <n v="1"/>
    <n v="149"/>
    <x v="22"/>
    <x v="1"/>
    <n v="45"/>
    <n v="45"/>
  </r>
  <r>
    <s v="ORD1180674"/>
    <s v="ITM017"/>
    <n v="3"/>
    <n v="447"/>
    <x v="6"/>
    <x v="1"/>
    <n v="45"/>
    <n v="135"/>
  </r>
  <r>
    <s v="ORD1687389"/>
    <s v="ITM006"/>
    <n v="2"/>
    <n v="178"/>
    <x v="3"/>
    <x v="3"/>
    <n v="27"/>
    <n v="54"/>
  </r>
  <r>
    <s v="ORD1687389"/>
    <s v="ITM018"/>
    <n v="3"/>
    <n v="477"/>
    <x v="15"/>
    <x v="1"/>
    <n v="48"/>
    <n v="144"/>
  </r>
  <r>
    <s v="ORD1687389"/>
    <s v="ITM008"/>
    <n v="2"/>
    <n v="198"/>
    <x v="9"/>
    <x v="2"/>
    <n v="30"/>
    <n v="60"/>
  </r>
  <r>
    <s v="ORD1687389"/>
    <s v="ITM013"/>
    <n v="1"/>
    <n v="69"/>
    <x v="0"/>
    <x v="0"/>
    <n v="21"/>
    <n v="21"/>
  </r>
  <r>
    <s v="ORD9296866"/>
    <s v="ITM018"/>
    <n v="1"/>
    <n v="159"/>
    <x v="15"/>
    <x v="1"/>
    <n v="48"/>
    <n v="48"/>
  </r>
  <r>
    <s v="ORD9296866"/>
    <s v="ITM023"/>
    <n v="2"/>
    <n v="278"/>
    <x v="18"/>
    <x v="1"/>
    <n v="42"/>
    <n v="84"/>
  </r>
  <r>
    <s v="ORD6983783"/>
    <s v="ITM020"/>
    <n v="2"/>
    <n v="318"/>
    <x v="21"/>
    <x v="1"/>
    <n v="48"/>
    <n v="96"/>
  </r>
  <r>
    <s v="ORD9184965"/>
    <s v="ITM023"/>
    <n v="2"/>
    <n v="278"/>
    <x v="18"/>
    <x v="1"/>
    <n v="42"/>
    <n v="84"/>
  </r>
  <r>
    <s v="ORD9184965"/>
    <s v="ITM017"/>
    <n v="1"/>
    <n v="149"/>
    <x v="6"/>
    <x v="1"/>
    <n v="45"/>
    <n v="45"/>
  </r>
  <r>
    <s v="ORD8077121"/>
    <s v="ITM014"/>
    <n v="2"/>
    <n v="238"/>
    <x v="14"/>
    <x v="1"/>
    <n v="36"/>
    <n v="72"/>
  </r>
  <r>
    <s v="ORD8077121"/>
    <s v="ITM018"/>
    <n v="3"/>
    <n v="477"/>
    <x v="15"/>
    <x v="1"/>
    <n v="48"/>
    <n v="144"/>
  </r>
  <r>
    <s v="ORD8077121"/>
    <s v="ITM002"/>
    <n v="1"/>
    <n v="99"/>
    <x v="12"/>
    <x v="5"/>
    <n v="30"/>
    <n v="30"/>
  </r>
  <r>
    <s v="ORD4032275"/>
    <s v="ITM013"/>
    <n v="1"/>
    <n v="69"/>
    <x v="0"/>
    <x v="0"/>
    <n v="21"/>
    <n v="21"/>
  </r>
  <r>
    <s v="ORD4032275"/>
    <s v="ITM010"/>
    <n v="2"/>
    <n v="118"/>
    <x v="20"/>
    <x v="0"/>
    <n v="18"/>
    <n v="36"/>
  </r>
  <r>
    <s v="ORD4032275"/>
    <s v="ITM009"/>
    <n v="4"/>
    <n v="356"/>
    <x v="2"/>
    <x v="2"/>
    <n v="27"/>
    <n v="108"/>
  </r>
  <r>
    <s v="ORD6444414"/>
    <s v="ITM021"/>
    <n v="2"/>
    <n v="298"/>
    <x v="22"/>
    <x v="1"/>
    <n v="45"/>
    <n v="90"/>
  </r>
  <r>
    <s v="ORD6444414"/>
    <s v="ITM018"/>
    <n v="3"/>
    <n v="477"/>
    <x v="15"/>
    <x v="1"/>
    <n v="48"/>
    <n v="144"/>
  </r>
  <r>
    <s v="ORD6444414"/>
    <s v="ITM005"/>
    <n v="2"/>
    <n v="198"/>
    <x v="16"/>
    <x v="3"/>
    <n v="30"/>
    <n v="60"/>
  </r>
  <r>
    <s v="ORD6599618"/>
    <s v="ITM007"/>
    <n v="3"/>
    <n v="237"/>
    <x v="19"/>
    <x v="2"/>
    <n v="24"/>
    <n v="72"/>
  </r>
  <r>
    <s v="ORD6599618"/>
    <s v="ITM023"/>
    <n v="1"/>
    <n v="139"/>
    <x v="18"/>
    <x v="1"/>
    <n v="42"/>
    <n v="42"/>
  </r>
  <r>
    <s v="ORD6599618"/>
    <s v="ITM020"/>
    <n v="2"/>
    <n v="318"/>
    <x v="21"/>
    <x v="1"/>
    <n v="48"/>
    <n v="96"/>
  </r>
  <r>
    <s v="ORD9144342"/>
    <s v="ITM011"/>
    <n v="1"/>
    <n v="79"/>
    <x v="26"/>
    <x v="0"/>
    <n v="24"/>
    <n v="24"/>
  </r>
  <r>
    <s v="ORD9144342"/>
    <s v="ITM014"/>
    <n v="1"/>
    <n v="119"/>
    <x v="14"/>
    <x v="1"/>
    <n v="36"/>
    <n v="36"/>
  </r>
  <r>
    <s v="ORD3984802"/>
    <s v="ITM004"/>
    <n v="4"/>
    <n v="316"/>
    <x v="5"/>
    <x v="3"/>
    <n v="24"/>
    <n v="96"/>
  </r>
  <r>
    <s v="ORD3984802"/>
    <s v="ITM003"/>
    <n v="2"/>
    <n v="238"/>
    <x v="27"/>
    <x v="5"/>
    <n v="36"/>
    <n v="72"/>
  </r>
  <r>
    <s v="ORD3984802"/>
    <s v="ITM020"/>
    <n v="3"/>
    <n v="477"/>
    <x v="21"/>
    <x v="1"/>
    <n v="48"/>
    <n v="144"/>
  </r>
  <r>
    <s v="ORD5931029"/>
    <s v="ITM003"/>
    <n v="1"/>
    <n v="119"/>
    <x v="27"/>
    <x v="5"/>
    <n v="36"/>
    <n v="36"/>
  </r>
  <r>
    <s v="ORD5931029"/>
    <s v="ITM014"/>
    <n v="2"/>
    <n v="238"/>
    <x v="14"/>
    <x v="1"/>
    <n v="36"/>
    <n v="72"/>
  </r>
  <r>
    <s v="ORD5931029"/>
    <s v="ITM028"/>
    <n v="2"/>
    <n v="98"/>
    <x v="13"/>
    <x v="4"/>
    <n v="15"/>
    <n v="30"/>
  </r>
  <r>
    <s v="ORD4623343"/>
    <s v="ITM008"/>
    <n v="1"/>
    <n v="99"/>
    <x v="9"/>
    <x v="2"/>
    <n v="30"/>
    <n v="30"/>
  </r>
  <r>
    <s v="ORD9700184"/>
    <s v="ITM017"/>
    <n v="1"/>
    <n v="149"/>
    <x v="6"/>
    <x v="1"/>
    <n v="45"/>
    <n v="45"/>
  </r>
  <r>
    <s v="ORD9700184"/>
    <s v="ITM025"/>
    <n v="1"/>
    <n v="79"/>
    <x v="25"/>
    <x v="4"/>
    <n v="24"/>
    <n v="24"/>
  </r>
  <r>
    <s v="ORD4937710"/>
    <s v="ITM003"/>
    <n v="3"/>
    <n v="357"/>
    <x v="27"/>
    <x v="5"/>
    <n v="36"/>
    <n v="108"/>
  </r>
  <r>
    <s v="ORD4937710"/>
    <s v="ITM019"/>
    <n v="2"/>
    <n v="298"/>
    <x v="11"/>
    <x v="1"/>
    <n v="45"/>
    <n v="90"/>
  </r>
  <r>
    <s v="ORD4937710"/>
    <s v="ITM010"/>
    <n v="3"/>
    <n v="177"/>
    <x v="20"/>
    <x v="0"/>
    <n v="18"/>
    <n v="54"/>
  </r>
  <r>
    <s v="ORD2758380"/>
    <s v="ITM011"/>
    <n v="5"/>
    <n v="395"/>
    <x v="26"/>
    <x v="0"/>
    <n v="24"/>
    <n v="120"/>
  </r>
  <r>
    <s v="ORD2758380"/>
    <s v="ITM020"/>
    <n v="3"/>
    <n v="477"/>
    <x v="21"/>
    <x v="1"/>
    <n v="48"/>
    <n v="144"/>
  </r>
  <r>
    <s v="ORD8317957"/>
    <s v="ITM006"/>
    <n v="1"/>
    <n v="89"/>
    <x v="3"/>
    <x v="3"/>
    <n v="27"/>
    <n v="27"/>
  </r>
  <r>
    <s v="ORD8317957"/>
    <s v="ITM002"/>
    <n v="3"/>
    <n v="297"/>
    <x v="12"/>
    <x v="5"/>
    <n v="30"/>
    <n v="90"/>
  </r>
  <r>
    <s v="ORD8317957"/>
    <s v="ITM016"/>
    <n v="1"/>
    <n v="99"/>
    <x v="7"/>
    <x v="1"/>
    <n v="30"/>
    <n v="30"/>
  </r>
  <r>
    <s v="ORD1462664"/>
    <s v="ITM026"/>
    <n v="5"/>
    <n v="395"/>
    <x v="4"/>
    <x v="4"/>
    <n v="24"/>
    <n v="120"/>
  </r>
  <r>
    <s v="ORD1462664"/>
    <s v="ITM020"/>
    <n v="1"/>
    <n v="159"/>
    <x v="21"/>
    <x v="1"/>
    <n v="48"/>
    <n v="48"/>
  </r>
  <r>
    <s v="ORD9522069"/>
    <s v="ITM016"/>
    <n v="1"/>
    <n v="99"/>
    <x v="7"/>
    <x v="1"/>
    <n v="30"/>
    <n v="30"/>
  </r>
  <r>
    <s v="ORD9522069"/>
    <s v="ITM019"/>
    <n v="1"/>
    <n v="149"/>
    <x v="11"/>
    <x v="1"/>
    <n v="45"/>
    <n v="45"/>
  </r>
  <r>
    <s v="ORD9888098"/>
    <s v="ITM017"/>
    <n v="3"/>
    <n v="447"/>
    <x v="6"/>
    <x v="1"/>
    <n v="45"/>
    <n v="135"/>
  </r>
  <r>
    <s v="ORD9888098"/>
    <s v="ITM008"/>
    <n v="1"/>
    <n v="99"/>
    <x v="9"/>
    <x v="2"/>
    <n v="30"/>
    <n v="30"/>
  </r>
  <r>
    <s v="ORD9888098"/>
    <s v="ITM020"/>
    <n v="1"/>
    <n v="159"/>
    <x v="21"/>
    <x v="1"/>
    <n v="48"/>
    <n v="48"/>
  </r>
  <r>
    <s v="ORD7500351"/>
    <s v="ITM014"/>
    <n v="1"/>
    <n v="119"/>
    <x v="14"/>
    <x v="1"/>
    <n v="36"/>
    <n v="36"/>
  </r>
  <r>
    <s v="ORD7500351"/>
    <s v="ITM023"/>
    <n v="1"/>
    <n v="139"/>
    <x v="18"/>
    <x v="1"/>
    <n v="42"/>
    <n v="42"/>
  </r>
  <r>
    <s v="ORD4802391"/>
    <s v="ITM016"/>
    <n v="1"/>
    <n v="99"/>
    <x v="7"/>
    <x v="1"/>
    <n v="30"/>
    <n v="30"/>
  </r>
  <r>
    <s v="ORD4802391"/>
    <s v="ITM021"/>
    <n v="2"/>
    <n v="298"/>
    <x v="22"/>
    <x v="1"/>
    <n v="45"/>
    <n v="90"/>
  </r>
  <r>
    <s v="ORD4802391"/>
    <s v="ITM018"/>
    <n v="5"/>
    <n v="795"/>
    <x v="15"/>
    <x v="1"/>
    <n v="48"/>
    <n v="240"/>
  </r>
  <r>
    <s v="ORD4802391"/>
    <s v="ITM010"/>
    <n v="1"/>
    <n v="59"/>
    <x v="20"/>
    <x v="0"/>
    <n v="18"/>
    <n v="18"/>
  </r>
  <r>
    <s v="ORD6138255"/>
    <s v="ITM006"/>
    <n v="2"/>
    <n v="178"/>
    <x v="3"/>
    <x v="3"/>
    <n v="27"/>
    <n v="54"/>
  </r>
  <r>
    <s v="ORD6138255"/>
    <s v="ITM003"/>
    <n v="2"/>
    <n v="238"/>
    <x v="27"/>
    <x v="5"/>
    <n v="36"/>
    <n v="72"/>
  </r>
  <r>
    <s v="ORD6138255"/>
    <s v="ITM017"/>
    <n v="2"/>
    <n v="298"/>
    <x v="6"/>
    <x v="1"/>
    <n v="45"/>
    <n v="90"/>
  </r>
  <r>
    <s v="ORD6138255"/>
    <s v="ITM012"/>
    <n v="5"/>
    <n v="445"/>
    <x v="8"/>
    <x v="0"/>
    <n v="27"/>
    <n v="135"/>
  </r>
  <r>
    <s v="ORD3977821"/>
    <s v="ITM022"/>
    <n v="1"/>
    <n v="99"/>
    <x v="23"/>
    <x v="1"/>
    <n v="30"/>
    <n v="30"/>
  </r>
  <r>
    <s v="ORD3977821"/>
    <s v="ITM002"/>
    <n v="2"/>
    <n v="198"/>
    <x v="12"/>
    <x v="5"/>
    <n v="30"/>
    <n v="60"/>
  </r>
  <r>
    <s v="ORD4026890"/>
    <s v="ITM024"/>
    <n v="2"/>
    <n v="158"/>
    <x v="17"/>
    <x v="4"/>
    <n v="24"/>
    <n v="48"/>
  </r>
  <r>
    <s v="ORD4026890"/>
    <s v="ITM015"/>
    <n v="5"/>
    <n v="745"/>
    <x v="1"/>
    <x v="1"/>
    <n v="45"/>
    <n v="225"/>
  </r>
  <r>
    <s v="ORD2952559"/>
    <s v="ITM008"/>
    <n v="1"/>
    <n v="99"/>
    <x v="9"/>
    <x v="2"/>
    <n v="30"/>
    <n v="30"/>
  </r>
  <r>
    <s v="ORD9060167"/>
    <s v="ITM016"/>
    <n v="2"/>
    <n v="198"/>
    <x v="7"/>
    <x v="1"/>
    <n v="30"/>
    <n v="60"/>
  </r>
  <r>
    <s v="ORD4371081"/>
    <s v="ITM006"/>
    <n v="4"/>
    <n v="356"/>
    <x v="3"/>
    <x v="3"/>
    <n v="27"/>
    <n v="108"/>
  </r>
  <r>
    <s v="ORD4371081"/>
    <s v="ITM014"/>
    <n v="1"/>
    <n v="119"/>
    <x v="14"/>
    <x v="1"/>
    <n v="36"/>
    <n v="36"/>
  </r>
  <r>
    <s v="ORD7523126"/>
    <s v="ITM021"/>
    <n v="2"/>
    <n v="298"/>
    <x v="22"/>
    <x v="1"/>
    <n v="45"/>
    <n v="90"/>
  </r>
  <r>
    <s v="ORD7523126"/>
    <s v="ITM009"/>
    <n v="1"/>
    <n v="89"/>
    <x v="2"/>
    <x v="2"/>
    <n v="27"/>
    <n v="27"/>
  </r>
  <r>
    <s v="ORD3908477"/>
    <s v="ITM016"/>
    <n v="1"/>
    <n v="99"/>
    <x v="7"/>
    <x v="1"/>
    <n v="30"/>
    <n v="30"/>
  </r>
  <r>
    <s v="ORD3908477"/>
    <s v="ITM002"/>
    <n v="5"/>
    <n v="495"/>
    <x v="12"/>
    <x v="5"/>
    <n v="30"/>
    <n v="150"/>
  </r>
  <r>
    <s v="ORD3908477"/>
    <s v="ITM009"/>
    <n v="1"/>
    <n v="89"/>
    <x v="2"/>
    <x v="2"/>
    <n v="27"/>
    <n v="27"/>
  </r>
  <r>
    <s v="ORD1750288"/>
    <s v="ITM026"/>
    <n v="4"/>
    <n v="316"/>
    <x v="4"/>
    <x v="4"/>
    <n v="24"/>
    <n v="96"/>
  </r>
  <r>
    <s v="ORD1758898"/>
    <s v="ITM019"/>
    <n v="1"/>
    <n v="149"/>
    <x v="11"/>
    <x v="1"/>
    <n v="45"/>
    <n v="45"/>
  </r>
  <r>
    <s v="ORD1758898"/>
    <s v="ITM025"/>
    <n v="1"/>
    <n v="79"/>
    <x v="25"/>
    <x v="4"/>
    <n v="24"/>
    <n v="24"/>
  </r>
  <r>
    <s v="ORD7743748"/>
    <s v="ITM018"/>
    <n v="1"/>
    <n v="159"/>
    <x v="15"/>
    <x v="1"/>
    <n v="48"/>
    <n v="48"/>
  </r>
  <r>
    <s v="ORD7743748"/>
    <s v="ITM017"/>
    <n v="4"/>
    <n v="596"/>
    <x v="6"/>
    <x v="1"/>
    <n v="45"/>
    <n v="180"/>
  </r>
  <r>
    <s v="ORD7939725"/>
    <s v="ITM022"/>
    <n v="2"/>
    <n v="198"/>
    <x v="23"/>
    <x v="1"/>
    <n v="30"/>
    <n v="60"/>
  </r>
  <r>
    <s v="ORD7939725"/>
    <s v="ITM025"/>
    <n v="2"/>
    <n v="158"/>
    <x v="25"/>
    <x v="4"/>
    <n v="24"/>
    <n v="48"/>
  </r>
  <r>
    <s v="ORD2183202"/>
    <s v="ITM025"/>
    <n v="2"/>
    <n v="158"/>
    <x v="25"/>
    <x v="4"/>
    <n v="24"/>
    <n v="48"/>
  </r>
  <r>
    <s v="ORD7680763"/>
    <s v="ITM004"/>
    <n v="1"/>
    <n v="79"/>
    <x v="5"/>
    <x v="3"/>
    <n v="24"/>
    <n v="24"/>
  </r>
  <r>
    <s v="ORD7680763"/>
    <s v="ITM017"/>
    <n v="3"/>
    <n v="447"/>
    <x v="6"/>
    <x v="1"/>
    <n v="45"/>
    <n v="135"/>
  </r>
  <r>
    <s v="ORD7680763"/>
    <s v="ITM009"/>
    <n v="4"/>
    <n v="356"/>
    <x v="2"/>
    <x v="2"/>
    <n v="27"/>
    <n v="108"/>
  </r>
  <r>
    <s v="ORD2834486"/>
    <s v="ITM006"/>
    <n v="3"/>
    <n v="267"/>
    <x v="3"/>
    <x v="3"/>
    <n v="27"/>
    <n v="81"/>
  </r>
  <r>
    <s v="ORD2834486"/>
    <s v="ITM023"/>
    <n v="3"/>
    <n v="417"/>
    <x v="18"/>
    <x v="1"/>
    <n v="42"/>
    <n v="126"/>
  </r>
  <r>
    <s v="ORD9449329"/>
    <s v="ITM001"/>
    <n v="1"/>
    <n v="79"/>
    <x v="24"/>
    <x v="5"/>
    <n v="24"/>
    <n v="24"/>
  </r>
  <r>
    <s v="ORD9449329"/>
    <s v="ITM002"/>
    <n v="3"/>
    <n v="297"/>
    <x v="12"/>
    <x v="5"/>
    <n v="30"/>
    <n v="90"/>
  </r>
  <r>
    <s v="ORD9449329"/>
    <s v="ITM020"/>
    <n v="1"/>
    <n v="159"/>
    <x v="21"/>
    <x v="1"/>
    <n v="48"/>
    <n v="48"/>
  </r>
  <r>
    <s v="ORD5895685"/>
    <s v="ITM006"/>
    <n v="1"/>
    <n v="89"/>
    <x v="3"/>
    <x v="3"/>
    <n v="27"/>
    <n v="27"/>
  </r>
  <r>
    <s v="ORD3702775"/>
    <s v="ITM004"/>
    <n v="2"/>
    <n v="158"/>
    <x v="5"/>
    <x v="3"/>
    <n v="24"/>
    <n v="48"/>
  </r>
  <r>
    <s v="ORD3702775"/>
    <s v="ITM003"/>
    <n v="1"/>
    <n v="119"/>
    <x v="27"/>
    <x v="5"/>
    <n v="36"/>
    <n v="36"/>
  </r>
  <r>
    <s v="ORD3702775"/>
    <s v="ITM010"/>
    <n v="2"/>
    <n v="118"/>
    <x v="20"/>
    <x v="0"/>
    <n v="18"/>
    <n v="36"/>
  </r>
  <r>
    <s v="ORD1057394"/>
    <s v="ITM012"/>
    <n v="2"/>
    <n v="178"/>
    <x v="8"/>
    <x v="0"/>
    <n v="27"/>
    <n v="54"/>
  </r>
  <r>
    <s v="ORD8993139"/>
    <s v="ITM014"/>
    <n v="3"/>
    <n v="357"/>
    <x v="14"/>
    <x v="1"/>
    <n v="36"/>
    <n v="108"/>
  </r>
  <r>
    <s v="ORD8993139"/>
    <s v="ITM018"/>
    <n v="2"/>
    <n v="318"/>
    <x v="15"/>
    <x v="1"/>
    <n v="48"/>
    <n v="96"/>
  </r>
  <r>
    <s v="ORD8993139"/>
    <s v="ITM009"/>
    <n v="2"/>
    <n v="178"/>
    <x v="2"/>
    <x v="2"/>
    <n v="27"/>
    <n v="54"/>
  </r>
  <r>
    <s v="ORD4755409"/>
    <s v="ITM027"/>
    <n v="1"/>
    <n v="79"/>
    <x v="10"/>
    <x v="4"/>
    <n v="24"/>
    <n v="24"/>
  </r>
  <r>
    <s v="ORD4755409"/>
    <s v="ITM020"/>
    <n v="1"/>
    <n v="159"/>
    <x v="21"/>
    <x v="1"/>
    <n v="48"/>
    <n v="48"/>
  </r>
  <r>
    <s v="ORD4808186"/>
    <s v="ITM007"/>
    <n v="1"/>
    <n v="79"/>
    <x v="19"/>
    <x v="2"/>
    <n v="24"/>
    <n v="24"/>
  </r>
  <r>
    <s v="ORD4808186"/>
    <s v="ITM018"/>
    <n v="4"/>
    <n v="636"/>
    <x v="15"/>
    <x v="1"/>
    <n v="48"/>
    <n v="192"/>
  </r>
  <r>
    <s v="ORD7692147"/>
    <s v="ITM006"/>
    <n v="1"/>
    <n v="89"/>
    <x v="3"/>
    <x v="3"/>
    <n v="27"/>
    <n v="27"/>
  </r>
  <r>
    <s v="ORD7692147"/>
    <s v="ITM007"/>
    <n v="3"/>
    <n v="237"/>
    <x v="19"/>
    <x v="2"/>
    <n v="24"/>
    <n v="72"/>
  </r>
  <r>
    <s v="ORD7288379"/>
    <s v="ITM004"/>
    <n v="2"/>
    <n v="158"/>
    <x v="5"/>
    <x v="3"/>
    <n v="24"/>
    <n v="48"/>
  </r>
  <r>
    <s v="ORD7288379"/>
    <s v="ITM005"/>
    <n v="1"/>
    <n v="99"/>
    <x v="16"/>
    <x v="3"/>
    <n v="30"/>
    <n v="30"/>
  </r>
  <r>
    <s v="ORD3629314"/>
    <s v="ITM001"/>
    <n v="2"/>
    <n v="158"/>
    <x v="24"/>
    <x v="5"/>
    <n v="24"/>
    <n v="48"/>
  </r>
  <r>
    <s v="ORD3629314"/>
    <s v="ITM014"/>
    <n v="1"/>
    <n v="119"/>
    <x v="14"/>
    <x v="1"/>
    <n v="36"/>
    <n v="36"/>
  </r>
  <r>
    <s v="ORD3629314"/>
    <s v="ITM006"/>
    <n v="5"/>
    <n v="445"/>
    <x v="3"/>
    <x v="3"/>
    <n v="27"/>
    <n v="135"/>
  </r>
  <r>
    <s v="ORD3629314"/>
    <s v="ITM026"/>
    <n v="2"/>
    <n v="158"/>
    <x v="4"/>
    <x v="4"/>
    <n v="24"/>
    <n v="48"/>
  </r>
  <r>
    <s v="ORD5122136"/>
    <s v="ITM021"/>
    <n v="2"/>
    <n v="298"/>
    <x v="22"/>
    <x v="1"/>
    <n v="45"/>
    <n v="90"/>
  </r>
  <r>
    <s v="ORD5122136"/>
    <s v="ITM018"/>
    <n v="2"/>
    <n v="318"/>
    <x v="15"/>
    <x v="1"/>
    <n v="48"/>
    <n v="96"/>
  </r>
  <r>
    <s v="ORD5122136"/>
    <s v="ITM015"/>
    <n v="1"/>
    <n v="149"/>
    <x v="1"/>
    <x v="1"/>
    <n v="45"/>
    <n v="45"/>
  </r>
  <r>
    <s v="ORD6984371"/>
    <s v="ITM027"/>
    <n v="2"/>
    <n v="158"/>
    <x v="10"/>
    <x v="4"/>
    <n v="24"/>
    <n v="48"/>
  </r>
  <r>
    <s v="ORD6984371"/>
    <s v="ITM003"/>
    <n v="1"/>
    <n v="119"/>
    <x v="27"/>
    <x v="5"/>
    <n v="36"/>
    <n v="36"/>
  </r>
  <r>
    <s v="ORD6984371"/>
    <s v="ITM009"/>
    <n v="4"/>
    <n v="356"/>
    <x v="2"/>
    <x v="2"/>
    <n v="27"/>
    <n v="108"/>
  </r>
  <r>
    <s v="ORD3681207"/>
    <s v="ITM004"/>
    <n v="1"/>
    <n v="79"/>
    <x v="5"/>
    <x v="3"/>
    <n v="24"/>
    <n v="24"/>
  </r>
  <r>
    <s v="ORD3681207"/>
    <s v="ITM025"/>
    <n v="2"/>
    <n v="158"/>
    <x v="25"/>
    <x v="4"/>
    <n v="24"/>
    <n v="48"/>
  </r>
  <r>
    <s v="ORD8464248"/>
    <s v="ITM005"/>
    <n v="1"/>
    <n v="99"/>
    <x v="16"/>
    <x v="3"/>
    <n v="30"/>
    <n v="30"/>
  </r>
  <r>
    <s v="ORD8464248"/>
    <s v="ITM012"/>
    <n v="1"/>
    <n v="89"/>
    <x v="8"/>
    <x v="0"/>
    <n v="27"/>
    <n v="27"/>
  </r>
  <r>
    <s v="ORD1333139"/>
    <s v="ITM024"/>
    <n v="1"/>
    <n v="79"/>
    <x v="17"/>
    <x v="4"/>
    <n v="24"/>
    <n v="24"/>
  </r>
  <r>
    <s v="ORD1333139"/>
    <s v="ITM017"/>
    <n v="1"/>
    <n v="149"/>
    <x v="6"/>
    <x v="1"/>
    <n v="45"/>
    <n v="45"/>
  </r>
  <r>
    <s v="ORD1333139"/>
    <s v="ITM028"/>
    <n v="1"/>
    <n v="49"/>
    <x v="13"/>
    <x v="4"/>
    <n v="15"/>
    <n v="15"/>
  </r>
  <r>
    <s v="ORD2393728"/>
    <s v="ITM001"/>
    <n v="1"/>
    <n v="79"/>
    <x v="24"/>
    <x v="5"/>
    <n v="24"/>
    <n v="24"/>
  </r>
  <r>
    <s v="ORD2393728"/>
    <s v="ITM022"/>
    <n v="1"/>
    <n v="99"/>
    <x v="23"/>
    <x v="1"/>
    <n v="30"/>
    <n v="30"/>
  </r>
  <r>
    <s v="ORD2393728"/>
    <s v="ITM024"/>
    <n v="3"/>
    <n v="237"/>
    <x v="17"/>
    <x v="4"/>
    <n v="24"/>
    <n v="72"/>
  </r>
  <r>
    <s v="ORD1872600"/>
    <s v="ITM010"/>
    <n v="1"/>
    <n v="59"/>
    <x v="20"/>
    <x v="0"/>
    <n v="18"/>
    <n v="18"/>
  </r>
  <r>
    <s v="ORD1872600"/>
    <s v="ITM008"/>
    <n v="5"/>
    <n v="495"/>
    <x v="9"/>
    <x v="2"/>
    <n v="30"/>
    <n v="150"/>
  </r>
  <r>
    <s v="ORD1872600"/>
    <s v="ITM028"/>
    <n v="2"/>
    <n v="98"/>
    <x v="13"/>
    <x v="4"/>
    <n v="15"/>
    <n v="30"/>
  </r>
  <r>
    <s v="ORD6078638"/>
    <s v="ITM014"/>
    <n v="2"/>
    <n v="238"/>
    <x v="14"/>
    <x v="1"/>
    <n v="36"/>
    <n v="72"/>
  </r>
  <r>
    <s v="ORD6078638"/>
    <s v="ITM012"/>
    <n v="1"/>
    <n v="89"/>
    <x v="8"/>
    <x v="0"/>
    <n v="27"/>
    <n v="27"/>
  </r>
  <r>
    <s v="ORD6808928"/>
    <s v="ITM008"/>
    <n v="4"/>
    <n v="396"/>
    <x v="9"/>
    <x v="2"/>
    <n v="30"/>
    <n v="120"/>
  </r>
  <r>
    <s v="ORD6808928"/>
    <s v="ITM025"/>
    <n v="1"/>
    <n v="79"/>
    <x v="25"/>
    <x v="4"/>
    <n v="24"/>
    <n v="24"/>
  </r>
  <r>
    <s v="ORD6808928"/>
    <s v="ITM015"/>
    <n v="2"/>
    <n v="298"/>
    <x v="1"/>
    <x v="1"/>
    <n v="45"/>
    <n v="90"/>
  </r>
  <r>
    <s v="ORD2248470"/>
    <s v="ITM022"/>
    <n v="3"/>
    <n v="297"/>
    <x v="23"/>
    <x v="1"/>
    <n v="30"/>
    <n v="90"/>
  </r>
  <r>
    <s v="ORD2248470"/>
    <s v="ITM005"/>
    <n v="3"/>
    <n v="297"/>
    <x v="16"/>
    <x v="3"/>
    <n v="30"/>
    <n v="90"/>
  </r>
  <r>
    <s v="ORD3621335"/>
    <s v="ITM014"/>
    <n v="3"/>
    <n v="357"/>
    <x v="14"/>
    <x v="1"/>
    <n v="36"/>
    <n v="108"/>
  </r>
  <r>
    <s v="ORD3621335"/>
    <s v="ITM023"/>
    <n v="1"/>
    <n v="139"/>
    <x v="18"/>
    <x v="1"/>
    <n v="42"/>
    <n v="42"/>
  </r>
  <r>
    <s v="ORD2536556"/>
    <s v="ITM007"/>
    <n v="2"/>
    <n v="158"/>
    <x v="19"/>
    <x v="2"/>
    <n v="24"/>
    <n v="48"/>
  </r>
  <r>
    <s v="ORD2536556"/>
    <s v="ITM019"/>
    <n v="1"/>
    <n v="149"/>
    <x v="11"/>
    <x v="1"/>
    <n v="45"/>
    <n v="45"/>
  </r>
  <r>
    <s v="ORD5832903"/>
    <s v="ITM006"/>
    <n v="1"/>
    <n v="89"/>
    <x v="3"/>
    <x v="3"/>
    <n v="27"/>
    <n v="27"/>
  </r>
  <r>
    <s v="ORD5832903"/>
    <s v="ITM003"/>
    <n v="1"/>
    <n v="119"/>
    <x v="27"/>
    <x v="5"/>
    <n v="36"/>
    <n v="36"/>
  </r>
  <r>
    <s v="ORD5832903"/>
    <s v="ITM001"/>
    <n v="2"/>
    <n v="158"/>
    <x v="24"/>
    <x v="5"/>
    <n v="24"/>
    <n v="48"/>
  </r>
  <r>
    <s v="ORD4820432"/>
    <s v="ITM023"/>
    <n v="1"/>
    <n v="139"/>
    <x v="18"/>
    <x v="1"/>
    <n v="42"/>
    <n v="42"/>
  </r>
  <r>
    <s v="ORD4820432"/>
    <s v="ITM009"/>
    <n v="2"/>
    <n v="178"/>
    <x v="2"/>
    <x v="2"/>
    <n v="27"/>
    <n v="54"/>
  </r>
  <r>
    <s v="ORD5222291"/>
    <s v="ITM011"/>
    <n v="3"/>
    <n v="237"/>
    <x v="26"/>
    <x v="0"/>
    <n v="24"/>
    <n v="72"/>
  </r>
  <r>
    <s v="ORD5222291"/>
    <s v="ITM003"/>
    <n v="2"/>
    <n v="238"/>
    <x v="27"/>
    <x v="5"/>
    <n v="36"/>
    <n v="72"/>
  </r>
  <r>
    <s v="ORD6341832"/>
    <s v="ITM017"/>
    <n v="4"/>
    <n v="596"/>
    <x v="6"/>
    <x v="1"/>
    <n v="45"/>
    <n v="180"/>
  </r>
  <r>
    <s v="ORD6341832"/>
    <s v="ITM025"/>
    <n v="2"/>
    <n v="158"/>
    <x v="25"/>
    <x v="4"/>
    <n v="24"/>
    <n v="48"/>
  </r>
  <r>
    <s v="ORD6341832"/>
    <s v="ITM020"/>
    <n v="2"/>
    <n v="318"/>
    <x v="21"/>
    <x v="1"/>
    <n v="48"/>
    <n v="96"/>
  </r>
  <r>
    <s v="ORD6259232"/>
    <s v="ITM006"/>
    <n v="2"/>
    <n v="178"/>
    <x v="3"/>
    <x v="3"/>
    <n v="27"/>
    <n v="54"/>
  </r>
  <r>
    <s v="ORD6259232"/>
    <s v="ITM017"/>
    <n v="2"/>
    <n v="298"/>
    <x v="6"/>
    <x v="1"/>
    <n v="45"/>
    <n v="90"/>
  </r>
  <r>
    <s v="ORD6259232"/>
    <s v="ITM002"/>
    <n v="4"/>
    <n v="396"/>
    <x v="12"/>
    <x v="5"/>
    <n v="30"/>
    <n v="120"/>
  </r>
  <r>
    <s v="ORD6259232"/>
    <s v="ITM011"/>
    <n v="3"/>
    <n v="237"/>
    <x v="26"/>
    <x v="0"/>
    <n v="24"/>
    <n v="72"/>
  </r>
  <r>
    <s v="ORD7468693"/>
    <s v="ITM022"/>
    <n v="1"/>
    <n v="99"/>
    <x v="23"/>
    <x v="1"/>
    <n v="30"/>
    <n v="30"/>
  </r>
  <r>
    <s v="ORD7468693"/>
    <s v="ITM023"/>
    <n v="1"/>
    <n v="139"/>
    <x v="18"/>
    <x v="1"/>
    <n v="42"/>
    <n v="42"/>
  </r>
  <r>
    <s v="ORD7468693"/>
    <s v="ITM012"/>
    <n v="1"/>
    <n v="89"/>
    <x v="8"/>
    <x v="0"/>
    <n v="27"/>
    <n v="27"/>
  </r>
  <r>
    <s v="ORD8923681"/>
    <s v="ITM006"/>
    <n v="1"/>
    <n v="89"/>
    <x v="3"/>
    <x v="3"/>
    <n v="27"/>
    <n v="27"/>
  </r>
  <r>
    <s v="ORD8923681"/>
    <s v="ITM015"/>
    <n v="3"/>
    <n v="447"/>
    <x v="1"/>
    <x v="1"/>
    <n v="45"/>
    <n v="135"/>
  </r>
  <r>
    <s v="ORD3681345"/>
    <s v="ITM003"/>
    <n v="2"/>
    <n v="238"/>
    <x v="27"/>
    <x v="5"/>
    <n v="36"/>
    <n v="72"/>
  </r>
  <r>
    <s v="ORD3681345"/>
    <s v="ITM027"/>
    <n v="1"/>
    <n v="79"/>
    <x v="10"/>
    <x v="4"/>
    <n v="24"/>
    <n v="24"/>
  </r>
  <r>
    <s v="ORD3681345"/>
    <s v="ITM010"/>
    <n v="1"/>
    <n v="59"/>
    <x v="20"/>
    <x v="0"/>
    <n v="18"/>
    <n v="18"/>
  </r>
  <r>
    <s v="ORD6211203"/>
    <s v="ITM004"/>
    <n v="1"/>
    <n v="79"/>
    <x v="5"/>
    <x v="3"/>
    <n v="24"/>
    <n v="24"/>
  </r>
  <r>
    <s v="ORD6211203"/>
    <s v="ITM005"/>
    <n v="2"/>
    <n v="198"/>
    <x v="16"/>
    <x v="3"/>
    <n v="30"/>
    <n v="60"/>
  </r>
  <r>
    <s v="ORD5129038"/>
    <s v="ITM018"/>
    <n v="4"/>
    <n v="636"/>
    <x v="15"/>
    <x v="1"/>
    <n v="48"/>
    <n v="192"/>
  </r>
  <r>
    <s v="ORD5129038"/>
    <s v="ITM019"/>
    <n v="2"/>
    <n v="298"/>
    <x v="11"/>
    <x v="1"/>
    <n v="45"/>
    <n v="90"/>
  </r>
  <r>
    <s v="ORD5129038"/>
    <s v="ITM025"/>
    <n v="1"/>
    <n v="79"/>
    <x v="25"/>
    <x v="4"/>
    <n v="24"/>
    <n v="24"/>
  </r>
  <r>
    <s v="ORD4840752"/>
    <s v="ITM016"/>
    <n v="4"/>
    <n v="396"/>
    <x v="7"/>
    <x v="1"/>
    <n v="30"/>
    <n v="120"/>
  </r>
  <r>
    <s v="ORD4840752"/>
    <s v="ITM022"/>
    <n v="1"/>
    <n v="99"/>
    <x v="23"/>
    <x v="1"/>
    <n v="30"/>
    <n v="30"/>
  </r>
  <r>
    <s v="ORD4840752"/>
    <s v="ITM008"/>
    <n v="4"/>
    <n v="396"/>
    <x v="9"/>
    <x v="2"/>
    <n v="30"/>
    <n v="120"/>
  </r>
  <r>
    <s v="ORD5462862"/>
    <s v="ITM022"/>
    <n v="1"/>
    <n v="99"/>
    <x v="23"/>
    <x v="1"/>
    <n v="30"/>
    <n v="30"/>
  </r>
  <r>
    <s v="ORD5462862"/>
    <s v="ITM021"/>
    <n v="1"/>
    <n v="149"/>
    <x v="22"/>
    <x v="1"/>
    <n v="45"/>
    <n v="45"/>
  </r>
  <r>
    <s v="ORD9095897"/>
    <s v="ITM008"/>
    <n v="5"/>
    <n v="495"/>
    <x v="9"/>
    <x v="2"/>
    <n v="30"/>
    <n v="150"/>
  </r>
  <r>
    <s v="ORD9095897"/>
    <s v="ITM010"/>
    <n v="2"/>
    <n v="118"/>
    <x v="20"/>
    <x v="0"/>
    <n v="18"/>
    <n v="36"/>
  </r>
  <r>
    <s v="ORD2016077"/>
    <s v="ITM008"/>
    <n v="2"/>
    <n v="198"/>
    <x v="9"/>
    <x v="2"/>
    <n v="30"/>
    <n v="60"/>
  </r>
  <r>
    <s v="ORD2016077"/>
    <s v="ITM012"/>
    <n v="3"/>
    <n v="267"/>
    <x v="8"/>
    <x v="0"/>
    <n v="27"/>
    <n v="81"/>
  </r>
  <r>
    <s v="ORD2016077"/>
    <s v="ITM015"/>
    <n v="1"/>
    <n v="149"/>
    <x v="1"/>
    <x v="1"/>
    <n v="45"/>
    <n v="45"/>
  </r>
  <r>
    <s v="ORD8800390"/>
    <s v="ITM005"/>
    <n v="1"/>
    <n v="99"/>
    <x v="16"/>
    <x v="3"/>
    <n v="30"/>
    <n v="30"/>
  </r>
  <r>
    <s v="ORD8800390"/>
    <s v="ITM012"/>
    <n v="1"/>
    <n v="89"/>
    <x v="8"/>
    <x v="0"/>
    <n v="27"/>
    <n v="27"/>
  </r>
  <r>
    <s v="ORD3156470"/>
    <s v="ITM004"/>
    <n v="1"/>
    <n v="79"/>
    <x v="5"/>
    <x v="3"/>
    <n v="24"/>
    <n v="24"/>
  </r>
  <r>
    <s v="ORD3156470"/>
    <s v="ITM023"/>
    <n v="2"/>
    <n v="278"/>
    <x v="18"/>
    <x v="1"/>
    <n v="42"/>
    <n v="84"/>
  </r>
  <r>
    <s v="ORD3156470"/>
    <s v="ITM016"/>
    <n v="2"/>
    <n v="198"/>
    <x v="7"/>
    <x v="1"/>
    <n v="30"/>
    <n v="60"/>
  </r>
  <r>
    <s v="ORD3156470"/>
    <s v="ITM011"/>
    <n v="2"/>
    <n v="158"/>
    <x v="26"/>
    <x v="0"/>
    <n v="24"/>
    <n v="48"/>
  </r>
  <r>
    <s v="ORD1660711"/>
    <s v="ITM020"/>
    <n v="1"/>
    <n v="159"/>
    <x v="21"/>
    <x v="1"/>
    <n v="48"/>
    <n v="48"/>
  </r>
  <r>
    <s v="ORD7045114"/>
    <s v="ITM021"/>
    <n v="2"/>
    <n v="298"/>
    <x v="22"/>
    <x v="1"/>
    <n v="45"/>
    <n v="90"/>
  </r>
  <r>
    <s v="ORD7045114"/>
    <s v="ITM013"/>
    <n v="2"/>
    <n v="138"/>
    <x v="0"/>
    <x v="0"/>
    <n v="21"/>
    <n v="42"/>
  </r>
  <r>
    <s v="ORD4477154"/>
    <s v="ITM021"/>
    <n v="1"/>
    <n v="149"/>
    <x v="22"/>
    <x v="1"/>
    <n v="45"/>
    <n v="45"/>
  </r>
  <r>
    <s v="ORD4477154"/>
    <s v="ITM023"/>
    <n v="1"/>
    <n v="139"/>
    <x v="18"/>
    <x v="1"/>
    <n v="42"/>
    <n v="42"/>
  </r>
  <r>
    <s v="ORD4674225"/>
    <s v="ITM027"/>
    <n v="2"/>
    <n v="158"/>
    <x v="10"/>
    <x v="4"/>
    <n v="24"/>
    <n v="48"/>
  </r>
  <r>
    <s v="ORD4674225"/>
    <s v="ITM005"/>
    <n v="1"/>
    <n v="99"/>
    <x v="16"/>
    <x v="3"/>
    <n v="30"/>
    <n v="30"/>
  </r>
  <r>
    <s v="ORD4674225"/>
    <s v="ITM010"/>
    <n v="2"/>
    <n v="118"/>
    <x v="20"/>
    <x v="0"/>
    <n v="18"/>
    <n v="36"/>
  </r>
  <r>
    <s v="ORD4674225"/>
    <s v="ITM012"/>
    <n v="1"/>
    <n v="89"/>
    <x v="8"/>
    <x v="0"/>
    <n v="27"/>
    <n v="27"/>
  </r>
  <r>
    <s v="ORD1604073"/>
    <s v="ITM011"/>
    <n v="1"/>
    <n v="79"/>
    <x v="26"/>
    <x v="0"/>
    <n v="24"/>
    <n v="24"/>
  </r>
  <r>
    <s v="ORD1604073"/>
    <s v="ITM015"/>
    <n v="4"/>
    <n v="596"/>
    <x v="1"/>
    <x v="1"/>
    <n v="45"/>
    <n v="180"/>
  </r>
  <r>
    <s v="ORD5721396"/>
    <s v="ITM006"/>
    <n v="2"/>
    <n v="178"/>
    <x v="3"/>
    <x v="3"/>
    <n v="27"/>
    <n v="54"/>
  </r>
  <r>
    <s v="ORD5721396"/>
    <s v="ITM005"/>
    <n v="1"/>
    <n v="99"/>
    <x v="16"/>
    <x v="3"/>
    <n v="30"/>
    <n v="30"/>
  </r>
  <r>
    <s v="ORD5721396"/>
    <s v="ITM015"/>
    <n v="1"/>
    <n v="149"/>
    <x v="1"/>
    <x v="1"/>
    <n v="45"/>
    <n v="45"/>
  </r>
  <r>
    <s v="ORD9586664"/>
    <s v="ITM004"/>
    <n v="1"/>
    <n v="79"/>
    <x v="5"/>
    <x v="3"/>
    <n v="24"/>
    <n v="24"/>
  </r>
  <r>
    <s v="ORD9586664"/>
    <s v="ITM012"/>
    <n v="4"/>
    <n v="356"/>
    <x v="8"/>
    <x v="0"/>
    <n v="27"/>
    <n v="108"/>
  </r>
  <r>
    <s v="ORD6089714"/>
    <s v="ITM007"/>
    <n v="4"/>
    <n v="316"/>
    <x v="19"/>
    <x v="2"/>
    <n v="24"/>
    <n v="96"/>
  </r>
  <r>
    <s v="ORD6089714"/>
    <s v="ITM018"/>
    <n v="3"/>
    <n v="477"/>
    <x v="15"/>
    <x v="1"/>
    <n v="48"/>
    <n v="144"/>
  </r>
  <r>
    <s v="ORD7519151"/>
    <s v="ITM021"/>
    <n v="4"/>
    <n v="596"/>
    <x v="22"/>
    <x v="1"/>
    <n v="45"/>
    <n v="180"/>
  </r>
  <r>
    <s v="ORD7519151"/>
    <s v="ITM012"/>
    <n v="2"/>
    <n v="178"/>
    <x v="8"/>
    <x v="0"/>
    <n v="27"/>
    <n v="54"/>
  </r>
  <r>
    <s v="ORD1004542"/>
    <s v="ITM023"/>
    <n v="1"/>
    <n v="139"/>
    <x v="18"/>
    <x v="1"/>
    <n v="42"/>
    <n v="42"/>
  </r>
  <r>
    <s v="ORD1004542"/>
    <s v="ITM026"/>
    <n v="1"/>
    <n v="79"/>
    <x v="4"/>
    <x v="4"/>
    <n v="24"/>
    <n v="24"/>
  </r>
  <r>
    <s v="ORD7254897"/>
    <s v="ITM019"/>
    <n v="1"/>
    <n v="149"/>
    <x v="11"/>
    <x v="1"/>
    <n v="45"/>
    <n v="45"/>
  </r>
  <r>
    <s v="ORD7254897"/>
    <s v="ITM009"/>
    <n v="1"/>
    <n v="89"/>
    <x v="2"/>
    <x v="2"/>
    <n v="27"/>
    <n v="27"/>
  </r>
  <r>
    <s v="ORD1509483"/>
    <s v="ITM004"/>
    <n v="2"/>
    <n v="158"/>
    <x v="5"/>
    <x v="3"/>
    <n v="24"/>
    <n v="48"/>
  </r>
  <r>
    <s v="ORD1509483"/>
    <s v="ITM020"/>
    <n v="4"/>
    <n v="636"/>
    <x v="21"/>
    <x v="1"/>
    <n v="48"/>
    <n v="192"/>
  </r>
  <r>
    <s v="ORD3571860"/>
    <s v="ITM019"/>
    <n v="1"/>
    <n v="149"/>
    <x v="11"/>
    <x v="1"/>
    <n v="45"/>
    <n v="45"/>
  </r>
  <r>
    <s v="ORD2057136"/>
    <s v="ITM006"/>
    <n v="2"/>
    <n v="178"/>
    <x v="3"/>
    <x v="3"/>
    <n v="27"/>
    <n v="54"/>
  </r>
  <r>
    <s v="ORD2057136"/>
    <s v="ITM008"/>
    <n v="5"/>
    <n v="495"/>
    <x v="9"/>
    <x v="2"/>
    <n v="30"/>
    <n v="150"/>
  </r>
  <r>
    <s v="ORD2057136"/>
    <s v="ITM020"/>
    <n v="1"/>
    <n v="159"/>
    <x v="21"/>
    <x v="1"/>
    <n v="48"/>
    <n v="48"/>
  </r>
  <r>
    <s v="ORD8303868"/>
    <s v="ITM007"/>
    <n v="1"/>
    <n v="79"/>
    <x v="19"/>
    <x v="2"/>
    <n v="24"/>
    <n v="24"/>
  </r>
  <r>
    <s v="ORD8303868"/>
    <s v="ITM023"/>
    <n v="2"/>
    <n v="278"/>
    <x v="18"/>
    <x v="1"/>
    <n v="42"/>
    <n v="84"/>
  </r>
  <r>
    <s v="ORD8303868"/>
    <s v="ITM002"/>
    <n v="2"/>
    <n v="198"/>
    <x v="12"/>
    <x v="5"/>
    <n v="30"/>
    <n v="60"/>
  </r>
  <r>
    <s v="ORD8303868"/>
    <s v="ITM015"/>
    <n v="2"/>
    <n v="298"/>
    <x v="1"/>
    <x v="1"/>
    <n v="45"/>
    <n v="90"/>
  </r>
  <r>
    <s v="ORD6818132"/>
    <s v="ITM014"/>
    <n v="1"/>
    <n v="119"/>
    <x v="14"/>
    <x v="1"/>
    <n v="36"/>
    <n v="36"/>
  </r>
  <r>
    <s v="ORD6818132"/>
    <s v="ITM013"/>
    <n v="1"/>
    <n v="69"/>
    <x v="0"/>
    <x v="0"/>
    <n v="21"/>
    <n v="21"/>
  </r>
  <r>
    <s v="ORD3309241"/>
    <s v="ITM014"/>
    <n v="4"/>
    <n v="476"/>
    <x v="14"/>
    <x v="1"/>
    <n v="36"/>
    <n v="144"/>
  </r>
  <r>
    <s v="ORD3309241"/>
    <s v="ITM018"/>
    <n v="1"/>
    <n v="159"/>
    <x v="15"/>
    <x v="1"/>
    <n v="48"/>
    <n v="48"/>
  </r>
  <r>
    <s v="ORD3309241"/>
    <s v="ITM019"/>
    <n v="4"/>
    <n v="596"/>
    <x v="11"/>
    <x v="1"/>
    <n v="45"/>
    <n v="180"/>
  </r>
  <r>
    <s v="ORD3309241"/>
    <s v="ITM016"/>
    <n v="5"/>
    <n v="495"/>
    <x v="7"/>
    <x v="1"/>
    <n v="30"/>
    <n v="150"/>
  </r>
  <r>
    <s v="ORD4452965"/>
    <s v="ITM013"/>
    <n v="1"/>
    <n v="69"/>
    <x v="0"/>
    <x v="0"/>
    <n v="21"/>
    <n v="21"/>
  </r>
  <r>
    <s v="ORD3763239"/>
    <s v="ITM022"/>
    <n v="3"/>
    <n v="297"/>
    <x v="23"/>
    <x v="1"/>
    <n v="30"/>
    <n v="90"/>
  </r>
  <r>
    <s v="ORD3763239"/>
    <s v="ITM010"/>
    <n v="1"/>
    <n v="59"/>
    <x v="20"/>
    <x v="0"/>
    <n v="18"/>
    <n v="18"/>
  </r>
  <r>
    <s v="ORD3763239"/>
    <s v="ITM015"/>
    <n v="4"/>
    <n v="596"/>
    <x v="1"/>
    <x v="1"/>
    <n v="45"/>
    <n v="180"/>
  </r>
  <r>
    <s v="ORD2785542"/>
    <s v="ITM024"/>
    <n v="1"/>
    <n v="79"/>
    <x v="17"/>
    <x v="4"/>
    <n v="24"/>
    <n v="24"/>
  </r>
  <r>
    <s v="ORD2785542"/>
    <s v="ITM014"/>
    <n v="1"/>
    <n v="119"/>
    <x v="14"/>
    <x v="1"/>
    <n v="36"/>
    <n v="36"/>
  </r>
  <r>
    <s v="ORD2785542"/>
    <s v="ITM023"/>
    <n v="3"/>
    <n v="417"/>
    <x v="18"/>
    <x v="1"/>
    <n v="42"/>
    <n v="126"/>
  </r>
  <r>
    <s v="ORD7813560"/>
    <s v="ITM016"/>
    <n v="1"/>
    <n v="99"/>
    <x v="7"/>
    <x v="1"/>
    <n v="30"/>
    <n v="30"/>
  </r>
  <r>
    <s v="ORD7813560"/>
    <s v="ITM022"/>
    <n v="1"/>
    <n v="99"/>
    <x v="23"/>
    <x v="1"/>
    <n v="30"/>
    <n v="30"/>
  </r>
  <r>
    <s v="ORD7813560"/>
    <s v="ITM001"/>
    <n v="1"/>
    <n v="79"/>
    <x v="24"/>
    <x v="5"/>
    <n v="24"/>
    <n v="24"/>
  </r>
  <r>
    <s v="ORD7813560"/>
    <s v="ITM004"/>
    <n v="3"/>
    <n v="237"/>
    <x v="5"/>
    <x v="3"/>
    <n v="24"/>
    <n v="72"/>
  </r>
  <r>
    <s v="ORD6036779"/>
    <s v="ITM007"/>
    <n v="2"/>
    <n v="158"/>
    <x v="19"/>
    <x v="2"/>
    <n v="24"/>
    <n v="48"/>
  </r>
  <r>
    <s v="ORD6036779"/>
    <s v="ITM013"/>
    <n v="2"/>
    <n v="138"/>
    <x v="0"/>
    <x v="0"/>
    <n v="21"/>
    <n v="42"/>
  </r>
  <r>
    <s v="ORD5291312"/>
    <s v="ITM016"/>
    <n v="2"/>
    <n v="198"/>
    <x v="7"/>
    <x v="1"/>
    <n v="30"/>
    <n v="60"/>
  </r>
  <r>
    <s v="ORD5291312"/>
    <s v="ITM019"/>
    <n v="1"/>
    <n v="149"/>
    <x v="11"/>
    <x v="1"/>
    <n v="45"/>
    <n v="45"/>
  </r>
  <r>
    <s v="ORD5291312"/>
    <s v="ITM012"/>
    <n v="5"/>
    <n v="445"/>
    <x v="8"/>
    <x v="0"/>
    <n v="27"/>
    <n v="135"/>
  </r>
  <r>
    <s v="ORD5291312"/>
    <s v="ITM004"/>
    <n v="2"/>
    <n v="158"/>
    <x v="5"/>
    <x v="3"/>
    <n v="24"/>
    <n v="48"/>
  </r>
  <r>
    <s v="ORD2391916"/>
    <s v="ITM014"/>
    <n v="3"/>
    <n v="357"/>
    <x v="14"/>
    <x v="1"/>
    <n v="36"/>
    <n v="108"/>
  </r>
  <r>
    <s v="ORD2391916"/>
    <s v="ITM025"/>
    <n v="1"/>
    <n v="79"/>
    <x v="25"/>
    <x v="4"/>
    <n v="24"/>
    <n v="24"/>
  </r>
  <r>
    <s v="ORD2391916"/>
    <s v="ITM020"/>
    <n v="5"/>
    <n v="795"/>
    <x v="21"/>
    <x v="1"/>
    <n v="48"/>
    <n v="240"/>
  </r>
  <r>
    <s v="ORD1172703"/>
    <s v="ITM001"/>
    <n v="1"/>
    <n v="79"/>
    <x v="24"/>
    <x v="5"/>
    <n v="24"/>
    <n v="24"/>
  </r>
  <r>
    <s v="ORD1172703"/>
    <s v="ITM019"/>
    <n v="1"/>
    <n v="149"/>
    <x v="11"/>
    <x v="1"/>
    <n v="45"/>
    <n v="45"/>
  </r>
  <r>
    <s v="ORD1172703"/>
    <s v="ITM015"/>
    <n v="1"/>
    <n v="149"/>
    <x v="1"/>
    <x v="1"/>
    <n v="45"/>
    <n v="45"/>
  </r>
  <r>
    <s v="ORD9669396"/>
    <s v="ITM014"/>
    <n v="1"/>
    <n v="119"/>
    <x v="14"/>
    <x v="1"/>
    <n v="36"/>
    <n v="36"/>
  </r>
  <r>
    <s v="ORD9669396"/>
    <s v="ITM023"/>
    <n v="2"/>
    <n v="278"/>
    <x v="18"/>
    <x v="1"/>
    <n v="42"/>
    <n v="84"/>
  </r>
  <r>
    <s v="ORD1095504"/>
    <s v="ITM022"/>
    <n v="1"/>
    <n v="99"/>
    <x v="23"/>
    <x v="1"/>
    <n v="30"/>
    <n v="30"/>
  </r>
  <r>
    <s v="ORD1095504"/>
    <s v="ITM021"/>
    <n v="1"/>
    <n v="149"/>
    <x v="22"/>
    <x v="1"/>
    <n v="45"/>
    <n v="45"/>
  </r>
  <r>
    <s v="ORD1095504"/>
    <s v="ITM025"/>
    <n v="1"/>
    <n v="79"/>
    <x v="25"/>
    <x v="4"/>
    <n v="24"/>
    <n v="24"/>
  </r>
  <r>
    <s v="ORD2947659"/>
    <s v="ITM005"/>
    <n v="2"/>
    <n v="198"/>
    <x v="16"/>
    <x v="3"/>
    <n v="30"/>
    <n v="60"/>
  </r>
  <r>
    <s v="ORD2947659"/>
    <s v="ITM028"/>
    <n v="1"/>
    <n v="49"/>
    <x v="13"/>
    <x v="4"/>
    <n v="15"/>
    <n v="15"/>
  </r>
  <r>
    <s v="ORD7178852"/>
    <s v="ITM014"/>
    <n v="1"/>
    <n v="119"/>
    <x v="14"/>
    <x v="1"/>
    <n v="36"/>
    <n v="36"/>
  </r>
  <r>
    <s v="ORD8962894"/>
    <s v="ITM008"/>
    <n v="1"/>
    <n v="99"/>
    <x v="9"/>
    <x v="2"/>
    <n v="30"/>
    <n v="30"/>
  </r>
  <r>
    <s v="ORD8962894"/>
    <s v="ITM026"/>
    <n v="1"/>
    <n v="79"/>
    <x v="4"/>
    <x v="4"/>
    <n v="24"/>
    <n v="24"/>
  </r>
  <r>
    <s v="ORD2121034"/>
    <s v="ITM004"/>
    <n v="1"/>
    <n v="79"/>
    <x v="5"/>
    <x v="3"/>
    <n v="24"/>
    <n v="24"/>
  </r>
  <r>
    <s v="ORD2121034"/>
    <s v="ITM002"/>
    <n v="3"/>
    <n v="297"/>
    <x v="12"/>
    <x v="5"/>
    <n v="30"/>
    <n v="90"/>
  </r>
  <r>
    <s v="ORD2121034"/>
    <s v="ITM006"/>
    <n v="1"/>
    <n v="89"/>
    <x v="3"/>
    <x v="3"/>
    <n v="27"/>
    <n v="27"/>
  </r>
  <r>
    <s v="ORD1148604"/>
    <s v="ITM022"/>
    <n v="1"/>
    <n v="99"/>
    <x v="23"/>
    <x v="1"/>
    <n v="30"/>
    <n v="30"/>
  </r>
  <r>
    <s v="ORD1148604"/>
    <s v="ITM023"/>
    <n v="2"/>
    <n v="278"/>
    <x v="18"/>
    <x v="1"/>
    <n v="42"/>
    <n v="84"/>
  </r>
  <r>
    <s v="ORD1148604"/>
    <s v="ITM005"/>
    <n v="2"/>
    <n v="198"/>
    <x v="16"/>
    <x v="3"/>
    <n v="30"/>
    <n v="60"/>
  </r>
  <r>
    <s v="ORD1148604"/>
    <s v="ITM025"/>
    <n v="1"/>
    <n v="79"/>
    <x v="25"/>
    <x v="4"/>
    <n v="24"/>
    <n v="24"/>
  </r>
  <r>
    <s v="ORD9554163"/>
    <s v="ITM003"/>
    <n v="1"/>
    <n v="119"/>
    <x v="27"/>
    <x v="5"/>
    <n v="36"/>
    <n v="36"/>
  </r>
  <r>
    <s v="ORD9554163"/>
    <s v="ITM017"/>
    <n v="3"/>
    <n v="447"/>
    <x v="6"/>
    <x v="1"/>
    <n v="45"/>
    <n v="135"/>
  </r>
  <r>
    <s v="ORD9554163"/>
    <s v="ITM028"/>
    <n v="3"/>
    <n v="147"/>
    <x v="13"/>
    <x v="4"/>
    <n v="15"/>
    <n v="45"/>
  </r>
  <r>
    <s v="ORD9554163"/>
    <s v="ITM015"/>
    <n v="1"/>
    <n v="149"/>
    <x v="1"/>
    <x v="1"/>
    <n v="45"/>
    <n v="45"/>
  </r>
  <r>
    <s v="ORD7620773"/>
    <s v="ITM012"/>
    <n v="1"/>
    <n v="89"/>
    <x v="8"/>
    <x v="0"/>
    <n v="27"/>
    <n v="27"/>
  </r>
  <r>
    <s v="ORD7620773"/>
    <s v="ITM020"/>
    <n v="3"/>
    <n v="477"/>
    <x v="21"/>
    <x v="1"/>
    <n v="48"/>
    <n v="144"/>
  </r>
  <r>
    <s v="ORD3638806"/>
    <s v="ITM014"/>
    <n v="1"/>
    <n v="119"/>
    <x v="14"/>
    <x v="1"/>
    <n v="36"/>
    <n v="36"/>
  </r>
  <r>
    <s v="ORD3638806"/>
    <s v="ITM021"/>
    <n v="1"/>
    <n v="149"/>
    <x v="22"/>
    <x v="1"/>
    <n v="45"/>
    <n v="45"/>
  </r>
  <r>
    <s v="ORD3638806"/>
    <s v="ITM009"/>
    <n v="1"/>
    <n v="89"/>
    <x v="2"/>
    <x v="2"/>
    <n v="27"/>
    <n v="27"/>
  </r>
  <r>
    <s v="ORD6729127"/>
    <s v="ITM014"/>
    <n v="2"/>
    <n v="238"/>
    <x v="14"/>
    <x v="1"/>
    <n v="36"/>
    <n v="72"/>
  </r>
  <r>
    <s v="ORD6729127"/>
    <s v="ITM023"/>
    <n v="3"/>
    <n v="417"/>
    <x v="18"/>
    <x v="1"/>
    <n v="42"/>
    <n v="126"/>
  </r>
  <r>
    <s v="ORD6729127"/>
    <s v="ITM017"/>
    <n v="3"/>
    <n v="447"/>
    <x v="6"/>
    <x v="1"/>
    <n v="45"/>
    <n v="135"/>
  </r>
  <r>
    <s v="ORD6729127"/>
    <s v="ITM025"/>
    <n v="2"/>
    <n v="158"/>
    <x v="25"/>
    <x v="4"/>
    <n v="24"/>
    <n v="48"/>
  </r>
  <r>
    <s v="ORD9215392"/>
    <s v="ITM003"/>
    <n v="4"/>
    <n v="476"/>
    <x v="27"/>
    <x v="5"/>
    <n v="36"/>
    <n v="144"/>
  </r>
  <r>
    <s v="ORD9215392"/>
    <s v="ITM018"/>
    <n v="3"/>
    <n v="477"/>
    <x v="15"/>
    <x v="1"/>
    <n v="48"/>
    <n v="144"/>
  </r>
  <r>
    <s v="ORD6847081"/>
    <s v="ITM019"/>
    <n v="1"/>
    <n v="149"/>
    <x v="11"/>
    <x v="1"/>
    <n v="45"/>
    <n v="45"/>
  </r>
  <r>
    <s v="ORD6847081"/>
    <s v="ITM010"/>
    <n v="2"/>
    <n v="118"/>
    <x v="20"/>
    <x v="0"/>
    <n v="18"/>
    <n v="36"/>
  </r>
  <r>
    <s v="ORD4187101"/>
    <s v="ITM016"/>
    <n v="2"/>
    <n v="198"/>
    <x v="7"/>
    <x v="1"/>
    <n v="30"/>
    <n v="60"/>
  </r>
  <r>
    <s v="ORD4187101"/>
    <s v="ITM014"/>
    <n v="1"/>
    <n v="119"/>
    <x v="14"/>
    <x v="1"/>
    <n v="36"/>
    <n v="36"/>
  </r>
  <r>
    <s v="ORD4187101"/>
    <s v="ITM006"/>
    <n v="2"/>
    <n v="178"/>
    <x v="3"/>
    <x v="3"/>
    <n v="27"/>
    <n v="54"/>
  </r>
  <r>
    <s v="ORD9337532"/>
    <s v="ITM008"/>
    <n v="2"/>
    <n v="198"/>
    <x v="9"/>
    <x v="2"/>
    <n v="30"/>
    <n v="60"/>
  </r>
  <r>
    <s v="ORD9337532"/>
    <s v="ITM015"/>
    <n v="2"/>
    <n v="298"/>
    <x v="1"/>
    <x v="1"/>
    <n v="45"/>
    <n v="90"/>
  </r>
  <r>
    <s v="ORD1054812"/>
    <s v="ITM026"/>
    <n v="2"/>
    <n v="158"/>
    <x v="4"/>
    <x v="4"/>
    <n v="24"/>
    <n v="48"/>
  </r>
  <r>
    <s v="ORD8175737"/>
    <s v="ITM004"/>
    <n v="1"/>
    <n v="79"/>
    <x v="5"/>
    <x v="3"/>
    <n v="24"/>
    <n v="24"/>
  </r>
  <r>
    <s v="ORD8175737"/>
    <s v="ITM012"/>
    <n v="1"/>
    <n v="89"/>
    <x v="8"/>
    <x v="0"/>
    <n v="27"/>
    <n v="27"/>
  </r>
  <r>
    <s v="ORD8175737"/>
    <s v="ITM015"/>
    <n v="3"/>
    <n v="447"/>
    <x v="1"/>
    <x v="1"/>
    <n v="45"/>
    <n v="135"/>
  </r>
  <r>
    <s v="ORD8101189"/>
    <s v="ITM019"/>
    <n v="1"/>
    <n v="149"/>
    <x v="11"/>
    <x v="1"/>
    <n v="45"/>
    <n v="45"/>
  </r>
  <r>
    <s v="ORD5475083"/>
    <s v="ITM007"/>
    <n v="2"/>
    <n v="158"/>
    <x v="19"/>
    <x v="2"/>
    <n v="24"/>
    <n v="48"/>
  </r>
  <r>
    <s v="ORD5475083"/>
    <s v="ITM001"/>
    <n v="3"/>
    <n v="237"/>
    <x v="24"/>
    <x v="5"/>
    <n v="24"/>
    <n v="72"/>
  </r>
  <r>
    <s v="ORD2529708"/>
    <s v="ITM008"/>
    <n v="1"/>
    <n v="99"/>
    <x v="9"/>
    <x v="2"/>
    <n v="30"/>
    <n v="30"/>
  </r>
  <r>
    <s v="ORD2529708"/>
    <s v="ITM028"/>
    <n v="3"/>
    <n v="147"/>
    <x v="13"/>
    <x v="4"/>
    <n v="15"/>
    <n v="45"/>
  </r>
  <r>
    <s v="ORD2529708"/>
    <s v="ITM015"/>
    <n v="1"/>
    <n v="149"/>
    <x v="1"/>
    <x v="1"/>
    <n v="45"/>
    <n v="45"/>
  </r>
  <r>
    <s v="ORD6175674"/>
    <s v="ITM007"/>
    <n v="1"/>
    <n v="79"/>
    <x v="19"/>
    <x v="2"/>
    <n v="24"/>
    <n v="24"/>
  </r>
  <r>
    <s v="ORD6175674"/>
    <s v="ITM017"/>
    <n v="1"/>
    <n v="149"/>
    <x v="6"/>
    <x v="1"/>
    <n v="45"/>
    <n v="45"/>
  </r>
  <r>
    <s v="ORD6175674"/>
    <s v="ITM012"/>
    <n v="2"/>
    <n v="178"/>
    <x v="8"/>
    <x v="0"/>
    <n v="27"/>
    <n v="54"/>
  </r>
  <r>
    <s v="ORD5558760"/>
    <s v="ITM016"/>
    <n v="2"/>
    <n v="198"/>
    <x v="7"/>
    <x v="1"/>
    <n v="30"/>
    <n v="60"/>
  </r>
  <r>
    <s v="ORD5558760"/>
    <s v="ITM022"/>
    <n v="2"/>
    <n v="198"/>
    <x v="23"/>
    <x v="1"/>
    <n v="30"/>
    <n v="60"/>
  </r>
  <r>
    <s v="ORD5558760"/>
    <s v="ITM010"/>
    <n v="3"/>
    <n v="177"/>
    <x v="20"/>
    <x v="0"/>
    <n v="18"/>
    <n v="54"/>
  </r>
  <r>
    <s v="ORD5558760"/>
    <s v="ITM015"/>
    <n v="2"/>
    <n v="298"/>
    <x v="1"/>
    <x v="1"/>
    <n v="45"/>
    <n v="90"/>
  </r>
  <r>
    <s v="ORD7778101"/>
    <s v="ITM011"/>
    <n v="2"/>
    <n v="158"/>
    <x v="26"/>
    <x v="0"/>
    <n v="24"/>
    <n v="48"/>
  </r>
  <r>
    <s v="ORD7778101"/>
    <s v="ITM008"/>
    <n v="4"/>
    <n v="396"/>
    <x v="9"/>
    <x v="2"/>
    <n v="30"/>
    <n v="120"/>
  </r>
  <r>
    <s v="ORD2085401"/>
    <s v="ITM001"/>
    <n v="1"/>
    <n v="79"/>
    <x v="24"/>
    <x v="5"/>
    <n v="24"/>
    <n v="24"/>
  </r>
  <r>
    <s v="ORD2085401"/>
    <s v="ITM017"/>
    <n v="1"/>
    <n v="149"/>
    <x v="6"/>
    <x v="1"/>
    <n v="45"/>
    <n v="45"/>
  </r>
  <r>
    <s v="ORD2085401"/>
    <s v="ITM011"/>
    <n v="1"/>
    <n v="79"/>
    <x v="26"/>
    <x v="0"/>
    <n v="24"/>
    <n v="24"/>
  </r>
  <r>
    <s v="ORD9028413"/>
    <s v="ITM023"/>
    <n v="2"/>
    <n v="278"/>
    <x v="18"/>
    <x v="1"/>
    <n v="42"/>
    <n v="84"/>
  </r>
  <r>
    <s v="ORD9028413"/>
    <s v="ITM018"/>
    <n v="3"/>
    <n v="477"/>
    <x v="15"/>
    <x v="1"/>
    <n v="48"/>
    <n v="144"/>
  </r>
  <r>
    <s v="ORD2549825"/>
    <s v="ITM003"/>
    <n v="2"/>
    <n v="238"/>
    <x v="27"/>
    <x v="5"/>
    <n v="36"/>
    <n v="72"/>
  </r>
  <r>
    <s v="ORD2549825"/>
    <s v="ITM002"/>
    <n v="1"/>
    <n v="99"/>
    <x v="12"/>
    <x v="5"/>
    <n v="30"/>
    <n v="30"/>
  </r>
  <r>
    <s v="ORD2549825"/>
    <s v="ITM026"/>
    <n v="3"/>
    <n v="237"/>
    <x v="4"/>
    <x v="4"/>
    <n v="24"/>
    <n v="72"/>
  </r>
  <r>
    <s v="ORD2548050"/>
    <s v="ITM019"/>
    <n v="3"/>
    <n v="447"/>
    <x v="11"/>
    <x v="1"/>
    <n v="45"/>
    <n v="135"/>
  </r>
  <r>
    <s v="ORD3817334"/>
    <s v="ITM027"/>
    <n v="2"/>
    <n v="158"/>
    <x v="10"/>
    <x v="4"/>
    <n v="24"/>
    <n v="48"/>
  </r>
  <r>
    <s v="ORD7189628"/>
    <s v="ITM008"/>
    <n v="1"/>
    <n v="99"/>
    <x v="9"/>
    <x v="2"/>
    <n v="30"/>
    <n v="30"/>
  </r>
  <r>
    <s v="ORD7189628"/>
    <s v="ITM026"/>
    <n v="3"/>
    <n v="237"/>
    <x v="4"/>
    <x v="4"/>
    <n v="24"/>
    <n v="72"/>
  </r>
  <r>
    <s v="ORD3801816"/>
    <s v="ITM007"/>
    <n v="2"/>
    <n v="158"/>
    <x v="19"/>
    <x v="2"/>
    <n v="24"/>
    <n v="48"/>
  </r>
  <r>
    <s v="ORD3801816"/>
    <s v="ITM023"/>
    <n v="1"/>
    <n v="139"/>
    <x v="18"/>
    <x v="1"/>
    <n v="42"/>
    <n v="42"/>
  </r>
  <r>
    <s v="ORD1709232"/>
    <s v="ITM016"/>
    <n v="3"/>
    <n v="297"/>
    <x v="7"/>
    <x v="1"/>
    <n v="30"/>
    <n v="90"/>
  </r>
  <r>
    <s v="ORD1709232"/>
    <s v="ITM015"/>
    <n v="2"/>
    <n v="298"/>
    <x v="1"/>
    <x v="1"/>
    <n v="45"/>
    <n v="90"/>
  </r>
  <r>
    <s v="ORD1709232"/>
    <s v="ITM005"/>
    <n v="2"/>
    <n v="198"/>
    <x v="16"/>
    <x v="3"/>
    <n v="30"/>
    <n v="60"/>
  </r>
  <r>
    <s v="ORD1709232"/>
    <s v="ITM009"/>
    <n v="4"/>
    <n v="356"/>
    <x v="2"/>
    <x v="2"/>
    <n v="27"/>
    <n v="108"/>
  </r>
  <r>
    <s v="ORD7798104"/>
    <s v="ITM013"/>
    <n v="3"/>
    <n v="207"/>
    <x v="0"/>
    <x v="0"/>
    <n v="21"/>
    <n v="63"/>
  </r>
  <r>
    <s v="ORD7798104"/>
    <s v="ITM015"/>
    <n v="1"/>
    <n v="149"/>
    <x v="1"/>
    <x v="1"/>
    <n v="45"/>
    <n v="45"/>
  </r>
  <r>
    <s v="ORD6025077"/>
    <s v="ITM015"/>
    <n v="3"/>
    <n v="447"/>
    <x v="1"/>
    <x v="1"/>
    <n v="45"/>
    <n v="135"/>
  </r>
  <r>
    <s v="ORD3346211"/>
    <s v="ITM024"/>
    <n v="4"/>
    <n v="316"/>
    <x v="17"/>
    <x v="4"/>
    <n v="24"/>
    <n v="96"/>
  </r>
  <r>
    <s v="ORD3346211"/>
    <s v="ITM005"/>
    <n v="1"/>
    <n v="99"/>
    <x v="16"/>
    <x v="3"/>
    <n v="30"/>
    <n v="30"/>
  </r>
  <r>
    <s v="ORD1861447"/>
    <s v="ITM024"/>
    <n v="2"/>
    <n v="158"/>
    <x v="17"/>
    <x v="4"/>
    <n v="24"/>
    <n v="48"/>
  </r>
  <r>
    <s v="ORD1861447"/>
    <s v="ITM002"/>
    <n v="1"/>
    <n v="99"/>
    <x v="12"/>
    <x v="5"/>
    <n v="30"/>
    <n v="30"/>
  </r>
  <r>
    <s v="ORD1861447"/>
    <s v="ITM025"/>
    <n v="2"/>
    <n v="158"/>
    <x v="25"/>
    <x v="4"/>
    <n v="24"/>
    <n v="48"/>
  </r>
  <r>
    <s v="ORD1861447"/>
    <s v="ITM009"/>
    <n v="1"/>
    <n v="89"/>
    <x v="2"/>
    <x v="2"/>
    <n v="27"/>
    <n v="27"/>
  </r>
  <r>
    <s v="ORD9043979"/>
    <s v="ITM006"/>
    <n v="1"/>
    <n v="89"/>
    <x v="3"/>
    <x v="3"/>
    <n v="27"/>
    <n v="27"/>
  </r>
  <r>
    <s v="ORD9043979"/>
    <s v="ITM025"/>
    <n v="5"/>
    <n v="395"/>
    <x v="25"/>
    <x v="4"/>
    <n v="24"/>
    <n v="120"/>
  </r>
  <r>
    <s v="ORD1404999"/>
    <s v="ITM022"/>
    <n v="2"/>
    <n v="198"/>
    <x v="23"/>
    <x v="1"/>
    <n v="30"/>
    <n v="60"/>
  </r>
  <r>
    <s v="ORD1404999"/>
    <s v="ITM014"/>
    <n v="1"/>
    <n v="119"/>
    <x v="14"/>
    <x v="1"/>
    <n v="36"/>
    <n v="36"/>
  </r>
  <r>
    <s v="ORD9488394"/>
    <s v="ITM022"/>
    <n v="3"/>
    <n v="297"/>
    <x v="23"/>
    <x v="1"/>
    <n v="30"/>
    <n v="90"/>
  </r>
  <r>
    <s v="ORD9488394"/>
    <s v="ITM005"/>
    <n v="2"/>
    <n v="198"/>
    <x v="16"/>
    <x v="3"/>
    <n v="30"/>
    <n v="60"/>
  </r>
  <r>
    <s v="ORD9488394"/>
    <s v="ITM010"/>
    <n v="1"/>
    <n v="59"/>
    <x v="20"/>
    <x v="0"/>
    <n v="18"/>
    <n v="18"/>
  </r>
  <r>
    <s v="ORD9488394"/>
    <s v="ITM020"/>
    <n v="3"/>
    <n v="477"/>
    <x v="21"/>
    <x v="1"/>
    <n v="48"/>
    <n v="144"/>
  </r>
  <r>
    <s v="ORD1203251"/>
    <s v="ITM017"/>
    <n v="3"/>
    <n v="447"/>
    <x v="6"/>
    <x v="1"/>
    <n v="45"/>
    <n v="135"/>
  </r>
  <r>
    <s v="ORD1203251"/>
    <s v="ITM013"/>
    <n v="1"/>
    <n v="69"/>
    <x v="0"/>
    <x v="0"/>
    <n v="21"/>
    <n v="21"/>
  </r>
  <r>
    <s v="ORD5454479"/>
    <s v="ITM007"/>
    <n v="2"/>
    <n v="158"/>
    <x v="19"/>
    <x v="2"/>
    <n v="24"/>
    <n v="48"/>
  </r>
  <r>
    <s v="ORD5454479"/>
    <s v="ITM005"/>
    <n v="1"/>
    <n v="99"/>
    <x v="16"/>
    <x v="3"/>
    <n v="30"/>
    <n v="30"/>
  </r>
  <r>
    <s v="ORD5454479"/>
    <s v="ITM025"/>
    <n v="2"/>
    <n v="158"/>
    <x v="25"/>
    <x v="4"/>
    <n v="24"/>
    <n v="48"/>
  </r>
  <r>
    <s v="ORD5329920"/>
    <s v="ITM024"/>
    <n v="2"/>
    <n v="158"/>
    <x v="17"/>
    <x v="4"/>
    <n v="24"/>
    <n v="48"/>
  </r>
  <r>
    <s v="ORD5329920"/>
    <s v="ITM022"/>
    <n v="2"/>
    <n v="198"/>
    <x v="23"/>
    <x v="1"/>
    <n v="30"/>
    <n v="60"/>
  </r>
  <r>
    <s v="ORD5329920"/>
    <s v="ITM010"/>
    <n v="2"/>
    <n v="118"/>
    <x v="20"/>
    <x v="0"/>
    <n v="18"/>
    <n v="36"/>
  </r>
  <r>
    <s v="ORD1372876"/>
    <s v="ITM010"/>
    <n v="2"/>
    <n v="118"/>
    <x v="20"/>
    <x v="0"/>
    <n v="18"/>
    <n v="36"/>
  </r>
  <r>
    <s v="ORD1372876"/>
    <s v="ITM015"/>
    <n v="2"/>
    <n v="298"/>
    <x v="1"/>
    <x v="1"/>
    <n v="45"/>
    <n v="90"/>
  </r>
  <r>
    <s v="ORD4751808"/>
    <s v="ITM019"/>
    <n v="2"/>
    <n v="298"/>
    <x v="11"/>
    <x v="1"/>
    <n v="45"/>
    <n v="90"/>
  </r>
  <r>
    <s v="ORD4751808"/>
    <s v="ITM008"/>
    <n v="1"/>
    <n v="99"/>
    <x v="9"/>
    <x v="2"/>
    <n v="30"/>
    <n v="30"/>
  </r>
  <r>
    <s v="ORD4751808"/>
    <s v="ITM025"/>
    <n v="1"/>
    <n v="79"/>
    <x v="25"/>
    <x v="4"/>
    <n v="24"/>
    <n v="24"/>
  </r>
  <r>
    <s v="ORD4751808"/>
    <s v="ITM026"/>
    <n v="2"/>
    <n v="158"/>
    <x v="4"/>
    <x v="4"/>
    <n v="24"/>
    <n v="48"/>
  </r>
  <r>
    <s v="ORD1954674"/>
    <s v="ITM014"/>
    <n v="5"/>
    <n v="595"/>
    <x v="14"/>
    <x v="1"/>
    <n v="36"/>
    <n v="180"/>
  </r>
  <r>
    <s v="ORD1954674"/>
    <s v="ITM013"/>
    <n v="1"/>
    <n v="69"/>
    <x v="0"/>
    <x v="0"/>
    <n v="21"/>
    <n v="21"/>
  </r>
  <r>
    <s v="ORD7800102"/>
    <s v="ITM018"/>
    <n v="1"/>
    <n v="159"/>
    <x v="15"/>
    <x v="1"/>
    <n v="48"/>
    <n v="48"/>
  </r>
  <r>
    <s v="ORD7800102"/>
    <s v="ITM005"/>
    <n v="1"/>
    <n v="99"/>
    <x v="16"/>
    <x v="3"/>
    <n v="30"/>
    <n v="30"/>
  </r>
  <r>
    <s v="ORD7800102"/>
    <s v="ITM009"/>
    <n v="1"/>
    <n v="89"/>
    <x v="2"/>
    <x v="2"/>
    <n v="27"/>
    <n v="27"/>
  </r>
  <r>
    <s v="ORD3548252"/>
    <s v="ITM006"/>
    <n v="1"/>
    <n v="89"/>
    <x v="3"/>
    <x v="3"/>
    <n v="27"/>
    <n v="27"/>
  </r>
  <r>
    <s v="ORD3771957"/>
    <s v="ITM017"/>
    <n v="5"/>
    <n v="745"/>
    <x v="6"/>
    <x v="1"/>
    <n v="45"/>
    <n v="225"/>
  </r>
  <r>
    <s v="ORD3771957"/>
    <s v="ITM002"/>
    <n v="2"/>
    <n v="198"/>
    <x v="12"/>
    <x v="5"/>
    <n v="30"/>
    <n v="60"/>
  </r>
  <r>
    <s v="ORD5889357"/>
    <s v="ITM014"/>
    <n v="3"/>
    <n v="357"/>
    <x v="14"/>
    <x v="1"/>
    <n v="36"/>
    <n v="108"/>
  </r>
  <r>
    <s v="ORD5889357"/>
    <s v="ITM003"/>
    <n v="1"/>
    <n v="119"/>
    <x v="27"/>
    <x v="5"/>
    <n v="36"/>
    <n v="36"/>
  </r>
  <r>
    <s v="ORD5889357"/>
    <s v="ITM018"/>
    <n v="3"/>
    <n v="477"/>
    <x v="15"/>
    <x v="1"/>
    <n v="48"/>
    <n v="144"/>
  </r>
  <r>
    <s v="ORD5889357"/>
    <s v="ITM005"/>
    <n v="2"/>
    <n v="198"/>
    <x v="16"/>
    <x v="3"/>
    <n v="30"/>
    <n v="60"/>
  </r>
  <r>
    <s v="ORD8929924"/>
    <s v="ITM009"/>
    <n v="2"/>
    <n v="178"/>
    <x v="2"/>
    <x v="2"/>
    <n v="27"/>
    <n v="54"/>
  </r>
  <r>
    <s v="ORD8929924"/>
    <s v="ITM015"/>
    <n v="1"/>
    <n v="149"/>
    <x v="1"/>
    <x v="1"/>
    <n v="45"/>
    <n v="45"/>
  </r>
  <r>
    <s v="ORD8739107"/>
    <s v="ITM023"/>
    <n v="1"/>
    <n v="139"/>
    <x v="18"/>
    <x v="1"/>
    <n v="42"/>
    <n v="42"/>
  </r>
  <r>
    <s v="ORD8739107"/>
    <s v="ITM002"/>
    <n v="5"/>
    <n v="495"/>
    <x v="12"/>
    <x v="5"/>
    <n v="30"/>
    <n v="150"/>
  </r>
  <r>
    <s v="ORD8303706"/>
    <s v="ITM018"/>
    <n v="2"/>
    <n v="318"/>
    <x v="15"/>
    <x v="1"/>
    <n v="48"/>
    <n v="96"/>
  </r>
  <r>
    <s v="ORD8303706"/>
    <s v="ITM026"/>
    <n v="2"/>
    <n v="158"/>
    <x v="4"/>
    <x v="4"/>
    <n v="24"/>
    <n v="48"/>
  </r>
  <r>
    <s v="ORD2108224"/>
    <s v="ITM023"/>
    <n v="1"/>
    <n v="139"/>
    <x v="18"/>
    <x v="1"/>
    <n v="42"/>
    <n v="42"/>
  </r>
  <r>
    <s v="ORD8543241"/>
    <s v="ITM027"/>
    <n v="3"/>
    <n v="237"/>
    <x v="10"/>
    <x v="4"/>
    <n v="24"/>
    <n v="72"/>
  </r>
  <r>
    <s v="ORD8543241"/>
    <s v="ITM021"/>
    <n v="3"/>
    <n v="447"/>
    <x v="22"/>
    <x v="1"/>
    <n v="45"/>
    <n v="135"/>
  </r>
  <r>
    <s v="ORD8543241"/>
    <s v="ITM019"/>
    <n v="1"/>
    <n v="149"/>
    <x v="11"/>
    <x v="1"/>
    <n v="45"/>
    <n v="45"/>
  </r>
  <r>
    <s v="ORD8543241"/>
    <s v="ITM020"/>
    <n v="3"/>
    <n v="477"/>
    <x v="21"/>
    <x v="1"/>
    <n v="48"/>
    <n v="144"/>
  </r>
  <r>
    <s v="ORD5026924"/>
    <s v="ITM027"/>
    <n v="1"/>
    <n v="79"/>
    <x v="10"/>
    <x v="4"/>
    <n v="24"/>
    <n v="24"/>
  </r>
  <r>
    <s v="ORD5026924"/>
    <s v="ITM025"/>
    <n v="3"/>
    <n v="237"/>
    <x v="25"/>
    <x v="4"/>
    <n v="24"/>
    <n v="72"/>
  </r>
  <r>
    <s v="ORD5026924"/>
    <s v="ITM020"/>
    <n v="2"/>
    <n v="318"/>
    <x v="21"/>
    <x v="1"/>
    <n v="48"/>
    <n v="96"/>
  </r>
  <r>
    <s v="ORD9406675"/>
    <s v="ITM019"/>
    <n v="3"/>
    <n v="447"/>
    <x v="11"/>
    <x v="1"/>
    <n v="45"/>
    <n v="135"/>
  </r>
  <r>
    <s v="ORD9406675"/>
    <s v="ITM010"/>
    <n v="2"/>
    <n v="118"/>
    <x v="20"/>
    <x v="0"/>
    <n v="18"/>
    <n v="36"/>
  </r>
  <r>
    <s v="ORD1661445"/>
    <s v="ITM014"/>
    <n v="1"/>
    <n v="119"/>
    <x v="14"/>
    <x v="1"/>
    <n v="36"/>
    <n v="36"/>
  </r>
  <r>
    <s v="ORD1661445"/>
    <s v="ITM017"/>
    <n v="1"/>
    <n v="149"/>
    <x v="6"/>
    <x v="1"/>
    <n v="45"/>
    <n v="45"/>
  </r>
  <r>
    <s v="ORD1661445"/>
    <s v="ITM028"/>
    <n v="2"/>
    <n v="98"/>
    <x v="13"/>
    <x v="4"/>
    <n v="15"/>
    <n v="30"/>
  </r>
  <r>
    <s v="ORD1661445"/>
    <s v="ITM009"/>
    <n v="5"/>
    <n v="445"/>
    <x v="2"/>
    <x v="2"/>
    <n v="27"/>
    <n v="135"/>
  </r>
  <r>
    <s v="ORD4874618"/>
    <s v="ITM007"/>
    <n v="3"/>
    <n v="237"/>
    <x v="19"/>
    <x v="2"/>
    <n v="24"/>
    <n v="72"/>
  </r>
  <r>
    <s v="ORD4874618"/>
    <s v="ITM024"/>
    <n v="2"/>
    <n v="158"/>
    <x v="17"/>
    <x v="4"/>
    <n v="24"/>
    <n v="48"/>
  </r>
  <r>
    <s v="ORD4874618"/>
    <s v="ITM023"/>
    <n v="2"/>
    <n v="278"/>
    <x v="18"/>
    <x v="1"/>
    <n v="42"/>
    <n v="84"/>
  </r>
  <r>
    <s v="ORD4874618"/>
    <s v="ITM008"/>
    <n v="1"/>
    <n v="99"/>
    <x v="9"/>
    <x v="2"/>
    <n v="30"/>
    <n v="30"/>
  </r>
  <r>
    <s v="ORD1801342"/>
    <s v="ITM016"/>
    <n v="2"/>
    <n v="198"/>
    <x v="7"/>
    <x v="1"/>
    <n v="30"/>
    <n v="60"/>
  </r>
  <r>
    <s v="ORD1801342"/>
    <s v="ITM022"/>
    <n v="4"/>
    <n v="396"/>
    <x v="23"/>
    <x v="1"/>
    <n v="30"/>
    <n v="120"/>
  </r>
  <r>
    <s v="ORD1801342"/>
    <s v="ITM008"/>
    <n v="3"/>
    <n v="297"/>
    <x v="9"/>
    <x v="2"/>
    <n v="30"/>
    <n v="90"/>
  </r>
  <r>
    <s v="ORD1801342"/>
    <s v="ITM013"/>
    <n v="2"/>
    <n v="138"/>
    <x v="0"/>
    <x v="0"/>
    <n v="21"/>
    <n v="42"/>
  </r>
  <r>
    <s v="ORD5824408"/>
    <s v="ITM020"/>
    <n v="2"/>
    <n v="318"/>
    <x v="21"/>
    <x v="1"/>
    <n v="48"/>
    <n v="96"/>
  </r>
  <r>
    <s v="ORD5824408"/>
    <s v="ITM006"/>
    <n v="1"/>
    <n v="89"/>
    <x v="3"/>
    <x v="3"/>
    <n v="27"/>
    <n v="27"/>
  </r>
  <r>
    <s v="ORD5824408"/>
    <s v="ITM025"/>
    <n v="1"/>
    <n v="79"/>
    <x v="25"/>
    <x v="4"/>
    <n v="24"/>
    <n v="24"/>
  </r>
  <r>
    <s v="ORD5824408"/>
    <s v="ITM012"/>
    <n v="1"/>
    <n v="89"/>
    <x v="8"/>
    <x v="0"/>
    <n v="27"/>
    <n v="27"/>
  </r>
  <r>
    <s v="ORD5904259"/>
    <s v="ITM006"/>
    <n v="1"/>
    <n v="89"/>
    <x v="3"/>
    <x v="3"/>
    <n v="27"/>
    <n v="27"/>
  </r>
  <r>
    <s v="ORD5904259"/>
    <s v="ITM025"/>
    <n v="1"/>
    <n v="79"/>
    <x v="25"/>
    <x v="4"/>
    <n v="24"/>
    <n v="24"/>
  </r>
  <r>
    <s v="ORD3610008"/>
    <s v="ITM001"/>
    <n v="4"/>
    <n v="316"/>
    <x v="24"/>
    <x v="5"/>
    <n v="24"/>
    <n v="96"/>
  </r>
  <r>
    <s v="ORD3610008"/>
    <s v="ITM021"/>
    <n v="5"/>
    <n v="745"/>
    <x v="22"/>
    <x v="1"/>
    <n v="45"/>
    <n v="225"/>
  </r>
  <r>
    <s v="ORD3610008"/>
    <s v="ITM007"/>
    <n v="1"/>
    <n v="79"/>
    <x v="19"/>
    <x v="2"/>
    <n v="24"/>
    <n v="24"/>
  </r>
  <r>
    <s v="ORD3610008"/>
    <s v="ITM022"/>
    <n v="2"/>
    <n v="198"/>
    <x v="23"/>
    <x v="1"/>
    <n v="30"/>
    <n v="60"/>
  </r>
  <r>
    <s v="ORD6977035"/>
    <s v="ITM006"/>
    <n v="4"/>
    <n v="356"/>
    <x v="3"/>
    <x v="3"/>
    <n v="27"/>
    <n v="108"/>
  </r>
  <r>
    <s v="ORD6977035"/>
    <s v="ITM012"/>
    <n v="2"/>
    <n v="178"/>
    <x v="8"/>
    <x v="0"/>
    <n v="27"/>
    <n v="54"/>
  </r>
  <r>
    <s v="ORD3690055"/>
    <s v="ITM016"/>
    <n v="1"/>
    <n v="99"/>
    <x v="7"/>
    <x v="1"/>
    <n v="30"/>
    <n v="30"/>
  </r>
  <r>
    <s v="ORD3690055"/>
    <s v="ITM018"/>
    <n v="3"/>
    <n v="477"/>
    <x v="15"/>
    <x v="1"/>
    <n v="48"/>
    <n v="144"/>
  </r>
  <r>
    <s v="ORD3690055"/>
    <s v="ITM025"/>
    <n v="3"/>
    <n v="237"/>
    <x v="25"/>
    <x v="4"/>
    <n v="24"/>
    <n v="72"/>
  </r>
  <r>
    <s v="ORD3690055"/>
    <s v="ITM015"/>
    <n v="1"/>
    <n v="149"/>
    <x v="1"/>
    <x v="1"/>
    <n v="45"/>
    <n v="45"/>
  </r>
  <r>
    <s v="ORD2122405"/>
    <s v="ITM016"/>
    <n v="1"/>
    <n v="99"/>
    <x v="7"/>
    <x v="1"/>
    <n v="30"/>
    <n v="30"/>
  </r>
  <r>
    <s v="ORD2122405"/>
    <s v="ITM021"/>
    <n v="1"/>
    <n v="149"/>
    <x v="22"/>
    <x v="1"/>
    <n v="45"/>
    <n v="45"/>
  </r>
  <r>
    <s v="ORD2122405"/>
    <s v="ITM014"/>
    <n v="4"/>
    <n v="476"/>
    <x v="14"/>
    <x v="1"/>
    <n v="36"/>
    <n v="144"/>
  </r>
  <r>
    <s v="ORD2122405"/>
    <s v="ITM026"/>
    <n v="1"/>
    <n v="79"/>
    <x v="4"/>
    <x v="4"/>
    <n v="24"/>
    <n v="24"/>
  </r>
  <r>
    <s v="ORD7971498"/>
    <s v="ITM003"/>
    <n v="2"/>
    <n v="238"/>
    <x v="27"/>
    <x v="5"/>
    <n v="36"/>
    <n v="72"/>
  </r>
  <r>
    <s v="ORD7971498"/>
    <s v="ITM023"/>
    <n v="1"/>
    <n v="139"/>
    <x v="18"/>
    <x v="1"/>
    <n v="42"/>
    <n v="42"/>
  </r>
  <r>
    <s v="ORD7971498"/>
    <s v="ITM017"/>
    <n v="1"/>
    <n v="149"/>
    <x v="6"/>
    <x v="1"/>
    <n v="45"/>
    <n v="45"/>
  </r>
  <r>
    <s v="ORD6319500"/>
    <s v="ITM022"/>
    <n v="3"/>
    <n v="297"/>
    <x v="23"/>
    <x v="1"/>
    <n v="30"/>
    <n v="90"/>
  </r>
  <r>
    <s v="ORD6319500"/>
    <s v="ITM009"/>
    <n v="1"/>
    <n v="89"/>
    <x v="2"/>
    <x v="2"/>
    <n v="27"/>
    <n v="27"/>
  </r>
  <r>
    <s v="ORD5708829"/>
    <s v="ITM011"/>
    <n v="3"/>
    <n v="237"/>
    <x v="26"/>
    <x v="0"/>
    <n v="24"/>
    <n v="72"/>
  </r>
  <r>
    <s v="ORD5708829"/>
    <s v="ITM027"/>
    <n v="1"/>
    <n v="79"/>
    <x v="10"/>
    <x v="4"/>
    <n v="24"/>
    <n v="24"/>
  </r>
  <r>
    <s v="ORD5708829"/>
    <s v="ITM028"/>
    <n v="1"/>
    <n v="49"/>
    <x v="13"/>
    <x v="4"/>
    <n v="15"/>
    <n v="15"/>
  </r>
  <r>
    <s v="ORD5708829"/>
    <s v="ITM015"/>
    <n v="1"/>
    <n v="149"/>
    <x v="1"/>
    <x v="1"/>
    <n v="45"/>
    <n v="45"/>
  </r>
  <r>
    <s v="ORD7082280"/>
    <s v="ITM008"/>
    <n v="1"/>
    <n v="99"/>
    <x v="9"/>
    <x v="2"/>
    <n v="30"/>
    <n v="30"/>
  </r>
  <r>
    <s v="ORD2336525"/>
    <s v="ITM016"/>
    <n v="1"/>
    <n v="99"/>
    <x v="7"/>
    <x v="1"/>
    <n v="30"/>
    <n v="30"/>
  </r>
  <r>
    <s v="ORD2336525"/>
    <s v="ITM023"/>
    <n v="1"/>
    <n v="139"/>
    <x v="18"/>
    <x v="1"/>
    <n v="42"/>
    <n v="42"/>
  </r>
  <r>
    <s v="ORD2336525"/>
    <s v="ITM019"/>
    <n v="4"/>
    <n v="596"/>
    <x v="11"/>
    <x v="1"/>
    <n v="45"/>
    <n v="180"/>
  </r>
  <r>
    <s v="ORD2336525"/>
    <s v="ITM025"/>
    <n v="1"/>
    <n v="79"/>
    <x v="25"/>
    <x v="4"/>
    <n v="24"/>
    <n v="24"/>
  </r>
  <r>
    <s v="ORD1067267"/>
    <s v="ITM004"/>
    <n v="1"/>
    <n v="79"/>
    <x v="5"/>
    <x v="3"/>
    <n v="24"/>
    <n v="24"/>
  </r>
  <r>
    <s v="ORD1067267"/>
    <s v="ITM022"/>
    <n v="4"/>
    <n v="396"/>
    <x v="23"/>
    <x v="1"/>
    <n v="30"/>
    <n v="120"/>
  </r>
  <r>
    <s v="ORD1067267"/>
    <s v="ITM002"/>
    <n v="4"/>
    <n v="396"/>
    <x v="12"/>
    <x v="5"/>
    <n v="30"/>
    <n v="120"/>
  </r>
  <r>
    <s v="ORD1067267"/>
    <s v="ITM013"/>
    <n v="1"/>
    <n v="69"/>
    <x v="0"/>
    <x v="0"/>
    <n v="21"/>
    <n v="21"/>
  </r>
  <r>
    <s v="ORD4664443"/>
    <s v="ITM027"/>
    <n v="2"/>
    <n v="158"/>
    <x v="10"/>
    <x v="4"/>
    <n v="24"/>
    <n v="48"/>
  </r>
  <r>
    <s v="ORD4664443"/>
    <s v="ITM023"/>
    <n v="5"/>
    <n v="695"/>
    <x v="18"/>
    <x v="1"/>
    <n v="42"/>
    <n v="210"/>
  </r>
  <r>
    <s v="ORD4991496"/>
    <s v="ITM018"/>
    <n v="3"/>
    <n v="477"/>
    <x v="15"/>
    <x v="1"/>
    <n v="48"/>
    <n v="144"/>
  </r>
  <r>
    <s v="ORD4991496"/>
    <s v="ITM012"/>
    <n v="1"/>
    <n v="89"/>
    <x v="8"/>
    <x v="0"/>
    <n v="27"/>
    <n v="27"/>
  </r>
  <r>
    <s v="ORD3091259"/>
    <s v="ITM001"/>
    <n v="1"/>
    <n v="79"/>
    <x v="24"/>
    <x v="5"/>
    <n v="24"/>
    <n v="24"/>
  </r>
  <r>
    <s v="ORD3091259"/>
    <s v="ITM017"/>
    <n v="2"/>
    <n v="298"/>
    <x v="6"/>
    <x v="1"/>
    <n v="45"/>
    <n v="90"/>
  </r>
  <r>
    <s v="ORD5173838"/>
    <s v="ITM007"/>
    <n v="1"/>
    <n v="79"/>
    <x v="19"/>
    <x v="2"/>
    <n v="24"/>
    <n v="24"/>
  </r>
  <r>
    <s v="ORD5173838"/>
    <s v="ITM002"/>
    <n v="1"/>
    <n v="99"/>
    <x v="12"/>
    <x v="5"/>
    <n v="30"/>
    <n v="30"/>
  </r>
  <r>
    <s v="ORD5173838"/>
    <s v="ITM008"/>
    <n v="5"/>
    <n v="495"/>
    <x v="9"/>
    <x v="2"/>
    <n v="30"/>
    <n v="150"/>
  </r>
  <r>
    <s v="ORD1230853"/>
    <s v="ITM006"/>
    <n v="1"/>
    <n v="89"/>
    <x v="3"/>
    <x v="3"/>
    <n v="27"/>
    <n v="27"/>
  </r>
  <r>
    <s v="ORD5614818"/>
    <s v="ITM023"/>
    <n v="1"/>
    <n v="139"/>
    <x v="18"/>
    <x v="1"/>
    <n v="42"/>
    <n v="42"/>
  </r>
  <r>
    <s v="ORD5614818"/>
    <s v="ITM005"/>
    <n v="2"/>
    <n v="198"/>
    <x v="16"/>
    <x v="3"/>
    <n v="30"/>
    <n v="60"/>
  </r>
  <r>
    <s v="ORD5614818"/>
    <s v="ITM012"/>
    <n v="4"/>
    <n v="356"/>
    <x v="8"/>
    <x v="0"/>
    <n v="27"/>
    <n v="108"/>
  </r>
  <r>
    <s v="ORD3660952"/>
    <s v="ITM016"/>
    <n v="1"/>
    <n v="99"/>
    <x v="7"/>
    <x v="1"/>
    <n v="30"/>
    <n v="30"/>
  </r>
  <r>
    <s v="ORD3660952"/>
    <s v="ITM021"/>
    <n v="1"/>
    <n v="149"/>
    <x v="22"/>
    <x v="1"/>
    <n v="45"/>
    <n v="45"/>
  </r>
  <r>
    <s v="ORD3660952"/>
    <s v="ITM023"/>
    <n v="1"/>
    <n v="139"/>
    <x v="18"/>
    <x v="1"/>
    <n v="42"/>
    <n v="42"/>
  </r>
  <r>
    <s v="ORD8624054"/>
    <s v="ITM007"/>
    <n v="3"/>
    <n v="237"/>
    <x v="19"/>
    <x v="2"/>
    <n v="24"/>
    <n v="72"/>
  </r>
  <r>
    <s v="ORD8624054"/>
    <s v="ITM006"/>
    <n v="3"/>
    <n v="267"/>
    <x v="3"/>
    <x v="3"/>
    <n v="27"/>
    <n v="81"/>
  </r>
  <r>
    <s v="ORD4932931"/>
    <s v="ITM016"/>
    <n v="2"/>
    <n v="198"/>
    <x v="7"/>
    <x v="1"/>
    <n v="30"/>
    <n v="60"/>
  </r>
  <r>
    <s v="ORD4932931"/>
    <s v="ITM028"/>
    <n v="1"/>
    <n v="49"/>
    <x v="13"/>
    <x v="4"/>
    <n v="15"/>
    <n v="15"/>
  </r>
  <r>
    <s v="ORD9665105"/>
    <s v="ITM001"/>
    <n v="1"/>
    <n v="79"/>
    <x v="24"/>
    <x v="5"/>
    <n v="24"/>
    <n v="24"/>
  </r>
  <r>
    <s v="ORD9665105"/>
    <s v="ITM024"/>
    <n v="1"/>
    <n v="79"/>
    <x v="17"/>
    <x v="4"/>
    <n v="24"/>
    <n v="24"/>
  </r>
  <r>
    <s v="ORD9665105"/>
    <s v="ITM017"/>
    <n v="3"/>
    <n v="447"/>
    <x v="6"/>
    <x v="1"/>
    <n v="45"/>
    <n v="135"/>
  </r>
  <r>
    <s v="ORD4069345"/>
    <s v="ITM001"/>
    <n v="2"/>
    <n v="158"/>
    <x v="24"/>
    <x v="5"/>
    <n v="24"/>
    <n v="48"/>
  </r>
  <r>
    <s v="ORD4069345"/>
    <s v="ITM027"/>
    <n v="2"/>
    <n v="158"/>
    <x v="10"/>
    <x v="4"/>
    <n v="24"/>
    <n v="48"/>
  </r>
  <r>
    <s v="ORD4069345"/>
    <s v="ITM019"/>
    <n v="1"/>
    <n v="149"/>
    <x v="11"/>
    <x v="1"/>
    <n v="45"/>
    <n v="45"/>
  </r>
  <r>
    <s v="ORD4069345"/>
    <s v="ITM010"/>
    <n v="1"/>
    <n v="59"/>
    <x v="20"/>
    <x v="0"/>
    <n v="18"/>
    <n v="18"/>
  </r>
  <r>
    <s v="ORD7743663"/>
    <s v="ITM011"/>
    <n v="4"/>
    <n v="316"/>
    <x v="26"/>
    <x v="0"/>
    <n v="24"/>
    <n v="96"/>
  </r>
  <r>
    <s v="ORD7743663"/>
    <s v="ITM018"/>
    <n v="1"/>
    <n v="159"/>
    <x v="15"/>
    <x v="1"/>
    <n v="48"/>
    <n v="48"/>
  </r>
  <r>
    <s v="ORD7743663"/>
    <s v="ITM012"/>
    <n v="3"/>
    <n v="267"/>
    <x v="8"/>
    <x v="0"/>
    <n v="27"/>
    <n v="81"/>
  </r>
  <r>
    <s v="ORD1275672"/>
    <s v="ITM024"/>
    <n v="1"/>
    <n v="79"/>
    <x v="17"/>
    <x v="4"/>
    <n v="24"/>
    <n v="24"/>
  </r>
  <r>
    <s v="ORD8403469"/>
    <s v="ITM007"/>
    <n v="1"/>
    <n v="79"/>
    <x v="19"/>
    <x v="2"/>
    <n v="24"/>
    <n v="24"/>
  </r>
  <r>
    <s v="ORD8403469"/>
    <s v="ITM011"/>
    <n v="1"/>
    <n v="79"/>
    <x v="26"/>
    <x v="0"/>
    <n v="24"/>
    <n v="24"/>
  </r>
  <r>
    <s v="ORD2568383"/>
    <s v="ITM004"/>
    <n v="3"/>
    <n v="237"/>
    <x v="5"/>
    <x v="3"/>
    <n v="24"/>
    <n v="72"/>
  </r>
  <r>
    <s v="ORD2568383"/>
    <s v="ITM018"/>
    <n v="4"/>
    <n v="636"/>
    <x v="15"/>
    <x v="1"/>
    <n v="48"/>
    <n v="192"/>
  </r>
  <r>
    <s v="ORD2568383"/>
    <s v="ITM017"/>
    <n v="1"/>
    <n v="149"/>
    <x v="6"/>
    <x v="1"/>
    <n v="45"/>
    <n v="45"/>
  </r>
  <r>
    <s v="ORD2568383"/>
    <s v="ITM008"/>
    <n v="2"/>
    <n v="198"/>
    <x v="9"/>
    <x v="2"/>
    <n v="30"/>
    <n v="60"/>
  </r>
  <r>
    <s v="ORD4629894"/>
    <s v="ITM004"/>
    <n v="1"/>
    <n v="79"/>
    <x v="5"/>
    <x v="3"/>
    <n v="24"/>
    <n v="24"/>
  </r>
  <r>
    <s v="ORD4629894"/>
    <s v="ITM007"/>
    <n v="2"/>
    <n v="158"/>
    <x v="19"/>
    <x v="2"/>
    <n v="24"/>
    <n v="48"/>
  </r>
  <r>
    <s v="ORD4629894"/>
    <s v="ITM017"/>
    <n v="4"/>
    <n v="596"/>
    <x v="6"/>
    <x v="1"/>
    <n v="45"/>
    <n v="180"/>
  </r>
  <r>
    <s v="ORD4629894"/>
    <s v="ITM015"/>
    <n v="3"/>
    <n v="447"/>
    <x v="1"/>
    <x v="1"/>
    <n v="45"/>
    <n v="135"/>
  </r>
  <r>
    <s v="ORD4230362"/>
    <s v="ITM007"/>
    <n v="1"/>
    <n v="79"/>
    <x v="19"/>
    <x v="2"/>
    <n v="24"/>
    <n v="24"/>
  </r>
  <r>
    <s v="ORD4230362"/>
    <s v="ITM022"/>
    <n v="1"/>
    <n v="99"/>
    <x v="23"/>
    <x v="1"/>
    <n v="30"/>
    <n v="30"/>
  </r>
  <r>
    <s v="ORD4230362"/>
    <s v="ITM002"/>
    <n v="1"/>
    <n v="99"/>
    <x v="12"/>
    <x v="5"/>
    <n v="30"/>
    <n v="30"/>
  </r>
  <r>
    <s v="ORD4230362"/>
    <s v="ITM006"/>
    <n v="1"/>
    <n v="89"/>
    <x v="3"/>
    <x v="3"/>
    <n v="27"/>
    <n v="27"/>
  </r>
  <r>
    <s v="ORD6026347"/>
    <s v="ITM003"/>
    <n v="2"/>
    <n v="238"/>
    <x v="27"/>
    <x v="5"/>
    <n v="36"/>
    <n v="72"/>
  </r>
  <r>
    <s v="ORD6026347"/>
    <s v="ITM025"/>
    <n v="1"/>
    <n v="79"/>
    <x v="25"/>
    <x v="4"/>
    <n v="24"/>
    <n v="24"/>
  </r>
  <r>
    <s v="ORD4553165"/>
    <s v="ITM004"/>
    <n v="3"/>
    <n v="237"/>
    <x v="5"/>
    <x v="3"/>
    <n v="24"/>
    <n v="72"/>
  </r>
  <r>
    <s v="ORD4553165"/>
    <s v="ITM007"/>
    <n v="1"/>
    <n v="79"/>
    <x v="19"/>
    <x v="2"/>
    <n v="24"/>
    <n v="24"/>
  </r>
  <r>
    <s v="ORD6537308"/>
    <s v="ITM016"/>
    <n v="2"/>
    <n v="198"/>
    <x v="7"/>
    <x v="1"/>
    <n v="30"/>
    <n v="60"/>
  </r>
  <r>
    <s v="ORD6537308"/>
    <s v="ITM028"/>
    <n v="4"/>
    <n v="196"/>
    <x v="13"/>
    <x v="4"/>
    <n v="15"/>
    <n v="60"/>
  </r>
  <r>
    <s v="ORD1336009"/>
    <s v="ITM016"/>
    <n v="4"/>
    <n v="396"/>
    <x v="7"/>
    <x v="1"/>
    <n v="30"/>
    <n v="120"/>
  </r>
  <r>
    <s v="ORD1336009"/>
    <s v="ITM012"/>
    <n v="3"/>
    <n v="267"/>
    <x v="8"/>
    <x v="0"/>
    <n v="27"/>
    <n v="81"/>
  </r>
  <r>
    <s v="ORD2898591"/>
    <s v="ITM017"/>
    <n v="3"/>
    <n v="447"/>
    <x v="6"/>
    <x v="1"/>
    <n v="45"/>
    <n v="135"/>
  </r>
  <r>
    <s v="ORD2898591"/>
    <s v="ITM025"/>
    <n v="1"/>
    <n v="79"/>
    <x v="25"/>
    <x v="4"/>
    <n v="24"/>
    <n v="24"/>
  </r>
  <r>
    <s v="ORD2244415"/>
    <s v="ITM016"/>
    <n v="1"/>
    <n v="99"/>
    <x v="7"/>
    <x v="1"/>
    <n v="30"/>
    <n v="30"/>
  </r>
  <r>
    <s v="ORD2244415"/>
    <s v="ITM003"/>
    <n v="2"/>
    <n v="238"/>
    <x v="27"/>
    <x v="5"/>
    <n v="36"/>
    <n v="72"/>
  </r>
  <r>
    <s v="ORD2244415"/>
    <s v="ITM004"/>
    <n v="3"/>
    <n v="237"/>
    <x v="5"/>
    <x v="3"/>
    <n v="24"/>
    <n v="72"/>
  </r>
  <r>
    <s v="ORD3480045"/>
    <s v="ITM018"/>
    <n v="1"/>
    <n v="159"/>
    <x v="15"/>
    <x v="1"/>
    <n v="48"/>
    <n v="48"/>
  </r>
  <r>
    <s v="ORD3480045"/>
    <s v="ITM013"/>
    <n v="3"/>
    <n v="207"/>
    <x v="0"/>
    <x v="0"/>
    <n v="21"/>
    <n v="63"/>
  </r>
  <r>
    <s v="ORD1458383"/>
    <s v="ITM003"/>
    <n v="2"/>
    <n v="238"/>
    <x v="27"/>
    <x v="5"/>
    <n v="36"/>
    <n v="72"/>
  </r>
  <r>
    <s v="ORD1458383"/>
    <s v="ITM005"/>
    <n v="1"/>
    <n v="99"/>
    <x v="16"/>
    <x v="3"/>
    <n v="30"/>
    <n v="30"/>
  </r>
  <r>
    <s v="ORD1458383"/>
    <s v="ITM020"/>
    <n v="2"/>
    <n v="318"/>
    <x v="21"/>
    <x v="1"/>
    <n v="48"/>
    <n v="96"/>
  </r>
  <r>
    <s v="ORD1433544"/>
    <s v="ITM022"/>
    <n v="1"/>
    <n v="99"/>
    <x v="23"/>
    <x v="1"/>
    <n v="30"/>
    <n v="30"/>
  </r>
  <r>
    <s v="ORD1433544"/>
    <s v="ITM019"/>
    <n v="1"/>
    <n v="149"/>
    <x v="11"/>
    <x v="1"/>
    <n v="45"/>
    <n v="45"/>
  </r>
  <r>
    <s v="ORD1433544"/>
    <s v="ITM010"/>
    <n v="1"/>
    <n v="59"/>
    <x v="20"/>
    <x v="0"/>
    <n v="18"/>
    <n v="18"/>
  </r>
  <r>
    <s v="ORD1433544"/>
    <s v="ITM015"/>
    <n v="2"/>
    <n v="298"/>
    <x v="1"/>
    <x v="1"/>
    <n v="45"/>
    <n v="90"/>
  </r>
  <r>
    <s v="ORD3526267"/>
    <s v="ITM018"/>
    <n v="1"/>
    <n v="159"/>
    <x v="15"/>
    <x v="1"/>
    <n v="48"/>
    <n v="48"/>
  </r>
  <r>
    <s v="ORD3526267"/>
    <s v="ITM002"/>
    <n v="1"/>
    <n v="99"/>
    <x v="12"/>
    <x v="5"/>
    <n v="30"/>
    <n v="30"/>
  </r>
  <r>
    <s v="ORD3526267"/>
    <s v="ITM012"/>
    <n v="1"/>
    <n v="89"/>
    <x v="8"/>
    <x v="0"/>
    <n v="27"/>
    <n v="27"/>
  </r>
  <r>
    <s v="ORD3526267"/>
    <s v="ITM009"/>
    <n v="2"/>
    <n v="178"/>
    <x v="2"/>
    <x v="2"/>
    <n v="27"/>
    <n v="54"/>
  </r>
  <r>
    <s v="ORD9655209"/>
    <s v="ITM016"/>
    <n v="1"/>
    <n v="99"/>
    <x v="7"/>
    <x v="1"/>
    <n v="30"/>
    <n v="30"/>
  </r>
  <r>
    <s v="ORD9655209"/>
    <s v="ITM007"/>
    <n v="1"/>
    <n v="79"/>
    <x v="19"/>
    <x v="2"/>
    <n v="24"/>
    <n v="24"/>
  </r>
  <r>
    <s v="ORD9655209"/>
    <s v="ITM013"/>
    <n v="1"/>
    <n v="69"/>
    <x v="0"/>
    <x v="0"/>
    <n v="21"/>
    <n v="21"/>
  </r>
  <r>
    <s v="ORD1702514"/>
    <s v="ITM006"/>
    <n v="1"/>
    <n v="89"/>
    <x v="3"/>
    <x v="3"/>
    <n v="27"/>
    <n v="27"/>
  </r>
  <r>
    <s v="ORD1702514"/>
    <s v="ITM018"/>
    <n v="3"/>
    <n v="477"/>
    <x v="15"/>
    <x v="1"/>
    <n v="48"/>
    <n v="144"/>
  </r>
  <r>
    <s v="ORD1702514"/>
    <s v="ITM002"/>
    <n v="2"/>
    <n v="198"/>
    <x v="12"/>
    <x v="5"/>
    <n v="30"/>
    <n v="60"/>
  </r>
  <r>
    <s v="ORD9821826"/>
    <s v="ITM003"/>
    <n v="4"/>
    <n v="476"/>
    <x v="27"/>
    <x v="5"/>
    <n v="36"/>
    <n v="144"/>
  </r>
  <r>
    <s v="ORD9821826"/>
    <s v="ITM022"/>
    <n v="3"/>
    <n v="297"/>
    <x v="23"/>
    <x v="1"/>
    <n v="30"/>
    <n v="90"/>
  </r>
  <r>
    <s v="ORD5339621"/>
    <s v="ITM024"/>
    <n v="1"/>
    <n v="79"/>
    <x v="17"/>
    <x v="4"/>
    <n v="24"/>
    <n v="24"/>
  </r>
  <r>
    <s v="ORD5339621"/>
    <s v="ITM014"/>
    <n v="2"/>
    <n v="238"/>
    <x v="14"/>
    <x v="1"/>
    <n v="36"/>
    <n v="72"/>
  </r>
  <r>
    <s v="ORD5339621"/>
    <s v="ITM008"/>
    <n v="1"/>
    <n v="99"/>
    <x v="9"/>
    <x v="2"/>
    <n v="30"/>
    <n v="30"/>
  </r>
  <r>
    <s v="ORD5951813"/>
    <s v="ITM018"/>
    <n v="1"/>
    <n v="159"/>
    <x v="15"/>
    <x v="1"/>
    <n v="48"/>
    <n v="48"/>
  </r>
  <r>
    <s v="ORD5951813"/>
    <s v="ITM019"/>
    <n v="1"/>
    <n v="149"/>
    <x v="11"/>
    <x v="1"/>
    <n v="45"/>
    <n v="45"/>
  </r>
  <r>
    <s v="ORD5951813"/>
    <s v="ITM009"/>
    <n v="3"/>
    <n v="267"/>
    <x v="2"/>
    <x v="2"/>
    <n v="27"/>
    <n v="81"/>
  </r>
  <r>
    <s v="ORD5225340"/>
    <s v="ITM002"/>
    <n v="4"/>
    <n v="396"/>
    <x v="12"/>
    <x v="5"/>
    <n v="30"/>
    <n v="120"/>
  </r>
  <r>
    <s v="ORD5225340"/>
    <s v="ITM012"/>
    <n v="2"/>
    <n v="178"/>
    <x v="8"/>
    <x v="0"/>
    <n v="27"/>
    <n v="54"/>
  </r>
  <r>
    <s v="ORD7765901"/>
    <s v="ITM011"/>
    <n v="1"/>
    <n v="79"/>
    <x v="26"/>
    <x v="0"/>
    <n v="24"/>
    <n v="24"/>
  </r>
  <r>
    <s v="ORD7765901"/>
    <s v="ITM016"/>
    <n v="3"/>
    <n v="297"/>
    <x v="7"/>
    <x v="1"/>
    <n v="30"/>
    <n v="90"/>
  </r>
  <r>
    <s v="ORD7765901"/>
    <s v="ITM006"/>
    <n v="2"/>
    <n v="178"/>
    <x v="3"/>
    <x v="3"/>
    <n v="27"/>
    <n v="54"/>
  </r>
  <r>
    <s v="ORD9897879"/>
    <s v="ITM001"/>
    <n v="2"/>
    <n v="158"/>
    <x v="24"/>
    <x v="5"/>
    <n v="24"/>
    <n v="48"/>
  </r>
  <r>
    <s v="ORD9897879"/>
    <s v="ITM007"/>
    <n v="2"/>
    <n v="158"/>
    <x v="19"/>
    <x v="2"/>
    <n v="24"/>
    <n v="48"/>
  </r>
  <r>
    <s v="ORD9897879"/>
    <s v="ITM004"/>
    <n v="3"/>
    <n v="237"/>
    <x v="5"/>
    <x v="3"/>
    <n v="24"/>
    <n v="72"/>
  </r>
  <r>
    <s v="ORD6703062"/>
    <s v="ITM018"/>
    <n v="1"/>
    <n v="159"/>
    <x v="15"/>
    <x v="1"/>
    <n v="48"/>
    <n v="48"/>
  </r>
  <r>
    <s v="ORD6703062"/>
    <s v="ITM028"/>
    <n v="1"/>
    <n v="49"/>
    <x v="13"/>
    <x v="4"/>
    <n v="15"/>
    <n v="15"/>
  </r>
  <r>
    <s v="ORD6286061"/>
    <s v="ITM007"/>
    <n v="1"/>
    <n v="79"/>
    <x v="19"/>
    <x v="2"/>
    <n v="24"/>
    <n v="24"/>
  </r>
  <r>
    <s v="ORD6286061"/>
    <s v="ITM005"/>
    <n v="1"/>
    <n v="99"/>
    <x v="16"/>
    <x v="3"/>
    <n v="30"/>
    <n v="30"/>
  </r>
  <r>
    <s v="ORD4332271"/>
    <s v="ITM006"/>
    <n v="1"/>
    <n v="89"/>
    <x v="3"/>
    <x v="3"/>
    <n v="27"/>
    <n v="27"/>
  </r>
  <r>
    <s v="ORD4332271"/>
    <s v="ITM018"/>
    <n v="1"/>
    <n v="159"/>
    <x v="15"/>
    <x v="1"/>
    <n v="48"/>
    <n v="48"/>
  </r>
  <r>
    <s v="ORD4332271"/>
    <s v="ITM007"/>
    <n v="1"/>
    <n v="79"/>
    <x v="19"/>
    <x v="2"/>
    <n v="24"/>
    <n v="24"/>
  </r>
  <r>
    <s v="ORD9470588"/>
    <s v="ITM014"/>
    <n v="2"/>
    <n v="238"/>
    <x v="14"/>
    <x v="1"/>
    <n v="36"/>
    <n v="72"/>
  </r>
  <r>
    <s v="ORD9470588"/>
    <s v="ITM010"/>
    <n v="1"/>
    <n v="59"/>
    <x v="20"/>
    <x v="0"/>
    <n v="18"/>
    <n v="18"/>
  </r>
  <r>
    <s v="ORD9470588"/>
    <s v="ITM012"/>
    <n v="2"/>
    <n v="178"/>
    <x v="8"/>
    <x v="0"/>
    <n v="27"/>
    <n v="54"/>
  </r>
  <r>
    <s v="ORD1493220"/>
    <s v="ITM021"/>
    <n v="1"/>
    <n v="149"/>
    <x v="22"/>
    <x v="1"/>
    <n v="45"/>
    <n v="45"/>
  </r>
  <r>
    <s v="ORD9344176"/>
    <s v="ITM022"/>
    <n v="4"/>
    <n v="396"/>
    <x v="23"/>
    <x v="1"/>
    <n v="30"/>
    <n v="120"/>
  </r>
  <r>
    <s v="ORD9344176"/>
    <s v="ITM017"/>
    <n v="4"/>
    <n v="596"/>
    <x v="6"/>
    <x v="1"/>
    <n v="45"/>
    <n v="180"/>
  </r>
  <r>
    <s v="ORD9344176"/>
    <s v="ITM027"/>
    <n v="4"/>
    <n v="316"/>
    <x v="10"/>
    <x v="4"/>
    <n v="24"/>
    <n v="96"/>
  </r>
  <r>
    <s v="ORD6221536"/>
    <s v="ITM004"/>
    <n v="2"/>
    <n v="158"/>
    <x v="5"/>
    <x v="3"/>
    <n v="24"/>
    <n v="48"/>
  </r>
  <r>
    <s v="ORD6753751"/>
    <s v="ITM006"/>
    <n v="2"/>
    <n v="178"/>
    <x v="3"/>
    <x v="3"/>
    <n v="27"/>
    <n v="54"/>
  </r>
  <r>
    <s v="ORD6753751"/>
    <s v="ITM021"/>
    <n v="4"/>
    <n v="596"/>
    <x v="22"/>
    <x v="1"/>
    <n v="45"/>
    <n v="180"/>
  </r>
  <r>
    <s v="ORD6753751"/>
    <s v="ITM013"/>
    <n v="2"/>
    <n v="138"/>
    <x v="0"/>
    <x v="0"/>
    <n v="21"/>
    <n v="42"/>
  </r>
  <r>
    <s v="ORD5280661"/>
    <s v="ITM023"/>
    <n v="1"/>
    <n v="139"/>
    <x v="18"/>
    <x v="1"/>
    <n v="42"/>
    <n v="42"/>
  </r>
  <r>
    <s v="ORD5280661"/>
    <s v="ITM015"/>
    <n v="3"/>
    <n v="447"/>
    <x v="1"/>
    <x v="1"/>
    <n v="45"/>
    <n v="135"/>
  </r>
  <r>
    <s v="ORD5280661"/>
    <s v="ITM009"/>
    <n v="3"/>
    <n v="267"/>
    <x v="2"/>
    <x v="2"/>
    <n v="27"/>
    <n v="81"/>
  </r>
  <r>
    <s v="ORD1777764"/>
    <s v="ITM004"/>
    <n v="1"/>
    <n v="79"/>
    <x v="5"/>
    <x v="3"/>
    <n v="24"/>
    <n v="24"/>
  </r>
  <r>
    <s v="ORD1777764"/>
    <s v="ITM021"/>
    <n v="1"/>
    <n v="149"/>
    <x v="22"/>
    <x v="1"/>
    <n v="45"/>
    <n v="45"/>
  </r>
  <r>
    <s v="ORD1777764"/>
    <s v="ITM005"/>
    <n v="1"/>
    <n v="99"/>
    <x v="16"/>
    <x v="3"/>
    <n v="30"/>
    <n v="30"/>
  </r>
  <r>
    <s v="ORD1457506"/>
    <s v="ITM014"/>
    <n v="3"/>
    <n v="357"/>
    <x v="14"/>
    <x v="1"/>
    <n v="36"/>
    <n v="108"/>
  </r>
  <r>
    <s v="ORD1457506"/>
    <s v="ITM010"/>
    <n v="1"/>
    <n v="59"/>
    <x v="20"/>
    <x v="0"/>
    <n v="18"/>
    <n v="18"/>
  </r>
  <r>
    <s v="ORD4077006"/>
    <s v="ITM023"/>
    <n v="2"/>
    <n v="278"/>
    <x v="18"/>
    <x v="1"/>
    <n v="42"/>
    <n v="84"/>
  </r>
  <r>
    <s v="ORD4077006"/>
    <s v="ITM013"/>
    <n v="4"/>
    <n v="276"/>
    <x v="0"/>
    <x v="0"/>
    <n v="21"/>
    <n v="84"/>
  </r>
  <r>
    <s v="ORD4077006"/>
    <s v="ITM015"/>
    <n v="2"/>
    <n v="298"/>
    <x v="1"/>
    <x v="1"/>
    <n v="45"/>
    <n v="90"/>
  </r>
  <r>
    <s v="ORD1083198"/>
    <s v="ITM011"/>
    <n v="4"/>
    <n v="316"/>
    <x v="26"/>
    <x v="0"/>
    <n v="24"/>
    <n v="96"/>
  </r>
  <r>
    <s v="ORD1083198"/>
    <s v="ITM021"/>
    <n v="3"/>
    <n v="447"/>
    <x v="22"/>
    <x v="1"/>
    <n v="45"/>
    <n v="135"/>
  </r>
  <r>
    <s v="ORD1083198"/>
    <s v="ITM007"/>
    <n v="2"/>
    <n v="158"/>
    <x v="19"/>
    <x v="2"/>
    <n v="24"/>
    <n v="48"/>
  </r>
  <r>
    <s v="ORD1083198"/>
    <s v="ITM023"/>
    <n v="1"/>
    <n v="139"/>
    <x v="18"/>
    <x v="1"/>
    <n v="42"/>
    <n v="42"/>
  </r>
  <r>
    <s v="ORD8575481"/>
    <s v="ITM011"/>
    <n v="2"/>
    <n v="158"/>
    <x v="26"/>
    <x v="0"/>
    <n v="24"/>
    <n v="48"/>
  </r>
  <r>
    <s v="ORD8575481"/>
    <s v="ITM017"/>
    <n v="3"/>
    <n v="447"/>
    <x v="6"/>
    <x v="1"/>
    <n v="45"/>
    <n v="135"/>
  </r>
  <r>
    <s v="ORD8575481"/>
    <s v="ITM002"/>
    <n v="1"/>
    <n v="99"/>
    <x v="12"/>
    <x v="5"/>
    <n v="30"/>
    <n v="30"/>
  </r>
  <r>
    <s v="ORD8058810"/>
    <s v="ITM021"/>
    <n v="2"/>
    <n v="298"/>
    <x v="22"/>
    <x v="1"/>
    <n v="45"/>
    <n v="90"/>
  </r>
  <r>
    <s v="ORD8058810"/>
    <s v="ITM012"/>
    <n v="2"/>
    <n v="178"/>
    <x v="8"/>
    <x v="0"/>
    <n v="27"/>
    <n v="54"/>
  </r>
  <r>
    <s v="ORD8058810"/>
    <s v="ITM009"/>
    <n v="2"/>
    <n v="178"/>
    <x v="2"/>
    <x v="2"/>
    <n v="27"/>
    <n v="54"/>
  </r>
  <r>
    <s v="ORD3435733"/>
    <s v="ITM018"/>
    <n v="1"/>
    <n v="159"/>
    <x v="15"/>
    <x v="1"/>
    <n v="48"/>
    <n v="48"/>
  </r>
  <r>
    <s v="ORD3435733"/>
    <s v="ITM017"/>
    <n v="2"/>
    <n v="298"/>
    <x v="6"/>
    <x v="1"/>
    <n v="45"/>
    <n v="90"/>
  </r>
  <r>
    <s v="ORD4262346"/>
    <s v="ITM004"/>
    <n v="3"/>
    <n v="237"/>
    <x v="5"/>
    <x v="3"/>
    <n v="24"/>
    <n v="72"/>
  </r>
  <r>
    <s v="ORD4262346"/>
    <s v="ITM022"/>
    <n v="3"/>
    <n v="297"/>
    <x v="23"/>
    <x v="1"/>
    <n v="30"/>
    <n v="90"/>
  </r>
  <r>
    <s v="ORD4262346"/>
    <s v="ITM023"/>
    <n v="1"/>
    <n v="139"/>
    <x v="18"/>
    <x v="1"/>
    <n v="42"/>
    <n v="42"/>
  </r>
  <r>
    <s v="ORD4262346"/>
    <s v="ITM007"/>
    <n v="2"/>
    <n v="158"/>
    <x v="19"/>
    <x v="2"/>
    <n v="24"/>
    <n v="48"/>
  </r>
  <r>
    <s v="ORD2974957"/>
    <s v="ITM027"/>
    <n v="3"/>
    <n v="237"/>
    <x v="10"/>
    <x v="4"/>
    <n v="24"/>
    <n v="72"/>
  </r>
  <r>
    <s v="ORD2974957"/>
    <s v="ITM014"/>
    <n v="1"/>
    <n v="119"/>
    <x v="14"/>
    <x v="1"/>
    <n v="36"/>
    <n v="36"/>
  </r>
  <r>
    <s v="ORD2974957"/>
    <s v="ITM002"/>
    <n v="4"/>
    <n v="396"/>
    <x v="12"/>
    <x v="5"/>
    <n v="30"/>
    <n v="120"/>
  </r>
  <r>
    <s v="ORD5092999"/>
    <s v="ITM024"/>
    <n v="3"/>
    <n v="237"/>
    <x v="17"/>
    <x v="4"/>
    <n v="24"/>
    <n v="72"/>
  </r>
  <r>
    <s v="ORD5092999"/>
    <s v="ITM021"/>
    <n v="5"/>
    <n v="745"/>
    <x v="22"/>
    <x v="1"/>
    <n v="45"/>
    <n v="225"/>
  </r>
  <r>
    <s v="ORD8283798"/>
    <s v="ITM022"/>
    <n v="3"/>
    <n v="297"/>
    <x v="23"/>
    <x v="1"/>
    <n v="30"/>
    <n v="90"/>
  </r>
  <r>
    <s v="ORD7416175"/>
    <s v="ITM003"/>
    <n v="3"/>
    <n v="357"/>
    <x v="27"/>
    <x v="5"/>
    <n v="36"/>
    <n v="108"/>
  </r>
  <r>
    <s v="ORD7416175"/>
    <s v="ITM013"/>
    <n v="1"/>
    <n v="69"/>
    <x v="0"/>
    <x v="0"/>
    <n v="21"/>
    <n v="21"/>
  </r>
  <r>
    <s v="ORD9866836"/>
    <s v="ITM008"/>
    <n v="1"/>
    <n v="99"/>
    <x v="9"/>
    <x v="2"/>
    <n v="30"/>
    <n v="30"/>
  </r>
  <r>
    <s v="ORD9866836"/>
    <s v="ITM021"/>
    <n v="1"/>
    <n v="149"/>
    <x v="22"/>
    <x v="1"/>
    <n v="45"/>
    <n v="45"/>
  </r>
  <r>
    <s v="ORD9866836"/>
    <s v="ITM028"/>
    <n v="2"/>
    <n v="98"/>
    <x v="13"/>
    <x v="4"/>
    <n v="15"/>
    <n v="30"/>
  </r>
  <r>
    <s v="ORD1494157"/>
    <s v="ITM007"/>
    <n v="3"/>
    <n v="237"/>
    <x v="19"/>
    <x v="2"/>
    <n v="24"/>
    <n v="72"/>
  </r>
  <r>
    <s v="ORD1494157"/>
    <s v="ITM001"/>
    <n v="1"/>
    <n v="79"/>
    <x v="24"/>
    <x v="5"/>
    <n v="24"/>
    <n v="24"/>
  </r>
  <r>
    <s v="ORD7495927"/>
    <s v="ITM006"/>
    <n v="2"/>
    <n v="178"/>
    <x v="3"/>
    <x v="3"/>
    <n v="27"/>
    <n v="54"/>
  </r>
  <r>
    <s v="ORD7495927"/>
    <s v="ITM003"/>
    <n v="3"/>
    <n v="357"/>
    <x v="27"/>
    <x v="5"/>
    <n v="36"/>
    <n v="108"/>
  </r>
  <r>
    <s v="ORD2343929"/>
    <s v="ITM003"/>
    <n v="1"/>
    <n v="119"/>
    <x v="27"/>
    <x v="5"/>
    <n v="36"/>
    <n v="36"/>
  </r>
  <r>
    <s v="ORD2343929"/>
    <s v="ITM002"/>
    <n v="1"/>
    <n v="99"/>
    <x v="12"/>
    <x v="5"/>
    <n v="30"/>
    <n v="30"/>
  </r>
  <r>
    <s v="ORD2343929"/>
    <s v="ITM020"/>
    <n v="2"/>
    <n v="318"/>
    <x v="21"/>
    <x v="1"/>
    <n v="48"/>
    <n v="96"/>
  </r>
  <r>
    <s v="ORD7180073"/>
    <s v="ITM024"/>
    <n v="2"/>
    <n v="158"/>
    <x v="17"/>
    <x v="4"/>
    <n v="24"/>
    <n v="48"/>
  </r>
  <r>
    <s v="ORD7180073"/>
    <s v="ITM014"/>
    <n v="1"/>
    <n v="119"/>
    <x v="14"/>
    <x v="1"/>
    <n v="36"/>
    <n v="36"/>
  </r>
  <r>
    <s v="ORD7180073"/>
    <s v="ITM008"/>
    <n v="1"/>
    <n v="99"/>
    <x v="9"/>
    <x v="2"/>
    <n v="30"/>
    <n v="30"/>
  </r>
  <r>
    <s v="ORD6780597"/>
    <s v="ITM004"/>
    <n v="3"/>
    <n v="237"/>
    <x v="5"/>
    <x v="3"/>
    <n v="24"/>
    <n v="72"/>
  </r>
  <r>
    <s v="ORD6780597"/>
    <s v="ITM023"/>
    <n v="4"/>
    <n v="556"/>
    <x v="18"/>
    <x v="1"/>
    <n v="42"/>
    <n v="168"/>
  </r>
  <r>
    <s v="ORD6780597"/>
    <s v="ITM020"/>
    <n v="4"/>
    <n v="636"/>
    <x v="21"/>
    <x v="1"/>
    <n v="48"/>
    <n v="192"/>
  </r>
  <r>
    <s v="ORD7665233"/>
    <s v="ITM006"/>
    <n v="2"/>
    <n v="178"/>
    <x v="3"/>
    <x v="3"/>
    <n v="27"/>
    <n v="54"/>
  </r>
  <r>
    <s v="ORD7665233"/>
    <s v="ITM027"/>
    <n v="1"/>
    <n v="79"/>
    <x v="10"/>
    <x v="4"/>
    <n v="24"/>
    <n v="24"/>
  </r>
  <r>
    <s v="ORD7665233"/>
    <s v="ITM008"/>
    <n v="1"/>
    <n v="99"/>
    <x v="9"/>
    <x v="2"/>
    <n v="30"/>
    <n v="30"/>
  </r>
  <r>
    <s v="ORD2823906"/>
    <s v="ITM001"/>
    <n v="4"/>
    <n v="316"/>
    <x v="24"/>
    <x v="5"/>
    <n v="24"/>
    <n v="96"/>
  </r>
  <r>
    <s v="ORD2823906"/>
    <s v="ITM003"/>
    <n v="1"/>
    <n v="119"/>
    <x v="27"/>
    <x v="5"/>
    <n v="36"/>
    <n v="36"/>
  </r>
  <r>
    <s v="ORD2823906"/>
    <s v="ITM023"/>
    <n v="1"/>
    <n v="139"/>
    <x v="18"/>
    <x v="1"/>
    <n v="42"/>
    <n v="42"/>
  </r>
  <r>
    <s v="ORD6331060"/>
    <s v="ITM016"/>
    <n v="1"/>
    <n v="99"/>
    <x v="7"/>
    <x v="1"/>
    <n v="30"/>
    <n v="30"/>
  </r>
  <r>
    <s v="ORD6331060"/>
    <s v="ITM028"/>
    <n v="1"/>
    <n v="49"/>
    <x v="13"/>
    <x v="4"/>
    <n v="15"/>
    <n v="15"/>
  </r>
  <r>
    <s v="ORD3830208"/>
    <s v="ITM005"/>
    <n v="2"/>
    <n v="198"/>
    <x v="16"/>
    <x v="3"/>
    <n v="30"/>
    <n v="60"/>
  </r>
  <r>
    <s v="ORD3830208"/>
    <s v="ITM012"/>
    <n v="5"/>
    <n v="445"/>
    <x v="8"/>
    <x v="0"/>
    <n v="27"/>
    <n v="135"/>
  </r>
  <r>
    <s v="ORD2704824"/>
    <s v="ITM004"/>
    <n v="2"/>
    <n v="158"/>
    <x v="5"/>
    <x v="3"/>
    <n v="24"/>
    <n v="48"/>
  </r>
  <r>
    <s v="ORD2704824"/>
    <s v="ITM005"/>
    <n v="3"/>
    <n v="297"/>
    <x v="16"/>
    <x v="3"/>
    <n v="30"/>
    <n v="90"/>
  </r>
  <r>
    <s v="ORD9996681"/>
    <s v="ITM006"/>
    <n v="2"/>
    <n v="178"/>
    <x v="3"/>
    <x v="3"/>
    <n v="27"/>
    <n v="54"/>
  </r>
  <r>
    <s v="ORD8347263"/>
    <s v="ITM007"/>
    <n v="1"/>
    <n v="79"/>
    <x v="19"/>
    <x v="2"/>
    <n v="24"/>
    <n v="24"/>
  </r>
  <r>
    <s v="ORD8347263"/>
    <s v="ITM022"/>
    <n v="1"/>
    <n v="99"/>
    <x v="23"/>
    <x v="1"/>
    <n v="30"/>
    <n v="30"/>
  </r>
  <r>
    <s v="ORD8347263"/>
    <s v="ITM023"/>
    <n v="2"/>
    <n v="278"/>
    <x v="18"/>
    <x v="1"/>
    <n v="42"/>
    <n v="84"/>
  </r>
  <r>
    <s v="ORD1384511"/>
    <s v="ITM017"/>
    <n v="2"/>
    <n v="298"/>
    <x v="6"/>
    <x v="1"/>
    <n v="45"/>
    <n v="90"/>
  </r>
  <r>
    <s v="ORD1384511"/>
    <s v="ITM013"/>
    <n v="5"/>
    <n v="345"/>
    <x v="0"/>
    <x v="0"/>
    <n v="21"/>
    <n v="105"/>
  </r>
  <r>
    <s v="ORD1384511"/>
    <s v="ITM020"/>
    <n v="2"/>
    <n v="318"/>
    <x v="21"/>
    <x v="1"/>
    <n v="48"/>
    <n v="96"/>
  </r>
  <r>
    <s v="ORD3458603"/>
    <s v="ITM001"/>
    <n v="1"/>
    <n v="79"/>
    <x v="24"/>
    <x v="5"/>
    <n v="24"/>
    <n v="24"/>
  </r>
  <r>
    <s v="ORD3458603"/>
    <s v="ITM016"/>
    <n v="3"/>
    <n v="297"/>
    <x v="7"/>
    <x v="1"/>
    <n v="30"/>
    <n v="90"/>
  </r>
  <r>
    <s v="ORD7141140"/>
    <s v="ITM016"/>
    <n v="1"/>
    <n v="99"/>
    <x v="7"/>
    <x v="1"/>
    <n v="30"/>
    <n v="30"/>
  </r>
  <r>
    <s v="ORD7141140"/>
    <s v="ITM014"/>
    <n v="2"/>
    <n v="238"/>
    <x v="14"/>
    <x v="1"/>
    <n v="36"/>
    <n v="72"/>
  </r>
  <r>
    <s v="ORD7141140"/>
    <s v="ITM004"/>
    <n v="3"/>
    <n v="237"/>
    <x v="5"/>
    <x v="3"/>
    <n v="24"/>
    <n v="72"/>
  </r>
  <r>
    <s v="ORD8662586"/>
    <s v="ITM016"/>
    <n v="2"/>
    <n v="198"/>
    <x v="7"/>
    <x v="1"/>
    <n v="30"/>
    <n v="60"/>
  </r>
  <r>
    <s v="ORD8662586"/>
    <s v="ITM007"/>
    <n v="2"/>
    <n v="158"/>
    <x v="19"/>
    <x v="2"/>
    <n v="24"/>
    <n v="48"/>
  </r>
  <r>
    <s v="ORD8662586"/>
    <s v="ITM019"/>
    <n v="3"/>
    <n v="447"/>
    <x v="11"/>
    <x v="1"/>
    <n v="45"/>
    <n v="135"/>
  </r>
  <r>
    <s v="ORD4855388"/>
    <s v="ITM020"/>
    <n v="1"/>
    <n v="159"/>
    <x v="21"/>
    <x v="1"/>
    <n v="48"/>
    <n v="48"/>
  </r>
  <r>
    <s v="ORD9593384"/>
    <s v="ITM014"/>
    <n v="2"/>
    <n v="238"/>
    <x v="14"/>
    <x v="1"/>
    <n v="36"/>
    <n v="72"/>
  </r>
  <r>
    <s v="ORD9593384"/>
    <s v="ITM018"/>
    <n v="2"/>
    <n v="318"/>
    <x v="15"/>
    <x v="1"/>
    <n v="48"/>
    <n v="96"/>
  </r>
  <r>
    <s v="ORD9593384"/>
    <s v="ITM009"/>
    <n v="3"/>
    <n v="267"/>
    <x v="2"/>
    <x v="2"/>
    <n v="27"/>
    <n v="81"/>
  </r>
  <r>
    <s v="ORD7738624"/>
    <s v="ITM006"/>
    <n v="2"/>
    <n v="178"/>
    <x v="3"/>
    <x v="3"/>
    <n v="27"/>
    <n v="54"/>
  </r>
  <r>
    <s v="ORD7738624"/>
    <s v="ITM021"/>
    <n v="1"/>
    <n v="149"/>
    <x v="22"/>
    <x v="1"/>
    <n v="45"/>
    <n v="45"/>
  </r>
  <r>
    <s v="ORD8741107"/>
    <s v="ITM016"/>
    <n v="2"/>
    <n v="198"/>
    <x v="7"/>
    <x v="1"/>
    <n v="30"/>
    <n v="60"/>
  </r>
  <r>
    <s v="ORD8741107"/>
    <s v="ITM023"/>
    <n v="1"/>
    <n v="139"/>
    <x v="18"/>
    <x v="1"/>
    <n v="42"/>
    <n v="42"/>
  </r>
  <r>
    <s v="ORD8741107"/>
    <s v="ITM015"/>
    <n v="2"/>
    <n v="298"/>
    <x v="1"/>
    <x v="1"/>
    <n v="45"/>
    <n v="90"/>
  </r>
  <r>
    <s v="ORD1640552"/>
    <s v="ITM016"/>
    <n v="1"/>
    <n v="99"/>
    <x v="7"/>
    <x v="1"/>
    <n v="30"/>
    <n v="30"/>
  </r>
  <r>
    <s v="ORD1640552"/>
    <s v="ITM012"/>
    <n v="2"/>
    <n v="178"/>
    <x v="8"/>
    <x v="0"/>
    <n v="27"/>
    <n v="54"/>
  </r>
  <r>
    <s v="ORD7545705"/>
    <s v="ITM014"/>
    <n v="2"/>
    <n v="238"/>
    <x v="14"/>
    <x v="1"/>
    <n v="36"/>
    <n v="72"/>
  </r>
  <r>
    <s v="ORD7545705"/>
    <s v="ITM002"/>
    <n v="1"/>
    <n v="99"/>
    <x v="12"/>
    <x v="5"/>
    <n v="30"/>
    <n v="30"/>
  </r>
  <r>
    <s v="ORD7545705"/>
    <s v="ITM010"/>
    <n v="4"/>
    <n v="236"/>
    <x v="20"/>
    <x v="0"/>
    <n v="18"/>
    <n v="72"/>
  </r>
  <r>
    <s v="ORD7596354"/>
    <s v="ITM006"/>
    <n v="1"/>
    <n v="89"/>
    <x v="3"/>
    <x v="3"/>
    <n v="27"/>
    <n v="27"/>
  </r>
  <r>
    <s v="ORD7596354"/>
    <s v="ITM022"/>
    <n v="2"/>
    <n v="198"/>
    <x v="23"/>
    <x v="1"/>
    <n v="30"/>
    <n v="60"/>
  </r>
  <r>
    <s v="ORD7596354"/>
    <s v="ITM011"/>
    <n v="2"/>
    <n v="158"/>
    <x v="26"/>
    <x v="0"/>
    <n v="24"/>
    <n v="48"/>
  </r>
  <r>
    <s v="ORD4264306"/>
    <s v="ITM010"/>
    <n v="1"/>
    <n v="59"/>
    <x v="20"/>
    <x v="0"/>
    <n v="18"/>
    <n v="18"/>
  </r>
  <r>
    <s v="ORD4264306"/>
    <s v="ITM005"/>
    <n v="2"/>
    <n v="198"/>
    <x v="16"/>
    <x v="3"/>
    <n v="30"/>
    <n v="60"/>
  </r>
  <r>
    <s v="ORD4264306"/>
    <s v="ITM025"/>
    <n v="1"/>
    <n v="79"/>
    <x v="25"/>
    <x v="4"/>
    <n v="24"/>
    <n v="24"/>
  </r>
  <r>
    <s v="ORD4264306"/>
    <s v="ITM026"/>
    <n v="2"/>
    <n v="158"/>
    <x v="4"/>
    <x v="4"/>
    <n v="24"/>
    <n v="48"/>
  </r>
  <r>
    <s v="ORD3883285"/>
    <s v="ITM007"/>
    <n v="2"/>
    <n v="158"/>
    <x v="19"/>
    <x v="2"/>
    <n v="24"/>
    <n v="48"/>
  </r>
  <r>
    <s v="ORD3883285"/>
    <s v="ITM019"/>
    <n v="1"/>
    <n v="149"/>
    <x v="11"/>
    <x v="1"/>
    <n v="45"/>
    <n v="45"/>
  </r>
  <r>
    <s v="ORD3883285"/>
    <s v="ITM017"/>
    <n v="3"/>
    <n v="447"/>
    <x v="6"/>
    <x v="1"/>
    <n v="45"/>
    <n v="135"/>
  </r>
  <r>
    <s v="ORD3883285"/>
    <s v="ITM011"/>
    <n v="4"/>
    <n v="316"/>
    <x v="26"/>
    <x v="0"/>
    <n v="24"/>
    <n v="96"/>
  </r>
  <r>
    <s v="ORD7480687"/>
    <s v="ITM021"/>
    <n v="3"/>
    <n v="447"/>
    <x v="22"/>
    <x v="1"/>
    <n v="45"/>
    <n v="135"/>
  </r>
  <r>
    <s v="ORD7480687"/>
    <s v="ITM018"/>
    <n v="1"/>
    <n v="159"/>
    <x v="15"/>
    <x v="1"/>
    <n v="48"/>
    <n v="48"/>
  </r>
  <r>
    <s v="ORD9595138"/>
    <s v="ITM023"/>
    <n v="4"/>
    <n v="556"/>
    <x v="18"/>
    <x v="1"/>
    <n v="42"/>
    <n v="168"/>
  </r>
  <r>
    <s v="ORD1632342"/>
    <s v="ITM007"/>
    <n v="1"/>
    <n v="79"/>
    <x v="19"/>
    <x v="2"/>
    <n v="24"/>
    <n v="24"/>
  </r>
  <r>
    <s v="ORD1632342"/>
    <s v="ITM014"/>
    <n v="1"/>
    <n v="119"/>
    <x v="14"/>
    <x v="1"/>
    <n v="36"/>
    <n v="36"/>
  </r>
  <r>
    <s v="ORD1632342"/>
    <s v="ITM010"/>
    <n v="1"/>
    <n v="59"/>
    <x v="20"/>
    <x v="0"/>
    <n v="18"/>
    <n v="18"/>
  </r>
  <r>
    <s v="ORD1632342"/>
    <s v="ITM009"/>
    <n v="2"/>
    <n v="178"/>
    <x v="2"/>
    <x v="2"/>
    <n v="27"/>
    <n v="54"/>
  </r>
  <r>
    <s v="ORD2633729"/>
    <s v="ITM001"/>
    <n v="2"/>
    <n v="158"/>
    <x v="24"/>
    <x v="5"/>
    <n v="24"/>
    <n v="48"/>
  </r>
  <r>
    <s v="ORD2633729"/>
    <s v="ITM014"/>
    <n v="4"/>
    <n v="476"/>
    <x v="14"/>
    <x v="1"/>
    <n v="36"/>
    <n v="144"/>
  </r>
  <r>
    <s v="ORD2633729"/>
    <s v="ITM010"/>
    <n v="1"/>
    <n v="59"/>
    <x v="20"/>
    <x v="0"/>
    <n v="18"/>
    <n v="18"/>
  </r>
  <r>
    <s v="ORD8661030"/>
    <s v="ITM004"/>
    <n v="2"/>
    <n v="158"/>
    <x v="5"/>
    <x v="3"/>
    <n v="24"/>
    <n v="48"/>
  </r>
  <r>
    <s v="ORD8661030"/>
    <s v="ITM017"/>
    <n v="1"/>
    <n v="149"/>
    <x v="6"/>
    <x v="1"/>
    <n v="45"/>
    <n v="45"/>
  </r>
  <r>
    <s v="ORD8661030"/>
    <s v="ITM026"/>
    <n v="3"/>
    <n v="237"/>
    <x v="4"/>
    <x v="4"/>
    <n v="24"/>
    <n v="72"/>
  </r>
  <r>
    <s v="ORD6843777"/>
    <s v="ITM005"/>
    <n v="3"/>
    <n v="297"/>
    <x v="16"/>
    <x v="3"/>
    <n v="30"/>
    <n v="90"/>
  </r>
  <r>
    <s v="ORD6843777"/>
    <s v="ITM010"/>
    <n v="3"/>
    <n v="177"/>
    <x v="20"/>
    <x v="0"/>
    <n v="18"/>
    <n v="54"/>
  </r>
  <r>
    <s v="ORD8546050"/>
    <s v="ITM005"/>
    <n v="2"/>
    <n v="198"/>
    <x v="16"/>
    <x v="3"/>
    <n v="30"/>
    <n v="60"/>
  </r>
  <r>
    <s v="ORD8546050"/>
    <s v="ITM009"/>
    <n v="1"/>
    <n v="89"/>
    <x v="2"/>
    <x v="2"/>
    <n v="27"/>
    <n v="27"/>
  </r>
  <r>
    <s v="ORD8079391"/>
    <s v="ITM018"/>
    <n v="1"/>
    <n v="159"/>
    <x v="15"/>
    <x v="1"/>
    <n v="48"/>
    <n v="48"/>
  </r>
  <r>
    <s v="ORD8079391"/>
    <s v="ITM010"/>
    <n v="1"/>
    <n v="59"/>
    <x v="20"/>
    <x v="0"/>
    <n v="18"/>
    <n v="18"/>
  </r>
  <r>
    <s v="ORD8079391"/>
    <s v="ITM020"/>
    <n v="4"/>
    <n v="636"/>
    <x v="21"/>
    <x v="1"/>
    <n v="48"/>
    <n v="192"/>
  </r>
  <r>
    <s v="ORD1104984"/>
    <s v="ITM022"/>
    <n v="1"/>
    <n v="99"/>
    <x v="23"/>
    <x v="1"/>
    <n v="30"/>
    <n v="30"/>
  </r>
  <r>
    <s v="ORD2941686"/>
    <s v="ITM001"/>
    <n v="1"/>
    <n v="79"/>
    <x v="24"/>
    <x v="5"/>
    <n v="24"/>
    <n v="24"/>
  </r>
  <r>
    <s v="ORD2941686"/>
    <s v="ITM003"/>
    <n v="2"/>
    <n v="238"/>
    <x v="27"/>
    <x v="5"/>
    <n v="36"/>
    <n v="72"/>
  </r>
  <r>
    <s v="ORD2941686"/>
    <s v="ITM002"/>
    <n v="2"/>
    <n v="198"/>
    <x v="12"/>
    <x v="5"/>
    <n v="30"/>
    <n v="60"/>
  </r>
  <r>
    <s v="ORD2941686"/>
    <s v="ITM010"/>
    <n v="1"/>
    <n v="59"/>
    <x v="20"/>
    <x v="0"/>
    <n v="18"/>
    <n v="18"/>
  </r>
  <r>
    <s v="ORD9231395"/>
    <s v="ITM023"/>
    <n v="1"/>
    <n v="139"/>
    <x v="18"/>
    <x v="1"/>
    <n v="42"/>
    <n v="42"/>
  </r>
  <r>
    <s v="ORD9231395"/>
    <s v="ITM028"/>
    <n v="1"/>
    <n v="49"/>
    <x v="13"/>
    <x v="4"/>
    <n v="15"/>
    <n v="15"/>
  </r>
  <r>
    <s v="ORD3176618"/>
    <s v="ITM009"/>
    <n v="4"/>
    <n v="356"/>
    <x v="2"/>
    <x v="2"/>
    <n v="27"/>
    <n v="108"/>
  </r>
  <r>
    <s v="ORD3176618"/>
    <s v="ITM028"/>
    <n v="1"/>
    <n v="49"/>
    <x v="13"/>
    <x v="4"/>
    <n v="15"/>
    <n v="15"/>
  </r>
  <r>
    <s v="ORD3176618"/>
    <s v="ITM025"/>
    <n v="1"/>
    <n v="79"/>
    <x v="25"/>
    <x v="4"/>
    <n v="24"/>
    <n v="24"/>
  </r>
  <r>
    <s v="ORD3176618"/>
    <s v="ITM020"/>
    <n v="3"/>
    <n v="477"/>
    <x v="21"/>
    <x v="1"/>
    <n v="48"/>
    <n v="144"/>
  </r>
  <r>
    <s v="ORD4358481"/>
    <s v="ITM001"/>
    <n v="1"/>
    <n v="79"/>
    <x v="24"/>
    <x v="5"/>
    <n v="24"/>
    <n v="24"/>
  </r>
  <r>
    <s v="ORD4358481"/>
    <s v="ITM023"/>
    <n v="1"/>
    <n v="139"/>
    <x v="18"/>
    <x v="1"/>
    <n v="42"/>
    <n v="42"/>
  </r>
  <r>
    <s v="ORD4421831"/>
    <s v="ITM001"/>
    <n v="2"/>
    <n v="158"/>
    <x v="24"/>
    <x v="5"/>
    <n v="24"/>
    <n v="48"/>
  </r>
  <r>
    <s v="ORD4421831"/>
    <s v="ITM005"/>
    <n v="2"/>
    <n v="198"/>
    <x v="16"/>
    <x v="3"/>
    <n v="30"/>
    <n v="60"/>
  </r>
  <r>
    <s v="ORD7093273"/>
    <s v="ITM023"/>
    <n v="4"/>
    <n v="556"/>
    <x v="18"/>
    <x v="1"/>
    <n v="42"/>
    <n v="168"/>
  </r>
  <r>
    <s v="ORD7093273"/>
    <s v="ITM012"/>
    <n v="1"/>
    <n v="89"/>
    <x v="8"/>
    <x v="0"/>
    <n v="27"/>
    <n v="27"/>
  </r>
  <r>
    <s v="ORD7093273"/>
    <s v="ITM015"/>
    <n v="2"/>
    <n v="298"/>
    <x v="1"/>
    <x v="1"/>
    <n v="45"/>
    <n v="90"/>
  </r>
  <r>
    <s v="ORD5044801"/>
    <s v="ITM016"/>
    <n v="1"/>
    <n v="99"/>
    <x v="7"/>
    <x v="1"/>
    <n v="30"/>
    <n v="30"/>
  </r>
  <r>
    <s v="ORD5044801"/>
    <s v="ITM006"/>
    <n v="1"/>
    <n v="89"/>
    <x v="3"/>
    <x v="3"/>
    <n v="27"/>
    <n v="27"/>
  </r>
  <r>
    <s v="ORD4645184"/>
    <s v="ITM027"/>
    <n v="1"/>
    <n v="79"/>
    <x v="10"/>
    <x v="4"/>
    <n v="24"/>
    <n v="24"/>
  </r>
  <r>
    <s v="ORD4645184"/>
    <s v="ITM026"/>
    <n v="1"/>
    <n v="79"/>
    <x v="4"/>
    <x v="4"/>
    <n v="24"/>
    <n v="24"/>
  </r>
  <r>
    <s v="ORD2691311"/>
    <s v="ITM018"/>
    <n v="1"/>
    <n v="159"/>
    <x v="15"/>
    <x v="1"/>
    <n v="48"/>
    <n v="48"/>
  </r>
  <r>
    <s v="ORD2691311"/>
    <s v="ITM019"/>
    <n v="2"/>
    <n v="298"/>
    <x v="11"/>
    <x v="1"/>
    <n v="45"/>
    <n v="90"/>
  </r>
  <r>
    <s v="ORD2691311"/>
    <s v="ITM017"/>
    <n v="1"/>
    <n v="149"/>
    <x v="6"/>
    <x v="1"/>
    <n v="45"/>
    <n v="45"/>
  </r>
  <r>
    <s v="ORD4408903"/>
    <s v="ITM015"/>
    <n v="2"/>
    <n v="298"/>
    <x v="1"/>
    <x v="1"/>
    <n v="45"/>
    <n v="90"/>
  </r>
  <r>
    <s v="ORD4408903"/>
    <s v="ITM013"/>
    <n v="3"/>
    <n v="207"/>
    <x v="0"/>
    <x v="0"/>
    <n v="21"/>
    <n v="63"/>
  </r>
  <r>
    <s v="ORD4408903"/>
    <s v="ITM009"/>
    <n v="4"/>
    <n v="356"/>
    <x v="2"/>
    <x v="2"/>
    <n v="27"/>
    <n v="108"/>
  </r>
  <r>
    <s v="ORD5259672"/>
    <s v="ITM006"/>
    <n v="1"/>
    <n v="89"/>
    <x v="3"/>
    <x v="3"/>
    <n v="27"/>
    <n v="27"/>
  </r>
  <r>
    <s v="ORD5259672"/>
    <s v="ITM021"/>
    <n v="3"/>
    <n v="447"/>
    <x v="22"/>
    <x v="1"/>
    <n v="45"/>
    <n v="135"/>
  </r>
  <r>
    <s v="ORD5259672"/>
    <s v="ITM018"/>
    <n v="3"/>
    <n v="477"/>
    <x v="15"/>
    <x v="1"/>
    <n v="48"/>
    <n v="144"/>
  </r>
  <r>
    <s v="ORD5259672"/>
    <s v="ITM020"/>
    <n v="1"/>
    <n v="159"/>
    <x v="21"/>
    <x v="1"/>
    <n v="48"/>
    <n v="48"/>
  </r>
  <r>
    <s v="ORD8860310"/>
    <s v="ITM007"/>
    <n v="1"/>
    <n v="79"/>
    <x v="19"/>
    <x v="2"/>
    <n v="24"/>
    <n v="24"/>
  </r>
  <r>
    <s v="ORD8860310"/>
    <s v="ITM022"/>
    <n v="4"/>
    <n v="396"/>
    <x v="23"/>
    <x v="1"/>
    <n v="30"/>
    <n v="120"/>
  </r>
  <r>
    <s v="ORD8860310"/>
    <s v="ITM020"/>
    <n v="4"/>
    <n v="636"/>
    <x v="21"/>
    <x v="1"/>
    <n v="48"/>
    <n v="192"/>
  </r>
  <r>
    <s v="ORD7112061"/>
    <s v="ITM006"/>
    <n v="1"/>
    <n v="89"/>
    <x v="3"/>
    <x v="3"/>
    <n v="27"/>
    <n v="27"/>
  </r>
  <r>
    <s v="ORD7112061"/>
    <s v="ITM002"/>
    <n v="1"/>
    <n v="99"/>
    <x v="12"/>
    <x v="5"/>
    <n v="30"/>
    <n v="30"/>
  </r>
  <r>
    <s v="ORD7112061"/>
    <s v="ITM020"/>
    <n v="3"/>
    <n v="477"/>
    <x v="21"/>
    <x v="1"/>
    <n v="48"/>
    <n v="144"/>
  </r>
  <r>
    <s v="ORD8354627"/>
    <s v="ITM024"/>
    <n v="2"/>
    <n v="158"/>
    <x v="17"/>
    <x v="4"/>
    <n v="24"/>
    <n v="48"/>
  </r>
  <r>
    <s v="ORD8354627"/>
    <s v="ITM019"/>
    <n v="1"/>
    <n v="149"/>
    <x v="11"/>
    <x v="1"/>
    <n v="45"/>
    <n v="45"/>
  </r>
  <r>
    <s v="ORD8354627"/>
    <s v="ITM020"/>
    <n v="1"/>
    <n v="159"/>
    <x v="21"/>
    <x v="1"/>
    <n v="48"/>
    <n v="48"/>
  </r>
  <r>
    <s v="ORD6068456"/>
    <s v="ITM022"/>
    <n v="1"/>
    <n v="99"/>
    <x v="23"/>
    <x v="1"/>
    <n v="30"/>
    <n v="30"/>
  </r>
  <r>
    <s v="ORD6068456"/>
    <s v="ITM018"/>
    <n v="1"/>
    <n v="159"/>
    <x v="15"/>
    <x v="1"/>
    <n v="48"/>
    <n v="48"/>
  </r>
  <r>
    <s v="ORD6068456"/>
    <s v="ITM017"/>
    <n v="3"/>
    <n v="447"/>
    <x v="6"/>
    <x v="1"/>
    <n v="45"/>
    <n v="135"/>
  </r>
  <r>
    <s v="ORD6068456"/>
    <s v="ITM023"/>
    <n v="1"/>
    <n v="139"/>
    <x v="18"/>
    <x v="1"/>
    <n v="42"/>
    <n v="42"/>
  </r>
  <r>
    <s v="ORD3809849"/>
    <s v="ITM004"/>
    <n v="1"/>
    <n v="79"/>
    <x v="5"/>
    <x v="3"/>
    <n v="24"/>
    <n v="24"/>
  </r>
  <r>
    <s v="ORD3809849"/>
    <s v="ITM019"/>
    <n v="3"/>
    <n v="447"/>
    <x v="11"/>
    <x v="1"/>
    <n v="45"/>
    <n v="135"/>
  </r>
  <r>
    <s v="ORD3809849"/>
    <s v="ITM006"/>
    <n v="2"/>
    <n v="178"/>
    <x v="3"/>
    <x v="3"/>
    <n v="27"/>
    <n v="54"/>
  </r>
  <r>
    <s v="ORD9386347"/>
    <s v="ITM004"/>
    <n v="3"/>
    <n v="237"/>
    <x v="5"/>
    <x v="3"/>
    <n v="24"/>
    <n v="72"/>
  </r>
  <r>
    <s v="ORD9386347"/>
    <s v="ITM018"/>
    <n v="1"/>
    <n v="159"/>
    <x v="15"/>
    <x v="1"/>
    <n v="48"/>
    <n v="48"/>
  </r>
  <r>
    <s v="ORD9386347"/>
    <s v="ITM012"/>
    <n v="1"/>
    <n v="89"/>
    <x v="8"/>
    <x v="0"/>
    <n v="27"/>
    <n v="27"/>
  </r>
  <r>
    <s v="ORD1897639"/>
    <s v="ITM004"/>
    <n v="1"/>
    <n v="79"/>
    <x v="5"/>
    <x v="3"/>
    <n v="24"/>
    <n v="24"/>
  </r>
  <r>
    <s v="ORD1897639"/>
    <s v="ITM021"/>
    <n v="1"/>
    <n v="149"/>
    <x v="22"/>
    <x v="1"/>
    <n v="45"/>
    <n v="45"/>
  </r>
  <r>
    <s v="ORD9877751"/>
    <s v="ITM006"/>
    <n v="2"/>
    <n v="178"/>
    <x v="3"/>
    <x v="3"/>
    <n v="27"/>
    <n v="54"/>
  </r>
  <r>
    <s v="ORD9877751"/>
    <s v="ITM018"/>
    <n v="1"/>
    <n v="159"/>
    <x v="15"/>
    <x v="1"/>
    <n v="48"/>
    <n v="48"/>
  </r>
  <r>
    <s v="ORD9877751"/>
    <s v="ITM002"/>
    <n v="1"/>
    <n v="99"/>
    <x v="12"/>
    <x v="5"/>
    <n v="30"/>
    <n v="30"/>
  </r>
  <r>
    <s v="ORD9877751"/>
    <s v="ITM020"/>
    <n v="2"/>
    <n v="318"/>
    <x v="21"/>
    <x v="1"/>
    <n v="48"/>
    <n v="96"/>
  </r>
  <r>
    <s v="ORD5731929"/>
    <s v="ITM009"/>
    <n v="3"/>
    <n v="267"/>
    <x v="2"/>
    <x v="2"/>
    <n v="27"/>
    <n v="81"/>
  </r>
  <r>
    <s v="ORD6480097"/>
    <s v="ITM005"/>
    <n v="3"/>
    <n v="297"/>
    <x v="16"/>
    <x v="3"/>
    <n v="30"/>
    <n v="90"/>
  </r>
  <r>
    <s v="ORD6480097"/>
    <s v="ITM009"/>
    <n v="2"/>
    <n v="178"/>
    <x v="2"/>
    <x v="2"/>
    <n v="27"/>
    <n v="54"/>
  </r>
  <r>
    <s v="ORD1020737"/>
    <s v="ITM011"/>
    <n v="2"/>
    <n v="158"/>
    <x v="26"/>
    <x v="0"/>
    <n v="24"/>
    <n v="48"/>
  </r>
  <r>
    <s v="ORD1020737"/>
    <s v="ITM021"/>
    <n v="3"/>
    <n v="447"/>
    <x v="22"/>
    <x v="1"/>
    <n v="45"/>
    <n v="135"/>
  </r>
  <r>
    <s v="ORD1020737"/>
    <s v="ITM017"/>
    <n v="3"/>
    <n v="447"/>
    <x v="6"/>
    <x v="1"/>
    <n v="45"/>
    <n v="135"/>
  </r>
  <r>
    <s v="ORD6480092"/>
    <s v="ITM025"/>
    <n v="1"/>
    <n v="79"/>
    <x v="25"/>
    <x v="4"/>
    <n v="24"/>
    <n v="24"/>
  </r>
  <r>
    <s v="ORD6480092"/>
    <s v="ITM009"/>
    <n v="1"/>
    <n v="89"/>
    <x v="2"/>
    <x v="2"/>
    <n v="27"/>
    <n v="27"/>
  </r>
  <r>
    <s v="ORD8087699"/>
    <s v="ITM007"/>
    <n v="2"/>
    <n v="158"/>
    <x v="19"/>
    <x v="2"/>
    <n v="24"/>
    <n v="48"/>
  </r>
  <r>
    <s v="ORD8087699"/>
    <s v="ITM005"/>
    <n v="1"/>
    <n v="99"/>
    <x v="16"/>
    <x v="3"/>
    <n v="30"/>
    <n v="30"/>
  </r>
  <r>
    <s v="ORD1375480"/>
    <s v="ITM004"/>
    <n v="2"/>
    <n v="158"/>
    <x v="5"/>
    <x v="3"/>
    <n v="24"/>
    <n v="48"/>
  </r>
  <r>
    <s v="ORD1375480"/>
    <s v="ITM009"/>
    <n v="4"/>
    <n v="356"/>
    <x v="2"/>
    <x v="2"/>
    <n v="27"/>
    <n v="108"/>
  </r>
  <r>
    <s v="ORD1127128"/>
    <s v="ITM023"/>
    <n v="1"/>
    <n v="139"/>
    <x v="18"/>
    <x v="1"/>
    <n v="42"/>
    <n v="42"/>
  </r>
  <r>
    <s v="ORD1127128"/>
    <s v="ITM002"/>
    <n v="1"/>
    <n v="99"/>
    <x v="12"/>
    <x v="5"/>
    <n v="30"/>
    <n v="30"/>
  </r>
  <r>
    <s v="ORD6171733"/>
    <s v="ITM014"/>
    <n v="2"/>
    <n v="238"/>
    <x v="14"/>
    <x v="1"/>
    <n v="36"/>
    <n v="72"/>
  </r>
  <r>
    <s v="ORD2785515"/>
    <s v="ITM004"/>
    <n v="3"/>
    <n v="237"/>
    <x v="5"/>
    <x v="3"/>
    <n v="24"/>
    <n v="72"/>
  </r>
  <r>
    <s v="ORD2785515"/>
    <s v="ITM014"/>
    <n v="3"/>
    <n v="357"/>
    <x v="14"/>
    <x v="1"/>
    <n v="36"/>
    <n v="108"/>
  </r>
  <r>
    <s v="ORD2785515"/>
    <s v="ITM008"/>
    <n v="2"/>
    <n v="198"/>
    <x v="9"/>
    <x v="2"/>
    <n v="30"/>
    <n v="60"/>
  </r>
  <r>
    <s v="ORD2785515"/>
    <s v="ITM016"/>
    <n v="1"/>
    <n v="99"/>
    <x v="7"/>
    <x v="1"/>
    <n v="30"/>
    <n v="30"/>
  </r>
  <r>
    <s v="ORD2509625"/>
    <s v="ITM016"/>
    <n v="2"/>
    <n v="198"/>
    <x v="7"/>
    <x v="1"/>
    <n v="30"/>
    <n v="60"/>
  </r>
  <r>
    <s v="ORD2509625"/>
    <s v="ITM015"/>
    <n v="3"/>
    <n v="447"/>
    <x v="1"/>
    <x v="1"/>
    <n v="45"/>
    <n v="135"/>
  </r>
  <r>
    <s v="ORD6749870"/>
    <s v="ITM006"/>
    <n v="2"/>
    <n v="178"/>
    <x v="3"/>
    <x v="3"/>
    <n v="27"/>
    <n v="54"/>
  </r>
  <r>
    <s v="ORD6749870"/>
    <s v="ITM002"/>
    <n v="1"/>
    <n v="99"/>
    <x v="12"/>
    <x v="5"/>
    <n v="30"/>
    <n v="30"/>
  </r>
  <r>
    <s v="ORD9903570"/>
    <s v="ITM006"/>
    <n v="1"/>
    <n v="89"/>
    <x v="3"/>
    <x v="3"/>
    <n v="27"/>
    <n v="27"/>
  </r>
  <r>
    <s v="ORD9903570"/>
    <s v="ITM012"/>
    <n v="1"/>
    <n v="89"/>
    <x v="8"/>
    <x v="0"/>
    <n v="27"/>
    <n v="27"/>
  </r>
  <r>
    <s v="ORD8205561"/>
    <s v="ITM001"/>
    <n v="1"/>
    <n v="79"/>
    <x v="24"/>
    <x v="5"/>
    <n v="24"/>
    <n v="24"/>
  </r>
  <r>
    <s v="ORD8205561"/>
    <s v="ITM004"/>
    <n v="1"/>
    <n v="79"/>
    <x v="5"/>
    <x v="3"/>
    <n v="24"/>
    <n v="24"/>
  </r>
  <r>
    <s v="ORD8373187"/>
    <s v="ITM011"/>
    <n v="1"/>
    <n v="79"/>
    <x v="26"/>
    <x v="0"/>
    <n v="24"/>
    <n v="24"/>
  </r>
  <r>
    <s v="ORD8373187"/>
    <s v="ITM024"/>
    <n v="1"/>
    <n v="79"/>
    <x v="17"/>
    <x v="4"/>
    <n v="24"/>
    <n v="24"/>
  </r>
  <r>
    <s v="ORD8373187"/>
    <s v="ITM014"/>
    <n v="1"/>
    <n v="119"/>
    <x v="14"/>
    <x v="1"/>
    <n v="36"/>
    <n v="36"/>
  </r>
  <r>
    <s v="ORD8373187"/>
    <s v="ITM005"/>
    <n v="3"/>
    <n v="297"/>
    <x v="16"/>
    <x v="3"/>
    <n v="30"/>
    <n v="90"/>
  </r>
  <r>
    <s v="ORD1418312"/>
    <s v="ITM019"/>
    <n v="1"/>
    <n v="149"/>
    <x v="11"/>
    <x v="1"/>
    <n v="45"/>
    <n v="45"/>
  </r>
  <r>
    <s v="ORD1418312"/>
    <s v="ITM017"/>
    <n v="1"/>
    <n v="149"/>
    <x v="6"/>
    <x v="1"/>
    <n v="45"/>
    <n v="45"/>
  </r>
  <r>
    <s v="ORD1418312"/>
    <s v="ITM002"/>
    <n v="1"/>
    <n v="99"/>
    <x v="12"/>
    <x v="5"/>
    <n v="30"/>
    <n v="30"/>
  </r>
  <r>
    <s v="ORD5522403"/>
    <s v="ITM008"/>
    <n v="5"/>
    <n v="495"/>
    <x v="9"/>
    <x v="2"/>
    <n v="30"/>
    <n v="150"/>
  </r>
  <r>
    <s v="ORD9336696"/>
    <s v="ITM016"/>
    <n v="1"/>
    <n v="99"/>
    <x v="7"/>
    <x v="1"/>
    <n v="30"/>
    <n v="30"/>
  </r>
  <r>
    <s v="ORD9336696"/>
    <s v="ITM007"/>
    <n v="2"/>
    <n v="158"/>
    <x v="19"/>
    <x v="2"/>
    <n v="24"/>
    <n v="48"/>
  </r>
  <r>
    <s v="ORD9336696"/>
    <s v="ITM015"/>
    <n v="1"/>
    <n v="149"/>
    <x v="1"/>
    <x v="1"/>
    <n v="45"/>
    <n v="45"/>
  </r>
  <r>
    <s v="ORD2670620"/>
    <s v="ITM002"/>
    <n v="2"/>
    <n v="198"/>
    <x v="12"/>
    <x v="5"/>
    <n v="30"/>
    <n v="60"/>
  </r>
  <r>
    <s v="ORD2670620"/>
    <s v="ITM009"/>
    <n v="1"/>
    <n v="89"/>
    <x v="2"/>
    <x v="2"/>
    <n v="27"/>
    <n v="27"/>
  </r>
  <r>
    <s v="ORD9646777"/>
    <s v="ITM017"/>
    <n v="1"/>
    <n v="149"/>
    <x v="6"/>
    <x v="1"/>
    <n v="45"/>
    <n v="45"/>
  </r>
  <r>
    <s v="ORD9646777"/>
    <s v="ITM028"/>
    <n v="1"/>
    <n v="49"/>
    <x v="13"/>
    <x v="4"/>
    <n v="15"/>
    <n v="15"/>
  </r>
  <r>
    <s v="ORD9646777"/>
    <s v="ITM025"/>
    <n v="2"/>
    <n v="158"/>
    <x v="25"/>
    <x v="4"/>
    <n v="24"/>
    <n v="48"/>
  </r>
  <r>
    <s v="ORD1855315"/>
    <s v="ITM023"/>
    <n v="1"/>
    <n v="139"/>
    <x v="18"/>
    <x v="1"/>
    <n v="42"/>
    <n v="42"/>
  </r>
  <r>
    <s v="ORD1855315"/>
    <s v="ITM025"/>
    <n v="1"/>
    <n v="79"/>
    <x v="25"/>
    <x v="4"/>
    <n v="24"/>
    <n v="24"/>
  </r>
  <r>
    <s v="ORD2595144"/>
    <s v="ITM007"/>
    <n v="2"/>
    <n v="158"/>
    <x v="19"/>
    <x v="2"/>
    <n v="24"/>
    <n v="48"/>
  </r>
  <r>
    <s v="ORD2595144"/>
    <s v="ITM022"/>
    <n v="2"/>
    <n v="198"/>
    <x v="23"/>
    <x v="1"/>
    <n v="30"/>
    <n v="60"/>
  </r>
  <r>
    <s v="ORD2595144"/>
    <s v="ITM021"/>
    <n v="4"/>
    <n v="596"/>
    <x v="22"/>
    <x v="1"/>
    <n v="45"/>
    <n v="180"/>
  </r>
  <r>
    <s v="ORD2595144"/>
    <s v="ITM019"/>
    <n v="3"/>
    <n v="447"/>
    <x v="11"/>
    <x v="1"/>
    <n v="45"/>
    <n v="135"/>
  </r>
  <r>
    <s v="ORD9449836"/>
    <s v="ITM022"/>
    <n v="5"/>
    <n v="495"/>
    <x v="23"/>
    <x v="1"/>
    <n v="30"/>
    <n v="150"/>
  </r>
  <r>
    <s v="ORD9449836"/>
    <s v="ITM015"/>
    <n v="4"/>
    <n v="596"/>
    <x v="1"/>
    <x v="1"/>
    <n v="45"/>
    <n v="180"/>
  </r>
  <r>
    <s v="ORD9449836"/>
    <s v="ITM023"/>
    <n v="4"/>
    <n v="556"/>
    <x v="18"/>
    <x v="1"/>
    <n v="42"/>
    <n v="168"/>
  </r>
  <r>
    <s v="ORD9449836"/>
    <s v="ITM026"/>
    <n v="1"/>
    <n v="79"/>
    <x v="4"/>
    <x v="4"/>
    <n v="24"/>
    <n v="24"/>
  </r>
  <r>
    <s v="ORD4911403"/>
    <s v="ITM016"/>
    <n v="1"/>
    <n v="99"/>
    <x v="7"/>
    <x v="1"/>
    <n v="30"/>
    <n v="30"/>
  </r>
  <r>
    <s v="ORD4911403"/>
    <s v="ITM027"/>
    <n v="1"/>
    <n v="79"/>
    <x v="10"/>
    <x v="4"/>
    <n v="24"/>
    <n v="24"/>
  </r>
  <r>
    <s v="ORD4911403"/>
    <s v="ITM012"/>
    <n v="2"/>
    <n v="178"/>
    <x v="8"/>
    <x v="0"/>
    <n v="27"/>
    <n v="54"/>
  </r>
  <r>
    <s v="ORD4911403"/>
    <s v="ITM026"/>
    <n v="1"/>
    <n v="79"/>
    <x v="4"/>
    <x v="4"/>
    <n v="24"/>
    <n v="24"/>
  </r>
  <r>
    <s v="ORD2428211"/>
    <s v="ITM004"/>
    <n v="1"/>
    <n v="79"/>
    <x v="5"/>
    <x v="3"/>
    <n v="24"/>
    <n v="24"/>
  </r>
  <r>
    <s v="ORD2428211"/>
    <s v="ITM003"/>
    <n v="4"/>
    <n v="476"/>
    <x v="27"/>
    <x v="5"/>
    <n v="36"/>
    <n v="144"/>
  </r>
  <r>
    <s v="ORD2428211"/>
    <s v="ITM018"/>
    <n v="2"/>
    <n v="318"/>
    <x v="15"/>
    <x v="1"/>
    <n v="48"/>
    <n v="96"/>
  </r>
  <r>
    <s v="ORD8773875"/>
    <s v="ITM015"/>
    <n v="2"/>
    <n v="298"/>
    <x v="1"/>
    <x v="1"/>
    <n v="45"/>
    <n v="90"/>
  </r>
  <r>
    <s v="ORD8773875"/>
    <s v="ITM028"/>
    <n v="1"/>
    <n v="49"/>
    <x v="13"/>
    <x v="4"/>
    <n v="15"/>
    <n v="15"/>
  </r>
  <r>
    <s v="ORD8773875"/>
    <s v="ITM026"/>
    <n v="2"/>
    <n v="158"/>
    <x v="4"/>
    <x v="4"/>
    <n v="24"/>
    <n v="48"/>
  </r>
  <r>
    <s v="ORD6949369"/>
    <s v="ITM024"/>
    <n v="2"/>
    <n v="158"/>
    <x v="17"/>
    <x v="4"/>
    <n v="24"/>
    <n v="48"/>
  </r>
  <r>
    <s v="ORD7331500"/>
    <s v="ITM026"/>
    <n v="2"/>
    <n v="158"/>
    <x v="4"/>
    <x v="4"/>
    <n v="24"/>
    <n v="48"/>
  </r>
  <r>
    <s v="ORD8073819"/>
    <s v="ITM016"/>
    <n v="1"/>
    <n v="99"/>
    <x v="7"/>
    <x v="1"/>
    <n v="30"/>
    <n v="30"/>
  </r>
  <r>
    <s v="ORD8073819"/>
    <s v="ITM026"/>
    <n v="1"/>
    <n v="79"/>
    <x v="4"/>
    <x v="4"/>
    <n v="24"/>
    <n v="24"/>
  </r>
  <r>
    <s v="ORD8073819"/>
    <s v="ITM012"/>
    <n v="2"/>
    <n v="178"/>
    <x v="8"/>
    <x v="0"/>
    <n v="27"/>
    <n v="54"/>
  </r>
  <r>
    <s v="ORD8073819"/>
    <s v="ITM020"/>
    <n v="1"/>
    <n v="159"/>
    <x v="21"/>
    <x v="1"/>
    <n v="48"/>
    <n v="48"/>
  </r>
  <r>
    <s v="ORD6965497"/>
    <s v="ITM016"/>
    <n v="1"/>
    <n v="99"/>
    <x v="7"/>
    <x v="1"/>
    <n v="30"/>
    <n v="30"/>
  </r>
  <r>
    <s v="ORD6965497"/>
    <s v="ITM022"/>
    <n v="2"/>
    <n v="198"/>
    <x v="23"/>
    <x v="1"/>
    <n v="30"/>
    <n v="60"/>
  </r>
  <r>
    <s v="ORD6965497"/>
    <s v="ITM013"/>
    <n v="2"/>
    <n v="138"/>
    <x v="0"/>
    <x v="0"/>
    <n v="21"/>
    <n v="42"/>
  </r>
  <r>
    <s v="ORD1689341"/>
    <s v="ITM008"/>
    <n v="5"/>
    <n v="495"/>
    <x v="9"/>
    <x v="2"/>
    <n v="30"/>
    <n v="150"/>
  </r>
  <r>
    <s v="ORD1689341"/>
    <s v="ITM015"/>
    <n v="3"/>
    <n v="447"/>
    <x v="1"/>
    <x v="1"/>
    <n v="45"/>
    <n v="135"/>
  </r>
  <r>
    <s v="ORD6031481"/>
    <s v="ITM022"/>
    <n v="3"/>
    <n v="297"/>
    <x v="23"/>
    <x v="1"/>
    <n v="30"/>
    <n v="90"/>
  </r>
  <r>
    <s v="ORD6031481"/>
    <s v="ITM017"/>
    <n v="2"/>
    <n v="298"/>
    <x v="6"/>
    <x v="1"/>
    <n v="45"/>
    <n v="90"/>
  </r>
  <r>
    <s v="ORD4432133"/>
    <s v="ITM007"/>
    <n v="2"/>
    <n v="158"/>
    <x v="19"/>
    <x v="2"/>
    <n v="24"/>
    <n v="48"/>
  </r>
  <r>
    <s v="ORD9573888"/>
    <s v="ITM021"/>
    <n v="4"/>
    <n v="596"/>
    <x v="22"/>
    <x v="1"/>
    <n v="45"/>
    <n v="180"/>
  </r>
  <r>
    <s v="ORD9573888"/>
    <s v="ITM020"/>
    <n v="1"/>
    <n v="159"/>
    <x v="21"/>
    <x v="1"/>
    <n v="48"/>
    <n v="48"/>
  </r>
  <r>
    <s v="ORD6333203"/>
    <s v="ITM022"/>
    <n v="3"/>
    <n v="297"/>
    <x v="23"/>
    <x v="1"/>
    <n v="30"/>
    <n v="90"/>
  </r>
  <r>
    <s v="ORD6333203"/>
    <s v="ITM019"/>
    <n v="2"/>
    <n v="298"/>
    <x v="11"/>
    <x v="1"/>
    <n v="45"/>
    <n v="90"/>
  </r>
  <r>
    <s v="ORD6333203"/>
    <s v="ITM008"/>
    <n v="3"/>
    <n v="297"/>
    <x v="9"/>
    <x v="2"/>
    <n v="30"/>
    <n v="90"/>
  </r>
  <r>
    <s v="ORD6333203"/>
    <s v="ITM013"/>
    <n v="4"/>
    <n v="276"/>
    <x v="0"/>
    <x v="0"/>
    <n v="21"/>
    <n v="84"/>
  </r>
  <r>
    <s v="ORD1701806"/>
    <s v="ITM001"/>
    <n v="3"/>
    <n v="237"/>
    <x v="24"/>
    <x v="5"/>
    <n v="24"/>
    <n v="72"/>
  </r>
  <r>
    <s v="ORD1701806"/>
    <s v="ITM025"/>
    <n v="1"/>
    <n v="79"/>
    <x v="25"/>
    <x v="4"/>
    <n v="24"/>
    <n v="24"/>
  </r>
  <r>
    <s v="ORD1701806"/>
    <s v="ITM012"/>
    <n v="1"/>
    <n v="89"/>
    <x v="8"/>
    <x v="0"/>
    <n v="27"/>
    <n v="27"/>
  </r>
  <r>
    <s v="ORD4098885"/>
    <s v="ITM016"/>
    <n v="2"/>
    <n v="198"/>
    <x v="7"/>
    <x v="1"/>
    <n v="30"/>
    <n v="60"/>
  </r>
  <r>
    <s v="ORD4098885"/>
    <s v="ITM018"/>
    <n v="3"/>
    <n v="477"/>
    <x v="15"/>
    <x v="1"/>
    <n v="48"/>
    <n v="144"/>
  </r>
  <r>
    <s v="ORD4098885"/>
    <s v="ITM026"/>
    <n v="1"/>
    <n v="79"/>
    <x v="4"/>
    <x v="4"/>
    <n v="24"/>
    <n v="24"/>
  </r>
  <r>
    <s v="ORD6240368"/>
    <s v="ITM017"/>
    <n v="3"/>
    <n v="447"/>
    <x v="6"/>
    <x v="1"/>
    <n v="45"/>
    <n v="135"/>
  </r>
  <r>
    <s v="ORD6240368"/>
    <s v="ITM028"/>
    <n v="1"/>
    <n v="49"/>
    <x v="13"/>
    <x v="4"/>
    <n v="15"/>
    <n v="15"/>
  </r>
  <r>
    <s v="ORD7061877"/>
    <s v="ITM011"/>
    <n v="1"/>
    <n v="79"/>
    <x v="26"/>
    <x v="0"/>
    <n v="24"/>
    <n v="24"/>
  </r>
  <r>
    <s v="ORD7061877"/>
    <s v="ITM019"/>
    <n v="1"/>
    <n v="149"/>
    <x v="11"/>
    <x v="1"/>
    <n v="45"/>
    <n v="45"/>
  </r>
  <r>
    <s v="ORD7061877"/>
    <s v="ITM012"/>
    <n v="2"/>
    <n v="178"/>
    <x v="8"/>
    <x v="0"/>
    <n v="27"/>
    <n v="54"/>
  </r>
  <r>
    <s v="ORD6274555"/>
    <s v="ITM004"/>
    <n v="2"/>
    <n v="158"/>
    <x v="5"/>
    <x v="3"/>
    <n v="24"/>
    <n v="48"/>
  </r>
  <r>
    <s v="ORD6274555"/>
    <s v="ITM020"/>
    <n v="1"/>
    <n v="159"/>
    <x v="21"/>
    <x v="1"/>
    <n v="48"/>
    <n v="48"/>
  </r>
  <r>
    <s v="ORD6052169"/>
    <s v="ITM027"/>
    <n v="1"/>
    <n v="79"/>
    <x v="10"/>
    <x v="4"/>
    <n v="24"/>
    <n v="24"/>
  </r>
  <r>
    <s v="ORD6052169"/>
    <s v="ITM008"/>
    <n v="4"/>
    <n v="396"/>
    <x v="9"/>
    <x v="2"/>
    <n v="30"/>
    <n v="120"/>
  </r>
  <r>
    <s v="ORD8236684"/>
    <s v="ITM014"/>
    <n v="1"/>
    <n v="119"/>
    <x v="14"/>
    <x v="1"/>
    <n v="36"/>
    <n v="36"/>
  </r>
  <r>
    <s v="ORD8236684"/>
    <s v="ITM010"/>
    <n v="3"/>
    <n v="177"/>
    <x v="20"/>
    <x v="0"/>
    <n v="18"/>
    <n v="54"/>
  </r>
  <r>
    <s v="ORD1489629"/>
    <s v="ITM027"/>
    <n v="5"/>
    <n v="395"/>
    <x v="10"/>
    <x v="4"/>
    <n v="24"/>
    <n v="120"/>
  </r>
  <r>
    <s v="ORD1489629"/>
    <s v="ITM021"/>
    <n v="1"/>
    <n v="149"/>
    <x v="22"/>
    <x v="1"/>
    <n v="45"/>
    <n v="45"/>
  </r>
  <r>
    <s v="ORD7785319"/>
    <s v="ITM006"/>
    <n v="2"/>
    <n v="178"/>
    <x v="3"/>
    <x v="3"/>
    <n v="27"/>
    <n v="54"/>
  </r>
  <r>
    <s v="ORD7785319"/>
    <s v="ITM023"/>
    <n v="1"/>
    <n v="139"/>
    <x v="18"/>
    <x v="1"/>
    <n v="42"/>
    <n v="42"/>
  </r>
  <r>
    <s v="ORD7785319"/>
    <s v="ITM013"/>
    <n v="1"/>
    <n v="69"/>
    <x v="0"/>
    <x v="0"/>
    <n v="21"/>
    <n v="21"/>
  </r>
  <r>
    <s v="ORD8138632"/>
    <s v="ITM004"/>
    <n v="2"/>
    <n v="158"/>
    <x v="5"/>
    <x v="3"/>
    <n v="24"/>
    <n v="48"/>
  </r>
  <r>
    <s v="ORD8138632"/>
    <s v="ITM021"/>
    <n v="5"/>
    <n v="745"/>
    <x v="22"/>
    <x v="1"/>
    <n v="45"/>
    <n v="225"/>
  </r>
  <r>
    <s v="ORD8138632"/>
    <s v="ITM005"/>
    <n v="2"/>
    <n v="198"/>
    <x v="16"/>
    <x v="3"/>
    <n v="30"/>
    <n v="60"/>
  </r>
  <r>
    <s v="ORD8138632"/>
    <s v="ITM006"/>
    <n v="2"/>
    <n v="178"/>
    <x v="3"/>
    <x v="3"/>
    <n v="27"/>
    <n v="54"/>
  </r>
  <r>
    <s v="ORD3967512"/>
    <s v="ITM004"/>
    <n v="2"/>
    <n v="158"/>
    <x v="5"/>
    <x v="3"/>
    <n v="24"/>
    <n v="48"/>
  </r>
  <r>
    <s v="ORD3967512"/>
    <s v="ITM027"/>
    <n v="4"/>
    <n v="316"/>
    <x v="10"/>
    <x v="4"/>
    <n v="24"/>
    <n v="96"/>
  </r>
  <r>
    <s v="ORD3967512"/>
    <s v="ITM012"/>
    <n v="2"/>
    <n v="178"/>
    <x v="8"/>
    <x v="0"/>
    <n v="27"/>
    <n v="54"/>
  </r>
  <r>
    <s v="ORD9661579"/>
    <s v="ITM016"/>
    <n v="1"/>
    <n v="99"/>
    <x v="7"/>
    <x v="1"/>
    <n v="30"/>
    <n v="30"/>
  </r>
  <r>
    <s v="ORD9661579"/>
    <s v="ITM015"/>
    <n v="1"/>
    <n v="149"/>
    <x v="1"/>
    <x v="1"/>
    <n v="45"/>
    <n v="45"/>
  </r>
  <r>
    <s v="ORD3263414"/>
    <s v="ITM023"/>
    <n v="1"/>
    <n v="139"/>
    <x v="18"/>
    <x v="1"/>
    <n v="42"/>
    <n v="42"/>
  </r>
  <r>
    <s v="ORD3263414"/>
    <s v="ITM018"/>
    <n v="1"/>
    <n v="159"/>
    <x v="15"/>
    <x v="1"/>
    <n v="48"/>
    <n v="48"/>
  </r>
  <r>
    <s v="ORD3263414"/>
    <s v="ITM013"/>
    <n v="1"/>
    <n v="69"/>
    <x v="0"/>
    <x v="0"/>
    <n v="21"/>
    <n v="21"/>
  </r>
  <r>
    <s v="ORD7473815"/>
    <s v="ITM016"/>
    <n v="5"/>
    <n v="495"/>
    <x v="7"/>
    <x v="1"/>
    <n v="30"/>
    <n v="150"/>
  </r>
  <r>
    <s v="ORD4901721"/>
    <s v="ITM022"/>
    <n v="5"/>
    <n v="495"/>
    <x v="23"/>
    <x v="1"/>
    <n v="30"/>
    <n v="150"/>
  </r>
  <r>
    <s v="ORD4901721"/>
    <s v="ITM008"/>
    <n v="1"/>
    <n v="99"/>
    <x v="9"/>
    <x v="2"/>
    <n v="30"/>
    <n v="30"/>
  </r>
  <r>
    <s v="ORD3443467"/>
    <s v="ITM006"/>
    <n v="5"/>
    <n v="445"/>
    <x v="3"/>
    <x v="3"/>
    <n v="27"/>
    <n v="135"/>
  </r>
  <r>
    <s v="ORD3443467"/>
    <s v="ITM003"/>
    <n v="1"/>
    <n v="119"/>
    <x v="27"/>
    <x v="5"/>
    <n v="36"/>
    <n v="36"/>
  </r>
  <r>
    <s v="ORD3443467"/>
    <s v="ITM005"/>
    <n v="2"/>
    <n v="198"/>
    <x v="16"/>
    <x v="3"/>
    <n v="30"/>
    <n v="60"/>
  </r>
  <r>
    <s v="ORD3443467"/>
    <s v="ITM026"/>
    <n v="3"/>
    <n v="237"/>
    <x v="4"/>
    <x v="4"/>
    <n v="24"/>
    <n v="72"/>
  </r>
  <r>
    <s v="ORD7679747"/>
    <s v="ITM018"/>
    <n v="3"/>
    <n v="477"/>
    <x v="15"/>
    <x v="1"/>
    <n v="48"/>
    <n v="144"/>
  </r>
  <r>
    <s v="ORD7679747"/>
    <s v="ITM009"/>
    <n v="2"/>
    <n v="178"/>
    <x v="2"/>
    <x v="2"/>
    <n v="27"/>
    <n v="54"/>
  </r>
  <r>
    <s v="ORD1211654"/>
    <s v="ITM023"/>
    <n v="2"/>
    <n v="278"/>
    <x v="18"/>
    <x v="1"/>
    <n v="42"/>
    <n v="84"/>
  </r>
  <r>
    <s v="ORD7486289"/>
    <s v="ITM016"/>
    <n v="1"/>
    <n v="99"/>
    <x v="7"/>
    <x v="1"/>
    <n v="30"/>
    <n v="30"/>
  </r>
  <r>
    <s v="ORD7486289"/>
    <s v="ITM022"/>
    <n v="4"/>
    <n v="396"/>
    <x v="23"/>
    <x v="1"/>
    <n v="30"/>
    <n v="120"/>
  </r>
  <r>
    <s v="ORD7486289"/>
    <s v="ITM028"/>
    <n v="1"/>
    <n v="49"/>
    <x v="13"/>
    <x v="4"/>
    <n v="15"/>
    <n v="15"/>
  </r>
  <r>
    <s v="ORD7486289"/>
    <s v="ITM010"/>
    <n v="1"/>
    <n v="59"/>
    <x v="20"/>
    <x v="0"/>
    <n v="18"/>
    <n v="18"/>
  </r>
  <r>
    <s v="ORD7649465"/>
    <s v="ITM025"/>
    <n v="3"/>
    <n v="237"/>
    <x v="25"/>
    <x v="4"/>
    <n v="24"/>
    <n v="72"/>
  </r>
  <r>
    <s v="ORD7649465"/>
    <s v="ITM009"/>
    <n v="1"/>
    <n v="89"/>
    <x v="2"/>
    <x v="2"/>
    <n v="27"/>
    <n v="27"/>
  </r>
  <r>
    <s v="ORD9921066"/>
    <s v="ITM024"/>
    <n v="2"/>
    <n v="158"/>
    <x v="17"/>
    <x v="4"/>
    <n v="24"/>
    <n v="48"/>
  </r>
  <r>
    <s v="ORD9921066"/>
    <s v="ITM014"/>
    <n v="3"/>
    <n v="357"/>
    <x v="14"/>
    <x v="1"/>
    <n v="36"/>
    <n v="108"/>
  </r>
  <r>
    <s v="ORD9921066"/>
    <s v="ITM019"/>
    <n v="1"/>
    <n v="149"/>
    <x v="11"/>
    <x v="1"/>
    <n v="45"/>
    <n v="45"/>
  </r>
  <r>
    <s v="ORD9921066"/>
    <s v="ITM018"/>
    <n v="2"/>
    <n v="318"/>
    <x v="15"/>
    <x v="1"/>
    <n v="48"/>
    <n v="96"/>
  </r>
  <r>
    <s v="ORD3467652"/>
    <s v="ITM019"/>
    <n v="3"/>
    <n v="447"/>
    <x v="11"/>
    <x v="1"/>
    <n v="45"/>
    <n v="135"/>
  </r>
  <r>
    <s v="ORD3467652"/>
    <s v="ITM015"/>
    <n v="3"/>
    <n v="447"/>
    <x v="1"/>
    <x v="1"/>
    <n v="45"/>
    <n v="135"/>
  </r>
  <r>
    <s v="ORD2022082"/>
    <s v="ITM005"/>
    <n v="1"/>
    <n v="99"/>
    <x v="16"/>
    <x v="3"/>
    <n v="30"/>
    <n v="30"/>
  </r>
  <r>
    <s v="ORD2022082"/>
    <s v="ITM017"/>
    <n v="1"/>
    <n v="149"/>
    <x v="6"/>
    <x v="1"/>
    <n v="45"/>
    <n v="45"/>
  </r>
  <r>
    <s v="ORD2022082"/>
    <s v="ITM010"/>
    <n v="1"/>
    <n v="59"/>
    <x v="20"/>
    <x v="0"/>
    <n v="18"/>
    <n v="18"/>
  </r>
  <r>
    <s v="ORD2022082"/>
    <s v="ITM015"/>
    <n v="1"/>
    <n v="149"/>
    <x v="1"/>
    <x v="1"/>
    <n v="45"/>
    <n v="45"/>
  </r>
  <r>
    <s v="ORD3936508"/>
    <s v="ITM006"/>
    <n v="1"/>
    <n v="89"/>
    <x v="3"/>
    <x v="3"/>
    <n v="27"/>
    <n v="27"/>
  </r>
  <r>
    <s v="ORD3936508"/>
    <s v="ITM016"/>
    <n v="1"/>
    <n v="99"/>
    <x v="7"/>
    <x v="1"/>
    <n v="30"/>
    <n v="30"/>
  </r>
  <r>
    <s v="ORD9388090"/>
    <s v="ITM022"/>
    <n v="2"/>
    <n v="198"/>
    <x v="23"/>
    <x v="1"/>
    <n v="30"/>
    <n v="60"/>
  </r>
  <r>
    <s v="ORD9388090"/>
    <s v="ITM026"/>
    <n v="5"/>
    <n v="395"/>
    <x v="4"/>
    <x v="4"/>
    <n v="24"/>
    <n v="120"/>
  </r>
  <r>
    <s v="ORD3444535"/>
    <s v="ITM004"/>
    <n v="1"/>
    <n v="79"/>
    <x v="5"/>
    <x v="3"/>
    <n v="24"/>
    <n v="24"/>
  </r>
  <r>
    <s v="ORD7365316"/>
    <s v="ITM002"/>
    <n v="3"/>
    <n v="297"/>
    <x v="12"/>
    <x v="5"/>
    <n v="30"/>
    <n v="90"/>
  </r>
  <r>
    <s v="ORD1187973"/>
    <s v="ITM009"/>
    <n v="1"/>
    <n v="89"/>
    <x v="2"/>
    <x v="2"/>
    <n v="27"/>
    <n v="27"/>
  </r>
  <r>
    <s v="ORD6357379"/>
    <s v="ITM003"/>
    <n v="2"/>
    <n v="238"/>
    <x v="27"/>
    <x v="5"/>
    <n v="36"/>
    <n v="72"/>
  </r>
  <r>
    <s v="ORD6357379"/>
    <s v="ITM002"/>
    <n v="1"/>
    <n v="99"/>
    <x v="12"/>
    <x v="5"/>
    <n v="30"/>
    <n v="30"/>
  </r>
  <r>
    <s v="ORD6357379"/>
    <s v="ITM015"/>
    <n v="3"/>
    <n v="447"/>
    <x v="1"/>
    <x v="1"/>
    <n v="45"/>
    <n v="135"/>
  </r>
  <r>
    <s v="ORD6308180"/>
    <s v="ITM006"/>
    <n v="3"/>
    <n v="267"/>
    <x v="3"/>
    <x v="3"/>
    <n v="27"/>
    <n v="81"/>
  </r>
  <r>
    <s v="ORD8340617"/>
    <s v="ITM002"/>
    <n v="1"/>
    <n v="99"/>
    <x v="12"/>
    <x v="5"/>
    <n v="30"/>
    <n v="30"/>
  </r>
  <r>
    <s v="ORD8340617"/>
    <s v="ITM025"/>
    <n v="4"/>
    <n v="316"/>
    <x v="25"/>
    <x v="4"/>
    <n v="24"/>
    <n v="96"/>
  </r>
  <r>
    <s v="ORD2451929"/>
    <s v="ITM024"/>
    <n v="1"/>
    <n v="79"/>
    <x v="17"/>
    <x v="4"/>
    <n v="24"/>
    <n v="24"/>
  </r>
  <r>
    <s v="ORD2451929"/>
    <s v="ITM028"/>
    <n v="1"/>
    <n v="49"/>
    <x v="13"/>
    <x v="4"/>
    <n v="15"/>
    <n v="15"/>
  </r>
  <r>
    <s v="ORD2451929"/>
    <s v="ITM026"/>
    <n v="1"/>
    <n v="79"/>
    <x v="4"/>
    <x v="4"/>
    <n v="24"/>
    <n v="24"/>
  </r>
  <r>
    <s v="ORD9771006"/>
    <s v="ITM021"/>
    <n v="3"/>
    <n v="447"/>
    <x v="22"/>
    <x v="1"/>
    <n v="45"/>
    <n v="135"/>
  </r>
  <r>
    <s v="ORD7799074"/>
    <s v="ITM001"/>
    <n v="1"/>
    <n v="79"/>
    <x v="24"/>
    <x v="5"/>
    <n v="24"/>
    <n v="24"/>
  </r>
  <r>
    <s v="ORD7799074"/>
    <s v="ITM014"/>
    <n v="1"/>
    <n v="119"/>
    <x v="14"/>
    <x v="1"/>
    <n v="36"/>
    <n v="36"/>
  </r>
  <r>
    <s v="ORD9141900"/>
    <s v="ITM002"/>
    <n v="3"/>
    <n v="297"/>
    <x v="12"/>
    <x v="5"/>
    <n v="30"/>
    <n v="90"/>
  </r>
  <r>
    <s v="ORD1392144"/>
    <s v="ITM001"/>
    <n v="1"/>
    <n v="79"/>
    <x v="24"/>
    <x v="5"/>
    <n v="24"/>
    <n v="24"/>
  </r>
  <r>
    <s v="ORD1392144"/>
    <s v="ITM003"/>
    <n v="2"/>
    <n v="238"/>
    <x v="27"/>
    <x v="5"/>
    <n v="36"/>
    <n v="72"/>
  </r>
  <r>
    <s v="ORD4133513"/>
    <s v="ITM028"/>
    <n v="2"/>
    <n v="98"/>
    <x v="13"/>
    <x v="4"/>
    <n v="15"/>
    <n v="30"/>
  </r>
  <r>
    <s v="ORD9564714"/>
    <s v="ITM004"/>
    <n v="3"/>
    <n v="237"/>
    <x v="5"/>
    <x v="3"/>
    <n v="24"/>
    <n v="72"/>
  </r>
  <r>
    <s v="ORD9564714"/>
    <s v="ITM009"/>
    <n v="2"/>
    <n v="178"/>
    <x v="2"/>
    <x v="2"/>
    <n v="27"/>
    <n v="54"/>
  </r>
  <r>
    <s v="ORD9564714"/>
    <s v="ITM015"/>
    <n v="1"/>
    <n v="149"/>
    <x v="1"/>
    <x v="1"/>
    <n v="45"/>
    <n v="45"/>
  </r>
  <r>
    <s v="ORD7758079"/>
    <s v="ITM006"/>
    <n v="4"/>
    <n v="356"/>
    <x v="3"/>
    <x v="3"/>
    <n v="27"/>
    <n v="108"/>
  </r>
  <r>
    <s v="ORD7758079"/>
    <s v="ITM005"/>
    <n v="1"/>
    <n v="99"/>
    <x v="16"/>
    <x v="3"/>
    <n v="30"/>
    <n v="30"/>
  </r>
  <r>
    <s v="ORD3212752"/>
    <s v="ITM011"/>
    <n v="1"/>
    <n v="79"/>
    <x v="26"/>
    <x v="0"/>
    <n v="24"/>
    <n v="24"/>
  </r>
  <r>
    <s v="ORD3212752"/>
    <s v="ITM015"/>
    <n v="3"/>
    <n v="447"/>
    <x v="1"/>
    <x v="1"/>
    <n v="45"/>
    <n v="135"/>
  </r>
  <r>
    <s v="ORD3212752"/>
    <s v="ITM023"/>
    <n v="1"/>
    <n v="139"/>
    <x v="18"/>
    <x v="1"/>
    <n v="42"/>
    <n v="42"/>
  </r>
  <r>
    <s v="ORD3212752"/>
    <s v="ITM009"/>
    <n v="3"/>
    <n v="267"/>
    <x v="2"/>
    <x v="2"/>
    <n v="27"/>
    <n v="81"/>
  </r>
  <r>
    <s v="ORD1303026"/>
    <s v="ITM012"/>
    <n v="4"/>
    <n v="356"/>
    <x v="8"/>
    <x v="0"/>
    <n v="27"/>
    <n v="108"/>
  </r>
  <r>
    <s v="ORD5671550"/>
    <s v="ITM024"/>
    <n v="4"/>
    <n v="316"/>
    <x v="17"/>
    <x v="4"/>
    <n v="24"/>
    <n v="96"/>
  </r>
  <r>
    <s v="ORD5671550"/>
    <s v="ITM018"/>
    <n v="1"/>
    <n v="159"/>
    <x v="15"/>
    <x v="1"/>
    <n v="48"/>
    <n v="48"/>
  </r>
  <r>
    <s v="ORD5671550"/>
    <s v="ITM025"/>
    <n v="1"/>
    <n v="79"/>
    <x v="25"/>
    <x v="4"/>
    <n v="24"/>
    <n v="24"/>
  </r>
  <r>
    <s v="ORD5671550"/>
    <s v="ITM015"/>
    <n v="2"/>
    <n v="298"/>
    <x v="1"/>
    <x v="1"/>
    <n v="45"/>
    <n v="90"/>
  </r>
  <r>
    <s v="ORD8041150"/>
    <s v="ITM025"/>
    <n v="3"/>
    <n v="237"/>
    <x v="25"/>
    <x v="4"/>
    <n v="24"/>
    <n v="72"/>
  </r>
  <r>
    <s v="ORD8041150"/>
    <s v="ITM026"/>
    <n v="1"/>
    <n v="79"/>
    <x v="4"/>
    <x v="4"/>
    <n v="24"/>
    <n v="24"/>
  </r>
  <r>
    <s v="ORD1989886"/>
    <s v="ITM012"/>
    <n v="1"/>
    <n v="89"/>
    <x v="8"/>
    <x v="0"/>
    <n v="27"/>
    <n v="27"/>
  </r>
  <r>
    <s v="ORD2356787"/>
    <s v="ITM007"/>
    <n v="1"/>
    <n v="79"/>
    <x v="19"/>
    <x v="2"/>
    <n v="24"/>
    <n v="24"/>
  </r>
  <r>
    <s v="ORD2356787"/>
    <s v="ITM022"/>
    <n v="2"/>
    <n v="198"/>
    <x v="23"/>
    <x v="1"/>
    <n v="30"/>
    <n v="60"/>
  </r>
  <r>
    <s v="ORD1077233"/>
    <s v="ITM028"/>
    <n v="1"/>
    <n v="49"/>
    <x v="13"/>
    <x v="4"/>
    <n v="15"/>
    <n v="15"/>
  </r>
  <r>
    <s v="ORD1077233"/>
    <s v="ITM020"/>
    <n v="2"/>
    <n v="318"/>
    <x v="21"/>
    <x v="1"/>
    <n v="48"/>
    <n v="96"/>
  </r>
  <r>
    <s v="ORD9756078"/>
    <s v="ITM016"/>
    <n v="3"/>
    <n v="297"/>
    <x v="7"/>
    <x v="1"/>
    <n v="30"/>
    <n v="90"/>
  </r>
  <r>
    <s v="ORD9756078"/>
    <s v="ITM007"/>
    <n v="1"/>
    <n v="79"/>
    <x v="19"/>
    <x v="2"/>
    <n v="24"/>
    <n v="24"/>
  </r>
  <r>
    <s v="ORD9634736"/>
    <s v="ITM006"/>
    <n v="3"/>
    <n v="267"/>
    <x v="3"/>
    <x v="3"/>
    <n v="27"/>
    <n v="81"/>
  </r>
  <r>
    <s v="ORD9634736"/>
    <s v="ITM007"/>
    <n v="3"/>
    <n v="237"/>
    <x v="19"/>
    <x v="2"/>
    <n v="24"/>
    <n v="72"/>
  </r>
  <r>
    <s v="ORD9634736"/>
    <s v="ITM016"/>
    <n v="1"/>
    <n v="99"/>
    <x v="7"/>
    <x v="1"/>
    <n v="30"/>
    <n v="30"/>
  </r>
  <r>
    <s v="ORD9634736"/>
    <s v="ITM009"/>
    <n v="1"/>
    <n v="89"/>
    <x v="2"/>
    <x v="2"/>
    <n v="27"/>
    <n v="27"/>
  </r>
  <r>
    <s v="ORD8856301"/>
    <s v="ITM024"/>
    <n v="1"/>
    <n v="79"/>
    <x v="17"/>
    <x v="4"/>
    <n v="24"/>
    <n v="24"/>
  </r>
  <r>
    <s v="ORD8856301"/>
    <s v="ITM022"/>
    <n v="1"/>
    <n v="99"/>
    <x v="23"/>
    <x v="1"/>
    <n v="30"/>
    <n v="30"/>
  </r>
  <r>
    <s v="ORD5580322"/>
    <s v="ITM014"/>
    <n v="2"/>
    <n v="238"/>
    <x v="14"/>
    <x v="1"/>
    <n v="36"/>
    <n v="72"/>
  </r>
  <r>
    <s v="ORD5580322"/>
    <s v="ITM021"/>
    <n v="1"/>
    <n v="149"/>
    <x v="22"/>
    <x v="1"/>
    <n v="45"/>
    <n v="45"/>
  </r>
  <r>
    <s v="ORD3967499"/>
    <s v="ITM025"/>
    <n v="1"/>
    <n v="79"/>
    <x v="25"/>
    <x v="4"/>
    <n v="24"/>
    <n v="24"/>
  </r>
  <r>
    <s v="ORD3967499"/>
    <s v="ITM027"/>
    <n v="4"/>
    <n v="316"/>
    <x v="10"/>
    <x v="4"/>
    <n v="24"/>
    <n v="96"/>
  </r>
  <r>
    <s v="ORD3967499"/>
    <s v="ITM028"/>
    <n v="2"/>
    <n v="98"/>
    <x v="13"/>
    <x v="4"/>
    <n v="15"/>
    <n v="30"/>
  </r>
  <r>
    <s v="ORD3967499"/>
    <s v="ITM012"/>
    <n v="1"/>
    <n v="89"/>
    <x v="8"/>
    <x v="0"/>
    <n v="27"/>
    <n v="27"/>
  </r>
  <r>
    <s v="ORD6912948"/>
    <s v="ITM006"/>
    <n v="1"/>
    <n v="89"/>
    <x v="3"/>
    <x v="3"/>
    <n v="27"/>
    <n v="27"/>
  </r>
  <r>
    <s v="ORD6912948"/>
    <s v="ITM012"/>
    <n v="3"/>
    <n v="267"/>
    <x v="8"/>
    <x v="0"/>
    <n v="27"/>
    <n v="81"/>
  </r>
  <r>
    <s v="ORD6192100"/>
    <s v="ITM004"/>
    <n v="1"/>
    <n v="79"/>
    <x v="5"/>
    <x v="3"/>
    <n v="24"/>
    <n v="24"/>
  </r>
  <r>
    <s v="ORD6192100"/>
    <s v="ITM024"/>
    <n v="1"/>
    <n v="79"/>
    <x v="17"/>
    <x v="4"/>
    <n v="24"/>
    <n v="24"/>
  </r>
  <r>
    <s v="ORD6192100"/>
    <s v="ITM017"/>
    <n v="3"/>
    <n v="447"/>
    <x v="6"/>
    <x v="1"/>
    <n v="45"/>
    <n v="135"/>
  </r>
  <r>
    <s v="ORD8468968"/>
    <s v="ITM020"/>
    <n v="1"/>
    <n v="159"/>
    <x v="21"/>
    <x v="1"/>
    <n v="48"/>
    <n v="48"/>
  </r>
  <r>
    <s v="ORD2395156"/>
    <s v="ITM006"/>
    <n v="3"/>
    <n v="267"/>
    <x v="3"/>
    <x v="3"/>
    <n v="27"/>
    <n v="81"/>
  </r>
  <r>
    <s v="ORD2395156"/>
    <s v="ITM024"/>
    <n v="4"/>
    <n v="316"/>
    <x v="17"/>
    <x v="4"/>
    <n v="24"/>
    <n v="96"/>
  </r>
  <r>
    <s v="ORD2395156"/>
    <s v="ITM019"/>
    <n v="1"/>
    <n v="149"/>
    <x v="11"/>
    <x v="1"/>
    <n v="45"/>
    <n v="45"/>
  </r>
  <r>
    <s v="ORD2395156"/>
    <s v="ITM025"/>
    <n v="5"/>
    <n v="395"/>
    <x v="25"/>
    <x v="4"/>
    <n v="24"/>
    <n v="120"/>
  </r>
  <r>
    <s v="ORD4600370"/>
    <s v="ITM011"/>
    <n v="1"/>
    <n v="79"/>
    <x v="26"/>
    <x v="0"/>
    <n v="24"/>
    <n v="24"/>
  </r>
  <r>
    <s v="ORD4600370"/>
    <s v="ITM022"/>
    <n v="4"/>
    <n v="396"/>
    <x v="23"/>
    <x v="1"/>
    <n v="30"/>
    <n v="120"/>
  </r>
  <r>
    <s v="ORD4600370"/>
    <s v="ITM019"/>
    <n v="1"/>
    <n v="149"/>
    <x v="11"/>
    <x v="1"/>
    <n v="45"/>
    <n v="45"/>
  </r>
  <r>
    <s v="ORD4600370"/>
    <s v="ITM017"/>
    <n v="1"/>
    <n v="149"/>
    <x v="6"/>
    <x v="1"/>
    <n v="45"/>
    <n v="45"/>
  </r>
  <r>
    <s v="ORD8779521"/>
    <s v="ITM020"/>
    <n v="1"/>
    <n v="159"/>
    <x v="21"/>
    <x v="1"/>
    <n v="48"/>
    <n v="48"/>
  </r>
  <r>
    <s v="ORD8779521"/>
    <s v="ITM017"/>
    <n v="1"/>
    <n v="149"/>
    <x v="6"/>
    <x v="1"/>
    <n v="45"/>
    <n v="45"/>
  </r>
  <r>
    <s v="ORD8779521"/>
    <s v="ITM026"/>
    <n v="1"/>
    <n v="79"/>
    <x v="4"/>
    <x v="4"/>
    <n v="24"/>
    <n v="24"/>
  </r>
  <r>
    <s v="ORD6101321"/>
    <s v="ITM004"/>
    <n v="1"/>
    <n v="79"/>
    <x v="5"/>
    <x v="3"/>
    <n v="24"/>
    <n v="24"/>
  </r>
  <r>
    <s v="ORD6101321"/>
    <s v="ITM024"/>
    <n v="1"/>
    <n v="79"/>
    <x v="17"/>
    <x v="4"/>
    <n v="24"/>
    <n v="24"/>
  </r>
  <r>
    <s v="ORD6031351"/>
    <s v="ITM027"/>
    <n v="4"/>
    <n v="316"/>
    <x v="10"/>
    <x v="4"/>
    <n v="24"/>
    <n v="96"/>
  </r>
  <r>
    <s v="ORD6031351"/>
    <s v="ITM018"/>
    <n v="4"/>
    <n v="636"/>
    <x v="15"/>
    <x v="1"/>
    <n v="48"/>
    <n v="192"/>
  </r>
  <r>
    <s v="ORD6031351"/>
    <s v="ITM028"/>
    <n v="1"/>
    <n v="49"/>
    <x v="13"/>
    <x v="4"/>
    <n v="15"/>
    <n v="15"/>
  </r>
  <r>
    <s v="ORD6031351"/>
    <s v="ITM010"/>
    <n v="3"/>
    <n v="177"/>
    <x v="20"/>
    <x v="0"/>
    <n v="18"/>
    <n v="54"/>
  </r>
  <r>
    <s v="ORD1557971"/>
    <s v="ITM026"/>
    <n v="1"/>
    <n v="79"/>
    <x v="4"/>
    <x v="4"/>
    <n v="24"/>
    <n v="24"/>
  </r>
  <r>
    <s v="ORD1557971"/>
    <s v="ITM015"/>
    <n v="1"/>
    <n v="149"/>
    <x v="1"/>
    <x v="1"/>
    <n v="45"/>
    <n v="45"/>
  </r>
  <r>
    <s v="ORD8369095"/>
    <s v="ITM024"/>
    <n v="5"/>
    <n v="395"/>
    <x v="17"/>
    <x v="4"/>
    <n v="24"/>
    <n v="120"/>
  </r>
  <r>
    <s v="ORD8369095"/>
    <s v="ITM021"/>
    <n v="2"/>
    <n v="298"/>
    <x v="22"/>
    <x v="1"/>
    <n v="45"/>
    <n v="90"/>
  </r>
  <r>
    <s v="ORD5848213"/>
    <s v="ITM007"/>
    <n v="1"/>
    <n v="79"/>
    <x v="19"/>
    <x v="2"/>
    <n v="24"/>
    <n v="24"/>
  </r>
  <r>
    <s v="ORD5848213"/>
    <s v="ITM027"/>
    <n v="2"/>
    <n v="158"/>
    <x v="10"/>
    <x v="4"/>
    <n v="24"/>
    <n v="48"/>
  </r>
  <r>
    <s v="ORD5848213"/>
    <s v="ITM012"/>
    <n v="1"/>
    <n v="89"/>
    <x v="8"/>
    <x v="0"/>
    <n v="27"/>
    <n v="27"/>
  </r>
  <r>
    <s v="ORD1185458"/>
    <s v="ITM028"/>
    <n v="1"/>
    <n v="49"/>
    <x v="13"/>
    <x v="4"/>
    <n v="15"/>
    <n v="15"/>
  </r>
  <r>
    <s v="ORD1185458"/>
    <s v="ITM010"/>
    <n v="1"/>
    <n v="59"/>
    <x v="20"/>
    <x v="0"/>
    <n v="18"/>
    <n v="18"/>
  </r>
  <r>
    <s v="ORD3507382"/>
    <s v="ITM003"/>
    <n v="3"/>
    <n v="357"/>
    <x v="27"/>
    <x v="5"/>
    <n v="36"/>
    <n v="108"/>
  </r>
  <r>
    <s v="ORD3507382"/>
    <s v="ITM023"/>
    <n v="1"/>
    <n v="139"/>
    <x v="18"/>
    <x v="1"/>
    <n v="42"/>
    <n v="42"/>
  </r>
  <r>
    <s v="ORD3507382"/>
    <s v="ITM009"/>
    <n v="1"/>
    <n v="89"/>
    <x v="2"/>
    <x v="2"/>
    <n v="27"/>
    <n v="27"/>
  </r>
  <r>
    <s v="ORD7945843"/>
    <s v="ITM001"/>
    <n v="1"/>
    <n v="79"/>
    <x v="24"/>
    <x v="5"/>
    <n v="24"/>
    <n v="24"/>
  </r>
  <r>
    <s v="ORD7945843"/>
    <s v="ITM024"/>
    <n v="1"/>
    <n v="79"/>
    <x v="17"/>
    <x v="4"/>
    <n v="24"/>
    <n v="24"/>
  </r>
  <r>
    <s v="ORD8659445"/>
    <s v="ITM016"/>
    <n v="2"/>
    <n v="198"/>
    <x v="7"/>
    <x v="1"/>
    <n v="30"/>
    <n v="60"/>
  </r>
  <r>
    <s v="ORD8659445"/>
    <s v="ITM028"/>
    <n v="3"/>
    <n v="147"/>
    <x v="13"/>
    <x v="4"/>
    <n v="15"/>
    <n v="45"/>
  </r>
  <r>
    <s v="ORD7631049"/>
    <s v="ITM023"/>
    <n v="3"/>
    <n v="417"/>
    <x v="18"/>
    <x v="1"/>
    <n v="42"/>
    <n v="126"/>
  </r>
  <r>
    <s v="ORD7631049"/>
    <s v="ITM013"/>
    <n v="1"/>
    <n v="69"/>
    <x v="0"/>
    <x v="0"/>
    <n v="21"/>
    <n v="21"/>
  </r>
  <r>
    <s v="ORD8774013"/>
    <s v="ITM004"/>
    <n v="3"/>
    <n v="237"/>
    <x v="5"/>
    <x v="3"/>
    <n v="24"/>
    <n v="72"/>
  </r>
  <r>
    <s v="ORD8774013"/>
    <s v="ITM025"/>
    <n v="3"/>
    <n v="237"/>
    <x v="25"/>
    <x v="4"/>
    <n v="24"/>
    <n v="72"/>
  </r>
  <r>
    <s v="ORD2660519"/>
    <s v="ITM006"/>
    <n v="3"/>
    <n v="267"/>
    <x v="3"/>
    <x v="3"/>
    <n v="27"/>
    <n v="81"/>
  </r>
  <r>
    <s v="ORD2660519"/>
    <s v="ITM025"/>
    <n v="2"/>
    <n v="158"/>
    <x v="25"/>
    <x v="4"/>
    <n v="24"/>
    <n v="48"/>
  </r>
  <r>
    <s v="ORD2660519"/>
    <s v="ITM011"/>
    <n v="4"/>
    <n v="316"/>
    <x v="26"/>
    <x v="0"/>
    <n v="24"/>
    <n v="96"/>
  </r>
  <r>
    <s v="ORD8323766"/>
    <s v="ITM016"/>
    <n v="4"/>
    <n v="396"/>
    <x v="7"/>
    <x v="1"/>
    <n v="30"/>
    <n v="120"/>
  </r>
  <r>
    <s v="ORD8323766"/>
    <s v="ITM010"/>
    <n v="2"/>
    <n v="118"/>
    <x v="20"/>
    <x v="0"/>
    <n v="18"/>
    <n v="36"/>
  </r>
  <r>
    <s v="ORD8323766"/>
    <s v="ITM020"/>
    <n v="2"/>
    <n v="318"/>
    <x v="21"/>
    <x v="1"/>
    <n v="48"/>
    <n v="96"/>
  </r>
  <r>
    <s v="ORD1844630"/>
    <s v="ITM020"/>
    <n v="1"/>
    <n v="159"/>
    <x v="21"/>
    <x v="1"/>
    <n v="48"/>
    <n v="48"/>
  </r>
  <r>
    <s v="ORD1844630"/>
    <s v="ITM021"/>
    <n v="5"/>
    <n v="745"/>
    <x v="22"/>
    <x v="1"/>
    <n v="45"/>
    <n v="225"/>
  </r>
  <r>
    <s v="ORD1844630"/>
    <s v="ITM023"/>
    <n v="2"/>
    <n v="278"/>
    <x v="18"/>
    <x v="1"/>
    <n v="42"/>
    <n v="84"/>
  </r>
  <r>
    <s v="ORD1844630"/>
    <s v="ITM015"/>
    <n v="1"/>
    <n v="149"/>
    <x v="1"/>
    <x v="1"/>
    <n v="45"/>
    <n v="45"/>
  </r>
  <r>
    <s v="ORD6217575"/>
    <s v="ITM005"/>
    <n v="2"/>
    <n v="198"/>
    <x v="16"/>
    <x v="3"/>
    <n v="30"/>
    <n v="60"/>
  </r>
  <r>
    <s v="ORD6217575"/>
    <s v="ITM028"/>
    <n v="1"/>
    <n v="49"/>
    <x v="13"/>
    <x v="4"/>
    <n v="15"/>
    <n v="15"/>
  </r>
  <r>
    <s v="ORD6217575"/>
    <s v="ITM020"/>
    <n v="1"/>
    <n v="159"/>
    <x v="21"/>
    <x v="1"/>
    <n v="48"/>
    <n v="48"/>
  </r>
  <r>
    <s v="ORD3269458"/>
    <s v="ITM003"/>
    <n v="1"/>
    <n v="119"/>
    <x v="27"/>
    <x v="5"/>
    <n v="36"/>
    <n v="36"/>
  </r>
  <r>
    <s v="ORD7038145"/>
    <s v="ITM006"/>
    <n v="2"/>
    <n v="178"/>
    <x v="3"/>
    <x v="3"/>
    <n v="27"/>
    <n v="54"/>
  </r>
  <r>
    <s v="ORD7038145"/>
    <s v="ITM004"/>
    <n v="1"/>
    <n v="79"/>
    <x v="5"/>
    <x v="3"/>
    <n v="24"/>
    <n v="24"/>
  </r>
  <r>
    <s v="ORD7038145"/>
    <s v="ITM001"/>
    <n v="1"/>
    <n v="79"/>
    <x v="24"/>
    <x v="5"/>
    <n v="24"/>
    <n v="24"/>
  </r>
  <r>
    <s v="ORD8363632"/>
    <s v="ITM019"/>
    <n v="1"/>
    <n v="149"/>
    <x v="11"/>
    <x v="1"/>
    <n v="45"/>
    <n v="45"/>
  </r>
  <r>
    <s v="ORD8363632"/>
    <s v="ITM026"/>
    <n v="1"/>
    <n v="79"/>
    <x v="4"/>
    <x v="4"/>
    <n v="24"/>
    <n v="24"/>
  </r>
  <r>
    <s v="ORD1789113"/>
    <s v="ITM006"/>
    <n v="3"/>
    <n v="267"/>
    <x v="3"/>
    <x v="3"/>
    <n v="27"/>
    <n v="81"/>
  </r>
  <r>
    <s v="ORD1789113"/>
    <s v="ITM019"/>
    <n v="1"/>
    <n v="149"/>
    <x v="11"/>
    <x v="1"/>
    <n v="45"/>
    <n v="45"/>
  </r>
  <r>
    <s v="ORD2609837"/>
    <s v="ITM001"/>
    <n v="1"/>
    <n v="79"/>
    <x v="24"/>
    <x v="5"/>
    <n v="24"/>
    <n v="24"/>
  </r>
  <r>
    <s v="ORD2609837"/>
    <s v="ITM003"/>
    <n v="2"/>
    <n v="238"/>
    <x v="27"/>
    <x v="5"/>
    <n v="36"/>
    <n v="72"/>
  </r>
  <r>
    <s v="ORD2609837"/>
    <s v="ITM005"/>
    <n v="1"/>
    <n v="99"/>
    <x v="16"/>
    <x v="3"/>
    <n v="30"/>
    <n v="30"/>
  </r>
  <r>
    <s v="ORD1685796"/>
    <s v="ITM007"/>
    <n v="1"/>
    <n v="79"/>
    <x v="19"/>
    <x v="2"/>
    <n v="24"/>
    <n v="24"/>
  </r>
  <r>
    <s v="ORD1685796"/>
    <s v="ITM027"/>
    <n v="1"/>
    <n v="79"/>
    <x v="10"/>
    <x v="4"/>
    <n v="24"/>
    <n v="24"/>
  </r>
  <r>
    <s v="ORD1685796"/>
    <s v="ITM026"/>
    <n v="5"/>
    <n v="395"/>
    <x v="4"/>
    <x v="4"/>
    <n v="24"/>
    <n v="120"/>
  </r>
  <r>
    <s v="ORD4406178"/>
    <s v="ITM001"/>
    <n v="1"/>
    <n v="79"/>
    <x v="24"/>
    <x v="5"/>
    <n v="24"/>
    <n v="24"/>
  </r>
  <r>
    <s v="ORD4406178"/>
    <s v="ITM002"/>
    <n v="4"/>
    <n v="396"/>
    <x v="12"/>
    <x v="5"/>
    <n v="30"/>
    <n v="120"/>
  </r>
  <r>
    <s v="ORD7428437"/>
    <s v="ITM003"/>
    <n v="1"/>
    <n v="119"/>
    <x v="27"/>
    <x v="5"/>
    <n v="36"/>
    <n v="36"/>
  </r>
  <r>
    <s v="ORD7428437"/>
    <s v="ITM015"/>
    <n v="1"/>
    <n v="149"/>
    <x v="1"/>
    <x v="1"/>
    <n v="45"/>
    <n v="45"/>
  </r>
  <r>
    <s v="ORD7428437"/>
    <s v="ITM026"/>
    <n v="1"/>
    <n v="79"/>
    <x v="4"/>
    <x v="4"/>
    <n v="24"/>
    <n v="24"/>
  </r>
  <r>
    <s v="ORD7568552"/>
    <s v="ITM006"/>
    <n v="1"/>
    <n v="89"/>
    <x v="3"/>
    <x v="3"/>
    <n v="27"/>
    <n v="27"/>
  </r>
  <r>
    <s v="ORD7568552"/>
    <s v="ITM007"/>
    <n v="1"/>
    <n v="79"/>
    <x v="19"/>
    <x v="2"/>
    <n v="24"/>
    <n v="24"/>
  </r>
  <r>
    <s v="ORD7568552"/>
    <s v="ITM017"/>
    <n v="2"/>
    <n v="298"/>
    <x v="6"/>
    <x v="1"/>
    <n v="45"/>
    <n v="90"/>
  </r>
  <r>
    <s v="ORD2970838"/>
    <s v="ITM007"/>
    <n v="1"/>
    <n v="79"/>
    <x v="19"/>
    <x v="2"/>
    <n v="24"/>
    <n v="24"/>
  </r>
  <r>
    <s v="ORD2970838"/>
    <s v="ITM005"/>
    <n v="1"/>
    <n v="99"/>
    <x v="16"/>
    <x v="3"/>
    <n v="30"/>
    <n v="30"/>
  </r>
  <r>
    <s v="ORD9635016"/>
    <s v="ITM016"/>
    <n v="5"/>
    <n v="495"/>
    <x v="7"/>
    <x v="1"/>
    <n v="30"/>
    <n v="150"/>
  </r>
  <r>
    <s v="ORD9635016"/>
    <s v="ITM027"/>
    <n v="4"/>
    <n v="316"/>
    <x v="10"/>
    <x v="4"/>
    <n v="24"/>
    <n v="96"/>
  </r>
  <r>
    <s v="ORD9635016"/>
    <s v="ITM015"/>
    <n v="2"/>
    <n v="298"/>
    <x v="1"/>
    <x v="1"/>
    <n v="45"/>
    <n v="90"/>
  </r>
  <r>
    <s v="ORD2419946"/>
    <s v="ITM007"/>
    <n v="3"/>
    <n v="237"/>
    <x v="19"/>
    <x v="2"/>
    <n v="24"/>
    <n v="72"/>
  </r>
  <r>
    <s v="ORD2419946"/>
    <s v="ITM016"/>
    <n v="4"/>
    <n v="396"/>
    <x v="7"/>
    <x v="1"/>
    <n v="30"/>
    <n v="120"/>
  </r>
  <r>
    <s v="ORD2419946"/>
    <s v="ITM012"/>
    <n v="2"/>
    <n v="178"/>
    <x v="8"/>
    <x v="0"/>
    <n v="27"/>
    <n v="54"/>
  </r>
  <r>
    <s v="ORD7118155"/>
    <s v="ITM008"/>
    <n v="4"/>
    <n v="396"/>
    <x v="9"/>
    <x v="2"/>
    <n v="30"/>
    <n v="120"/>
  </r>
  <r>
    <s v="ORD7118155"/>
    <s v="ITM026"/>
    <n v="1"/>
    <n v="79"/>
    <x v="4"/>
    <x v="4"/>
    <n v="24"/>
    <n v="24"/>
  </r>
  <r>
    <s v="ORD7805976"/>
    <s v="ITM011"/>
    <n v="2"/>
    <n v="158"/>
    <x v="26"/>
    <x v="0"/>
    <n v="24"/>
    <n v="48"/>
  </r>
  <r>
    <s v="ORD7805976"/>
    <s v="ITM020"/>
    <n v="2"/>
    <n v="318"/>
    <x v="21"/>
    <x v="1"/>
    <n v="48"/>
    <n v="96"/>
  </r>
  <r>
    <s v="ORD5500507"/>
    <s v="ITM011"/>
    <n v="3"/>
    <n v="237"/>
    <x v="26"/>
    <x v="0"/>
    <n v="24"/>
    <n v="72"/>
  </r>
  <r>
    <s v="ORD5500507"/>
    <s v="ITM007"/>
    <n v="1"/>
    <n v="79"/>
    <x v="19"/>
    <x v="2"/>
    <n v="24"/>
    <n v="24"/>
  </r>
  <r>
    <s v="ORD5500507"/>
    <s v="ITM014"/>
    <n v="4"/>
    <n v="476"/>
    <x v="14"/>
    <x v="1"/>
    <n v="36"/>
    <n v="144"/>
  </r>
  <r>
    <s v="ORD3121867"/>
    <s v="ITM001"/>
    <n v="2"/>
    <n v="158"/>
    <x v="24"/>
    <x v="5"/>
    <n v="24"/>
    <n v="48"/>
  </r>
  <r>
    <s v="ORD3121867"/>
    <s v="ITM009"/>
    <n v="1"/>
    <n v="89"/>
    <x v="2"/>
    <x v="2"/>
    <n v="27"/>
    <n v="27"/>
  </r>
  <r>
    <s v="ORD4109904"/>
    <s v="ITM017"/>
    <n v="1"/>
    <n v="149"/>
    <x v="6"/>
    <x v="1"/>
    <n v="45"/>
    <n v="45"/>
  </r>
  <r>
    <s v="ORD4109904"/>
    <s v="ITM010"/>
    <n v="3"/>
    <n v="177"/>
    <x v="20"/>
    <x v="0"/>
    <n v="18"/>
    <n v="54"/>
  </r>
  <r>
    <s v="ORD4109904"/>
    <s v="ITM026"/>
    <n v="1"/>
    <n v="79"/>
    <x v="4"/>
    <x v="4"/>
    <n v="24"/>
    <n v="24"/>
  </r>
  <r>
    <s v="ORD2990842"/>
    <s v="ITM004"/>
    <n v="1"/>
    <n v="79"/>
    <x v="5"/>
    <x v="3"/>
    <n v="24"/>
    <n v="24"/>
  </r>
  <r>
    <s v="ORD2990842"/>
    <s v="ITM022"/>
    <n v="2"/>
    <n v="198"/>
    <x v="23"/>
    <x v="1"/>
    <n v="30"/>
    <n v="60"/>
  </r>
  <r>
    <s v="ORD7970196"/>
    <s v="ITM010"/>
    <n v="2"/>
    <n v="118"/>
    <x v="20"/>
    <x v="0"/>
    <n v="18"/>
    <n v="36"/>
  </r>
  <r>
    <s v="ORD7970196"/>
    <s v="ITM009"/>
    <n v="1"/>
    <n v="89"/>
    <x v="2"/>
    <x v="2"/>
    <n v="27"/>
    <n v="27"/>
  </r>
  <r>
    <s v="ORD1303197"/>
    <s v="ITM004"/>
    <n v="3"/>
    <n v="237"/>
    <x v="5"/>
    <x v="3"/>
    <n v="24"/>
    <n v="72"/>
  </r>
  <r>
    <s v="ORD1303197"/>
    <s v="ITM019"/>
    <n v="4"/>
    <n v="596"/>
    <x v="11"/>
    <x v="1"/>
    <n v="45"/>
    <n v="180"/>
  </r>
  <r>
    <s v="ORD1303197"/>
    <s v="ITM026"/>
    <n v="1"/>
    <n v="79"/>
    <x v="4"/>
    <x v="4"/>
    <n v="24"/>
    <n v="24"/>
  </r>
  <r>
    <s v="ORD7085903"/>
    <s v="ITM006"/>
    <n v="2"/>
    <n v="178"/>
    <x v="3"/>
    <x v="3"/>
    <n v="27"/>
    <n v="54"/>
  </r>
  <r>
    <s v="ORD7085903"/>
    <s v="ITM024"/>
    <n v="1"/>
    <n v="79"/>
    <x v="17"/>
    <x v="4"/>
    <n v="24"/>
    <n v="24"/>
  </r>
  <r>
    <s v="ORD7085903"/>
    <s v="ITM015"/>
    <n v="2"/>
    <n v="298"/>
    <x v="1"/>
    <x v="1"/>
    <n v="45"/>
    <n v="90"/>
  </r>
  <r>
    <s v="ORD1424716"/>
    <s v="ITM010"/>
    <n v="1"/>
    <n v="59"/>
    <x v="20"/>
    <x v="0"/>
    <n v="18"/>
    <n v="18"/>
  </r>
  <r>
    <s v="ORD1424716"/>
    <s v="ITM020"/>
    <n v="4"/>
    <n v="636"/>
    <x v="21"/>
    <x v="1"/>
    <n v="48"/>
    <n v="192"/>
  </r>
  <r>
    <s v="ORD8852250"/>
    <s v="ITM025"/>
    <n v="2"/>
    <n v="158"/>
    <x v="25"/>
    <x v="4"/>
    <n v="24"/>
    <n v="48"/>
  </r>
  <r>
    <s v="ORD7165419"/>
    <s v="ITM001"/>
    <n v="1"/>
    <n v="79"/>
    <x v="24"/>
    <x v="5"/>
    <n v="24"/>
    <n v="24"/>
  </r>
  <r>
    <s v="ORD7165419"/>
    <s v="ITM019"/>
    <n v="3"/>
    <n v="447"/>
    <x v="11"/>
    <x v="1"/>
    <n v="45"/>
    <n v="135"/>
  </r>
  <r>
    <s v="ORD7165419"/>
    <s v="ITM002"/>
    <n v="1"/>
    <n v="99"/>
    <x v="12"/>
    <x v="5"/>
    <n v="30"/>
    <n v="30"/>
  </r>
  <r>
    <s v="ORD6052021"/>
    <s v="ITM004"/>
    <n v="2"/>
    <n v="158"/>
    <x v="5"/>
    <x v="3"/>
    <n v="24"/>
    <n v="48"/>
  </r>
  <r>
    <s v="ORD6052021"/>
    <s v="ITM021"/>
    <n v="2"/>
    <n v="298"/>
    <x v="22"/>
    <x v="1"/>
    <n v="45"/>
    <n v="90"/>
  </r>
  <r>
    <s v="ORD6052021"/>
    <s v="ITM019"/>
    <n v="1"/>
    <n v="149"/>
    <x v="11"/>
    <x v="1"/>
    <n v="45"/>
    <n v="45"/>
  </r>
  <r>
    <s v="ORD6052021"/>
    <s v="ITM025"/>
    <n v="5"/>
    <n v="395"/>
    <x v="25"/>
    <x v="4"/>
    <n v="24"/>
    <n v="120"/>
  </r>
  <r>
    <s v="ORD9692233"/>
    <s v="ITM017"/>
    <n v="1"/>
    <n v="149"/>
    <x v="6"/>
    <x v="1"/>
    <n v="45"/>
    <n v="45"/>
  </r>
  <r>
    <s v="ORD9692233"/>
    <s v="ITM020"/>
    <n v="2"/>
    <n v="318"/>
    <x v="21"/>
    <x v="1"/>
    <n v="48"/>
    <n v="96"/>
  </r>
  <r>
    <s v="ORD4577047"/>
    <s v="ITM005"/>
    <n v="3"/>
    <n v="297"/>
    <x v="16"/>
    <x v="3"/>
    <n v="30"/>
    <n v="90"/>
  </r>
  <r>
    <s v="ORD4577047"/>
    <s v="ITM019"/>
    <n v="1"/>
    <n v="149"/>
    <x v="11"/>
    <x v="1"/>
    <n v="45"/>
    <n v="45"/>
  </r>
  <r>
    <s v="ORD8947055"/>
    <s v="ITM007"/>
    <n v="2"/>
    <n v="158"/>
    <x v="19"/>
    <x v="2"/>
    <n v="24"/>
    <n v="48"/>
  </r>
  <r>
    <s v="ORD8947055"/>
    <s v="ITM013"/>
    <n v="5"/>
    <n v="345"/>
    <x v="0"/>
    <x v="0"/>
    <n v="21"/>
    <n v="105"/>
  </r>
  <r>
    <s v="ORD9352271"/>
    <s v="ITM006"/>
    <n v="1"/>
    <n v="89"/>
    <x v="3"/>
    <x v="3"/>
    <n v="27"/>
    <n v="27"/>
  </r>
  <r>
    <s v="ORD9352271"/>
    <s v="ITM022"/>
    <n v="1"/>
    <n v="99"/>
    <x v="23"/>
    <x v="1"/>
    <n v="30"/>
    <n v="30"/>
  </r>
  <r>
    <s v="ORD4068301"/>
    <s v="ITM022"/>
    <n v="3"/>
    <n v="297"/>
    <x v="23"/>
    <x v="1"/>
    <n v="30"/>
    <n v="90"/>
  </r>
  <r>
    <s v="ORD4068301"/>
    <s v="ITM018"/>
    <n v="2"/>
    <n v="318"/>
    <x v="15"/>
    <x v="1"/>
    <n v="48"/>
    <n v="96"/>
  </r>
  <r>
    <s v="ORD4068301"/>
    <s v="ITM025"/>
    <n v="1"/>
    <n v="79"/>
    <x v="25"/>
    <x v="4"/>
    <n v="24"/>
    <n v="24"/>
  </r>
  <r>
    <s v="ORD4068301"/>
    <s v="ITM015"/>
    <n v="1"/>
    <n v="149"/>
    <x v="1"/>
    <x v="1"/>
    <n v="45"/>
    <n v="45"/>
  </r>
  <r>
    <s v="ORD3562992"/>
    <s v="ITM021"/>
    <n v="1"/>
    <n v="149"/>
    <x v="22"/>
    <x v="1"/>
    <n v="45"/>
    <n v="45"/>
  </r>
  <r>
    <s v="ORD3562992"/>
    <s v="ITM018"/>
    <n v="5"/>
    <n v="795"/>
    <x v="15"/>
    <x v="1"/>
    <n v="48"/>
    <n v="240"/>
  </r>
  <r>
    <s v="ORD3562992"/>
    <s v="ITM025"/>
    <n v="1"/>
    <n v="79"/>
    <x v="25"/>
    <x v="4"/>
    <n v="24"/>
    <n v="24"/>
  </r>
  <r>
    <s v="ORD3562992"/>
    <s v="ITM015"/>
    <n v="5"/>
    <n v="745"/>
    <x v="1"/>
    <x v="1"/>
    <n v="45"/>
    <n v="225"/>
  </r>
  <r>
    <s v="ORD3997051"/>
    <s v="ITM022"/>
    <n v="2"/>
    <n v="198"/>
    <x v="23"/>
    <x v="1"/>
    <n v="30"/>
    <n v="60"/>
  </r>
  <r>
    <s v="ORD3997051"/>
    <s v="ITM012"/>
    <n v="5"/>
    <n v="445"/>
    <x v="8"/>
    <x v="0"/>
    <n v="27"/>
    <n v="135"/>
  </r>
  <r>
    <s v="ORD9032737"/>
    <s v="ITM018"/>
    <n v="2"/>
    <n v="318"/>
    <x v="15"/>
    <x v="1"/>
    <n v="48"/>
    <n v="96"/>
  </r>
  <r>
    <s v="ORD9146459"/>
    <s v="ITM016"/>
    <n v="1"/>
    <n v="99"/>
    <x v="7"/>
    <x v="1"/>
    <n v="30"/>
    <n v="30"/>
  </r>
  <r>
    <s v="ORD9146459"/>
    <s v="ITM009"/>
    <n v="2"/>
    <n v="178"/>
    <x v="2"/>
    <x v="2"/>
    <n v="27"/>
    <n v="54"/>
  </r>
  <r>
    <s v="ORD5812104"/>
    <s v="ITM022"/>
    <n v="1"/>
    <n v="99"/>
    <x v="23"/>
    <x v="1"/>
    <n v="30"/>
    <n v="30"/>
  </r>
  <r>
    <s v="ORD5812104"/>
    <s v="ITM014"/>
    <n v="1"/>
    <n v="119"/>
    <x v="14"/>
    <x v="1"/>
    <n v="36"/>
    <n v="36"/>
  </r>
  <r>
    <s v="ORD3923931"/>
    <s v="ITM013"/>
    <n v="1"/>
    <n v="69"/>
    <x v="0"/>
    <x v="0"/>
    <n v="21"/>
    <n v="21"/>
  </r>
  <r>
    <s v="ORD3923931"/>
    <s v="ITM020"/>
    <n v="2"/>
    <n v="318"/>
    <x v="21"/>
    <x v="1"/>
    <n v="48"/>
    <n v="96"/>
  </r>
  <r>
    <s v="ORD7307818"/>
    <s v="ITM022"/>
    <n v="1"/>
    <n v="99"/>
    <x v="23"/>
    <x v="1"/>
    <n v="30"/>
    <n v="30"/>
  </r>
  <r>
    <s v="ORD7307818"/>
    <s v="ITM014"/>
    <n v="3"/>
    <n v="357"/>
    <x v="14"/>
    <x v="1"/>
    <n v="36"/>
    <n v="108"/>
  </r>
  <r>
    <s v="ORD7307818"/>
    <s v="ITM017"/>
    <n v="3"/>
    <n v="447"/>
    <x v="6"/>
    <x v="1"/>
    <n v="45"/>
    <n v="135"/>
  </r>
  <r>
    <s v="ORD7307818"/>
    <s v="ITM015"/>
    <n v="1"/>
    <n v="149"/>
    <x v="1"/>
    <x v="1"/>
    <n v="45"/>
    <n v="45"/>
  </r>
  <r>
    <s v="ORD2612189"/>
    <s v="ITM004"/>
    <n v="2"/>
    <n v="158"/>
    <x v="5"/>
    <x v="3"/>
    <n v="24"/>
    <n v="48"/>
  </r>
  <r>
    <s v="ORD2612189"/>
    <s v="ITM026"/>
    <n v="3"/>
    <n v="237"/>
    <x v="4"/>
    <x v="4"/>
    <n v="24"/>
    <n v="72"/>
  </r>
  <r>
    <s v="ORD2612189"/>
    <s v="ITM009"/>
    <n v="1"/>
    <n v="89"/>
    <x v="2"/>
    <x v="2"/>
    <n v="27"/>
    <n v="27"/>
  </r>
  <r>
    <s v="ORD9778172"/>
    <s v="ITM005"/>
    <n v="2"/>
    <n v="198"/>
    <x v="16"/>
    <x v="3"/>
    <n v="30"/>
    <n v="60"/>
  </r>
  <r>
    <s v="ORD9778172"/>
    <s v="ITM015"/>
    <n v="1"/>
    <n v="149"/>
    <x v="1"/>
    <x v="1"/>
    <n v="45"/>
    <n v="45"/>
  </r>
  <r>
    <s v="ORD8723932"/>
    <s v="ITM016"/>
    <n v="2"/>
    <n v="198"/>
    <x v="7"/>
    <x v="1"/>
    <n v="30"/>
    <n v="60"/>
  </r>
  <r>
    <s v="ORD8723932"/>
    <s v="ITM027"/>
    <n v="1"/>
    <n v="79"/>
    <x v="10"/>
    <x v="4"/>
    <n v="24"/>
    <n v="24"/>
  </r>
  <r>
    <s v="ORD8723932"/>
    <s v="ITM014"/>
    <n v="3"/>
    <n v="357"/>
    <x v="14"/>
    <x v="1"/>
    <n v="36"/>
    <n v="108"/>
  </r>
  <r>
    <s v="ORD7412776"/>
    <s v="ITM002"/>
    <n v="2"/>
    <n v="198"/>
    <x v="12"/>
    <x v="5"/>
    <n v="30"/>
    <n v="60"/>
  </r>
  <r>
    <s v="ORD7412776"/>
    <s v="ITM015"/>
    <n v="2"/>
    <n v="298"/>
    <x v="1"/>
    <x v="1"/>
    <n v="45"/>
    <n v="90"/>
  </r>
  <r>
    <s v="ORD1394582"/>
    <s v="ITM028"/>
    <n v="2"/>
    <n v="98"/>
    <x v="13"/>
    <x v="4"/>
    <n v="15"/>
    <n v="30"/>
  </r>
  <r>
    <s v="ORD1394582"/>
    <s v="ITM012"/>
    <n v="2"/>
    <n v="178"/>
    <x v="8"/>
    <x v="0"/>
    <n v="27"/>
    <n v="54"/>
  </r>
  <r>
    <s v="ORD8789111"/>
    <s v="ITM016"/>
    <n v="2"/>
    <n v="198"/>
    <x v="7"/>
    <x v="1"/>
    <n v="30"/>
    <n v="60"/>
  </r>
  <r>
    <s v="ORD8789111"/>
    <s v="ITM021"/>
    <n v="1"/>
    <n v="149"/>
    <x v="22"/>
    <x v="1"/>
    <n v="45"/>
    <n v="45"/>
  </r>
  <r>
    <s v="ORD6831067"/>
    <s v="ITM023"/>
    <n v="1"/>
    <n v="139"/>
    <x v="18"/>
    <x v="1"/>
    <n v="42"/>
    <n v="42"/>
  </r>
  <r>
    <s v="ORD6831067"/>
    <s v="ITM002"/>
    <n v="1"/>
    <n v="99"/>
    <x v="12"/>
    <x v="5"/>
    <n v="30"/>
    <n v="30"/>
  </r>
  <r>
    <s v="ORD4128472"/>
    <s v="ITM004"/>
    <n v="2"/>
    <n v="158"/>
    <x v="5"/>
    <x v="3"/>
    <n v="24"/>
    <n v="48"/>
  </r>
  <r>
    <s v="ORD4128472"/>
    <s v="ITM018"/>
    <n v="1"/>
    <n v="159"/>
    <x v="15"/>
    <x v="1"/>
    <n v="48"/>
    <n v="48"/>
  </r>
  <r>
    <s v="ORD1133496"/>
    <s v="ITM004"/>
    <n v="2"/>
    <n v="158"/>
    <x v="5"/>
    <x v="3"/>
    <n v="24"/>
    <n v="48"/>
  </r>
  <r>
    <s v="ORD1133496"/>
    <s v="ITM016"/>
    <n v="2"/>
    <n v="198"/>
    <x v="7"/>
    <x v="1"/>
    <n v="30"/>
    <n v="60"/>
  </r>
  <r>
    <s v="ORD6627064"/>
    <s v="ITM013"/>
    <n v="1"/>
    <n v="69"/>
    <x v="0"/>
    <x v="0"/>
    <n v="21"/>
    <n v="21"/>
  </r>
  <r>
    <s v="ORD6627064"/>
    <s v="ITM025"/>
    <n v="1"/>
    <n v="79"/>
    <x v="25"/>
    <x v="4"/>
    <n v="24"/>
    <n v="24"/>
  </r>
  <r>
    <s v="ORD5318419"/>
    <s v="ITM004"/>
    <n v="2"/>
    <n v="158"/>
    <x v="5"/>
    <x v="3"/>
    <n v="24"/>
    <n v="48"/>
  </r>
  <r>
    <s v="ORD5318419"/>
    <s v="ITM017"/>
    <n v="1"/>
    <n v="149"/>
    <x v="6"/>
    <x v="1"/>
    <n v="45"/>
    <n v="45"/>
  </r>
  <r>
    <s v="ORD5318419"/>
    <s v="ITM009"/>
    <n v="2"/>
    <n v="178"/>
    <x v="2"/>
    <x v="2"/>
    <n v="27"/>
    <n v="54"/>
  </r>
  <r>
    <s v="ORD5523795"/>
    <s v="ITM016"/>
    <n v="2"/>
    <n v="198"/>
    <x v="7"/>
    <x v="1"/>
    <n v="30"/>
    <n v="60"/>
  </r>
  <r>
    <s v="ORD5523795"/>
    <s v="ITM019"/>
    <n v="2"/>
    <n v="298"/>
    <x v="11"/>
    <x v="1"/>
    <n v="45"/>
    <n v="90"/>
  </r>
  <r>
    <s v="ORD4666262"/>
    <s v="ITM016"/>
    <n v="3"/>
    <n v="297"/>
    <x v="7"/>
    <x v="1"/>
    <n v="30"/>
    <n v="90"/>
  </r>
  <r>
    <s v="ORD4666262"/>
    <s v="ITM021"/>
    <n v="1"/>
    <n v="149"/>
    <x v="22"/>
    <x v="1"/>
    <n v="45"/>
    <n v="45"/>
  </r>
  <r>
    <s v="ORD3908113"/>
    <s v="ITM009"/>
    <n v="1"/>
    <n v="89"/>
    <x v="2"/>
    <x v="2"/>
    <n v="27"/>
    <n v="27"/>
  </r>
  <r>
    <s v="ORD3908113"/>
    <s v="ITM021"/>
    <n v="1"/>
    <n v="149"/>
    <x v="22"/>
    <x v="1"/>
    <n v="45"/>
    <n v="45"/>
  </r>
  <r>
    <s v="ORD3908113"/>
    <s v="ITM023"/>
    <n v="2"/>
    <n v="278"/>
    <x v="18"/>
    <x v="1"/>
    <n v="42"/>
    <n v="84"/>
  </r>
  <r>
    <s v="ORD3908113"/>
    <s v="ITM015"/>
    <n v="1"/>
    <n v="149"/>
    <x v="1"/>
    <x v="1"/>
    <n v="45"/>
    <n v="45"/>
  </r>
  <r>
    <s v="ORD6062881"/>
    <s v="ITM003"/>
    <n v="2"/>
    <n v="238"/>
    <x v="27"/>
    <x v="5"/>
    <n v="36"/>
    <n v="72"/>
  </r>
  <r>
    <s v="ORD6062881"/>
    <s v="ITM023"/>
    <n v="1"/>
    <n v="139"/>
    <x v="18"/>
    <x v="1"/>
    <n v="42"/>
    <n v="42"/>
  </r>
  <r>
    <s v="ORD6062881"/>
    <s v="ITM012"/>
    <n v="1"/>
    <n v="89"/>
    <x v="8"/>
    <x v="0"/>
    <n v="27"/>
    <n v="27"/>
  </r>
  <r>
    <s v="ORD6592155"/>
    <s v="ITM016"/>
    <n v="2"/>
    <n v="198"/>
    <x v="7"/>
    <x v="1"/>
    <n v="30"/>
    <n v="60"/>
  </r>
  <r>
    <s v="ORD6592155"/>
    <s v="ITM017"/>
    <n v="3"/>
    <n v="447"/>
    <x v="6"/>
    <x v="1"/>
    <n v="45"/>
    <n v="135"/>
  </r>
  <r>
    <s v="ORD6592155"/>
    <s v="ITM006"/>
    <n v="5"/>
    <n v="445"/>
    <x v="3"/>
    <x v="3"/>
    <n v="27"/>
    <n v="135"/>
  </r>
  <r>
    <s v="ORD5380387"/>
    <s v="ITM006"/>
    <n v="1"/>
    <n v="89"/>
    <x v="3"/>
    <x v="3"/>
    <n v="27"/>
    <n v="27"/>
  </r>
  <r>
    <s v="ORD5380387"/>
    <s v="ITM019"/>
    <n v="1"/>
    <n v="149"/>
    <x v="11"/>
    <x v="1"/>
    <n v="45"/>
    <n v="45"/>
  </r>
  <r>
    <s v="ORD5380387"/>
    <s v="ITM012"/>
    <n v="4"/>
    <n v="356"/>
    <x v="8"/>
    <x v="0"/>
    <n v="27"/>
    <n v="108"/>
  </r>
  <r>
    <s v="ORD3277202"/>
    <s v="ITM006"/>
    <n v="2"/>
    <n v="178"/>
    <x v="3"/>
    <x v="3"/>
    <n v="27"/>
    <n v="54"/>
  </r>
  <r>
    <s v="ORD3277202"/>
    <s v="ITM014"/>
    <n v="1"/>
    <n v="119"/>
    <x v="14"/>
    <x v="1"/>
    <n v="36"/>
    <n v="36"/>
  </r>
  <r>
    <s v="ORD3277202"/>
    <s v="ITM013"/>
    <n v="1"/>
    <n v="69"/>
    <x v="0"/>
    <x v="0"/>
    <n v="21"/>
    <n v="21"/>
  </r>
  <r>
    <s v="ORD7647888"/>
    <s v="ITM022"/>
    <n v="2"/>
    <n v="198"/>
    <x v="23"/>
    <x v="1"/>
    <n v="30"/>
    <n v="60"/>
  </r>
  <r>
    <s v="ORD7647888"/>
    <s v="ITM018"/>
    <n v="4"/>
    <n v="636"/>
    <x v="15"/>
    <x v="1"/>
    <n v="48"/>
    <n v="192"/>
  </r>
  <r>
    <s v="ORD7647888"/>
    <s v="ITM002"/>
    <n v="2"/>
    <n v="198"/>
    <x v="12"/>
    <x v="5"/>
    <n v="30"/>
    <n v="60"/>
  </r>
  <r>
    <s v="ORD7647888"/>
    <s v="ITM028"/>
    <n v="1"/>
    <n v="49"/>
    <x v="13"/>
    <x v="4"/>
    <n v="15"/>
    <n v="15"/>
  </r>
  <r>
    <s v="ORD9175462"/>
    <s v="ITM003"/>
    <n v="3"/>
    <n v="357"/>
    <x v="27"/>
    <x v="5"/>
    <n v="36"/>
    <n v="108"/>
  </r>
  <r>
    <s v="ORD9175462"/>
    <s v="ITM008"/>
    <n v="1"/>
    <n v="99"/>
    <x v="9"/>
    <x v="2"/>
    <n v="30"/>
    <n v="30"/>
  </r>
  <r>
    <s v="ORD9175462"/>
    <s v="ITM028"/>
    <n v="1"/>
    <n v="49"/>
    <x v="13"/>
    <x v="4"/>
    <n v="15"/>
    <n v="15"/>
  </r>
  <r>
    <s v="ORD9175462"/>
    <s v="ITM009"/>
    <n v="3"/>
    <n v="267"/>
    <x v="2"/>
    <x v="2"/>
    <n v="27"/>
    <n v="81"/>
  </r>
  <r>
    <s v="ORD7557264"/>
    <s v="ITM021"/>
    <n v="3"/>
    <n v="447"/>
    <x v="22"/>
    <x v="1"/>
    <n v="45"/>
    <n v="135"/>
  </r>
  <r>
    <s v="ORD7557264"/>
    <s v="ITM020"/>
    <n v="3"/>
    <n v="477"/>
    <x v="21"/>
    <x v="1"/>
    <n v="48"/>
    <n v="144"/>
  </r>
  <r>
    <s v="ORD1272490"/>
    <s v="ITM004"/>
    <n v="1"/>
    <n v="79"/>
    <x v="5"/>
    <x v="3"/>
    <n v="24"/>
    <n v="24"/>
  </r>
  <r>
    <s v="ORD1272490"/>
    <s v="ITM017"/>
    <n v="1"/>
    <n v="149"/>
    <x v="6"/>
    <x v="1"/>
    <n v="45"/>
    <n v="45"/>
  </r>
  <r>
    <s v="ORD8176895"/>
    <s v="ITM022"/>
    <n v="1"/>
    <n v="99"/>
    <x v="23"/>
    <x v="1"/>
    <n v="30"/>
    <n v="30"/>
  </r>
  <r>
    <s v="ORD8176895"/>
    <s v="ITM014"/>
    <n v="3"/>
    <n v="357"/>
    <x v="14"/>
    <x v="1"/>
    <n v="36"/>
    <n v="108"/>
  </r>
  <r>
    <s v="ORD7210843"/>
    <s v="ITM026"/>
    <n v="1"/>
    <n v="79"/>
    <x v="4"/>
    <x v="4"/>
    <n v="24"/>
    <n v="24"/>
  </r>
  <r>
    <s v="ORD5544163"/>
    <s v="ITM016"/>
    <n v="2"/>
    <n v="198"/>
    <x v="7"/>
    <x v="1"/>
    <n v="30"/>
    <n v="60"/>
  </r>
  <r>
    <s v="ORD3741507"/>
    <s v="ITM024"/>
    <n v="3"/>
    <n v="237"/>
    <x v="17"/>
    <x v="4"/>
    <n v="24"/>
    <n v="72"/>
  </r>
  <r>
    <s v="ORD3741507"/>
    <s v="ITM002"/>
    <n v="2"/>
    <n v="198"/>
    <x v="12"/>
    <x v="5"/>
    <n v="30"/>
    <n v="60"/>
  </r>
  <r>
    <s v="ORD8990770"/>
    <s v="ITM004"/>
    <n v="3"/>
    <n v="237"/>
    <x v="5"/>
    <x v="3"/>
    <n v="24"/>
    <n v="72"/>
  </r>
  <r>
    <s v="ORD8990770"/>
    <s v="ITM008"/>
    <n v="2"/>
    <n v="198"/>
    <x v="9"/>
    <x v="2"/>
    <n v="30"/>
    <n v="60"/>
  </r>
  <r>
    <s v="ORD8393823"/>
    <s v="ITM014"/>
    <n v="4"/>
    <n v="476"/>
    <x v="14"/>
    <x v="1"/>
    <n v="36"/>
    <n v="144"/>
  </r>
  <r>
    <s v="ORD8393823"/>
    <s v="ITM005"/>
    <n v="1"/>
    <n v="99"/>
    <x v="16"/>
    <x v="3"/>
    <n v="30"/>
    <n v="30"/>
  </r>
  <r>
    <s v="ORD8393823"/>
    <s v="ITM015"/>
    <n v="1"/>
    <n v="149"/>
    <x v="1"/>
    <x v="1"/>
    <n v="45"/>
    <n v="45"/>
  </r>
  <r>
    <s v="ORD9955283"/>
    <s v="ITM005"/>
    <n v="1"/>
    <n v="99"/>
    <x v="16"/>
    <x v="3"/>
    <n v="30"/>
    <n v="30"/>
  </r>
  <r>
    <s v="ORD9955283"/>
    <s v="ITM025"/>
    <n v="1"/>
    <n v="79"/>
    <x v="25"/>
    <x v="4"/>
    <n v="24"/>
    <n v="24"/>
  </r>
  <r>
    <s v="ORD9955283"/>
    <s v="ITM020"/>
    <n v="1"/>
    <n v="159"/>
    <x v="21"/>
    <x v="1"/>
    <n v="48"/>
    <n v="48"/>
  </r>
  <r>
    <s v="ORD1790983"/>
    <s v="ITM027"/>
    <n v="5"/>
    <n v="395"/>
    <x v="10"/>
    <x v="4"/>
    <n v="24"/>
    <n v="120"/>
  </r>
  <r>
    <s v="ORD1790983"/>
    <s v="ITM019"/>
    <n v="2"/>
    <n v="298"/>
    <x v="11"/>
    <x v="1"/>
    <n v="45"/>
    <n v="90"/>
  </r>
  <r>
    <s v="ORD1790983"/>
    <s v="ITM002"/>
    <n v="3"/>
    <n v="297"/>
    <x v="12"/>
    <x v="5"/>
    <n v="30"/>
    <n v="90"/>
  </r>
  <r>
    <s v="ORD9132441"/>
    <s v="ITM022"/>
    <n v="1"/>
    <n v="99"/>
    <x v="23"/>
    <x v="1"/>
    <n v="30"/>
    <n v="30"/>
  </r>
  <r>
    <s v="ORD9132441"/>
    <s v="ITM017"/>
    <n v="2"/>
    <n v="298"/>
    <x v="6"/>
    <x v="1"/>
    <n v="45"/>
    <n v="90"/>
  </r>
  <r>
    <s v="ORD9132441"/>
    <s v="ITM026"/>
    <n v="2"/>
    <n v="158"/>
    <x v="4"/>
    <x v="4"/>
    <n v="24"/>
    <n v="48"/>
  </r>
  <r>
    <s v="ORD9287806"/>
    <s v="ITM005"/>
    <n v="1"/>
    <n v="99"/>
    <x v="16"/>
    <x v="3"/>
    <n v="30"/>
    <n v="30"/>
  </r>
  <r>
    <s v="ORD9287806"/>
    <s v="ITM015"/>
    <n v="1"/>
    <n v="149"/>
    <x v="1"/>
    <x v="1"/>
    <n v="45"/>
    <n v="45"/>
  </r>
  <r>
    <s v="ORD2895605"/>
    <s v="ITM019"/>
    <n v="1"/>
    <n v="149"/>
    <x v="11"/>
    <x v="1"/>
    <n v="45"/>
    <n v="45"/>
  </r>
  <r>
    <s v="ORD4279979"/>
    <s v="ITM001"/>
    <n v="2"/>
    <n v="158"/>
    <x v="24"/>
    <x v="5"/>
    <n v="24"/>
    <n v="48"/>
  </r>
  <r>
    <s v="ORD4279979"/>
    <s v="ITM014"/>
    <n v="2"/>
    <n v="238"/>
    <x v="14"/>
    <x v="1"/>
    <n v="36"/>
    <n v="72"/>
  </r>
  <r>
    <s v="ORD4279979"/>
    <s v="ITM025"/>
    <n v="2"/>
    <n v="158"/>
    <x v="25"/>
    <x v="4"/>
    <n v="24"/>
    <n v="48"/>
  </r>
  <r>
    <s v="ORD4279979"/>
    <s v="ITM009"/>
    <n v="2"/>
    <n v="178"/>
    <x v="2"/>
    <x v="2"/>
    <n v="27"/>
    <n v="54"/>
  </r>
  <r>
    <s v="ORD7333787"/>
    <s v="ITM003"/>
    <n v="3"/>
    <n v="357"/>
    <x v="27"/>
    <x v="5"/>
    <n v="36"/>
    <n v="108"/>
  </r>
  <r>
    <s v="ORD7333787"/>
    <s v="ITM021"/>
    <n v="1"/>
    <n v="149"/>
    <x v="22"/>
    <x v="1"/>
    <n v="45"/>
    <n v="45"/>
  </r>
  <r>
    <s v="ORD7333787"/>
    <s v="ITM010"/>
    <n v="1"/>
    <n v="59"/>
    <x v="20"/>
    <x v="0"/>
    <n v="18"/>
    <n v="18"/>
  </r>
  <r>
    <s v="ORD6310532"/>
    <s v="ITM006"/>
    <n v="2"/>
    <n v="178"/>
    <x v="3"/>
    <x v="3"/>
    <n v="27"/>
    <n v="54"/>
  </r>
  <r>
    <s v="ORD6310532"/>
    <s v="ITM025"/>
    <n v="3"/>
    <n v="237"/>
    <x v="25"/>
    <x v="4"/>
    <n v="24"/>
    <n v="72"/>
  </r>
  <r>
    <s v="ORD2404503"/>
    <s v="ITM005"/>
    <n v="1"/>
    <n v="99"/>
    <x v="16"/>
    <x v="3"/>
    <n v="30"/>
    <n v="30"/>
  </r>
  <r>
    <s v="ORD2404503"/>
    <s v="ITM017"/>
    <n v="1"/>
    <n v="149"/>
    <x v="6"/>
    <x v="1"/>
    <n v="45"/>
    <n v="45"/>
  </r>
  <r>
    <s v="ORD2404503"/>
    <s v="ITM019"/>
    <n v="1"/>
    <n v="149"/>
    <x v="11"/>
    <x v="1"/>
    <n v="45"/>
    <n v="45"/>
  </r>
  <r>
    <s v="ORD2404503"/>
    <s v="ITM026"/>
    <n v="4"/>
    <n v="316"/>
    <x v="4"/>
    <x v="4"/>
    <n v="24"/>
    <n v="96"/>
  </r>
  <r>
    <s v="ORD7748185"/>
    <s v="ITM014"/>
    <n v="1"/>
    <n v="119"/>
    <x v="14"/>
    <x v="1"/>
    <n v="36"/>
    <n v="36"/>
  </r>
  <r>
    <s v="ORD7748185"/>
    <s v="ITM020"/>
    <n v="1"/>
    <n v="159"/>
    <x v="21"/>
    <x v="1"/>
    <n v="48"/>
    <n v="48"/>
  </r>
  <r>
    <s v="ORD6624133"/>
    <s v="ITM001"/>
    <n v="1"/>
    <n v="79"/>
    <x v="24"/>
    <x v="5"/>
    <n v="24"/>
    <n v="24"/>
  </r>
  <r>
    <s v="ORD6624133"/>
    <s v="ITM019"/>
    <n v="2"/>
    <n v="298"/>
    <x v="11"/>
    <x v="1"/>
    <n v="45"/>
    <n v="90"/>
  </r>
  <r>
    <s v="ORD6624133"/>
    <s v="ITM010"/>
    <n v="1"/>
    <n v="59"/>
    <x v="20"/>
    <x v="0"/>
    <n v="18"/>
    <n v="18"/>
  </r>
  <r>
    <s v="ORD3634592"/>
    <s v="ITM004"/>
    <n v="3"/>
    <n v="237"/>
    <x v="5"/>
    <x v="3"/>
    <n v="24"/>
    <n v="72"/>
  </r>
  <r>
    <s v="ORD3634592"/>
    <s v="ITM003"/>
    <n v="1"/>
    <n v="119"/>
    <x v="27"/>
    <x v="5"/>
    <n v="36"/>
    <n v="36"/>
  </r>
  <r>
    <s v="ORD3634592"/>
    <s v="ITM023"/>
    <n v="1"/>
    <n v="139"/>
    <x v="18"/>
    <x v="1"/>
    <n v="42"/>
    <n v="42"/>
  </r>
  <r>
    <s v="ORD3634592"/>
    <s v="ITM022"/>
    <n v="2"/>
    <n v="198"/>
    <x v="23"/>
    <x v="1"/>
    <n v="30"/>
    <n v="60"/>
  </r>
  <r>
    <s v="ORD7735438"/>
    <s v="ITM004"/>
    <n v="2"/>
    <n v="158"/>
    <x v="5"/>
    <x v="3"/>
    <n v="24"/>
    <n v="48"/>
  </r>
  <r>
    <s v="ORD7735438"/>
    <s v="ITM008"/>
    <n v="1"/>
    <n v="99"/>
    <x v="9"/>
    <x v="2"/>
    <n v="30"/>
    <n v="30"/>
  </r>
  <r>
    <s v="ORD7735438"/>
    <s v="ITM017"/>
    <n v="5"/>
    <n v="745"/>
    <x v="6"/>
    <x v="1"/>
    <n v="45"/>
    <n v="225"/>
  </r>
  <r>
    <s v="ORD7735438"/>
    <s v="ITM016"/>
    <n v="3"/>
    <n v="297"/>
    <x v="7"/>
    <x v="1"/>
    <n v="30"/>
    <n v="90"/>
  </r>
  <r>
    <s v="ORD9352168"/>
    <s v="ITM016"/>
    <n v="3"/>
    <n v="297"/>
    <x v="7"/>
    <x v="1"/>
    <n v="30"/>
    <n v="90"/>
  </r>
  <r>
    <s v="ORD9352168"/>
    <s v="ITM023"/>
    <n v="4"/>
    <n v="556"/>
    <x v="18"/>
    <x v="1"/>
    <n v="42"/>
    <n v="168"/>
  </r>
  <r>
    <s v="ORD9352168"/>
    <s v="ITM015"/>
    <n v="2"/>
    <n v="298"/>
    <x v="1"/>
    <x v="1"/>
    <n v="45"/>
    <n v="90"/>
  </r>
  <r>
    <s v="ORD4652593"/>
    <s v="ITM004"/>
    <n v="3"/>
    <n v="237"/>
    <x v="5"/>
    <x v="3"/>
    <n v="24"/>
    <n v="72"/>
  </r>
  <r>
    <s v="ORD4652593"/>
    <s v="ITM005"/>
    <n v="1"/>
    <n v="99"/>
    <x v="16"/>
    <x v="3"/>
    <n v="30"/>
    <n v="30"/>
  </r>
  <r>
    <s v="ORD4652593"/>
    <s v="ITM026"/>
    <n v="1"/>
    <n v="79"/>
    <x v="4"/>
    <x v="4"/>
    <n v="24"/>
    <n v="24"/>
  </r>
  <r>
    <s v="ORD2891931"/>
    <s v="ITM017"/>
    <n v="3"/>
    <n v="447"/>
    <x v="6"/>
    <x v="1"/>
    <n v="45"/>
    <n v="135"/>
  </r>
  <r>
    <s v="ORD2891931"/>
    <s v="ITM025"/>
    <n v="3"/>
    <n v="237"/>
    <x v="25"/>
    <x v="4"/>
    <n v="24"/>
    <n v="72"/>
  </r>
  <r>
    <s v="ORD2891931"/>
    <s v="ITM026"/>
    <n v="1"/>
    <n v="79"/>
    <x v="4"/>
    <x v="4"/>
    <n v="24"/>
    <n v="24"/>
  </r>
  <r>
    <s v="ORD5658782"/>
    <s v="ITM004"/>
    <n v="1"/>
    <n v="79"/>
    <x v="5"/>
    <x v="3"/>
    <n v="24"/>
    <n v="24"/>
  </r>
  <r>
    <s v="ORD5658782"/>
    <s v="ITM005"/>
    <n v="2"/>
    <n v="198"/>
    <x v="16"/>
    <x v="3"/>
    <n v="30"/>
    <n v="60"/>
  </r>
  <r>
    <s v="ORD5658782"/>
    <s v="ITM020"/>
    <n v="1"/>
    <n v="159"/>
    <x v="21"/>
    <x v="1"/>
    <n v="48"/>
    <n v="48"/>
  </r>
  <r>
    <s v="ORD2046696"/>
    <s v="ITM006"/>
    <n v="1"/>
    <n v="89"/>
    <x v="3"/>
    <x v="3"/>
    <n v="27"/>
    <n v="27"/>
  </r>
  <r>
    <s v="ORD2046696"/>
    <s v="ITM005"/>
    <n v="2"/>
    <n v="198"/>
    <x v="16"/>
    <x v="3"/>
    <n v="30"/>
    <n v="60"/>
  </r>
  <r>
    <s v="ORD5098200"/>
    <s v="ITM016"/>
    <n v="4"/>
    <n v="396"/>
    <x v="7"/>
    <x v="1"/>
    <n v="30"/>
    <n v="120"/>
  </r>
  <r>
    <s v="ORD5098200"/>
    <s v="ITM019"/>
    <n v="3"/>
    <n v="447"/>
    <x v="11"/>
    <x v="1"/>
    <n v="45"/>
    <n v="135"/>
  </r>
  <r>
    <s v="ORD5098200"/>
    <s v="ITM011"/>
    <n v="2"/>
    <n v="158"/>
    <x v="26"/>
    <x v="0"/>
    <n v="24"/>
    <n v="48"/>
  </r>
  <r>
    <s v="ORD5098200"/>
    <s v="ITM001"/>
    <n v="2"/>
    <n v="158"/>
    <x v="24"/>
    <x v="5"/>
    <n v="24"/>
    <n v="48"/>
  </r>
  <r>
    <s v="ORD8673707"/>
    <s v="ITM006"/>
    <n v="4"/>
    <n v="356"/>
    <x v="3"/>
    <x v="3"/>
    <n v="27"/>
    <n v="108"/>
  </r>
  <r>
    <s v="ORD8673707"/>
    <s v="ITM024"/>
    <n v="2"/>
    <n v="158"/>
    <x v="17"/>
    <x v="4"/>
    <n v="24"/>
    <n v="48"/>
  </r>
  <r>
    <s v="ORD8673707"/>
    <s v="ITM023"/>
    <n v="4"/>
    <n v="556"/>
    <x v="18"/>
    <x v="1"/>
    <n v="42"/>
    <n v="168"/>
  </r>
  <r>
    <s v="ORD8673707"/>
    <s v="ITM016"/>
    <n v="2"/>
    <n v="198"/>
    <x v="7"/>
    <x v="1"/>
    <n v="30"/>
    <n v="60"/>
  </r>
  <r>
    <s v="ORD6640877"/>
    <s v="ITM027"/>
    <n v="1"/>
    <n v="79"/>
    <x v="10"/>
    <x v="4"/>
    <n v="24"/>
    <n v="24"/>
  </r>
  <r>
    <s v="ORD6640877"/>
    <s v="ITM021"/>
    <n v="2"/>
    <n v="298"/>
    <x v="22"/>
    <x v="1"/>
    <n v="45"/>
    <n v="90"/>
  </r>
  <r>
    <s v="ORD6640877"/>
    <s v="ITM025"/>
    <n v="1"/>
    <n v="79"/>
    <x v="25"/>
    <x v="4"/>
    <n v="24"/>
    <n v="24"/>
  </r>
  <r>
    <s v="ORD3631527"/>
    <s v="ITM023"/>
    <n v="3"/>
    <n v="417"/>
    <x v="18"/>
    <x v="1"/>
    <n v="42"/>
    <n v="126"/>
  </r>
  <r>
    <s v="ORD3631527"/>
    <s v="ITM005"/>
    <n v="1"/>
    <n v="99"/>
    <x v="16"/>
    <x v="3"/>
    <n v="30"/>
    <n v="30"/>
  </r>
  <r>
    <s v="ORD3631527"/>
    <s v="ITM019"/>
    <n v="4"/>
    <n v="596"/>
    <x v="11"/>
    <x v="1"/>
    <n v="45"/>
    <n v="180"/>
  </r>
  <r>
    <s v="ORD3631527"/>
    <s v="ITM020"/>
    <n v="2"/>
    <n v="318"/>
    <x v="21"/>
    <x v="1"/>
    <n v="48"/>
    <n v="96"/>
  </r>
  <r>
    <s v="ORD1331934"/>
    <s v="ITM018"/>
    <n v="2"/>
    <n v="318"/>
    <x v="15"/>
    <x v="1"/>
    <n v="48"/>
    <n v="96"/>
  </r>
  <r>
    <s v="ORD1331934"/>
    <s v="ITM013"/>
    <n v="1"/>
    <n v="69"/>
    <x v="0"/>
    <x v="0"/>
    <n v="21"/>
    <n v="21"/>
  </r>
  <r>
    <s v="ORD1331934"/>
    <s v="ITM012"/>
    <n v="2"/>
    <n v="178"/>
    <x v="8"/>
    <x v="0"/>
    <n v="27"/>
    <n v="54"/>
  </r>
  <r>
    <s v="ORD1331934"/>
    <s v="ITM015"/>
    <n v="1"/>
    <n v="149"/>
    <x v="1"/>
    <x v="1"/>
    <n v="45"/>
    <n v="45"/>
  </r>
  <r>
    <s v="ORD2259303"/>
    <s v="ITM027"/>
    <n v="1"/>
    <n v="79"/>
    <x v="10"/>
    <x v="4"/>
    <n v="24"/>
    <n v="24"/>
  </r>
  <r>
    <s v="ORD2259303"/>
    <s v="ITM017"/>
    <n v="4"/>
    <n v="596"/>
    <x v="6"/>
    <x v="1"/>
    <n v="45"/>
    <n v="180"/>
  </r>
  <r>
    <s v="ORD6014853"/>
    <s v="ITM006"/>
    <n v="3"/>
    <n v="267"/>
    <x v="3"/>
    <x v="3"/>
    <n v="27"/>
    <n v="81"/>
  </r>
  <r>
    <s v="ORD6014853"/>
    <s v="ITM019"/>
    <n v="1"/>
    <n v="149"/>
    <x v="11"/>
    <x v="1"/>
    <n v="45"/>
    <n v="45"/>
  </r>
  <r>
    <s v="ORD6014853"/>
    <s v="ITM028"/>
    <n v="1"/>
    <n v="49"/>
    <x v="13"/>
    <x v="4"/>
    <n v="15"/>
    <n v="15"/>
  </r>
  <r>
    <s v="ORD6937488"/>
    <s v="ITM014"/>
    <n v="2"/>
    <n v="238"/>
    <x v="14"/>
    <x v="1"/>
    <n v="36"/>
    <n v="72"/>
  </r>
  <r>
    <s v="ORD6937488"/>
    <s v="ITM005"/>
    <n v="4"/>
    <n v="396"/>
    <x v="16"/>
    <x v="3"/>
    <n v="30"/>
    <n v="120"/>
  </r>
  <r>
    <s v="ORD6937488"/>
    <s v="ITM015"/>
    <n v="1"/>
    <n v="149"/>
    <x v="1"/>
    <x v="1"/>
    <n v="45"/>
    <n v="45"/>
  </r>
  <r>
    <s v="ORD6937488"/>
    <s v="ITM009"/>
    <n v="1"/>
    <n v="89"/>
    <x v="2"/>
    <x v="2"/>
    <n v="27"/>
    <n v="27"/>
  </r>
  <r>
    <s v="ORD1377064"/>
    <s v="ITM021"/>
    <n v="1"/>
    <n v="149"/>
    <x v="22"/>
    <x v="1"/>
    <n v="45"/>
    <n v="45"/>
  </r>
  <r>
    <s v="ORD1377064"/>
    <s v="ITM014"/>
    <n v="2"/>
    <n v="238"/>
    <x v="14"/>
    <x v="1"/>
    <n v="36"/>
    <n v="72"/>
  </r>
  <r>
    <s v="ORD1064545"/>
    <s v="ITM014"/>
    <n v="2"/>
    <n v="238"/>
    <x v="14"/>
    <x v="1"/>
    <n v="36"/>
    <n v="72"/>
  </r>
  <r>
    <s v="ORD1064545"/>
    <s v="ITM019"/>
    <n v="2"/>
    <n v="298"/>
    <x v="11"/>
    <x v="1"/>
    <n v="45"/>
    <n v="90"/>
  </r>
  <r>
    <s v="ORD1064545"/>
    <s v="ITM015"/>
    <n v="3"/>
    <n v="447"/>
    <x v="1"/>
    <x v="1"/>
    <n v="45"/>
    <n v="135"/>
  </r>
  <r>
    <s v="ORD6071231"/>
    <s v="ITM007"/>
    <n v="2"/>
    <n v="158"/>
    <x v="19"/>
    <x v="2"/>
    <n v="24"/>
    <n v="48"/>
  </r>
  <r>
    <s v="ORD6071231"/>
    <s v="ITM023"/>
    <n v="2"/>
    <n v="278"/>
    <x v="18"/>
    <x v="1"/>
    <n v="42"/>
    <n v="84"/>
  </r>
  <r>
    <s v="ORD9954070"/>
    <s v="ITM022"/>
    <n v="1"/>
    <n v="99"/>
    <x v="23"/>
    <x v="1"/>
    <n v="30"/>
    <n v="30"/>
  </r>
  <r>
    <s v="ORD9954070"/>
    <s v="ITM010"/>
    <n v="2"/>
    <n v="118"/>
    <x v="20"/>
    <x v="0"/>
    <n v="18"/>
    <n v="36"/>
  </r>
  <r>
    <s v="ORD1526788"/>
    <s v="ITM027"/>
    <n v="1"/>
    <n v="79"/>
    <x v="10"/>
    <x v="4"/>
    <n v="24"/>
    <n v="24"/>
  </r>
  <r>
    <s v="ORD1526788"/>
    <s v="ITM002"/>
    <n v="2"/>
    <n v="198"/>
    <x v="12"/>
    <x v="5"/>
    <n v="30"/>
    <n v="60"/>
  </r>
  <r>
    <s v="ORD9725552"/>
    <s v="ITM001"/>
    <n v="1"/>
    <n v="79"/>
    <x v="24"/>
    <x v="5"/>
    <n v="24"/>
    <n v="24"/>
  </r>
  <r>
    <s v="ORD9725552"/>
    <s v="ITM024"/>
    <n v="2"/>
    <n v="158"/>
    <x v="17"/>
    <x v="4"/>
    <n v="24"/>
    <n v="48"/>
  </r>
  <r>
    <s v="ORD9725552"/>
    <s v="ITM017"/>
    <n v="1"/>
    <n v="149"/>
    <x v="6"/>
    <x v="1"/>
    <n v="45"/>
    <n v="45"/>
  </r>
  <r>
    <s v="ORD8947817"/>
    <s v="ITM004"/>
    <n v="1"/>
    <n v="79"/>
    <x v="5"/>
    <x v="3"/>
    <n v="24"/>
    <n v="24"/>
  </r>
  <r>
    <s v="ORD8947817"/>
    <s v="ITM021"/>
    <n v="1"/>
    <n v="149"/>
    <x v="22"/>
    <x v="1"/>
    <n v="45"/>
    <n v="45"/>
  </r>
  <r>
    <s v="ORD8947817"/>
    <s v="ITM028"/>
    <n v="5"/>
    <n v="245"/>
    <x v="13"/>
    <x v="4"/>
    <n v="15"/>
    <n v="75"/>
  </r>
  <r>
    <s v="ORD8947817"/>
    <s v="ITM011"/>
    <n v="3"/>
    <n v="237"/>
    <x v="26"/>
    <x v="0"/>
    <n v="24"/>
    <n v="72"/>
  </r>
  <r>
    <s v="ORD7766201"/>
    <s v="ITM018"/>
    <n v="1"/>
    <n v="159"/>
    <x v="15"/>
    <x v="1"/>
    <n v="48"/>
    <n v="48"/>
  </r>
  <r>
    <s v="ORD7766201"/>
    <s v="ITM023"/>
    <n v="5"/>
    <n v="695"/>
    <x v="18"/>
    <x v="1"/>
    <n v="42"/>
    <n v="210"/>
  </r>
  <r>
    <s v="ORD7766201"/>
    <s v="ITM017"/>
    <n v="1"/>
    <n v="149"/>
    <x v="6"/>
    <x v="1"/>
    <n v="45"/>
    <n v="45"/>
  </r>
  <r>
    <s v="ORD5935684"/>
    <s v="ITM021"/>
    <n v="4"/>
    <n v="596"/>
    <x v="22"/>
    <x v="1"/>
    <n v="45"/>
    <n v="180"/>
  </r>
  <r>
    <s v="ORD5935684"/>
    <s v="ITM002"/>
    <n v="4"/>
    <n v="396"/>
    <x v="12"/>
    <x v="5"/>
    <n v="30"/>
    <n v="120"/>
  </r>
  <r>
    <s v="ORD4423305"/>
    <s v="ITM019"/>
    <n v="1"/>
    <n v="149"/>
    <x v="11"/>
    <x v="1"/>
    <n v="45"/>
    <n v="45"/>
  </r>
  <r>
    <s v="ORD4423305"/>
    <s v="ITM002"/>
    <n v="1"/>
    <n v="99"/>
    <x v="12"/>
    <x v="5"/>
    <n v="30"/>
    <n v="30"/>
  </r>
  <r>
    <s v="ORD6753647"/>
    <s v="ITM022"/>
    <n v="1"/>
    <n v="99"/>
    <x v="23"/>
    <x v="1"/>
    <n v="30"/>
    <n v="30"/>
  </r>
  <r>
    <s v="ORD6753647"/>
    <s v="ITM012"/>
    <n v="1"/>
    <n v="89"/>
    <x v="8"/>
    <x v="0"/>
    <n v="27"/>
    <n v="27"/>
  </r>
  <r>
    <s v="ORD6753647"/>
    <s v="ITM026"/>
    <n v="1"/>
    <n v="79"/>
    <x v="4"/>
    <x v="4"/>
    <n v="24"/>
    <n v="24"/>
  </r>
  <r>
    <s v="ORD3297254"/>
    <s v="ITM006"/>
    <n v="1"/>
    <n v="89"/>
    <x v="3"/>
    <x v="3"/>
    <n v="27"/>
    <n v="27"/>
  </r>
  <r>
    <s v="ORD3297254"/>
    <s v="ITM021"/>
    <n v="1"/>
    <n v="149"/>
    <x v="22"/>
    <x v="1"/>
    <n v="45"/>
    <n v="45"/>
  </r>
  <r>
    <s v="ORD3297254"/>
    <s v="ITM004"/>
    <n v="4"/>
    <n v="316"/>
    <x v="5"/>
    <x v="3"/>
    <n v="24"/>
    <n v="96"/>
  </r>
  <r>
    <s v="ORD3297254"/>
    <s v="ITM023"/>
    <n v="2"/>
    <n v="278"/>
    <x v="18"/>
    <x v="1"/>
    <n v="42"/>
    <n v="84"/>
  </r>
  <r>
    <s v="ORD5841463"/>
    <s v="ITM007"/>
    <n v="1"/>
    <n v="79"/>
    <x v="19"/>
    <x v="2"/>
    <n v="24"/>
    <n v="24"/>
  </r>
  <r>
    <s v="ORD5841463"/>
    <s v="ITM014"/>
    <n v="3"/>
    <n v="357"/>
    <x v="14"/>
    <x v="1"/>
    <n v="36"/>
    <n v="108"/>
  </r>
  <r>
    <s v="ORD5822943"/>
    <s v="ITM007"/>
    <n v="4"/>
    <n v="316"/>
    <x v="19"/>
    <x v="2"/>
    <n v="24"/>
    <n v="96"/>
  </r>
  <r>
    <s v="ORD5822943"/>
    <s v="ITM022"/>
    <n v="1"/>
    <n v="99"/>
    <x v="23"/>
    <x v="1"/>
    <n v="30"/>
    <n v="30"/>
  </r>
  <r>
    <s v="ORD5822943"/>
    <s v="ITM005"/>
    <n v="3"/>
    <n v="297"/>
    <x v="16"/>
    <x v="3"/>
    <n v="30"/>
    <n v="90"/>
  </r>
  <r>
    <s v="ORD4973323"/>
    <s v="ITM021"/>
    <n v="2"/>
    <n v="298"/>
    <x v="22"/>
    <x v="1"/>
    <n v="45"/>
    <n v="90"/>
  </r>
  <r>
    <s v="ORD4973323"/>
    <s v="ITM014"/>
    <n v="2"/>
    <n v="238"/>
    <x v="14"/>
    <x v="1"/>
    <n v="36"/>
    <n v="72"/>
  </r>
  <r>
    <s v="ORD4973323"/>
    <s v="ITM005"/>
    <n v="1"/>
    <n v="99"/>
    <x v="16"/>
    <x v="3"/>
    <n v="30"/>
    <n v="30"/>
  </r>
  <r>
    <s v="ORD6121645"/>
    <s v="ITM011"/>
    <n v="1"/>
    <n v="79"/>
    <x v="26"/>
    <x v="0"/>
    <n v="24"/>
    <n v="24"/>
  </r>
  <r>
    <s v="ORD6121645"/>
    <s v="ITM010"/>
    <n v="5"/>
    <n v="295"/>
    <x v="20"/>
    <x v="0"/>
    <n v="18"/>
    <n v="90"/>
  </r>
  <r>
    <s v="ORD6121645"/>
    <s v="ITM020"/>
    <n v="1"/>
    <n v="159"/>
    <x v="21"/>
    <x v="1"/>
    <n v="48"/>
    <n v="48"/>
  </r>
  <r>
    <s v="ORD1791274"/>
    <s v="ITM004"/>
    <n v="1"/>
    <n v="79"/>
    <x v="5"/>
    <x v="3"/>
    <n v="24"/>
    <n v="24"/>
  </r>
  <r>
    <s v="ORD1791274"/>
    <s v="ITM014"/>
    <n v="2"/>
    <n v="238"/>
    <x v="14"/>
    <x v="1"/>
    <n v="36"/>
    <n v="72"/>
  </r>
  <r>
    <s v="ORD5962643"/>
    <s v="ITM004"/>
    <n v="5"/>
    <n v="395"/>
    <x v="5"/>
    <x v="3"/>
    <n v="24"/>
    <n v="120"/>
  </r>
  <r>
    <s v="ORD5962643"/>
    <s v="ITM023"/>
    <n v="2"/>
    <n v="278"/>
    <x v="18"/>
    <x v="1"/>
    <n v="42"/>
    <n v="84"/>
  </r>
  <r>
    <s v="ORD5962643"/>
    <s v="ITM017"/>
    <n v="1"/>
    <n v="149"/>
    <x v="6"/>
    <x v="1"/>
    <n v="45"/>
    <n v="45"/>
  </r>
  <r>
    <s v="ORD5962643"/>
    <s v="ITM020"/>
    <n v="3"/>
    <n v="477"/>
    <x v="21"/>
    <x v="1"/>
    <n v="48"/>
    <n v="144"/>
  </r>
  <r>
    <s v="ORD3093993"/>
    <s v="ITM003"/>
    <n v="2"/>
    <n v="238"/>
    <x v="27"/>
    <x v="5"/>
    <n v="36"/>
    <n v="72"/>
  </r>
  <r>
    <s v="ORD3093993"/>
    <s v="ITM022"/>
    <n v="1"/>
    <n v="99"/>
    <x v="23"/>
    <x v="1"/>
    <n v="30"/>
    <n v="30"/>
  </r>
  <r>
    <s v="ORD9489734"/>
    <s v="ITM016"/>
    <n v="2"/>
    <n v="198"/>
    <x v="7"/>
    <x v="1"/>
    <n v="30"/>
    <n v="60"/>
  </r>
  <r>
    <s v="ORD9489734"/>
    <s v="ITM022"/>
    <n v="1"/>
    <n v="99"/>
    <x v="23"/>
    <x v="1"/>
    <n v="30"/>
    <n v="30"/>
  </r>
  <r>
    <s v="ORD9489734"/>
    <s v="ITM006"/>
    <n v="1"/>
    <n v="89"/>
    <x v="3"/>
    <x v="3"/>
    <n v="27"/>
    <n v="27"/>
  </r>
  <r>
    <s v="ORD9489734"/>
    <s v="ITM011"/>
    <n v="2"/>
    <n v="158"/>
    <x v="26"/>
    <x v="0"/>
    <n v="24"/>
    <n v="48"/>
  </r>
  <r>
    <s v="ORD6481363"/>
    <s v="ITM022"/>
    <n v="1"/>
    <n v="99"/>
    <x v="23"/>
    <x v="1"/>
    <n v="30"/>
    <n v="30"/>
  </r>
  <r>
    <s v="ORD6481363"/>
    <s v="ITM015"/>
    <n v="2"/>
    <n v="298"/>
    <x v="1"/>
    <x v="1"/>
    <n v="45"/>
    <n v="90"/>
  </r>
  <r>
    <s v="ORD6481363"/>
    <s v="ITM020"/>
    <n v="1"/>
    <n v="159"/>
    <x v="21"/>
    <x v="1"/>
    <n v="48"/>
    <n v="48"/>
  </r>
  <r>
    <s v="ORD9039487"/>
    <s v="ITM017"/>
    <n v="4"/>
    <n v="596"/>
    <x v="6"/>
    <x v="1"/>
    <n v="45"/>
    <n v="180"/>
  </r>
  <r>
    <s v="ORD9039487"/>
    <s v="ITM012"/>
    <n v="5"/>
    <n v="445"/>
    <x v="8"/>
    <x v="0"/>
    <n v="27"/>
    <n v="135"/>
  </r>
  <r>
    <s v="ORD9039487"/>
    <s v="ITM026"/>
    <n v="1"/>
    <n v="79"/>
    <x v="4"/>
    <x v="4"/>
    <n v="24"/>
    <n v="24"/>
  </r>
  <r>
    <s v="ORD8214397"/>
    <s v="ITM022"/>
    <n v="2"/>
    <n v="198"/>
    <x v="23"/>
    <x v="1"/>
    <n v="30"/>
    <n v="60"/>
  </r>
  <r>
    <s v="ORD8214397"/>
    <s v="ITM018"/>
    <n v="1"/>
    <n v="159"/>
    <x v="15"/>
    <x v="1"/>
    <n v="48"/>
    <n v="48"/>
  </r>
  <r>
    <s v="ORD8214397"/>
    <s v="ITM017"/>
    <n v="2"/>
    <n v="298"/>
    <x v="6"/>
    <x v="1"/>
    <n v="45"/>
    <n v="90"/>
  </r>
  <r>
    <s v="ORD8214397"/>
    <s v="ITM010"/>
    <n v="2"/>
    <n v="118"/>
    <x v="20"/>
    <x v="0"/>
    <n v="18"/>
    <n v="36"/>
  </r>
  <r>
    <s v="ORD6710639"/>
    <s v="ITM003"/>
    <n v="2"/>
    <n v="238"/>
    <x v="27"/>
    <x v="5"/>
    <n v="36"/>
    <n v="72"/>
  </r>
  <r>
    <s v="ORD9633551"/>
    <s v="ITM024"/>
    <n v="2"/>
    <n v="158"/>
    <x v="17"/>
    <x v="4"/>
    <n v="24"/>
    <n v="48"/>
  </r>
  <r>
    <s v="ORD9633551"/>
    <s v="ITM021"/>
    <n v="2"/>
    <n v="298"/>
    <x v="22"/>
    <x v="1"/>
    <n v="45"/>
    <n v="90"/>
  </r>
  <r>
    <s v="ORD6512882"/>
    <s v="ITM016"/>
    <n v="3"/>
    <n v="297"/>
    <x v="7"/>
    <x v="1"/>
    <n v="30"/>
    <n v="90"/>
  </r>
  <r>
    <s v="ORD6512882"/>
    <s v="ITM026"/>
    <n v="3"/>
    <n v="237"/>
    <x v="4"/>
    <x v="4"/>
    <n v="24"/>
    <n v="72"/>
  </r>
  <r>
    <s v="ORD2241156"/>
    <s v="ITM016"/>
    <n v="4"/>
    <n v="396"/>
    <x v="7"/>
    <x v="1"/>
    <n v="30"/>
    <n v="120"/>
  </r>
  <r>
    <s v="ORD2241156"/>
    <s v="ITM018"/>
    <n v="2"/>
    <n v="318"/>
    <x v="15"/>
    <x v="1"/>
    <n v="48"/>
    <n v="96"/>
  </r>
  <r>
    <s v="ORD6515198"/>
    <s v="ITM006"/>
    <n v="3"/>
    <n v="267"/>
    <x v="3"/>
    <x v="3"/>
    <n v="27"/>
    <n v="81"/>
  </r>
  <r>
    <s v="ORD6515198"/>
    <s v="ITM022"/>
    <n v="2"/>
    <n v="198"/>
    <x v="23"/>
    <x v="1"/>
    <n v="30"/>
    <n v="60"/>
  </r>
  <r>
    <s v="ORD6515198"/>
    <s v="ITM015"/>
    <n v="1"/>
    <n v="149"/>
    <x v="1"/>
    <x v="1"/>
    <n v="45"/>
    <n v="45"/>
  </r>
  <r>
    <s v="ORD6733093"/>
    <s v="ITM004"/>
    <n v="2"/>
    <n v="158"/>
    <x v="5"/>
    <x v="3"/>
    <n v="24"/>
    <n v="48"/>
  </r>
  <r>
    <s v="ORD6733093"/>
    <s v="ITM003"/>
    <n v="2"/>
    <n v="238"/>
    <x v="27"/>
    <x v="5"/>
    <n v="36"/>
    <n v="72"/>
  </r>
  <r>
    <s v="ORD6733093"/>
    <s v="ITM008"/>
    <n v="1"/>
    <n v="99"/>
    <x v="9"/>
    <x v="2"/>
    <n v="30"/>
    <n v="30"/>
  </r>
  <r>
    <s v="ORD6733093"/>
    <s v="ITM028"/>
    <n v="4"/>
    <n v="196"/>
    <x v="13"/>
    <x v="4"/>
    <n v="15"/>
    <n v="60"/>
  </r>
  <r>
    <s v="ORD3800519"/>
    <s v="ITM011"/>
    <n v="1"/>
    <n v="79"/>
    <x v="26"/>
    <x v="0"/>
    <n v="24"/>
    <n v="24"/>
  </r>
  <r>
    <s v="ORD3800519"/>
    <s v="ITM017"/>
    <n v="3"/>
    <n v="447"/>
    <x v="6"/>
    <x v="1"/>
    <n v="45"/>
    <n v="135"/>
  </r>
  <r>
    <s v="ORD6252627"/>
    <s v="ITM001"/>
    <n v="1"/>
    <n v="79"/>
    <x v="24"/>
    <x v="5"/>
    <n v="24"/>
    <n v="24"/>
  </r>
  <r>
    <s v="ORD6252627"/>
    <s v="ITM027"/>
    <n v="3"/>
    <n v="237"/>
    <x v="10"/>
    <x v="4"/>
    <n v="24"/>
    <n v="72"/>
  </r>
  <r>
    <s v="ORD6252627"/>
    <s v="ITM020"/>
    <n v="1"/>
    <n v="159"/>
    <x v="21"/>
    <x v="1"/>
    <n v="48"/>
    <n v="48"/>
  </r>
  <r>
    <s v="ORD2339161"/>
    <s v="ITM004"/>
    <n v="2"/>
    <n v="158"/>
    <x v="5"/>
    <x v="3"/>
    <n v="24"/>
    <n v="48"/>
  </r>
  <r>
    <s v="ORD2339161"/>
    <s v="ITM023"/>
    <n v="2"/>
    <n v="278"/>
    <x v="18"/>
    <x v="1"/>
    <n v="42"/>
    <n v="84"/>
  </r>
  <r>
    <s v="ORD9910694"/>
    <s v="ITM022"/>
    <n v="1"/>
    <n v="99"/>
    <x v="23"/>
    <x v="1"/>
    <n v="30"/>
    <n v="30"/>
  </r>
  <r>
    <s v="ORD9910694"/>
    <s v="ITM023"/>
    <n v="3"/>
    <n v="417"/>
    <x v="18"/>
    <x v="1"/>
    <n v="42"/>
    <n v="126"/>
  </r>
  <r>
    <s v="ORD9910694"/>
    <s v="ITM002"/>
    <n v="1"/>
    <n v="99"/>
    <x v="12"/>
    <x v="5"/>
    <n v="30"/>
    <n v="30"/>
  </r>
  <r>
    <s v="ORD9910694"/>
    <s v="ITM020"/>
    <n v="2"/>
    <n v="318"/>
    <x v="21"/>
    <x v="1"/>
    <n v="48"/>
    <n v="96"/>
  </r>
  <r>
    <s v="ORD4450093"/>
    <s v="ITM007"/>
    <n v="1"/>
    <n v="79"/>
    <x v="19"/>
    <x v="2"/>
    <n v="24"/>
    <n v="24"/>
  </r>
  <r>
    <s v="ORD4450093"/>
    <s v="ITM014"/>
    <n v="2"/>
    <n v="238"/>
    <x v="14"/>
    <x v="1"/>
    <n v="36"/>
    <n v="72"/>
  </r>
  <r>
    <s v="ORD4450093"/>
    <s v="ITM005"/>
    <n v="1"/>
    <n v="99"/>
    <x v="16"/>
    <x v="3"/>
    <n v="30"/>
    <n v="30"/>
  </r>
  <r>
    <s v="ORD6601298"/>
    <s v="ITM021"/>
    <n v="5"/>
    <n v="745"/>
    <x v="22"/>
    <x v="1"/>
    <n v="45"/>
    <n v="225"/>
  </r>
  <r>
    <s v="ORD6601298"/>
    <s v="ITM023"/>
    <n v="1"/>
    <n v="139"/>
    <x v="18"/>
    <x v="1"/>
    <n v="42"/>
    <n v="42"/>
  </r>
  <r>
    <s v="ORD7301078"/>
    <s v="ITM011"/>
    <n v="1"/>
    <n v="79"/>
    <x v="26"/>
    <x v="0"/>
    <n v="24"/>
    <n v="24"/>
  </r>
  <r>
    <s v="ORD7301078"/>
    <s v="ITM022"/>
    <n v="1"/>
    <n v="99"/>
    <x v="23"/>
    <x v="1"/>
    <n v="30"/>
    <n v="30"/>
  </r>
  <r>
    <s v="ORD7301078"/>
    <s v="ITM017"/>
    <n v="1"/>
    <n v="149"/>
    <x v="6"/>
    <x v="1"/>
    <n v="45"/>
    <n v="45"/>
  </r>
  <r>
    <s v="ORD4048600"/>
    <s v="ITM005"/>
    <n v="2"/>
    <n v="198"/>
    <x v="16"/>
    <x v="3"/>
    <n v="30"/>
    <n v="60"/>
  </r>
  <r>
    <s v="ORD7336938"/>
    <s v="ITM022"/>
    <n v="1"/>
    <n v="99"/>
    <x v="23"/>
    <x v="1"/>
    <n v="30"/>
    <n v="30"/>
  </r>
  <r>
    <s v="ORD7336938"/>
    <s v="ITM019"/>
    <n v="4"/>
    <n v="596"/>
    <x v="11"/>
    <x v="1"/>
    <n v="45"/>
    <n v="180"/>
  </r>
  <r>
    <s v="ORD9982743"/>
    <s v="ITM008"/>
    <n v="5"/>
    <n v="495"/>
    <x v="9"/>
    <x v="2"/>
    <n v="30"/>
    <n v="150"/>
  </r>
  <r>
    <s v="ORD9982743"/>
    <s v="ITM028"/>
    <n v="1"/>
    <n v="49"/>
    <x v="13"/>
    <x v="4"/>
    <n v="15"/>
    <n v="15"/>
  </r>
  <r>
    <s v="ORD8041371"/>
    <s v="ITM015"/>
    <n v="1"/>
    <n v="149"/>
    <x v="1"/>
    <x v="1"/>
    <n v="45"/>
    <n v="45"/>
  </r>
  <r>
    <s v="ORD8041371"/>
    <s v="ITM026"/>
    <n v="2"/>
    <n v="158"/>
    <x v="4"/>
    <x v="4"/>
    <n v="24"/>
    <n v="48"/>
  </r>
  <r>
    <s v="ORD4546948"/>
    <s v="ITM017"/>
    <n v="1"/>
    <n v="149"/>
    <x v="6"/>
    <x v="1"/>
    <n v="45"/>
    <n v="45"/>
  </r>
  <r>
    <s v="ORD4546948"/>
    <s v="ITM002"/>
    <n v="3"/>
    <n v="297"/>
    <x v="12"/>
    <x v="5"/>
    <n v="30"/>
    <n v="90"/>
  </r>
  <r>
    <s v="ORD4546948"/>
    <s v="ITM015"/>
    <n v="4"/>
    <n v="596"/>
    <x v="1"/>
    <x v="1"/>
    <n v="45"/>
    <n v="180"/>
  </r>
  <r>
    <s v="ORD5667750"/>
    <s v="ITM021"/>
    <n v="3"/>
    <n v="447"/>
    <x v="22"/>
    <x v="1"/>
    <n v="45"/>
    <n v="135"/>
  </r>
  <r>
    <s v="ORD5667750"/>
    <s v="ITM023"/>
    <n v="1"/>
    <n v="139"/>
    <x v="18"/>
    <x v="1"/>
    <n v="42"/>
    <n v="42"/>
  </r>
  <r>
    <s v="ORD3278090"/>
    <s v="ITM006"/>
    <n v="2"/>
    <n v="178"/>
    <x v="3"/>
    <x v="3"/>
    <n v="27"/>
    <n v="54"/>
  </r>
  <r>
    <s v="ORD3278090"/>
    <s v="ITM008"/>
    <n v="1"/>
    <n v="99"/>
    <x v="9"/>
    <x v="2"/>
    <n v="30"/>
    <n v="30"/>
  </r>
  <r>
    <s v="ORD5546442"/>
    <s v="ITM017"/>
    <n v="3"/>
    <n v="447"/>
    <x v="6"/>
    <x v="1"/>
    <n v="45"/>
    <n v="135"/>
  </r>
  <r>
    <s v="ORD5546442"/>
    <s v="ITM026"/>
    <n v="4"/>
    <n v="316"/>
    <x v="4"/>
    <x v="4"/>
    <n v="24"/>
    <n v="96"/>
  </r>
  <r>
    <s v="ORD4732002"/>
    <s v="ITM014"/>
    <n v="1"/>
    <n v="119"/>
    <x v="14"/>
    <x v="1"/>
    <n v="36"/>
    <n v="36"/>
  </r>
  <r>
    <s v="ORD4732002"/>
    <s v="ITM009"/>
    <n v="1"/>
    <n v="89"/>
    <x v="2"/>
    <x v="2"/>
    <n v="27"/>
    <n v="27"/>
  </r>
  <r>
    <s v="ORD8031853"/>
    <s v="ITM004"/>
    <n v="1"/>
    <n v="79"/>
    <x v="5"/>
    <x v="3"/>
    <n v="24"/>
    <n v="24"/>
  </r>
  <r>
    <s v="ORD8031853"/>
    <s v="ITM005"/>
    <n v="1"/>
    <n v="99"/>
    <x v="16"/>
    <x v="3"/>
    <n v="30"/>
    <n v="30"/>
  </r>
  <r>
    <s v="ORD2425937"/>
    <s v="ITM018"/>
    <n v="2"/>
    <n v="318"/>
    <x v="15"/>
    <x v="1"/>
    <n v="48"/>
    <n v="96"/>
  </r>
  <r>
    <s v="ORD5565271"/>
    <s v="ITM011"/>
    <n v="3"/>
    <n v="237"/>
    <x v="26"/>
    <x v="0"/>
    <n v="24"/>
    <n v="72"/>
  </r>
  <r>
    <s v="ORD5565271"/>
    <s v="ITM021"/>
    <n v="2"/>
    <n v="298"/>
    <x v="22"/>
    <x v="1"/>
    <n v="45"/>
    <n v="90"/>
  </r>
  <r>
    <s v="ORD5565271"/>
    <s v="ITM005"/>
    <n v="1"/>
    <n v="99"/>
    <x v="16"/>
    <x v="3"/>
    <n v="30"/>
    <n v="30"/>
  </r>
  <r>
    <s v="ORD5648091"/>
    <s v="ITM001"/>
    <n v="1"/>
    <n v="79"/>
    <x v="24"/>
    <x v="5"/>
    <n v="24"/>
    <n v="24"/>
  </r>
  <r>
    <s v="ORD5648091"/>
    <s v="ITM005"/>
    <n v="1"/>
    <n v="99"/>
    <x v="16"/>
    <x v="3"/>
    <n v="30"/>
    <n v="30"/>
  </r>
  <r>
    <s v="ORD5648091"/>
    <s v="ITM016"/>
    <n v="4"/>
    <n v="396"/>
    <x v="7"/>
    <x v="1"/>
    <n v="30"/>
    <n v="120"/>
  </r>
  <r>
    <s v="ORD5648091"/>
    <s v="ITM020"/>
    <n v="1"/>
    <n v="159"/>
    <x v="21"/>
    <x v="1"/>
    <n v="48"/>
    <n v="48"/>
  </r>
  <r>
    <s v="ORD4112545"/>
    <s v="ITM023"/>
    <n v="2"/>
    <n v="278"/>
    <x v="18"/>
    <x v="1"/>
    <n v="42"/>
    <n v="84"/>
  </r>
  <r>
    <s v="ORD4228253"/>
    <s v="ITM014"/>
    <n v="1"/>
    <n v="119"/>
    <x v="14"/>
    <x v="1"/>
    <n v="36"/>
    <n v="36"/>
  </r>
  <r>
    <s v="ORD4228253"/>
    <s v="ITM019"/>
    <n v="2"/>
    <n v="298"/>
    <x v="11"/>
    <x v="1"/>
    <n v="45"/>
    <n v="90"/>
  </r>
  <r>
    <s v="ORD1589684"/>
    <s v="ITM007"/>
    <n v="1"/>
    <n v="79"/>
    <x v="19"/>
    <x v="2"/>
    <n v="24"/>
    <n v="24"/>
  </r>
  <r>
    <s v="ORD1589684"/>
    <s v="ITM024"/>
    <n v="1"/>
    <n v="79"/>
    <x v="17"/>
    <x v="4"/>
    <n v="24"/>
    <n v="24"/>
  </r>
  <r>
    <s v="ORD1589684"/>
    <s v="ITM021"/>
    <n v="2"/>
    <n v="298"/>
    <x v="22"/>
    <x v="1"/>
    <n v="45"/>
    <n v="90"/>
  </r>
  <r>
    <s v="ORD6251075"/>
    <s v="ITM015"/>
    <n v="1"/>
    <n v="149"/>
    <x v="1"/>
    <x v="1"/>
    <n v="45"/>
    <n v="45"/>
  </r>
  <r>
    <s v="ORD4179392"/>
    <s v="ITM006"/>
    <n v="3"/>
    <n v="267"/>
    <x v="3"/>
    <x v="3"/>
    <n v="27"/>
    <n v="81"/>
  </r>
  <r>
    <s v="ORD4179392"/>
    <s v="ITM004"/>
    <n v="2"/>
    <n v="158"/>
    <x v="5"/>
    <x v="3"/>
    <n v="24"/>
    <n v="48"/>
  </r>
  <r>
    <s v="ORD1418620"/>
    <s v="ITM021"/>
    <n v="3"/>
    <n v="447"/>
    <x v="22"/>
    <x v="1"/>
    <n v="45"/>
    <n v="135"/>
  </r>
  <r>
    <s v="ORD1418620"/>
    <s v="ITM025"/>
    <n v="3"/>
    <n v="237"/>
    <x v="25"/>
    <x v="4"/>
    <n v="24"/>
    <n v="72"/>
  </r>
  <r>
    <s v="ORD5308981"/>
    <s v="ITM002"/>
    <n v="3"/>
    <n v="297"/>
    <x v="12"/>
    <x v="5"/>
    <n v="30"/>
    <n v="90"/>
  </r>
  <r>
    <s v="ORD5308981"/>
    <s v="ITM028"/>
    <n v="3"/>
    <n v="147"/>
    <x v="13"/>
    <x v="4"/>
    <n v="15"/>
    <n v="45"/>
  </r>
  <r>
    <s v="ORD7665779"/>
    <s v="ITM006"/>
    <n v="1"/>
    <n v="89"/>
    <x v="3"/>
    <x v="3"/>
    <n v="27"/>
    <n v="27"/>
  </r>
  <r>
    <s v="ORD7665779"/>
    <s v="ITM025"/>
    <n v="1"/>
    <n v="79"/>
    <x v="25"/>
    <x v="4"/>
    <n v="24"/>
    <n v="24"/>
  </r>
  <r>
    <s v="ORD4024840"/>
    <s v="ITM007"/>
    <n v="1"/>
    <n v="79"/>
    <x v="19"/>
    <x v="2"/>
    <n v="24"/>
    <n v="24"/>
  </r>
  <r>
    <s v="ORD4024840"/>
    <s v="ITM018"/>
    <n v="1"/>
    <n v="159"/>
    <x v="15"/>
    <x v="1"/>
    <n v="48"/>
    <n v="48"/>
  </r>
  <r>
    <s v="ORD4024840"/>
    <s v="ITM006"/>
    <n v="4"/>
    <n v="356"/>
    <x v="3"/>
    <x v="3"/>
    <n v="27"/>
    <n v="108"/>
  </r>
  <r>
    <s v="ORD3247082"/>
    <s v="ITM011"/>
    <n v="1"/>
    <n v="79"/>
    <x v="26"/>
    <x v="0"/>
    <n v="24"/>
    <n v="24"/>
  </r>
  <r>
    <s v="ORD3247082"/>
    <s v="ITM022"/>
    <n v="1"/>
    <n v="99"/>
    <x v="23"/>
    <x v="1"/>
    <n v="30"/>
    <n v="30"/>
  </r>
  <r>
    <s v="ORD3247082"/>
    <s v="ITM016"/>
    <n v="2"/>
    <n v="198"/>
    <x v="7"/>
    <x v="1"/>
    <n v="30"/>
    <n v="60"/>
  </r>
  <r>
    <s v="ORD3247082"/>
    <s v="ITM004"/>
    <n v="1"/>
    <n v="79"/>
    <x v="5"/>
    <x v="3"/>
    <n v="24"/>
    <n v="24"/>
  </r>
  <r>
    <s v="ORD7788118"/>
    <s v="ITM022"/>
    <n v="2"/>
    <n v="198"/>
    <x v="23"/>
    <x v="1"/>
    <n v="30"/>
    <n v="60"/>
  </r>
  <r>
    <s v="ORD7788118"/>
    <s v="ITM024"/>
    <n v="3"/>
    <n v="237"/>
    <x v="17"/>
    <x v="4"/>
    <n v="24"/>
    <n v="72"/>
  </r>
  <r>
    <s v="ORD7788118"/>
    <s v="ITM008"/>
    <n v="4"/>
    <n v="396"/>
    <x v="9"/>
    <x v="2"/>
    <n v="30"/>
    <n v="120"/>
  </r>
  <r>
    <s v="ORD5517001"/>
    <s v="ITM001"/>
    <n v="1"/>
    <n v="79"/>
    <x v="24"/>
    <x v="5"/>
    <n v="24"/>
    <n v="24"/>
  </r>
  <r>
    <s v="ORD5517001"/>
    <s v="ITM021"/>
    <n v="2"/>
    <n v="298"/>
    <x v="22"/>
    <x v="1"/>
    <n v="45"/>
    <n v="90"/>
  </r>
  <r>
    <s v="ORD3191599"/>
    <s v="ITM002"/>
    <n v="3"/>
    <n v="297"/>
    <x v="12"/>
    <x v="5"/>
    <n v="30"/>
    <n v="90"/>
  </r>
  <r>
    <s v="ORD3191599"/>
    <s v="ITM013"/>
    <n v="3"/>
    <n v="207"/>
    <x v="0"/>
    <x v="0"/>
    <n v="21"/>
    <n v="63"/>
  </r>
  <r>
    <s v="ORD3145093"/>
    <s v="ITM008"/>
    <n v="1"/>
    <n v="99"/>
    <x v="9"/>
    <x v="2"/>
    <n v="30"/>
    <n v="30"/>
  </r>
  <r>
    <s v="ORD3145093"/>
    <s v="ITM028"/>
    <n v="1"/>
    <n v="49"/>
    <x v="13"/>
    <x v="4"/>
    <n v="15"/>
    <n v="15"/>
  </r>
  <r>
    <s v="ORD3145093"/>
    <s v="ITM009"/>
    <n v="4"/>
    <n v="356"/>
    <x v="2"/>
    <x v="2"/>
    <n v="27"/>
    <n v="108"/>
  </r>
  <r>
    <s v="ORD4145588"/>
    <s v="ITM001"/>
    <n v="3"/>
    <n v="237"/>
    <x v="24"/>
    <x v="5"/>
    <n v="24"/>
    <n v="72"/>
  </r>
  <r>
    <s v="ORD4145588"/>
    <s v="ITM003"/>
    <n v="2"/>
    <n v="238"/>
    <x v="27"/>
    <x v="5"/>
    <n v="36"/>
    <n v="72"/>
  </r>
  <r>
    <s v="ORD4145588"/>
    <s v="ITM005"/>
    <n v="4"/>
    <n v="396"/>
    <x v="16"/>
    <x v="3"/>
    <n v="30"/>
    <n v="120"/>
  </r>
  <r>
    <s v="ORD4654144"/>
    <s v="ITM001"/>
    <n v="2"/>
    <n v="158"/>
    <x v="24"/>
    <x v="5"/>
    <n v="24"/>
    <n v="48"/>
  </r>
  <r>
    <s v="ORD1081021"/>
    <s v="ITM021"/>
    <n v="5"/>
    <n v="745"/>
    <x v="22"/>
    <x v="1"/>
    <n v="45"/>
    <n v="225"/>
  </r>
  <r>
    <s v="ORD1081021"/>
    <s v="ITM017"/>
    <n v="1"/>
    <n v="149"/>
    <x v="6"/>
    <x v="1"/>
    <n v="45"/>
    <n v="45"/>
  </r>
  <r>
    <s v="ORD3554635"/>
    <s v="ITM026"/>
    <n v="3"/>
    <n v="237"/>
    <x v="4"/>
    <x v="4"/>
    <n v="24"/>
    <n v="72"/>
  </r>
  <r>
    <s v="ORD3554635"/>
    <s v="ITM015"/>
    <n v="2"/>
    <n v="298"/>
    <x v="1"/>
    <x v="1"/>
    <n v="45"/>
    <n v="90"/>
  </r>
  <r>
    <s v="ORD6651210"/>
    <s v="ITM003"/>
    <n v="4"/>
    <n v="476"/>
    <x v="27"/>
    <x v="5"/>
    <n v="36"/>
    <n v="144"/>
  </r>
  <r>
    <s v="ORD6651210"/>
    <s v="ITM023"/>
    <n v="1"/>
    <n v="139"/>
    <x v="18"/>
    <x v="1"/>
    <n v="42"/>
    <n v="42"/>
  </r>
  <r>
    <s v="ORD9641104"/>
    <s v="ITM004"/>
    <n v="3"/>
    <n v="237"/>
    <x v="5"/>
    <x v="3"/>
    <n v="24"/>
    <n v="72"/>
  </r>
  <r>
    <s v="ORD9641104"/>
    <s v="ITM008"/>
    <n v="4"/>
    <n v="396"/>
    <x v="9"/>
    <x v="2"/>
    <n v="30"/>
    <n v="120"/>
  </r>
  <r>
    <s v="ORD7197168"/>
    <s v="ITM005"/>
    <n v="3"/>
    <n v="297"/>
    <x v="16"/>
    <x v="3"/>
    <n v="30"/>
    <n v="90"/>
  </r>
  <r>
    <s v="ORD7197168"/>
    <s v="ITM017"/>
    <n v="1"/>
    <n v="149"/>
    <x v="6"/>
    <x v="1"/>
    <n v="45"/>
    <n v="45"/>
  </r>
  <r>
    <s v="ORD5012665"/>
    <s v="ITM002"/>
    <n v="4"/>
    <n v="396"/>
    <x v="12"/>
    <x v="5"/>
    <n v="30"/>
    <n v="120"/>
  </r>
  <r>
    <s v="ORD5012665"/>
    <s v="ITM010"/>
    <n v="2"/>
    <n v="118"/>
    <x v="20"/>
    <x v="0"/>
    <n v="18"/>
    <n v="36"/>
  </r>
  <r>
    <s v="ORD1900408"/>
    <s v="ITM005"/>
    <n v="4"/>
    <n v="396"/>
    <x v="16"/>
    <x v="3"/>
    <n v="30"/>
    <n v="120"/>
  </r>
  <r>
    <s v="ORD3553618"/>
    <s v="ITM021"/>
    <n v="5"/>
    <n v="745"/>
    <x v="22"/>
    <x v="1"/>
    <n v="45"/>
    <n v="225"/>
  </r>
  <r>
    <s v="ORD3553618"/>
    <s v="ITM017"/>
    <n v="1"/>
    <n v="149"/>
    <x v="6"/>
    <x v="1"/>
    <n v="45"/>
    <n v="45"/>
  </r>
  <r>
    <s v="ORD3553618"/>
    <s v="ITM015"/>
    <n v="4"/>
    <n v="596"/>
    <x v="1"/>
    <x v="1"/>
    <n v="45"/>
    <n v="180"/>
  </r>
  <r>
    <s v="ORD3280748"/>
    <s v="ITM018"/>
    <n v="1"/>
    <n v="159"/>
    <x v="15"/>
    <x v="1"/>
    <n v="48"/>
    <n v="48"/>
  </r>
  <r>
    <s v="ORD3280748"/>
    <s v="ITM025"/>
    <n v="1"/>
    <n v="79"/>
    <x v="25"/>
    <x v="4"/>
    <n v="24"/>
    <n v="24"/>
  </r>
  <r>
    <s v="ORD2588823"/>
    <s v="ITM016"/>
    <n v="4"/>
    <n v="396"/>
    <x v="7"/>
    <x v="1"/>
    <n v="30"/>
    <n v="120"/>
  </r>
  <r>
    <s v="ORD2588823"/>
    <s v="ITM019"/>
    <n v="2"/>
    <n v="298"/>
    <x v="11"/>
    <x v="1"/>
    <n v="45"/>
    <n v="90"/>
  </r>
  <r>
    <s v="ORD2588823"/>
    <s v="ITM010"/>
    <n v="3"/>
    <n v="177"/>
    <x v="20"/>
    <x v="0"/>
    <n v="18"/>
    <n v="54"/>
  </r>
  <r>
    <s v="ORD1531957"/>
    <s v="ITM006"/>
    <n v="1"/>
    <n v="89"/>
    <x v="3"/>
    <x v="3"/>
    <n v="27"/>
    <n v="27"/>
  </r>
  <r>
    <s v="ORD1531957"/>
    <s v="ITM002"/>
    <n v="1"/>
    <n v="99"/>
    <x v="12"/>
    <x v="5"/>
    <n v="30"/>
    <n v="30"/>
  </r>
  <r>
    <s v="ORD3949116"/>
    <s v="ITM004"/>
    <n v="1"/>
    <n v="79"/>
    <x v="5"/>
    <x v="3"/>
    <n v="24"/>
    <n v="24"/>
  </r>
  <r>
    <s v="ORD3949116"/>
    <s v="ITM013"/>
    <n v="1"/>
    <n v="69"/>
    <x v="0"/>
    <x v="0"/>
    <n v="21"/>
    <n v="21"/>
  </r>
  <r>
    <s v="ORD3949116"/>
    <s v="ITM025"/>
    <n v="2"/>
    <n v="158"/>
    <x v="25"/>
    <x v="4"/>
    <n v="24"/>
    <n v="48"/>
  </r>
  <r>
    <s v="ORD3949116"/>
    <s v="ITM020"/>
    <n v="1"/>
    <n v="159"/>
    <x v="21"/>
    <x v="1"/>
    <n v="48"/>
    <n v="48"/>
  </r>
  <r>
    <s v="ORD5337729"/>
    <s v="ITM023"/>
    <n v="2"/>
    <n v="278"/>
    <x v="18"/>
    <x v="1"/>
    <n v="42"/>
    <n v="84"/>
  </r>
  <r>
    <s v="ORD5337729"/>
    <s v="ITM002"/>
    <n v="4"/>
    <n v="396"/>
    <x v="12"/>
    <x v="5"/>
    <n v="30"/>
    <n v="120"/>
  </r>
  <r>
    <s v="ORD1422000"/>
    <s v="ITM001"/>
    <n v="3"/>
    <n v="237"/>
    <x v="24"/>
    <x v="5"/>
    <n v="24"/>
    <n v="72"/>
  </r>
  <r>
    <s v="ORD1422000"/>
    <s v="ITM010"/>
    <n v="2"/>
    <n v="118"/>
    <x v="20"/>
    <x v="0"/>
    <n v="18"/>
    <n v="36"/>
  </r>
  <r>
    <s v="ORD1422000"/>
    <s v="ITM015"/>
    <n v="1"/>
    <n v="149"/>
    <x v="1"/>
    <x v="1"/>
    <n v="45"/>
    <n v="45"/>
  </r>
  <r>
    <s v="ORD2393753"/>
    <s v="ITM016"/>
    <n v="2"/>
    <n v="198"/>
    <x v="7"/>
    <x v="1"/>
    <n v="30"/>
    <n v="60"/>
  </r>
  <r>
    <s v="ORD2393753"/>
    <s v="ITM005"/>
    <n v="3"/>
    <n v="297"/>
    <x v="16"/>
    <x v="3"/>
    <n v="30"/>
    <n v="90"/>
  </r>
  <r>
    <s v="ORD2393753"/>
    <s v="ITM010"/>
    <n v="2"/>
    <n v="118"/>
    <x v="20"/>
    <x v="0"/>
    <n v="18"/>
    <n v="36"/>
  </r>
  <r>
    <s v="ORD2393753"/>
    <s v="ITM004"/>
    <n v="1"/>
    <n v="79"/>
    <x v="5"/>
    <x v="3"/>
    <n v="24"/>
    <n v="24"/>
  </r>
  <r>
    <s v="ORD6890185"/>
    <s v="ITM003"/>
    <n v="3"/>
    <n v="357"/>
    <x v="27"/>
    <x v="5"/>
    <n v="36"/>
    <n v="108"/>
  </r>
  <r>
    <s v="ORD6890185"/>
    <s v="ITM023"/>
    <n v="4"/>
    <n v="556"/>
    <x v="18"/>
    <x v="1"/>
    <n v="42"/>
    <n v="168"/>
  </r>
  <r>
    <s v="ORD6890185"/>
    <s v="ITM008"/>
    <n v="1"/>
    <n v="99"/>
    <x v="9"/>
    <x v="2"/>
    <n v="30"/>
    <n v="30"/>
  </r>
  <r>
    <s v="ORD6890185"/>
    <s v="ITM026"/>
    <n v="2"/>
    <n v="158"/>
    <x v="4"/>
    <x v="4"/>
    <n v="24"/>
    <n v="48"/>
  </r>
  <r>
    <s v="ORD3678376"/>
    <s v="ITM006"/>
    <n v="1"/>
    <n v="89"/>
    <x v="3"/>
    <x v="3"/>
    <n v="27"/>
    <n v="27"/>
  </r>
  <r>
    <s v="ORD6055598"/>
    <s v="ITM008"/>
    <n v="1"/>
    <n v="99"/>
    <x v="9"/>
    <x v="2"/>
    <n v="30"/>
    <n v="30"/>
  </r>
  <r>
    <s v="ORD6055598"/>
    <s v="ITM010"/>
    <n v="1"/>
    <n v="59"/>
    <x v="20"/>
    <x v="0"/>
    <n v="18"/>
    <n v="18"/>
  </r>
  <r>
    <s v="ORD2457615"/>
    <s v="ITM014"/>
    <n v="1"/>
    <n v="119"/>
    <x v="14"/>
    <x v="1"/>
    <n v="36"/>
    <n v="36"/>
  </r>
  <r>
    <s v="ORD2457615"/>
    <s v="ITM008"/>
    <n v="1"/>
    <n v="99"/>
    <x v="9"/>
    <x v="2"/>
    <n v="30"/>
    <n v="30"/>
  </r>
  <r>
    <s v="ORD2457615"/>
    <s v="ITM020"/>
    <n v="2"/>
    <n v="318"/>
    <x v="21"/>
    <x v="1"/>
    <n v="48"/>
    <n v="96"/>
  </r>
  <r>
    <s v="ORD2475412"/>
    <s v="ITM020"/>
    <n v="2"/>
    <n v="318"/>
    <x v="21"/>
    <x v="1"/>
    <n v="48"/>
    <n v="96"/>
  </r>
  <r>
    <s v="ORD8198004"/>
    <s v="ITM017"/>
    <n v="1"/>
    <n v="149"/>
    <x v="6"/>
    <x v="1"/>
    <n v="45"/>
    <n v="45"/>
  </r>
  <r>
    <s v="ORD8198004"/>
    <s v="ITM010"/>
    <n v="3"/>
    <n v="177"/>
    <x v="20"/>
    <x v="0"/>
    <n v="18"/>
    <n v="54"/>
  </r>
  <r>
    <s v="ORD1389216"/>
    <s v="ITM001"/>
    <n v="3"/>
    <n v="237"/>
    <x v="24"/>
    <x v="5"/>
    <n v="24"/>
    <n v="72"/>
  </r>
  <r>
    <s v="ORD1389216"/>
    <s v="ITM023"/>
    <n v="3"/>
    <n v="417"/>
    <x v="18"/>
    <x v="1"/>
    <n v="42"/>
    <n v="126"/>
  </r>
  <r>
    <s v="ORD5680271"/>
    <s v="ITM006"/>
    <n v="1"/>
    <n v="89"/>
    <x v="3"/>
    <x v="3"/>
    <n v="27"/>
    <n v="27"/>
  </r>
  <r>
    <s v="ORD5680271"/>
    <s v="ITM023"/>
    <n v="3"/>
    <n v="417"/>
    <x v="18"/>
    <x v="1"/>
    <n v="42"/>
    <n v="126"/>
  </r>
  <r>
    <s v="ORD5680271"/>
    <s v="ITM013"/>
    <n v="2"/>
    <n v="138"/>
    <x v="0"/>
    <x v="0"/>
    <n v="21"/>
    <n v="42"/>
  </r>
  <r>
    <s v="ORD5680271"/>
    <s v="ITM004"/>
    <n v="1"/>
    <n v="79"/>
    <x v="5"/>
    <x v="3"/>
    <n v="24"/>
    <n v="24"/>
  </r>
  <r>
    <s v="ORD1887034"/>
    <s v="ITM003"/>
    <n v="1"/>
    <n v="119"/>
    <x v="27"/>
    <x v="5"/>
    <n v="36"/>
    <n v="36"/>
  </r>
  <r>
    <s v="ORD1887034"/>
    <s v="ITM020"/>
    <n v="1"/>
    <n v="159"/>
    <x v="21"/>
    <x v="1"/>
    <n v="48"/>
    <n v="48"/>
  </r>
  <r>
    <s v="ORD1544147"/>
    <s v="ITM014"/>
    <n v="1"/>
    <n v="119"/>
    <x v="14"/>
    <x v="1"/>
    <n v="36"/>
    <n v="36"/>
  </r>
  <r>
    <s v="ORD1544147"/>
    <s v="ITM025"/>
    <n v="1"/>
    <n v="79"/>
    <x v="25"/>
    <x v="4"/>
    <n v="24"/>
    <n v="24"/>
  </r>
  <r>
    <s v="ORD1764825"/>
    <s v="ITM024"/>
    <n v="1"/>
    <n v="79"/>
    <x v="17"/>
    <x v="4"/>
    <n v="24"/>
    <n v="24"/>
  </r>
  <r>
    <s v="ORD1764825"/>
    <s v="ITM021"/>
    <n v="2"/>
    <n v="298"/>
    <x v="22"/>
    <x v="1"/>
    <n v="45"/>
    <n v="90"/>
  </r>
  <r>
    <s v="ORD1764825"/>
    <s v="ITM005"/>
    <n v="5"/>
    <n v="495"/>
    <x v="16"/>
    <x v="3"/>
    <n v="30"/>
    <n v="150"/>
  </r>
  <r>
    <s v="ORD1764825"/>
    <s v="ITM028"/>
    <n v="5"/>
    <n v="245"/>
    <x v="13"/>
    <x v="4"/>
    <n v="15"/>
    <n v="75"/>
  </r>
  <r>
    <s v="ORD9789306"/>
    <s v="ITM003"/>
    <n v="1"/>
    <n v="119"/>
    <x v="27"/>
    <x v="5"/>
    <n v="36"/>
    <n v="36"/>
  </r>
  <r>
    <s v="ORD9789306"/>
    <s v="ITM018"/>
    <n v="1"/>
    <n v="159"/>
    <x v="15"/>
    <x v="1"/>
    <n v="48"/>
    <n v="48"/>
  </r>
  <r>
    <s v="ORD9789306"/>
    <s v="ITM027"/>
    <n v="1"/>
    <n v="79"/>
    <x v="10"/>
    <x v="4"/>
    <n v="24"/>
    <n v="24"/>
  </r>
  <r>
    <s v="ORD9789306"/>
    <s v="ITM025"/>
    <n v="1"/>
    <n v="79"/>
    <x v="25"/>
    <x v="4"/>
    <n v="24"/>
    <n v="24"/>
  </r>
  <r>
    <s v="ORD3308575"/>
    <s v="ITM007"/>
    <n v="1"/>
    <n v="79"/>
    <x v="19"/>
    <x v="2"/>
    <n v="24"/>
    <n v="24"/>
  </r>
  <r>
    <s v="ORD3308575"/>
    <s v="ITM002"/>
    <n v="1"/>
    <n v="99"/>
    <x v="12"/>
    <x v="5"/>
    <n v="30"/>
    <n v="30"/>
  </r>
  <r>
    <s v="ORD3308575"/>
    <s v="ITM004"/>
    <n v="2"/>
    <n v="158"/>
    <x v="5"/>
    <x v="3"/>
    <n v="24"/>
    <n v="48"/>
  </r>
  <r>
    <s v="ORD7445760"/>
    <s v="ITM016"/>
    <n v="2"/>
    <n v="198"/>
    <x v="7"/>
    <x v="1"/>
    <n v="30"/>
    <n v="60"/>
  </r>
  <r>
    <s v="ORD7445760"/>
    <s v="ITM021"/>
    <n v="3"/>
    <n v="447"/>
    <x v="22"/>
    <x v="1"/>
    <n v="45"/>
    <n v="135"/>
  </r>
  <r>
    <s v="ORD1250389"/>
    <s v="ITM011"/>
    <n v="2"/>
    <n v="158"/>
    <x v="26"/>
    <x v="0"/>
    <n v="24"/>
    <n v="48"/>
  </r>
  <r>
    <s v="ORD1250389"/>
    <s v="ITM023"/>
    <n v="1"/>
    <n v="139"/>
    <x v="18"/>
    <x v="1"/>
    <n v="42"/>
    <n v="42"/>
  </r>
  <r>
    <s v="ORD4124302"/>
    <s v="ITM004"/>
    <n v="2"/>
    <n v="158"/>
    <x v="5"/>
    <x v="3"/>
    <n v="24"/>
    <n v="48"/>
  </r>
  <r>
    <s v="ORD4124302"/>
    <s v="ITM022"/>
    <n v="1"/>
    <n v="99"/>
    <x v="23"/>
    <x v="1"/>
    <n v="30"/>
    <n v="30"/>
  </r>
  <r>
    <s v="ORD4124302"/>
    <s v="ITM017"/>
    <n v="1"/>
    <n v="149"/>
    <x v="6"/>
    <x v="1"/>
    <n v="45"/>
    <n v="45"/>
  </r>
  <r>
    <s v="ORD4124302"/>
    <s v="ITM012"/>
    <n v="2"/>
    <n v="178"/>
    <x v="8"/>
    <x v="0"/>
    <n v="27"/>
    <n v="54"/>
  </r>
  <r>
    <s v="ORD8330480"/>
    <s v="ITM023"/>
    <n v="1"/>
    <n v="139"/>
    <x v="18"/>
    <x v="1"/>
    <n v="42"/>
    <n v="42"/>
  </r>
  <r>
    <s v="ORD8330480"/>
    <s v="ITM008"/>
    <n v="3"/>
    <n v="297"/>
    <x v="9"/>
    <x v="2"/>
    <n v="30"/>
    <n v="90"/>
  </r>
  <r>
    <s v="ORD8330480"/>
    <s v="ITM025"/>
    <n v="3"/>
    <n v="237"/>
    <x v="25"/>
    <x v="4"/>
    <n v="24"/>
    <n v="72"/>
  </r>
  <r>
    <s v="ORD3435911"/>
    <s v="ITM015"/>
    <n v="1"/>
    <n v="149"/>
    <x v="1"/>
    <x v="1"/>
    <n v="45"/>
    <n v="45"/>
  </r>
  <r>
    <s v="ORD3626317"/>
    <s v="ITM023"/>
    <n v="2"/>
    <n v="278"/>
    <x v="18"/>
    <x v="1"/>
    <n v="42"/>
    <n v="84"/>
  </r>
  <r>
    <s v="ORD3626317"/>
    <s v="ITM018"/>
    <n v="1"/>
    <n v="159"/>
    <x v="15"/>
    <x v="1"/>
    <n v="48"/>
    <n v="48"/>
  </r>
  <r>
    <s v="ORD3626317"/>
    <s v="ITM019"/>
    <n v="3"/>
    <n v="447"/>
    <x v="11"/>
    <x v="1"/>
    <n v="45"/>
    <n v="135"/>
  </r>
  <r>
    <s v="ORD3626317"/>
    <s v="ITM020"/>
    <n v="2"/>
    <n v="318"/>
    <x v="21"/>
    <x v="1"/>
    <n v="48"/>
    <n v="96"/>
  </r>
  <r>
    <s v="ORD1259548"/>
    <s v="ITM004"/>
    <n v="2"/>
    <n v="158"/>
    <x v="5"/>
    <x v="3"/>
    <n v="24"/>
    <n v="48"/>
  </r>
  <r>
    <s v="ORD1259548"/>
    <s v="ITM002"/>
    <n v="3"/>
    <n v="297"/>
    <x v="12"/>
    <x v="5"/>
    <n v="30"/>
    <n v="90"/>
  </r>
  <r>
    <s v="ORD1259548"/>
    <s v="ITM025"/>
    <n v="2"/>
    <n v="158"/>
    <x v="25"/>
    <x v="4"/>
    <n v="24"/>
    <n v="48"/>
  </r>
  <r>
    <s v="ORD1259548"/>
    <s v="ITM012"/>
    <n v="5"/>
    <n v="445"/>
    <x v="8"/>
    <x v="0"/>
    <n v="27"/>
    <n v="135"/>
  </r>
  <r>
    <s v="ORD6536394"/>
    <s v="ITM004"/>
    <n v="1"/>
    <n v="79"/>
    <x v="5"/>
    <x v="3"/>
    <n v="24"/>
    <n v="24"/>
  </r>
  <r>
    <s v="ORD6536394"/>
    <s v="ITM001"/>
    <n v="1"/>
    <n v="79"/>
    <x v="24"/>
    <x v="5"/>
    <n v="24"/>
    <n v="24"/>
  </r>
  <r>
    <s v="ORD8121698"/>
    <s v="ITM008"/>
    <n v="3"/>
    <n v="297"/>
    <x v="9"/>
    <x v="2"/>
    <n v="30"/>
    <n v="90"/>
  </r>
  <r>
    <s v="ORD8121698"/>
    <s v="ITM010"/>
    <n v="4"/>
    <n v="236"/>
    <x v="20"/>
    <x v="0"/>
    <n v="18"/>
    <n v="72"/>
  </r>
  <r>
    <s v="ORD4929395"/>
    <s v="ITM016"/>
    <n v="1"/>
    <n v="99"/>
    <x v="7"/>
    <x v="1"/>
    <n v="30"/>
    <n v="30"/>
  </r>
  <r>
    <s v="ORD4929395"/>
    <s v="ITM015"/>
    <n v="1"/>
    <n v="149"/>
    <x v="1"/>
    <x v="1"/>
    <n v="45"/>
    <n v="45"/>
  </r>
  <r>
    <s v="ORD4809816"/>
    <s v="ITM009"/>
    <n v="1"/>
    <n v="89"/>
    <x v="2"/>
    <x v="2"/>
    <n v="27"/>
    <n v="27"/>
  </r>
  <r>
    <s v="ORD3371399"/>
    <s v="ITM001"/>
    <n v="1"/>
    <n v="79"/>
    <x v="24"/>
    <x v="5"/>
    <n v="24"/>
    <n v="24"/>
  </r>
  <r>
    <s v="ORD3371399"/>
    <s v="ITM014"/>
    <n v="3"/>
    <n v="357"/>
    <x v="14"/>
    <x v="1"/>
    <n v="36"/>
    <n v="108"/>
  </r>
  <r>
    <s v="ORD4856748"/>
    <s v="ITM004"/>
    <n v="5"/>
    <n v="395"/>
    <x v="5"/>
    <x v="3"/>
    <n v="24"/>
    <n v="120"/>
  </r>
  <r>
    <s v="ORD4856748"/>
    <s v="ITM003"/>
    <n v="2"/>
    <n v="238"/>
    <x v="27"/>
    <x v="5"/>
    <n v="36"/>
    <n v="72"/>
  </r>
  <r>
    <s v="ORD4856748"/>
    <s v="ITM010"/>
    <n v="3"/>
    <n v="177"/>
    <x v="20"/>
    <x v="0"/>
    <n v="18"/>
    <n v="54"/>
  </r>
  <r>
    <s v="ORD8701056"/>
    <s v="ITM006"/>
    <n v="1"/>
    <n v="89"/>
    <x v="3"/>
    <x v="3"/>
    <n v="27"/>
    <n v="27"/>
  </r>
  <r>
    <s v="ORD8701056"/>
    <s v="ITM005"/>
    <n v="3"/>
    <n v="297"/>
    <x v="16"/>
    <x v="3"/>
    <n v="30"/>
    <n v="90"/>
  </r>
  <r>
    <s v="ORD6037482"/>
    <s v="ITM005"/>
    <n v="1"/>
    <n v="99"/>
    <x v="16"/>
    <x v="3"/>
    <n v="30"/>
    <n v="30"/>
  </r>
  <r>
    <s v="ORD6037482"/>
    <s v="ITM013"/>
    <n v="4"/>
    <n v="276"/>
    <x v="0"/>
    <x v="0"/>
    <n v="21"/>
    <n v="84"/>
  </r>
  <r>
    <s v="ORD7725763"/>
    <s v="ITM005"/>
    <n v="1"/>
    <n v="99"/>
    <x v="16"/>
    <x v="3"/>
    <n v="30"/>
    <n v="30"/>
  </r>
  <r>
    <s v="ORD7725763"/>
    <s v="ITM017"/>
    <n v="2"/>
    <n v="298"/>
    <x v="6"/>
    <x v="1"/>
    <n v="45"/>
    <n v="90"/>
  </r>
  <r>
    <s v="ORD9674029"/>
    <s v="ITM007"/>
    <n v="1"/>
    <n v="79"/>
    <x v="19"/>
    <x v="2"/>
    <n v="24"/>
    <n v="24"/>
  </r>
  <r>
    <s v="ORD9674029"/>
    <s v="ITM017"/>
    <n v="1"/>
    <n v="149"/>
    <x v="6"/>
    <x v="1"/>
    <n v="45"/>
    <n v="45"/>
  </r>
  <r>
    <s v="ORD9674029"/>
    <s v="ITM002"/>
    <n v="1"/>
    <n v="99"/>
    <x v="12"/>
    <x v="5"/>
    <n v="30"/>
    <n v="30"/>
  </r>
  <r>
    <s v="ORD9674029"/>
    <s v="ITM010"/>
    <n v="3"/>
    <n v="177"/>
    <x v="20"/>
    <x v="0"/>
    <n v="18"/>
    <n v="54"/>
  </r>
  <r>
    <s v="ORD2406064"/>
    <s v="ITM027"/>
    <n v="1"/>
    <n v="79"/>
    <x v="10"/>
    <x v="4"/>
    <n v="24"/>
    <n v="24"/>
  </r>
  <r>
    <s v="ORD2406064"/>
    <s v="ITM014"/>
    <n v="2"/>
    <n v="238"/>
    <x v="14"/>
    <x v="1"/>
    <n v="36"/>
    <n v="72"/>
  </r>
  <r>
    <s v="ORD2406064"/>
    <s v="ITM021"/>
    <n v="3"/>
    <n v="447"/>
    <x v="22"/>
    <x v="1"/>
    <n v="45"/>
    <n v="135"/>
  </r>
  <r>
    <s v="ORD6687491"/>
    <s v="ITM003"/>
    <n v="2"/>
    <n v="238"/>
    <x v="27"/>
    <x v="5"/>
    <n v="36"/>
    <n v="72"/>
  </r>
  <r>
    <s v="ORD6687491"/>
    <s v="ITM014"/>
    <n v="1"/>
    <n v="119"/>
    <x v="14"/>
    <x v="1"/>
    <n v="36"/>
    <n v="36"/>
  </r>
  <r>
    <s v="ORD3185029"/>
    <s v="ITM006"/>
    <n v="2"/>
    <n v="178"/>
    <x v="3"/>
    <x v="3"/>
    <n v="27"/>
    <n v="54"/>
  </r>
  <r>
    <s v="ORD3185029"/>
    <s v="ITM020"/>
    <n v="2"/>
    <n v="318"/>
    <x v="21"/>
    <x v="1"/>
    <n v="48"/>
    <n v="96"/>
  </r>
  <r>
    <s v="ORD3024875"/>
    <s v="ITM005"/>
    <n v="3"/>
    <n v="297"/>
    <x v="16"/>
    <x v="3"/>
    <n v="30"/>
    <n v="90"/>
  </r>
  <r>
    <s v="ORD4903872"/>
    <s v="ITM023"/>
    <n v="4"/>
    <n v="556"/>
    <x v="18"/>
    <x v="1"/>
    <n v="42"/>
    <n v="168"/>
  </r>
  <r>
    <s v="ORD4903872"/>
    <s v="ITM026"/>
    <n v="1"/>
    <n v="79"/>
    <x v="4"/>
    <x v="4"/>
    <n v="24"/>
    <n v="24"/>
  </r>
  <r>
    <s v="ORD1233441"/>
    <s v="ITM006"/>
    <n v="1"/>
    <n v="89"/>
    <x v="3"/>
    <x v="3"/>
    <n v="27"/>
    <n v="27"/>
  </r>
  <r>
    <s v="ORD1233441"/>
    <s v="ITM024"/>
    <n v="1"/>
    <n v="79"/>
    <x v="17"/>
    <x v="4"/>
    <n v="24"/>
    <n v="24"/>
  </r>
  <r>
    <s v="ORD1233441"/>
    <s v="ITM012"/>
    <n v="1"/>
    <n v="89"/>
    <x v="8"/>
    <x v="0"/>
    <n v="27"/>
    <n v="27"/>
  </r>
  <r>
    <s v="ORD1233441"/>
    <s v="ITM015"/>
    <n v="1"/>
    <n v="149"/>
    <x v="1"/>
    <x v="1"/>
    <n v="45"/>
    <n v="45"/>
  </r>
  <r>
    <s v="ORD4255084"/>
    <s v="ITM011"/>
    <n v="2"/>
    <n v="158"/>
    <x v="26"/>
    <x v="0"/>
    <n v="24"/>
    <n v="48"/>
  </r>
  <r>
    <s v="ORD4255084"/>
    <s v="ITM002"/>
    <n v="1"/>
    <n v="99"/>
    <x v="12"/>
    <x v="5"/>
    <n v="30"/>
    <n v="30"/>
  </r>
  <r>
    <s v="ORD4255084"/>
    <s v="ITM001"/>
    <n v="1"/>
    <n v="79"/>
    <x v="24"/>
    <x v="5"/>
    <n v="24"/>
    <n v="24"/>
  </r>
  <r>
    <s v="ORD8391531"/>
    <s v="ITM014"/>
    <n v="2"/>
    <n v="238"/>
    <x v="14"/>
    <x v="1"/>
    <n v="36"/>
    <n v="72"/>
  </r>
  <r>
    <s v="ORD8391531"/>
    <s v="ITM021"/>
    <n v="2"/>
    <n v="298"/>
    <x v="22"/>
    <x v="1"/>
    <n v="45"/>
    <n v="90"/>
  </r>
  <r>
    <s v="ORD8391531"/>
    <s v="ITM007"/>
    <n v="4"/>
    <n v="316"/>
    <x v="19"/>
    <x v="2"/>
    <n v="24"/>
    <n v="96"/>
  </r>
  <r>
    <s v="ORD6868570"/>
    <s v="ITM016"/>
    <n v="2"/>
    <n v="198"/>
    <x v="7"/>
    <x v="1"/>
    <n v="30"/>
    <n v="60"/>
  </r>
  <r>
    <s v="ORD6868570"/>
    <s v="ITM022"/>
    <n v="3"/>
    <n v="297"/>
    <x v="23"/>
    <x v="1"/>
    <n v="30"/>
    <n v="90"/>
  </r>
  <r>
    <s v="ORD6868570"/>
    <s v="ITM004"/>
    <n v="1"/>
    <n v="79"/>
    <x v="5"/>
    <x v="3"/>
    <n v="24"/>
    <n v="24"/>
  </r>
  <r>
    <s v="ORD3685450"/>
    <s v="ITM012"/>
    <n v="1"/>
    <n v="89"/>
    <x v="8"/>
    <x v="0"/>
    <n v="27"/>
    <n v="27"/>
  </r>
  <r>
    <s v="ORD6555400"/>
    <s v="ITM018"/>
    <n v="1"/>
    <n v="159"/>
    <x v="15"/>
    <x v="1"/>
    <n v="48"/>
    <n v="48"/>
  </r>
  <r>
    <s v="ORD6555400"/>
    <s v="ITM005"/>
    <n v="1"/>
    <n v="99"/>
    <x v="16"/>
    <x v="3"/>
    <n v="30"/>
    <n v="30"/>
  </r>
  <r>
    <s v="ORD9483659"/>
    <s v="ITM022"/>
    <n v="2"/>
    <n v="198"/>
    <x v="23"/>
    <x v="1"/>
    <n v="30"/>
    <n v="60"/>
  </r>
  <r>
    <s v="ORD9483659"/>
    <s v="ITM013"/>
    <n v="1"/>
    <n v="69"/>
    <x v="0"/>
    <x v="0"/>
    <n v="21"/>
    <n v="21"/>
  </r>
  <r>
    <s v="ORD2732796"/>
    <s v="ITM021"/>
    <n v="4"/>
    <n v="596"/>
    <x v="22"/>
    <x v="1"/>
    <n v="45"/>
    <n v="180"/>
  </r>
  <r>
    <s v="ORD2732796"/>
    <s v="ITM023"/>
    <n v="3"/>
    <n v="417"/>
    <x v="18"/>
    <x v="1"/>
    <n v="42"/>
    <n v="126"/>
  </r>
  <r>
    <s v="ORD2732796"/>
    <s v="ITM005"/>
    <n v="4"/>
    <n v="396"/>
    <x v="16"/>
    <x v="3"/>
    <n v="30"/>
    <n v="120"/>
  </r>
  <r>
    <s v="ORD2732796"/>
    <s v="ITM017"/>
    <n v="4"/>
    <n v="596"/>
    <x v="6"/>
    <x v="1"/>
    <n v="45"/>
    <n v="180"/>
  </r>
  <r>
    <s v="ORD3908376"/>
    <s v="ITM006"/>
    <n v="1"/>
    <n v="89"/>
    <x v="3"/>
    <x v="3"/>
    <n v="27"/>
    <n v="27"/>
  </r>
  <r>
    <s v="ORD6772242"/>
    <s v="ITM024"/>
    <n v="1"/>
    <n v="79"/>
    <x v="17"/>
    <x v="4"/>
    <n v="24"/>
    <n v="24"/>
  </r>
  <r>
    <s v="ORD9460643"/>
    <s v="ITM021"/>
    <n v="1"/>
    <n v="149"/>
    <x v="22"/>
    <x v="1"/>
    <n v="45"/>
    <n v="45"/>
  </r>
  <r>
    <s v="ORD9460643"/>
    <s v="ITM018"/>
    <n v="3"/>
    <n v="477"/>
    <x v="15"/>
    <x v="1"/>
    <n v="48"/>
    <n v="144"/>
  </r>
  <r>
    <s v="ORD9460643"/>
    <s v="ITM009"/>
    <n v="1"/>
    <n v="89"/>
    <x v="2"/>
    <x v="2"/>
    <n v="27"/>
    <n v="27"/>
  </r>
  <r>
    <s v="ORD6818667"/>
    <s v="ITM016"/>
    <n v="3"/>
    <n v="297"/>
    <x v="7"/>
    <x v="1"/>
    <n v="30"/>
    <n v="90"/>
  </r>
  <r>
    <s v="ORD6818667"/>
    <s v="ITM018"/>
    <n v="3"/>
    <n v="477"/>
    <x v="15"/>
    <x v="1"/>
    <n v="48"/>
    <n v="144"/>
  </r>
  <r>
    <s v="ORD6818667"/>
    <s v="ITM004"/>
    <n v="3"/>
    <n v="237"/>
    <x v="5"/>
    <x v="3"/>
    <n v="24"/>
    <n v="72"/>
  </r>
  <r>
    <s v="ORD3246423"/>
    <s v="ITM008"/>
    <n v="2"/>
    <n v="198"/>
    <x v="9"/>
    <x v="2"/>
    <n v="30"/>
    <n v="60"/>
  </r>
  <r>
    <s v="ORD1249770"/>
    <s v="ITM021"/>
    <n v="1"/>
    <n v="149"/>
    <x v="22"/>
    <x v="1"/>
    <n v="45"/>
    <n v="45"/>
  </r>
  <r>
    <s v="ORD1249770"/>
    <s v="ITM008"/>
    <n v="1"/>
    <n v="99"/>
    <x v="9"/>
    <x v="2"/>
    <n v="30"/>
    <n v="30"/>
  </r>
  <r>
    <s v="ORD2275295"/>
    <s v="ITM012"/>
    <n v="2"/>
    <n v="178"/>
    <x v="8"/>
    <x v="0"/>
    <n v="27"/>
    <n v="54"/>
  </r>
  <r>
    <s v="ORD7688099"/>
    <s v="ITM024"/>
    <n v="1"/>
    <n v="79"/>
    <x v="17"/>
    <x v="4"/>
    <n v="24"/>
    <n v="24"/>
  </r>
  <r>
    <s v="ORD7688099"/>
    <s v="ITM005"/>
    <n v="2"/>
    <n v="198"/>
    <x v="16"/>
    <x v="3"/>
    <n v="30"/>
    <n v="60"/>
  </r>
  <r>
    <s v="ORD5506019"/>
    <s v="ITM006"/>
    <n v="2"/>
    <n v="178"/>
    <x v="3"/>
    <x v="3"/>
    <n v="27"/>
    <n v="54"/>
  </r>
  <r>
    <s v="ORD5506019"/>
    <s v="ITM003"/>
    <n v="3"/>
    <n v="357"/>
    <x v="27"/>
    <x v="5"/>
    <n v="36"/>
    <n v="108"/>
  </r>
  <r>
    <s v="ORD5506019"/>
    <s v="ITM008"/>
    <n v="1"/>
    <n v="99"/>
    <x v="9"/>
    <x v="2"/>
    <n v="30"/>
    <n v="30"/>
  </r>
  <r>
    <s v="ORD5506019"/>
    <s v="ITM020"/>
    <n v="1"/>
    <n v="159"/>
    <x v="21"/>
    <x v="1"/>
    <n v="48"/>
    <n v="48"/>
  </r>
  <r>
    <s v="ORD1828280"/>
    <s v="ITM018"/>
    <n v="2"/>
    <n v="318"/>
    <x v="15"/>
    <x v="1"/>
    <n v="48"/>
    <n v="96"/>
  </r>
  <r>
    <s v="ORD1828280"/>
    <s v="ITM017"/>
    <n v="1"/>
    <n v="149"/>
    <x v="6"/>
    <x v="1"/>
    <n v="45"/>
    <n v="45"/>
  </r>
  <r>
    <s v="ORD1828280"/>
    <s v="ITM008"/>
    <n v="2"/>
    <n v="198"/>
    <x v="9"/>
    <x v="2"/>
    <n v="30"/>
    <n v="60"/>
  </r>
  <r>
    <s v="ORD1828280"/>
    <s v="ITM015"/>
    <n v="1"/>
    <n v="149"/>
    <x v="1"/>
    <x v="1"/>
    <n v="45"/>
    <n v="45"/>
  </r>
  <r>
    <s v="ORD2836456"/>
    <s v="ITM001"/>
    <n v="3"/>
    <n v="237"/>
    <x v="24"/>
    <x v="5"/>
    <n v="24"/>
    <n v="72"/>
  </r>
  <r>
    <s v="ORD2836456"/>
    <s v="ITM026"/>
    <n v="2"/>
    <n v="158"/>
    <x v="4"/>
    <x v="4"/>
    <n v="24"/>
    <n v="48"/>
  </r>
  <r>
    <s v="ORD3854736"/>
    <s v="ITM016"/>
    <n v="2"/>
    <n v="198"/>
    <x v="7"/>
    <x v="1"/>
    <n v="30"/>
    <n v="60"/>
  </r>
  <r>
    <s v="ORD3854736"/>
    <s v="ITM011"/>
    <n v="1"/>
    <n v="79"/>
    <x v="26"/>
    <x v="0"/>
    <n v="24"/>
    <n v="24"/>
  </r>
  <r>
    <s v="ORD6595931"/>
    <s v="ITM011"/>
    <n v="3"/>
    <n v="237"/>
    <x v="26"/>
    <x v="0"/>
    <n v="24"/>
    <n v="72"/>
  </r>
  <r>
    <s v="ORD6595931"/>
    <s v="ITM016"/>
    <n v="1"/>
    <n v="99"/>
    <x v="7"/>
    <x v="1"/>
    <n v="30"/>
    <n v="30"/>
  </r>
  <r>
    <s v="ORD6595931"/>
    <s v="ITM006"/>
    <n v="3"/>
    <n v="267"/>
    <x v="3"/>
    <x v="3"/>
    <n v="27"/>
    <n v="81"/>
  </r>
  <r>
    <s v="ORD9521406"/>
    <s v="ITM004"/>
    <n v="1"/>
    <n v="79"/>
    <x v="5"/>
    <x v="3"/>
    <n v="24"/>
    <n v="24"/>
  </r>
  <r>
    <s v="ORD9521406"/>
    <s v="ITM017"/>
    <n v="1"/>
    <n v="149"/>
    <x v="6"/>
    <x v="1"/>
    <n v="45"/>
    <n v="45"/>
  </r>
  <r>
    <s v="ORD3831541"/>
    <s v="ITM006"/>
    <n v="3"/>
    <n v="267"/>
    <x v="3"/>
    <x v="3"/>
    <n v="27"/>
    <n v="81"/>
  </r>
  <r>
    <s v="ORD3831541"/>
    <s v="ITM011"/>
    <n v="2"/>
    <n v="158"/>
    <x v="26"/>
    <x v="0"/>
    <n v="24"/>
    <n v="48"/>
  </r>
  <r>
    <s v="ORD6031079"/>
    <s v="ITM017"/>
    <n v="1"/>
    <n v="149"/>
    <x v="6"/>
    <x v="1"/>
    <n v="45"/>
    <n v="45"/>
  </r>
  <r>
    <s v="ORD6031079"/>
    <s v="ITM013"/>
    <n v="1"/>
    <n v="69"/>
    <x v="0"/>
    <x v="0"/>
    <n v="21"/>
    <n v="21"/>
  </r>
  <r>
    <s v="ORD3936064"/>
    <s v="ITM001"/>
    <n v="2"/>
    <n v="158"/>
    <x v="24"/>
    <x v="5"/>
    <n v="24"/>
    <n v="48"/>
  </r>
  <r>
    <s v="ORD5400264"/>
    <s v="ITM006"/>
    <n v="2"/>
    <n v="178"/>
    <x v="3"/>
    <x v="3"/>
    <n v="27"/>
    <n v="54"/>
  </r>
  <r>
    <s v="ORD5400264"/>
    <s v="ITM017"/>
    <n v="1"/>
    <n v="149"/>
    <x v="6"/>
    <x v="1"/>
    <n v="45"/>
    <n v="45"/>
  </r>
  <r>
    <s v="ORD5400264"/>
    <s v="ITM002"/>
    <n v="1"/>
    <n v="99"/>
    <x v="12"/>
    <x v="5"/>
    <n v="30"/>
    <n v="30"/>
  </r>
  <r>
    <s v="ORD5400264"/>
    <s v="ITM013"/>
    <n v="2"/>
    <n v="138"/>
    <x v="0"/>
    <x v="0"/>
    <n v="21"/>
    <n v="42"/>
  </r>
  <r>
    <s v="ORD4368734"/>
    <s v="ITM014"/>
    <n v="1"/>
    <n v="119"/>
    <x v="14"/>
    <x v="1"/>
    <n v="36"/>
    <n v="36"/>
  </r>
  <r>
    <s v="ORD4368734"/>
    <s v="ITM005"/>
    <n v="2"/>
    <n v="198"/>
    <x v="16"/>
    <x v="3"/>
    <n v="30"/>
    <n v="60"/>
  </r>
  <r>
    <s v="ORD4368734"/>
    <s v="ITM009"/>
    <n v="1"/>
    <n v="89"/>
    <x v="2"/>
    <x v="2"/>
    <n v="27"/>
    <n v="27"/>
  </r>
  <r>
    <s v="ORD1625318"/>
    <s v="ITM025"/>
    <n v="3"/>
    <n v="237"/>
    <x v="25"/>
    <x v="4"/>
    <n v="24"/>
    <n v="72"/>
  </r>
  <r>
    <s v="ORD1625318"/>
    <s v="ITM012"/>
    <n v="3"/>
    <n v="267"/>
    <x v="8"/>
    <x v="0"/>
    <n v="27"/>
    <n v="81"/>
  </r>
  <r>
    <s v="ORD6938942"/>
    <s v="ITM010"/>
    <n v="2"/>
    <n v="118"/>
    <x v="20"/>
    <x v="0"/>
    <n v="18"/>
    <n v="36"/>
  </r>
  <r>
    <s v="ORD2867709"/>
    <s v="ITM004"/>
    <n v="3"/>
    <n v="237"/>
    <x v="5"/>
    <x v="3"/>
    <n v="24"/>
    <n v="72"/>
  </r>
  <r>
    <s v="ORD2867709"/>
    <s v="ITM024"/>
    <n v="1"/>
    <n v="79"/>
    <x v="17"/>
    <x v="4"/>
    <n v="24"/>
    <n v="24"/>
  </r>
  <r>
    <s v="ORD2867709"/>
    <s v="ITM021"/>
    <n v="2"/>
    <n v="298"/>
    <x v="22"/>
    <x v="1"/>
    <n v="45"/>
    <n v="90"/>
  </r>
  <r>
    <s v="ORD2867709"/>
    <s v="ITM018"/>
    <n v="5"/>
    <n v="795"/>
    <x v="15"/>
    <x v="1"/>
    <n v="48"/>
    <n v="240"/>
  </r>
  <r>
    <s v="ORD5826896"/>
    <s v="ITM006"/>
    <n v="2"/>
    <n v="178"/>
    <x v="3"/>
    <x v="3"/>
    <n v="27"/>
    <n v="54"/>
  </r>
  <r>
    <s v="ORD5826896"/>
    <s v="ITM024"/>
    <n v="2"/>
    <n v="158"/>
    <x v="17"/>
    <x v="4"/>
    <n v="24"/>
    <n v="48"/>
  </r>
  <r>
    <s v="ORD5826896"/>
    <s v="ITM014"/>
    <n v="1"/>
    <n v="119"/>
    <x v="14"/>
    <x v="1"/>
    <n v="36"/>
    <n v="36"/>
  </r>
  <r>
    <s v="ORD4020918"/>
    <s v="ITM022"/>
    <n v="3"/>
    <n v="297"/>
    <x v="23"/>
    <x v="1"/>
    <n v="30"/>
    <n v="90"/>
  </r>
  <r>
    <s v="ORD4020918"/>
    <s v="ITM014"/>
    <n v="1"/>
    <n v="119"/>
    <x v="14"/>
    <x v="1"/>
    <n v="36"/>
    <n v="36"/>
  </r>
  <r>
    <s v="ORD4020918"/>
    <s v="ITM024"/>
    <n v="2"/>
    <n v="158"/>
    <x v="17"/>
    <x v="4"/>
    <n v="24"/>
    <n v="48"/>
  </r>
  <r>
    <s v="ORD4066071"/>
    <s v="ITM007"/>
    <n v="1"/>
    <n v="79"/>
    <x v="19"/>
    <x v="2"/>
    <n v="24"/>
    <n v="24"/>
  </r>
  <r>
    <s v="ORD4066071"/>
    <s v="ITM021"/>
    <n v="2"/>
    <n v="298"/>
    <x v="22"/>
    <x v="1"/>
    <n v="45"/>
    <n v="90"/>
  </r>
  <r>
    <s v="ORD4066071"/>
    <s v="ITM009"/>
    <n v="1"/>
    <n v="89"/>
    <x v="2"/>
    <x v="2"/>
    <n v="27"/>
    <n v="27"/>
  </r>
  <r>
    <s v="ORD8526850"/>
    <s v="ITM001"/>
    <n v="2"/>
    <n v="158"/>
    <x v="24"/>
    <x v="5"/>
    <n v="24"/>
    <n v="48"/>
  </r>
  <r>
    <s v="ORD8526850"/>
    <s v="ITM009"/>
    <n v="3"/>
    <n v="267"/>
    <x v="2"/>
    <x v="2"/>
    <n v="27"/>
    <n v="81"/>
  </r>
  <r>
    <s v="ORD8526850"/>
    <s v="ITM011"/>
    <n v="1"/>
    <n v="79"/>
    <x v="26"/>
    <x v="0"/>
    <n v="24"/>
    <n v="24"/>
  </r>
  <r>
    <s v="ORD9652307"/>
    <s v="ITM018"/>
    <n v="1"/>
    <n v="159"/>
    <x v="15"/>
    <x v="1"/>
    <n v="48"/>
    <n v="48"/>
  </r>
  <r>
    <s v="ORD9652307"/>
    <s v="ITM008"/>
    <n v="1"/>
    <n v="99"/>
    <x v="9"/>
    <x v="2"/>
    <n v="30"/>
    <n v="30"/>
  </r>
  <r>
    <s v="ORD9652307"/>
    <s v="ITM028"/>
    <n v="2"/>
    <n v="98"/>
    <x v="13"/>
    <x v="4"/>
    <n v="15"/>
    <n v="30"/>
  </r>
  <r>
    <s v="ORD5672909"/>
    <s v="ITM001"/>
    <n v="3"/>
    <n v="237"/>
    <x v="24"/>
    <x v="5"/>
    <n v="24"/>
    <n v="72"/>
  </r>
  <r>
    <s v="ORD5672909"/>
    <s v="ITM017"/>
    <n v="2"/>
    <n v="298"/>
    <x v="6"/>
    <x v="1"/>
    <n v="45"/>
    <n v="90"/>
  </r>
  <r>
    <s v="ORD7888141"/>
    <s v="ITM027"/>
    <n v="2"/>
    <n v="158"/>
    <x v="10"/>
    <x v="4"/>
    <n v="24"/>
    <n v="48"/>
  </r>
  <r>
    <s v="ORD7888141"/>
    <s v="ITM014"/>
    <n v="1"/>
    <n v="119"/>
    <x v="14"/>
    <x v="1"/>
    <n v="36"/>
    <n v="36"/>
  </r>
  <r>
    <s v="ORD6895559"/>
    <s v="ITM014"/>
    <n v="2"/>
    <n v="238"/>
    <x v="14"/>
    <x v="1"/>
    <n v="36"/>
    <n v="72"/>
  </r>
  <r>
    <s v="ORD6895559"/>
    <s v="ITM013"/>
    <n v="1"/>
    <n v="69"/>
    <x v="0"/>
    <x v="0"/>
    <n v="21"/>
    <n v="21"/>
  </r>
  <r>
    <s v="ORD2461763"/>
    <s v="ITM018"/>
    <n v="1"/>
    <n v="159"/>
    <x v="15"/>
    <x v="1"/>
    <n v="48"/>
    <n v="48"/>
  </r>
  <r>
    <s v="ORD2461763"/>
    <s v="ITM015"/>
    <n v="1"/>
    <n v="149"/>
    <x v="1"/>
    <x v="1"/>
    <n v="45"/>
    <n v="45"/>
  </r>
  <r>
    <s v="ORD6612339"/>
    <s v="ITM018"/>
    <n v="1"/>
    <n v="159"/>
    <x v="15"/>
    <x v="1"/>
    <n v="48"/>
    <n v="48"/>
  </r>
  <r>
    <s v="ORD6612339"/>
    <s v="ITM012"/>
    <n v="1"/>
    <n v="89"/>
    <x v="8"/>
    <x v="0"/>
    <n v="27"/>
    <n v="27"/>
  </r>
  <r>
    <s v="ORD6612339"/>
    <s v="ITM023"/>
    <n v="1"/>
    <n v="139"/>
    <x v="18"/>
    <x v="1"/>
    <n v="42"/>
    <n v="42"/>
  </r>
  <r>
    <s v="ORD8127058"/>
    <s v="ITM007"/>
    <n v="2"/>
    <n v="158"/>
    <x v="19"/>
    <x v="2"/>
    <n v="24"/>
    <n v="48"/>
  </r>
  <r>
    <s v="ORD8127058"/>
    <s v="ITM012"/>
    <n v="2"/>
    <n v="178"/>
    <x v="8"/>
    <x v="0"/>
    <n v="27"/>
    <n v="54"/>
  </r>
  <r>
    <s v="ORD4077109"/>
    <s v="ITM023"/>
    <n v="2"/>
    <n v="278"/>
    <x v="18"/>
    <x v="1"/>
    <n v="42"/>
    <n v="84"/>
  </r>
  <r>
    <s v="ORD4077109"/>
    <s v="ITM025"/>
    <n v="3"/>
    <n v="237"/>
    <x v="25"/>
    <x v="4"/>
    <n v="24"/>
    <n v="72"/>
  </r>
  <r>
    <s v="ORD9428560"/>
    <s v="ITM022"/>
    <n v="1"/>
    <n v="99"/>
    <x v="23"/>
    <x v="1"/>
    <n v="30"/>
    <n v="30"/>
  </r>
  <r>
    <s v="ORD9428560"/>
    <s v="ITM014"/>
    <n v="1"/>
    <n v="119"/>
    <x v="14"/>
    <x v="1"/>
    <n v="36"/>
    <n v="36"/>
  </r>
  <r>
    <s v="ORD9428560"/>
    <s v="ITM002"/>
    <n v="1"/>
    <n v="99"/>
    <x v="12"/>
    <x v="5"/>
    <n v="30"/>
    <n v="30"/>
  </r>
  <r>
    <s v="ORD1403834"/>
    <s v="ITM018"/>
    <n v="2"/>
    <n v="318"/>
    <x v="15"/>
    <x v="1"/>
    <n v="48"/>
    <n v="96"/>
  </r>
  <r>
    <s v="ORD1403834"/>
    <s v="ITM023"/>
    <n v="2"/>
    <n v="278"/>
    <x v="18"/>
    <x v="1"/>
    <n v="42"/>
    <n v="84"/>
  </r>
  <r>
    <s v="ORD2304420"/>
    <s v="ITM006"/>
    <n v="3"/>
    <n v="267"/>
    <x v="3"/>
    <x v="3"/>
    <n v="27"/>
    <n v="81"/>
  </r>
  <r>
    <s v="ORD2304420"/>
    <s v="ITM014"/>
    <n v="3"/>
    <n v="357"/>
    <x v="14"/>
    <x v="1"/>
    <n v="36"/>
    <n v="108"/>
  </r>
  <r>
    <s v="ORD2304420"/>
    <s v="ITM019"/>
    <n v="1"/>
    <n v="149"/>
    <x v="11"/>
    <x v="1"/>
    <n v="45"/>
    <n v="45"/>
  </r>
  <r>
    <s v="ORD2304420"/>
    <s v="ITM013"/>
    <n v="1"/>
    <n v="69"/>
    <x v="0"/>
    <x v="0"/>
    <n v="21"/>
    <n v="21"/>
  </r>
  <r>
    <s v="ORD3974790"/>
    <s v="ITM003"/>
    <n v="2"/>
    <n v="238"/>
    <x v="27"/>
    <x v="5"/>
    <n v="36"/>
    <n v="72"/>
  </r>
  <r>
    <s v="ORD3974790"/>
    <s v="ITM022"/>
    <n v="2"/>
    <n v="198"/>
    <x v="23"/>
    <x v="1"/>
    <n v="30"/>
    <n v="60"/>
  </r>
  <r>
    <s v="ORD3974790"/>
    <s v="ITM028"/>
    <n v="1"/>
    <n v="49"/>
    <x v="13"/>
    <x v="4"/>
    <n v="15"/>
    <n v="15"/>
  </r>
  <r>
    <s v="ORD3974790"/>
    <s v="ITM026"/>
    <n v="1"/>
    <n v="79"/>
    <x v="4"/>
    <x v="4"/>
    <n v="24"/>
    <n v="24"/>
  </r>
  <r>
    <s v="ORD1101935"/>
    <s v="ITM022"/>
    <n v="1"/>
    <n v="99"/>
    <x v="23"/>
    <x v="1"/>
    <n v="30"/>
    <n v="30"/>
  </r>
  <r>
    <s v="ORD1101935"/>
    <s v="ITM018"/>
    <n v="2"/>
    <n v="318"/>
    <x v="15"/>
    <x v="1"/>
    <n v="48"/>
    <n v="96"/>
  </r>
  <r>
    <s v="ORD2461262"/>
    <s v="ITM001"/>
    <n v="1"/>
    <n v="79"/>
    <x v="24"/>
    <x v="5"/>
    <n v="24"/>
    <n v="24"/>
  </r>
  <r>
    <s v="ORD2461262"/>
    <s v="ITM017"/>
    <n v="3"/>
    <n v="447"/>
    <x v="6"/>
    <x v="1"/>
    <n v="45"/>
    <n v="135"/>
  </r>
  <r>
    <s v="ORD2461262"/>
    <s v="ITM028"/>
    <n v="2"/>
    <n v="98"/>
    <x v="13"/>
    <x v="4"/>
    <n v="15"/>
    <n v="30"/>
  </r>
  <r>
    <s v="ORD2461262"/>
    <s v="ITM009"/>
    <n v="1"/>
    <n v="89"/>
    <x v="2"/>
    <x v="2"/>
    <n v="27"/>
    <n v="27"/>
  </r>
  <r>
    <s v="ORD1033416"/>
    <s v="ITM005"/>
    <n v="5"/>
    <n v="495"/>
    <x v="16"/>
    <x v="3"/>
    <n v="30"/>
    <n v="150"/>
  </r>
  <r>
    <s v="ORD1033416"/>
    <s v="ITM017"/>
    <n v="1"/>
    <n v="149"/>
    <x v="6"/>
    <x v="1"/>
    <n v="45"/>
    <n v="45"/>
  </r>
  <r>
    <s v="ORD2264074"/>
    <s v="ITM004"/>
    <n v="1"/>
    <n v="79"/>
    <x v="5"/>
    <x v="3"/>
    <n v="24"/>
    <n v="24"/>
  </r>
  <r>
    <s v="ORD2264074"/>
    <s v="ITM014"/>
    <n v="2"/>
    <n v="238"/>
    <x v="14"/>
    <x v="1"/>
    <n v="36"/>
    <n v="72"/>
  </r>
  <r>
    <s v="ORD2264074"/>
    <s v="ITM023"/>
    <n v="4"/>
    <n v="556"/>
    <x v="18"/>
    <x v="1"/>
    <n v="42"/>
    <n v="168"/>
  </r>
  <r>
    <s v="ORD1869144"/>
    <s v="ITM024"/>
    <n v="2"/>
    <n v="158"/>
    <x v="17"/>
    <x v="4"/>
    <n v="24"/>
    <n v="48"/>
  </r>
  <r>
    <s v="ORD1869144"/>
    <s v="ITM023"/>
    <n v="2"/>
    <n v="278"/>
    <x v="18"/>
    <x v="1"/>
    <n v="42"/>
    <n v="84"/>
  </r>
  <r>
    <s v="ORD8985182"/>
    <s v="ITM009"/>
    <n v="1"/>
    <n v="89"/>
    <x v="2"/>
    <x v="2"/>
    <n v="27"/>
    <n v="27"/>
  </r>
  <r>
    <s v="ORD8985182"/>
    <s v="ITM014"/>
    <n v="1"/>
    <n v="119"/>
    <x v="14"/>
    <x v="1"/>
    <n v="36"/>
    <n v="36"/>
  </r>
  <r>
    <s v="ORD8985182"/>
    <s v="ITM028"/>
    <n v="2"/>
    <n v="98"/>
    <x v="13"/>
    <x v="4"/>
    <n v="15"/>
    <n v="30"/>
  </r>
  <r>
    <s v="ORD8985182"/>
    <s v="ITM013"/>
    <n v="1"/>
    <n v="69"/>
    <x v="0"/>
    <x v="0"/>
    <n v="21"/>
    <n v="21"/>
  </r>
  <r>
    <s v="ORD3916773"/>
    <s v="ITM023"/>
    <n v="1"/>
    <n v="139"/>
    <x v="18"/>
    <x v="1"/>
    <n v="42"/>
    <n v="42"/>
  </r>
  <r>
    <s v="ORD3916773"/>
    <s v="ITM019"/>
    <n v="1"/>
    <n v="149"/>
    <x v="11"/>
    <x v="1"/>
    <n v="45"/>
    <n v="45"/>
  </r>
  <r>
    <s v="ORD3916773"/>
    <s v="ITM010"/>
    <n v="2"/>
    <n v="118"/>
    <x v="20"/>
    <x v="0"/>
    <n v="18"/>
    <n v="36"/>
  </r>
  <r>
    <s v="ORD3916773"/>
    <s v="ITM026"/>
    <n v="2"/>
    <n v="158"/>
    <x v="4"/>
    <x v="4"/>
    <n v="24"/>
    <n v="48"/>
  </r>
  <r>
    <s v="ORD8028787"/>
    <s v="ITM026"/>
    <n v="2"/>
    <n v="158"/>
    <x v="4"/>
    <x v="4"/>
    <n v="24"/>
    <n v="48"/>
  </r>
  <r>
    <s v="ORD7575211"/>
    <s v="ITM002"/>
    <n v="1"/>
    <n v="99"/>
    <x v="12"/>
    <x v="5"/>
    <n v="30"/>
    <n v="30"/>
  </r>
  <r>
    <s v="ORD5438623"/>
    <s v="ITM017"/>
    <n v="2"/>
    <n v="298"/>
    <x v="6"/>
    <x v="1"/>
    <n v="45"/>
    <n v="90"/>
  </r>
  <r>
    <s v="ORD5438623"/>
    <s v="ITM010"/>
    <n v="1"/>
    <n v="59"/>
    <x v="20"/>
    <x v="0"/>
    <n v="18"/>
    <n v="18"/>
  </r>
  <r>
    <s v="ORD1183744"/>
    <s v="ITM024"/>
    <n v="1"/>
    <n v="79"/>
    <x v="17"/>
    <x v="4"/>
    <n v="24"/>
    <n v="24"/>
  </r>
  <r>
    <s v="ORD1183744"/>
    <s v="ITM005"/>
    <n v="2"/>
    <n v="198"/>
    <x v="16"/>
    <x v="3"/>
    <n v="30"/>
    <n v="60"/>
  </r>
  <r>
    <s v="ORD1183744"/>
    <s v="ITM026"/>
    <n v="2"/>
    <n v="158"/>
    <x v="4"/>
    <x v="4"/>
    <n v="24"/>
    <n v="48"/>
  </r>
  <r>
    <s v="ORD5467103"/>
    <s v="ITM022"/>
    <n v="1"/>
    <n v="99"/>
    <x v="23"/>
    <x v="1"/>
    <n v="30"/>
    <n v="30"/>
  </r>
  <r>
    <s v="ORD5467103"/>
    <s v="ITM026"/>
    <n v="2"/>
    <n v="158"/>
    <x v="4"/>
    <x v="4"/>
    <n v="24"/>
    <n v="48"/>
  </r>
  <r>
    <s v="ORD6173064"/>
    <s v="ITM007"/>
    <n v="1"/>
    <n v="79"/>
    <x v="19"/>
    <x v="2"/>
    <n v="24"/>
    <n v="24"/>
  </r>
  <r>
    <s v="ORD6173064"/>
    <s v="ITM021"/>
    <n v="3"/>
    <n v="447"/>
    <x v="22"/>
    <x v="1"/>
    <n v="45"/>
    <n v="135"/>
  </r>
  <r>
    <s v="ORD7712695"/>
    <s v="ITM016"/>
    <n v="2"/>
    <n v="198"/>
    <x v="7"/>
    <x v="1"/>
    <n v="30"/>
    <n v="60"/>
  </r>
  <r>
    <s v="ORD7712695"/>
    <s v="ITM024"/>
    <n v="5"/>
    <n v="395"/>
    <x v="17"/>
    <x v="4"/>
    <n v="24"/>
    <n v="120"/>
  </r>
  <r>
    <s v="ORD7712695"/>
    <s v="ITM023"/>
    <n v="1"/>
    <n v="139"/>
    <x v="18"/>
    <x v="1"/>
    <n v="42"/>
    <n v="42"/>
  </r>
  <r>
    <s v="ORD7712695"/>
    <s v="ITM004"/>
    <n v="1"/>
    <n v="79"/>
    <x v="5"/>
    <x v="3"/>
    <n v="24"/>
    <n v="24"/>
  </r>
  <r>
    <s v="ORD7394795"/>
    <s v="ITM016"/>
    <n v="1"/>
    <n v="99"/>
    <x v="7"/>
    <x v="1"/>
    <n v="30"/>
    <n v="30"/>
  </r>
  <r>
    <s v="ORD7394795"/>
    <s v="ITM018"/>
    <n v="1"/>
    <n v="159"/>
    <x v="15"/>
    <x v="1"/>
    <n v="48"/>
    <n v="48"/>
  </r>
  <r>
    <s v="ORD7394795"/>
    <s v="ITM017"/>
    <n v="1"/>
    <n v="149"/>
    <x v="6"/>
    <x v="1"/>
    <n v="45"/>
    <n v="45"/>
  </r>
  <r>
    <s v="ORD7394795"/>
    <s v="ITM009"/>
    <n v="3"/>
    <n v="267"/>
    <x v="2"/>
    <x v="2"/>
    <n v="27"/>
    <n v="81"/>
  </r>
  <r>
    <s v="ORD5304568"/>
    <s v="ITM005"/>
    <n v="2"/>
    <n v="198"/>
    <x v="16"/>
    <x v="3"/>
    <n v="30"/>
    <n v="60"/>
  </r>
  <r>
    <s v="ORD5304568"/>
    <s v="ITM013"/>
    <n v="1"/>
    <n v="69"/>
    <x v="0"/>
    <x v="0"/>
    <n v="21"/>
    <n v="21"/>
  </r>
  <r>
    <s v="ORD5304568"/>
    <s v="ITM012"/>
    <n v="1"/>
    <n v="89"/>
    <x v="8"/>
    <x v="0"/>
    <n v="27"/>
    <n v="27"/>
  </r>
  <r>
    <s v="ORD7324261"/>
    <s v="ITM005"/>
    <n v="4"/>
    <n v="396"/>
    <x v="16"/>
    <x v="3"/>
    <n v="30"/>
    <n v="120"/>
  </r>
  <r>
    <s v="ORD7324261"/>
    <s v="ITM019"/>
    <n v="2"/>
    <n v="298"/>
    <x v="11"/>
    <x v="1"/>
    <n v="45"/>
    <n v="90"/>
  </r>
  <r>
    <s v="ORD7324261"/>
    <s v="ITM025"/>
    <n v="4"/>
    <n v="316"/>
    <x v="25"/>
    <x v="4"/>
    <n v="24"/>
    <n v="96"/>
  </r>
  <r>
    <s v="ORD7324261"/>
    <s v="ITM026"/>
    <n v="2"/>
    <n v="158"/>
    <x v="4"/>
    <x v="4"/>
    <n v="24"/>
    <n v="48"/>
  </r>
  <r>
    <s v="ORD9311973"/>
    <s v="ITM001"/>
    <n v="1"/>
    <n v="79"/>
    <x v="24"/>
    <x v="5"/>
    <n v="24"/>
    <n v="24"/>
  </r>
  <r>
    <s v="ORD9311973"/>
    <s v="ITM021"/>
    <n v="1"/>
    <n v="149"/>
    <x v="22"/>
    <x v="1"/>
    <n v="45"/>
    <n v="45"/>
  </r>
  <r>
    <s v="ORD9311973"/>
    <s v="ITM012"/>
    <n v="1"/>
    <n v="89"/>
    <x v="8"/>
    <x v="0"/>
    <n v="27"/>
    <n v="27"/>
  </r>
  <r>
    <s v="ORD4357826"/>
    <s v="ITM006"/>
    <n v="5"/>
    <n v="445"/>
    <x v="3"/>
    <x v="3"/>
    <n v="27"/>
    <n v="135"/>
  </r>
  <r>
    <s v="ORD4357826"/>
    <s v="ITM003"/>
    <n v="1"/>
    <n v="119"/>
    <x v="27"/>
    <x v="5"/>
    <n v="36"/>
    <n v="36"/>
  </r>
  <r>
    <s v="ORD4357826"/>
    <s v="ITM021"/>
    <n v="1"/>
    <n v="149"/>
    <x v="22"/>
    <x v="1"/>
    <n v="45"/>
    <n v="45"/>
  </r>
  <r>
    <s v="ORD3462796"/>
    <s v="ITM027"/>
    <n v="2"/>
    <n v="158"/>
    <x v="10"/>
    <x v="4"/>
    <n v="24"/>
    <n v="48"/>
  </r>
  <r>
    <s v="ORD3462796"/>
    <s v="ITM009"/>
    <n v="1"/>
    <n v="89"/>
    <x v="2"/>
    <x v="2"/>
    <n v="27"/>
    <n v="27"/>
  </r>
  <r>
    <s v="ORD3462796"/>
    <s v="ITM026"/>
    <n v="1"/>
    <n v="79"/>
    <x v="4"/>
    <x v="4"/>
    <n v="24"/>
    <n v="24"/>
  </r>
  <r>
    <s v="ORD9316569"/>
    <s v="ITM016"/>
    <n v="1"/>
    <n v="99"/>
    <x v="7"/>
    <x v="1"/>
    <n v="30"/>
    <n v="30"/>
  </r>
  <r>
    <s v="ORD9316569"/>
    <s v="ITM018"/>
    <n v="2"/>
    <n v="318"/>
    <x v="15"/>
    <x v="1"/>
    <n v="48"/>
    <n v="96"/>
  </r>
  <r>
    <s v="ORD3272177"/>
    <s v="ITM027"/>
    <n v="1"/>
    <n v="79"/>
    <x v="10"/>
    <x v="4"/>
    <n v="24"/>
    <n v="24"/>
  </r>
  <r>
    <s v="ORD3272177"/>
    <s v="ITM018"/>
    <n v="1"/>
    <n v="159"/>
    <x v="15"/>
    <x v="1"/>
    <n v="48"/>
    <n v="48"/>
  </r>
  <r>
    <s v="ORD3272177"/>
    <s v="ITM002"/>
    <n v="1"/>
    <n v="99"/>
    <x v="12"/>
    <x v="5"/>
    <n v="30"/>
    <n v="30"/>
  </r>
  <r>
    <s v="ORD3272177"/>
    <s v="ITM010"/>
    <n v="2"/>
    <n v="118"/>
    <x v="20"/>
    <x v="0"/>
    <n v="18"/>
    <n v="36"/>
  </r>
  <r>
    <s v="ORD7722274"/>
    <s v="ITM021"/>
    <n v="5"/>
    <n v="745"/>
    <x v="22"/>
    <x v="1"/>
    <n v="45"/>
    <n v="225"/>
  </r>
  <r>
    <s v="ORD7722274"/>
    <s v="ITM017"/>
    <n v="1"/>
    <n v="149"/>
    <x v="6"/>
    <x v="1"/>
    <n v="45"/>
    <n v="45"/>
  </r>
  <r>
    <s v="ORD7722274"/>
    <s v="ITM028"/>
    <n v="5"/>
    <n v="245"/>
    <x v="13"/>
    <x v="4"/>
    <n v="15"/>
    <n v="75"/>
  </r>
  <r>
    <s v="ORD7722274"/>
    <s v="ITM025"/>
    <n v="1"/>
    <n v="79"/>
    <x v="25"/>
    <x v="4"/>
    <n v="24"/>
    <n v="24"/>
  </r>
  <r>
    <s v="ORD1046609"/>
    <s v="ITM013"/>
    <n v="1"/>
    <n v="69"/>
    <x v="0"/>
    <x v="0"/>
    <n v="21"/>
    <n v="21"/>
  </r>
  <r>
    <s v="ORD1046609"/>
    <s v="ITM026"/>
    <n v="2"/>
    <n v="158"/>
    <x v="4"/>
    <x v="4"/>
    <n v="24"/>
    <n v="48"/>
  </r>
  <r>
    <s v="ORD5159219"/>
    <s v="ITM004"/>
    <n v="1"/>
    <n v="79"/>
    <x v="5"/>
    <x v="3"/>
    <n v="24"/>
    <n v="24"/>
  </r>
  <r>
    <s v="ORD5159219"/>
    <s v="ITM005"/>
    <n v="1"/>
    <n v="99"/>
    <x v="16"/>
    <x v="3"/>
    <n v="30"/>
    <n v="30"/>
  </r>
  <r>
    <s v="ORD9224056"/>
    <s v="ITM006"/>
    <n v="5"/>
    <n v="445"/>
    <x v="3"/>
    <x v="3"/>
    <n v="27"/>
    <n v="135"/>
  </r>
  <r>
    <s v="ORD9224056"/>
    <s v="ITM015"/>
    <n v="1"/>
    <n v="149"/>
    <x v="1"/>
    <x v="1"/>
    <n v="45"/>
    <n v="45"/>
  </r>
  <r>
    <s v="ORD2190891"/>
    <s v="ITM007"/>
    <n v="1"/>
    <n v="79"/>
    <x v="19"/>
    <x v="2"/>
    <n v="24"/>
    <n v="24"/>
  </r>
  <r>
    <s v="ORD2190891"/>
    <s v="ITM015"/>
    <n v="1"/>
    <n v="149"/>
    <x v="1"/>
    <x v="1"/>
    <n v="45"/>
    <n v="45"/>
  </r>
  <r>
    <s v="ORD1001433"/>
    <s v="ITM001"/>
    <n v="2"/>
    <n v="158"/>
    <x v="24"/>
    <x v="5"/>
    <n v="24"/>
    <n v="48"/>
  </r>
  <r>
    <s v="ORD1001433"/>
    <s v="ITM021"/>
    <n v="3"/>
    <n v="447"/>
    <x v="22"/>
    <x v="1"/>
    <n v="45"/>
    <n v="135"/>
  </r>
  <r>
    <s v="ORD6391404"/>
    <s v="ITM018"/>
    <n v="5"/>
    <n v="795"/>
    <x v="15"/>
    <x v="1"/>
    <n v="48"/>
    <n v="240"/>
  </r>
  <r>
    <s v="ORD6391404"/>
    <s v="ITM021"/>
    <n v="2"/>
    <n v="298"/>
    <x v="22"/>
    <x v="1"/>
    <n v="45"/>
    <n v="90"/>
  </r>
  <r>
    <s v="ORD6391404"/>
    <s v="ITM017"/>
    <n v="3"/>
    <n v="447"/>
    <x v="6"/>
    <x v="1"/>
    <n v="45"/>
    <n v="135"/>
  </r>
  <r>
    <s v="ORD6823594"/>
    <s v="ITM027"/>
    <n v="1"/>
    <n v="79"/>
    <x v="10"/>
    <x v="4"/>
    <n v="24"/>
    <n v="24"/>
  </r>
  <r>
    <s v="ORD6823594"/>
    <s v="ITM012"/>
    <n v="3"/>
    <n v="267"/>
    <x v="8"/>
    <x v="0"/>
    <n v="27"/>
    <n v="81"/>
  </r>
  <r>
    <s v="ORD2601153"/>
    <s v="ITM022"/>
    <n v="1"/>
    <n v="99"/>
    <x v="23"/>
    <x v="1"/>
    <n v="30"/>
    <n v="30"/>
  </r>
  <r>
    <s v="ORD2601153"/>
    <s v="ITM014"/>
    <n v="2"/>
    <n v="238"/>
    <x v="14"/>
    <x v="1"/>
    <n v="36"/>
    <n v="72"/>
  </r>
  <r>
    <s v="ORD2601153"/>
    <s v="ITM008"/>
    <n v="1"/>
    <n v="99"/>
    <x v="9"/>
    <x v="2"/>
    <n v="30"/>
    <n v="30"/>
  </r>
  <r>
    <s v="ORD2601153"/>
    <s v="ITM012"/>
    <n v="1"/>
    <n v="89"/>
    <x v="8"/>
    <x v="0"/>
    <n v="27"/>
    <n v="27"/>
  </r>
  <r>
    <s v="ORD1211417"/>
    <s v="ITM016"/>
    <n v="5"/>
    <n v="495"/>
    <x v="7"/>
    <x v="1"/>
    <n v="30"/>
    <n v="150"/>
  </r>
  <r>
    <s v="ORD1211417"/>
    <s v="ITM009"/>
    <n v="5"/>
    <n v="445"/>
    <x v="2"/>
    <x v="2"/>
    <n v="27"/>
    <n v="135"/>
  </r>
  <r>
    <s v="ORD1404895"/>
    <s v="ITM005"/>
    <n v="3"/>
    <n v="297"/>
    <x v="16"/>
    <x v="3"/>
    <n v="30"/>
    <n v="90"/>
  </r>
  <r>
    <s v="ORD1404895"/>
    <s v="ITM012"/>
    <n v="1"/>
    <n v="89"/>
    <x v="8"/>
    <x v="0"/>
    <n v="27"/>
    <n v="27"/>
  </r>
  <r>
    <s v="ORD1404895"/>
    <s v="ITM026"/>
    <n v="1"/>
    <n v="79"/>
    <x v="4"/>
    <x v="4"/>
    <n v="24"/>
    <n v="24"/>
  </r>
  <r>
    <s v="ORD8462774"/>
    <s v="ITM005"/>
    <n v="1"/>
    <n v="99"/>
    <x v="16"/>
    <x v="3"/>
    <n v="30"/>
    <n v="30"/>
  </r>
  <r>
    <s v="ORD8462774"/>
    <s v="ITM017"/>
    <n v="5"/>
    <n v="745"/>
    <x v="6"/>
    <x v="1"/>
    <n v="45"/>
    <n v="225"/>
  </r>
  <r>
    <s v="ORD8462774"/>
    <s v="ITM010"/>
    <n v="1"/>
    <n v="59"/>
    <x v="20"/>
    <x v="0"/>
    <n v="18"/>
    <n v="18"/>
  </r>
  <r>
    <s v="ORD8004884"/>
    <s v="ITM017"/>
    <n v="2"/>
    <n v="298"/>
    <x v="6"/>
    <x v="1"/>
    <n v="45"/>
    <n v="90"/>
  </r>
  <r>
    <s v="ORD8004884"/>
    <s v="ITM026"/>
    <n v="1"/>
    <n v="79"/>
    <x v="4"/>
    <x v="4"/>
    <n v="24"/>
    <n v="24"/>
  </r>
  <r>
    <s v="ORD9102857"/>
    <s v="ITM004"/>
    <n v="2"/>
    <n v="158"/>
    <x v="5"/>
    <x v="3"/>
    <n v="24"/>
    <n v="48"/>
  </r>
  <r>
    <s v="ORD9102857"/>
    <s v="ITM019"/>
    <n v="1"/>
    <n v="149"/>
    <x v="11"/>
    <x v="1"/>
    <n v="45"/>
    <n v="45"/>
  </r>
  <r>
    <s v="ORD9102857"/>
    <s v="ITM002"/>
    <n v="3"/>
    <n v="297"/>
    <x v="12"/>
    <x v="5"/>
    <n v="30"/>
    <n v="90"/>
  </r>
  <r>
    <s v="ORD3437048"/>
    <s v="ITM004"/>
    <n v="2"/>
    <n v="158"/>
    <x v="5"/>
    <x v="3"/>
    <n v="24"/>
    <n v="48"/>
  </r>
  <r>
    <s v="ORD3437048"/>
    <s v="ITM016"/>
    <n v="2"/>
    <n v="198"/>
    <x v="7"/>
    <x v="1"/>
    <n v="30"/>
    <n v="60"/>
  </r>
  <r>
    <s v="ORD7765880"/>
    <s v="ITM014"/>
    <n v="5"/>
    <n v="595"/>
    <x v="14"/>
    <x v="1"/>
    <n v="36"/>
    <n v="180"/>
  </r>
  <r>
    <s v="ORD7765880"/>
    <s v="ITM019"/>
    <n v="1"/>
    <n v="149"/>
    <x v="11"/>
    <x v="1"/>
    <n v="45"/>
    <n v="45"/>
  </r>
  <r>
    <s v="ORD5574086"/>
    <s v="ITM020"/>
    <n v="1"/>
    <n v="159"/>
    <x v="21"/>
    <x v="1"/>
    <n v="48"/>
    <n v="48"/>
  </r>
  <r>
    <s v="ORD5574086"/>
    <s v="ITM027"/>
    <n v="2"/>
    <n v="158"/>
    <x v="10"/>
    <x v="4"/>
    <n v="24"/>
    <n v="48"/>
  </r>
  <r>
    <s v="ORD5574086"/>
    <s v="ITM009"/>
    <n v="4"/>
    <n v="356"/>
    <x v="2"/>
    <x v="2"/>
    <n v="27"/>
    <n v="108"/>
  </r>
  <r>
    <s v="ORD7549850"/>
    <s v="ITM017"/>
    <n v="3"/>
    <n v="447"/>
    <x v="6"/>
    <x v="1"/>
    <n v="45"/>
    <n v="135"/>
  </r>
  <r>
    <s v="ORD7549850"/>
    <s v="ITM013"/>
    <n v="3"/>
    <n v="207"/>
    <x v="0"/>
    <x v="0"/>
    <n v="21"/>
    <n v="63"/>
  </r>
  <r>
    <s v="ORD7549850"/>
    <s v="ITM020"/>
    <n v="5"/>
    <n v="795"/>
    <x v="21"/>
    <x v="1"/>
    <n v="48"/>
    <n v="240"/>
  </r>
  <r>
    <s v="ORD4893809"/>
    <s v="ITM012"/>
    <n v="1"/>
    <n v="89"/>
    <x v="8"/>
    <x v="0"/>
    <n v="27"/>
    <n v="27"/>
  </r>
  <r>
    <s v="ORD4893809"/>
    <s v="ITM020"/>
    <n v="1"/>
    <n v="159"/>
    <x v="21"/>
    <x v="1"/>
    <n v="48"/>
    <n v="48"/>
  </r>
  <r>
    <s v="ORD1812330"/>
    <s v="ITM007"/>
    <n v="3"/>
    <n v="237"/>
    <x v="19"/>
    <x v="2"/>
    <n v="24"/>
    <n v="72"/>
  </r>
  <r>
    <s v="ORD1812330"/>
    <s v="ITM002"/>
    <n v="1"/>
    <n v="99"/>
    <x v="12"/>
    <x v="5"/>
    <n v="30"/>
    <n v="30"/>
  </r>
  <r>
    <s v="ORD1812330"/>
    <s v="ITM012"/>
    <n v="1"/>
    <n v="89"/>
    <x v="8"/>
    <x v="0"/>
    <n v="27"/>
    <n v="27"/>
  </r>
  <r>
    <s v="ORD3024725"/>
    <s v="ITM002"/>
    <n v="3"/>
    <n v="297"/>
    <x v="12"/>
    <x v="5"/>
    <n v="30"/>
    <n v="90"/>
  </r>
  <r>
    <s v="ORD3024725"/>
    <s v="ITM017"/>
    <n v="2"/>
    <n v="298"/>
    <x v="6"/>
    <x v="1"/>
    <n v="45"/>
    <n v="90"/>
  </r>
  <r>
    <s v="ORD3024725"/>
    <s v="ITM028"/>
    <n v="1"/>
    <n v="49"/>
    <x v="13"/>
    <x v="4"/>
    <n v="15"/>
    <n v="15"/>
  </r>
  <r>
    <s v="ORD7224807"/>
    <s v="ITM007"/>
    <n v="1"/>
    <n v="79"/>
    <x v="19"/>
    <x v="2"/>
    <n v="24"/>
    <n v="24"/>
  </r>
  <r>
    <s v="ORD7224807"/>
    <s v="ITM017"/>
    <n v="2"/>
    <n v="298"/>
    <x v="6"/>
    <x v="1"/>
    <n v="45"/>
    <n v="90"/>
  </r>
  <r>
    <s v="ORD8775711"/>
    <s v="ITM019"/>
    <n v="1"/>
    <n v="149"/>
    <x v="11"/>
    <x v="1"/>
    <n v="45"/>
    <n v="45"/>
  </r>
  <r>
    <s v="ORD8775711"/>
    <s v="ITM008"/>
    <n v="2"/>
    <n v="198"/>
    <x v="9"/>
    <x v="2"/>
    <n v="30"/>
    <n v="60"/>
  </r>
  <r>
    <s v="ORD8775711"/>
    <s v="ITM026"/>
    <n v="4"/>
    <n v="316"/>
    <x v="4"/>
    <x v="4"/>
    <n v="24"/>
    <n v="96"/>
  </r>
  <r>
    <s v="ORD4777038"/>
    <s v="ITM016"/>
    <n v="2"/>
    <n v="198"/>
    <x v="7"/>
    <x v="1"/>
    <n v="30"/>
    <n v="60"/>
  </r>
  <r>
    <s v="ORD5747786"/>
    <s v="ITM023"/>
    <n v="2"/>
    <n v="278"/>
    <x v="18"/>
    <x v="1"/>
    <n v="42"/>
    <n v="84"/>
  </r>
  <r>
    <s v="ORD5747786"/>
    <s v="ITM013"/>
    <n v="2"/>
    <n v="138"/>
    <x v="0"/>
    <x v="0"/>
    <n v="21"/>
    <n v="42"/>
  </r>
  <r>
    <s v="ORD1202528"/>
    <s v="ITM022"/>
    <n v="1"/>
    <n v="99"/>
    <x v="23"/>
    <x v="1"/>
    <n v="30"/>
    <n v="30"/>
  </r>
  <r>
    <s v="ORD1202528"/>
    <s v="ITM023"/>
    <n v="1"/>
    <n v="139"/>
    <x v="18"/>
    <x v="1"/>
    <n v="42"/>
    <n v="42"/>
  </r>
  <r>
    <s v="ORD1202528"/>
    <s v="ITM013"/>
    <n v="1"/>
    <n v="69"/>
    <x v="0"/>
    <x v="0"/>
    <n v="21"/>
    <n v="21"/>
  </r>
  <r>
    <s v="ORD1202528"/>
    <s v="ITM009"/>
    <n v="3"/>
    <n v="267"/>
    <x v="2"/>
    <x v="2"/>
    <n v="27"/>
    <n v="81"/>
  </r>
  <r>
    <s v="ORD2055082"/>
    <s v="ITM001"/>
    <n v="1"/>
    <n v="79"/>
    <x v="24"/>
    <x v="5"/>
    <n v="24"/>
    <n v="24"/>
  </r>
  <r>
    <s v="ORD2055082"/>
    <s v="ITM012"/>
    <n v="1"/>
    <n v="89"/>
    <x v="8"/>
    <x v="0"/>
    <n v="27"/>
    <n v="27"/>
  </r>
  <r>
    <s v="ORD6302160"/>
    <s v="ITM016"/>
    <n v="2"/>
    <n v="198"/>
    <x v="7"/>
    <x v="1"/>
    <n v="30"/>
    <n v="60"/>
  </r>
  <r>
    <s v="ORD8421194"/>
    <s v="ITM027"/>
    <n v="3"/>
    <n v="237"/>
    <x v="10"/>
    <x v="4"/>
    <n v="24"/>
    <n v="72"/>
  </r>
  <r>
    <s v="ORD8421194"/>
    <s v="ITM020"/>
    <n v="1"/>
    <n v="159"/>
    <x v="21"/>
    <x v="1"/>
    <n v="48"/>
    <n v="48"/>
  </r>
  <r>
    <s v="ORD8721462"/>
    <s v="ITM021"/>
    <n v="2"/>
    <n v="298"/>
    <x v="22"/>
    <x v="1"/>
    <n v="45"/>
    <n v="90"/>
  </r>
  <r>
    <s v="ORD8721462"/>
    <s v="ITM026"/>
    <n v="2"/>
    <n v="158"/>
    <x v="4"/>
    <x v="4"/>
    <n v="24"/>
    <n v="48"/>
  </r>
  <r>
    <s v="ORD8721462"/>
    <s v="ITM020"/>
    <n v="1"/>
    <n v="159"/>
    <x v="21"/>
    <x v="1"/>
    <n v="48"/>
    <n v="48"/>
  </r>
  <r>
    <s v="ORD3064526"/>
    <s v="ITM024"/>
    <n v="2"/>
    <n v="158"/>
    <x v="17"/>
    <x v="4"/>
    <n v="24"/>
    <n v="48"/>
  </r>
  <r>
    <s v="ORD3064526"/>
    <s v="ITM020"/>
    <n v="2"/>
    <n v="318"/>
    <x v="21"/>
    <x v="1"/>
    <n v="48"/>
    <n v="96"/>
  </r>
  <r>
    <s v="ORD4116123"/>
    <s v="ITM022"/>
    <n v="1"/>
    <n v="99"/>
    <x v="23"/>
    <x v="1"/>
    <n v="30"/>
    <n v="30"/>
  </r>
  <r>
    <s v="ORD4116123"/>
    <s v="ITM023"/>
    <n v="3"/>
    <n v="417"/>
    <x v="18"/>
    <x v="1"/>
    <n v="42"/>
    <n v="126"/>
  </r>
  <r>
    <s v="ORD4116123"/>
    <s v="ITM019"/>
    <n v="3"/>
    <n v="447"/>
    <x v="11"/>
    <x v="1"/>
    <n v="45"/>
    <n v="135"/>
  </r>
  <r>
    <s v="ORD4116123"/>
    <s v="ITM003"/>
    <n v="1"/>
    <n v="119"/>
    <x v="27"/>
    <x v="5"/>
    <n v="36"/>
    <n v="36"/>
  </r>
  <r>
    <s v="ORD3410155"/>
    <s v="ITM007"/>
    <n v="5"/>
    <n v="395"/>
    <x v="19"/>
    <x v="2"/>
    <n v="24"/>
    <n v="120"/>
  </r>
  <r>
    <s v="ORD3410155"/>
    <s v="ITM019"/>
    <n v="1"/>
    <n v="149"/>
    <x v="11"/>
    <x v="1"/>
    <n v="45"/>
    <n v="45"/>
  </r>
  <r>
    <s v="ORD7623361"/>
    <s v="ITM023"/>
    <n v="1"/>
    <n v="139"/>
    <x v="18"/>
    <x v="1"/>
    <n v="42"/>
    <n v="42"/>
  </r>
  <r>
    <s v="ORD7623361"/>
    <s v="ITM018"/>
    <n v="1"/>
    <n v="159"/>
    <x v="15"/>
    <x v="1"/>
    <n v="48"/>
    <n v="48"/>
  </r>
  <r>
    <s v="ORD3360409"/>
    <s v="ITM001"/>
    <n v="1"/>
    <n v="79"/>
    <x v="24"/>
    <x v="5"/>
    <n v="24"/>
    <n v="24"/>
  </r>
  <r>
    <s v="ORD3360409"/>
    <s v="ITM019"/>
    <n v="2"/>
    <n v="298"/>
    <x v="11"/>
    <x v="1"/>
    <n v="45"/>
    <n v="90"/>
  </r>
  <r>
    <s v="ORD4563779"/>
    <s v="ITM003"/>
    <n v="1"/>
    <n v="119"/>
    <x v="27"/>
    <x v="5"/>
    <n v="36"/>
    <n v="36"/>
  </r>
  <r>
    <s v="ORD4563779"/>
    <s v="ITM017"/>
    <n v="2"/>
    <n v="298"/>
    <x v="6"/>
    <x v="1"/>
    <n v="45"/>
    <n v="90"/>
  </r>
  <r>
    <s v="ORD6739427"/>
    <s v="ITM017"/>
    <n v="2"/>
    <n v="298"/>
    <x v="6"/>
    <x v="1"/>
    <n v="45"/>
    <n v="90"/>
  </r>
  <r>
    <s v="ORD6739427"/>
    <s v="ITM002"/>
    <n v="1"/>
    <n v="99"/>
    <x v="12"/>
    <x v="5"/>
    <n v="30"/>
    <n v="30"/>
  </r>
  <r>
    <s v="ORD6739427"/>
    <s v="ITM010"/>
    <n v="2"/>
    <n v="118"/>
    <x v="20"/>
    <x v="0"/>
    <n v="18"/>
    <n v="36"/>
  </r>
  <r>
    <s v="ORD6739427"/>
    <s v="ITM026"/>
    <n v="1"/>
    <n v="79"/>
    <x v="4"/>
    <x v="4"/>
    <n v="24"/>
    <n v="24"/>
  </r>
  <r>
    <s v="ORD8256078"/>
    <s v="ITM007"/>
    <n v="1"/>
    <n v="79"/>
    <x v="19"/>
    <x v="2"/>
    <n v="24"/>
    <n v="24"/>
  </r>
  <r>
    <s v="ORD8256078"/>
    <s v="ITM014"/>
    <n v="2"/>
    <n v="238"/>
    <x v="14"/>
    <x v="1"/>
    <n v="36"/>
    <n v="72"/>
  </r>
  <r>
    <s v="ORD8256078"/>
    <s v="ITM026"/>
    <n v="2"/>
    <n v="158"/>
    <x v="4"/>
    <x v="4"/>
    <n v="24"/>
    <n v="48"/>
  </r>
  <r>
    <s v="ORD8256078"/>
    <s v="ITM015"/>
    <n v="1"/>
    <n v="149"/>
    <x v="1"/>
    <x v="1"/>
    <n v="45"/>
    <n v="45"/>
  </r>
  <r>
    <s v="ORD4478510"/>
    <s v="ITM007"/>
    <n v="1"/>
    <n v="79"/>
    <x v="19"/>
    <x v="2"/>
    <n v="24"/>
    <n v="24"/>
  </r>
  <r>
    <s v="ORD4478510"/>
    <s v="ITM022"/>
    <n v="1"/>
    <n v="99"/>
    <x v="23"/>
    <x v="1"/>
    <n v="30"/>
    <n v="30"/>
  </r>
  <r>
    <s v="ORD8934226"/>
    <s v="ITM001"/>
    <n v="2"/>
    <n v="158"/>
    <x v="24"/>
    <x v="5"/>
    <n v="24"/>
    <n v="48"/>
  </r>
  <r>
    <s v="ORD8934226"/>
    <s v="ITM005"/>
    <n v="1"/>
    <n v="99"/>
    <x v="16"/>
    <x v="3"/>
    <n v="30"/>
    <n v="30"/>
  </r>
  <r>
    <s v="ORD8934226"/>
    <s v="ITM015"/>
    <n v="3"/>
    <n v="447"/>
    <x v="1"/>
    <x v="1"/>
    <n v="45"/>
    <n v="135"/>
  </r>
  <r>
    <s v="ORD8209168"/>
    <s v="ITM002"/>
    <n v="2"/>
    <n v="198"/>
    <x v="12"/>
    <x v="5"/>
    <n v="30"/>
    <n v="60"/>
  </r>
  <r>
    <s v="ORD7770277"/>
    <s v="ITM009"/>
    <n v="2"/>
    <n v="178"/>
    <x v="2"/>
    <x v="2"/>
    <n v="27"/>
    <n v="54"/>
  </r>
  <r>
    <s v="ORD7770277"/>
    <s v="ITM014"/>
    <n v="2"/>
    <n v="238"/>
    <x v="14"/>
    <x v="1"/>
    <n v="36"/>
    <n v="72"/>
  </r>
  <r>
    <s v="ORD7770277"/>
    <s v="ITM010"/>
    <n v="1"/>
    <n v="59"/>
    <x v="20"/>
    <x v="0"/>
    <n v="18"/>
    <n v="18"/>
  </r>
  <r>
    <s v="ORD7770277"/>
    <s v="ITM020"/>
    <n v="4"/>
    <n v="636"/>
    <x v="21"/>
    <x v="1"/>
    <n v="48"/>
    <n v="192"/>
  </r>
  <r>
    <s v="ORD5660649"/>
    <s v="ITM008"/>
    <n v="1"/>
    <n v="99"/>
    <x v="9"/>
    <x v="2"/>
    <n v="30"/>
    <n v="30"/>
  </r>
  <r>
    <s v="ORD5660649"/>
    <s v="ITM025"/>
    <n v="3"/>
    <n v="237"/>
    <x v="25"/>
    <x v="4"/>
    <n v="24"/>
    <n v="72"/>
  </r>
  <r>
    <s v="ORD5660649"/>
    <s v="ITM015"/>
    <n v="4"/>
    <n v="596"/>
    <x v="1"/>
    <x v="1"/>
    <n v="45"/>
    <n v="180"/>
  </r>
  <r>
    <s v="ORD7995191"/>
    <s v="ITM004"/>
    <n v="5"/>
    <n v="395"/>
    <x v="5"/>
    <x v="3"/>
    <n v="24"/>
    <n v="120"/>
  </r>
  <r>
    <s v="ORD7995191"/>
    <s v="ITM021"/>
    <n v="1"/>
    <n v="149"/>
    <x v="22"/>
    <x v="1"/>
    <n v="45"/>
    <n v="45"/>
  </r>
  <r>
    <s v="ORD9953454"/>
    <s v="ITM010"/>
    <n v="4"/>
    <n v="236"/>
    <x v="20"/>
    <x v="0"/>
    <n v="18"/>
    <n v="72"/>
  </r>
  <r>
    <s v="ORD9953454"/>
    <s v="ITM025"/>
    <n v="1"/>
    <n v="79"/>
    <x v="25"/>
    <x v="4"/>
    <n v="24"/>
    <n v="24"/>
  </r>
  <r>
    <s v="ORD9953454"/>
    <s v="ITM009"/>
    <n v="1"/>
    <n v="89"/>
    <x v="2"/>
    <x v="2"/>
    <n v="27"/>
    <n v="27"/>
  </r>
  <r>
    <s v="ORD3306375"/>
    <s v="ITM027"/>
    <n v="1"/>
    <n v="79"/>
    <x v="10"/>
    <x v="4"/>
    <n v="24"/>
    <n v="24"/>
  </r>
  <r>
    <s v="ORD3306375"/>
    <s v="ITM015"/>
    <n v="4"/>
    <n v="596"/>
    <x v="1"/>
    <x v="1"/>
    <n v="45"/>
    <n v="180"/>
  </r>
  <r>
    <s v="ORD3306375"/>
    <s v="ITM009"/>
    <n v="2"/>
    <n v="178"/>
    <x v="2"/>
    <x v="2"/>
    <n v="27"/>
    <n v="54"/>
  </r>
  <r>
    <s v="ORD3306375"/>
    <s v="ITM020"/>
    <n v="1"/>
    <n v="159"/>
    <x v="21"/>
    <x v="1"/>
    <n v="48"/>
    <n v="48"/>
  </r>
  <r>
    <s v="ORD9830779"/>
    <s v="ITM014"/>
    <n v="1"/>
    <n v="119"/>
    <x v="14"/>
    <x v="1"/>
    <n v="36"/>
    <n v="36"/>
  </r>
  <r>
    <s v="ORD9830779"/>
    <s v="ITM005"/>
    <n v="2"/>
    <n v="198"/>
    <x v="16"/>
    <x v="3"/>
    <n v="30"/>
    <n v="60"/>
  </r>
  <r>
    <s v="ORD9830779"/>
    <s v="ITM018"/>
    <n v="5"/>
    <n v="795"/>
    <x v="15"/>
    <x v="1"/>
    <n v="48"/>
    <n v="240"/>
  </r>
  <r>
    <s v="ORD5285200"/>
    <s v="ITM014"/>
    <n v="2"/>
    <n v="238"/>
    <x v="14"/>
    <x v="1"/>
    <n v="36"/>
    <n v="72"/>
  </r>
  <r>
    <s v="ORD5285200"/>
    <s v="ITM028"/>
    <n v="5"/>
    <n v="245"/>
    <x v="13"/>
    <x v="4"/>
    <n v="15"/>
    <n v="75"/>
  </r>
  <r>
    <s v="ORD5285200"/>
    <s v="ITM012"/>
    <n v="5"/>
    <n v="445"/>
    <x v="8"/>
    <x v="0"/>
    <n v="27"/>
    <n v="135"/>
  </r>
  <r>
    <s v="ORD5518767"/>
    <s v="ITM016"/>
    <n v="5"/>
    <n v="495"/>
    <x v="7"/>
    <x v="1"/>
    <n v="30"/>
    <n v="150"/>
  </r>
  <r>
    <s v="ORD5518767"/>
    <s v="ITM024"/>
    <n v="3"/>
    <n v="237"/>
    <x v="17"/>
    <x v="4"/>
    <n v="24"/>
    <n v="72"/>
  </r>
  <r>
    <s v="ORD5518767"/>
    <s v="ITM012"/>
    <n v="3"/>
    <n v="267"/>
    <x v="8"/>
    <x v="0"/>
    <n v="27"/>
    <n v="81"/>
  </r>
  <r>
    <s v="ORD3360703"/>
    <s v="ITM012"/>
    <n v="1"/>
    <n v="89"/>
    <x v="8"/>
    <x v="0"/>
    <n v="27"/>
    <n v="27"/>
  </r>
  <r>
    <s v="ORD5660426"/>
    <s v="ITM026"/>
    <n v="1"/>
    <n v="79"/>
    <x v="4"/>
    <x v="4"/>
    <n v="24"/>
    <n v="24"/>
  </r>
  <r>
    <s v="ORD5606976"/>
    <s v="ITM012"/>
    <n v="1"/>
    <n v="89"/>
    <x v="8"/>
    <x v="0"/>
    <n v="27"/>
    <n v="27"/>
  </r>
  <r>
    <s v="ORD2196066"/>
    <s v="ITM004"/>
    <n v="1"/>
    <n v="79"/>
    <x v="5"/>
    <x v="3"/>
    <n v="24"/>
    <n v="24"/>
  </r>
  <r>
    <s v="ORD2196066"/>
    <s v="ITM008"/>
    <n v="1"/>
    <n v="99"/>
    <x v="9"/>
    <x v="2"/>
    <n v="30"/>
    <n v="30"/>
  </r>
  <r>
    <s v="ORD1082850"/>
    <s v="ITM006"/>
    <n v="1"/>
    <n v="89"/>
    <x v="3"/>
    <x v="3"/>
    <n v="27"/>
    <n v="27"/>
  </r>
  <r>
    <s v="ORD1082850"/>
    <s v="ITM023"/>
    <n v="2"/>
    <n v="278"/>
    <x v="18"/>
    <x v="1"/>
    <n v="42"/>
    <n v="84"/>
  </r>
  <r>
    <s v="ORD1082850"/>
    <s v="ITM013"/>
    <n v="1"/>
    <n v="69"/>
    <x v="0"/>
    <x v="0"/>
    <n v="21"/>
    <n v="21"/>
  </r>
  <r>
    <s v="ORD1082850"/>
    <s v="ITM016"/>
    <n v="1"/>
    <n v="99"/>
    <x v="7"/>
    <x v="1"/>
    <n v="30"/>
    <n v="30"/>
  </r>
  <r>
    <s v="ORD1764736"/>
    <s v="ITM005"/>
    <n v="1"/>
    <n v="99"/>
    <x v="16"/>
    <x v="3"/>
    <n v="30"/>
    <n v="30"/>
  </r>
  <r>
    <s v="ORD1764736"/>
    <s v="ITM026"/>
    <n v="2"/>
    <n v="158"/>
    <x v="4"/>
    <x v="4"/>
    <n v="24"/>
    <n v="48"/>
  </r>
  <r>
    <s v="ORD4747003"/>
    <s v="ITM003"/>
    <n v="2"/>
    <n v="238"/>
    <x v="27"/>
    <x v="5"/>
    <n v="36"/>
    <n v="72"/>
  </r>
  <r>
    <s v="ORD4747003"/>
    <s v="ITM021"/>
    <n v="2"/>
    <n v="298"/>
    <x v="22"/>
    <x v="1"/>
    <n v="45"/>
    <n v="90"/>
  </r>
  <r>
    <s v="ORD4747003"/>
    <s v="ITM008"/>
    <n v="1"/>
    <n v="99"/>
    <x v="9"/>
    <x v="2"/>
    <n v="30"/>
    <n v="30"/>
  </r>
  <r>
    <s v="ORD4747003"/>
    <s v="ITM009"/>
    <n v="1"/>
    <n v="89"/>
    <x v="2"/>
    <x v="2"/>
    <n v="27"/>
    <n v="27"/>
  </r>
  <r>
    <s v="ORD5575750"/>
    <s v="ITM016"/>
    <n v="2"/>
    <n v="198"/>
    <x v="7"/>
    <x v="1"/>
    <n v="30"/>
    <n v="60"/>
  </r>
  <r>
    <s v="ORD5575750"/>
    <s v="ITM018"/>
    <n v="1"/>
    <n v="159"/>
    <x v="15"/>
    <x v="1"/>
    <n v="48"/>
    <n v="48"/>
  </r>
  <r>
    <s v="ORD5575750"/>
    <s v="ITM011"/>
    <n v="4"/>
    <n v="316"/>
    <x v="26"/>
    <x v="0"/>
    <n v="24"/>
    <n v="96"/>
  </r>
  <r>
    <s v="ORD5575750"/>
    <s v="ITM004"/>
    <n v="2"/>
    <n v="158"/>
    <x v="5"/>
    <x v="3"/>
    <n v="24"/>
    <n v="48"/>
  </r>
  <r>
    <s v="ORD1237577"/>
    <s v="ITM027"/>
    <n v="2"/>
    <n v="158"/>
    <x v="10"/>
    <x v="4"/>
    <n v="24"/>
    <n v="48"/>
  </r>
  <r>
    <s v="ORD1237577"/>
    <s v="ITM018"/>
    <n v="2"/>
    <n v="318"/>
    <x v="15"/>
    <x v="1"/>
    <n v="48"/>
    <n v="96"/>
  </r>
  <r>
    <s v="ORD8251052"/>
    <s v="ITM018"/>
    <n v="2"/>
    <n v="318"/>
    <x v="15"/>
    <x v="1"/>
    <n v="48"/>
    <n v="96"/>
  </r>
  <r>
    <s v="ORD8251052"/>
    <s v="ITM008"/>
    <n v="3"/>
    <n v="297"/>
    <x v="9"/>
    <x v="2"/>
    <n v="30"/>
    <n v="90"/>
  </r>
  <r>
    <s v="ORD9733958"/>
    <s v="ITM014"/>
    <n v="1"/>
    <n v="119"/>
    <x v="14"/>
    <x v="1"/>
    <n v="36"/>
    <n v="36"/>
  </r>
  <r>
    <s v="ORD9733958"/>
    <s v="ITM023"/>
    <n v="1"/>
    <n v="139"/>
    <x v="18"/>
    <x v="1"/>
    <n v="42"/>
    <n v="42"/>
  </r>
  <r>
    <s v="ORD7128711"/>
    <s v="ITM003"/>
    <n v="5"/>
    <n v="595"/>
    <x v="27"/>
    <x v="5"/>
    <n v="36"/>
    <n v="180"/>
  </r>
  <r>
    <s v="ORD7128711"/>
    <s v="ITM024"/>
    <n v="2"/>
    <n v="158"/>
    <x v="17"/>
    <x v="4"/>
    <n v="24"/>
    <n v="48"/>
  </r>
  <r>
    <s v="ORD7128711"/>
    <s v="ITM020"/>
    <n v="2"/>
    <n v="318"/>
    <x v="21"/>
    <x v="1"/>
    <n v="48"/>
    <n v="96"/>
  </r>
  <r>
    <s v="ORD9724147"/>
    <s v="ITM022"/>
    <n v="1"/>
    <n v="99"/>
    <x v="23"/>
    <x v="1"/>
    <n v="30"/>
    <n v="30"/>
  </r>
  <r>
    <s v="ORD9724147"/>
    <s v="ITM017"/>
    <n v="2"/>
    <n v="298"/>
    <x v="6"/>
    <x v="1"/>
    <n v="45"/>
    <n v="90"/>
  </r>
  <r>
    <s v="ORD9724147"/>
    <s v="ITM008"/>
    <n v="1"/>
    <n v="99"/>
    <x v="9"/>
    <x v="2"/>
    <n v="30"/>
    <n v="30"/>
  </r>
  <r>
    <s v="ORD5696796"/>
    <s v="ITM023"/>
    <n v="2"/>
    <n v="278"/>
    <x v="18"/>
    <x v="1"/>
    <n v="42"/>
    <n v="84"/>
  </r>
  <r>
    <s v="ORD5696796"/>
    <s v="ITM009"/>
    <n v="1"/>
    <n v="89"/>
    <x v="2"/>
    <x v="2"/>
    <n v="27"/>
    <n v="27"/>
  </r>
  <r>
    <s v="ORD2450419"/>
    <s v="ITM022"/>
    <n v="4"/>
    <n v="396"/>
    <x v="23"/>
    <x v="1"/>
    <n v="30"/>
    <n v="120"/>
  </r>
  <r>
    <s v="ORD7400252"/>
    <s v="ITM016"/>
    <n v="4"/>
    <n v="396"/>
    <x v="7"/>
    <x v="1"/>
    <n v="30"/>
    <n v="120"/>
  </r>
  <r>
    <s v="ORD7400252"/>
    <s v="ITM023"/>
    <n v="4"/>
    <n v="556"/>
    <x v="18"/>
    <x v="1"/>
    <n v="42"/>
    <n v="168"/>
  </r>
  <r>
    <s v="ORD7400252"/>
    <s v="ITM013"/>
    <n v="1"/>
    <n v="69"/>
    <x v="0"/>
    <x v="0"/>
    <n v="21"/>
    <n v="21"/>
  </r>
  <r>
    <s v="ORD1452563"/>
    <s v="ITM007"/>
    <n v="3"/>
    <n v="237"/>
    <x v="19"/>
    <x v="2"/>
    <n v="24"/>
    <n v="72"/>
  </r>
  <r>
    <s v="ORD1452563"/>
    <s v="ITM019"/>
    <n v="3"/>
    <n v="447"/>
    <x v="11"/>
    <x v="1"/>
    <n v="45"/>
    <n v="135"/>
  </r>
  <r>
    <s v="ORD1452563"/>
    <s v="ITM017"/>
    <n v="1"/>
    <n v="149"/>
    <x v="6"/>
    <x v="1"/>
    <n v="45"/>
    <n v="45"/>
  </r>
  <r>
    <s v="ORD1452563"/>
    <s v="ITM002"/>
    <n v="3"/>
    <n v="297"/>
    <x v="12"/>
    <x v="5"/>
    <n v="30"/>
    <n v="90"/>
  </r>
  <r>
    <s v="ORD5707149"/>
    <s v="ITM003"/>
    <n v="1"/>
    <n v="119"/>
    <x v="27"/>
    <x v="5"/>
    <n v="36"/>
    <n v="36"/>
  </r>
  <r>
    <s v="ORD5707149"/>
    <s v="ITM017"/>
    <n v="1"/>
    <n v="149"/>
    <x v="6"/>
    <x v="1"/>
    <n v="45"/>
    <n v="45"/>
  </r>
  <r>
    <s v="ORD5707149"/>
    <s v="ITM022"/>
    <n v="1"/>
    <n v="99"/>
    <x v="23"/>
    <x v="1"/>
    <n v="30"/>
    <n v="30"/>
  </r>
  <r>
    <s v="ORD5707149"/>
    <s v="ITM020"/>
    <n v="2"/>
    <n v="318"/>
    <x v="21"/>
    <x v="1"/>
    <n v="48"/>
    <n v="96"/>
  </r>
  <r>
    <s v="ORD4525412"/>
    <s v="ITM011"/>
    <n v="2"/>
    <n v="158"/>
    <x v="26"/>
    <x v="0"/>
    <n v="24"/>
    <n v="48"/>
  </r>
  <r>
    <s v="ORD4525412"/>
    <s v="ITM003"/>
    <n v="1"/>
    <n v="119"/>
    <x v="27"/>
    <x v="5"/>
    <n v="36"/>
    <n v="36"/>
  </r>
  <r>
    <s v="ORD4524857"/>
    <s v="ITM013"/>
    <n v="2"/>
    <n v="138"/>
    <x v="0"/>
    <x v="0"/>
    <n v="21"/>
    <n v="42"/>
  </r>
  <r>
    <s v="ORD4524857"/>
    <s v="ITM015"/>
    <n v="3"/>
    <n v="447"/>
    <x v="1"/>
    <x v="1"/>
    <n v="45"/>
    <n v="135"/>
  </r>
  <r>
    <s v="ORD2824928"/>
    <s v="ITM018"/>
    <n v="2"/>
    <n v="318"/>
    <x v="15"/>
    <x v="1"/>
    <n v="48"/>
    <n v="96"/>
  </r>
  <r>
    <s v="ORD9774395"/>
    <s v="ITM004"/>
    <n v="1"/>
    <n v="79"/>
    <x v="5"/>
    <x v="3"/>
    <n v="24"/>
    <n v="24"/>
  </r>
  <r>
    <s v="ORD9774395"/>
    <s v="ITM022"/>
    <n v="3"/>
    <n v="297"/>
    <x v="23"/>
    <x v="1"/>
    <n v="30"/>
    <n v="90"/>
  </r>
  <r>
    <s v="ORD9774395"/>
    <s v="ITM021"/>
    <n v="1"/>
    <n v="149"/>
    <x v="22"/>
    <x v="1"/>
    <n v="45"/>
    <n v="45"/>
  </r>
  <r>
    <s v="ORD8628291"/>
    <s v="ITM005"/>
    <n v="2"/>
    <n v="198"/>
    <x v="16"/>
    <x v="3"/>
    <n v="30"/>
    <n v="60"/>
  </r>
  <r>
    <s v="ORD8628291"/>
    <s v="ITM015"/>
    <n v="1"/>
    <n v="149"/>
    <x v="1"/>
    <x v="1"/>
    <n v="45"/>
    <n v="45"/>
  </r>
  <r>
    <s v="ORD8325920"/>
    <s v="ITM014"/>
    <n v="1"/>
    <n v="119"/>
    <x v="14"/>
    <x v="1"/>
    <n v="36"/>
    <n v="36"/>
  </r>
  <r>
    <s v="ORD8325920"/>
    <s v="ITM002"/>
    <n v="2"/>
    <n v="198"/>
    <x v="12"/>
    <x v="5"/>
    <n v="30"/>
    <n v="60"/>
  </r>
  <r>
    <s v="ORD8325920"/>
    <s v="ITM020"/>
    <n v="2"/>
    <n v="318"/>
    <x v="21"/>
    <x v="1"/>
    <n v="48"/>
    <n v="96"/>
  </r>
  <r>
    <s v="ORD8484166"/>
    <s v="ITM021"/>
    <n v="2"/>
    <n v="298"/>
    <x v="22"/>
    <x v="1"/>
    <n v="45"/>
    <n v="90"/>
  </r>
  <r>
    <s v="ORD8484166"/>
    <s v="ITM014"/>
    <n v="3"/>
    <n v="357"/>
    <x v="14"/>
    <x v="1"/>
    <n v="36"/>
    <n v="108"/>
  </r>
  <r>
    <s v="ORD8484166"/>
    <s v="ITM023"/>
    <n v="1"/>
    <n v="139"/>
    <x v="18"/>
    <x v="1"/>
    <n v="42"/>
    <n v="42"/>
  </r>
  <r>
    <s v="ORD8484166"/>
    <s v="ITM020"/>
    <n v="1"/>
    <n v="159"/>
    <x v="21"/>
    <x v="1"/>
    <n v="48"/>
    <n v="48"/>
  </r>
  <r>
    <s v="ORD3130343"/>
    <s v="ITM018"/>
    <n v="2"/>
    <n v="318"/>
    <x v="15"/>
    <x v="1"/>
    <n v="48"/>
    <n v="96"/>
  </r>
  <r>
    <s v="ORD3130343"/>
    <s v="ITM019"/>
    <n v="2"/>
    <n v="298"/>
    <x v="11"/>
    <x v="1"/>
    <n v="45"/>
    <n v="90"/>
  </r>
  <r>
    <s v="ORD3130343"/>
    <s v="ITM020"/>
    <n v="1"/>
    <n v="159"/>
    <x v="21"/>
    <x v="1"/>
    <n v="48"/>
    <n v="48"/>
  </r>
  <r>
    <s v="ORD9110060"/>
    <s v="ITM021"/>
    <n v="5"/>
    <n v="745"/>
    <x v="22"/>
    <x v="1"/>
    <n v="45"/>
    <n v="225"/>
  </r>
  <r>
    <s v="ORD9110060"/>
    <s v="ITM026"/>
    <n v="3"/>
    <n v="237"/>
    <x v="4"/>
    <x v="4"/>
    <n v="24"/>
    <n v="72"/>
  </r>
  <r>
    <s v="ORD9110060"/>
    <s v="ITM020"/>
    <n v="3"/>
    <n v="477"/>
    <x v="21"/>
    <x v="1"/>
    <n v="48"/>
    <n v="144"/>
  </r>
  <r>
    <s v="ORD9955929"/>
    <s v="ITM002"/>
    <n v="2"/>
    <n v="198"/>
    <x v="12"/>
    <x v="5"/>
    <n v="30"/>
    <n v="60"/>
  </r>
  <r>
    <s v="ORD6075999"/>
    <s v="ITM008"/>
    <n v="5"/>
    <n v="495"/>
    <x v="9"/>
    <x v="2"/>
    <n v="30"/>
    <n v="150"/>
  </r>
  <r>
    <s v="ORD6075999"/>
    <s v="ITM015"/>
    <n v="2"/>
    <n v="298"/>
    <x v="1"/>
    <x v="1"/>
    <n v="45"/>
    <n v="90"/>
  </r>
  <r>
    <s v="ORD6002347"/>
    <s v="ITM007"/>
    <n v="1"/>
    <n v="79"/>
    <x v="19"/>
    <x v="2"/>
    <n v="24"/>
    <n v="24"/>
  </r>
  <r>
    <s v="ORD9358735"/>
    <s v="ITM017"/>
    <n v="2"/>
    <n v="298"/>
    <x v="6"/>
    <x v="1"/>
    <n v="45"/>
    <n v="90"/>
  </r>
  <r>
    <s v="ORD9358735"/>
    <s v="ITM025"/>
    <n v="1"/>
    <n v="79"/>
    <x v="25"/>
    <x v="4"/>
    <n v="24"/>
    <n v="24"/>
  </r>
  <r>
    <s v="ORD1633270"/>
    <s v="ITM016"/>
    <n v="2"/>
    <n v="198"/>
    <x v="7"/>
    <x v="1"/>
    <n v="30"/>
    <n v="60"/>
  </r>
  <r>
    <s v="ORD1633270"/>
    <s v="ITM003"/>
    <n v="2"/>
    <n v="238"/>
    <x v="27"/>
    <x v="5"/>
    <n v="36"/>
    <n v="72"/>
  </r>
  <r>
    <s v="ORD1633270"/>
    <s v="ITM025"/>
    <n v="5"/>
    <n v="395"/>
    <x v="25"/>
    <x v="4"/>
    <n v="24"/>
    <n v="120"/>
  </r>
  <r>
    <s v="ORD5266269"/>
    <s v="ITM014"/>
    <n v="4"/>
    <n v="476"/>
    <x v="14"/>
    <x v="1"/>
    <n v="36"/>
    <n v="144"/>
  </r>
  <r>
    <s v="ORD5266269"/>
    <s v="ITM012"/>
    <n v="4"/>
    <n v="356"/>
    <x v="8"/>
    <x v="0"/>
    <n v="27"/>
    <n v="108"/>
  </r>
  <r>
    <s v="ORD6794463"/>
    <s v="ITM003"/>
    <n v="2"/>
    <n v="238"/>
    <x v="27"/>
    <x v="5"/>
    <n v="36"/>
    <n v="72"/>
  </r>
  <r>
    <s v="ORD6794463"/>
    <s v="ITM009"/>
    <n v="1"/>
    <n v="89"/>
    <x v="2"/>
    <x v="2"/>
    <n v="27"/>
    <n v="27"/>
  </r>
  <r>
    <s v="ORD3710559"/>
    <s v="ITM019"/>
    <n v="1"/>
    <n v="149"/>
    <x v="11"/>
    <x v="1"/>
    <n v="45"/>
    <n v="45"/>
  </r>
  <r>
    <s v="ORD5587854"/>
    <s v="ITM024"/>
    <n v="1"/>
    <n v="79"/>
    <x v="17"/>
    <x v="4"/>
    <n v="24"/>
    <n v="24"/>
  </r>
  <r>
    <s v="ORD5587854"/>
    <s v="ITM020"/>
    <n v="2"/>
    <n v="318"/>
    <x v="21"/>
    <x v="1"/>
    <n v="48"/>
    <n v="96"/>
  </r>
  <r>
    <s v="ORD3103442"/>
    <s v="ITM019"/>
    <n v="5"/>
    <n v="745"/>
    <x v="11"/>
    <x v="1"/>
    <n v="45"/>
    <n v="225"/>
  </r>
  <r>
    <s v="ORD3103442"/>
    <s v="ITM028"/>
    <n v="3"/>
    <n v="147"/>
    <x v="13"/>
    <x v="4"/>
    <n v="15"/>
    <n v="45"/>
  </r>
  <r>
    <s v="ORD7450350"/>
    <s v="ITM024"/>
    <n v="1"/>
    <n v="79"/>
    <x v="17"/>
    <x v="4"/>
    <n v="24"/>
    <n v="24"/>
  </r>
  <r>
    <s v="ORD1025093"/>
    <s v="ITM022"/>
    <n v="4"/>
    <n v="396"/>
    <x v="23"/>
    <x v="1"/>
    <n v="30"/>
    <n v="120"/>
  </r>
  <r>
    <s v="ORD1025093"/>
    <s v="ITM021"/>
    <n v="1"/>
    <n v="149"/>
    <x v="22"/>
    <x v="1"/>
    <n v="45"/>
    <n v="45"/>
  </r>
  <r>
    <s v="ORD1025093"/>
    <s v="ITM025"/>
    <n v="3"/>
    <n v="237"/>
    <x v="25"/>
    <x v="4"/>
    <n v="24"/>
    <n v="72"/>
  </r>
  <r>
    <s v="ORD1025093"/>
    <s v="ITM009"/>
    <n v="1"/>
    <n v="89"/>
    <x v="2"/>
    <x v="2"/>
    <n v="27"/>
    <n v="27"/>
  </r>
  <r>
    <s v="ORD4502357"/>
    <s v="ITM016"/>
    <n v="1"/>
    <n v="99"/>
    <x v="7"/>
    <x v="1"/>
    <n v="30"/>
    <n v="30"/>
  </r>
  <r>
    <s v="ORD4502357"/>
    <s v="ITM024"/>
    <n v="2"/>
    <n v="158"/>
    <x v="17"/>
    <x v="4"/>
    <n v="24"/>
    <n v="48"/>
  </r>
  <r>
    <s v="ORD4502357"/>
    <s v="ITM018"/>
    <n v="2"/>
    <n v="318"/>
    <x v="15"/>
    <x v="1"/>
    <n v="48"/>
    <n v="96"/>
  </r>
  <r>
    <s v="ORD4502357"/>
    <s v="ITM015"/>
    <n v="1"/>
    <n v="149"/>
    <x v="1"/>
    <x v="1"/>
    <n v="45"/>
    <n v="45"/>
  </r>
  <r>
    <s v="ORD4544837"/>
    <s v="ITM011"/>
    <n v="4"/>
    <n v="316"/>
    <x v="26"/>
    <x v="0"/>
    <n v="24"/>
    <n v="96"/>
  </r>
  <r>
    <s v="ORD4544837"/>
    <s v="ITM014"/>
    <n v="1"/>
    <n v="119"/>
    <x v="14"/>
    <x v="1"/>
    <n v="36"/>
    <n v="36"/>
  </r>
  <r>
    <s v="ORD4544837"/>
    <s v="ITM023"/>
    <n v="1"/>
    <n v="139"/>
    <x v="18"/>
    <x v="1"/>
    <n v="42"/>
    <n v="42"/>
  </r>
  <r>
    <s v="ORD3151521"/>
    <s v="ITM021"/>
    <n v="1"/>
    <n v="149"/>
    <x v="22"/>
    <x v="1"/>
    <n v="45"/>
    <n v="45"/>
  </r>
  <r>
    <s v="ORD3151521"/>
    <s v="ITM017"/>
    <n v="4"/>
    <n v="596"/>
    <x v="6"/>
    <x v="1"/>
    <n v="45"/>
    <n v="180"/>
  </r>
  <r>
    <s v="ORD9153183"/>
    <s v="ITM024"/>
    <n v="1"/>
    <n v="79"/>
    <x v="17"/>
    <x v="4"/>
    <n v="24"/>
    <n v="24"/>
  </r>
  <r>
    <s v="ORD9153183"/>
    <s v="ITM022"/>
    <n v="1"/>
    <n v="99"/>
    <x v="23"/>
    <x v="1"/>
    <n v="30"/>
    <n v="30"/>
  </r>
  <r>
    <s v="ORD6612357"/>
    <s v="ITM020"/>
    <n v="1"/>
    <n v="159"/>
    <x v="21"/>
    <x v="1"/>
    <n v="48"/>
    <n v="48"/>
  </r>
  <r>
    <s v="ORD9071705"/>
    <s v="ITM007"/>
    <n v="1"/>
    <n v="79"/>
    <x v="19"/>
    <x v="2"/>
    <n v="24"/>
    <n v="24"/>
  </r>
  <r>
    <s v="ORD9071705"/>
    <s v="ITM025"/>
    <n v="2"/>
    <n v="158"/>
    <x v="25"/>
    <x v="4"/>
    <n v="24"/>
    <n v="48"/>
  </r>
  <r>
    <s v="ORD2404119"/>
    <s v="ITM022"/>
    <n v="1"/>
    <n v="99"/>
    <x v="23"/>
    <x v="1"/>
    <n v="30"/>
    <n v="30"/>
  </r>
  <r>
    <s v="ORD2404119"/>
    <s v="ITM005"/>
    <n v="1"/>
    <n v="99"/>
    <x v="16"/>
    <x v="3"/>
    <n v="30"/>
    <n v="30"/>
  </r>
  <r>
    <s v="ORD2404119"/>
    <s v="ITM009"/>
    <n v="3"/>
    <n v="267"/>
    <x v="2"/>
    <x v="2"/>
    <n v="27"/>
    <n v="81"/>
  </r>
  <r>
    <s v="ORD1135513"/>
    <s v="ITM010"/>
    <n v="1"/>
    <n v="59"/>
    <x v="20"/>
    <x v="0"/>
    <n v="18"/>
    <n v="18"/>
  </r>
  <r>
    <s v="ORD7274275"/>
    <s v="ITM004"/>
    <n v="2"/>
    <n v="158"/>
    <x v="5"/>
    <x v="3"/>
    <n v="24"/>
    <n v="48"/>
  </r>
  <r>
    <s v="ORD2089225"/>
    <s v="ITM013"/>
    <n v="2"/>
    <n v="138"/>
    <x v="0"/>
    <x v="0"/>
    <n v="21"/>
    <n v="42"/>
  </r>
  <r>
    <s v="ORD2089225"/>
    <s v="ITM015"/>
    <n v="4"/>
    <n v="596"/>
    <x v="1"/>
    <x v="1"/>
    <n v="45"/>
    <n v="180"/>
  </r>
  <r>
    <s v="ORD9799742"/>
    <s v="ITM021"/>
    <n v="3"/>
    <n v="447"/>
    <x v="22"/>
    <x v="1"/>
    <n v="45"/>
    <n v="135"/>
  </r>
  <r>
    <s v="ORD9799742"/>
    <s v="ITM005"/>
    <n v="1"/>
    <n v="99"/>
    <x v="16"/>
    <x v="3"/>
    <n v="30"/>
    <n v="30"/>
  </r>
  <r>
    <s v="ORD5100202"/>
    <s v="ITM008"/>
    <n v="1"/>
    <n v="99"/>
    <x v="9"/>
    <x v="2"/>
    <n v="30"/>
    <n v="30"/>
  </r>
  <r>
    <s v="ORD5100202"/>
    <s v="ITM020"/>
    <n v="1"/>
    <n v="159"/>
    <x v="21"/>
    <x v="1"/>
    <n v="48"/>
    <n v="48"/>
  </r>
  <r>
    <s v="ORD6622669"/>
    <s v="ITM005"/>
    <n v="1"/>
    <n v="99"/>
    <x v="16"/>
    <x v="3"/>
    <n v="30"/>
    <n v="30"/>
  </r>
  <r>
    <s v="ORD6622669"/>
    <s v="ITM025"/>
    <n v="1"/>
    <n v="79"/>
    <x v="25"/>
    <x v="4"/>
    <n v="24"/>
    <n v="24"/>
  </r>
  <r>
    <s v="ORD6622669"/>
    <s v="ITM009"/>
    <n v="1"/>
    <n v="89"/>
    <x v="2"/>
    <x v="2"/>
    <n v="27"/>
    <n v="27"/>
  </r>
  <r>
    <s v="ORD3376786"/>
    <s v="ITM023"/>
    <n v="1"/>
    <n v="139"/>
    <x v="18"/>
    <x v="1"/>
    <n v="42"/>
    <n v="42"/>
  </r>
  <r>
    <s v="ORD5661974"/>
    <s v="ITM010"/>
    <n v="3"/>
    <n v="177"/>
    <x v="20"/>
    <x v="0"/>
    <n v="18"/>
    <n v="54"/>
  </r>
  <r>
    <s v="ORD2603998"/>
    <s v="ITM004"/>
    <n v="2"/>
    <n v="158"/>
    <x v="5"/>
    <x v="3"/>
    <n v="24"/>
    <n v="48"/>
  </r>
  <r>
    <s v="ORD2603998"/>
    <s v="ITM023"/>
    <n v="1"/>
    <n v="139"/>
    <x v="18"/>
    <x v="1"/>
    <n v="42"/>
    <n v="42"/>
  </r>
  <r>
    <s v="ORD2603998"/>
    <s v="ITM006"/>
    <n v="2"/>
    <n v="178"/>
    <x v="3"/>
    <x v="3"/>
    <n v="27"/>
    <n v="54"/>
  </r>
  <r>
    <s v="ORD3656233"/>
    <s v="ITM023"/>
    <n v="1"/>
    <n v="139"/>
    <x v="18"/>
    <x v="1"/>
    <n v="42"/>
    <n v="42"/>
  </r>
  <r>
    <s v="ORD3656233"/>
    <s v="ITM008"/>
    <n v="1"/>
    <n v="99"/>
    <x v="9"/>
    <x v="2"/>
    <n v="30"/>
    <n v="30"/>
  </r>
  <r>
    <s v="ORD3656233"/>
    <s v="ITM013"/>
    <n v="1"/>
    <n v="69"/>
    <x v="0"/>
    <x v="0"/>
    <n v="21"/>
    <n v="21"/>
  </r>
  <r>
    <s v="ORD3906864"/>
    <s v="ITM006"/>
    <n v="1"/>
    <n v="89"/>
    <x v="3"/>
    <x v="3"/>
    <n v="27"/>
    <n v="27"/>
  </r>
  <r>
    <s v="ORD3906864"/>
    <s v="ITM013"/>
    <n v="3"/>
    <n v="207"/>
    <x v="0"/>
    <x v="0"/>
    <n v="21"/>
    <n v="63"/>
  </r>
  <r>
    <s v="ORD5068524"/>
    <s v="ITM016"/>
    <n v="2"/>
    <n v="198"/>
    <x v="7"/>
    <x v="1"/>
    <n v="30"/>
    <n v="60"/>
  </r>
  <r>
    <s v="ORD5068524"/>
    <s v="ITM018"/>
    <n v="1"/>
    <n v="159"/>
    <x v="15"/>
    <x v="1"/>
    <n v="48"/>
    <n v="48"/>
  </r>
  <r>
    <s v="ORD5068524"/>
    <s v="ITM006"/>
    <n v="1"/>
    <n v="89"/>
    <x v="3"/>
    <x v="3"/>
    <n v="27"/>
    <n v="27"/>
  </r>
  <r>
    <s v="ORD2112928"/>
    <s v="ITM024"/>
    <n v="1"/>
    <n v="79"/>
    <x v="17"/>
    <x v="4"/>
    <n v="24"/>
    <n v="24"/>
  </r>
  <r>
    <s v="ORD2112928"/>
    <s v="ITM027"/>
    <n v="1"/>
    <n v="79"/>
    <x v="10"/>
    <x v="4"/>
    <n v="24"/>
    <n v="24"/>
  </r>
  <r>
    <s v="ORD7198743"/>
    <s v="ITM023"/>
    <n v="1"/>
    <n v="139"/>
    <x v="18"/>
    <x v="1"/>
    <n v="42"/>
    <n v="42"/>
  </r>
  <r>
    <s v="ORD7198743"/>
    <s v="ITM019"/>
    <n v="3"/>
    <n v="447"/>
    <x v="11"/>
    <x v="1"/>
    <n v="45"/>
    <n v="135"/>
  </r>
  <r>
    <s v="ORD4914547"/>
    <s v="ITM019"/>
    <n v="4"/>
    <n v="596"/>
    <x v="11"/>
    <x v="1"/>
    <n v="45"/>
    <n v="180"/>
  </r>
  <r>
    <s v="ORD4914547"/>
    <s v="ITM017"/>
    <n v="1"/>
    <n v="149"/>
    <x v="6"/>
    <x v="1"/>
    <n v="45"/>
    <n v="45"/>
  </r>
  <r>
    <s v="ORD4398191"/>
    <s v="ITM017"/>
    <n v="1"/>
    <n v="149"/>
    <x v="6"/>
    <x v="1"/>
    <n v="45"/>
    <n v="45"/>
  </r>
  <r>
    <s v="ORD4398191"/>
    <s v="ITM009"/>
    <n v="1"/>
    <n v="89"/>
    <x v="2"/>
    <x v="2"/>
    <n v="27"/>
    <n v="27"/>
  </r>
  <r>
    <s v="ORD4768255"/>
    <s v="ITM009"/>
    <n v="2"/>
    <n v="178"/>
    <x v="2"/>
    <x v="2"/>
    <n v="27"/>
    <n v="54"/>
  </r>
  <r>
    <s v="ORD4768255"/>
    <s v="ITM026"/>
    <n v="2"/>
    <n v="158"/>
    <x v="4"/>
    <x v="4"/>
    <n v="24"/>
    <n v="48"/>
  </r>
  <r>
    <s v="ORD5966644"/>
    <s v="ITM018"/>
    <n v="3"/>
    <n v="477"/>
    <x v="15"/>
    <x v="1"/>
    <n v="48"/>
    <n v="144"/>
  </r>
  <r>
    <s v="ORD2702989"/>
    <s v="ITM006"/>
    <n v="1"/>
    <n v="89"/>
    <x v="3"/>
    <x v="3"/>
    <n v="27"/>
    <n v="27"/>
  </r>
  <r>
    <s v="ORD2702989"/>
    <s v="ITM014"/>
    <n v="3"/>
    <n v="357"/>
    <x v="14"/>
    <x v="1"/>
    <n v="36"/>
    <n v="108"/>
  </r>
  <r>
    <s v="ORD2702989"/>
    <s v="ITM001"/>
    <n v="2"/>
    <n v="158"/>
    <x v="24"/>
    <x v="5"/>
    <n v="24"/>
    <n v="48"/>
  </r>
  <r>
    <s v="ORD2702989"/>
    <s v="ITM015"/>
    <n v="1"/>
    <n v="149"/>
    <x v="1"/>
    <x v="1"/>
    <n v="45"/>
    <n v="45"/>
  </r>
  <r>
    <s v="ORD8107034"/>
    <s v="ITM001"/>
    <n v="1"/>
    <n v="79"/>
    <x v="24"/>
    <x v="5"/>
    <n v="24"/>
    <n v="24"/>
  </r>
  <r>
    <s v="ORD8107034"/>
    <s v="ITM024"/>
    <n v="1"/>
    <n v="79"/>
    <x v="17"/>
    <x v="4"/>
    <n v="24"/>
    <n v="24"/>
  </r>
  <r>
    <s v="ORD8107034"/>
    <s v="ITM025"/>
    <n v="1"/>
    <n v="79"/>
    <x v="25"/>
    <x v="4"/>
    <n v="24"/>
    <n v="24"/>
  </r>
  <r>
    <s v="ORD8107034"/>
    <s v="ITM012"/>
    <n v="1"/>
    <n v="89"/>
    <x v="8"/>
    <x v="0"/>
    <n v="27"/>
    <n v="27"/>
  </r>
  <r>
    <s v="ORD4086060"/>
    <s v="ITM021"/>
    <n v="2"/>
    <n v="298"/>
    <x v="22"/>
    <x v="1"/>
    <n v="45"/>
    <n v="90"/>
  </r>
  <r>
    <s v="ORD4086060"/>
    <s v="ITM023"/>
    <n v="1"/>
    <n v="139"/>
    <x v="18"/>
    <x v="1"/>
    <n v="42"/>
    <n v="42"/>
  </r>
  <r>
    <s v="ORD4086060"/>
    <s v="ITM028"/>
    <n v="2"/>
    <n v="98"/>
    <x v="13"/>
    <x v="4"/>
    <n v="15"/>
    <n v="30"/>
  </r>
  <r>
    <s v="ORD6042815"/>
    <s v="ITM022"/>
    <n v="3"/>
    <n v="297"/>
    <x v="23"/>
    <x v="1"/>
    <n v="30"/>
    <n v="90"/>
  </r>
  <r>
    <s v="ORD6042815"/>
    <s v="ITM008"/>
    <n v="1"/>
    <n v="99"/>
    <x v="9"/>
    <x v="2"/>
    <n v="30"/>
    <n v="30"/>
  </r>
  <r>
    <s v="ORD2483629"/>
    <s v="ITM001"/>
    <n v="2"/>
    <n v="158"/>
    <x v="24"/>
    <x v="5"/>
    <n v="24"/>
    <n v="48"/>
  </r>
  <r>
    <s v="ORD2483629"/>
    <s v="ITM028"/>
    <n v="2"/>
    <n v="98"/>
    <x v="13"/>
    <x v="4"/>
    <n v="15"/>
    <n v="30"/>
  </r>
  <r>
    <s v="ORD1462042"/>
    <s v="ITM017"/>
    <n v="1"/>
    <n v="149"/>
    <x v="6"/>
    <x v="1"/>
    <n v="45"/>
    <n v="45"/>
  </r>
  <r>
    <s v="ORD1462042"/>
    <s v="ITM020"/>
    <n v="2"/>
    <n v="318"/>
    <x v="21"/>
    <x v="1"/>
    <n v="48"/>
    <n v="96"/>
  </r>
  <r>
    <s v="ORD8034050"/>
    <s v="ITM006"/>
    <n v="1"/>
    <n v="89"/>
    <x v="3"/>
    <x v="3"/>
    <n v="27"/>
    <n v="27"/>
  </r>
  <r>
    <s v="ORD8034050"/>
    <s v="ITM019"/>
    <n v="1"/>
    <n v="149"/>
    <x v="11"/>
    <x v="1"/>
    <n v="45"/>
    <n v="45"/>
  </r>
  <r>
    <s v="ORD8034050"/>
    <s v="ITM016"/>
    <n v="2"/>
    <n v="198"/>
    <x v="7"/>
    <x v="1"/>
    <n v="30"/>
    <n v="60"/>
  </r>
  <r>
    <s v="ORD4632437"/>
    <s v="ITM008"/>
    <n v="2"/>
    <n v="198"/>
    <x v="9"/>
    <x v="2"/>
    <n v="30"/>
    <n v="60"/>
  </r>
  <r>
    <s v="ORD1418009"/>
    <s v="ITM024"/>
    <n v="2"/>
    <n v="158"/>
    <x v="17"/>
    <x v="4"/>
    <n v="24"/>
    <n v="48"/>
  </r>
  <r>
    <s v="ORD1418009"/>
    <s v="ITM019"/>
    <n v="3"/>
    <n v="447"/>
    <x v="11"/>
    <x v="1"/>
    <n v="45"/>
    <n v="135"/>
  </r>
  <r>
    <s v="ORD1418009"/>
    <s v="ITM002"/>
    <n v="1"/>
    <n v="99"/>
    <x v="12"/>
    <x v="5"/>
    <n v="30"/>
    <n v="30"/>
  </r>
  <r>
    <s v="ORD1418009"/>
    <s v="ITM025"/>
    <n v="1"/>
    <n v="79"/>
    <x v="25"/>
    <x v="4"/>
    <n v="24"/>
    <n v="24"/>
  </r>
  <r>
    <s v="ORD5134708"/>
    <s v="ITM027"/>
    <n v="1"/>
    <n v="79"/>
    <x v="10"/>
    <x v="4"/>
    <n v="24"/>
    <n v="24"/>
  </r>
  <r>
    <s v="ORD5134708"/>
    <s v="ITM021"/>
    <n v="4"/>
    <n v="596"/>
    <x v="22"/>
    <x v="1"/>
    <n v="45"/>
    <n v="180"/>
  </r>
  <r>
    <s v="ORD2253042"/>
    <s v="ITM015"/>
    <n v="5"/>
    <n v="745"/>
    <x v="1"/>
    <x v="1"/>
    <n v="45"/>
    <n v="225"/>
  </r>
  <r>
    <s v="ORD9062331"/>
    <s v="ITM004"/>
    <n v="3"/>
    <n v="237"/>
    <x v="5"/>
    <x v="3"/>
    <n v="24"/>
    <n v="72"/>
  </r>
  <r>
    <s v="ORD9062331"/>
    <s v="ITM024"/>
    <n v="1"/>
    <n v="79"/>
    <x v="17"/>
    <x v="4"/>
    <n v="24"/>
    <n v="24"/>
  </r>
  <r>
    <s v="ORD9062331"/>
    <s v="ITM022"/>
    <n v="2"/>
    <n v="198"/>
    <x v="23"/>
    <x v="1"/>
    <n v="30"/>
    <n v="60"/>
  </r>
  <r>
    <s v="ORD1072278"/>
    <s v="ITM016"/>
    <n v="1"/>
    <n v="99"/>
    <x v="7"/>
    <x v="1"/>
    <n v="30"/>
    <n v="30"/>
  </r>
  <r>
    <s v="ORD1072278"/>
    <s v="ITM022"/>
    <n v="2"/>
    <n v="198"/>
    <x v="23"/>
    <x v="1"/>
    <n v="30"/>
    <n v="60"/>
  </r>
  <r>
    <s v="ORD1072278"/>
    <s v="ITM003"/>
    <n v="3"/>
    <n v="357"/>
    <x v="27"/>
    <x v="5"/>
    <n v="36"/>
    <n v="108"/>
  </r>
  <r>
    <s v="ORD1072278"/>
    <s v="ITM004"/>
    <n v="1"/>
    <n v="79"/>
    <x v="5"/>
    <x v="3"/>
    <n v="24"/>
    <n v="24"/>
  </r>
  <r>
    <s v="ORD9557662"/>
    <s v="ITM013"/>
    <n v="2"/>
    <n v="138"/>
    <x v="0"/>
    <x v="0"/>
    <n v="21"/>
    <n v="42"/>
  </r>
  <r>
    <s v="ORD9557662"/>
    <s v="ITM009"/>
    <n v="1"/>
    <n v="89"/>
    <x v="2"/>
    <x v="2"/>
    <n v="27"/>
    <n v="27"/>
  </r>
  <r>
    <s v="ORD7357739"/>
    <s v="ITM006"/>
    <n v="1"/>
    <n v="89"/>
    <x v="3"/>
    <x v="3"/>
    <n v="27"/>
    <n v="27"/>
  </r>
  <r>
    <s v="ORD7357739"/>
    <s v="ITM018"/>
    <n v="1"/>
    <n v="159"/>
    <x v="15"/>
    <x v="1"/>
    <n v="48"/>
    <n v="48"/>
  </r>
  <r>
    <s v="ORD7357739"/>
    <s v="ITM028"/>
    <n v="1"/>
    <n v="49"/>
    <x v="13"/>
    <x v="4"/>
    <n v="15"/>
    <n v="15"/>
  </r>
  <r>
    <s v="ORD8270280"/>
    <s v="ITM008"/>
    <n v="1"/>
    <n v="99"/>
    <x v="9"/>
    <x v="2"/>
    <n v="30"/>
    <n v="30"/>
  </r>
  <r>
    <s v="ORD8270280"/>
    <s v="ITM013"/>
    <n v="1"/>
    <n v="69"/>
    <x v="0"/>
    <x v="0"/>
    <n v="21"/>
    <n v="21"/>
  </r>
  <r>
    <s v="ORD7094896"/>
    <s v="ITM022"/>
    <n v="2"/>
    <n v="198"/>
    <x v="23"/>
    <x v="1"/>
    <n v="30"/>
    <n v="60"/>
  </r>
  <r>
    <s v="ORD7094896"/>
    <s v="ITM026"/>
    <n v="2"/>
    <n v="158"/>
    <x v="4"/>
    <x v="4"/>
    <n v="24"/>
    <n v="48"/>
  </r>
  <r>
    <s v="ORD9500739"/>
    <s v="ITM004"/>
    <n v="5"/>
    <n v="395"/>
    <x v="5"/>
    <x v="3"/>
    <n v="24"/>
    <n v="120"/>
  </r>
  <r>
    <s v="ORD9500739"/>
    <s v="ITM002"/>
    <n v="2"/>
    <n v="198"/>
    <x v="12"/>
    <x v="5"/>
    <n v="30"/>
    <n v="60"/>
  </r>
  <r>
    <s v="ORD9500739"/>
    <s v="ITM017"/>
    <n v="1"/>
    <n v="149"/>
    <x v="6"/>
    <x v="1"/>
    <n v="45"/>
    <n v="45"/>
  </r>
  <r>
    <s v="ORD9500739"/>
    <s v="ITM028"/>
    <n v="2"/>
    <n v="98"/>
    <x v="13"/>
    <x v="4"/>
    <n v="15"/>
    <n v="30"/>
  </r>
  <r>
    <s v="ORD3443510"/>
    <s v="ITM014"/>
    <n v="1"/>
    <n v="119"/>
    <x v="14"/>
    <x v="1"/>
    <n v="36"/>
    <n v="36"/>
  </r>
  <r>
    <s v="ORD3443510"/>
    <s v="ITM020"/>
    <n v="1"/>
    <n v="159"/>
    <x v="21"/>
    <x v="1"/>
    <n v="48"/>
    <n v="48"/>
  </r>
  <r>
    <s v="ORD1718625"/>
    <s v="ITM028"/>
    <n v="1"/>
    <n v="49"/>
    <x v="13"/>
    <x v="4"/>
    <n v="15"/>
    <n v="15"/>
  </r>
  <r>
    <s v="ORD1718625"/>
    <s v="ITM025"/>
    <n v="1"/>
    <n v="79"/>
    <x v="25"/>
    <x v="4"/>
    <n v="24"/>
    <n v="24"/>
  </r>
  <r>
    <s v="ORD9589117"/>
    <s v="ITM004"/>
    <n v="5"/>
    <n v="395"/>
    <x v="5"/>
    <x v="3"/>
    <n v="24"/>
    <n v="120"/>
  </r>
  <r>
    <s v="ORD9589117"/>
    <s v="ITM027"/>
    <n v="1"/>
    <n v="79"/>
    <x v="10"/>
    <x v="4"/>
    <n v="24"/>
    <n v="24"/>
  </r>
  <r>
    <s v="ORD9589117"/>
    <s v="ITM001"/>
    <n v="2"/>
    <n v="158"/>
    <x v="24"/>
    <x v="5"/>
    <n v="24"/>
    <n v="48"/>
  </r>
  <r>
    <s v="ORD1129313"/>
    <s v="ITM006"/>
    <n v="1"/>
    <n v="89"/>
    <x v="3"/>
    <x v="3"/>
    <n v="27"/>
    <n v="27"/>
  </r>
  <r>
    <s v="ORD1129313"/>
    <s v="ITM020"/>
    <n v="3"/>
    <n v="477"/>
    <x v="21"/>
    <x v="1"/>
    <n v="48"/>
    <n v="144"/>
  </r>
  <r>
    <s v="ORD5763194"/>
    <s v="ITM016"/>
    <n v="1"/>
    <n v="99"/>
    <x v="7"/>
    <x v="1"/>
    <n v="30"/>
    <n v="30"/>
  </r>
  <r>
    <s v="ORD5763194"/>
    <s v="ITM014"/>
    <n v="2"/>
    <n v="238"/>
    <x v="14"/>
    <x v="1"/>
    <n v="36"/>
    <n v="72"/>
  </r>
  <r>
    <s v="ORD5763194"/>
    <s v="ITM023"/>
    <n v="2"/>
    <n v="278"/>
    <x v="18"/>
    <x v="1"/>
    <n v="42"/>
    <n v="84"/>
  </r>
  <r>
    <s v="ORD2943171"/>
    <s v="ITM021"/>
    <n v="4"/>
    <n v="596"/>
    <x v="22"/>
    <x v="1"/>
    <n v="45"/>
    <n v="180"/>
  </r>
  <r>
    <s v="ORD2943171"/>
    <s v="ITM020"/>
    <n v="1"/>
    <n v="159"/>
    <x v="21"/>
    <x v="1"/>
    <n v="48"/>
    <n v="48"/>
  </r>
  <r>
    <s v="ORD8432244"/>
    <s v="ITM018"/>
    <n v="4"/>
    <n v="636"/>
    <x v="15"/>
    <x v="1"/>
    <n v="48"/>
    <n v="192"/>
  </r>
  <r>
    <s v="ORD8432244"/>
    <s v="ITM017"/>
    <n v="1"/>
    <n v="149"/>
    <x v="6"/>
    <x v="1"/>
    <n v="45"/>
    <n v="45"/>
  </r>
  <r>
    <s v="ORD1686773"/>
    <s v="ITM016"/>
    <n v="1"/>
    <n v="99"/>
    <x v="7"/>
    <x v="1"/>
    <n v="30"/>
    <n v="30"/>
  </r>
  <r>
    <s v="ORD1686773"/>
    <s v="ITM026"/>
    <n v="1"/>
    <n v="79"/>
    <x v="4"/>
    <x v="4"/>
    <n v="24"/>
    <n v="24"/>
  </r>
  <r>
    <s v="ORD1686773"/>
    <s v="ITM001"/>
    <n v="4"/>
    <n v="316"/>
    <x v="24"/>
    <x v="5"/>
    <n v="24"/>
    <n v="96"/>
  </r>
  <r>
    <s v="ORD6585409"/>
    <s v="ITM026"/>
    <n v="1"/>
    <n v="79"/>
    <x v="4"/>
    <x v="4"/>
    <n v="24"/>
    <n v="24"/>
  </r>
  <r>
    <s v="ORD6585409"/>
    <s v="ITM025"/>
    <n v="2"/>
    <n v="158"/>
    <x v="25"/>
    <x v="4"/>
    <n v="24"/>
    <n v="48"/>
  </r>
  <r>
    <s v="ORD6585409"/>
    <s v="ITM015"/>
    <n v="1"/>
    <n v="149"/>
    <x v="1"/>
    <x v="1"/>
    <n v="45"/>
    <n v="45"/>
  </r>
  <r>
    <s v="ORD9555363"/>
    <s v="ITM007"/>
    <n v="4"/>
    <n v="316"/>
    <x v="19"/>
    <x v="2"/>
    <n v="24"/>
    <n v="96"/>
  </r>
  <r>
    <s v="ORD9555363"/>
    <s v="ITM021"/>
    <n v="2"/>
    <n v="298"/>
    <x v="22"/>
    <x v="1"/>
    <n v="45"/>
    <n v="90"/>
  </r>
  <r>
    <s v="ORD9555363"/>
    <s v="ITM012"/>
    <n v="5"/>
    <n v="445"/>
    <x v="8"/>
    <x v="0"/>
    <n v="27"/>
    <n v="135"/>
  </r>
  <r>
    <s v="ORD9555363"/>
    <s v="ITM015"/>
    <n v="2"/>
    <n v="298"/>
    <x v="1"/>
    <x v="1"/>
    <n v="45"/>
    <n v="90"/>
  </r>
  <r>
    <s v="ORD8459700"/>
    <s v="ITM022"/>
    <n v="1"/>
    <n v="99"/>
    <x v="23"/>
    <x v="1"/>
    <n v="30"/>
    <n v="30"/>
  </r>
  <r>
    <s v="ORD8459700"/>
    <s v="ITM017"/>
    <n v="1"/>
    <n v="149"/>
    <x v="6"/>
    <x v="1"/>
    <n v="45"/>
    <n v="45"/>
  </r>
  <r>
    <s v="ORD8459700"/>
    <s v="ITM013"/>
    <n v="1"/>
    <n v="69"/>
    <x v="0"/>
    <x v="0"/>
    <n v="21"/>
    <n v="21"/>
  </r>
  <r>
    <s v="ORD8459700"/>
    <s v="ITM025"/>
    <n v="1"/>
    <n v="79"/>
    <x v="25"/>
    <x v="4"/>
    <n v="24"/>
    <n v="24"/>
  </r>
  <r>
    <s v="ORD5668383"/>
    <s v="ITM023"/>
    <n v="1"/>
    <n v="139"/>
    <x v="18"/>
    <x v="1"/>
    <n v="42"/>
    <n v="42"/>
  </r>
  <r>
    <s v="ORD5668383"/>
    <s v="ITM017"/>
    <n v="2"/>
    <n v="298"/>
    <x v="6"/>
    <x v="1"/>
    <n v="45"/>
    <n v="90"/>
  </r>
  <r>
    <s v="ORD5668383"/>
    <s v="ITM020"/>
    <n v="2"/>
    <n v="318"/>
    <x v="21"/>
    <x v="1"/>
    <n v="48"/>
    <n v="96"/>
  </r>
  <r>
    <s v="ORD1813207"/>
    <s v="ITM007"/>
    <n v="3"/>
    <n v="237"/>
    <x v="19"/>
    <x v="2"/>
    <n v="24"/>
    <n v="72"/>
  </r>
  <r>
    <s v="ORD1813207"/>
    <s v="ITM014"/>
    <n v="1"/>
    <n v="119"/>
    <x v="14"/>
    <x v="1"/>
    <n v="36"/>
    <n v="36"/>
  </r>
  <r>
    <s v="ORD8017149"/>
    <s v="ITM017"/>
    <n v="2"/>
    <n v="298"/>
    <x v="6"/>
    <x v="1"/>
    <n v="45"/>
    <n v="90"/>
  </r>
  <r>
    <s v="ORD3696585"/>
    <s v="ITM021"/>
    <n v="4"/>
    <n v="596"/>
    <x v="22"/>
    <x v="1"/>
    <n v="45"/>
    <n v="180"/>
  </r>
  <r>
    <s v="ORD3696585"/>
    <s v="ITM015"/>
    <n v="1"/>
    <n v="149"/>
    <x v="1"/>
    <x v="1"/>
    <n v="45"/>
    <n v="45"/>
  </r>
  <r>
    <s v="ORD3696585"/>
    <s v="ITM009"/>
    <n v="3"/>
    <n v="267"/>
    <x v="2"/>
    <x v="2"/>
    <n v="27"/>
    <n v="81"/>
  </r>
  <r>
    <s v="ORD3921062"/>
    <s v="ITM001"/>
    <n v="1"/>
    <n v="79"/>
    <x v="24"/>
    <x v="5"/>
    <n v="24"/>
    <n v="24"/>
  </r>
  <r>
    <s v="ORD3921062"/>
    <s v="ITM002"/>
    <n v="2"/>
    <n v="198"/>
    <x v="12"/>
    <x v="5"/>
    <n v="30"/>
    <n v="60"/>
  </r>
  <r>
    <s v="ORD6671312"/>
    <s v="ITM023"/>
    <n v="1"/>
    <n v="139"/>
    <x v="18"/>
    <x v="1"/>
    <n v="42"/>
    <n v="42"/>
  </r>
  <r>
    <s v="ORD6671312"/>
    <s v="ITM017"/>
    <n v="1"/>
    <n v="149"/>
    <x v="6"/>
    <x v="1"/>
    <n v="45"/>
    <n v="45"/>
  </r>
  <r>
    <s v="ORD5012469"/>
    <s v="ITM022"/>
    <n v="2"/>
    <n v="198"/>
    <x v="23"/>
    <x v="1"/>
    <n v="30"/>
    <n v="60"/>
  </r>
  <r>
    <s v="ORD5012469"/>
    <s v="ITM005"/>
    <n v="1"/>
    <n v="99"/>
    <x v="16"/>
    <x v="3"/>
    <n v="30"/>
    <n v="30"/>
  </r>
  <r>
    <s v="ORD9814090"/>
    <s v="ITM025"/>
    <n v="1"/>
    <n v="79"/>
    <x v="25"/>
    <x v="4"/>
    <n v="24"/>
    <n v="24"/>
  </r>
  <r>
    <s v="ORD9814090"/>
    <s v="ITM009"/>
    <n v="1"/>
    <n v="89"/>
    <x v="2"/>
    <x v="2"/>
    <n v="27"/>
    <n v="27"/>
  </r>
  <r>
    <s v="ORD5957512"/>
    <s v="ITM001"/>
    <n v="2"/>
    <n v="158"/>
    <x v="24"/>
    <x v="5"/>
    <n v="24"/>
    <n v="48"/>
  </r>
  <r>
    <s v="ORD5957512"/>
    <s v="ITM022"/>
    <n v="4"/>
    <n v="396"/>
    <x v="23"/>
    <x v="1"/>
    <n v="30"/>
    <n v="120"/>
  </r>
  <r>
    <s v="ORD5957512"/>
    <s v="ITM003"/>
    <n v="1"/>
    <n v="119"/>
    <x v="27"/>
    <x v="5"/>
    <n v="36"/>
    <n v="36"/>
  </r>
  <r>
    <s v="ORD1083118"/>
    <s v="ITM004"/>
    <n v="1"/>
    <n v="79"/>
    <x v="5"/>
    <x v="3"/>
    <n v="24"/>
    <n v="24"/>
  </r>
  <r>
    <s v="ORD1083118"/>
    <s v="ITM011"/>
    <n v="1"/>
    <n v="79"/>
    <x v="26"/>
    <x v="0"/>
    <n v="24"/>
    <n v="24"/>
  </r>
  <r>
    <s v="ORD7011139"/>
    <s v="ITM004"/>
    <n v="2"/>
    <n v="158"/>
    <x v="5"/>
    <x v="3"/>
    <n v="24"/>
    <n v="48"/>
  </r>
  <r>
    <s v="ORD7011139"/>
    <s v="ITM002"/>
    <n v="1"/>
    <n v="99"/>
    <x v="12"/>
    <x v="5"/>
    <n v="30"/>
    <n v="30"/>
  </r>
  <r>
    <s v="ORD2036734"/>
    <s v="ITM001"/>
    <n v="2"/>
    <n v="158"/>
    <x v="24"/>
    <x v="5"/>
    <n v="24"/>
    <n v="48"/>
  </r>
  <r>
    <s v="ORD5710588"/>
    <s v="ITM020"/>
    <n v="1"/>
    <n v="159"/>
    <x v="21"/>
    <x v="1"/>
    <n v="48"/>
    <n v="48"/>
  </r>
  <r>
    <s v="ORD1007893"/>
    <s v="ITM011"/>
    <n v="3"/>
    <n v="237"/>
    <x v="26"/>
    <x v="0"/>
    <n v="24"/>
    <n v="72"/>
  </r>
  <r>
    <s v="ORD1007893"/>
    <s v="ITM022"/>
    <n v="1"/>
    <n v="99"/>
    <x v="23"/>
    <x v="1"/>
    <n v="30"/>
    <n v="30"/>
  </r>
  <r>
    <s v="ORD1007893"/>
    <s v="ITM007"/>
    <n v="1"/>
    <n v="79"/>
    <x v="19"/>
    <x v="2"/>
    <n v="24"/>
    <n v="24"/>
  </r>
  <r>
    <s v="ORD8400298"/>
    <s v="ITM004"/>
    <n v="3"/>
    <n v="237"/>
    <x v="5"/>
    <x v="3"/>
    <n v="24"/>
    <n v="72"/>
  </r>
  <r>
    <s v="ORD8400298"/>
    <s v="ITM021"/>
    <n v="1"/>
    <n v="149"/>
    <x v="22"/>
    <x v="1"/>
    <n v="45"/>
    <n v="45"/>
  </r>
  <r>
    <s v="ORD8400298"/>
    <s v="ITM014"/>
    <n v="2"/>
    <n v="238"/>
    <x v="14"/>
    <x v="1"/>
    <n v="36"/>
    <n v="72"/>
  </r>
  <r>
    <s v="ORD8400298"/>
    <s v="ITM009"/>
    <n v="4"/>
    <n v="356"/>
    <x v="2"/>
    <x v="2"/>
    <n v="27"/>
    <n v="108"/>
  </r>
  <r>
    <s v="ORD1980012"/>
    <s v="ITM024"/>
    <n v="1"/>
    <n v="79"/>
    <x v="17"/>
    <x v="4"/>
    <n v="24"/>
    <n v="24"/>
  </r>
  <r>
    <s v="ORD1980012"/>
    <s v="ITM014"/>
    <n v="1"/>
    <n v="119"/>
    <x v="14"/>
    <x v="1"/>
    <n v="36"/>
    <n v="36"/>
  </r>
  <r>
    <s v="ORD1921808"/>
    <s v="ITM022"/>
    <n v="1"/>
    <n v="99"/>
    <x v="23"/>
    <x v="1"/>
    <n v="30"/>
    <n v="30"/>
  </r>
  <r>
    <s v="ORD1921808"/>
    <s v="ITM018"/>
    <n v="2"/>
    <n v="318"/>
    <x v="15"/>
    <x v="1"/>
    <n v="48"/>
    <n v="96"/>
  </r>
  <r>
    <s v="ORD1921808"/>
    <s v="ITM005"/>
    <n v="1"/>
    <n v="99"/>
    <x v="16"/>
    <x v="3"/>
    <n v="30"/>
    <n v="30"/>
  </r>
  <r>
    <s v="ORD5128444"/>
    <s v="ITM004"/>
    <n v="1"/>
    <n v="79"/>
    <x v="5"/>
    <x v="3"/>
    <n v="24"/>
    <n v="24"/>
  </r>
  <r>
    <s v="ORD5128444"/>
    <s v="ITM019"/>
    <n v="1"/>
    <n v="149"/>
    <x v="11"/>
    <x v="1"/>
    <n v="45"/>
    <n v="45"/>
  </r>
  <r>
    <s v="ORD7947194"/>
    <s v="ITM003"/>
    <n v="1"/>
    <n v="119"/>
    <x v="27"/>
    <x v="5"/>
    <n v="36"/>
    <n v="36"/>
  </r>
  <r>
    <s v="ORD7947194"/>
    <s v="ITM005"/>
    <n v="1"/>
    <n v="99"/>
    <x v="16"/>
    <x v="3"/>
    <n v="30"/>
    <n v="30"/>
  </r>
  <r>
    <s v="ORD7947194"/>
    <s v="ITM009"/>
    <n v="3"/>
    <n v="267"/>
    <x v="2"/>
    <x v="2"/>
    <n v="27"/>
    <n v="81"/>
  </r>
  <r>
    <s v="ORD3491461"/>
    <s v="ITM003"/>
    <n v="2"/>
    <n v="238"/>
    <x v="27"/>
    <x v="5"/>
    <n v="36"/>
    <n v="72"/>
  </r>
  <r>
    <s v="ORD3491461"/>
    <s v="ITM014"/>
    <n v="2"/>
    <n v="238"/>
    <x v="14"/>
    <x v="1"/>
    <n v="36"/>
    <n v="72"/>
  </r>
  <r>
    <s v="ORD3491461"/>
    <s v="ITM005"/>
    <n v="3"/>
    <n v="297"/>
    <x v="16"/>
    <x v="3"/>
    <n v="30"/>
    <n v="90"/>
  </r>
  <r>
    <s v="ORD2732776"/>
    <s v="ITM006"/>
    <n v="2"/>
    <n v="178"/>
    <x v="3"/>
    <x v="3"/>
    <n v="27"/>
    <n v="54"/>
  </r>
  <r>
    <s v="ORD2732776"/>
    <s v="ITM019"/>
    <n v="4"/>
    <n v="596"/>
    <x v="11"/>
    <x v="1"/>
    <n v="45"/>
    <n v="180"/>
  </r>
  <r>
    <s v="ORD2732776"/>
    <s v="ITM013"/>
    <n v="1"/>
    <n v="69"/>
    <x v="0"/>
    <x v="0"/>
    <n v="21"/>
    <n v="21"/>
  </r>
  <r>
    <s v="ORD1508917"/>
    <s v="ITM014"/>
    <n v="3"/>
    <n v="357"/>
    <x v="14"/>
    <x v="1"/>
    <n v="36"/>
    <n v="108"/>
  </r>
  <r>
    <s v="ORD1508917"/>
    <s v="ITM005"/>
    <n v="3"/>
    <n v="297"/>
    <x v="16"/>
    <x v="3"/>
    <n v="30"/>
    <n v="90"/>
  </r>
  <r>
    <s v="ORD1508917"/>
    <s v="ITM013"/>
    <n v="3"/>
    <n v="207"/>
    <x v="0"/>
    <x v="0"/>
    <n v="21"/>
    <n v="63"/>
  </r>
  <r>
    <s v="ORD1508917"/>
    <s v="ITM009"/>
    <n v="1"/>
    <n v="89"/>
    <x v="2"/>
    <x v="2"/>
    <n v="27"/>
    <n v="27"/>
  </r>
  <r>
    <s v="ORD5175968"/>
    <s v="ITM011"/>
    <n v="2"/>
    <n v="158"/>
    <x v="26"/>
    <x v="0"/>
    <n v="24"/>
    <n v="48"/>
  </r>
  <r>
    <s v="ORD5175968"/>
    <s v="ITM012"/>
    <n v="1"/>
    <n v="89"/>
    <x v="8"/>
    <x v="0"/>
    <n v="27"/>
    <n v="27"/>
  </r>
  <r>
    <s v="ORD5175968"/>
    <s v="ITM026"/>
    <n v="2"/>
    <n v="158"/>
    <x v="4"/>
    <x v="4"/>
    <n v="24"/>
    <n v="48"/>
  </r>
  <r>
    <s v="ORD7167441"/>
    <s v="ITM013"/>
    <n v="1"/>
    <n v="69"/>
    <x v="0"/>
    <x v="0"/>
    <n v="21"/>
    <n v="21"/>
  </r>
  <r>
    <s v="ORD6600282"/>
    <s v="ITM023"/>
    <n v="3"/>
    <n v="417"/>
    <x v="18"/>
    <x v="1"/>
    <n v="42"/>
    <n v="126"/>
  </r>
  <r>
    <s v="ORD6600282"/>
    <s v="ITM019"/>
    <n v="3"/>
    <n v="447"/>
    <x v="11"/>
    <x v="1"/>
    <n v="45"/>
    <n v="135"/>
  </r>
  <r>
    <s v="ORD8396229"/>
    <s v="ITM024"/>
    <n v="1"/>
    <n v="79"/>
    <x v="17"/>
    <x v="4"/>
    <n v="24"/>
    <n v="24"/>
  </r>
  <r>
    <s v="ORD8396229"/>
    <s v="ITM023"/>
    <n v="2"/>
    <n v="278"/>
    <x v="18"/>
    <x v="1"/>
    <n v="42"/>
    <n v="84"/>
  </r>
  <r>
    <s v="ORD8396229"/>
    <s v="ITM008"/>
    <n v="1"/>
    <n v="99"/>
    <x v="9"/>
    <x v="2"/>
    <n v="30"/>
    <n v="30"/>
  </r>
  <r>
    <s v="ORD1104897"/>
    <s v="ITM027"/>
    <n v="1"/>
    <n v="79"/>
    <x v="10"/>
    <x v="4"/>
    <n v="24"/>
    <n v="24"/>
  </r>
  <r>
    <s v="ORD1104897"/>
    <s v="ITM014"/>
    <n v="3"/>
    <n v="357"/>
    <x v="14"/>
    <x v="1"/>
    <n v="36"/>
    <n v="108"/>
  </r>
  <r>
    <s v="ORD1104897"/>
    <s v="ITM024"/>
    <n v="1"/>
    <n v="79"/>
    <x v="17"/>
    <x v="4"/>
    <n v="24"/>
    <n v="24"/>
  </r>
  <r>
    <s v="ORD1104897"/>
    <s v="ITM020"/>
    <n v="2"/>
    <n v="318"/>
    <x v="21"/>
    <x v="1"/>
    <n v="48"/>
    <n v="96"/>
  </r>
  <r>
    <s v="ORD3416225"/>
    <s v="ITM024"/>
    <n v="2"/>
    <n v="158"/>
    <x v="17"/>
    <x v="4"/>
    <n v="24"/>
    <n v="48"/>
  </r>
  <r>
    <s v="ORD3416225"/>
    <s v="ITM018"/>
    <n v="4"/>
    <n v="636"/>
    <x v="15"/>
    <x v="1"/>
    <n v="48"/>
    <n v="192"/>
  </r>
  <r>
    <s v="ORD8470341"/>
    <s v="ITM007"/>
    <n v="1"/>
    <n v="79"/>
    <x v="19"/>
    <x v="2"/>
    <n v="24"/>
    <n v="24"/>
  </r>
  <r>
    <s v="ORD8470341"/>
    <s v="ITM013"/>
    <n v="3"/>
    <n v="207"/>
    <x v="0"/>
    <x v="0"/>
    <n v="21"/>
    <n v="63"/>
  </r>
  <r>
    <s v="ORD1454102"/>
    <s v="ITM015"/>
    <n v="1"/>
    <n v="149"/>
    <x v="1"/>
    <x v="1"/>
    <n v="45"/>
    <n v="45"/>
  </r>
  <r>
    <s v="ORD1454102"/>
    <s v="ITM008"/>
    <n v="1"/>
    <n v="99"/>
    <x v="9"/>
    <x v="2"/>
    <n v="30"/>
    <n v="30"/>
  </r>
  <r>
    <s v="ORD1454102"/>
    <s v="ITM020"/>
    <n v="5"/>
    <n v="795"/>
    <x v="21"/>
    <x v="1"/>
    <n v="48"/>
    <n v="240"/>
  </r>
  <r>
    <s v="ORD7392549"/>
    <s v="ITM026"/>
    <n v="2"/>
    <n v="158"/>
    <x v="4"/>
    <x v="4"/>
    <n v="24"/>
    <n v="48"/>
  </r>
  <r>
    <s v="ORD7392549"/>
    <s v="ITM017"/>
    <n v="3"/>
    <n v="447"/>
    <x v="6"/>
    <x v="1"/>
    <n v="45"/>
    <n v="135"/>
  </r>
  <r>
    <s v="ORD7392549"/>
    <s v="ITM019"/>
    <n v="1"/>
    <n v="149"/>
    <x v="11"/>
    <x v="1"/>
    <n v="45"/>
    <n v="45"/>
  </r>
  <r>
    <s v="ORD7392549"/>
    <s v="ITM015"/>
    <n v="1"/>
    <n v="149"/>
    <x v="1"/>
    <x v="1"/>
    <n v="45"/>
    <n v="45"/>
  </r>
  <r>
    <s v="ORD8295839"/>
    <s v="ITM016"/>
    <n v="1"/>
    <n v="99"/>
    <x v="7"/>
    <x v="1"/>
    <n v="30"/>
    <n v="30"/>
  </r>
  <r>
    <s v="ORD8295839"/>
    <s v="ITM011"/>
    <n v="2"/>
    <n v="158"/>
    <x v="26"/>
    <x v="0"/>
    <n v="24"/>
    <n v="48"/>
  </r>
  <r>
    <s v="ORD2570040"/>
    <s v="ITM022"/>
    <n v="1"/>
    <n v="99"/>
    <x v="23"/>
    <x v="1"/>
    <n v="30"/>
    <n v="30"/>
  </r>
  <r>
    <s v="ORD2570040"/>
    <s v="ITM023"/>
    <n v="4"/>
    <n v="556"/>
    <x v="18"/>
    <x v="1"/>
    <n v="42"/>
    <n v="168"/>
  </r>
  <r>
    <s v="ORD2570040"/>
    <s v="ITM027"/>
    <n v="1"/>
    <n v="79"/>
    <x v="10"/>
    <x v="4"/>
    <n v="24"/>
    <n v="24"/>
  </r>
  <r>
    <s v="ORD2570040"/>
    <s v="ITM012"/>
    <n v="1"/>
    <n v="89"/>
    <x v="8"/>
    <x v="0"/>
    <n v="27"/>
    <n v="27"/>
  </r>
  <r>
    <s v="ORD4636245"/>
    <s v="ITM021"/>
    <n v="1"/>
    <n v="149"/>
    <x v="22"/>
    <x v="1"/>
    <n v="45"/>
    <n v="45"/>
  </r>
  <r>
    <s v="ORD4636245"/>
    <s v="ITM017"/>
    <n v="2"/>
    <n v="298"/>
    <x v="6"/>
    <x v="1"/>
    <n v="45"/>
    <n v="90"/>
  </r>
  <r>
    <s v="ORD4636245"/>
    <s v="ITM020"/>
    <n v="1"/>
    <n v="159"/>
    <x v="21"/>
    <x v="1"/>
    <n v="48"/>
    <n v="48"/>
  </r>
  <r>
    <s v="ORD6539379"/>
    <s v="ITM018"/>
    <n v="2"/>
    <n v="318"/>
    <x v="15"/>
    <x v="1"/>
    <n v="48"/>
    <n v="96"/>
  </r>
  <r>
    <s v="ORD6539379"/>
    <s v="ITM019"/>
    <n v="2"/>
    <n v="298"/>
    <x v="11"/>
    <x v="1"/>
    <n v="45"/>
    <n v="90"/>
  </r>
  <r>
    <s v="ORD6539379"/>
    <s v="ITM008"/>
    <n v="1"/>
    <n v="99"/>
    <x v="9"/>
    <x v="2"/>
    <n v="30"/>
    <n v="30"/>
  </r>
  <r>
    <s v="ORD5728360"/>
    <s v="ITM023"/>
    <n v="2"/>
    <n v="278"/>
    <x v="18"/>
    <x v="1"/>
    <n v="42"/>
    <n v="84"/>
  </r>
  <r>
    <s v="ORD2723145"/>
    <s v="ITM016"/>
    <n v="1"/>
    <n v="99"/>
    <x v="7"/>
    <x v="1"/>
    <n v="30"/>
    <n v="30"/>
  </r>
  <r>
    <s v="ORD2723145"/>
    <s v="ITM015"/>
    <n v="1"/>
    <n v="149"/>
    <x v="1"/>
    <x v="1"/>
    <n v="45"/>
    <n v="45"/>
  </r>
  <r>
    <s v="ORD2723145"/>
    <s v="ITM020"/>
    <n v="1"/>
    <n v="159"/>
    <x v="21"/>
    <x v="1"/>
    <n v="48"/>
    <n v="48"/>
  </r>
  <r>
    <s v="ORD8885674"/>
    <s v="ITM017"/>
    <n v="1"/>
    <n v="149"/>
    <x v="6"/>
    <x v="1"/>
    <n v="45"/>
    <n v="45"/>
  </r>
  <r>
    <s v="ORD8885674"/>
    <s v="ITM020"/>
    <n v="1"/>
    <n v="159"/>
    <x v="21"/>
    <x v="1"/>
    <n v="48"/>
    <n v="48"/>
  </r>
  <r>
    <s v="ORD9997784"/>
    <s v="ITM018"/>
    <n v="1"/>
    <n v="159"/>
    <x v="15"/>
    <x v="1"/>
    <n v="48"/>
    <n v="48"/>
  </r>
  <r>
    <s v="ORD9997784"/>
    <s v="ITM008"/>
    <n v="1"/>
    <n v="99"/>
    <x v="9"/>
    <x v="2"/>
    <n v="30"/>
    <n v="30"/>
  </r>
  <r>
    <s v="ORD9542620"/>
    <s v="ITM019"/>
    <n v="1"/>
    <n v="149"/>
    <x v="11"/>
    <x v="1"/>
    <n v="45"/>
    <n v="45"/>
  </r>
  <r>
    <s v="ORD9542620"/>
    <s v="ITM012"/>
    <n v="4"/>
    <n v="356"/>
    <x v="8"/>
    <x v="0"/>
    <n v="27"/>
    <n v="108"/>
  </r>
  <r>
    <s v="ORD8135725"/>
    <s v="ITM007"/>
    <n v="3"/>
    <n v="237"/>
    <x v="19"/>
    <x v="2"/>
    <n v="24"/>
    <n v="72"/>
  </r>
  <r>
    <s v="ORD8135725"/>
    <s v="ITM022"/>
    <n v="1"/>
    <n v="99"/>
    <x v="23"/>
    <x v="1"/>
    <n v="30"/>
    <n v="30"/>
  </r>
  <r>
    <s v="ORD8135725"/>
    <s v="ITM017"/>
    <n v="3"/>
    <n v="447"/>
    <x v="6"/>
    <x v="1"/>
    <n v="45"/>
    <n v="135"/>
  </r>
  <r>
    <s v="ORD4724182"/>
    <s v="ITM022"/>
    <n v="2"/>
    <n v="198"/>
    <x v="23"/>
    <x v="1"/>
    <n v="30"/>
    <n v="60"/>
  </r>
  <r>
    <s v="ORD4724182"/>
    <s v="ITM018"/>
    <n v="1"/>
    <n v="159"/>
    <x v="15"/>
    <x v="1"/>
    <n v="48"/>
    <n v="48"/>
  </r>
  <r>
    <s v="ORD8836901"/>
    <s v="ITM001"/>
    <n v="2"/>
    <n v="158"/>
    <x v="24"/>
    <x v="5"/>
    <n v="24"/>
    <n v="48"/>
  </r>
  <r>
    <s v="ORD8836901"/>
    <s v="ITM025"/>
    <n v="1"/>
    <n v="79"/>
    <x v="25"/>
    <x v="4"/>
    <n v="24"/>
    <n v="24"/>
  </r>
  <r>
    <s v="ORD8836901"/>
    <s v="ITM004"/>
    <n v="2"/>
    <n v="158"/>
    <x v="5"/>
    <x v="3"/>
    <n v="24"/>
    <n v="48"/>
  </r>
  <r>
    <s v="ORD8648406"/>
    <s v="ITM021"/>
    <n v="1"/>
    <n v="149"/>
    <x v="22"/>
    <x v="1"/>
    <n v="45"/>
    <n v="45"/>
  </r>
  <r>
    <s v="ORD8648406"/>
    <s v="ITM009"/>
    <n v="2"/>
    <n v="178"/>
    <x v="2"/>
    <x v="2"/>
    <n v="27"/>
    <n v="54"/>
  </r>
  <r>
    <s v="ORD8425350"/>
    <s v="ITM005"/>
    <n v="3"/>
    <n v="297"/>
    <x v="16"/>
    <x v="3"/>
    <n v="30"/>
    <n v="90"/>
  </r>
  <r>
    <s v="ORD8425350"/>
    <s v="ITM002"/>
    <n v="1"/>
    <n v="99"/>
    <x v="12"/>
    <x v="5"/>
    <n v="30"/>
    <n v="30"/>
  </r>
  <r>
    <s v="ORD9110583"/>
    <s v="ITM004"/>
    <n v="1"/>
    <n v="79"/>
    <x v="5"/>
    <x v="3"/>
    <n v="24"/>
    <n v="24"/>
  </r>
  <r>
    <s v="ORD9110583"/>
    <s v="ITM018"/>
    <n v="1"/>
    <n v="159"/>
    <x v="15"/>
    <x v="1"/>
    <n v="48"/>
    <n v="48"/>
  </r>
  <r>
    <s v="ORD9110583"/>
    <s v="ITM020"/>
    <n v="2"/>
    <n v="318"/>
    <x v="21"/>
    <x v="1"/>
    <n v="48"/>
    <n v="96"/>
  </r>
  <r>
    <s v="ORD9110583"/>
    <s v="ITM026"/>
    <n v="2"/>
    <n v="158"/>
    <x v="4"/>
    <x v="4"/>
    <n v="24"/>
    <n v="48"/>
  </r>
  <r>
    <s v="ORD5965982"/>
    <s v="ITM023"/>
    <n v="1"/>
    <n v="139"/>
    <x v="18"/>
    <x v="1"/>
    <n v="42"/>
    <n v="42"/>
  </r>
  <r>
    <s v="ORD5965982"/>
    <s v="ITM012"/>
    <n v="3"/>
    <n v="267"/>
    <x v="8"/>
    <x v="0"/>
    <n v="27"/>
    <n v="81"/>
  </r>
  <r>
    <s v="ORD5965982"/>
    <s v="ITM020"/>
    <n v="1"/>
    <n v="159"/>
    <x v="21"/>
    <x v="1"/>
    <n v="48"/>
    <n v="48"/>
  </r>
  <r>
    <s v="ORD7115786"/>
    <s v="ITM006"/>
    <n v="3"/>
    <n v="267"/>
    <x v="3"/>
    <x v="3"/>
    <n v="27"/>
    <n v="81"/>
  </r>
  <r>
    <s v="ORD7115786"/>
    <s v="ITM027"/>
    <n v="2"/>
    <n v="158"/>
    <x v="10"/>
    <x v="4"/>
    <n v="24"/>
    <n v="48"/>
  </r>
  <r>
    <s v="ORD7115786"/>
    <s v="ITM018"/>
    <n v="3"/>
    <n v="477"/>
    <x v="15"/>
    <x v="1"/>
    <n v="48"/>
    <n v="144"/>
  </r>
  <r>
    <s v="ORD5081001"/>
    <s v="ITM004"/>
    <n v="2"/>
    <n v="158"/>
    <x v="5"/>
    <x v="3"/>
    <n v="24"/>
    <n v="48"/>
  </r>
  <r>
    <s v="ORD2161701"/>
    <s v="ITM002"/>
    <n v="1"/>
    <n v="99"/>
    <x v="12"/>
    <x v="5"/>
    <n v="30"/>
    <n v="30"/>
  </r>
  <r>
    <s v="ORD2161701"/>
    <s v="ITM013"/>
    <n v="1"/>
    <n v="69"/>
    <x v="0"/>
    <x v="0"/>
    <n v="21"/>
    <n v="21"/>
  </r>
  <r>
    <s v="ORD2161701"/>
    <s v="ITM025"/>
    <n v="2"/>
    <n v="158"/>
    <x v="25"/>
    <x v="4"/>
    <n v="24"/>
    <n v="48"/>
  </r>
  <r>
    <s v="ORD4410943"/>
    <s v="ITM020"/>
    <n v="1"/>
    <n v="159"/>
    <x v="21"/>
    <x v="1"/>
    <n v="48"/>
    <n v="48"/>
  </r>
  <r>
    <s v="ORD4410943"/>
    <s v="ITM015"/>
    <n v="4"/>
    <n v="596"/>
    <x v="1"/>
    <x v="1"/>
    <n v="45"/>
    <n v="180"/>
  </r>
  <r>
    <s v="ORD7449227"/>
    <s v="ITM012"/>
    <n v="1"/>
    <n v="89"/>
    <x v="8"/>
    <x v="0"/>
    <n v="27"/>
    <n v="27"/>
  </r>
  <r>
    <s v="ORD7449227"/>
    <s v="ITM028"/>
    <n v="3"/>
    <n v="147"/>
    <x v="13"/>
    <x v="4"/>
    <n v="15"/>
    <n v="45"/>
  </r>
  <r>
    <s v="ORD7449227"/>
    <s v="ITM025"/>
    <n v="3"/>
    <n v="237"/>
    <x v="25"/>
    <x v="4"/>
    <n v="24"/>
    <n v="72"/>
  </r>
  <r>
    <s v="ORD7449227"/>
    <s v="ITM020"/>
    <n v="1"/>
    <n v="159"/>
    <x v="21"/>
    <x v="1"/>
    <n v="48"/>
    <n v="48"/>
  </r>
  <r>
    <s v="ORD7121455"/>
    <s v="ITM010"/>
    <n v="3"/>
    <n v="177"/>
    <x v="20"/>
    <x v="0"/>
    <n v="18"/>
    <n v="54"/>
  </r>
  <r>
    <s v="ORD7121455"/>
    <s v="ITM005"/>
    <n v="2"/>
    <n v="198"/>
    <x v="16"/>
    <x v="3"/>
    <n v="30"/>
    <n v="60"/>
  </r>
  <r>
    <s v="ORD7121455"/>
    <s v="ITM012"/>
    <n v="1"/>
    <n v="89"/>
    <x v="8"/>
    <x v="0"/>
    <n v="27"/>
    <n v="27"/>
  </r>
  <r>
    <s v="ORD3369785"/>
    <s v="ITM003"/>
    <n v="1"/>
    <n v="119"/>
    <x v="27"/>
    <x v="5"/>
    <n v="36"/>
    <n v="36"/>
  </r>
  <r>
    <s v="ORD3369785"/>
    <s v="ITM019"/>
    <n v="1"/>
    <n v="149"/>
    <x v="11"/>
    <x v="1"/>
    <n v="45"/>
    <n v="45"/>
  </r>
  <r>
    <s v="ORD2921689"/>
    <s v="ITM006"/>
    <n v="5"/>
    <n v="445"/>
    <x v="3"/>
    <x v="3"/>
    <n v="27"/>
    <n v="135"/>
  </r>
  <r>
    <s v="ORD2921689"/>
    <s v="ITM018"/>
    <n v="1"/>
    <n v="159"/>
    <x v="15"/>
    <x v="1"/>
    <n v="48"/>
    <n v="48"/>
  </r>
  <r>
    <s v="ORD2921689"/>
    <s v="ITM002"/>
    <n v="1"/>
    <n v="99"/>
    <x v="12"/>
    <x v="5"/>
    <n v="30"/>
    <n v="30"/>
  </r>
  <r>
    <s v="ORD2921689"/>
    <s v="ITM020"/>
    <n v="2"/>
    <n v="318"/>
    <x v="21"/>
    <x v="1"/>
    <n v="48"/>
    <n v="96"/>
  </r>
  <r>
    <s v="ORD1976642"/>
    <s v="ITM016"/>
    <n v="1"/>
    <n v="99"/>
    <x v="7"/>
    <x v="1"/>
    <n v="30"/>
    <n v="30"/>
  </r>
  <r>
    <s v="ORD1976642"/>
    <s v="ITM017"/>
    <n v="2"/>
    <n v="298"/>
    <x v="6"/>
    <x v="1"/>
    <n v="45"/>
    <n v="90"/>
  </r>
  <r>
    <s v="ORD1752540"/>
    <s v="ITM007"/>
    <n v="1"/>
    <n v="79"/>
    <x v="19"/>
    <x v="2"/>
    <n v="24"/>
    <n v="24"/>
  </r>
  <r>
    <s v="ORD1752540"/>
    <s v="ITM028"/>
    <n v="1"/>
    <n v="49"/>
    <x v="13"/>
    <x v="4"/>
    <n v="15"/>
    <n v="15"/>
  </r>
  <r>
    <s v="ORD1752540"/>
    <s v="ITM020"/>
    <n v="4"/>
    <n v="636"/>
    <x v="21"/>
    <x v="1"/>
    <n v="48"/>
    <n v="192"/>
  </r>
  <r>
    <s v="ORD5404222"/>
    <s v="ITM003"/>
    <n v="1"/>
    <n v="119"/>
    <x v="27"/>
    <x v="5"/>
    <n v="36"/>
    <n v="36"/>
  </r>
  <r>
    <s v="ORD5404222"/>
    <s v="ITM021"/>
    <n v="2"/>
    <n v="298"/>
    <x v="22"/>
    <x v="1"/>
    <n v="45"/>
    <n v="90"/>
  </r>
  <r>
    <s v="ORD5404222"/>
    <s v="ITM013"/>
    <n v="2"/>
    <n v="138"/>
    <x v="0"/>
    <x v="0"/>
    <n v="21"/>
    <n v="42"/>
  </r>
  <r>
    <s v="ORD2120379"/>
    <s v="ITM021"/>
    <n v="5"/>
    <n v="745"/>
    <x v="22"/>
    <x v="1"/>
    <n v="45"/>
    <n v="225"/>
  </r>
  <r>
    <s v="ORD2120379"/>
    <s v="ITM023"/>
    <n v="3"/>
    <n v="417"/>
    <x v="18"/>
    <x v="1"/>
    <n v="42"/>
    <n v="126"/>
  </r>
  <r>
    <s v="ORD2120379"/>
    <s v="ITM017"/>
    <n v="3"/>
    <n v="447"/>
    <x v="6"/>
    <x v="1"/>
    <n v="45"/>
    <n v="135"/>
  </r>
  <r>
    <s v="ORD2120379"/>
    <s v="ITM024"/>
    <n v="3"/>
    <n v="237"/>
    <x v="17"/>
    <x v="4"/>
    <n v="24"/>
    <n v="72"/>
  </r>
  <r>
    <s v="ORD4558295"/>
    <s v="ITM018"/>
    <n v="2"/>
    <n v="318"/>
    <x v="15"/>
    <x v="1"/>
    <n v="48"/>
    <n v="96"/>
  </r>
  <r>
    <s v="ORD3093662"/>
    <s v="ITM007"/>
    <n v="5"/>
    <n v="395"/>
    <x v="19"/>
    <x v="2"/>
    <n v="24"/>
    <n v="120"/>
  </r>
  <r>
    <s v="ORD3093662"/>
    <s v="ITM013"/>
    <n v="3"/>
    <n v="207"/>
    <x v="0"/>
    <x v="0"/>
    <n v="21"/>
    <n v="63"/>
  </r>
  <r>
    <s v="ORD2649093"/>
    <s v="ITM024"/>
    <n v="2"/>
    <n v="158"/>
    <x v="17"/>
    <x v="4"/>
    <n v="24"/>
    <n v="48"/>
  </r>
  <r>
    <s v="ORD2649093"/>
    <s v="ITM012"/>
    <n v="2"/>
    <n v="178"/>
    <x v="8"/>
    <x v="0"/>
    <n v="27"/>
    <n v="54"/>
  </r>
  <r>
    <s v="ORD6998442"/>
    <s v="ITM019"/>
    <n v="3"/>
    <n v="447"/>
    <x v="11"/>
    <x v="1"/>
    <n v="45"/>
    <n v="135"/>
  </r>
  <r>
    <s v="ORD8252042"/>
    <s v="ITM022"/>
    <n v="2"/>
    <n v="198"/>
    <x v="23"/>
    <x v="1"/>
    <n v="30"/>
    <n v="60"/>
  </r>
  <r>
    <s v="ORD8252042"/>
    <s v="ITM015"/>
    <n v="2"/>
    <n v="298"/>
    <x v="1"/>
    <x v="1"/>
    <n v="45"/>
    <n v="90"/>
  </r>
  <r>
    <s v="ORD1011337"/>
    <s v="ITM022"/>
    <n v="2"/>
    <n v="198"/>
    <x v="23"/>
    <x v="1"/>
    <n v="30"/>
    <n v="60"/>
  </r>
  <r>
    <s v="ORD1011337"/>
    <s v="ITM017"/>
    <n v="1"/>
    <n v="149"/>
    <x v="6"/>
    <x v="1"/>
    <n v="45"/>
    <n v="45"/>
  </r>
  <r>
    <s v="ORD9321592"/>
    <s v="ITM016"/>
    <n v="2"/>
    <n v="198"/>
    <x v="7"/>
    <x v="1"/>
    <n v="30"/>
    <n v="60"/>
  </r>
  <r>
    <s v="ORD9321592"/>
    <s v="ITM006"/>
    <n v="4"/>
    <n v="356"/>
    <x v="3"/>
    <x v="3"/>
    <n v="27"/>
    <n v="108"/>
  </r>
  <r>
    <s v="ORD7501701"/>
    <s v="ITM017"/>
    <n v="4"/>
    <n v="596"/>
    <x v="6"/>
    <x v="1"/>
    <n v="45"/>
    <n v="180"/>
  </r>
  <r>
    <s v="ORD2915131"/>
    <s v="ITM011"/>
    <n v="1"/>
    <n v="79"/>
    <x v="26"/>
    <x v="0"/>
    <n v="24"/>
    <n v="24"/>
  </r>
  <r>
    <s v="ORD2915131"/>
    <s v="ITM023"/>
    <n v="2"/>
    <n v="278"/>
    <x v="18"/>
    <x v="1"/>
    <n v="42"/>
    <n v="84"/>
  </r>
  <r>
    <s v="ORD2915131"/>
    <s v="ITM002"/>
    <n v="1"/>
    <n v="99"/>
    <x v="12"/>
    <x v="5"/>
    <n v="30"/>
    <n v="30"/>
  </r>
  <r>
    <s v="ORD6864992"/>
    <s v="ITM021"/>
    <n v="1"/>
    <n v="149"/>
    <x v="22"/>
    <x v="1"/>
    <n v="45"/>
    <n v="45"/>
  </r>
  <r>
    <s v="ORD6864992"/>
    <s v="ITM018"/>
    <n v="1"/>
    <n v="159"/>
    <x v="15"/>
    <x v="1"/>
    <n v="48"/>
    <n v="48"/>
  </r>
  <r>
    <s v="ORD6864992"/>
    <s v="ITM017"/>
    <n v="3"/>
    <n v="447"/>
    <x v="6"/>
    <x v="1"/>
    <n v="45"/>
    <n v="135"/>
  </r>
  <r>
    <s v="ORD5617711"/>
    <s v="ITM027"/>
    <n v="1"/>
    <n v="79"/>
    <x v="10"/>
    <x v="4"/>
    <n v="24"/>
    <n v="24"/>
  </r>
  <r>
    <s v="ORD5617711"/>
    <s v="ITM018"/>
    <n v="5"/>
    <n v="795"/>
    <x v="15"/>
    <x v="1"/>
    <n v="48"/>
    <n v="240"/>
  </r>
  <r>
    <s v="ORD5617711"/>
    <s v="ITM013"/>
    <n v="1"/>
    <n v="69"/>
    <x v="0"/>
    <x v="0"/>
    <n v="21"/>
    <n v="21"/>
  </r>
  <r>
    <s v="ORD3821058"/>
    <s v="ITM027"/>
    <n v="2"/>
    <n v="158"/>
    <x v="10"/>
    <x v="4"/>
    <n v="24"/>
    <n v="48"/>
  </r>
  <r>
    <s v="ORD5354733"/>
    <s v="ITM007"/>
    <n v="3"/>
    <n v="237"/>
    <x v="19"/>
    <x v="2"/>
    <n v="24"/>
    <n v="72"/>
  </r>
  <r>
    <s v="ORD5354733"/>
    <s v="ITM026"/>
    <n v="1"/>
    <n v="79"/>
    <x v="4"/>
    <x v="4"/>
    <n v="24"/>
    <n v="24"/>
  </r>
  <r>
    <s v="ORD6118318"/>
    <s v="ITM011"/>
    <n v="2"/>
    <n v="158"/>
    <x v="26"/>
    <x v="0"/>
    <n v="24"/>
    <n v="48"/>
  </r>
  <r>
    <s v="ORD6118318"/>
    <s v="ITM027"/>
    <n v="1"/>
    <n v="79"/>
    <x v="10"/>
    <x v="4"/>
    <n v="24"/>
    <n v="24"/>
  </r>
  <r>
    <s v="ORD6118318"/>
    <s v="ITM021"/>
    <n v="1"/>
    <n v="149"/>
    <x v="22"/>
    <x v="1"/>
    <n v="45"/>
    <n v="45"/>
  </r>
  <r>
    <s v="ORD6118318"/>
    <s v="ITM013"/>
    <n v="4"/>
    <n v="276"/>
    <x v="0"/>
    <x v="0"/>
    <n v="21"/>
    <n v="84"/>
  </r>
  <r>
    <s v="ORD2100308"/>
    <s v="ITM016"/>
    <n v="2"/>
    <n v="198"/>
    <x v="7"/>
    <x v="1"/>
    <n v="30"/>
    <n v="60"/>
  </r>
  <r>
    <s v="ORD2100308"/>
    <s v="ITM013"/>
    <n v="3"/>
    <n v="207"/>
    <x v="0"/>
    <x v="0"/>
    <n v="21"/>
    <n v="63"/>
  </r>
  <r>
    <s v="ORD5977356"/>
    <s v="ITM007"/>
    <n v="2"/>
    <n v="158"/>
    <x v="19"/>
    <x v="2"/>
    <n v="24"/>
    <n v="48"/>
  </r>
  <r>
    <s v="ORD5977356"/>
    <s v="ITM011"/>
    <n v="1"/>
    <n v="79"/>
    <x v="26"/>
    <x v="0"/>
    <n v="24"/>
    <n v="24"/>
  </r>
  <r>
    <s v="ORD5977356"/>
    <s v="ITM026"/>
    <n v="1"/>
    <n v="79"/>
    <x v="4"/>
    <x v="4"/>
    <n v="24"/>
    <n v="24"/>
  </r>
  <r>
    <s v="ORD5032195"/>
    <s v="ITM019"/>
    <n v="2"/>
    <n v="298"/>
    <x v="11"/>
    <x v="1"/>
    <n v="45"/>
    <n v="90"/>
  </r>
  <r>
    <s v="ORD7853714"/>
    <s v="ITM018"/>
    <n v="3"/>
    <n v="477"/>
    <x v="15"/>
    <x v="1"/>
    <n v="48"/>
    <n v="144"/>
  </r>
  <r>
    <s v="ORD7853714"/>
    <s v="ITM019"/>
    <n v="2"/>
    <n v="298"/>
    <x v="11"/>
    <x v="1"/>
    <n v="45"/>
    <n v="90"/>
  </r>
  <r>
    <s v="ORD7853714"/>
    <s v="ITM009"/>
    <n v="5"/>
    <n v="445"/>
    <x v="2"/>
    <x v="2"/>
    <n v="27"/>
    <n v="135"/>
  </r>
  <r>
    <s v="ORD6354067"/>
    <s v="ITM017"/>
    <n v="2"/>
    <n v="298"/>
    <x v="6"/>
    <x v="1"/>
    <n v="45"/>
    <n v="90"/>
  </r>
  <r>
    <s v="ORD6354067"/>
    <s v="ITM020"/>
    <n v="1"/>
    <n v="159"/>
    <x v="21"/>
    <x v="1"/>
    <n v="48"/>
    <n v="48"/>
  </r>
  <r>
    <s v="ORD4290868"/>
    <s v="ITM014"/>
    <n v="1"/>
    <n v="119"/>
    <x v="14"/>
    <x v="1"/>
    <n v="36"/>
    <n v="36"/>
  </r>
  <r>
    <s v="ORD6794172"/>
    <s v="ITM003"/>
    <n v="1"/>
    <n v="119"/>
    <x v="27"/>
    <x v="5"/>
    <n v="36"/>
    <n v="36"/>
  </r>
  <r>
    <s v="ORD6794172"/>
    <s v="ITM025"/>
    <n v="2"/>
    <n v="158"/>
    <x v="25"/>
    <x v="4"/>
    <n v="24"/>
    <n v="48"/>
  </r>
  <r>
    <s v="ORD1388554"/>
    <s v="ITM004"/>
    <n v="4"/>
    <n v="316"/>
    <x v="5"/>
    <x v="3"/>
    <n v="24"/>
    <n v="96"/>
  </r>
  <r>
    <s v="ORD1388554"/>
    <s v="ITM003"/>
    <n v="2"/>
    <n v="238"/>
    <x v="27"/>
    <x v="5"/>
    <n v="36"/>
    <n v="72"/>
  </r>
  <r>
    <s v="ORD1388554"/>
    <s v="ITM007"/>
    <n v="3"/>
    <n v="237"/>
    <x v="19"/>
    <x v="2"/>
    <n v="24"/>
    <n v="72"/>
  </r>
  <r>
    <s v="ORD6546744"/>
    <s v="ITM020"/>
    <n v="4"/>
    <n v="636"/>
    <x v="21"/>
    <x v="1"/>
    <n v="48"/>
    <n v="192"/>
  </r>
  <r>
    <s v="ORD4097922"/>
    <s v="ITM014"/>
    <n v="3"/>
    <n v="357"/>
    <x v="14"/>
    <x v="1"/>
    <n v="36"/>
    <n v="108"/>
  </r>
  <r>
    <s v="ORD4097922"/>
    <s v="ITM005"/>
    <n v="1"/>
    <n v="99"/>
    <x v="16"/>
    <x v="3"/>
    <n v="30"/>
    <n v="30"/>
  </r>
  <r>
    <s v="ORD4097922"/>
    <s v="ITM019"/>
    <n v="2"/>
    <n v="298"/>
    <x v="11"/>
    <x v="1"/>
    <n v="45"/>
    <n v="90"/>
  </r>
  <r>
    <s v="ORD4097922"/>
    <s v="ITM025"/>
    <n v="2"/>
    <n v="158"/>
    <x v="25"/>
    <x v="4"/>
    <n v="24"/>
    <n v="48"/>
  </r>
  <r>
    <s v="ORD2346321"/>
    <s v="ITM014"/>
    <n v="4"/>
    <n v="476"/>
    <x v="14"/>
    <x v="1"/>
    <n v="36"/>
    <n v="144"/>
  </r>
  <r>
    <s v="ORD2346321"/>
    <s v="ITM017"/>
    <n v="1"/>
    <n v="149"/>
    <x v="6"/>
    <x v="1"/>
    <n v="45"/>
    <n v="45"/>
  </r>
  <r>
    <s v="ORD2346321"/>
    <s v="ITM002"/>
    <n v="1"/>
    <n v="99"/>
    <x v="12"/>
    <x v="5"/>
    <n v="30"/>
    <n v="30"/>
  </r>
  <r>
    <s v="ORD4689637"/>
    <s v="ITM014"/>
    <n v="2"/>
    <n v="238"/>
    <x v="14"/>
    <x v="1"/>
    <n v="36"/>
    <n v="72"/>
  </r>
  <r>
    <s v="ORD4689637"/>
    <s v="ITM013"/>
    <n v="1"/>
    <n v="69"/>
    <x v="0"/>
    <x v="0"/>
    <n v="21"/>
    <n v="21"/>
  </r>
  <r>
    <s v="ORD4689637"/>
    <s v="ITM025"/>
    <n v="2"/>
    <n v="158"/>
    <x v="25"/>
    <x v="4"/>
    <n v="24"/>
    <n v="48"/>
  </r>
  <r>
    <s v="ORD8979708"/>
    <s v="ITM021"/>
    <n v="1"/>
    <n v="149"/>
    <x v="22"/>
    <x v="1"/>
    <n v="45"/>
    <n v="45"/>
  </r>
  <r>
    <s v="ORD8979708"/>
    <s v="ITM020"/>
    <n v="1"/>
    <n v="159"/>
    <x v="21"/>
    <x v="1"/>
    <n v="48"/>
    <n v="48"/>
  </r>
  <r>
    <s v="ORD7580946"/>
    <s v="ITM018"/>
    <n v="1"/>
    <n v="159"/>
    <x v="15"/>
    <x v="1"/>
    <n v="48"/>
    <n v="48"/>
  </r>
  <r>
    <s v="ORD6637599"/>
    <s v="ITM002"/>
    <n v="1"/>
    <n v="99"/>
    <x v="12"/>
    <x v="5"/>
    <n v="30"/>
    <n v="30"/>
  </r>
  <r>
    <s v="ORD6637599"/>
    <s v="ITM015"/>
    <n v="2"/>
    <n v="298"/>
    <x v="1"/>
    <x v="1"/>
    <n v="45"/>
    <n v="90"/>
  </r>
  <r>
    <s v="ORD8025845"/>
    <s v="ITM022"/>
    <n v="4"/>
    <n v="396"/>
    <x v="23"/>
    <x v="1"/>
    <n v="30"/>
    <n v="120"/>
  </r>
  <r>
    <s v="ORD8025845"/>
    <s v="ITM026"/>
    <n v="1"/>
    <n v="79"/>
    <x v="4"/>
    <x v="4"/>
    <n v="24"/>
    <n v="24"/>
  </r>
  <r>
    <s v="ORD6773984"/>
    <s v="ITM011"/>
    <n v="3"/>
    <n v="237"/>
    <x v="26"/>
    <x v="0"/>
    <n v="24"/>
    <n v="72"/>
  </r>
  <r>
    <s v="ORD6773984"/>
    <s v="ITM018"/>
    <n v="1"/>
    <n v="159"/>
    <x v="15"/>
    <x v="1"/>
    <n v="48"/>
    <n v="48"/>
  </r>
  <r>
    <s v="ORD6773984"/>
    <s v="ITM002"/>
    <n v="1"/>
    <n v="99"/>
    <x v="12"/>
    <x v="5"/>
    <n v="30"/>
    <n v="30"/>
  </r>
  <r>
    <s v="ORD3223226"/>
    <s v="ITM011"/>
    <n v="1"/>
    <n v="79"/>
    <x v="26"/>
    <x v="0"/>
    <n v="24"/>
    <n v="24"/>
  </r>
  <r>
    <s v="ORD3223226"/>
    <s v="ITM012"/>
    <n v="2"/>
    <n v="178"/>
    <x v="8"/>
    <x v="0"/>
    <n v="27"/>
    <n v="54"/>
  </r>
  <r>
    <s v="ORD2427420"/>
    <s v="ITM006"/>
    <n v="1"/>
    <n v="89"/>
    <x v="3"/>
    <x v="3"/>
    <n v="27"/>
    <n v="27"/>
  </r>
  <r>
    <s v="ORD2427420"/>
    <s v="ITM014"/>
    <n v="3"/>
    <n v="357"/>
    <x v="14"/>
    <x v="1"/>
    <n v="36"/>
    <n v="108"/>
  </r>
  <r>
    <s v="ORD2427420"/>
    <s v="ITM018"/>
    <n v="4"/>
    <n v="636"/>
    <x v="15"/>
    <x v="1"/>
    <n v="48"/>
    <n v="192"/>
  </r>
  <r>
    <s v="ORD2427420"/>
    <s v="ITM009"/>
    <n v="2"/>
    <n v="178"/>
    <x v="2"/>
    <x v="2"/>
    <n v="27"/>
    <n v="54"/>
  </r>
  <r>
    <s v="ORD6380339"/>
    <s v="ITM004"/>
    <n v="2"/>
    <n v="158"/>
    <x v="5"/>
    <x v="3"/>
    <n v="24"/>
    <n v="48"/>
  </r>
  <r>
    <s v="ORD6380339"/>
    <s v="ITM019"/>
    <n v="2"/>
    <n v="298"/>
    <x v="11"/>
    <x v="1"/>
    <n v="45"/>
    <n v="90"/>
  </r>
  <r>
    <s v="ORD8169923"/>
    <s v="ITM003"/>
    <n v="1"/>
    <n v="119"/>
    <x v="27"/>
    <x v="5"/>
    <n v="36"/>
    <n v="36"/>
  </r>
  <r>
    <s v="ORD8169923"/>
    <s v="ITM002"/>
    <n v="2"/>
    <n v="198"/>
    <x v="12"/>
    <x v="5"/>
    <n v="30"/>
    <n v="60"/>
  </r>
  <r>
    <s v="ORD8169923"/>
    <s v="ITM015"/>
    <n v="1"/>
    <n v="149"/>
    <x v="1"/>
    <x v="1"/>
    <n v="45"/>
    <n v="45"/>
  </r>
  <r>
    <s v="ORD8726065"/>
    <s v="ITM004"/>
    <n v="2"/>
    <n v="158"/>
    <x v="5"/>
    <x v="3"/>
    <n v="24"/>
    <n v="48"/>
  </r>
  <r>
    <s v="ORD8726065"/>
    <s v="ITM005"/>
    <n v="2"/>
    <n v="198"/>
    <x v="16"/>
    <x v="3"/>
    <n v="30"/>
    <n v="60"/>
  </r>
  <r>
    <s v="ORD8726065"/>
    <s v="ITM001"/>
    <n v="1"/>
    <n v="79"/>
    <x v="24"/>
    <x v="5"/>
    <n v="24"/>
    <n v="24"/>
  </r>
  <r>
    <s v="ORD4296668"/>
    <s v="ITM001"/>
    <n v="5"/>
    <n v="395"/>
    <x v="24"/>
    <x v="5"/>
    <n v="24"/>
    <n v="120"/>
  </r>
  <r>
    <s v="ORD4296668"/>
    <s v="ITM010"/>
    <n v="1"/>
    <n v="59"/>
    <x v="20"/>
    <x v="0"/>
    <n v="18"/>
    <n v="18"/>
  </r>
  <r>
    <s v="ORD1574034"/>
    <s v="ITM011"/>
    <n v="2"/>
    <n v="158"/>
    <x v="26"/>
    <x v="0"/>
    <n v="24"/>
    <n v="48"/>
  </r>
  <r>
    <s v="ORD1574034"/>
    <s v="ITM002"/>
    <n v="2"/>
    <n v="198"/>
    <x v="12"/>
    <x v="5"/>
    <n v="30"/>
    <n v="60"/>
  </r>
  <r>
    <s v="ORD1574034"/>
    <s v="ITM009"/>
    <n v="2"/>
    <n v="178"/>
    <x v="2"/>
    <x v="2"/>
    <n v="27"/>
    <n v="54"/>
  </r>
  <r>
    <s v="ORD4451332"/>
    <s v="ITM019"/>
    <n v="1"/>
    <n v="149"/>
    <x v="11"/>
    <x v="1"/>
    <n v="45"/>
    <n v="45"/>
  </r>
  <r>
    <s v="ORD2266964"/>
    <s v="ITM003"/>
    <n v="1"/>
    <n v="119"/>
    <x v="27"/>
    <x v="5"/>
    <n v="36"/>
    <n v="36"/>
  </r>
  <r>
    <s v="ORD2266964"/>
    <s v="ITM014"/>
    <n v="1"/>
    <n v="119"/>
    <x v="14"/>
    <x v="1"/>
    <n v="36"/>
    <n v="36"/>
  </r>
  <r>
    <s v="ORD2266964"/>
    <s v="ITM019"/>
    <n v="1"/>
    <n v="149"/>
    <x v="11"/>
    <x v="1"/>
    <n v="45"/>
    <n v="45"/>
  </r>
  <r>
    <s v="ORD2266964"/>
    <s v="ITM023"/>
    <n v="1"/>
    <n v="139"/>
    <x v="18"/>
    <x v="1"/>
    <n v="42"/>
    <n v="42"/>
  </r>
  <r>
    <s v="ORD7067682"/>
    <s v="ITM021"/>
    <n v="2"/>
    <n v="298"/>
    <x v="22"/>
    <x v="1"/>
    <n v="45"/>
    <n v="90"/>
  </r>
  <r>
    <s v="ORD7067682"/>
    <s v="ITM020"/>
    <n v="1"/>
    <n v="159"/>
    <x v="21"/>
    <x v="1"/>
    <n v="48"/>
    <n v="48"/>
  </r>
  <r>
    <s v="ORD1151625"/>
    <s v="ITM018"/>
    <n v="2"/>
    <n v="318"/>
    <x v="15"/>
    <x v="1"/>
    <n v="48"/>
    <n v="96"/>
  </r>
  <r>
    <s v="ORD1151625"/>
    <s v="ITM019"/>
    <n v="5"/>
    <n v="745"/>
    <x v="11"/>
    <x v="1"/>
    <n v="45"/>
    <n v="225"/>
  </r>
  <r>
    <s v="ORD9155269"/>
    <s v="ITM001"/>
    <n v="1"/>
    <n v="79"/>
    <x v="24"/>
    <x v="5"/>
    <n v="24"/>
    <n v="24"/>
  </r>
  <r>
    <s v="ORD9155269"/>
    <s v="ITM002"/>
    <n v="1"/>
    <n v="99"/>
    <x v="12"/>
    <x v="5"/>
    <n v="30"/>
    <n v="30"/>
  </r>
  <r>
    <s v="ORD5512974"/>
    <s v="ITM022"/>
    <n v="2"/>
    <n v="198"/>
    <x v="23"/>
    <x v="1"/>
    <n v="30"/>
    <n v="60"/>
  </r>
  <r>
    <s v="ORD2847661"/>
    <s v="ITM022"/>
    <n v="1"/>
    <n v="99"/>
    <x v="23"/>
    <x v="1"/>
    <n v="30"/>
    <n v="30"/>
  </r>
  <r>
    <s v="ORD2847661"/>
    <s v="ITM018"/>
    <n v="1"/>
    <n v="159"/>
    <x v="15"/>
    <x v="1"/>
    <n v="48"/>
    <n v="48"/>
  </r>
  <r>
    <s v="ORD2847661"/>
    <s v="ITM009"/>
    <n v="2"/>
    <n v="178"/>
    <x v="2"/>
    <x v="2"/>
    <n v="27"/>
    <n v="54"/>
  </r>
  <r>
    <s v="ORD9363715"/>
    <s v="ITM014"/>
    <n v="1"/>
    <n v="119"/>
    <x v="14"/>
    <x v="1"/>
    <n v="36"/>
    <n v="36"/>
  </r>
  <r>
    <s v="ORD9363715"/>
    <s v="ITM019"/>
    <n v="3"/>
    <n v="447"/>
    <x v="11"/>
    <x v="1"/>
    <n v="45"/>
    <n v="135"/>
  </r>
  <r>
    <s v="ORD2787641"/>
    <s v="ITM021"/>
    <n v="2"/>
    <n v="298"/>
    <x v="22"/>
    <x v="1"/>
    <n v="45"/>
    <n v="90"/>
  </r>
  <r>
    <s v="ORD2787641"/>
    <s v="ITM012"/>
    <n v="4"/>
    <n v="356"/>
    <x v="8"/>
    <x v="0"/>
    <n v="27"/>
    <n v="108"/>
  </r>
  <r>
    <s v="ORD9016612"/>
    <s v="ITM007"/>
    <n v="2"/>
    <n v="158"/>
    <x v="19"/>
    <x v="2"/>
    <n v="24"/>
    <n v="48"/>
  </r>
  <r>
    <s v="ORD9016612"/>
    <s v="ITM019"/>
    <n v="4"/>
    <n v="596"/>
    <x v="11"/>
    <x v="1"/>
    <n v="45"/>
    <n v="180"/>
  </r>
  <r>
    <s v="ORD9016612"/>
    <s v="ITM002"/>
    <n v="2"/>
    <n v="198"/>
    <x v="12"/>
    <x v="5"/>
    <n v="30"/>
    <n v="60"/>
  </r>
  <r>
    <s v="ORD9016612"/>
    <s v="ITM020"/>
    <n v="5"/>
    <n v="795"/>
    <x v="21"/>
    <x v="1"/>
    <n v="48"/>
    <n v="240"/>
  </r>
  <r>
    <s v="ORD4664351"/>
    <s v="ITM003"/>
    <n v="2"/>
    <n v="238"/>
    <x v="27"/>
    <x v="5"/>
    <n v="36"/>
    <n v="72"/>
  </r>
  <r>
    <s v="ORD4664351"/>
    <s v="ITM019"/>
    <n v="3"/>
    <n v="447"/>
    <x v="11"/>
    <x v="1"/>
    <n v="45"/>
    <n v="135"/>
  </r>
  <r>
    <s v="ORD2890702"/>
    <s v="ITM016"/>
    <n v="4"/>
    <n v="396"/>
    <x v="7"/>
    <x v="1"/>
    <n v="30"/>
    <n v="120"/>
  </r>
  <r>
    <s v="ORD2890702"/>
    <s v="ITM013"/>
    <n v="1"/>
    <n v="69"/>
    <x v="0"/>
    <x v="0"/>
    <n v="21"/>
    <n v="21"/>
  </r>
  <r>
    <s v="ORD9565000"/>
    <s v="ITM007"/>
    <n v="1"/>
    <n v="79"/>
    <x v="19"/>
    <x v="2"/>
    <n v="24"/>
    <n v="24"/>
  </r>
  <r>
    <s v="ORD9565000"/>
    <s v="ITM021"/>
    <n v="2"/>
    <n v="298"/>
    <x v="22"/>
    <x v="1"/>
    <n v="45"/>
    <n v="90"/>
  </r>
  <r>
    <s v="ORD9565000"/>
    <s v="ITM016"/>
    <n v="2"/>
    <n v="198"/>
    <x v="7"/>
    <x v="1"/>
    <n v="30"/>
    <n v="60"/>
  </r>
  <r>
    <s v="ORD6780009"/>
    <s v="ITM027"/>
    <n v="2"/>
    <n v="158"/>
    <x v="10"/>
    <x v="4"/>
    <n v="24"/>
    <n v="48"/>
  </r>
  <r>
    <s v="ORD6780009"/>
    <s v="ITM021"/>
    <n v="2"/>
    <n v="298"/>
    <x v="22"/>
    <x v="1"/>
    <n v="45"/>
    <n v="90"/>
  </r>
  <r>
    <s v="ORD6780009"/>
    <s v="ITM005"/>
    <n v="1"/>
    <n v="99"/>
    <x v="16"/>
    <x v="3"/>
    <n v="30"/>
    <n v="30"/>
  </r>
  <r>
    <s v="ORD6780009"/>
    <s v="ITM028"/>
    <n v="4"/>
    <n v="196"/>
    <x v="13"/>
    <x v="4"/>
    <n v="15"/>
    <n v="60"/>
  </r>
  <r>
    <s v="ORD3435279"/>
    <s v="ITM016"/>
    <n v="1"/>
    <n v="99"/>
    <x v="7"/>
    <x v="1"/>
    <n v="30"/>
    <n v="30"/>
  </r>
  <r>
    <s v="ORD8488510"/>
    <s v="ITM018"/>
    <n v="2"/>
    <n v="318"/>
    <x v="15"/>
    <x v="1"/>
    <n v="48"/>
    <n v="96"/>
  </r>
  <r>
    <s v="ORD8488510"/>
    <s v="ITM023"/>
    <n v="2"/>
    <n v="278"/>
    <x v="18"/>
    <x v="1"/>
    <n v="42"/>
    <n v="84"/>
  </r>
  <r>
    <s v="ORD8488510"/>
    <s v="ITM026"/>
    <n v="2"/>
    <n v="158"/>
    <x v="4"/>
    <x v="4"/>
    <n v="24"/>
    <n v="48"/>
  </r>
  <r>
    <s v="ORD5779148"/>
    <s v="ITM018"/>
    <n v="3"/>
    <n v="477"/>
    <x v="15"/>
    <x v="1"/>
    <n v="48"/>
    <n v="144"/>
  </r>
  <r>
    <s v="ORD5779148"/>
    <s v="ITM005"/>
    <n v="1"/>
    <n v="99"/>
    <x v="16"/>
    <x v="3"/>
    <n v="30"/>
    <n v="30"/>
  </r>
  <r>
    <s v="ORD5779148"/>
    <s v="ITM002"/>
    <n v="1"/>
    <n v="99"/>
    <x v="12"/>
    <x v="5"/>
    <n v="30"/>
    <n v="30"/>
  </r>
  <r>
    <s v="ORD9968045"/>
    <s v="ITM001"/>
    <n v="3"/>
    <n v="237"/>
    <x v="24"/>
    <x v="5"/>
    <n v="24"/>
    <n v="72"/>
  </r>
  <r>
    <s v="ORD9968045"/>
    <s v="ITM024"/>
    <n v="3"/>
    <n v="237"/>
    <x v="17"/>
    <x v="4"/>
    <n v="24"/>
    <n v="72"/>
  </r>
  <r>
    <s v="ORD9968045"/>
    <s v="ITM007"/>
    <n v="3"/>
    <n v="237"/>
    <x v="19"/>
    <x v="2"/>
    <n v="24"/>
    <n v="72"/>
  </r>
  <r>
    <s v="ORD9968045"/>
    <s v="ITM003"/>
    <n v="1"/>
    <n v="119"/>
    <x v="27"/>
    <x v="5"/>
    <n v="36"/>
    <n v="36"/>
  </r>
  <r>
    <s v="ORD7149241"/>
    <s v="ITM006"/>
    <n v="1"/>
    <n v="89"/>
    <x v="3"/>
    <x v="3"/>
    <n v="27"/>
    <n v="27"/>
  </r>
  <r>
    <s v="ORD7149241"/>
    <s v="ITM023"/>
    <n v="1"/>
    <n v="139"/>
    <x v="18"/>
    <x v="1"/>
    <n v="42"/>
    <n v="42"/>
  </r>
  <r>
    <s v="ORD4544340"/>
    <s v="ITM024"/>
    <n v="2"/>
    <n v="158"/>
    <x v="17"/>
    <x v="4"/>
    <n v="24"/>
    <n v="48"/>
  </r>
  <r>
    <s v="ORD4544340"/>
    <s v="ITM018"/>
    <n v="4"/>
    <n v="636"/>
    <x v="15"/>
    <x v="1"/>
    <n v="48"/>
    <n v="192"/>
  </r>
  <r>
    <s v="ORD4544340"/>
    <s v="ITM002"/>
    <n v="2"/>
    <n v="198"/>
    <x v="12"/>
    <x v="5"/>
    <n v="30"/>
    <n v="60"/>
  </r>
  <r>
    <s v="ORD4544340"/>
    <s v="ITM020"/>
    <n v="1"/>
    <n v="159"/>
    <x v="21"/>
    <x v="1"/>
    <n v="48"/>
    <n v="48"/>
  </r>
  <r>
    <s v="ORD3881328"/>
    <s v="ITM022"/>
    <n v="1"/>
    <n v="99"/>
    <x v="23"/>
    <x v="1"/>
    <n v="30"/>
    <n v="30"/>
  </r>
  <r>
    <s v="ORD3881328"/>
    <s v="ITM019"/>
    <n v="1"/>
    <n v="149"/>
    <x v="11"/>
    <x v="1"/>
    <n v="45"/>
    <n v="45"/>
  </r>
  <r>
    <s v="ORD1761836"/>
    <s v="ITM023"/>
    <n v="2"/>
    <n v="278"/>
    <x v="18"/>
    <x v="1"/>
    <n v="42"/>
    <n v="84"/>
  </r>
  <r>
    <s v="ORD1761836"/>
    <s v="ITM019"/>
    <n v="3"/>
    <n v="447"/>
    <x v="11"/>
    <x v="1"/>
    <n v="45"/>
    <n v="135"/>
  </r>
  <r>
    <s v="ORD1761836"/>
    <s v="ITM008"/>
    <n v="1"/>
    <n v="99"/>
    <x v="9"/>
    <x v="2"/>
    <n v="30"/>
    <n v="30"/>
  </r>
  <r>
    <s v="ORD3074710"/>
    <s v="ITM020"/>
    <n v="2"/>
    <n v="318"/>
    <x v="21"/>
    <x v="1"/>
    <n v="48"/>
    <n v="96"/>
  </r>
  <r>
    <s v="ORD3074710"/>
    <s v="ITM009"/>
    <n v="1"/>
    <n v="89"/>
    <x v="2"/>
    <x v="2"/>
    <n v="27"/>
    <n v="27"/>
  </r>
  <r>
    <s v="ORD4091304"/>
    <s v="ITM024"/>
    <n v="4"/>
    <n v="316"/>
    <x v="17"/>
    <x v="4"/>
    <n v="24"/>
    <n v="96"/>
  </r>
  <r>
    <s v="ORD4091304"/>
    <s v="ITM018"/>
    <n v="3"/>
    <n v="477"/>
    <x v="15"/>
    <x v="1"/>
    <n v="48"/>
    <n v="144"/>
  </r>
  <r>
    <s v="ORD4091304"/>
    <s v="ITM023"/>
    <n v="3"/>
    <n v="417"/>
    <x v="18"/>
    <x v="1"/>
    <n v="42"/>
    <n v="126"/>
  </r>
  <r>
    <s v="ORD4151929"/>
    <s v="ITM004"/>
    <n v="1"/>
    <n v="79"/>
    <x v="5"/>
    <x v="3"/>
    <n v="24"/>
    <n v="24"/>
  </r>
  <r>
    <s v="ORD4151929"/>
    <s v="ITM007"/>
    <n v="1"/>
    <n v="79"/>
    <x v="19"/>
    <x v="2"/>
    <n v="24"/>
    <n v="24"/>
  </r>
  <r>
    <s v="ORD4151929"/>
    <s v="ITM017"/>
    <n v="1"/>
    <n v="149"/>
    <x v="6"/>
    <x v="1"/>
    <n v="45"/>
    <n v="45"/>
  </r>
  <r>
    <s v="ORD4151929"/>
    <s v="ITM016"/>
    <n v="3"/>
    <n v="297"/>
    <x v="7"/>
    <x v="1"/>
    <n v="30"/>
    <n v="90"/>
  </r>
  <r>
    <s v="ORD1145575"/>
    <s v="ITM016"/>
    <n v="2"/>
    <n v="198"/>
    <x v="7"/>
    <x v="1"/>
    <n v="30"/>
    <n v="60"/>
  </r>
  <r>
    <s v="ORD1145575"/>
    <s v="ITM021"/>
    <n v="2"/>
    <n v="298"/>
    <x v="22"/>
    <x v="1"/>
    <n v="45"/>
    <n v="90"/>
  </r>
  <r>
    <s v="ORD1145575"/>
    <s v="ITM020"/>
    <n v="1"/>
    <n v="159"/>
    <x v="21"/>
    <x v="1"/>
    <n v="48"/>
    <n v="48"/>
  </r>
  <r>
    <s v="ORD1538723"/>
    <s v="ITM020"/>
    <n v="2"/>
    <n v="318"/>
    <x v="21"/>
    <x v="1"/>
    <n v="48"/>
    <n v="96"/>
  </r>
  <r>
    <s v="ORD1538723"/>
    <s v="ITM018"/>
    <n v="4"/>
    <n v="636"/>
    <x v="15"/>
    <x v="1"/>
    <n v="48"/>
    <n v="192"/>
  </r>
  <r>
    <s v="ORD1538723"/>
    <s v="ITM014"/>
    <n v="1"/>
    <n v="119"/>
    <x v="14"/>
    <x v="1"/>
    <n v="36"/>
    <n v="36"/>
  </r>
  <r>
    <s v="ORD1538723"/>
    <s v="ITM023"/>
    <n v="4"/>
    <n v="556"/>
    <x v="18"/>
    <x v="1"/>
    <n v="42"/>
    <n v="168"/>
  </r>
  <r>
    <s v="ORD8893152"/>
    <s v="ITM014"/>
    <n v="1"/>
    <n v="119"/>
    <x v="14"/>
    <x v="1"/>
    <n v="36"/>
    <n v="36"/>
  </r>
  <r>
    <s v="ORD8893152"/>
    <s v="ITM005"/>
    <n v="1"/>
    <n v="99"/>
    <x v="16"/>
    <x v="3"/>
    <n v="30"/>
    <n v="30"/>
  </r>
  <r>
    <s v="ORD8893152"/>
    <s v="ITM015"/>
    <n v="1"/>
    <n v="149"/>
    <x v="1"/>
    <x v="1"/>
    <n v="45"/>
    <n v="45"/>
  </r>
  <r>
    <s v="ORD5536103"/>
    <s v="ITM016"/>
    <n v="3"/>
    <n v="297"/>
    <x v="7"/>
    <x v="1"/>
    <n v="30"/>
    <n v="90"/>
  </r>
  <r>
    <s v="ORD5536103"/>
    <s v="ITM022"/>
    <n v="1"/>
    <n v="99"/>
    <x v="23"/>
    <x v="1"/>
    <n v="30"/>
    <n v="30"/>
  </r>
  <r>
    <s v="ORD5536103"/>
    <s v="ITM020"/>
    <n v="2"/>
    <n v="318"/>
    <x v="21"/>
    <x v="1"/>
    <n v="48"/>
    <n v="96"/>
  </r>
  <r>
    <s v="ORD2675675"/>
    <s v="ITM021"/>
    <n v="2"/>
    <n v="298"/>
    <x v="22"/>
    <x v="1"/>
    <n v="45"/>
    <n v="90"/>
  </r>
  <r>
    <s v="ORD2675675"/>
    <s v="ITM005"/>
    <n v="3"/>
    <n v="297"/>
    <x v="16"/>
    <x v="3"/>
    <n v="30"/>
    <n v="90"/>
  </r>
  <r>
    <s v="ORD7171594"/>
    <s v="ITM020"/>
    <n v="4"/>
    <n v="636"/>
    <x v="21"/>
    <x v="1"/>
    <n v="48"/>
    <n v="192"/>
  </r>
  <r>
    <s v="ORD7171594"/>
    <s v="ITM013"/>
    <n v="1"/>
    <n v="69"/>
    <x v="0"/>
    <x v="0"/>
    <n v="21"/>
    <n v="21"/>
  </r>
  <r>
    <s v="ORD7171594"/>
    <s v="ITM009"/>
    <n v="3"/>
    <n v="267"/>
    <x v="2"/>
    <x v="2"/>
    <n v="27"/>
    <n v="81"/>
  </r>
  <r>
    <s v="ORD5781626"/>
    <s v="ITM011"/>
    <n v="2"/>
    <n v="158"/>
    <x v="26"/>
    <x v="0"/>
    <n v="24"/>
    <n v="48"/>
  </r>
  <r>
    <s v="ORD5781626"/>
    <s v="ITM018"/>
    <n v="1"/>
    <n v="159"/>
    <x v="15"/>
    <x v="1"/>
    <n v="48"/>
    <n v="48"/>
  </r>
  <r>
    <s v="ORD2565963"/>
    <s v="ITM025"/>
    <n v="1"/>
    <n v="79"/>
    <x v="25"/>
    <x v="4"/>
    <n v="24"/>
    <n v="24"/>
  </r>
  <r>
    <s v="ORD7431224"/>
    <s v="ITM006"/>
    <n v="1"/>
    <n v="89"/>
    <x v="3"/>
    <x v="3"/>
    <n v="27"/>
    <n v="27"/>
  </r>
  <r>
    <s v="ORD7431224"/>
    <s v="ITM017"/>
    <n v="4"/>
    <n v="596"/>
    <x v="6"/>
    <x v="1"/>
    <n v="45"/>
    <n v="180"/>
  </r>
  <r>
    <s v="ORD7431224"/>
    <s v="ITM028"/>
    <n v="1"/>
    <n v="49"/>
    <x v="13"/>
    <x v="4"/>
    <n v="15"/>
    <n v="15"/>
  </r>
  <r>
    <s v="ORD3816575"/>
    <s v="ITM007"/>
    <n v="2"/>
    <n v="158"/>
    <x v="19"/>
    <x v="2"/>
    <n v="24"/>
    <n v="48"/>
  </r>
  <r>
    <s v="ORD3816575"/>
    <s v="ITM012"/>
    <n v="1"/>
    <n v="89"/>
    <x v="8"/>
    <x v="0"/>
    <n v="27"/>
    <n v="27"/>
  </r>
  <r>
    <s v="ORD4867069"/>
    <s v="ITM023"/>
    <n v="1"/>
    <n v="139"/>
    <x v="18"/>
    <x v="1"/>
    <n v="42"/>
    <n v="42"/>
  </r>
  <r>
    <s v="ORD4867069"/>
    <s v="ITM019"/>
    <n v="1"/>
    <n v="149"/>
    <x v="11"/>
    <x v="1"/>
    <n v="45"/>
    <n v="45"/>
  </r>
  <r>
    <s v="ORD9680402"/>
    <s v="ITM027"/>
    <n v="1"/>
    <n v="79"/>
    <x v="10"/>
    <x v="4"/>
    <n v="24"/>
    <n v="24"/>
  </r>
  <r>
    <s v="ORD9680402"/>
    <s v="ITM014"/>
    <n v="4"/>
    <n v="476"/>
    <x v="14"/>
    <x v="1"/>
    <n v="36"/>
    <n v="144"/>
  </r>
  <r>
    <s v="ORD9680402"/>
    <s v="ITM008"/>
    <n v="2"/>
    <n v="198"/>
    <x v="9"/>
    <x v="2"/>
    <n v="30"/>
    <n v="60"/>
  </r>
  <r>
    <s v="ORD5831336"/>
    <s v="ITM006"/>
    <n v="4"/>
    <n v="356"/>
    <x v="3"/>
    <x v="3"/>
    <n v="27"/>
    <n v="108"/>
  </r>
  <r>
    <s v="ORD5831336"/>
    <s v="ITM020"/>
    <n v="4"/>
    <n v="636"/>
    <x v="21"/>
    <x v="1"/>
    <n v="48"/>
    <n v="192"/>
  </r>
  <r>
    <s v="ORD6828339"/>
    <s v="ITM022"/>
    <n v="5"/>
    <n v="495"/>
    <x v="23"/>
    <x v="1"/>
    <n v="30"/>
    <n v="150"/>
  </r>
  <r>
    <s v="ORD6828339"/>
    <s v="ITM023"/>
    <n v="2"/>
    <n v="278"/>
    <x v="18"/>
    <x v="1"/>
    <n v="42"/>
    <n v="84"/>
  </r>
  <r>
    <s v="ORD6828339"/>
    <s v="ITM018"/>
    <n v="3"/>
    <n v="477"/>
    <x v="15"/>
    <x v="1"/>
    <n v="48"/>
    <n v="144"/>
  </r>
  <r>
    <s v="ORD6828339"/>
    <s v="ITM026"/>
    <n v="4"/>
    <n v="316"/>
    <x v="4"/>
    <x v="4"/>
    <n v="24"/>
    <n v="96"/>
  </r>
  <r>
    <s v="ORD8079136"/>
    <s v="ITM004"/>
    <n v="3"/>
    <n v="237"/>
    <x v="5"/>
    <x v="3"/>
    <n v="24"/>
    <n v="72"/>
  </r>
  <r>
    <s v="ORD8079136"/>
    <s v="ITM010"/>
    <n v="1"/>
    <n v="59"/>
    <x v="20"/>
    <x v="0"/>
    <n v="18"/>
    <n v="18"/>
  </r>
  <r>
    <s v="ORD6707994"/>
    <s v="ITM014"/>
    <n v="4"/>
    <n v="476"/>
    <x v="14"/>
    <x v="1"/>
    <n v="36"/>
    <n v="144"/>
  </r>
  <r>
    <s v="ORD6707994"/>
    <s v="ITM015"/>
    <n v="5"/>
    <n v="745"/>
    <x v="1"/>
    <x v="1"/>
    <n v="45"/>
    <n v="225"/>
  </r>
  <r>
    <s v="ORD5332113"/>
    <s v="ITM020"/>
    <n v="2"/>
    <n v="318"/>
    <x v="21"/>
    <x v="1"/>
    <n v="48"/>
    <n v="96"/>
  </r>
  <r>
    <s v="ORD5376542"/>
    <s v="ITM001"/>
    <n v="3"/>
    <n v="237"/>
    <x v="24"/>
    <x v="5"/>
    <n v="24"/>
    <n v="72"/>
  </r>
  <r>
    <s v="ORD5376542"/>
    <s v="ITM003"/>
    <n v="3"/>
    <n v="357"/>
    <x v="27"/>
    <x v="5"/>
    <n v="36"/>
    <n v="108"/>
  </r>
  <r>
    <s v="ORD7014574"/>
    <s v="ITM018"/>
    <n v="1"/>
    <n v="159"/>
    <x v="15"/>
    <x v="1"/>
    <n v="48"/>
    <n v="48"/>
  </r>
  <r>
    <s v="ORD7014574"/>
    <s v="ITM010"/>
    <n v="2"/>
    <n v="118"/>
    <x v="20"/>
    <x v="0"/>
    <n v="18"/>
    <n v="36"/>
  </r>
  <r>
    <s v="ORD4031676"/>
    <s v="ITM006"/>
    <n v="2"/>
    <n v="178"/>
    <x v="3"/>
    <x v="3"/>
    <n v="27"/>
    <n v="54"/>
  </r>
  <r>
    <s v="ORD4031676"/>
    <s v="ITM027"/>
    <n v="2"/>
    <n v="158"/>
    <x v="10"/>
    <x v="4"/>
    <n v="24"/>
    <n v="48"/>
  </r>
  <r>
    <s v="ORD6622443"/>
    <s v="ITM022"/>
    <n v="1"/>
    <n v="99"/>
    <x v="23"/>
    <x v="1"/>
    <n v="30"/>
    <n v="30"/>
  </r>
  <r>
    <s v="ORD6622443"/>
    <s v="ITM020"/>
    <n v="1"/>
    <n v="159"/>
    <x v="21"/>
    <x v="1"/>
    <n v="48"/>
    <n v="48"/>
  </r>
  <r>
    <s v="ORD8912619"/>
    <s v="ITM004"/>
    <n v="4"/>
    <n v="316"/>
    <x v="5"/>
    <x v="3"/>
    <n v="24"/>
    <n v="96"/>
  </r>
  <r>
    <s v="ORD8912619"/>
    <s v="ITM024"/>
    <n v="3"/>
    <n v="237"/>
    <x v="17"/>
    <x v="4"/>
    <n v="24"/>
    <n v="72"/>
  </r>
  <r>
    <s v="ORD8912619"/>
    <s v="ITM022"/>
    <n v="1"/>
    <n v="99"/>
    <x v="23"/>
    <x v="1"/>
    <n v="30"/>
    <n v="30"/>
  </r>
  <r>
    <s v="ORD8177839"/>
    <s v="ITM023"/>
    <n v="1"/>
    <n v="139"/>
    <x v="18"/>
    <x v="1"/>
    <n v="42"/>
    <n v="42"/>
  </r>
  <r>
    <s v="ORD8177839"/>
    <s v="ITM028"/>
    <n v="1"/>
    <n v="49"/>
    <x v="13"/>
    <x v="4"/>
    <n v="15"/>
    <n v="15"/>
  </r>
  <r>
    <s v="ORD8177839"/>
    <s v="ITM009"/>
    <n v="3"/>
    <n v="267"/>
    <x v="2"/>
    <x v="2"/>
    <n v="27"/>
    <n v="81"/>
  </r>
  <r>
    <s v="ORD7465311"/>
    <s v="ITM011"/>
    <n v="3"/>
    <n v="237"/>
    <x v="26"/>
    <x v="0"/>
    <n v="24"/>
    <n v="72"/>
  </r>
  <r>
    <s v="ORD7465311"/>
    <s v="ITM001"/>
    <n v="1"/>
    <n v="79"/>
    <x v="24"/>
    <x v="5"/>
    <n v="24"/>
    <n v="24"/>
  </r>
  <r>
    <s v="ORD4496308"/>
    <s v="ITM011"/>
    <n v="4"/>
    <n v="316"/>
    <x v="26"/>
    <x v="0"/>
    <n v="24"/>
    <n v="96"/>
  </r>
  <r>
    <s v="ORD4496308"/>
    <s v="ITM018"/>
    <n v="4"/>
    <n v="636"/>
    <x v="15"/>
    <x v="1"/>
    <n v="48"/>
    <n v="192"/>
  </r>
  <r>
    <s v="ORD4496308"/>
    <s v="ITM015"/>
    <n v="2"/>
    <n v="298"/>
    <x v="1"/>
    <x v="1"/>
    <n v="45"/>
    <n v="90"/>
  </r>
  <r>
    <s v="ORD1865796"/>
    <s v="ITM007"/>
    <n v="2"/>
    <n v="158"/>
    <x v="19"/>
    <x v="2"/>
    <n v="24"/>
    <n v="48"/>
  </r>
  <r>
    <s v="ORD1865796"/>
    <s v="ITM009"/>
    <n v="1"/>
    <n v="89"/>
    <x v="2"/>
    <x v="2"/>
    <n v="27"/>
    <n v="27"/>
  </r>
  <r>
    <s v="ORD3525628"/>
    <s v="ITM014"/>
    <n v="2"/>
    <n v="238"/>
    <x v="14"/>
    <x v="1"/>
    <n v="36"/>
    <n v="72"/>
  </r>
  <r>
    <s v="ORD3525628"/>
    <s v="ITM013"/>
    <n v="3"/>
    <n v="207"/>
    <x v="0"/>
    <x v="0"/>
    <n v="21"/>
    <n v="63"/>
  </r>
  <r>
    <s v="ORD6994969"/>
    <s v="ITM019"/>
    <n v="4"/>
    <n v="596"/>
    <x v="11"/>
    <x v="1"/>
    <n v="45"/>
    <n v="180"/>
  </r>
  <r>
    <s v="ORD6994969"/>
    <s v="ITM013"/>
    <n v="1"/>
    <n v="69"/>
    <x v="0"/>
    <x v="0"/>
    <n v="21"/>
    <n v="21"/>
  </r>
  <r>
    <s v="ORD9193739"/>
    <s v="ITM021"/>
    <n v="1"/>
    <n v="149"/>
    <x v="22"/>
    <x v="1"/>
    <n v="45"/>
    <n v="45"/>
  </r>
  <r>
    <s v="ORD9193739"/>
    <s v="ITM015"/>
    <n v="1"/>
    <n v="149"/>
    <x v="1"/>
    <x v="1"/>
    <n v="45"/>
    <n v="45"/>
  </r>
  <r>
    <s v="ORD6941510"/>
    <s v="ITM014"/>
    <n v="3"/>
    <n v="357"/>
    <x v="14"/>
    <x v="1"/>
    <n v="36"/>
    <n v="108"/>
  </r>
  <r>
    <s v="ORD6941510"/>
    <s v="ITM008"/>
    <n v="1"/>
    <n v="99"/>
    <x v="9"/>
    <x v="2"/>
    <n v="30"/>
    <n v="30"/>
  </r>
  <r>
    <s v="ORD5448284"/>
    <s v="ITM023"/>
    <n v="1"/>
    <n v="139"/>
    <x v="18"/>
    <x v="1"/>
    <n v="42"/>
    <n v="42"/>
  </r>
  <r>
    <s v="ORD8905164"/>
    <s v="ITM007"/>
    <n v="1"/>
    <n v="79"/>
    <x v="19"/>
    <x v="2"/>
    <n v="24"/>
    <n v="24"/>
  </r>
  <r>
    <s v="ORD8905164"/>
    <s v="ITM018"/>
    <n v="2"/>
    <n v="318"/>
    <x v="15"/>
    <x v="1"/>
    <n v="48"/>
    <n v="96"/>
  </r>
  <r>
    <s v="ORD8905164"/>
    <s v="ITM002"/>
    <n v="2"/>
    <n v="198"/>
    <x v="12"/>
    <x v="5"/>
    <n v="30"/>
    <n v="60"/>
  </r>
  <r>
    <s v="ORD5062907"/>
    <s v="ITM011"/>
    <n v="1"/>
    <n v="79"/>
    <x v="26"/>
    <x v="0"/>
    <n v="24"/>
    <n v="24"/>
  </r>
  <r>
    <s v="ORD5062907"/>
    <s v="ITM027"/>
    <n v="2"/>
    <n v="158"/>
    <x v="10"/>
    <x v="4"/>
    <n v="24"/>
    <n v="48"/>
  </r>
  <r>
    <s v="ORD5062907"/>
    <s v="ITM016"/>
    <n v="1"/>
    <n v="99"/>
    <x v="7"/>
    <x v="1"/>
    <n v="30"/>
    <n v="30"/>
  </r>
  <r>
    <s v="ORD1535053"/>
    <s v="ITM014"/>
    <n v="1"/>
    <n v="119"/>
    <x v="14"/>
    <x v="1"/>
    <n v="36"/>
    <n v="36"/>
  </r>
  <r>
    <s v="ORD1535053"/>
    <s v="ITM017"/>
    <n v="1"/>
    <n v="149"/>
    <x v="6"/>
    <x v="1"/>
    <n v="45"/>
    <n v="45"/>
  </r>
  <r>
    <s v="ORD1535053"/>
    <s v="ITM002"/>
    <n v="1"/>
    <n v="99"/>
    <x v="12"/>
    <x v="5"/>
    <n v="30"/>
    <n v="30"/>
  </r>
  <r>
    <s v="ORD1535053"/>
    <s v="ITM023"/>
    <n v="1"/>
    <n v="139"/>
    <x v="18"/>
    <x v="1"/>
    <n v="42"/>
    <n v="42"/>
  </r>
  <r>
    <s v="ORD9419884"/>
    <s v="ITM010"/>
    <n v="2"/>
    <n v="118"/>
    <x v="20"/>
    <x v="0"/>
    <n v="18"/>
    <n v="36"/>
  </r>
  <r>
    <s v="ORD9419884"/>
    <s v="ITM003"/>
    <n v="2"/>
    <n v="238"/>
    <x v="27"/>
    <x v="5"/>
    <n v="36"/>
    <n v="72"/>
  </r>
  <r>
    <s v="ORD9419884"/>
    <s v="ITM012"/>
    <n v="1"/>
    <n v="89"/>
    <x v="8"/>
    <x v="0"/>
    <n v="27"/>
    <n v="27"/>
  </r>
  <r>
    <s v="ORD6140751"/>
    <s v="ITM025"/>
    <n v="3"/>
    <n v="237"/>
    <x v="25"/>
    <x v="4"/>
    <n v="24"/>
    <n v="72"/>
  </r>
  <r>
    <s v="ORD6140751"/>
    <s v="ITM015"/>
    <n v="1"/>
    <n v="149"/>
    <x v="1"/>
    <x v="1"/>
    <n v="45"/>
    <n v="45"/>
  </r>
  <r>
    <s v="ORD7432383"/>
    <s v="ITM001"/>
    <n v="1"/>
    <n v="79"/>
    <x v="24"/>
    <x v="5"/>
    <n v="24"/>
    <n v="24"/>
  </r>
  <r>
    <s v="ORD7432383"/>
    <s v="ITM005"/>
    <n v="5"/>
    <n v="495"/>
    <x v="16"/>
    <x v="3"/>
    <n v="30"/>
    <n v="150"/>
  </r>
  <r>
    <s v="ORD7432383"/>
    <s v="ITM012"/>
    <n v="2"/>
    <n v="178"/>
    <x v="8"/>
    <x v="0"/>
    <n v="27"/>
    <n v="54"/>
  </r>
  <r>
    <s v="ORD7432383"/>
    <s v="ITM020"/>
    <n v="1"/>
    <n v="159"/>
    <x v="21"/>
    <x v="1"/>
    <n v="48"/>
    <n v="48"/>
  </r>
  <r>
    <s v="ORD4027962"/>
    <s v="ITM023"/>
    <n v="1"/>
    <n v="139"/>
    <x v="18"/>
    <x v="1"/>
    <n v="42"/>
    <n v="42"/>
  </r>
  <r>
    <s v="ORD4027962"/>
    <s v="ITM025"/>
    <n v="3"/>
    <n v="237"/>
    <x v="25"/>
    <x v="4"/>
    <n v="24"/>
    <n v="72"/>
  </r>
  <r>
    <s v="ORD4027962"/>
    <s v="ITM015"/>
    <n v="2"/>
    <n v="298"/>
    <x v="1"/>
    <x v="1"/>
    <n v="45"/>
    <n v="90"/>
  </r>
  <r>
    <s v="ORD4628600"/>
    <s v="ITM012"/>
    <n v="3"/>
    <n v="267"/>
    <x v="8"/>
    <x v="0"/>
    <n v="27"/>
    <n v="81"/>
  </r>
  <r>
    <s v="ORD4628600"/>
    <s v="ITM009"/>
    <n v="1"/>
    <n v="89"/>
    <x v="2"/>
    <x v="2"/>
    <n v="27"/>
    <n v="27"/>
  </r>
  <r>
    <s v="ORD6020284"/>
    <s v="ITM001"/>
    <n v="4"/>
    <n v="316"/>
    <x v="24"/>
    <x v="5"/>
    <n v="24"/>
    <n v="96"/>
  </r>
  <r>
    <s v="ORD6020284"/>
    <s v="ITM008"/>
    <n v="3"/>
    <n v="297"/>
    <x v="9"/>
    <x v="2"/>
    <n v="30"/>
    <n v="90"/>
  </r>
  <r>
    <s v="ORD6020284"/>
    <s v="ITM010"/>
    <n v="2"/>
    <n v="118"/>
    <x v="20"/>
    <x v="0"/>
    <n v="18"/>
    <n v="36"/>
  </r>
  <r>
    <s v="ORD6020284"/>
    <s v="ITM004"/>
    <n v="4"/>
    <n v="316"/>
    <x v="5"/>
    <x v="3"/>
    <n v="24"/>
    <n v="96"/>
  </r>
  <r>
    <s v="ORD7816369"/>
    <s v="ITM023"/>
    <n v="1"/>
    <n v="139"/>
    <x v="18"/>
    <x v="1"/>
    <n v="42"/>
    <n v="42"/>
  </r>
  <r>
    <s v="ORD7816369"/>
    <s v="ITM015"/>
    <n v="1"/>
    <n v="149"/>
    <x v="1"/>
    <x v="1"/>
    <n v="45"/>
    <n v="45"/>
  </r>
  <r>
    <s v="ORD9625447"/>
    <s v="ITM024"/>
    <n v="3"/>
    <n v="237"/>
    <x v="17"/>
    <x v="4"/>
    <n v="24"/>
    <n v="72"/>
  </r>
  <r>
    <s v="ORD9625447"/>
    <s v="ITM027"/>
    <n v="2"/>
    <n v="158"/>
    <x v="10"/>
    <x v="4"/>
    <n v="24"/>
    <n v="48"/>
  </r>
  <r>
    <s v="ORD2995270"/>
    <s v="ITM024"/>
    <n v="1"/>
    <n v="79"/>
    <x v="17"/>
    <x v="4"/>
    <n v="24"/>
    <n v="24"/>
  </r>
  <r>
    <s v="ORD2995270"/>
    <s v="ITM022"/>
    <n v="2"/>
    <n v="198"/>
    <x v="23"/>
    <x v="1"/>
    <n v="30"/>
    <n v="60"/>
  </r>
  <r>
    <s v="ORD2995270"/>
    <s v="ITM010"/>
    <n v="1"/>
    <n v="59"/>
    <x v="20"/>
    <x v="0"/>
    <n v="18"/>
    <n v="18"/>
  </r>
  <r>
    <s v="ORD9704510"/>
    <s v="ITM011"/>
    <n v="1"/>
    <n v="79"/>
    <x v="26"/>
    <x v="0"/>
    <n v="24"/>
    <n v="24"/>
  </r>
  <r>
    <s v="ORD9704510"/>
    <s v="ITM018"/>
    <n v="1"/>
    <n v="159"/>
    <x v="15"/>
    <x v="1"/>
    <n v="48"/>
    <n v="48"/>
  </r>
  <r>
    <s v="ORD1688743"/>
    <s v="ITM027"/>
    <n v="1"/>
    <n v="79"/>
    <x v="10"/>
    <x v="4"/>
    <n v="24"/>
    <n v="24"/>
  </r>
  <r>
    <s v="ORD1688743"/>
    <s v="ITM003"/>
    <n v="2"/>
    <n v="238"/>
    <x v="27"/>
    <x v="5"/>
    <n v="36"/>
    <n v="72"/>
  </r>
  <r>
    <s v="ORD1688743"/>
    <s v="ITM008"/>
    <n v="5"/>
    <n v="495"/>
    <x v="9"/>
    <x v="2"/>
    <n v="30"/>
    <n v="150"/>
  </r>
  <r>
    <s v="ORD1688743"/>
    <s v="ITM012"/>
    <n v="1"/>
    <n v="89"/>
    <x v="8"/>
    <x v="0"/>
    <n v="27"/>
    <n v="27"/>
  </r>
  <r>
    <s v="ORD5062815"/>
    <s v="ITM004"/>
    <n v="2"/>
    <n v="158"/>
    <x v="5"/>
    <x v="3"/>
    <n v="24"/>
    <n v="48"/>
  </r>
  <r>
    <s v="ORD5062815"/>
    <s v="ITM003"/>
    <n v="1"/>
    <n v="119"/>
    <x v="27"/>
    <x v="5"/>
    <n v="36"/>
    <n v="36"/>
  </r>
  <r>
    <s v="ORD5062815"/>
    <s v="ITM010"/>
    <n v="1"/>
    <n v="59"/>
    <x v="20"/>
    <x v="0"/>
    <n v="18"/>
    <n v="18"/>
  </r>
  <r>
    <s v="ORD5062815"/>
    <s v="ITM020"/>
    <n v="1"/>
    <n v="159"/>
    <x v="21"/>
    <x v="1"/>
    <n v="48"/>
    <n v="48"/>
  </r>
  <r>
    <s v="ORD4284596"/>
    <s v="ITM002"/>
    <n v="1"/>
    <n v="99"/>
    <x v="12"/>
    <x v="5"/>
    <n v="30"/>
    <n v="30"/>
  </r>
  <r>
    <s v="ORD4284596"/>
    <s v="ITM010"/>
    <n v="1"/>
    <n v="59"/>
    <x v="20"/>
    <x v="0"/>
    <n v="18"/>
    <n v="18"/>
  </r>
  <r>
    <s v="ORD4284596"/>
    <s v="ITM009"/>
    <n v="1"/>
    <n v="89"/>
    <x v="2"/>
    <x v="2"/>
    <n v="27"/>
    <n v="27"/>
  </r>
  <r>
    <s v="ORD6084824"/>
    <s v="ITM023"/>
    <n v="1"/>
    <n v="139"/>
    <x v="18"/>
    <x v="1"/>
    <n v="42"/>
    <n v="42"/>
  </r>
  <r>
    <s v="ORD6084824"/>
    <s v="ITM013"/>
    <n v="3"/>
    <n v="207"/>
    <x v="0"/>
    <x v="0"/>
    <n v="21"/>
    <n v="63"/>
  </r>
  <r>
    <s v="ORD2648873"/>
    <s v="ITM018"/>
    <n v="1"/>
    <n v="159"/>
    <x v="15"/>
    <x v="1"/>
    <n v="48"/>
    <n v="48"/>
  </r>
  <r>
    <s v="ORD2648873"/>
    <s v="ITM025"/>
    <n v="1"/>
    <n v="79"/>
    <x v="25"/>
    <x v="4"/>
    <n v="24"/>
    <n v="24"/>
  </r>
  <r>
    <s v="ORD7416366"/>
    <s v="ITM004"/>
    <n v="3"/>
    <n v="237"/>
    <x v="5"/>
    <x v="3"/>
    <n v="24"/>
    <n v="72"/>
  </r>
  <r>
    <s v="ORD7416366"/>
    <s v="ITM021"/>
    <n v="2"/>
    <n v="298"/>
    <x v="22"/>
    <x v="1"/>
    <n v="45"/>
    <n v="90"/>
  </r>
  <r>
    <s v="ORD7416366"/>
    <s v="ITM002"/>
    <n v="2"/>
    <n v="198"/>
    <x v="12"/>
    <x v="5"/>
    <n v="30"/>
    <n v="60"/>
  </r>
  <r>
    <s v="ORD9446620"/>
    <s v="ITM003"/>
    <n v="1"/>
    <n v="119"/>
    <x v="27"/>
    <x v="5"/>
    <n v="36"/>
    <n v="36"/>
  </r>
  <r>
    <s v="ORD9446620"/>
    <s v="ITM022"/>
    <n v="2"/>
    <n v="198"/>
    <x v="23"/>
    <x v="1"/>
    <n v="30"/>
    <n v="60"/>
  </r>
  <r>
    <s v="ORD1511319"/>
    <s v="ITM017"/>
    <n v="4"/>
    <n v="596"/>
    <x v="6"/>
    <x v="1"/>
    <n v="45"/>
    <n v="180"/>
  </r>
  <r>
    <s v="ORD1511319"/>
    <s v="ITM008"/>
    <n v="1"/>
    <n v="99"/>
    <x v="9"/>
    <x v="2"/>
    <n v="30"/>
    <n v="30"/>
  </r>
  <r>
    <s v="ORD6900463"/>
    <s v="ITM018"/>
    <n v="1"/>
    <n v="159"/>
    <x v="15"/>
    <x v="1"/>
    <n v="48"/>
    <n v="48"/>
  </r>
  <r>
    <s v="ORD6900463"/>
    <s v="ITM005"/>
    <n v="1"/>
    <n v="99"/>
    <x v="16"/>
    <x v="3"/>
    <n v="30"/>
    <n v="30"/>
  </r>
  <r>
    <s v="ORD3161205"/>
    <s v="ITM016"/>
    <n v="1"/>
    <n v="99"/>
    <x v="7"/>
    <x v="1"/>
    <n v="30"/>
    <n v="30"/>
  </r>
  <r>
    <s v="ORD3161205"/>
    <s v="ITM005"/>
    <n v="1"/>
    <n v="99"/>
    <x v="16"/>
    <x v="3"/>
    <n v="30"/>
    <n v="30"/>
  </r>
  <r>
    <s v="ORD3161205"/>
    <s v="ITM011"/>
    <n v="2"/>
    <n v="158"/>
    <x v="26"/>
    <x v="0"/>
    <n v="24"/>
    <n v="48"/>
  </r>
  <r>
    <s v="ORD3161205"/>
    <s v="ITM026"/>
    <n v="1"/>
    <n v="79"/>
    <x v="4"/>
    <x v="4"/>
    <n v="24"/>
    <n v="24"/>
  </r>
  <r>
    <s v="ORD9657185"/>
    <s v="ITM012"/>
    <n v="1"/>
    <n v="89"/>
    <x v="8"/>
    <x v="0"/>
    <n v="27"/>
    <n v="27"/>
  </r>
  <r>
    <s v="ORD7016513"/>
    <s v="ITM027"/>
    <n v="5"/>
    <n v="395"/>
    <x v="10"/>
    <x v="4"/>
    <n v="24"/>
    <n v="120"/>
  </r>
  <r>
    <s v="ORD7016513"/>
    <s v="ITM028"/>
    <n v="1"/>
    <n v="49"/>
    <x v="13"/>
    <x v="4"/>
    <n v="15"/>
    <n v="15"/>
  </r>
  <r>
    <s v="ORD7016513"/>
    <s v="ITM008"/>
    <n v="2"/>
    <n v="198"/>
    <x v="9"/>
    <x v="2"/>
    <n v="30"/>
    <n v="60"/>
  </r>
  <r>
    <s v="ORD7016513"/>
    <s v="ITM012"/>
    <n v="1"/>
    <n v="89"/>
    <x v="8"/>
    <x v="0"/>
    <n v="27"/>
    <n v="27"/>
  </r>
  <r>
    <s v="ORD5355118"/>
    <s v="ITM024"/>
    <n v="1"/>
    <n v="79"/>
    <x v="17"/>
    <x v="4"/>
    <n v="24"/>
    <n v="24"/>
  </r>
  <r>
    <s v="ORD9563936"/>
    <s v="ITM028"/>
    <n v="5"/>
    <n v="245"/>
    <x v="13"/>
    <x v="4"/>
    <n v="15"/>
    <n v="75"/>
  </r>
  <r>
    <s v="ORD9563936"/>
    <s v="ITM013"/>
    <n v="2"/>
    <n v="138"/>
    <x v="0"/>
    <x v="0"/>
    <n v="21"/>
    <n v="42"/>
  </r>
  <r>
    <s v="ORD9563936"/>
    <s v="ITM012"/>
    <n v="1"/>
    <n v="89"/>
    <x v="8"/>
    <x v="0"/>
    <n v="27"/>
    <n v="27"/>
  </r>
  <r>
    <s v="ORD1386380"/>
    <s v="ITM016"/>
    <n v="1"/>
    <n v="99"/>
    <x v="7"/>
    <x v="1"/>
    <n v="30"/>
    <n v="30"/>
  </r>
  <r>
    <s v="ORD1386380"/>
    <s v="ITM022"/>
    <n v="3"/>
    <n v="297"/>
    <x v="23"/>
    <x v="1"/>
    <n v="30"/>
    <n v="90"/>
  </r>
  <r>
    <s v="ORD1386380"/>
    <s v="ITM023"/>
    <n v="1"/>
    <n v="139"/>
    <x v="18"/>
    <x v="1"/>
    <n v="42"/>
    <n v="42"/>
  </r>
  <r>
    <s v="ORD1386380"/>
    <s v="ITM001"/>
    <n v="3"/>
    <n v="237"/>
    <x v="24"/>
    <x v="5"/>
    <n v="24"/>
    <n v="72"/>
  </r>
  <r>
    <s v="ORD6524250"/>
    <s v="ITM016"/>
    <n v="3"/>
    <n v="297"/>
    <x v="7"/>
    <x v="1"/>
    <n v="30"/>
    <n v="90"/>
  </r>
  <r>
    <s v="ORD6524250"/>
    <s v="ITM023"/>
    <n v="3"/>
    <n v="417"/>
    <x v="18"/>
    <x v="1"/>
    <n v="42"/>
    <n v="126"/>
  </r>
  <r>
    <s v="ORD6524250"/>
    <s v="ITM020"/>
    <n v="2"/>
    <n v="318"/>
    <x v="21"/>
    <x v="1"/>
    <n v="48"/>
    <n v="96"/>
  </r>
  <r>
    <s v="ORD3047411"/>
    <s v="ITM016"/>
    <n v="1"/>
    <n v="99"/>
    <x v="7"/>
    <x v="1"/>
    <n v="30"/>
    <n v="30"/>
  </r>
  <r>
    <s v="ORD3047411"/>
    <s v="ITM002"/>
    <n v="1"/>
    <n v="99"/>
    <x v="12"/>
    <x v="5"/>
    <n v="30"/>
    <n v="30"/>
  </r>
  <r>
    <s v="ORD6559653"/>
    <s v="ITM015"/>
    <n v="3"/>
    <n v="447"/>
    <x v="1"/>
    <x v="1"/>
    <n v="45"/>
    <n v="135"/>
  </r>
  <r>
    <s v="ORD6559653"/>
    <s v="ITM020"/>
    <n v="1"/>
    <n v="159"/>
    <x v="21"/>
    <x v="1"/>
    <n v="48"/>
    <n v="48"/>
  </r>
  <r>
    <s v="ORD6565483"/>
    <s v="ITM011"/>
    <n v="2"/>
    <n v="158"/>
    <x v="26"/>
    <x v="0"/>
    <n v="24"/>
    <n v="48"/>
  </r>
  <r>
    <s v="ORD6565483"/>
    <s v="ITM024"/>
    <n v="2"/>
    <n v="158"/>
    <x v="17"/>
    <x v="4"/>
    <n v="24"/>
    <n v="48"/>
  </r>
  <r>
    <s v="ORD6565483"/>
    <s v="ITM005"/>
    <n v="2"/>
    <n v="198"/>
    <x v="16"/>
    <x v="3"/>
    <n v="30"/>
    <n v="60"/>
  </r>
  <r>
    <s v="ORD2858631"/>
    <s v="ITM007"/>
    <n v="1"/>
    <n v="79"/>
    <x v="19"/>
    <x v="2"/>
    <n v="24"/>
    <n v="24"/>
  </r>
  <r>
    <s v="ORD2858631"/>
    <s v="ITM008"/>
    <n v="2"/>
    <n v="198"/>
    <x v="9"/>
    <x v="2"/>
    <n v="30"/>
    <n v="60"/>
  </r>
  <r>
    <s v="ORD9308229"/>
    <s v="ITM026"/>
    <n v="1"/>
    <n v="79"/>
    <x v="4"/>
    <x v="4"/>
    <n v="24"/>
    <n v="24"/>
  </r>
  <r>
    <s v="ORD8968236"/>
    <s v="ITM007"/>
    <n v="1"/>
    <n v="79"/>
    <x v="19"/>
    <x v="2"/>
    <n v="24"/>
    <n v="24"/>
  </r>
  <r>
    <s v="ORD8968236"/>
    <s v="ITM018"/>
    <n v="2"/>
    <n v="318"/>
    <x v="15"/>
    <x v="1"/>
    <n v="48"/>
    <n v="96"/>
  </r>
  <r>
    <s v="ORD9196420"/>
    <s v="ITM027"/>
    <n v="1"/>
    <n v="79"/>
    <x v="10"/>
    <x v="4"/>
    <n v="24"/>
    <n v="24"/>
  </r>
  <r>
    <s v="ORD9196420"/>
    <s v="ITM014"/>
    <n v="2"/>
    <n v="238"/>
    <x v="14"/>
    <x v="1"/>
    <n v="36"/>
    <n v="72"/>
  </r>
  <r>
    <s v="ORD9196420"/>
    <s v="ITM008"/>
    <n v="5"/>
    <n v="495"/>
    <x v="9"/>
    <x v="2"/>
    <n v="30"/>
    <n v="150"/>
  </r>
  <r>
    <s v="ORD2976629"/>
    <s v="ITM008"/>
    <n v="1"/>
    <n v="99"/>
    <x v="9"/>
    <x v="2"/>
    <n v="30"/>
    <n v="30"/>
  </r>
  <r>
    <s v="ORD2976629"/>
    <s v="ITM013"/>
    <n v="3"/>
    <n v="207"/>
    <x v="0"/>
    <x v="0"/>
    <n v="21"/>
    <n v="63"/>
  </r>
  <r>
    <s v="ORD2976629"/>
    <s v="ITM010"/>
    <n v="1"/>
    <n v="59"/>
    <x v="20"/>
    <x v="0"/>
    <n v="18"/>
    <n v="18"/>
  </r>
  <r>
    <s v="ORD8159977"/>
    <s v="ITM001"/>
    <n v="3"/>
    <n v="237"/>
    <x v="24"/>
    <x v="5"/>
    <n v="24"/>
    <n v="72"/>
  </r>
  <r>
    <s v="ORD8159977"/>
    <s v="ITM022"/>
    <n v="3"/>
    <n v="297"/>
    <x v="23"/>
    <x v="1"/>
    <n v="30"/>
    <n v="90"/>
  </r>
  <r>
    <s v="ORD8159977"/>
    <s v="ITM017"/>
    <n v="1"/>
    <n v="149"/>
    <x v="6"/>
    <x v="1"/>
    <n v="45"/>
    <n v="45"/>
  </r>
  <r>
    <s v="ORD8159977"/>
    <s v="ITM006"/>
    <n v="1"/>
    <n v="89"/>
    <x v="3"/>
    <x v="3"/>
    <n v="27"/>
    <n v="27"/>
  </r>
  <r>
    <s v="ORD3604390"/>
    <s v="ITM016"/>
    <n v="1"/>
    <n v="99"/>
    <x v="7"/>
    <x v="1"/>
    <n v="30"/>
    <n v="30"/>
  </r>
  <r>
    <s v="ORD3604390"/>
    <s v="ITM022"/>
    <n v="3"/>
    <n v="297"/>
    <x v="23"/>
    <x v="1"/>
    <n v="30"/>
    <n v="90"/>
  </r>
  <r>
    <s v="ORD3604390"/>
    <s v="ITM021"/>
    <n v="2"/>
    <n v="298"/>
    <x v="22"/>
    <x v="1"/>
    <n v="45"/>
    <n v="90"/>
  </r>
  <r>
    <s v="ORD3604390"/>
    <s v="ITM005"/>
    <n v="2"/>
    <n v="198"/>
    <x v="16"/>
    <x v="3"/>
    <n v="30"/>
    <n v="60"/>
  </r>
  <r>
    <s v="ORD1827363"/>
    <s v="ITM027"/>
    <n v="1"/>
    <n v="79"/>
    <x v="10"/>
    <x v="4"/>
    <n v="24"/>
    <n v="24"/>
  </r>
  <r>
    <s v="ORD1827363"/>
    <s v="ITM023"/>
    <n v="1"/>
    <n v="139"/>
    <x v="18"/>
    <x v="1"/>
    <n v="42"/>
    <n v="42"/>
  </r>
  <r>
    <s v="ORD1827363"/>
    <s v="ITM022"/>
    <n v="1"/>
    <n v="99"/>
    <x v="23"/>
    <x v="1"/>
    <n v="30"/>
    <n v="30"/>
  </r>
  <r>
    <s v="ORD1827363"/>
    <s v="ITM008"/>
    <n v="3"/>
    <n v="297"/>
    <x v="9"/>
    <x v="2"/>
    <n v="30"/>
    <n v="90"/>
  </r>
  <r>
    <s v="ORD7714998"/>
    <s v="ITM011"/>
    <n v="1"/>
    <n v="79"/>
    <x v="26"/>
    <x v="0"/>
    <n v="24"/>
    <n v="24"/>
  </r>
  <r>
    <s v="ORD8338663"/>
    <s v="ITM020"/>
    <n v="2"/>
    <n v="318"/>
    <x v="21"/>
    <x v="1"/>
    <n v="48"/>
    <n v="96"/>
  </r>
  <r>
    <s v="ORD8338663"/>
    <s v="ITM022"/>
    <n v="1"/>
    <n v="99"/>
    <x v="23"/>
    <x v="1"/>
    <n v="30"/>
    <n v="30"/>
  </r>
  <r>
    <s v="ORD8338663"/>
    <s v="ITM013"/>
    <n v="1"/>
    <n v="69"/>
    <x v="0"/>
    <x v="0"/>
    <n v="21"/>
    <n v="21"/>
  </r>
  <r>
    <s v="ORD8338663"/>
    <s v="ITM026"/>
    <n v="1"/>
    <n v="79"/>
    <x v="4"/>
    <x v="4"/>
    <n v="24"/>
    <n v="24"/>
  </r>
  <r>
    <s v="ORD3569548"/>
    <s v="ITM011"/>
    <n v="3"/>
    <n v="237"/>
    <x v="26"/>
    <x v="0"/>
    <n v="24"/>
    <n v="72"/>
  </r>
  <r>
    <s v="ORD3569548"/>
    <s v="ITM014"/>
    <n v="1"/>
    <n v="119"/>
    <x v="14"/>
    <x v="1"/>
    <n v="36"/>
    <n v="36"/>
  </r>
  <r>
    <s v="ORD3569548"/>
    <s v="ITM019"/>
    <n v="1"/>
    <n v="149"/>
    <x v="11"/>
    <x v="1"/>
    <n v="45"/>
    <n v="45"/>
  </r>
  <r>
    <s v="ORD3569548"/>
    <s v="ITM018"/>
    <n v="5"/>
    <n v="795"/>
    <x v="15"/>
    <x v="1"/>
    <n v="48"/>
    <n v="240"/>
  </r>
  <r>
    <s v="ORD5125519"/>
    <s v="ITM016"/>
    <n v="1"/>
    <n v="99"/>
    <x v="7"/>
    <x v="1"/>
    <n v="30"/>
    <n v="30"/>
  </r>
  <r>
    <s v="ORD5125519"/>
    <s v="ITM014"/>
    <n v="1"/>
    <n v="119"/>
    <x v="14"/>
    <x v="1"/>
    <n v="36"/>
    <n v="36"/>
  </r>
  <r>
    <s v="ORD5125519"/>
    <s v="ITM023"/>
    <n v="1"/>
    <n v="139"/>
    <x v="18"/>
    <x v="1"/>
    <n v="42"/>
    <n v="42"/>
  </r>
  <r>
    <s v="ORD7634113"/>
    <s v="ITM018"/>
    <n v="3"/>
    <n v="477"/>
    <x v="15"/>
    <x v="1"/>
    <n v="48"/>
    <n v="144"/>
  </r>
  <r>
    <s v="ORD7634113"/>
    <s v="ITM023"/>
    <n v="3"/>
    <n v="417"/>
    <x v="18"/>
    <x v="1"/>
    <n v="42"/>
    <n v="126"/>
  </r>
  <r>
    <s v="ORD7285488"/>
    <s v="ITM017"/>
    <n v="2"/>
    <n v="298"/>
    <x v="6"/>
    <x v="1"/>
    <n v="45"/>
    <n v="90"/>
  </r>
  <r>
    <s v="ORD8204875"/>
    <s v="ITM006"/>
    <n v="2"/>
    <n v="178"/>
    <x v="3"/>
    <x v="3"/>
    <n v="27"/>
    <n v="54"/>
  </r>
  <r>
    <s v="ORD8204875"/>
    <s v="ITM021"/>
    <n v="2"/>
    <n v="298"/>
    <x v="22"/>
    <x v="1"/>
    <n v="45"/>
    <n v="90"/>
  </r>
  <r>
    <s v="ORD1615730"/>
    <s v="ITM010"/>
    <n v="2"/>
    <n v="118"/>
    <x v="20"/>
    <x v="0"/>
    <n v="18"/>
    <n v="36"/>
  </r>
  <r>
    <s v="ORD8246236"/>
    <s v="ITM010"/>
    <n v="1"/>
    <n v="59"/>
    <x v="20"/>
    <x v="0"/>
    <n v="18"/>
    <n v="18"/>
  </r>
  <r>
    <s v="ORD8246236"/>
    <s v="ITM015"/>
    <n v="2"/>
    <n v="298"/>
    <x v="1"/>
    <x v="1"/>
    <n v="45"/>
    <n v="90"/>
  </r>
  <r>
    <s v="ORD1902080"/>
    <s v="ITM007"/>
    <n v="3"/>
    <n v="237"/>
    <x v="19"/>
    <x v="2"/>
    <n v="24"/>
    <n v="72"/>
  </r>
  <r>
    <s v="ORD1902080"/>
    <s v="ITM026"/>
    <n v="1"/>
    <n v="79"/>
    <x v="4"/>
    <x v="4"/>
    <n v="24"/>
    <n v="24"/>
  </r>
  <r>
    <s v="ORD6587247"/>
    <s v="ITM021"/>
    <n v="2"/>
    <n v="298"/>
    <x v="22"/>
    <x v="1"/>
    <n v="45"/>
    <n v="90"/>
  </r>
  <r>
    <s v="ORD6587247"/>
    <s v="ITM023"/>
    <n v="1"/>
    <n v="139"/>
    <x v="18"/>
    <x v="1"/>
    <n v="42"/>
    <n v="42"/>
  </r>
  <r>
    <s v="ORD7128421"/>
    <s v="ITM007"/>
    <n v="5"/>
    <n v="395"/>
    <x v="19"/>
    <x v="2"/>
    <n v="24"/>
    <n v="120"/>
  </r>
  <r>
    <s v="ORD7128421"/>
    <s v="ITM008"/>
    <n v="2"/>
    <n v="198"/>
    <x v="9"/>
    <x v="2"/>
    <n v="30"/>
    <n v="60"/>
  </r>
  <r>
    <s v="ORD7128421"/>
    <s v="ITM010"/>
    <n v="1"/>
    <n v="59"/>
    <x v="20"/>
    <x v="0"/>
    <n v="18"/>
    <n v="18"/>
  </r>
  <r>
    <s v="ORD6269284"/>
    <s v="ITM011"/>
    <n v="1"/>
    <n v="79"/>
    <x v="26"/>
    <x v="0"/>
    <n v="24"/>
    <n v="24"/>
  </r>
  <r>
    <s v="ORD6269284"/>
    <s v="ITM005"/>
    <n v="2"/>
    <n v="198"/>
    <x v="16"/>
    <x v="3"/>
    <n v="30"/>
    <n v="60"/>
  </r>
  <r>
    <s v="ORD9183911"/>
    <s v="ITM004"/>
    <n v="4"/>
    <n v="316"/>
    <x v="5"/>
    <x v="3"/>
    <n v="24"/>
    <n v="96"/>
  </r>
  <r>
    <s v="ORD9183911"/>
    <s v="ITM022"/>
    <n v="3"/>
    <n v="297"/>
    <x v="23"/>
    <x v="1"/>
    <n v="30"/>
    <n v="90"/>
  </r>
  <r>
    <s v="ORD9183911"/>
    <s v="ITM002"/>
    <n v="1"/>
    <n v="99"/>
    <x v="12"/>
    <x v="5"/>
    <n v="30"/>
    <n v="30"/>
  </r>
  <r>
    <s v="ORD9183911"/>
    <s v="ITM013"/>
    <n v="2"/>
    <n v="138"/>
    <x v="0"/>
    <x v="0"/>
    <n v="21"/>
    <n v="42"/>
  </r>
  <r>
    <s v="ORD6065908"/>
    <s v="ITM001"/>
    <n v="1"/>
    <n v="79"/>
    <x v="24"/>
    <x v="5"/>
    <n v="24"/>
    <n v="24"/>
  </r>
  <r>
    <s v="ORD9266135"/>
    <s v="ITM022"/>
    <n v="1"/>
    <n v="99"/>
    <x v="23"/>
    <x v="1"/>
    <n v="30"/>
    <n v="30"/>
  </r>
  <r>
    <s v="ORD9693979"/>
    <s v="ITM020"/>
    <n v="1"/>
    <n v="159"/>
    <x v="21"/>
    <x v="1"/>
    <n v="48"/>
    <n v="48"/>
  </r>
  <r>
    <s v="ORD9693979"/>
    <s v="ITM009"/>
    <n v="1"/>
    <n v="89"/>
    <x v="2"/>
    <x v="2"/>
    <n v="27"/>
    <n v="27"/>
  </r>
  <r>
    <s v="ORD1524116"/>
    <s v="ITM014"/>
    <n v="2"/>
    <n v="238"/>
    <x v="14"/>
    <x v="1"/>
    <n v="36"/>
    <n v="72"/>
  </r>
  <r>
    <s v="ORD1524116"/>
    <s v="ITM002"/>
    <n v="2"/>
    <n v="198"/>
    <x v="12"/>
    <x v="5"/>
    <n v="30"/>
    <n v="60"/>
  </r>
  <r>
    <s v="ORD1524116"/>
    <s v="ITM012"/>
    <n v="2"/>
    <n v="178"/>
    <x v="8"/>
    <x v="0"/>
    <n v="27"/>
    <n v="54"/>
  </r>
  <r>
    <s v="ORD7675125"/>
    <s v="ITM022"/>
    <n v="2"/>
    <n v="198"/>
    <x v="23"/>
    <x v="1"/>
    <n v="30"/>
    <n v="60"/>
  </r>
  <r>
    <s v="ORD5194080"/>
    <s v="ITM007"/>
    <n v="3"/>
    <n v="237"/>
    <x v="19"/>
    <x v="2"/>
    <n v="24"/>
    <n v="72"/>
  </r>
  <r>
    <s v="ORD5194080"/>
    <s v="ITM022"/>
    <n v="2"/>
    <n v="198"/>
    <x v="23"/>
    <x v="1"/>
    <n v="30"/>
    <n v="60"/>
  </r>
  <r>
    <s v="ORD5194080"/>
    <s v="ITM024"/>
    <n v="2"/>
    <n v="158"/>
    <x v="17"/>
    <x v="4"/>
    <n v="24"/>
    <n v="48"/>
  </r>
  <r>
    <s v="ORD5194080"/>
    <s v="ITM015"/>
    <n v="1"/>
    <n v="149"/>
    <x v="1"/>
    <x v="1"/>
    <n v="45"/>
    <n v="45"/>
  </r>
  <r>
    <s v="ORD4866878"/>
    <s v="ITM006"/>
    <n v="2"/>
    <n v="178"/>
    <x v="3"/>
    <x v="3"/>
    <n v="27"/>
    <n v="54"/>
  </r>
  <r>
    <s v="ORD4866878"/>
    <s v="ITM003"/>
    <n v="4"/>
    <n v="476"/>
    <x v="27"/>
    <x v="5"/>
    <n v="36"/>
    <n v="144"/>
  </r>
  <r>
    <s v="ORD4866878"/>
    <s v="ITM021"/>
    <n v="1"/>
    <n v="149"/>
    <x v="22"/>
    <x v="1"/>
    <n v="45"/>
    <n v="45"/>
  </r>
  <r>
    <s v="ORD4866878"/>
    <s v="ITM018"/>
    <n v="2"/>
    <n v="318"/>
    <x v="15"/>
    <x v="1"/>
    <n v="48"/>
    <n v="96"/>
  </r>
  <r>
    <s v="ORD7946545"/>
    <s v="ITM024"/>
    <n v="5"/>
    <n v="395"/>
    <x v="17"/>
    <x v="4"/>
    <n v="24"/>
    <n v="120"/>
  </r>
  <r>
    <s v="ORD7946545"/>
    <s v="ITM027"/>
    <n v="1"/>
    <n v="79"/>
    <x v="10"/>
    <x v="4"/>
    <n v="24"/>
    <n v="24"/>
  </r>
  <r>
    <s v="ORD7946545"/>
    <s v="ITM008"/>
    <n v="3"/>
    <n v="297"/>
    <x v="9"/>
    <x v="2"/>
    <n v="30"/>
    <n v="90"/>
  </r>
  <r>
    <s v="ORD7110350"/>
    <s v="ITM016"/>
    <n v="5"/>
    <n v="495"/>
    <x v="7"/>
    <x v="1"/>
    <n v="30"/>
    <n v="150"/>
  </r>
  <r>
    <s v="ORD7110350"/>
    <s v="ITM022"/>
    <n v="1"/>
    <n v="99"/>
    <x v="23"/>
    <x v="1"/>
    <n v="30"/>
    <n v="30"/>
  </r>
  <r>
    <s v="ORD7110350"/>
    <s v="ITM005"/>
    <n v="4"/>
    <n v="396"/>
    <x v="16"/>
    <x v="3"/>
    <n v="30"/>
    <n v="120"/>
  </r>
  <r>
    <s v="ORD7110350"/>
    <s v="ITM015"/>
    <n v="2"/>
    <n v="298"/>
    <x v="1"/>
    <x v="1"/>
    <n v="45"/>
    <n v="90"/>
  </r>
  <r>
    <s v="ORD3373815"/>
    <s v="ITM016"/>
    <n v="1"/>
    <n v="99"/>
    <x v="7"/>
    <x v="1"/>
    <n v="30"/>
    <n v="30"/>
  </r>
  <r>
    <s v="ORD3373815"/>
    <s v="ITM003"/>
    <n v="1"/>
    <n v="119"/>
    <x v="27"/>
    <x v="5"/>
    <n v="36"/>
    <n v="36"/>
  </r>
  <r>
    <s v="ORD3373815"/>
    <s v="ITM017"/>
    <n v="1"/>
    <n v="149"/>
    <x v="6"/>
    <x v="1"/>
    <n v="45"/>
    <n v="45"/>
  </r>
  <r>
    <s v="ORD3373815"/>
    <s v="ITM013"/>
    <n v="3"/>
    <n v="207"/>
    <x v="0"/>
    <x v="0"/>
    <n v="21"/>
    <n v="63"/>
  </r>
  <r>
    <s v="ORD2815385"/>
    <s v="ITM018"/>
    <n v="5"/>
    <n v="795"/>
    <x v="15"/>
    <x v="1"/>
    <n v="48"/>
    <n v="240"/>
  </r>
  <r>
    <s v="ORD2815385"/>
    <s v="ITM017"/>
    <n v="3"/>
    <n v="447"/>
    <x v="6"/>
    <x v="1"/>
    <n v="45"/>
    <n v="135"/>
  </r>
  <r>
    <s v="ORD5577636"/>
    <s v="ITM006"/>
    <n v="1"/>
    <n v="89"/>
    <x v="3"/>
    <x v="3"/>
    <n v="27"/>
    <n v="27"/>
  </r>
  <r>
    <s v="ORD5577636"/>
    <s v="ITM019"/>
    <n v="1"/>
    <n v="149"/>
    <x v="11"/>
    <x v="1"/>
    <n v="45"/>
    <n v="45"/>
  </r>
  <r>
    <s v="ORD5577636"/>
    <s v="ITM010"/>
    <n v="2"/>
    <n v="118"/>
    <x v="20"/>
    <x v="0"/>
    <n v="18"/>
    <n v="36"/>
  </r>
  <r>
    <s v="ORD5577636"/>
    <s v="ITM020"/>
    <n v="3"/>
    <n v="477"/>
    <x v="21"/>
    <x v="1"/>
    <n v="48"/>
    <n v="144"/>
  </r>
  <r>
    <s v="ORD8552187"/>
    <s v="ITM001"/>
    <n v="1"/>
    <n v="79"/>
    <x v="24"/>
    <x v="5"/>
    <n v="24"/>
    <n v="24"/>
  </r>
  <r>
    <s v="ORD8552187"/>
    <s v="ITM010"/>
    <n v="2"/>
    <n v="118"/>
    <x v="20"/>
    <x v="0"/>
    <n v="18"/>
    <n v="36"/>
  </r>
  <r>
    <s v="ORD8194732"/>
    <s v="ITM004"/>
    <n v="1"/>
    <n v="79"/>
    <x v="5"/>
    <x v="3"/>
    <n v="24"/>
    <n v="24"/>
  </r>
  <r>
    <s v="ORD8194732"/>
    <s v="ITM021"/>
    <n v="2"/>
    <n v="298"/>
    <x v="22"/>
    <x v="1"/>
    <n v="45"/>
    <n v="90"/>
  </r>
  <r>
    <s v="ORD4327362"/>
    <s v="ITM027"/>
    <n v="1"/>
    <n v="79"/>
    <x v="10"/>
    <x v="4"/>
    <n v="24"/>
    <n v="24"/>
  </r>
  <r>
    <s v="ORD4327362"/>
    <s v="ITM024"/>
    <n v="1"/>
    <n v="79"/>
    <x v="17"/>
    <x v="4"/>
    <n v="24"/>
    <n v="24"/>
  </r>
  <r>
    <s v="ORD7625199"/>
    <s v="ITM020"/>
    <n v="1"/>
    <n v="159"/>
    <x v="21"/>
    <x v="1"/>
    <n v="48"/>
    <n v="48"/>
  </r>
  <r>
    <s v="ORD7625199"/>
    <s v="ITM015"/>
    <n v="1"/>
    <n v="149"/>
    <x v="1"/>
    <x v="1"/>
    <n v="45"/>
    <n v="45"/>
  </r>
  <r>
    <s v="ORD7260863"/>
    <s v="ITM019"/>
    <n v="1"/>
    <n v="149"/>
    <x v="11"/>
    <x v="1"/>
    <n v="45"/>
    <n v="45"/>
  </r>
  <r>
    <s v="ORD9659485"/>
    <s v="ITM004"/>
    <n v="2"/>
    <n v="158"/>
    <x v="5"/>
    <x v="3"/>
    <n v="24"/>
    <n v="48"/>
  </r>
  <r>
    <s v="ORD9659485"/>
    <s v="ITM019"/>
    <n v="1"/>
    <n v="149"/>
    <x v="11"/>
    <x v="1"/>
    <n v="45"/>
    <n v="45"/>
  </r>
  <r>
    <s v="ORD9659485"/>
    <s v="ITM012"/>
    <n v="4"/>
    <n v="356"/>
    <x v="8"/>
    <x v="0"/>
    <n v="27"/>
    <n v="108"/>
  </r>
  <r>
    <s v="ORD8204131"/>
    <s v="ITM003"/>
    <n v="1"/>
    <n v="119"/>
    <x v="27"/>
    <x v="5"/>
    <n v="36"/>
    <n v="36"/>
  </r>
  <r>
    <s v="ORD8204131"/>
    <s v="ITM017"/>
    <n v="2"/>
    <n v="298"/>
    <x v="6"/>
    <x v="1"/>
    <n v="45"/>
    <n v="90"/>
  </r>
  <r>
    <s v="ORD1556841"/>
    <s v="ITM007"/>
    <n v="1"/>
    <n v="79"/>
    <x v="19"/>
    <x v="2"/>
    <n v="24"/>
    <n v="24"/>
  </r>
  <r>
    <s v="ORD1556841"/>
    <s v="ITM021"/>
    <n v="3"/>
    <n v="447"/>
    <x v="22"/>
    <x v="1"/>
    <n v="45"/>
    <n v="135"/>
  </r>
  <r>
    <s v="ORD1556841"/>
    <s v="ITM018"/>
    <n v="5"/>
    <n v="795"/>
    <x v="15"/>
    <x v="1"/>
    <n v="48"/>
    <n v="240"/>
  </r>
  <r>
    <s v="ORD7270714"/>
    <s v="ITM006"/>
    <n v="1"/>
    <n v="89"/>
    <x v="3"/>
    <x v="3"/>
    <n v="27"/>
    <n v="27"/>
  </r>
  <r>
    <s v="ORD7270714"/>
    <s v="ITM005"/>
    <n v="4"/>
    <n v="396"/>
    <x v="16"/>
    <x v="3"/>
    <n v="30"/>
    <n v="120"/>
  </r>
  <r>
    <s v="ORD7270714"/>
    <s v="ITM028"/>
    <n v="2"/>
    <n v="98"/>
    <x v="13"/>
    <x v="4"/>
    <n v="15"/>
    <n v="30"/>
  </r>
  <r>
    <s v="ORD7676881"/>
    <s v="ITM006"/>
    <n v="1"/>
    <n v="89"/>
    <x v="3"/>
    <x v="3"/>
    <n v="27"/>
    <n v="27"/>
  </r>
  <r>
    <s v="ORD7676881"/>
    <s v="ITM022"/>
    <n v="1"/>
    <n v="99"/>
    <x v="23"/>
    <x v="1"/>
    <n v="30"/>
    <n v="30"/>
  </r>
  <r>
    <s v="ORD7676881"/>
    <s v="ITM010"/>
    <n v="2"/>
    <n v="118"/>
    <x v="20"/>
    <x v="0"/>
    <n v="18"/>
    <n v="36"/>
  </r>
  <r>
    <s v="ORD1175565"/>
    <s v="ITM007"/>
    <n v="1"/>
    <n v="79"/>
    <x v="19"/>
    <x v="2"/>
    <n v="24"/>
    <n v="24"/>
  </r>
  <r>
    <s v="ORD1175565"/>
    <s v="ITM021"/>
    <n v="2"/>
    <n v="298"/>
    <x v="22"/>
    <x v="1"/>
    <n v="45"/>
    <n v="90"/>
  </r>
  <r>
    <s v="ORD1175565"/>
    <s v="ITM011"/>
    <n v="1"/>
    <n v="79"/>
    <x v="26"/>
    <x v="0"/>
    <n v="24"/>
    <n v="24"/>
  </r>
  <r>
    <s v="ORD1175565"/>
    <s v="ITM026"/>
    <n v="2"/>
    <n v="158"/>
    <x v="4"/>
    <x v="4"/>
    <n v="24"/>
    <n v="48"/>
  </r>
  <r>
    <s v="ORD2417020"/>
    <s v="ITM025"/>
    <n v="1"/>
    <n v="79"/>
    <x v="25"/>
    <x v="4"/>
    <n v="24"/>
    <n v="24"/>
  </r>
  <r>
    <s v="ORD2417020"/>
    <s v="ITM012"/>
    <n v="2"/>
    <n v="178"/>
    <x v="8"/>
    <x v="0"/>
    <n v="27"/>
    <n v="54"/>
  </r>
  <r>
    <s v="ORD2483561"/>
    <s v="ITM003"/>
    <n v="2"/>
    <n v="238"/>
    <x v="27"/>
    <x v="5"/>
    <n v="36"/>
    <n v="72"/>
  </r>
  <r>
    <s v="ORD2483561"/>
    <s v="ITM008"/>
    <n v="2"/>
    <n v="198"/>
    <x v="9"/>
    <x v="2"/>
    <n v="30"/>
    <n v="60"/>
  </r>
  <r>
    <s v="ORD2483561"/>
    <s v="ITM010"/>
    <n v="2"/>
    <n v="118"/>
    <x v="20"/>
    <x v="0"/>
    <n v="18"/>
    <n v="36"/>
  </r>
  <r>
    <s v="ORD2483561"/>
    <s v="ITM015"/>
    <n v="1"/>
    <n v="149"/>
    <x v="1"/>
    <x v="1"/>
    <n v="45"/>
    <n v="45"/>
  </r>
  <r>
    <s v="ORD2366435"/>
    <s v="ITM006"/>
    <n v="4"/>
    <n v="356"/>
    <x v="3"/>
    <x v="3"/>
    <n v="27"/>
    <n v="108"/>
  </r>
  <r>
    <s v="ORD2366435"/>
    <s v="ITM015"/>
    <n v="4"/>
    <n v="596"/>
    <x v="1"/>
    <x v="1"/>
    <n v="45"/>
    <n v="180"/>
  </r>
  <r>
    <s v="ORD2366435"/>
    <s v="ITM011"/>
    <n v="1"/>
    <n v="79"/>
    <x v="26"/>
    <x v="0"/>
    <n v="24"/>
    <n v="24"/>
  </r>
  <r>
    <s v="ORD6381462"/>
    <s v="ITM008"/>
    <n v="3"/>
    <n v="297"/>
    <x v="9"/>
    <x v="2"/>
    <n v="30"/>
    <n v="90"/>
  </r>
  <r>
    <s v="ORD6381462"/>
    <s v="ITM012"/>
    <n v="2"/>
    <n v="178"/>
    <x v="8"/>
    <x v="0"/>
    <n v="27"/>
    <n v="54"/>
  </r>
  <r>
    <s v="ORD5694522"/>
    <s v="ITM019"/>
    <n v="2"/>
    <n v="298"/>
    <x v="11"/>
    <x v="1"/>
    <n v="45"/>
    <n v="90"/>
  </r>
  <r>
    <s v="ORD5694522"/>
    <s v="ITM026"/>
    <n v="2"/>
    <n v="158"/>
    <x v="4"/>
    <x v="4"/>
    <n v="24"/>
    <n v="48"/>
  </r>
  <r>
    <s v="ORD8925877"/>
    <s v="ITM007"/>
    <n v="1"/>
    <n v="79"/>
    <x v="19"/>
    <x v="2"/>
    <n v="24"/>
    <n v="24"/>
  </r>
  <r>
    <s v="ORD9386469"/>
    <s v="ITM021"/>
    <n v="2"/>
    <n v="298"/>
    <x v="22"/>
    <x v="1"/>
    <n v="45"/>
    <n v="90"/>
  </r>
  <r>
    <s v="ORD9386469"/>
    <s v="ITM010"/>
    <n v="1"/>
    <n v="59"/>
    <x v="20"/>
    <x v="0"/>
    <n v="18"/>
    <n v="18"/>
  </r>
  <r>
    <s v="ORD9386469"/>
    <s v="ITM009"/>
    <n v="1"/>
    <n v="89"/>
    <x v="2"/>
    <x v="2"/>
    <n v="27"/>
    <n v="27"/>
  </r>
  <r>
    <s v="ORD7493063"/>
    <s v="ITM023"/>
    <n v="3"/>
    <n v="417"/>
    <x v="18"/>
    <x v="1"/>
    <n v="42"/>
    <n v="126"/>
  </r>
  <r>
    <s v="ORD7493063"/>
    <s v="ITM005"/>
    <n v="4"/>
    <n v="396"/>
    <x v="16"/>
    <x v="3"/>
    <n v="30"/>
    <n v="120"/>
  </r>
  <r>
    <s v="ORD7493063"/>
    <s v="ITM017"/>
    <n v="1"/>
    <n v="149"/>
    <x v="6"/>
    <x v="1"/>
    <n v="45"/>
    <n v="45"/>
  </r>
  <r>
    <s v="ORD7493063"/>
    <s v="ITM002"/>
    <n v="2"/>
    <n v="198"/>
    <x v="12"/>
    <x v="5"/>
    <n v="30"/>
    <n v="60"/>
  </r>
  <r>
    <s v="ORD8929859"/>
    <s v="ITM014"/>
    <n v="3"/>
    <n v="357"/>
    <x v="14"/>
    <x v="1"/>
    <n v="36"/>
    <n v="108"/>
  </r>
  <r>
    <s v="ORD8929859"/>
    <s v="ITM009"/>
    <n v="1"/>
    <n v="89"/>
    <x v="2"/>
    <x v="2"/>
    <n v="27"/>
    <n v="27"/>
  </r>
  <r>
    <s v="ORD4524697"/>
    <s v="ITM008"/>
    <n v="1"/>
    <n v="99"/>
    <x v="9"/>
    <x v="2"/>
    <n v="30"/>
    <n v="30"/>
  </r>
  <r>
    <s v="ORD4524697"/>
    <s v="ITM028"/>
    <n v="1"/>
    <n v="49"/>
    <x v="13"/>
    <x v="4"/>
    <n v="15"/>
    <n v="15"/>
  </r>
  <r>
    <s v="ORD1191390"/>
    <s v="ITM017"/>
    <n v="4"/>
    <n v="596"/>
    <x v="6"/>
    <x v="1"/>
    <n v="45"/>
    <n v="180"/>
  </r>
  <r>
    <s v="ORD8991958"/>
    <s v="ITM024"/>
    <n v="1"/>
    <n v="79"/>
    <x v="17"/>
    <x v="4"/>
    <n v="24"/>
    <n v="24"/>
  </r>
  <r>
    <s v="ORD8991958"/>
    <s v="ITM023"/>
    <n v="1"/>
    <n v="139"/>
    <x v="18"/>
    <x v="1"/>
    <n v="42"/>
    <n v="42"/>
  </r>
  <r>
    <s v="ORD7312402"/>
    <s v="ITM024"/>
    <n v="3"/>
    <n v="237"/>
    <x v="17"/>
    <x v="4"/>
    <n v="24"/>
    <n v="72"/>
  </r>
  <r>
    <s v="ORD7312402"/>
    <s v="ITM017"/>
    <n v="4"/>
    <n v="596"/>
    <x v="6"/>
    <x v="1"/>
    <n v="45"/>
    <n v="180"/>
  </r>
  <r>
    <s v="ORD8037085"/>
    <s v="ITM022"/>
    <n v="5"/>
    <n v="495"/>
    <x v="23"/>
    <x v="1"/>
    <n v="30"/>
    <n v="150"/>
  </r>
  <r>
    <s v="ORD8037085"/>
    <s v="ITM013"/>
    <n v="2"/>
    <n v="138"/>
    <x v="0"/>
    <x v="0"/>
    <n v="21"/>
    <n v="42"/>
  </r>
  <r>
    <s v="ORD3400778"/>
    <s v="ITM008"/>
    <n v="3"/>
    <n v="297"/>
    <x v="9"/>
    <x v="2"/>
    <n v="30"/>
    <n v="90"/>
  </r>
  <r>
    <s v="ORD3400778"/>
    <s v="ITM012"/>
    <n v="3"/>
    <n v="267"/>
    <x v="8"/>
    <x v="0"/>
    <n v="27"/>
    <n v="81"/>
  </r>
  <r>
    <s v="ORD3400778"/>
    <s v="ITM026"/>
    <n v="4"/>
    <n v="316"/>
    <x v="4"/>
    <x v="4"/>
    <n v="24"/>
    <n v="96"/>
  </r>
  <r>
    <s v="ORD1038690"/>
    <s v="ITM006"/>
    <n v="3"/>
    <n v="267"/>
    <x v="3"/>
    <x v="3"/>
    <n v="27"/>
    <n v="81"/>
  </r>
  <r>
    <s v="ORD1038690"/>
    <s v="ITM014"/>
    <n v="1"/>
    <n v="119"/>
    <x v="14"/>
    <x v="1"/>
    <n v="36"/>
    <n v="36"/>
  </r>
  <r>
    <s v="ORD1038690"/>
    <s v="ITM019"/>
    <n v="1"/>
    <n v="149"/>
    <x v="11"/>
    <x v="1"/>
    <n v="45"/>
    <n v="45"/>
  </r>
  <r>
    <s v="ORD1553753"/>
    <s v="ITM016"/>
    <n v="2"/>
    <n v="198"/>
    <x v="7"/>
    <x v="1"/>
    <n v="30"/>
    <n v="60"/>
  </r>
  <r>
    <s v="ORD1553753"/>
    <s v="ITM022"/>
    <n v="3"/>
    <n v="297"/>
    <x v="23"/>
    <x v="1"/>
    <n v="30"/>
    <n v="90"/>
  </r>
  <r>
    <s v="ORD1553753"/>
    <s v="ITM008"/>
    <n v="1"/>
    <n v="99"/>
    <x v="9"/>
    <x v="2"/>
    <n v="30"/>
    <n v="30"/>
  </r>
  <r>
    <s v="ORD1553753"/>
    <s v="ITM010"/>
    <n v="1"/>
    <n v="59"/>
    <x v="20"/>
    <x v="0"/>
    <n v="18"/>
    <n v="18"/>
  </r>
  <r>
    <s v="ORD7075197"/>
    <s v="ITM016"/>
    <n v="1"/>
    <n v="99"/>
    <x v="7"/>
    <x v="1"/>
    <n v="30"/>
    <n v="30"/>
  </r>
  <r>
    <s v="ORD7075197"/>
    <s v="ITM008"/>
    <n v="3"/>
    <n v="297"/>
    <x v="9"/>
    <x v="2"/>
    <n v="30"/>
    <n v="90"/>
  </r>
  <r>
    <s v="ORD7075197"/>
    <s v="ITM025"/>
    <n v="1"/>
    <n v="79"/>
    <x v="25"/>
    <x v="4"/>
    <n v="24"/>
    <n v="24"/>
  </r>
  <r>
    <s v="ORD7075197"/>
    <s v="ITM001"/>
    <n v="1"/>
    <n v="79"/>
    <x v="24"/>
    <x v="5"/>
    <n v="24"/>
    <n v="24"/>
  </r>
  <r>
    <s v="ORD8493210"/>
    <s v="ITM019"/>
    <n v="2"/>
    <n v="298"/>
    <x v="11"/>
    <x v="1"/>
    <n v="45"/>
    <n v="90"/>
  </r>
  <r>
    <s v="ORD8493210"/>
    <s v="ITM002"/>
    <n v="4"/>
    <n v="396"/>
    <x v="12"/>
    <x v="5"/>
    <n v="30"/>
    <n v="120"/>
  </r>
  <r>
    <s v="ORD6469850"/>
    <s v="ITM007"/>
    <n v="2"/>
    <n v="158"/>
    <x v="19"/>
    <x v="2"/>
    <n v="24"/>
    <n v="48"/>
  </r>
  <r>
    <s v="ORD6469850"/>
    <s v="ITM013"/>
    <n v="2"/>
    <n v="138"/>
    <x v="0"/>
    <x v="0"/>
    <n v="21"/>
    <n v="42"/>
  </r>
  <r>
    <s v="ORD4405484"/>
    <s v="ITM005"/>
    <n v="1"/>
    <n v="99"/>
    <x v="16"/>
    <x v="3"/>
    <n v="30"/>
    <n v="30"/>
  </r>
  <r>
    <s v="ORD4405484"/>
    <s v="ITM009"/>
    <n v="1"/>
    <n v="89"/>
    <x v="2"/>
    <x v="2"/>
    <n v="27"/>
    <n v="27"/>
  </r>
  <r>
    <s v="ORD8165721"/>
    <s v="ITM016"/>
    <n v="2"/>
    <n v="198"/>
    <x v="7"/>
    <x v="1"/>
    <n v="30"/>
    <n v="60"/>
  </r>
  <r>
    <s v="ORD8165721"/>
    <s v="ITM021"/>
    <n v="2"/>
    <n v="298"/>
    <x v="22"/>
    <x v="1"/>
    <n v="45"/>
    <n v="90"/>
  </r>
  <r>
    <s v="ORD3517639"/>
    <s v="ITM005"/>
    <n v="3"/>
    <n v="297"/>
    <x v="16"/>
    <x v="3"/>
    <n v="30"/>
    <n v="90"/>
  </r>
  <r>
    <s v="ORD3517639"/>
    <s v="ITM020"/>
    <n v="1"/>
    <n v="159"/>
    <x v="21"/>
    <x v="1"/>
    <n v="48"/>
    <n v="48"/>
  </r>
  <r>
    <s v="ORD9359905"/>
    <s v="ITM003"/>
    <n v="3"/>
    <n v="357"/>
    <x v="27"/>
    <x v="5"/>
    <n v="36"/>
    <n v="108"/>
  </r>
  <r>
    <s v="ORD9359905"/>
    <s v="ITM023"/>
    <n v="1"/>
    <n v="139"/>
    <x v="18"/>
    <x v="1"/>
    <n v="42"/>
    <n v="42"/>
  </r>
  <r>
    <s v="ORD3870871"/>
    <s v="ITM006"/>
    <n v="1"/>
    <n v="89"/>
    <x v="3"/>
    <x v="3"/>
    <n v="27"/>
    <n v="27"/>
  </r>
  <r>
    <s v="ORD3870871"/>
    <s v="ITM017"/>
    <n v="3"/>
    <n v="447"/>
    <x v="6"/>
    <x v="1"/>
    <n v="45"/>
    <n v="135"/>
  </r>
  <r>
    <s v="ORD3870871"/>
    <s v="ITM008"/>
    <n v="1"/>
    <n v="99"/>
    <x v="9"/>
    <x v="2"/>
    <n v="30"/>
    <n v="30"/>
  </r>
  <r>
    <s v="ORD4164842"/>
    <s v="ITM027"/>
    <n v="2"/>
    <n v="158"/>
    <x v="10"/>
    <x v="4"/>
    <n v="24"/>
    <n v="48"/>
  </r>
  <r>
    <s v="ORD1175585"/>
    <s v="ITM003"/>
    <n v="1"/>
    <n v="119"/>
    <x v="27"/>
    <x v="5"/>
    <n v="36"/>
    <n v="36"/>
  </r>
  <r>
    <s v="ORD9917509"/>
    <s v="ITM004"/>
    <n v="1"/>
    <n v="79"/>
    <x v="5"/>
    <x v="3"/>
    <n v="24"/>
    <n v="24"/>
  </r>
  <r>
    <s v="ORD9917509"/>
    <s v="ITM018"/>
    <n v="1"/>
    <n v="159"/>
    <x v="15"/>
    <x v="1"/>
    <n v="48"/>
    <n v="48"/>
  </r>
  <r>
    <s v="ORD3166384"/>
    <s v="ITM005"/>
    <n v="1"/>
    <n v="99"/>
    <x v="16"/>
    <x v="3"/>
    <n v="30"/>
    <n v="30"/>
  </r>
  <r>
    <s v="ORD8549131"/>
    <s v="ITM021"/>
    <n v="2"/>
    <n v="298"/>
    <x v="22"/>
    <x v="1"/>
    <n v="45"/>
    <n v="90"/>
  </r>
  <r>
    <s v="ORD8549131"/>
    <s v="ITM023"/>
    <n v="2"/>
    <n v="278"/>
    <x v="18"/>
    <x v="1"/>
    <n v="42"/>
    <n v="84"/>
  </r>
  <r>
    <s v="ORD8549131"/>
    <s v="ITM017"/>
    <n v="1"/>
    <n v="149"/>
    <x v="6"/>
    <x v="1"/>
    <n v="45"/>
    <n v="45"/>
  </r>
  <r>
    <s v="ORD8442905"/>
    <s v="ITM001"/>
    <n v="3"/>
    <n v="237"/>
    <x v="24"/>
    <x v="5"/>
    <n v="24"/>
    <n v="72"/>
  </r>
  <r>
    <s v="ORD8442905"/>
    <s v="ITM005"/>
    <n v="1"/>
    <n v="99"/>
    <x v="16"/>
    <x v="3"/>
    <n v="30"/>
    <n v="30"/>
  </r>
  <r>
    <s v="ORD8847442"/>
    <s v="ITM005"/>
    <n v="2"/>
    <n v="198"/>
    <x v="16"/>
    <x v="3"/>
    <n v="30"/>
    <n v="60"/>
  </r>
  <r>
    <s v="ORD8847442"/>
    <s v="ITM017"/>
    <n v="2"/>
    <n v="298"/>
    <x v="6"/>
    <x v="1"/>
    <n v="45"/>
    <n v="90"/>
  </r>
  <r>
    <s v="ORD8285393"/>
    <s v="ITM024"/>
    <n v="1"/>
    <n v="79"/>
    <x v="17"/>
    <x v="4"/>
    <n v="24"/>
    <n v="24"/>
  </r>
  <r>
    <s v="ORD8285393"/>
    <s v="ITM008"/>
    <n v="1"/>
    <n v="99"/>
    <x v="9"/>
    <x v="2"/>
    <n v="30"/>
    <n v="30"/>
  </r>
  <r>
    <s v="ORD7314805"/>
    <s v="ITM013"/>
    <n v="2"/>
    <n v="138"/>
    <x v="0"/>
    <x v="0"/>
    <n v="21"/>
    <n v="42"/>
  </r>
  <r>
    <s v="ORD7314805"/>
    <s v="ITM010"/>
    <n v="1"/>
    <n v="59"/>
    <x v="20"/>
    <x v="0"/>
    <n v="18"/>
    <n v="18"/>
  </r>
  <r>
    <s v="ORD4798268"/>
    <s v="ITM004"/>
    <n v="3"/>
    <n v="237"/>
    <x v="5"/>
    <x v="3"/>
    <n v="24"/>
    <n v="72"/>
  </r>
  <r>
    <s v="ORD4798268"/>
    <s v="ITM018"/>
    <n v="5"/>
    <n v="795"/>
    <x v="15"/>
    <x v="1"/>
    <n v="48"/>
    <n v="240"/>
  </r>
  <r>
    <s v="ORD4798268"/>
    <s v="ITM014"/>
    <n v="2"/>
    <n v="238"/>
    <x v="14"/>
    <x v="1"/>
    <n v="36"/>
    <n v="72"/>
  </r>
  <r>
    <s v="ORD4826119"/>
    <s v="ITM005"/>
    <n v="1"/>
    <n v="99"/>
    <x v="16"/>
    <x v="3"/>
    <n v="30"/>
    <n v="30"/>
  </r>
  <r>
    <s v="ORD4826119"/>
    <s v="ITM009"/>
    <n v="3"/>
    <n v="267"/>
    <x v="2"/>
    <x v="2"/>
    <n v="27"/>
    <n v="81"/>
  </r>
  <r>
    <s v="ORD7922134"/>
    <s v="ITM003"/>
    <n v="4"/>
    <n v="476"/>
    <x v="27"/>
    <x v="5"/>
    <n v="36"/>
    <n v="144"/>
  </r>
  <r>
    <s v="ORD7922134"/>
    <s v="ITM017"/>
    <n v="4"/>
    <n v="596"/>
    <x v="6"/>
    <x v="1"/>
    <n v="45"/>
    <n v="180"/>
  </r>
  <r>
    <s v="ORD2906711"/>
    <s v="ITM006"/>
    <n v="1"/>
    <n v="89"/>
    <x v="3"/>
    <x v="3"/>
    <n v="27"/>
    <n v="27"/>
  </r>
  <r>
    <s v="ORD2906711"/>
    <s v="ITM009"/>
    <n v="2"/>
    <n v="178"/>
    <x v="2"/>
    <x v="2"/>
    <n v="27"/>
    <n v="54"/>
  </r>
  <r>
    <s v="ORD9752729"/>
    <s v="ITM007"/>
    <n v="5"/>
    <n v="395"/>
    <x v="19"/>
    <x v="2"/>
    <n v="24"/>
    <n v="120"/>
  </r>
  <r>
    <s v="ORD9752729"/>
    <s v="ITM018"/>
    <n v="2"/>
    <n v="318"/>
    <x v="15"/>
    <x v="1"/>
    <n v="48"/>
    <n v="96"/>
  </r>
  <r>
    <s v="ORD5066077"/>
    <s v="ITM019"/>
    <n v="2"/>
    <n v="298"/>
    <x v="11"/>
    <x v="1"/>
    <n v="45"/>
    <n v="90"/>
  </r>
  <r>
    <s v="ORD5066077"/>
    <s v="ITM025"/>
    <n v="4"/>
    <n v="316"/>
    <x v="25"/>
    <x v="4"/>
    <n v="24"/>
    <n v="96"/>
  </r>
  <r>
    <s v="ORD5066077"/>
    <s v="ITM015"/>
    <n v="5"/>
    <n v="745"/>
    <x v="1"/>
    <x v="1"/>
    <n v="45"/>
    <n v="225"/>
  </r>
  <r>
    <s v="ORD3743507"/>
    <s v="ITM021"/>
    <n v="1"/>
    <n v="149"/>
    <x v="22"/>
    <x v="1"/>
    <n v="45"/>
    <n v="45"/>
  </r>
  <r>
    <s v="ORD3743507"/>
    <s v="ITM013"/>
    <n v="2"/>
    <n v="138"/>
    <x v="0"/>
    <x v="0"/>
    <n v="21"/>
    <n v="42"/>
  </r>
  <r>
    <s v="ORD8604820"/>
    <s v="ITM023"/>
    <n v="1"/>
    <n v="139"/>
    <x v="18"/>
    <x v="1"/>
    <n v="42"/>
    <n v="42"/>
  </r>
  <r>
    <s v="ORD1880761"/>
    <s v="ITM008"/>
    <n v="2"/>
    <n v="198"/>
    <x v="9"/>
    <x v="2"/>
    <n v="30"/>
    <n v="60"/>
  </r>
  <r>
    <s v="ORD1880761"/>
    <s v="ITM012"/>
    <n v="1"/>
    <n v="89"/>
    <x v="8"/>
    <x v="0"/>
    <n v="27"/>
    <n v="27"/>
  </r>
  <r>
    <s v="ORD4768730"/>
    <s v="ITM027"/>
    <n v="1"/>
    <n v="79"/>
    <x v="10"/>
    <x v="4"/>
    <n v="24"/>
    <n v="24"/>
  </r>
  <r>
    <s v="ORD4768730"/>
    <s v="ITM019"/>
    <n v="1"/>
    <n v="149"/>
    <x v="11"/>
    <x v="1"/>
    <n v="45"/>
    <n v="45"/>
  </r>
  <r>
    <s v="ORD6817661"/>
    <s v="ITM016"/>
    <n v="2"/>
    <n v="198"/>
    <x v="7"/>
    <x v="1"/>
    <n v="30"/>
    <n v="60"/>
  </r>
  <r>
    <s v="ORD6817661"/>
    <s v="ITM007"/>
    <n v="1"/>
    <n v="79"/>
    <x v="19"/>
    <x v="2"/>
    <n v="24"/>
    <n v="24"/>
  </r>
  <r>
    <s v="ORD5651218"/>
    <s v="ITM024"/>
    <n v="1"/>
    <n v="79"/>
    <x v="17"/>
    <x v="4"/>
    <n v="24"/>
    <n v="24"/>
  </r>
  <r>
    <s v="ORD5651218"/>
    <s v="ITM019"/>
    <n v="5"/>
    <n v="745"/>
    <x v="11"/>
    <x v="1"/>
    <n v="45"/>
    <n v="225"/>
  </r>
  <r>
    <s v="ORD1363038"/>
    <s v="ITM006"/>
    <n v="1"/>
    <n v="89"/>
    <x v="3"/>
    <x v="3"/>
    <n v="27"/>
    <n v="27"/>
  </r>
  <r>
    <s v="ORD1363038"/>
    <s v="ITM022"/>
    <n v="1"/>
    <n v="99"/>
    <x v="23"/>
    <x v="1"/>
    <n v="30"/>
    <n v="30"/>
  </r>
  <r>
    <s v="ORD1363038"/>
    <s v="ITM005"/>
    <n v="1"/>
    <n v="99"/>
    <x v="16"/>
    <x v="3"/>
    <n v="30"/>
    <n v="30"/>
  </r>
  <r>
    <s v="ORD2506164"/>
    <s v="ITM023"/>
    <n v="5"/>
    <n v="695"/>
    <x v="18"/>
    <x v="1"/>
    <n v="42"/>
    <n v="210"/>
  </r>
  <r>
    <s v="ORD2506164"/>
    <s v="ITM017"/>
    <n v="2"/>
    <n v="298"/>
    <x v="6"/>
    <x v="1"/>
    <n v="45"/>
    <n v="90"/>
  </r>
  <r>
    <s v="ORD2506164"/>
    <s v="ITM002"/>
    <n v="2"/>
    <n v="198"/>
    <x v="12"/>
    <x v="5"/>
    <n v="30"/>
    <n v="60"/>
  </r>
  <r>
    <s v="ORD2506164"/>
    <s v="ITM010"/>
    <n v="1"/>
    <n v="59"/>
    <x v="20"/>
    <x v="0"/>
    <n v="18"/>
    <n v="18"/>
  </r>
  <r>
    <s v="ORD2320303"/>
    <s v="ITM003"/>
    <n v="1"/>
    <n v="119"/>
    <x v="27"/>
    <x v="5"/>
    <n v="36"/>
    <n v="36"/>
  </r>
  <r>
    <s v="ORD2320303"/>
    <s v="ITM012"/>
    <n v="2"/>
    <n v="178"/>
    <x v="8"/>
    <x v="0"/>
    <n v="27"/>
    <n v="54"/>
  </r>
  <r>
    <s v="ORD6792490"/>
    <s v="ITM021"/>
    <n v="1"/>
    <n v="149"/>
    <x v="22"/>
    <x v="1"/>
    <n v="45"/>
    <n v="45"/>
  </r>
  <r>
    <s v="ORD6792490"/>
    <s v="ITM020"/>
    <n v="5"/>
    <n v="795"/>
    <x v="21"/>
    <x v="1"/>
    <n v="48"/>
    <n v="240"/>
  </r>
  <r>
    <s v="ORD6269035"/>
    <s v="ITM004"/>
    <n v="1"/>
    <n v="79"/>
    <x v="5"/>
    <x v="3"/>
    <n v="24"/>
    <n v="24"/>
  </r>
  <r>
    <s v="ORD6269035"/>
    <s v="ITM026"/>
    <n v="1"/>
    <n v="79"/>
    <x v="4"/>
    <x v="4"/>
    <n v="24"/>
    <n v="24"/>
  </r>
  <r>
    <s v="ORD7887337"/>
    <s v="ITM016"/>
    <n v="4"/>
    <n v="396"/>
    <x v="7"/>
    <x v="1"/>
    <n v="30"/>
    <n v="120"/>
  </r>
  <r>
    <s v="ORD7887337"/>
    <s v="ITM003"/>
    <n v="1"/>
    <n v="119"/>
    <x v="27"/>
    <x v="5"/>
    <n v="36"/>
    <n v="36"/>
  </r>
  <r>
    <s v="ORD7887337"/>
    <s v="ITM019"/>
    <n v="1"/>
    <n v="149"/>
    <x v="11"/>
    <x v="1"/>
    <n v="45"/>
    <n v="45"/>
  </r>
  <r>
    <s v="ORD7887337"/>
    <s v="ITM011"/>
    <n v="1"/>
    <n v="79"/>
    <x v="26"/>
    <x v="0"/>
    <n v="24"/>
    <n v="24"/>
  </r>
  <r>
    <s v="ORD6274627"/>
    <s v="ITM022"/>
    <n v="1"/>
    <n v="99"/>
    <x v="23"/>
    <x v="1"/>
    <n v="30"/>
    <n v="30"/>
  </r>
  <r>
    <s v="ORD6274627"/>
    <s v="ITM019"/>
    <n v="1"/>
    <n v="149"/>
    <x v="11"/>
    <x v="1"/>
    <n v="45"/>
    <n v="45"/>
  </r>
  <r>
    <s v="ORD6274627"/>
    <s v="ITM012"/>
    <n v="3"/>
    <n v="267"/>
    <x v="8"/>
    <x v="0"/>
    <n v="27"/>
    <n v="81"/>
  </r>
  <r>
    <s v="ORD1705194"/>
    <s v="ITM002"/>
    <n v="4"/>
    <n v="396"/>
    <x v="12"/>
    <x v="5"/>
    <n v="30"/>
    <n v="120"/>
  </r>
  <r>
    <s v="ORD9146884"/>
    <s v="ITM016"/>
    <n v="1"/>
    <n v="99"/>
    <x v="7"/>
    <x v="1"/>
    <n v="30"/>
    <n v="30"/>
  </r>
  <r>
    <s v="ORD9146884"/>
    <s v="ITM006"/>
    <n v="5"/>
    <n v="445"/>
    <x v="3"/>
    <x v="3"/>
    <n v="27"/>
    <n v="135"/>
  </r>
  <r>
    <s v="ORD9527123"/>
    <s v="ITM003"/>
    <n v="1"/>
    <n v="119"/>
    <x v="27"/>
    <x v="5"/>
    <n v="36"/>
    <n v="36"/>
  </r>
  <r>
    <s v="ORD9527123"/>
    <s v="ITM022"/>
    <n v="1"/>
    <n v="99"/>
    <x v="23"/>
    <x v="1"/>
    <n v="30"/>
    <n v="30"/>
  </r>
  <r>
    <s v="ORD9527123"/>
    <s v="ITM020"/>
    <n v="2"/>
    <n v="318"/>
    <x v="21"/>
    <x v="1"/>
    <n v="48"/>
    <n v="96"/>
  </r>
  <r>
    <s v="ORD9997668"/>
    <s v="ITM006"/>
    <n v="2"/>
    <n v="178"/>
    <x v="3"/>
    <x v="3"/>
    <n v="27"/>
    <n v="54"/>
  </r>
  <r>
    <s v="ORD9997668"/>
    <s v="ITM002"/>
    <n v="1"/>
    <n v="99"/>
    <x v="12"/>
    <x v="5"/>
    <n v="30"/>
    <n v="30"/>
  </r>
  <r>
    <s v="ORD5871820"/>
    <s v="ITM006"/>
    <n v="1"/>
    <n v="89"/>
    <x v="3"/>
    <x v="3"/>
    <n v="27"/>
    <n v="27"/>
  </r>
  <r>
    <s v="ORD5871820"/>
    <s v="ITM007"/>
    <n v="1"/>
    <n v="79"/>
    <x v="19"/>
    <x v="2"/>
    <n v="24"/>
    <n v="24"/>
  </r>
  <r>
    <s v="ORD7716629"/>
    <s v="ITM024"/>
    <n v="2"/>
    <n v="158"/>
    <x v="17"/>
    <x v="4"/>
    <n v="24"/>
    <n v="48"/>
  </r>
  <r>
    <s v="ORD7716629"/>
    <s v="ITM021"/>
    <n v="5"/>
    <n v="745"/>
    <x v="22"/>
    <x v="1"/>
    <n v="45"/>
    <n v="225"/>
  </r>
  <r>
    <s v="ORD8741856"/>
    <s v="ITM016"/>
    <n v="4"/>
    <n v="396"/>
    <x v="7"/>
    <x v="1"/>
    <n v="30"/>
    <n v="120"/>
  </r>
  <r>
    <s v="ORD8741856"/>
    <s v="ITM015"/>
    <n v="1"/>
    <n v="149"/>
    <x v="1"/>
    <x v="1"/>
    <n v="45"/>
    <n v="45"/>
  </r>
  <r>
    <s v="ORD2694100"/>
    <s v="ITM011"/>
    <n v="2"/>
    <n v="158"/>
    <x v="26"/>
    <x v="0"/>
    <n v="24"/>
    <n v="48"/>
  </r>
  <r>
    <s v="ORD2694100"/>
    <s v="ITM002"/>
    <n v="3"/>
    <n v="297"/>
    <x v="12"/>
    <x v="5"/>
    <n v="30"/>
    <n v="90"/>
  </r>
  <r>
    <s v="ORD8363445"/>
    <s v="ITM005"/>
    <n v="2"/>
    <n v="198"/>
    <x v="16"/>
    <x v="3"/>
    <n v="30"/>
    <n v="60"/>
  </r>
  <r>
    <s v="ORD8363445"/>
    <s v="ITM020"/>
    <n v="5"/>
    <n v="795"/>
    <x v="21"/>
    <x v="1"/>
    <n v="48"/>
    <n v="240"/>
  </r>
  <r>
    <s v="ORD5059317"/>
    <s v="ITM004"/>
    <n v="1"/>
    <n v="79"/>
    <x v="5"/>
    <x v="3"/>
    <n v="24"/>
    <n v="24"/>
  </r>
  <r>
    <s v="ORD5059317"/>
    <s v="ITM016"/>
    <n v="3"/>
    <n v="297"/>
    <x v="7"/>
    <x v="1"/>
    <n v="30"/>
    <n v="90"/>
  </r>
  <r>
    <s v="ORD5059317"/>
    <s v="ITM015"/>
    <n v="3"/>
    <n v="447"/>
    <x v="1"/>
    <x v="1"/>
    <n v="45"/>
    <n v="135"/>
  </r>
  <r>
    <s v="ORD1965982"/>
    <s v="ITM027"/>
    <n v="5"/>
    <n v="395"/>
    <x v="10"/>
    <x v="4"/>
    <n v="24"/>
    <n v="120"/>
  </r>
  <r>
    <s v="ORD1965982"/>
    <s v="ITM019"/>
    <n v="1"/>
    <n v="149"/>
    <x v="11"/>
    <x v="1"/>
    <n v="45"/>
    <n v="45"/>
  </r>
  <r>
    <s v="ORD1965982"/>
    <s v="ITM010"/>
    <n v="5"/>
    <n v="295"/>
    <x v="20"/>
    <x v="0"/>
    <n v="18"/>
    <n v="90"/>
  </r>
  <r>
    <s v="ORD1965982"/>
    <s v="ITM009"/>
    <n v="2"/>
    <n v="178"/>
    <x v="2"/>
    <x v="2"/>
    <n v="27"/>
    <n v="54"/>
  </r>
  <r>
    <s v="ORD9321087"/>
    <s v="ITM007"/>
    <n v="1"/>
    <n v="79"/>
    <x v="19"/>
    <x v="2"/>
    <n v="24"/>
    <n v="24"/>
  </r>
  <r>
    <s v="ORD9321087"/>
    <s v="ITM005"/>
    <n v="1"/>
    <n v="99"/>
    <x v="16"/>
    <x v="3"/>
    <n v="30"/>
    <n v="30"/>
  </r>
  <r>
    <s v="ORD9321087"/>
    <s v="ITM015"/>
    <n v="1"/>
    <n v="149"/>
    <x v="1"/>
    <x v="1"/>
    <n v="45"/>
    <n v="45"/>
  </r>
  <r>
    <s v="ORD2333249"/>
    <s v="ITM005"/>
    <n v="4"/>
    <n v="396"/>
    <x v="16"/>
    <x v="3"/>
    <n v="30"/>
    <n v="120"/>
  </r>
  <r>
    <s v="ORD2333249"/>
    <s v="ITM009"/>
    <n v="5"/>
    <n v="445"/>
    <x v="2"/>
    <x v="2"/>
    <n v="27"/>
    <n v="135"/>
  </r>
  <r>
    <s v="ORD7925241"/>
    <s v="ITM013"/>
    <n v="1"/>
    <n v="69"/>
    <x v="0"/>
    <x v="0"/>
    <n v="21"/>
    <n v="21"/>
  </r>
  <r>
    <s v="ORD7925241"/>
    <s v="ITM012"/>
    <n v="1"/>
    <n v="89"/>
    <x v="8"/>
    <x v="0"/>
    <n v="27"/>
    <n v="27"/>
  </r>
  <r>
    <s v="ORD7925241"/>
    <s v="ITM015"/>
    <n v="2"/>
    <n v="298"/>
    <x v="1"/>
    <x v="1"/>
    <n v="45"/>
    <n v="90"/>
  </r>
  <r>
    <s v="ORD3783903"/>
    <s v="ITM024"/>
    <n v="1"/>
    <n v="79"/>
    <x v="17"/>
    <x v="4"/>
    <n v="24"/>
    <n v="24"/>
  </r>
  <r>
    <s v="ORD3783903"/>
    <s v="ITM005"/>
    <n v="1"/>
    <n v="99"/>
    <x v="16"/>
    <x v="3"/>
    <n v="30"/>
    <n v="30"/>
  </r>
  <r>
    <s v="ORD7190164"/>
    <s v="ITM008"/>
    <n v="3"/>
    <n v="297"/>
    <x v="9"/>
    <x v="2"/>
    <n v="30"/>
    <n v="90"/>
  </r>
  <r>
    <s v="ORD7190164"/>
    <s v="ITM002"/>
    <n v="1"/>
    <n v="99"/>
    <x v="12"/>
    <x v="5"/>
    <n v="30"/>
    <n v="30"/>
  </r>
  <r>
    <s v="ORD7190164"/>
    <s v="ITM025"/>
    <n v="3"/>
    <n v="237"/>
    <x v="25"/>
    <x v="4"/>
    <n v="24"/>
    <n v="72"/>
  </r>
  <r>
    <s v="ORD2925327"/>
    <s v="ITM004"/>
    <n v="1"/>
    <n v="79"/>
    <x v="5"/>
    <x v="3"/>
    <n v="24"/>
    <n v="24"/>
  </r>
  <r>
    <s v="ORD2925327"/>
    <s v="ITM016"/>
    <n v="1"/>
    <n v="99"/>
    <x v="7"/>
    <x v="1"/>
    <n v="30"/>
    <n v="30"/>
  </r>
  <r>
    <s v="ORD8946282"/>
    <s v="ITM022"/>
    <n v="1"/>
    <n v="99"/>
    <x v="23"/>
    <x v="1"/>
    <n v="30"/>
    <n v="30"/>
  </r>
  <r>
    <s v="ORD8946282"/>
    <s v="ITM023"/>
    <n v="1"/>
    <n v="139"/>
    <x v="18"/>
    <x v="1"/>
    <n v="42"/>
    <n v="42"/>
  </r>
  <r>
    <s v="ORD7591537"/>
    <s v="ITM014"/>
    <n v="1"/>
    <n v="119"/>
    <x v="14"/>
    <x v="1"/>
    <n v="36"/>
    <n v="36"/>
  </r>
  <r>
    <s v="ORD7591537"/>
    <s v="ITM008"/>
    <n v="1"/>
    <n v="99"/>
    <x v="9"/>
    <x v="2"/>
    <n v="30"/>
    <n v="30"/>
  </r>
  <r>
    <s v="ORD7386221"/>
    <s v="ITM022"/>
    <n v="2"/>
    <n v="198"/>
    <x v="23"/>
    <x v="1"/>
    <n v="30"/>
    <n v="60"/>
  </r>
  <r>
    <s v="ORD7386221"/>
    <s v="ITM017"/>
    <n v="1"/>
    <n v="149"/>
    <x v="6"/>
    <x v="1"/>
    <n v="45"/>
    <n v="45"/>
  </r>
  <r>
    <s v="ORD7386221"/>
    <s v="ITM008"/>
    <n v="1"/>
    <n v="99"/>
    <x v="9"/>
    <x v="2"/>
    <n v="30"/>
    <n v="30"/>
  </r>
  <r>
    <s v="ORD7386221"/>
    <s v="ITM025"/>
    <n v="1"/>
    <n v="79"/>
    <x v="25"/>
    <x v="4"/>
    <n v="24"/>
    <n v="24"/>
  </r>
  <r>
    <s v="ORD2710197"/>
    <s v="ITM018"/>
    <n v="2"/>
    <n v="318"/>
    <x v="15"/>
    <x v="1"/>
    <n v="48"/>
    <n v="96"/>
  </r>
  <r>
    <s v="ORD2710197"/>
    <s v="ITM023"/>
    <n v="2"/>
    <n v="278"/>
    <x v="18"/>
    <x v="1"/>
    <n v="42"/>
    <n v="84"/>
  </r>
  <r>
    <s v="ORD2710197"/>
    <s v="ITM012"/>
    <n v="4"/>
    <n v="356"/>
    <x v="8"/>
    <x v="0"/>
    <n v="27"/>
    <n v="108"/>
  </r>
  <r>
    <s v="ORD2710197"/>
    <s v="ITM020"/>
    <n v="2"/>
    <n v="318"/>
    <x v="21"/>
    <x v="1"/>
    <n v="48"/>
    <n v="96"/>
  </r>
  <r>
    <s v="ORD2316876"/>
    <s v="ITM021"/>
    <n v="2"/>
    <n v="298"/>
    <x v="22"/>
    <x v="1"/>
    <n v="45"/>
    <n v="90"/>
  </r>
  <r>
    <s v="ORD4883185"/>
    <s v="ITM004"/>
    <n v="2"/>
    <n v="158"/>
    <x v="5"/>
    <x v="3"/>
    <n v="24"/>
    <n v="48"/>
  </r>
  <r>
    <s v="ORD4883185"/>
    <s v="ITM023"/>
    <n v="1"/>
    <n v="139"/>
    <x v="18"/>
    <x v="1"/>
    <n v="42"/>
    <n v="42"/>
  </r>
  <r>
    <s v="ORD7482581"/>
    <s v="ITM019"/>
    <n v="2"/>
    <n v="298"/>
    <x v="11"/>
    <x v="1"/>
    <n v="45"/>
    <n v="90"/>
  </r>
  <r>
    <s v="ORD7538508"/>
    <s v="ITM004"/>
    <n v="2"/>
    <n v="158"/>
    <x v="5"/>
    <x v="3"/>
    <n v="24"/>
    <n v="48"/>
  </r>
  <r>
    <s v="ORD7538508"/>
    <s v="ITM021"/>
    <n v="2"/>
    <n v="298"/>
    <x v="22"/>
    <x v="1"/>
    <n v="45"/>
    <n v="90"/>
  </r>
  <r>
    <s v="ORD8545277"/>
    <s v="ITM018"/>
    <n v="5"/>
    <n v="795"/>
    <x v="15"/>
    <x v="1"/>
    <n v="48"/>
    <n v="240"/>
  </r>
  <r>
    <s v="ORD5847450"/>
    <s v="ITM027"/>
    <n v="1"/>
    <n v="79"/>
    <x v="10"/>
    <x v="4"/>
    <n v="24"/>
    <n v="24"/>
  </r>
  <r>
    <s v="ORD5847450"/>
    <s v="ITM018"/>
    <n v="3"/>
    <n v="477"/>
    <x v="15"/>
    <x v="1"/>
    <n v="48"/>
    <n v="144"/>
  </r>
  <r>
    <s v="ORD1762915"/>
    <s v="ITM007"/>
    <n v="2"/>
    <n v="158"/>
    <x v="19"/>
    <x v="2"/>
    <n v="24"/>
    <n v="48"/>
  </r>
  <r>
    <s v="ORD1762915"/>
    <s v="ITM026"/>
    <n v="1"/>
    <n v="79"/>
    <x v="4"/>
    <x v="4"/>
    <n v="24"/>
    <n v="24"/>
  </r>
  <r>
    <s v="ORD6404262"/>
    <s v="ITM012"/>
    <n v="1"/>
    <n v="89"/>
    <x v="8"/>
    <x v="0"/>
    <n v="27"/>
    <n v="27"/>
  </r>
  <r>
    <s v="ORD6404262"/>
    <s v="ITM009"/>
    <n v="1"/>
    <n v="89"/>
    <x v="2"/>
    <x v="2"/>
    <n v="27"/>
    <n v="27"/>
  </r>
  <r>
    <s v="ORD9704445"/>
    <s v="ITM003"/>
    <n v="1"/>
    <n v="119"/>
    <x v="27"/>
    <x v="5"/>
    <n v="36"/>
    <n v="36"/>
  </r>
  <r>
    <s v="ORD9704445"/>
    <s v="ITM008"/>
    <n v="2"/>
    <n v="198"/>
    <x v="9"/>
    <x v="2"/>
    <n v="30"/>
    <n v="60"/>
  </r>
  <r>
    <s v="ORD8860718"/>
    <s v="ITM021"/>
    <n v="1"/>
    <n v="149"/>
    <x v="22"/>
    <x v="1"/>
    <n v="45"/>
    <n v="45"/>
  </r>
  <r>
    <s v="ORD8860718"/>
    <s v="ITM014"/>
    <n v="2"/>
    <n v="238"/>
    <x v="14"/>
    <x v="1"/>
    <n v="36"/>
    <n v="72"/>
  </r>
  <r>
    <s v="ORD8860718"/>
    <s v="ITM026"/>
    <n v="2"/>
    <n v="158"/>
    <x v="4"/>
    <x v="4"/>
    <n v="24"/>
    <n v="48"/>
  </r>
  <r>
    <s v="ORD2239574"/>
    <s v="ITM020"/>
    <n v="1"/>
    <n v="159"/>
    <x v="21"/>
    <x v="1"/>
    <n v="48"/>
    <n v="48"/>
  </r>
  <r>
    <s v="ORD6983968"/>
    <s v="ITM007"/>
    <n v="2"/>
    <n v="158"/>
    <x v="19"/>
    <x v="2"/>
    <n v="24"/>
    <n v="48"/>
  </r>
  <r>
    <s v="ORD6983968"/>
    <s v="ITM019"/>
    <n v="2"/>
    <n v="298"/>
    <x v="11"/>
    <x v="1"/>
    <n v="45"/>
    <n v="90"/>
  </r>
  <r>
    <s v="ORD6983968"/>
    <s v="ITM013"/>
    <n v="3"/>
    <n v="207"/>
    <x v="0"/>
    <x v="0"/>
    <n v="21"/>
    <n v="63"/>
  </r>
  <r>
    <s v="ORD6983968"/>
    <s v="ITM009"/>
    <n v="5"/>
    <n v="445"/>
    <x v="2"/>
    <x v="2"/>
    <n v="27"/>
    <n v="135"/>
  </r>
  <r>
    <s v="ORD1444826"/>
    <s v="ITM011"/>
    <n v="3"/>
    <n v="237"/>
    <x v="26"/>
    <x v="0"/>
    <n v="24"/>
    <n v="72"/>
  </r>
  <r>
    <s v="ORD1444826"/>
    <s v="ITM024"/>
    <n v="1"/>
    <n v="79"/>
    <x v="17"/>
    <x v="4"/>
    <n v="24"/>
    <n v="24"/>
  </r>
  <r>
    <s v="ORD1444826"/>
    <s v="ITM025"/>
    <n v="2"/>
    <n v="158"/>
    <x v="25"/>
    <x v="4"/>
    <n v="24"/>
    <n v="48"/>
  </r>
  <r>
    <s v="ORD2873480"/>
    <s v="ITM007"/>
    <n v="5"/>
    <n v="395"/>
    <x v="19"/>
    <x v="2"/>
    <n v="24"/>
    <n v="120"/>
  </r>
  <r>
    <s v="ORD2873480"/>
    <s v="ITM022"/>
    <n v="1"/>
    <n v="99"/>
    <x v="23"/>
    <x v="1"/>
    <n v="30"/>
    <n v="30"/>
  </r>
  <r>
    <s v="ORD3554104"/>
    <s v="ITM022"/>
    <n v="1"/>
    <n v="99"/>
    <x v="23"/>
    <x v="1"/>
    <n v="30"/>
    <n v="30"/>
  </r>
  <r>
    <s v="ORD3554104"/>
    <s v="ITM023"/>
    <n v="1"/>
    <n v="139"/>
    <x v="18"/>
    <x v="1"/>
    <n v="42"/>
    <n v="42"/>
  </r>
  <r>
    <s v="ORD8604021"/>
    <s v="ITM003"/>
    <n v="1"/>
    <n v="119"/>
    <x v="27"/>
    <x v="5"/>
    <n v="36"/>
    <n v="36"/>
  </r>
  <r>
    <s v="ORD8604021"/>
    <s v="ITM025"/>
    <n v="2"/>
    <n v="158"/>
    <x v="25"/>
    <x v="4"/>
    <n v="24"/>
    <n v="48"/>
  </r>
  <r>
    <s v="ORD8221267"/>
    <s v="ITM016"/>
    <n v="3"/>
    <n v="297"/>
    <x v="7"/>
    <x v="1"/>
    <n v="30"/>
    <n v="90"/>
  </r>
  <r>
    <s v="ORD8221267"/>
    <s v="ITM004"/>
    <n v="3"/>
    <n v="237"/>
    <x v="5"/>
    <x v="3"/>
    <n v="24"/>
    <n v="72"/>
  </r>
  <r>
    <s v="ORD7596826"/>
    <s v="ITM006"/>
    <n v="1"/>
    <n v="89"/>
    <x v="3"/>
    <x v="3"/>
    <n v="27"/>
    <n v="27"/>
  </r>
  <r>
    <s v="ORD7596826"/>
    <s v="ITM024"/>
    <n v="1"/>
    <n v="79"/>
    <x v="17"/>
    <x v="4"/>
    <n v="24"/>
    <n v="24"/>
  </r>
  <r>
    <s v="ORD7596826"/>
    <s v="ITM021"/>
    <n v="3"/>
    <n v="447"/>
    <x v="22"/>
    <x v="1"/>
    <n v="45"/>
    <n v="135"/>
  </r>
  <r>
    <s v="ORD7050186"/>
    <s v="ITM023"/>
    <n v="2"/>
    <n v="278"/>
    <x v="18"/>
    <x v="1"/>
    <n v="42"/>
    <n v="84"/>
  </r>
  <r>
    <s v="ORD7669492"/>
    <s v="ITM011"/>
    <n v="1"/>
    <n v="79"/>
    <x v="26"/>
    <x v="0"/>
    <n v="24"/>
    <n v="24"/>
  </r>
  <r>
    <s v="ORD7669492"/>
    <s v="ITM023"/>
    <n v="2"/>
    <n v="278"/>
    <x v="18"/>
    <x v="1"/>
    <n v="42"/>
    <n v="84"/>
  </r>
  <r>
    <s v="ORD7669492"/>
    <s v="ITM018"/>
    <n v="1"/>
    <n v="159"/>
    <x v="15"/>
    <x v="1"/>
    <n v="48"/>
    <n v="48"/>
  </r>
  <r>
    <s v="ORD7669492"/>
    <s v="ITM004"/>
    <n v="5"/>
    <n v="395"/>
    <x v="5"/>
    <x v="3"/>
    <n v="24"/>
    <n v="120"/>
  </r>
  <r>
    <s v="ORD2395263"/>
    <s v="ITM023"/>
    <n v="2"/>
    <n v="278"/>
    <x v="18"/>
    <x v="1"/>
    <n v="42"/>
    <n v="84"/>
  </r>
  <r>
    <s v="ORD2395263"/>
    <s v="ITM013"/>
    <n v="2"/>
    <n v="138"/>
    <x v="0"/>
    <x v="0"/>
    <n v="21"/>
    <n v="4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4">
  <r>
    <s v="ORD6443037"/>
    <s v="CUST0182"/>
    <s v="Swiggy"/>
    <x v="0"/>
    <d v="1899-12-30T16:05:00"/>
    <x v="0"/>
    <x v="0"/>
    <x v="0"/>
    <n v="207"/>
    <n v="207"/>
    <x v="0"/>
  </r>
  <r>
    <s v="ORD7387623"/>
    <s v="CUST0267"/>
    <s v="Zomato"/>
    <x v="1"/>
    <d v="1899-12-30T12:36:00"/>
    <x v="0"/>
    <x v="1"/>
    <x v="0"/>
    <n v="238"/>
    <n v="238"/>
    <x v="1"/>
  </r>
  <r>
    <s v="ORD4280754"/>
    <s v="CUST0370"/>
    <s v="Swiggy"/>
    <x v="2"/>
    <d v="1899-12-30T18:15:00"/>
    <x v="0"/>
    <x v="2"/>
    <x v="0"/>
    <n v="356"/>
    <n v="356"/>
    <x v="2"/>
  </r>
  <r>
    <s v="ORD3283789"/>
    <s v="CUST0172"/>
    <s v="Zomato"/>
    <x v="3"/>
    <d v="1899-12-30T14:28:00"/>
    <x v="0"/>
    <x v="3"/>
    <x v="0"/>
    <n v="484"/>
    <n v="484"/>
    <x v="0"/>
  </r>
  <r>
    <s v="ORD7309161"/>
    <s v="CUST0401"/>
    <s v="Zomato"/>
    <x v="4"/>
    <d v="1899-12-30T22:36:00"/>
    <x v="0"/>
    <x v="4"/>
    <x v="0"/>
    <n v="1010"/>
    <n v="1010"/>
    <x v="2"/>
  </r>
  <r>
    <s v="ORD7864256"/>
    <s v="CUST0355"/>
    <s v="Zomato"/>
    <x v="5"/>
    <d v="1899-12-30T18:53:00"/>
    <x v="0"/>
    <x v="5"/>
    <x v="1"/>
    <n v="169.2"/>
    <n v="188"/>
    <x v="1"/>
  </r>
  <r>
    <s v="ORD8017921"/>
    <s v="CUST0206"/>
    <s v="Swiggy"/>
    <x v="6"/>
    <d v="1899-12-30T22:37:00"/>
    <x v="0"/>
    <x v="6"/>
    <x v="0"/>
    <n v="158"/>
    <n v="158"/>
    <x v="1"/>
  </r>
  <r>
    <s v="ORD6956059"/>
    <s v="CUST0128"/>
    <s v="Swiggy"/>
    <x v="7"/>
    <d v="1899-12-30T10:49:00"/>
    <x v="0"/>
    <x v="7"/>
    <x v="0"/>
    <n v="691"/>
    <n v="691"/>
    <x v="1"/>
  </r>
  <r>
    <s v="ORD4708297"/>
    <s v="CUST0266"/>
    <s v="Swiggy"/>
    <x v="8"/>
    <d v="1899-12-30T20:47:00"/>
    <x v="0"/>
    <x v="8"/>
    <x v="0"/>
    <n v="387"/>
    <n v="387"/>
    <x v="1"/>
  </r>
  <r>
    <s v="ORD3376915"/>
    <s v="CUST0426"/>
    <s v="Direct"/>
    <x v="9"/>
    <d v="1899-12-30T16:07:00"/>
    <x v="0"/>
    <x v="9"/>
    <x v="2"/>
    <n v="374.4"/>
    <n v="416"/>
    <x v="1"/>
  </r>
  <r>
    <s v="ORD2930810"/>
    <s v="CUST0023"/>
    <s v="Swiggy"/>
    <x v="10"/>
    <d v="1899-12-30T16:19:00"/>
    <x v="0"/>
    <x v="10"/>
    <x v="3"/>
    <n v="499.5"/>
    <n v="555"/>
    <x v="1"/>
  </r>
  <r>
    <s v="ORD7636771"/>
    <s v="CUST0328"/>
    <s v="Swiggy"/>
    <x v="11"/>
    <d v="1899-12-30T17:11:00"/>
    <x v="0"/>
    <x v="11"/>
    <x v="0"/>
    <n v="267"/>
    <n v="267"/>
    <x v="1"/>
  </r>
  <r>
    <s v="ORD8676422"/>
    <s v="CUST0188"/>
    <s v="Zomato"/>
    <x v="12"/>
    <d v="1899-12-30T20:11:00"/>
    <x v="0"/>
    <x v="12"/>
    <x v="0"/>
    <n v="476"/>
    <n v="476"/>
    <x v="1"/>
  </r>
  <r>
    <s v="ORD5990296"/>
    <s v="CUST0089"/>
    <s v="Swiggy"/>
    <x v="13"/>
    <d v="1899-12-30T19:39:00"/>
    <x v="1"/>
    <x v="13"/>
    <x v="0"/>
    <n v="0"/>
    <n v="287"/>
    <x v="1"/>
  </r>
  <r>
    <s v="ORD3906397"/>
    <s v="CUST0250"/>
    <s v="Swiggy"/>
    <x v="14"/>
    <d v="1899-12-30T19:11:00"/>
    <x v="0"/>
    <x v="14"/>
    <x v="0"/>
    <n v="445"/>
    <n v="445"/>
    <x v="1"/>
  </r>
  <r>
    <s v="ORD9479842"/>
    <s v="CUST0197"/>
    <s v="Direct"/>
    <x v="15"/>
    <d v="1899-12-30T17:52:00"/>
    <x v="0"/>
    <x v="15"/>
    <x v="0"/>
    <n v="308"/>
    <n v="308"/>
    <x v="1"/>
  </r>
  <r>
    <s v="ORD3822078"/>
    <s v="CUST0116"/>
    <s v="Swiggy"/>
    <x v="12"/>
    <d v="1899-12-30T16:17:00"/>
    <x v="0"/>
    <x v="16"/>
    <x v="0"/>
    <n v="447"/>
    <n v="447"/>
    <x v="1"/>
  </r>
  <r>
    <s v="ORD4666525"/>
    <s v="CUST0369"/>
    <s v="Zomato"/>
    <x v="16"/>
    <d v="1899-12-30T16:48:00"/>
    <x v="0"/>
    <x v="17"/>
    <x v="0"/>
    <n v="297"/>
    <n v="297"/>
    <x v="1"/>
  </r>
  <r>
    <s v="ORD2969410"/>
    <s v="CUST0419"/>
    <s v="Zomato"/>
    <x v="17"/>
    <d v="1899-12-30T18:55:00"/>
    <x v="0"/>
    <x v="18"/>
    <x v="0"/>
    <n v="765"/>
    <n v="765"/>
    <x v="0"/>
  </r>
  <r>
    <s v="ORD9930189"/>
    <s v="CUST0031"/>
    <s v="Swiggy"/>
    <x v="18"/>
    <d v="1899-12-30T12:51:00"/>
    <x v="0"/>
    <x v="19"/>
    <x v="0"/>
    <n v="552"/>
    <n v="552"/>
    <x v="1"/>
  </r>
  <r>
    <s v="ORD3128830"/>
    <s v="CUST0031"/>
    <s v="Direct"/>
    <x v="19"/>
    <d v="1899-12-30T19:58:00"/>
    <x v="0"/>
    <x v="20"/>
    <x v="0"/>
    <n v="615"/>
    <n v="615"/>
    <x v="1"/>
  </r>
  <r>
    <s v="ORD2561871"/>
    <s v="CUST0232"/>
    <s v="Zomato"/>
    <x v="20"/>
    <d v="1899-12-30T19:24:00"/>
    <x v="0"/>
    <x v="21"/>
    <x v="4"/>
    <n v="391.5"/>
    <n v="435"/>
    <x v="0"/>
  </r>
  <r>
    <s v="ORD7009980"/>
    <s v="CUST0235"/>
    <s v="Swiggy"/>
    <x v="21"/>
    <d v="1899-12-30T10:46:00"/>
    <x v="0"/>
    <x v="22"/>
    <x v="0"/>
    <n v="346"/>
    <n v="346"/>
    <x v="0"/>
  </r>
  <r>
    <s v="ORD1770794"/>
    <s v="CUST0350"/>
    <s v="Swiggy"/>
    <x v="22"/>
    <d v="1899-12-30T14:57:00"/>
    <x v="0"/>
    <x v="23"/>
    <x v="5"/>
    <n v="676.8"/>
    <n v="752"/>
    <x v="0"/>
  </r>
  <r>
    <s v="ORD5597283"/>
    <s v="CUST0333"/>
    <s v="Zomato"/>
    <x v="23"/>
    <d v="1899-12-30T11:56:00"/>
    <x v="0"/>
    <x v="11"/>
    <x v="0"/>
    <n v="267"/>
    <n v="267"/>
    <x v="1"/>
  </r>
  <r>
    <s v="ORD3226333"/>
    <s v="CUST0110"/>
    <s v="Zomato"/>
    <x v="24"/>
    <d v="1899-12-30T10:00:00"/>
    <x v="1"/>
    <x v="24"/>
    <x v="0"/>
    <n v="0"/>
    <n v="605"/>
    <x v="1"/>
  </r>
  <r>
    <s v="ORD2718442"/>
    <s v="CUST0197"/>
    <s v="Zomato"/>
    <x v="25"/>
    <d v="1899-12-30T16:14:00"/>
    <x v="0"/>
    <x v="25"/>
    <x v="6"/>
    <n v="453.9"/>
    <n v="534"/>
    <x v="1"/>
  </r>
  <r>
    <s v="ORD6891952"/>
    <s v="CUST0333"/>
    <s v="Zomato"/>
    <x v="26"/>
    <d v="1899-12-30T16:39:00"/>
    <x v="0"/>
    <x v="26"/>
    <x v="0"/>
    <n v="515"/>
    <n v="515"/>
    <x v="1"/>
  </r>
  <r>
    <s v="ORD5646746"/>
    <s v="CUST0406"/>
    <s v="Zomato"/>
    <x v="27"/>
    <d v="1899-12-30T19:20:00"/>
    <x v="0"/>
    <x v="27"/>
    <x v="7"/>
    <n v="667.25"/>
    <n v="785"/>
    <x v="1"/>
  </r>
  <r>
    <s v="ORD5958372"/>
    <s v="CUST0097"/>
    <s v="Swiggy"/>
    <x v="28"/>
    <d v="1899-12-30T20:32:00"/>
    <x v="0"/>
    <x v="28"/>
    <x v="0"/>
    <n v="366"/>
    <n v="366"/>
    <x v="0"/>
  </r>
  <r>
    <s v="ORD8060918"/>
    <s v="CUST0199"/>
    <s v="Direct"/>
    <x v="29"/>
    <d v="1899-12-30T18:08:00"/>
    <x v="0"/>
    <x v="29"/>
    <x v="0"/>
    <n v="376"/>
    <n v="376"/>
    <x v="1"/>
  </r>
  <r>
    <s v="ORD9406206"/>
    <s v="CUST0147"/>
    <s v="Swiggy"/>
    <x v="30"/>
    <d v="1899-12-30T15:32:00"/>
    <x v="0"/>
    <x v="8"/>
    <x v="8"/>
    <n v="367.65"/>
    <n v="387"/>
    <x v="2"/>
  </r>
  <r>
    <s v="ORD2109227"/>
    <s v="CUST0168"/>
    <s v="Zomato"/>
    <x v="31"/>
    <d v="1899-12-30T17:34:00"/>
    <x v="0"/>
    <x v="30"/>
    <x v="0"/>
    <n v="556"/>
    <n v="556"/>
    <x v="1"/>
  </r>
  <r>
    <s v="ORD1190431"/>
    <s v="CUST0007"/>
    <s v="Swiggy"/>
    <x v="32"/>
    <d v="1899-12-30T11:07:00"/>
    <x v="0"/>
    <x v="31"/>
    <x v="0"/>
    <n v="386"/>
    <n v="386"/>
    <x v="0"/>
  </r>
  <r>
    <s v="ORD8202871"/>
    <s v="CUST0461"/>
    <s v="Zomato"/>
    <x v="33"/>
    <d v="1899-12-30T10:49:00"/>
    <x v="0"/>
    <x v="32"/>
    <x v="0"/>
    <n v="575"/>
    <n v="575"/>
    <x v="1"/>
  </r>
  <r>
    <s v="ORD2934976"/>
    <s v="CUST0294"/>
    <s v="Swiggy"/>
    <x v="34"/>
    <d v="1899-12-30T16:57:00"/>
    <x v="0"/>
    <x v="33"/>
    <x v="0"/>
    <n v="218"/>
    <n v="218"/>
    <x v="1"/>
  </r>
  <r>
    <s v="ORD8035849"/>
    <s v="CUST0412"/>
    <s v="Direct"/>
    <x v="35"/>
    <d v="1899-12-30T09:35:00"/>
    <x v="0"/>
    <x v="34"/>
    <x v="0"/>
    <n v="228"/>
    <n v="228"/>
    <x v="0"/>
  </r>
  <r>
    <s v="ORD1770553"/>
    <s v="CUST0412"/>
    <s v="Swiggy"/>
    <x v="36"/>
    <d v="1899-12-30T11:14:00"/>
    <x v="0"/>
    <x v="35"/>
    <x v="0"/>
    <n v="119"/>
    <n v="119"/>
    <x v="0"/>
  </r>
  <r>
    <s v="ORD6098752"/>
    <s v="CUST0103"/>
    <s v="Zomato"/>
    <x v="37"/>
    <d v="1899-12-30T16:23:00"/>
    <x v="1"/>
    <x v="36"/>
    <x v="0"/>
    <n v="0"/>
    <n v="632"/>
    <x v="1"/>
  </r>
  <r>
    <s v="ORD4909053"/>
    <s v="CUST0478"/>
    <s v="Zomato"/>
    <x v="38"/>
    <d v="1899-12-30T11:00:00"/>
    <x v="0"/>
    <x v="37"/>
    <x v="0"/>
    <n v="455"/>
    <n v="455"/>
    <x v="1"/>
  </r>
  <r>
    <s v="ORD8043341"/>
    <s v="CUST0272"/>
    <s v="Direct"/>
    <x v="39"/>
    <d v="1899-12-30T10:13:00"/>
    <x v="0"/>
    <x v="38"/>
    <x v="0"/>
    <n v="831"/>
    <n v="831"/>
    <x v="1"/>
  </r>
  <r>
    <s v="ORD2255447"/>
    <s v="CUST0327"/>
    <s v="Swiggy"/>
    <x v="33"/>
    <d v="1899-12-30T20:08:00"/>
    <x v="1"/>
    <x v="26"/>
    <x v="0"/>
    <n v="0"/>
    <n v="515"/>
    <x v="1"/>
  </r>
  <r>
    <s v="ORD3283577"/>
    <s v="CUST0039"/>
    <s v="Direct"/>
    <x v="40"/>
    <d v="1899-12-30T18:14:00"/>
    <x v="1"/>
    <x v="39"/>
    <x v="0"/>
    <n v="0"/>
    <n v="79"/>
    <x v="0"/>
  </r>
  <r>
    <s v="ORD3011815"/>
    <s v="CUST0158"/>
    <s v="Zomato"/>
    <x v="41"/>
    <d v="1899-12-30T17:28:00"/>
    <x v="0"/>
    <x v="40"/>
    <x v="9"/>
    <n v="312.3"/>
    <n v="347"/>
    <x v="1"/>
  </r>
  <r>
    <s v="ORD6013715"/>
    <s v="CUST0263"/>
    <s v="Zomato"/>
    <x v="42"/>
    <d v="1899-12-30T14:25:00"/>
    <x v="0"/>
    <x v="41"/>
    <x v="10"/>
    <n v="658.35"/>
    <n v="693"/>
    <x v="0"/>
  </r>
  <r>
    <s v="ORD2409947"/>
    <s v="CUST0422"/>
    <s v="Zomato"/>
    <x v="43"/>
    <d v="1899-12-30T11:12:00"/>
    <x v="1"/>
    <x v="42"/>
    <x v="11"/>
    <n v="0"/>
    <n v="454"/>
    <x v="1"/>
  </r>
  <r>
    <s v="ORD7626978"/>
    <s v="CUST0474"/>
    <s v="Swiggy"/>
    <x v="44"/>
    <d v="1899-12-30T09:10:00"/>
    <x v="0"/>
    <x v="43"/>
    <x v="12"/>
    <n v="141.55000000000001"/>
    <n v="149"/>
    <x v="0"/>
  </r>
  <r>
    <s v="ORD5123584"/>
    <s v="CUST0077"/>
    <s v="Zomato"/>
    <x v="45"/>
    <d v="1899-12-30T19:56:00"/>
    <x v="0"/>
    <x v="34"/>
    <x v="0"/>
    <n v="228"/>
    <n v="228"/>
    <x v="1"/>
  </r>
  <r>
    <s v="ORD1327658"/>
    <s v="CUST0411"/>
    <s v="Swiggy"/>
    <x v="46"/>
    <d v="1899-12-30T12:40:00"/>
    <x v="0"/>
    <x v="44"/>
    <x v="0"/>
    <n v="663"/>
    <n v="663"/>
    <x v="1"/>
  </r>
  <r>
    <s v="ORD9882399"/>
    <s v="CUST0415"/>
    <s v="Direct"/>
    <x v="47"/>
    <d v="1899-12-30T18:03:00"/>
    <x v="0"/>
    <x v="45"/>
    <x v="0"/>
    <n v="384"/>
    <n v="384"/>
    <x v="1"/>
  </r>
  <r>
    <s v="ORD7516648"/>
    <s v="CUST0434"/>
    <s v="Direct"/>
    <x v="48"/>
    <d v="1899-12-30T12:36:00"/>
    <x v="0"/>
    <x v="46"/>
    <x v="0"/>
    <n v="562"/>
    <n v="562"/>
    <x v="1"/>
  </r>
  <r>
    <s v="ORD9258194"/>
    <s v="CUST0415"/>
    <s v="Direct"/>
    <x v="49"/>
    <d v="1899-12-30T17:53:00"/>
    <x v="0"/>
    <x v="34"/>
    <x v="0"/>
    <n v="228"/>
    <n v="228"/>
    <x v="1"/>
  </r>
  <r>
    <s v="ORD3977282"/>
    <s v="CUST0067"/>
    <s v="Zomato"/>
    <x v="50"/>
    <d v="1899-12-30T12:51:00"/>
    <x v="0"/>
    <x v="47"/>
    <x v="13"/>
    <n v="188.1"/>
    <n v="198"/>
    <x v="1"/>
  </r>
  <r>
    <s v="ORD7636992"/>
    <s v="CUST0361"/>
    <s v="Direct"/>
    <x v="51"/>
    <d v="1899-12-30T10:23:00"/>
    <x v="1"/>
    <x v="48"/>
    <x v="0"/>
    <n v="0"/>
    <n v="89"/>
    <x v="1"/>
  </r>
  <r>
    <s v="ORD6986539"/>
    <s v="CUST0163"/>
    <s v="Zomato"/>
    <x v="52"/>
    <d v="1899-12-30T22:41:00"/>
    <x v="0"/>
    <x v="40"/>
    <x v="0"/>
    <n v="347"/>
    <n v="347"/>
    <x v="1"/>
  </r>
  <r>
    <s v="ORD4706007"/>
    <s v="CUST0094"/>
    <s v="Swiggy"/>
    <x v="53"/>
    <d v="1899-12-30T00:02:00"/>
    <x v="0"/>
    <x v="43"/>
    <x v="14"/>
    <n v="134.1"/>
    <n v="149"/>
    <x v="0"/>
  </r>
  <r>
    <s v="ORD6632941"/>
    <s v="CUST0363"/>
    <s v="Swiggy"/>
    <x v="54"/>
    <d v="1899-12-30T16:52:00"/>
    <x v="0"/>
    <x v="6"/>
    <x v="0"/>
    <n v="158"/>
    <n v="158"/>
    <x v="0"/>
  </r>
  <r>
    <s v="ORD3790695"/>
    <s v="CUST0225"/>
    <s v="Swiggy"/>
    <x v="55"/>
    <d v="1899-12-30T09:24:00"/>
    <x v="0"/>
    <x v="49"/>
    <x v="0"/>
    <n v="277"/>
    <n v="277"/>
    <x v="1"/>
  </r>
  <r>
    <s v="ORD1560573"/>
    <s v="CUST0038"/>
    <s v="Swiggy"/>
    <x v="56"/>
    <d v="1899-12-30T11:28:00"/>
    <x v="0"/>
    <x v="50"/>
    <x v="0"/>
    <n v="99"/>
    <n v="99"/>
    <x v="2"/>
  </r>
  <r>
    <s v="ORD2562037"/>
    <s v="CUST0483"/>
    <s v="Direct"/>
    <x v="57"/>
    <d v="1899-12-30T16:35:00"/>
    <x v="0"/>
    <x v="51"/>
    <x v="0"/>
    <n v="1331"/>
    <n v="1331"/>
    <x v="1"/>
  </r>
  <r>
    <s v="ORD5450404"/>
    <s v="CUST0357"/>
    <s v="Swiggy"/>
    <x v="58"/>
    <d v="1899-12-30T17:26:00"/>
    <x v="0"/>
    <x v="52"/>
    <x v="15"/>
    <n v="319.2"/>
    <n v="336"/>
    <x v="1"/>
  </r>
  <r>
    <s v="ORD2627170"/>
    <s v="CUST0308"/>
    <s v="Zomato"/>
    <x v="59"/>
    <d v="1899-12-30T21:40:00"/>
    <x v="0"/>
    <x v="53"/>
    <x v="0"/>
    <n v="367"/>
    <n v="367"/>
    <x v="0"/>
  </r>
  <r>
    <s v="ORD4101792"/>
    <s v="CUST0329"/>
    <s v="Swiggy"/>
    <x v="60"/>
    <d v="1899-12-30T13:05:00"/>
    <x v="0"/>
    <x v="17"/>
    <x v="0"/>
    <n v="297"/>
    <n v="297"/>
    <x v="1"/>
  </r>
  <r>
    <s v="ORD4817030"/>
    <s v="CUST0278"/>
    <s v="Zomato"/>
    <x v="61"/>
    <d v="1899-12-30T18:51:00"/>
    <x v="0"/>
    <x v="54"/>
    <x v="16"/>
    <n v="160.19999999999999"/>
    <n v="178"/>
    <x v="1"/>
  </r>
  <r>
    <s v="ORD1582647"/>
    <s v="CUST0203"/>
    <s v="Direct"/>
    <x v="53"/>
    <d v="1899-12-30T18:05:00"/>
    <x v="0"/>
    <x v="55"/>
    <x v="0"/>
    <n v="494"/>
    <n v="494"/>
    <x v="1"/>
  </r>
  <r>
    <s v="ORD8304686"/>
    <s v="CUST0022"/>
    <s v="Zomato"/>
    <x v="34"/>
    <d v="1899-12-30T17:08:00"/>
    <x v="0"/>
    <x v="56"/>
    <x v="0"/>
    <n v="953"/>
    <n v="953"/>
    <x v="2"/>
  </r>
  <r>
    <s v="ORD9767135"/>
    <s v="CUST0359"/>
    <s v="Swiggy"/>
    <x v="62"/>
    <d v="1899-12-30T16:50:00"/>
    <x v="0"/>
    <x v="47"/>
    <x v="13"/>
    <n v="188.1"/>
    <n v="198"/>
    <x v="2"/>
  </r>
  <r>
    <s v="ORD6769167"/>
    <s v="CUST0147"/>
    <s v="Direct"/>
    <x v="30"/>
    <d v="1899-12-30T16:50:00"/>
    <x v="0"/>
    <x v="16"/>
    <x v="0"/>
    <n v="447"/>
    <n v="447"/>
    <x v="2"/>
  </r>
  <r>
    <s v="ORD6561547"/>
    <s v="CUST0203"/>
    <s v="Direct"/>
    <x v="18"/>
    <d v="1899-12-30T15:02:00"/>
    <x v="0"/>
    <x v="35"/>
    <x v="0"/>
    <n v="119"/>
    <n v="119"/>
    <x v="1"/>
  </r>
  <r>
    <s v="ORD2647814"/>
    <s v="CUST0432"/>
    <s v="Zomato"/>
    <x v="63"/>
    <d v="1899-12-30T13:17:00"/>
    <x v="0"/>
    <x v="2"/>
    <x v="0"/>
    <n v="356"/>
    <n v="356"/>
    <x v="0"/>
  </r>
  <r>
    <s v="ORD9127895"/>
    <s v="CUST0422"/>
    <s v="Zomato"/>
    <x v="64"/>
    <d v="1899-12-30T17:58:00"/>
    <x v="0"/>
    <x v="57"/>
    <x v="17"/>
    <n v="960.45"/>
    <n v="1011"/>
    <x v="1"/>
  </r>
  <r>
    <s v="ORD7046090"/>
    <s v="CUST0017"/>
    <s v="Zomato"/>
    <x v="28"/>
    <d v="1899-12-30T16:15:00"/>
    <x v="0"/>
    <x v="40"/>
    <x v="9"/>
    <n v="312.3"/>
    <n v="347"/>
    <x v="1"/>
  </r>
  <r>
    <s v="ORD3743303"/>
    <s v="CUST0283"/>
    <s v="Zomato"/>
    <x v="65"/>
    <d v="1899-12-30T19:37:00"/>
    <x v="0"/>
    <x v="58"/>
    <x v="18"/>
    <n v="733.4"/>
    <n v="772"/>
    <x v="2"/>
  </r>
  <r>
    <s v="ORD1149283"/>
    <s v="CUST0210"/>
    <s v="Swiggy"/>
    <x v="64"/>
    <d v="1899-12-30T13:41:00"/>
    <x v="0"/>
    <x v="59"/>
    <x v="0"/>
    <n v="1339"/>
    <n v="1339"/>
    <x v="1"/>
  </r>
  <r>
    <s v="ORD9734854"/>
    <s v="CUST0239"/>
    <s v="Zomato"/>
    <x v="66"/>
    <d v="1899-12-30T18:13:00"/>
    <x v="1"/>
    <x v="24"/>
    <x v="0"/>
    <n v="0"/>
    <n v="605"/>
    <x v="1"/>
  </r>
  <r>
    <s v="ORD6641903"/>
    <s v="CUST0056"/>
    <s v="Zomato"/>
    <x v="64"/>
    <d v="1899-12-30T18:43:00"/>
    <x v="0"/>
    <x v="60"/>
    <x v="0"/>
    <n v="814"/>
    <n v="814"/>
    <x v="2"/>
  </r>
  <r>
    <s v="ORD3347627"/>
    <s v="CUST0339"/>
    <s v="Zomato"/>
    <x v="67"/>
    <d v="1899-12-30T00:25:00"/>
    <x v="0"/>
    <x v="61"/>
    <x v="0"/>
    <n v="286"/>
    <n v="286"/>
    <x v="0"/>
  </r>
  <r>
    <s v="ORD8981512"/>
    <s v="CUST0274"/>
    <s v="Swiggy"/>
    <x v="68"/>
    <d v="1899-12-30T12:43:00"/>
    <x v="0"/>
    <x v="62"/>
    <x v="0"/>
    <n v="417"/>
    <n v="417"/>
    <x v="1"/>
  </r>
  <r>
    <s v="ORD4071377"/>
    <s v="CUST0414"/>
    <s v="Swiggy"/>
    <x v="69"/>
    <d v="1899-12-30T18:46:00"/>
    <x v="0"/>
    <x v="63"/>
    <x v="0"/>
    <n v="635"/>
    <n v="635"/>
    <x v="2"/>
  </r>
  <r>
    <s v="ORD2194801"/>
    <s v="CUST0028"/>
    <s v="Direct"/>
    <x v="13"/>
    <d v="1899-12-30T16:30:00"/>
    <x v="0"/>
    <x v="64"/>
    <x v="0"/>
    <n v="744"/>
    <n v="744"/>
    <x v="0"/>
  </r>
  <r>
    <s v="ORD4025884"/>
    <s v="CUST0162"/>
    <s v="Direct"/>
    <x v="49"/>
    <d v="1899-12-30T22:09:00"/>
    <x v="0"/>
    <x v="65"/>
    <x v="0"/>
    <n v="337"/>
    <n v="337"/>
    <x v="1"/>
  </r>
  <r>
    <s v="ORD2477088"/>
    <s v="CUST0403"/>
    <s v="Swiggy"/>
    <x v="70"/>
    <d v="1899-12-30T17:31:00"/>
    <x v="0"/>
    <x v="66"/>
    <x v="19"/>
    <n v="276.3"/>
    <n v="307"/>
    <x v="1"/>
  </r>
  <r>
    <s v="ORD5174559"/>
    <s v="CUST0010"/>
    <s v="Swiggy"/>
    <x v="71"/>
    <d v="1899-12-30T23:12:00"/>
    <x v="0"/>
    <x v="67"/>
    <x v="20"/>
    <n v="471.6"/>
    <n v="524"/>
    <x v="0"/>
  </r>
  <r>
    <s v="ORD3244614"/>
    <s v="CUST0269"/>
    <s v="Zomato"/>
    <x v="52"/>
    <d v="1899-12-30T20:38:00"/>
    <x v="0"/>
    <x v="68"/>
    <x v="0"/>
    <n v="1370"/>
    <n v="1370"/>
    <x v="1"/>
  </r>
  <r>
    <s v="ORD1626854"/>
    <s v="CUST0365"/>
    <s v="Swiggy"/>
    <x v="72"/>
    <d v="1899-12-30T16:23:00"/>
    <x v="0"/>
    <x v="69"/>
    <x v="0"/>
    <n v="593"/>
    <n v="593"/>
    <x v="0"/>
  </r>
  <r>
    <s v="ORD1156104"/>
    <s v="CUST0079"/>
    <s v="Zomato"/>
    <x v="73"/>
    <d v="1899-12-30T19:44:00"/>
    <x v="0"/>
    <x v="2"/>
    <x v="0"/>
    <n v="356"/>
    <n v="356"/>
    <x v="1"/>
  </r>
  <r>
    <s v="ORD2782809"/>
    <s v="CUST0145"/>
    <s v="Zomato"/>
    <x v="67"/>
    <d v="1899-12-30T20:07:00"/>
    <x v="0"/>
    <x v="49"/>
    <x v="0"/>
    <n v="277"/>
    <n v="277"/>
    <x v="1"/>
  </r>
  <r>
    <s v="ORD9064202"/>
    <s v="CUST0107"/>
    <s v="Swiggy"/>
    <x v="74"/>
    <d v="1899-12-30T19:58:00"/>
    <x v="0"/>
    <x v="70"/>
    <x v="21"/>
    <n v="285.3"/>
    <n v="317"/>
    <x v="1"/>
  </r>
  <r>
    <s v="ORD5293157"/>
    <s v="CUST0371"/>
    <s v="Swiggy"/>
    <x v="42"/>
    <d v="1899-12-30T20:04:00"/>
    <x v="0"/>
    <x v="71"/>
    <x v="22"/>
    <n v="233.7"/>
    <n v="246"/>
    <x v="0"/>
  </r>
  <r>
    <s v="ORD2593809"/>
    <s v="CUST0219"/>
    <s v="Swiggy"/>
    <x v="75"/>
    <d v="1899-12-30T21:20:00"/>
    <x v="0"/>
    <x v="47"/>
    <x v="23"/>
    <n v="178.2"/>
    <n v="198"/>
    <x v="1"/>
  </r>
  <r>
    <s v="ORD7251562"/>
    <s v="CUST0450"/>
    <s v="Swiggy"/>
    <x v="76"/>
    <d v="1899-12-30T20:17:00"/>
    <x v="0"/>
    <x v="72"/>
    <x v="0"/>
    <n v="168"/>
    <n v="168"/>
    <x v="1"/>
  </r>
  <r>
    <s v="ORD1983923"/>
    <s v="CUST0068"/>
    <s v="Swiggy"/>
    <x v="77"/>
    <d v="1899-12-30T17:07:00"/>
    <x v="0"/>
    <x v="6"/>
    <x v="24"/>
    <n v="142.19999999999999"/>
    <n v="158"/>
    <x v="0"/>
  </r>
  <r>
    <s v="ORD3192032"/>
    <s v="CUST0015"/>
    <s v="Direct"/>
    <x v="78"/>
    <d v="1899-12-30T18:39:00"/>
    <x v="0"/>
    <x v="73"/>
    <x v="0"/>
    <n v="682"/>
    <n v="682"/>
    <x v="2"/>
  </r>
  <r>
    <s v="ORD2597897"/>
    <s v="CUST0174"/>
    <s v="Swiggy"/>
    <x v="79"/>
    <d v="1899-12-30T01:55:00"/>
    <x v="0"/>
    <x v="74"/>
    <x v="0"/>
    <n v="724"/>
    <n v="724"/>
    <x v="1"/>
  </r>
  <r>
    <s v="ORD9318729"/>
    <s v="CUST0435"/>
    <s v="Zomato"/>
    <x v="80"/>
    <d v="1899-12-30T17:32:00"/>
    <x v="0"/>
    <x v="43"/>
    <x v="0"/>
    <n v="149"/>
    <n v="149"/>
    <x v="1"/>
  </r>
  <r>
    <s v="ORD2322557"/>
    <s v="CUST0207"/>
    <s v="Swiggy"/>
    <x v="81"/>
    <d v="1899-12-30T21:24:00"/>
    <x v="0"/>
    <x v="8"/>
    <x v="0"/>
    <n v="387"/>
    <n v="387"/>
    <x v="2"/>
  </r>
  <r>
    <s v="ORD1002847"/>
    <s v="CUST0019"/>
    <s v="Swiggy"/>
    <x v="82"/>
    <d v="1899-12-30T19:26:00"/>
    <x v="0"/>
    <x v="75"/>
    <x v="0"/>
    <n v="634"/>
    <n v="634"/>
    <x v="1"/>
  </r>
  <r>
    <s v="ORD8937865"/>
    <s v="CUST0287"/>
    <s v="Swiggy"/>
    <x v="83"/>
    <d v="1899-12-30T22:21:00"/>
    <x v="0"/>
    <x v="76"/>
    <x v="0"/>
    <n v="921"/>
    <n v="921"/>
    <x v="2"/>
  </r>
  <r>
    <s v="ORD7865417"/>
    <s v="CUST0085"/>
    <s v="Zomato"/>
    <x v="84"/>
    <d v="1899-12-30T09:57:00"/>
    <x v="0"/>
    <x v="22"/>
    <x v="0"/>
    <n v="346"/>
    <n v="346"/>
    <x v="1"/>
  </r>
  <r>
    <s v="ORD3067274"/>
    <s v="CUST0475"/>
    <s v="Swiggy"/>
    <x v="68"/>
    <d v="1899-12-30T19:02:00"/>
    <x v="0"/>
    <x v="77"/>
    <x v="25"/>
    <n v="849.3"/>
    <n v="894"/>
    <x v="0"/>
  </r>
  <r>
    <s v="ORD3972963"/>
    <s v="CUST0474"/>
    <s v="Swiggy"/>
    <x v="0"/>
    <d v="1899-12-30T20:30:00"/>
    <x v="1"/>
    <x v="2"/>
    <x v="26"/>
    <n v="0"/>
    <n v="356"/>
    <x v="0"/>
  </r>
  <r>
    <s v="ORD5590177"/>
    <s v="CUST0355"/>
    <s v="Swiggy"/>
    <x v="36"/>
    <d v="1899-12-30T20:58:00"/>
    <x v="0"/>
    <x v="23"/>
    <x v="5"/>
    <n v="676.8"/>
    <n v="752"/>
    <x v="1"/>
  </r>
  <r>
    <s v="ORD5875114"/>
    <s v="CUST0103"/>
    <s v="Zomato"/>
    <x v="85"/>
    <d v="1899-12-30T01:13:00"/>
    <x v="0"/>
    <x v="57"/>
    <x v="0"/>
    <n v="1011"/>
    <n v="1011"/>
    <x v="1"/>
  </r>
  <r>
    <s v="ORD9957402"/>
    <s v="CUST0383"/>
    <s v="Direct"/>
    <x v="21"/>
    <d v="1899-12-30T15:43:00"/>
    <x v="0"/>
    <x v="78"/>
    <x v="0"/>
    <n v="474"/>
    <n v="474"/>
    <x v="2"/>
  </r>
  <r>
    <s v="ORD1542011"/>
    <s v="CUST0402"/>
    <s v="Zomato"/>
    <x v="86"/>
    <d v="1899-12-30T16:44:00"/>
    <x v="0"/>
    <x v="79"/>
    <x v="0"/>
    <n v="674"/>
    <n v="674"/>
    <x v="1"/>
  </r>
  <r>
    <s v="ORD7988821"/>
    <s v="CUST0475"/>
    <s v="Zomato"/>
    <x v="87"/>
    <d v="1899-12-30T21:03:00"/>
    <x v="0"/>
    <x v="80"/>
    <x v="27"/>
    <n v="713.7"/>
    <n v="793"/>
    <x v="0"/>
  </r>
  <r>
    <s v="ORD4246352"/>
    <s v="CUST0398"/>
    <s v="Swiggy"/>
    <x v="88"/>
    <d v="1899-12-30T20:12:00"/>
    <x v="0"/>
    <x v="81"/>
    <x v="28"/>
    <n v="704.9"/>
    <n v="742"/>
    <x v="2"/>
  </r>
  <r>
    <s v="ORD1094709"/>
    <s v="CUST0300"/>
    <s v="Swiggy"/>
    <x v="59"/>
    <d v="1899-12-30T17:10:00"/>
    <x v="0"/>
    <x v="82"/>
    <x v="0"/>
    <n v="554"/>
    <n v="554"/>
    <x v="1"/>
  </r>
  <r>
    <s v="ORD7007679"/>
    <s v="CUST0405"/>
    <s v="Swiggy"/>
    <x v="89"/>
    <d v="1899-12-30T13:31:00"/>
    <x v="0"/>
    <x v="83"/>
    <x v="0"/>
    <n v="316"/>
    <n v="316"/>
    <x v="2"/>
  </r>
  <r>
    <s v="ORD5925360"/>
    <s v="CUST0170"/>
    <s v="Zomato"/>
    <x v="90"/>
    <d v="1899-12-30T17:42:00"/>
    <x v="0"/>
    <x v="84"/>
    <x v="29"/>
    <n v="612.75"/>
    <n v="645"/>
    <x v="1"/>
  </r>
  <r>
    <s v="ORD2902100"/>
    <s v="CUST0469"/>
    <s v="Swiggy"/>
    <x v="91"/>
    <d v="1899-12-30T14:24:00"/>
    <x v="0"/>
    <x v="63"/>
    <x v="0"/>
    <n v="635"/>
    <n v="635"/>
    <x v="1"/>
  </r>
  <r>
    <s v="ORD9621722"/>
    <s v="CUST0334"/>
    <s v="Zomato"/>
    <x v="92"/>
    <d v="1899-12-30T18:57:00"/>
    <x v="0"/>
    <x v="85"/>
    <x v="0"/>
    <n v="791"/>
    <n v="791"/>
    <x v="2"/>
  </r>
  <r>
    <s v="ORD2209981"/>
    <s v="CUST0380"/>
    <s v="Swiggy"/>
    <x v="93"/>
    <d v="1899-12-30T21:56:00"/>
    <x v="0"/>
    <x v="86"/>
    <x v="30"/>
    <n v="151.05000000000001"/>
    <n v="159"/>
    <x v="1"/>
  </r>
  <r>
    <s v="ORD7838943"/>
    <s v="CUST0117"/>
    <s v="Direct"/>
    <x v="94"/>
    <d v="1899-12-30T20:52:00"/>
    <x v="0"/>
    <x v="87"/>
    <x v="31"/>
    <n v="121.6"/>
    <n v="128"/>
    <x v="2"/>
  </r>
  <r>
    <s v="ORD2217848"/>
    <s v="CUST0024"/>
    <s v="Swiggy"/>
    <x v="95"/>
    <d v="1899-12-30T21:37:00"/>
    <x v="0"/>
    <x v="88"/>
    <x v="0"/>
    <n v="683"/>
    <n v="683"/>
    <x v="1"/>
  </r>
  <r>
    <s v="ORD5948917"/>
    <s v="CUST0409"/>
    <s v="Swiggy"/>
    <x v="96"/>
    <d v="1899-12-30T19:50:00"/>
    <x v="0"/>
    <x v="89"/>
    <x v="0"/>
    <n v="395"/>
    <n v="395"/>
    <x v="2"/>
  </r>
  <r>
    <s v="ORD7611593"/>
    <s v="CUST0022"/>
    <s v="Zomato"/>
    <x v="8"/>
    <d v="1899-12-30T11:07:00"/>
    <x v="0"/>
    <x v="90"/>
    <x v="0"/>
    <n v="913"/>
    <n v="913"/>
    <x v="2"/>
  </r>
  <r>
    <s v="ORD4042682"/>
    <s v="CUST0130"/>
    <s v="Zomato"/>
    <x v="26"/>
    <d v="1899-12-30T20:53:00"/>
    <x v="0"/>
    <x v="91"/>
    <x v="0"/>
    <n v="505"/>
    <n v="505"/>
    <x v="1"/>
  </r>
  <r>
    <s v="ORD5783807"/>
    <s v="CUST0336"/>
    <s v="Zomato"/>
    <x v="65"/>
    <d v="1899-12-30T17:42:00"/>
    <x v="1"/>
    <x v="54"/>
    <x v="0"/>
    <n v="0"/>
    <n v="178"/>
    <x v="1"/>
  </r>
  <r>
    <s v="ORD6307189"/>
    <s v="CUST0291"/>
    <s v="Zomato"/>
    <x v="97"/>
    <d v="1899-12-30T11:36:00"/>
    <x v="0"/>
    <x v="9"/>
    <x v="0"/>
    <n v="416"/>
    <n v="416"/>
    <x v="1"/>
  </r>
  <r>
    <s v="ORD7018685"/>
    <s v="CUST0246"/>
    <s v="Zomato"/>
    <x v="98"/>
    <d v="1899-12-30T14:56:00"/>
    <x v="0"/>
    <x v="1"/>
    <x v="32"/>
    <n v="226.1"/>
    <n v="238"/>
    <x v="0"/>
  </r>
  <r>
    <s v="ORD2265001"/>
    <s v="CUST0321"/>
    <s v="Zomato"/>
    <x v="99"/>
    <d v="1899-12-30T21:56:00"/>
    <x v="0"/>
    <x v="92"/>
    <x v="0"/>
    <n v="1003"/>
    <n v="1003"/>
    <x v="1"/>
  </r>
  <r>
    <s v="ORD5882155"/>
    <s v="CUST0457"/>
    <s v="Swiggy"/>
    <x v="100"/>
    <d v="1899-12-30T19:14:00"/>
    <x v="0"/>
    <x v="12"/>
    <x v="0"/>
    <n v="476"/>
    <n v="476"/>
    <x v="1"/>
  </r>
  <r>
    <s v="ORD3671308"/>
    <s v="CUST0264"/>
    <s v="Zomato"/>
    <x v="101"/>
    <d v="1899-12-30T17:48:00"/>
    <x v="0"/>
    <x v="93"/>
    <x v="0"/>
    <n v="962"/>
    <n v="962"/>
    <x v="0"/>
  </r>
  <r>
    <s v="ORD7060792"/>
    <s v="CUST0343"/>
    <s v="Zomato"/>
    <x v="11"/>
    <d v="1899-12-30T17:02:00"/>
    <x v="0"/>
    <x v="94"/>
    <x v="0"/>
    <n v="694"/>
    <n v="694"/>
    <x v="1"/>
  </r>
  <r>
    <s v="ORD7319298"/>
    <s v="CUST0279"/>
    <s v="Swiggy"/>
    <x v="84"/>
    <d v="1899-12-30T13:37:00"/>
    <x v="0"/>
    <x v="95"/>
    <x v="0"/>
    <n v="457"/>
    <n v="457"/>
    <x v="1"/>
  </r>
  <r>
    <s v="ORD1110690"/>
    <s v="CUST0406"/>
    <s v="Zomato"/>
    <x v="102"/>
    <d v="1899-12-30T18:31:00"/>
    <x v="0"/>
    <x v="96"/>
    <x v="0"/>
    <n v="853"/>
    <n v="853"/>
    <x v="1"/>
  </r>
  <r>
    <s v="ORD4535025"/>
    <s v="CUST0346"/>
    <s v="Zomato"/>
    <x v="103"/>
    <d v="1899-12-30T16:30:00"/>
    <x v="1"/>
    <x v="97"/>
    <x v="0"/>
    <n v="0"/>
    <n v="357"/>
    <x v="2"/>
  </r>
  <r>
    <s v="ORD4020528"/>
    <s v="CUST0029"/>
    <s v="Zomato"/>
    <x v="104"/>
    <d v="1899-12-30T20:09:00"/>
    <x v="0"/>
    <x v="98"/>
    <x v="33"/>
    <n v="526.5"/>
    <n v="585"/>
    <x v="1"/>
  </r>
  <r>
    <s v="ORD4051509"/>
    <s v="CUST0074"/>
    <s v="Swiggy"/>
    <x v="105"/>
    <d v="1899-12-30T19:38:00"/>
    <x v="1"/>
    <x v="26"/>
    <x v="34"/>
    <n v="0"/>
    <n v="515"/>
    <x v="1"/>
  </r>
  <r>
    <s v="ORD8042991"/>
    <s v="CUST0466"/>
    <s v="Swiggy"/>
    <x v="106"/>
    <d v="1899-12-30T20:55:00"/>
    <x v="0"/>
    <x v="99"/>
    <x v="35"/>
    <n v="761.9"/>
    <n v="802"/>
    <x v="1"/>
  </r>
  <r>
    <s v="ORD8239315"/>
    <s v="CUST0424"/>
    <s v="Zomato"/>
    <x v="9"/>
    <d v="1899-12-30T20:34:00"/>
    <x v="0"/>
    <x v="100"/>
    <x v="0"/>
    <n v="735"/>
    <n v="735"/>
    <x v="1"/>
  </r>
  <r>
    <s v="ORD2639417"/>
    <s v="CUST0390"/>
    <s v="Swiggy"/>
    <x v="107"/>
    <d v="1899-12-30T21:58:00"/>
    <x v="0"/>
    <x v="31"/>
    <x v="0"/>
    <n v="386"/>
    <n v="386"/>
    <x v="1"/>
  </r>
  <r>
    <s v="ORD9766777"/>
    <s v="CUST0405"/>
    <s v="Zomato"/>
    <x v="108"/>
    <d v="1899-12-30T21:47:00"/>
    <x v="0"/>
    <x v="2"/>
    <x v="26"/>
    <n v="320.39999999999998"/>
    <n v="356"/>
    <x v="2"/>
  </r>
  <r>
    <s v="ORD5623138"/>
    <s v="CUST0290"/>
    <s v="Zomato"/>
    <x v="100"/>
    <d v="1899-12-30T20:27:00"/>
    <x v="0"/>
    <x v="101"/>
    <x v="0"/>
    <n v="436"/>
    <n v="436"/>
    <x v="1"/>
  </r>
  <r>
    <s v="ORD4854922"/>
    <s v="CUST0443"/>
    <s v="Swiggy"/>
    <x v="109"/>
    <d v="1899-12-30T11:54:00"/>
    <x v="0"/>
    <x v="102"/>
    <x v="0"/>
    <n v="842"/>
    <n v="842"/>
    <x v="0"/>
  </r>
  <r>
    <s v="ORD3438206"/>
    <s v="CUST0412"/>
    <s v="Zomato"/>
    <x v="80"/>
    <d v="1899-12-30T21:00:00"/>
    <x v="0"/>
    <x v="80"/>
    <x v="0"/>
    <n v="793"/>
    <n v="793"/>
    <x v="0"/>
  </r>
  <r>
    <s v="ORD3940561"/>
    <s v="CUST0485"/>
    <s v="Swiggy"/>
    <x v="84"/>
    <d v="1899-12-30T00:03:00"/>
    <x v="0"/>
    <x v="9"/>
    <x v="36"/>
    <n v="353.6"/>
    <n v="416"/>
    <x v="0"/>
  </r>
  <r>
    <s v="ORD5014060"/>
    <s v="CUST0346"/>
    <s v="Zomato"/>
    <x v="92"/>
    <d v="1899-12-30T00:10:00"/>
    <x v="0"/>
    <x v="103"/>
    <x v="0"/>
    <n v="545"/>
    <n v="545"/>
    <x v="2"/>
  </r>
  <r>
    <s v="ORD5639031"/>
    <s v="CUST0299"/>
    <s v="Zomato"/>
    <x v="110"/>
    <d v="1899-12-30T23:58:00"/>
    <x v="0"/>
    <x v="70"/>
    <x v="37"/>
    <n v="301.14999999999998"/>
    <n v="317"/>
    <x v="1"/>
  </r>
  <r>
    <s v="ORD5196677"/>
    <s v="CUST0263"/>
    <s v="Direct"/>
    <x v="36"/>
    <d v="1899-12-30T16:51:00"/>
    <x v="0"/>
    <x v="104"/>
    <x v="38"/>
    <n v="621.29999999999995"/>
    <n v="654"/>
    <x v="0"/>
  </r>
  <r>
    <s v="ORD6297082"/>
    <s v="CUST0360"/>
    <s v="Zomato"/>
    <x v="111"/>
    <d v="1899-12-30T17:43:00"/>
    <x v="0"/>
    <x v="105"/>
    <x v="0"/>
    <n v="803"/>
    <n v="803"/>
    <x v="1"/>
  </r>
  <r>
    <s v="ORD4190481"/>
    <s v="CUST0094"/>
    <s v="Direct"/>
    <x v="112"/>
    <d v="1899-12-30T20:17:00"/>
    <x v="0"/>
    <x v="29"/>
    <x v="0"/>
    <n v="376"/>
    <n v="376"/>
    <x v="0"/>
  </r>
  <r>
    <s v="ORD9265544"/>
    <s v="CUST0041"/>
    <s v="Swiggy"/>
    <x v="113"/>
    <d v="1899-12-30T10:58:00"/>
    <x v="1"/>
    <x v="30"/>
    <x v="0"/>
    <n v="0"/>
    <n v="556"/>
    <x v="1"/>
  </r>
  <r>
    <s v="ORD9575399"/>
    <s v="CUST0141"/>
    <s v="Zomato"/>
    <x v="114"/>
    <d v="1899-12-30T20:55:00"/>
    <x v="0"/>
    <x v="66"/>
    <x v="39"/>
    <n v="291.64999999999998"/>
    <n v="307"/>
    <x v="1"/>
  </r>
  <r>
    <s v="ORD3019442"/>
    <s v="CUST0090"/>
    <s v="Zomato"/>
    <x v="36"/>
    <d v="1899-12-30T21:49:00"/>
    <x v="0"/>
    <x v="106"/>
    <x v="0"/>
    <n v="377"/>
    <n v="377"/>
    <x v="0"/>
  </r>
  <r>
    <s v="ORD6756203"/>
    <s v="CUST0122"/>
    <s v="Zomato"/>
    <x v="115"/>
    <d v="1899-12-30T20:16:00"/>
    <x v="0"/>
    <x v="0"/>
    <x v="0"/>
    <n v="207"/>
    <n v="207"/>
    <x v="2"/>
  </r>
  <r>
    <s v="ORD2675536"/>
    <s v="CUST0295"/>
    <s v="Swiggy"/>
    <x v="116"/>
    <d v="1899-12-30T20:08:00"/>
    <x v="0"/>
    <x v="107"/>
    <x v="40"/>
    <n v="686.85"/>
    <n v="723"/>
    <x v="1"/>
  </r>
  <r>
    <s v="ORD9164132"/>
    <s v="CUST0369"/>
    <s v="Zomato"/>
    <x v="117"/>
    <d v="1899-12-30T23:34:00"/>
    <x v="0"/>
    <x v="1"/>
    <x v="0"/>
    <n v="238"/>
    <n v="238"/>
    <x v="1"/>
  </r>
  <r>
    <s v="ORD7055937"/>
    <s v="CUST0382"/>
    <s v="Zomato"/>
    <x v="118"/>
    <d v="1899-12-30T10:28:00"/>
    <x v="0"/>
    <x v="108"/>
    <x v="0"/>
    <n v="771"/>
    <n v="771"/>
    <x v="1"/>
  </r>
  <r>
    <s v="ORD9563838"/>
    <s v="CUST0146"/>
    <s v="Zomato"/>
    <x v="119"/>
    <d v="1899-12-30T17:49:00"/>
    <x v="0"/>
    <x v="109"/>
    <x v="0"/>
    <n v="1191"/>
    <n v="1191"/>
    <x v="1"/>
  </r>
  <r>
    <s v="ORD2196955"/>
    <s v="CUST0208"/>
    <s v="Swiggy"/>
    <x v="120"/>
    <d v="1899-12-30T20:36:00"/>
    <x v="0"/>
    <x v="110"/>
    <x v="0"/>
    <n v="138"/>
    <n v="138"/>
    <x v="1"/>
  </r>
  <r>
    <s v="ORD8554590"/>
    <s v="CUST0301"/>
    <s v="Swiggy"/>
    <x v="121"/>
    <d v="1899-12-30T18:47:00"/>
    <x v="0"/>
    <x v="33"/>
    <x v="41"/>
    <n v="207.1"/>
    <n v="218"/>
    <x v="1"/>
  </r>
  <r>
    <s v="ORD1903041"/>
    <s v="CUST0480"/>
    <s v="Direct"/>
    <x v="122"/>
    <d v="1899-12-30T16:04:00"/>
    <x v="0"/>
    <x v="111"/>
    <x v="0"/>
    <n v="563"/>
    <n v="563"/>
    <x v="0"/>
  </r>
  <r>
    <s v="ORD3862327"/>
    <s v="CUST0065"/>
    <s v="Zomato"/>
    <x v="123"/>
    <d v="1899-12-30T22:40:00"/>
    <x v="0"/>
    <x v="83"/>
    <x v="0"/>
    <n v="316"/>
    <n v="316"/>
    <x v="0"/>
  </r>
  <r>
    <s v="ORD3970181"/>
    <s v="CUST0228"/>
    <s v="Zomato"/>
    <x v="124"/>
    <d v="1899-12-30T13:35:00"/>
    <x v="1"/>
    <x v="112"/>
    <x v="0"/>
    <n v="0"/>
    <n v="516"/>
    <x v="1"/>
  </r>
  <r>
    <s v="ORD5358838"/>
    <s v="CUST0158"/>
    <s v="Zomato"/>
    <x v="125"/>
    <d v="1899-12-30T16:28:00"/>
    <x v="0"/>
    <x v="52"/>
    <x v="42"/>
    <n v="302.39999999999998"/>
    <n v="336"/>
    <x v="1"/>
  </r>
  <r>
    <s v="ORD8221506"/>
    <s v="CUST0245"/>
    <s v="Zomato"/>
    <x v="96"/>
    <d v="1899-12-30T22:48:00"/>
    <x v="0"/>
    <x v="113"/>
    <x v="0"/>
    <n v="584"/>
    <n v="584"/>
    <x v="1"/>
  </r>
  <r>
    <s v="ORD5019180"/>
    <s v="CUST0041"/>
    <s v="Zomato"/>
    <x v="64"/>
    <d v="1899-12-30T12:16:00"/>
    <x v="0"/>
    <x v="114"/>
    <x v="0"/>
    <n v="783"/>
    <n v="783"/>
    <x v="1"/>
  </r>
  <r>
    <s v="ORD8596173"/>
    <s v="CUST0327"/>
    <s v="Zomato"/>
    <x v="75"/>
    <d v="1899-12-30T18:07:00"/>
    <x v="0"/>
    <x v="115"/>
    <x v="0"/>
    <n v="1299"/>
    <n v="1299"/>
    <x v="1"/>
  </r>
  <r>
    <s v="ORD9280890"/>
    <s v="CUST0047"/>
    <s v="Zomato"/>
    <x v="126"/>
    <d v="1899-12-30T16:14:00"/>
    <x v="0"/>
    <x v="116"/>
    <x v="0"/>
    <n v="673"/>
    <n v="673"/>
    <x v="0"/>
  </r>
  <r>
    <s v="ORD2197636"/>
    <s v="CUST0137"/>
    <s v="Swiggy"/>
    <x v="127"/>
    <d v="1899-12-30T11:03:00"/>
    <x v="0"/>
    <x v="117"/>
    <x v="43"/>
    <n v="581.4"/>
    <n v="684"/>
    <x v="2"/>
  </r>
  <r>
    <s v="ORD4341683"/>
    <s v="CUST0378"/>
    <s v="Direct"/>
    <x v="128"/>
    <d v="1899-12-30T22:15:00"/>
    <x v="0"/>
    <x v="118"/>
    <x v="0"/>
    <n v="1070"/>
    <n v="1070"/>
    <x v="1"/>
  </r>
  <r>
    <s v="ORD6013251"/>
    <s v="CUST0063"/>
    <s v="Zomato"/>
    <x v="129"/>
    <d v="1899-12-30T23:33:00"/>
    <x v="0"/>
    <x v="119"/>
    <x v="0"/>
    <n v="844"/>
    <n v="844"/>
    <x v="0"/>
  </r>
  <r>
    <s v="ORD1149818"/>
    <s v="CUST0203"/>
    <s v="Swiggy"/>
    <x v="130"/>
    <d v="1899-12-30T00:07:00"/>
    <x v="0"/>
    <x v="120"/>
    <x v="0"/>
    <n v="546"/>
    <n v="546"/>
    <x v="1"/>
  </r>
  <r>
    <s v="ORD3582322"/>
    <s v="CUST0031"/>
    <s v="Zomato"/>
    <x v="86"/>
    <d v="1899-12-30T21:03:00"/>
    <x v="0"/>
    <x v="121"/>
    <x v="0"/>
    <n v="621"/>
    <n v="621"/>
    <x v="1"/>
  </r>
  <r>
    <s v="ORD1662507"/>
    <s v="CUST0069"/>
    <s v="Zomato"/>
    <x v="131"/>
    <d v="1899-12-30T14:46:00"/>
    <x v="0"/>
    <x v="122"/>
    <x v="44"/>
    <n v="446.4"/>
    <n v="496"/>
    <x v="1"/>
  </r>
  <r>
    <s v="ORD2155557"/>
    <s v="CUST0441"/>
    <s v="Swiggy"/>
    <x v="40"/>
    <d v="1899-12-30T20:58:00"/>
    <x v="0"/>
    <x v="5"/>
    <x v="0"/>
    <n v="188"/>
    <n v="188"/>
    <x v="1"/>
  </r>
  <r>
    <s v="ORD5006173"/>
    <s v="CUST0439"/>
    <s v="Zomato"/>
    <x v="132"/>
    <d v="1899-12-30T16:39:00"/>
    <x v="0"/>
    <x v="79"/>
    <x v="0"/>
    <n v="674"/>
    <n v="674"/>
    <x v="1"/>
  </r>
  <r>
    <s v="ORD1734460"/>
    <s v="CUST0268"/>
    <s v="Swiggy"/>
    <x v="133"/>
    <d v="1899-12-30T16:06:00"/>
    <x v="0"/>
    <x v="54"/>
    <x v="0"/>
    <n v="178"/>
    <n v="178"/>
    <x v="0"/>
  </r>
  <r>
    <s v="ORD7146400"/>
    <s v="CUST0303"/>
    <s v="Zomato"/>
    <x v="134"/>
    <d v="1899-12-30T20:44:00"/>
    <x v="0"/>
    <x v="123"/>
    <x v="45"/>
    <n v="677.35"/>
    <n v="713"/>
    <x v="0"/>
  </r>
  <r>
    <s v="ORD1978112"/>
    <s v="CUST0189"/>
    <s v="Swiggy"/>
    <x v="98"/>
    <d v="1899-12-30T15:52:00"/>
    <x v="1"/>
    <x v="26"/>
    <x v="0"/>
    <n v="0"/>
    <n v="515"/>
    <x v="1"/>
  </r>
  <r>
    <s v="ORD5173551"/>
    <s v="CUST0098"/>
    <s v="Zomato"/>
    <x v="135"/>
    <d v="1899-12-30T23:24:00"/>
    <x v="0"/>
    <x v="124"/>
    <x v="0"/>
    <n v="456"/>
    <n v="456"/>
    <x v="2"/>
  </r>
  <r>
    <s v="ORD9467339"/>
    <s v="CUST0093"/>
    <s v="Swiggy"/>
    <x v="136"/>
    <d v="1899-12-30T11:50:00"/>
    <x v="0"/>
    <x v="125"/>
    <x v="0"/>
    <n v="1089"/>
    <n v="1089"/>
    <x v="1"/>
  </r>
  <r>
    <s v="ORD4589118"/>
    <s v="CUST0312"/>
    <s v="Zomato"/>
    <x v="137"/>
    <d v="1899-12-30T21:20:00"/>
    <x v="0"/>
    <x v="52"/>
    <x v="0"/>
    <n v="336"/>
    <n v="336"/>
    <x v="1"/>
  </r>
  <r>
    <s v="ORD4604128"/>
    <s v="CUST0154"/>
    <s v="Direct"/>
    <x v="14"/>
    <d v="1899-12-30T18:00:00"/>
    <x v="0"/>
    <x v="47"/>
    <x v="0"/>
    <n v="198"/>
    <n v="198"/>
    <x v="1"/>
  </r>
  <r>
    <s v="ORD6966913"/>
    <s v="CUST0049"/>
    <s v="Zomato"/>
    <x v="0"/>
    <d v="1899-12-30T20:09:00"/>
    <x v="0"/>
    <x v="126"/>
    <x v="46"/>
    <n v="473.4"/>
    <n v="526"/>
    <x v="1"/>
  </r>
  <r>
    <s v="ORD3900822"/>
    <s v="CUST0167"/>
    <s v="Swiggy"/>
    <x v="49"/>
    <d v="1899-12-30T16:46:00"/>
    <x v="0"/>
    <x v="127"/>
    <x v="47"/>
    <n v="716.3"/>
    <n v="754"/>
    <x v="1"/>
  </r>
  <r>
    <s v="ORD4803691"/>
    <s v="CUST0477"/>
    <s v="Direct"/>
    <x v="30"/>
    <d v="1899-12-30T19:26:00"/>
    <x v="1"/>
    <x v="112"/>
    <x v="0"/>
    <n v="0"/>
    <n v="516"/>
    <x v="0"/>
  </r>
  <r>
    <s v="ORD9467953"/>
    <s v="CUST0386"/>
    <s v="Swiggy"/>
    <x v="138"/>
    <d v="1899-12-30T15:28:00"/>
    <x v="0"/>
    <x v="54"/>
    <x v="0"/>
    <n v="178"/>
    <n v="178"/>
    <x v="1"/>
  </r>
  <r>
    <s v="ORD3187332"/>
    <s v="CUST0257"/>
    <s v="Zomato"/>
    <x v="81"/>
    <d v="1899-12-30T16:25:00"/>
    <x v="0"/>
    <x v="2"/>
    <x v="16"/>
    <n v="338.2"/>
    <n v="356"/>
    <x v="1"/>
  </r>
  <r>
    <s v="ORD2503148"/>
    <s v="CUST0351"/>
    <s v="Direct"/>
    <x v="139"/>
    <d v="1899-12-30T19:20:00"/>
    <x v="0"/>
    <x v="61"/>
    <x v="0"/>
    <n v="286"/>
    <n v="286"/>
    <x v="2"/>
  </r>
  <r>
    <s v="ORD4917305"/>
    <s v="CUST0075"/>
    <s v="Zomato"/>
    <x v="18"/>
    <d v="1899-12-30T22:39:00"/>
    <x v="0"/>
    <x v="128"/>
    <x v="48"/>
    <n v="735.3"/>
    <n v="774"/>
    <x v="1"/>
  </r>
  <r>
    <s v="ORD6119031"/>
    <s v="CUST0356"/>
    <s v="Swiggy"/>
    <x v="105"/>
    <d v="1899-12-30T09:21:00"/>
    <x v="0"/>
    <x v="106"/>
    <x v="0"/>
    <n v="377"/>
    <n v="377"/>
    <x v="1"/>
  </r>
  <r>
    <s v="ORD7318411"/>
    <s v="CUST0358"/>
    <s v="Swiggy"/>
    <x v="38"/>
    <d v="1899-12-30T17:44:00"/>
    <x v="1"/>
    <x v="129"/>
    <x v="49"/>
    <n v="0"/>
    <n v="871"/>
    <x v="1"/>
  </r>
  <r>
    <s v="ORD5907261"/>
    <s v="CUST0443"/>
    <s v="Zomato"/>
    <x v="121"/>
    <d v="1899-12-30T01:23:00"/>
    <x v="0"/>
    <x v="110"/>
    <x v="0"/>
    <n v="138"/>
    <n v="138"/>
    <x v="0"/>
  </r>
  <r>
    <s v="ORD1360516"/>
    <s v="CUST0288"/>
    <s v="Direct"/>
    <x v="96"/>
    <d v="1899-12-30T20:29:00"/>
    <x v="0"/>
    <x v="6"/>
    <x v="0"/>
    <n v="158"/>
    <n v="158"/>
    <x v="0"/>
  </r>
  <r>
    <s v="ORD5323142"/>
    <s v="CUST0142"/>
    <s v="Swiggy"/>
    <x v="140"/>
    <d v="1899-12-30T17:32:00"/>
    <x v="0"/>
    <x v="130"/>
    <x v="0"/>
    <n v="762"/>
    <n v="762"/>
    <x v="0"/>
  </r>
  <r>
    <s v="ORD3562705"/>
    <s v="CUST0117"/>
    <s v="Zomato"/>
    <x v="91"/>
    <d v="1899-12-30T21:43:00"/>
    <x v="0"/>
    <x v="108"/>
    <x v="50"/>
    <n v="693.9"/>
    <n v="771"/>
    <x v="2"/>
  </r>
  <r>
    <s v="ORD3435253"/>
    <s v="CUST0466"/>
    <s v="Direct"/>
    <x v="141"/>
    <d v="1899-12-30T11:27:00"/>
    <x v="0"/>
    <x v="7"/>
    <x v="51"/>
    <n v="621.9"/>
    <n v="691"/>
    <x v="1"/>
  </r>
  <r>
    <s v="ORD5593537"/>
    <s v="CUST0421"/>
    <s v="Direct"/>
    <x v="91"/>
    <d v="1899-12-30T21:59:00"/>
    <x v="0"/>
    <x v="131"/>
    <x v="0"/>
    <n v="485"/>
    <n v="485"/>
    <x v="1"/>
  </r>
  <r>
    <s v="ORD3249600"/>
    <s v="CUST0353"/>
    <s v="Swiggy"/>
    <x v="11"/>
    <d v="1899-12-30T14:05:00"/>
    <x v="0"/>
    <x v="103"/>
    <x v="0"/>
    <n v="545"/>
    <n v="545"/>
    <x v="0"/>
  </r>
  <r>
    <s v="ORD4431982"/>
    <s v="CUST0344"/>
    <s v="Direct"/>
    <x v="142"/>
    <d v="1899-12-30T12:47:00"/>
    <x v="0"/>
    <x v="132"/>
    <x v="0"/>
    <n v="396"/>
    <n v="396"/>
    <x v="2"/>
  </r>
  <r>
    <s v="ORD6249548"/>
    <s v="CUST0377"/>
    <s v="Swiggy"/>
    <x v="57"/>
    <d v="1899-12-30T16:38:00"/>
    <x v="0"/>
    <x v="133"/>
    <x v="0"/>
    <n v="1062"/>
    <n v="1062"/>
    <x v="1"/>
  </r>
  <r>
    <s v="ORD1658532"/>
    <s v="CUST0276"/>
    <s v="Zomato"/>
    <x v="83"/>
    <d v="1899-12-30T17:33:00"/>
    <x v="0"/>
    <x v="34"/>
    <x v="52"/>
    <n v="205.2"/>
    <n v="228"/>
    <x v="1"/>
  </r>
  <r>
    <s v="ORD1915141"/>
    <s v="CUST0151"/>
    <s v="Swiggy"/>
    <x v="143"/>
    <d v="1899-12-30T17:27:00"/>
    <x v="0"/>
    <x v="134"/>
    <x v="0"/>
    <n v="1251"/>
    <n v="1251"/>
    <x v="1"/>
  </r>
  <r>
    <s v="ORD4387856"/>
    <s v="CUST0460"/>
    <s v="Swiggy"/>
    <x v="144"/>
    <d v="1899-12-30T19:37:00"/>
    <x v="0"/>
    <x v="135"/>
    <x v="0"/>
    <n v="118"/>
    <n v="118"/>
    <x v="1"/>
  </r>
  <r>
    <s v="ORD7089179"/>
    <s v="CUST0362"/>
    <s v="Zomato"/>
    <x v="145"/>
    <d v="1899-12-30T10:07:00"/>
    <x v="0"/>
    <x v="75"/>
    <x v="21"/>
    <n v="602.29999999999995"/>
    <n v="634"/>
    <x v="1"/>
  </r>
  <r>
    <s v="ORD3426109"/>
    <s v="CUST0077"/>
    <s v="Zomato"/>
    <x v="146"/>
    <d v="1899-12-30T21:55:00"/>
    <x v="0"/>
    <x v="136"/>
    <x v="0"/>
    <n v="983"/>
    <n v="983"/>
    <x v="1"/>
  </r>
  <r>
    <s v="ORD9365828"/>
    <s v="CUST0235"/>
    <s v="Zomato"/>
    <x v="91"/>
    <d v="1899-12-30T18:00:00"/>
    <x v="0"/>
    <x v="127"/>
    <x v="0"/>
    <n v="754"/>
    <n v="754"/>
    <x v="0"/>
  </r>
  <r>
    <s v="ORD6855581"/>
    <s v="CUST0095"/>
    <s v="Zomato"/>
    <x v="147"/>
    <d v="1899-12-30T17:03:00"/>
    <x v="0"/>
    <x v="137"/>
    <x v="53"/>
    <n v="377.15"/>
    <n v="397"/>
    <x v="0"/>
  </r>
  <r>
    <s v="ORD3976601"/>
    <s v="CUST0313"/>
    <s v="Swiggy"/>
    <x v="148"/>
    <d v="1899-12-30T21:18:00"/>
    <x v="0"/>
    <x v="138"/>
    <x v="54"/>
    <n v="874.8"/>
    <n v="972"/>
    <x v="1"/>
  </r>
  <r>
    <s v="ORD5603979"/>
    <s v="CUST0063"/>
    <s v="Swiggy"/>
    <x v="149"/>
    <d v="1899-12-30T19:08:00"/>
    <x v="0"/>
    <x v="139"/>
    <x v="0"/>
    <n v="715"/>
    <n v="715"/>
    <x v="0"/>
  </r>
  <r>
    <s v="ORD5356372"/>
    <s v="CUST0312"/>
    <s v="Swiggy"/>
    <x v="2"/>
    <d v="1899-12-30T13:27:00"/>
    <x v="0"/>
    <x v="12"/>
    <x v="0"/>
    <n v="476"/>
    <n v="476"/>
    <x v="1"/>
  </r>
  <r>
    <s v="ORD1026523"/>
    <s v="CUST0149"/>
    <s v="Direct"/>
    <x v="101"/>
    <d v="1899-12-30T12:45:00"/>
    <x v="0"/>
    <x v="86"/>
    <x v="0"/>
    <n v="159"/>
    <n v="159"/>
    <x v="0"/>
  </r>
  <r>
    <s v="ORD4562439"/>
    <s v="CUST0171"/>
    <s v="Zomato"/>
    <x v="87"/>
    <d v="1899-12-30T15:02:00"/>
    <x v="0"/>
    <x v="140"/>
    <x v="55"/>
    <n v="678.3"/>
    <n v="714"/>
    <x v="1"/>
  </r>
  <r>
    <s v="ORD3946567"/>
    <s v="CUST0316"/>
    <s v="Direct"/>
    <x v="86"/>
    <d v="1899-12-30T21:36:00"/>
    <x v="0"/>
    <x v="141"/>
    <x v="0"/>
    <n v="773"/>
    <n v="773"/>
    <x v="0"/>
  </r>
  <r>
    <s v="ORD7944979"/>
    <s v="CUST0172"/>
    <s v="Zomato"/>
    <x v="9"/>
    <d v="1899-12-30T20:57:00"/>
    <x v="0"/>
    <x v="142"/>
    <x v="0"/>
    <n v="890"/>
    <n v="890"/>
    <x v="0"/>
  </r>
  <r>
    <s v="ORD3784505"/>
    <s v="CUST0193"/>
    <s v="Swiggy"/>
    <x v="150"/>
    <d v="1899-12-30T16:21:00"/>
    <x v="0"/>
    <x v="94"/>
    <x v="0"/>
    <n v="694"/>
    <n v="694"/>
    <x v="1"/>
  </r>
  <r>
    <s v="ORD4626225"/>
    <s v="CUST0425"/>
    <s v="Direct"/>
    <x v="151"/>
    <d v="1899-12-30T14:28:00"/>
    <x v="0"/>
    <x v="143"/>
    <x v="56"/>
    <n v="749.7"/>
    <n v="833"/>
    <x v="1"/>
  </r>
  <r>
    <s v="ORD9111313"/>
    <s v="CUST0098"/>
    <s v="Zomato"/>
    <x v="152"/>
    <d v="1899-12-30T23:09:00"/>
    <x v="0"/>
    <x v="144"/>
    <x v="0"/>
    <n v="444"/>
    <n v="444"/>
    <x v="2"/>
  </r>
  <r>
    <s v="ORD9763492"/>
    <s v="CUST0199"/>
    <s v="Swiggy"/>
    <x v="153"/>
    <d v="1899-12-30T16:29:00"/>
    <x v="0"/>
    <x v="6"/>
    <x v="0"/>
    <n v="158"/>
    <n v="158"/>
    <x v="1"/>
  </r>
  <r>
    <s v="ORD6242557"/>
    <s v="CUST0267"/>
    <s v="Swiggy"/>
    <x v="151"/>
    <d v="1899-12-30T16:06:00"/>
    <x v="0"/>
    <x v="110"/>
    <x v="0"/>
    <n v="138"/>
    <n v="138"/>
    <x v="1"/>
  </r>
  <r>
    <s v="ORD9624506"/>
    <s v="CUST0141"/>
    <s v="Zomato"/>
    <x v="154"/>
    <d v="1899-12-30T17:10:00"/>
    <x v="0"/>
    <x v="145"/>
    <x v="57"/>
    <n v="177.3"/>
    <n v="197"/>
    <x v="1"/>
  </r>
  <r>
    <s v="ORD8443172"/>
    <s v="CUST0457"/>
    <s v="Zomato"/>
    <x v="119"/>
    <d v="1899-12-30T18:39:00"/>
    <x v="0"/>
    <x v="146"/>
    <x v="0"/>
    <n v="268"/>
    <n v="268"/>
    <x v="1"/>
  </r>
  <r>
    <s v="ORD8479891"/>
    <s v="CUST0429"/>
    <s v="Swiggy"/>
    <x v="35"/>
    <d v="1899-12-30T20:40:00"/>
    <x v="1"/>
    <x v="144"/>
    <x v="58"/>
    <n v="0"/>
    <n v="444"/>
    <x v="1"/>
  </r>
  <r>
    <s v="ORD8808058"/>
    <s v="CUST0050"/>
    <s v="Zomato"/>
    <x v="49"/>
    <d v="1899-12-30T21:29:00"/>
    <x v="0"/>
    <x v="140"/>
    <x v="59"/>
    <n v="642.6"/>
    <n v="714"/>
    <x v="1"/>
  </r>
  <r>
    <s v="ORD8604827"/>
    <s v="CUST0441"/>
    <s v="Direct"/>
    <x v="155"/>
    <d v="1899-12-30T14:50:00"/>
    <x v="0"/>
    <x v="43"/>
    <x v="0"/>
    <n v="149"/>
    <n v="149"/>
    <x v="1"/>
  </r>
  <r>
    <s v="ORD7806281"/>
    <s v="CUST0066"/>
    <s v="Swiggy"/>
    <x v="156"/>
    <d v="1899-12-30T00:36:00"/>
    <x v="0"/>
    <x v="97"/>
    <x v="0"/>
    <n v="357"/>
    <n v="357"/>
    <x v="2"/>
  </r>
  <r>
    <s v="ORD8233471"/>
    <s v="CUST0034"/>
    <s v="Zomato"/>
    <x v="3"/>
    <d v="1899-12-30T19:24:00"/>
    <x v="0"/>
    <x v="114"/>
    <x v="0"/>
    <n v="783"/>
    <n v="783"/>
    <x v="1"/>
  </r>
  <r>
    <s v="ORD3955709"/>
    <s v="CUST0050"/>
    <s v="Swiggy"/>
    <x v="157"/>
    <d v="1899-12-30T18:35:00"/>
    <x v="0"/>
    <x v="140"/>
    <x v="55"/>
    <n v="678.3"/>
    <n v="714"/>
    <x v="1"/>
  </r>
  <r>
    <s v="ORD3503436"/>
    <s v="CUST0001"/>
    <s v="Swiggy"/>
    <x v="57"/>
    <d v="1899-12-30T01:51:00"/>
    <x v="0"/>
    <x v="91"/>
    <x v="0"/>
    <n v="505"/>
    <n v="505"/>
    <x v="0"/>
  </r>
  <r>
    <s v="ORD2497994"/>
    <s v="CUST0469"/>
    <s v="Zomato"/>
    <x v="158"/>
    <d v="1899-12-30T15:45:00"/>
    <x v="1"/>
    <x v="147"/>
    <x v="60"/>
    <n v="0"/>
    <n v="49"/>
    <x v="1"/>
  </r>
  <r>
    <s v="ORD7027124"/>
    <s v="CUST0361"/>
    <s v="Swiggy"/>
    <x v="159"/>
    <d v="1899-12-30T09:00:00"/>
    <x v="0"/>
    <x v="148"/>
    <x v="0"/>
    <n v="625"/>
    <n v="625"/>
    <x v="1"/>
  </r>
  <r>
    <s v="ORD8000050"/>
    <s v="CUST0474"/>
    <s v="Zomato"/>
    <x v="112"/>
    <d v="1899-12-30T19:53:00"/>
    <x v="0"/>
    <x v="97"/>
    <x v="61"/>
    <n v="339.15"/>
    <n v="357"/>
    <x v="0"/>
  </r>
  <r>
    <s v="ORD7976896"/>
    <s v="CUST0044"/>
    <s v="Zomato"/>
    <x v="10"/>
    <d v="1899-12-30T19:08:00"/>
    <x v="0"/>
    <x v="149"/>
    <x v="0"/>
    <n v="824"/>
    <n v="824"/>
    <x v="1"/>
  </r>
  <r>
    <s v="ORD7892714"/>
    <s v="CUST0365"/>
    <s v="Swiggy"/>
    <x v="160"/>
    <d v="1899-12-30T21:15:00"/>
    <x v="0"/>
    <x v="137"/>
    <x v="0"/>
    <n v="397"/>
    <n v="397"/>
    <x v="0"/>
  </r>
  <r>
    <s v="ORD8800337"/>
    <s v="CUST0385"/>
    <s v="Swiggy"/>
    <x v="161"/>
    <d v="1899-12-30T23:54:00"/>
    <x v="0"/>
    <x v="39"/>
    <x v="0"/>
    <n v="79"/>
    <n v="79"/>
    <x v="0"/>
  </r>
  <r>
    <s v="ORD6242875"/>
    <s v="CUST0325"/>
    <s v="Swiggy"/>
    <x v="162"/>
    <d v="1899-12-30T10:43:00"/>
    <x v="1"/>
    <x v="150"/>
    <x v="0"/>
    <n v="0"/>
    <n v="237"/>
    <x v="1"/>
  </r>
  <r>
    <s v="ORD5942868"/>
    <s v="CUST0216"/>
    <s v="Zomato"/>
    <x v="31"/>
    <d v="1899-12-30T21:21:00"/>
    <x v="0"/>
    <x v="151"/>
    <x v="0"/>
    <n v="596"/>
    <n v="596"/>
    <x v="1"/>
  </r>
  <r>
    <s v="ORD1457985"/>
    <s v="CUST0337"/>
    <s v="Direct"/>
    <x v="104"/>
    <d v="1899-12-30T20:03:00"/>
    <x v="0"/>
    <x v="2"/>
    <x v="0"/>
    <n v="356"/>
    <n v="356"/>
    <x v="1"/>
  </r>
  <r>
    <s v="ORD3535634"/>
    <s v="CUST0310"/>
    <s v="Zomato"/>
    <x v="163"/>
    <d v="1899-12-30T21:07:00"/>
    <x v="0"/>
    <x v="1"/>
    <x v="0"/>
    <n v="238"/>
    <n v="238"/>
    <x v="1"/>
  </r>
  <r>
    <s v="ORD9320631"/>
    <s v="CUST0479"/>
    <s v="Swiggy"/>
    <x v="164"/>
    <d v="1899-12-30T11:38:00"/>
    <x v="0"/>
    <x v="152"/>
    <x v="0"/>
    <n v="595"/>
    <n v="595"/>
    <x v="2"/>
  </r>
  <r>
    <s v="ORD8990421"/>
    <s v="CUST0205"/>
    <s v="Zomato"/>
    <x v="165"/>
    <d v="1899-12-30T17:29:00"/>
    <x v="0"/>
    <x v="153"/>
    <x v="38"/>
    <n v="294.3"/>
    <n v="327"/>
    <x v="0"/>
  </r>
  <r>
    <s v="ORD9896176"/>
    <s v="CUST0348"/>
    <s v="Zomato"/>
    <x v="29"/>
    <d v="1899-12-30T22:24:00"/>
    <x v="0"/>
    <x v="50"/>
    <x v="0"/>
    <n v="99"/>
    <n v="99"/>
    <x v="2"/>
  </r>
  <r>
    <s v="ORD2648810"/>
    <s v="CUST0139"/>
    <s v="Zomato"/>
    <x v="166"/>
    <d v="1899-12-30T13:21:00"/>
    <x v="0"/>
    <x v="148"/>
    <x v="0"/>
    <n v="625"/>
    <n v="625"/>
    <x v="0"/>
  </r>
  <r>
    <s v="ORD1142206"/>
    <s v="CUST0281"/>
    <s v="Zomato"/>
    <x v="63"/>
    <d v="1899-12-30T11:20:00"/>
    <x v="0"/>
    <x v="39"/>
    <x v="0"/>
    <n v="79"/>
    <n v="79"/>
    <x v="0"/>
  </r>
  <r>
    <s v="ORD1954320"/>
    <s v="CUST0013"/>
    <s v="Swiggy"/>
    <x v="167"/>
    <d v="1899-12-30T17:02:00"/>
    <x v="1"/>
    <x v="79"/>
    <x v="62"/>
    <n v="0"/>
    <n v="674"/>
    <x v="1"/>
  </r>
  <r>
    <s v="ORD5250268"/>
    <s v="CUST0057"/>
    <s v="Swiggy"/>
    <x v="168"/>
    <d v="1899-12-30T17:57:00"/>
    <x v="0"/>
    <x v="139"/>
    <x v="0"/>
    <n v="715"/>
    <n v="715"/>
    <x v="1"/>
  </r>
  <r>
    <s v="ORD5652111"/>
    <s v="CUST0083"/>
    <s v="Swiggy"/>
    <x v="169"/>
    <d v="1899-12-30T14:16:00"/>
    <x v="0"/>
    <x v="154"/>
    <x v="0"/>
    <n v="535"/>
    <n v="535"/>
    <x v="1"/>
  </r>
  <r>
    <s v="ORD2819161"/>
    <s v="CUST0092"/>
    <s v="Swiggy"/>
    <x v="170"/>
    <d v="1899-12-30T00:25:00"/>
    <x v="0"/>
    <x v="97"/>
    <x v="63"/>
    <n v="303.45"/>
    <n v="357"/>
    <x v="2"/>
  </r>
  <r>
    <s v="ORD1634776"/>
    <s v="CUST0335"/>
    <s v="Swiggy"/>
    <x v="171"/>
    <d v="1899-12-30T19:09:00"/>
    <x v="0"/>
    <x v="12"/>
    <x v="0"/>
    <n v="476"/>
    <n v="476"/>
    <x v="0"/>
  </r>
  <r>
    <s v="ORD4789081"/>
    <s v="CUST0416"/>
    <s v="Swiggy"/>
    <x v="65"/>
    <d v="1899-12-30T21:49:00"/>
    <x v="0"/>
    <x v="16"/>
    <x v="0"/>
    <n v="447"/>
    <n v="447"/>
    <x v="1"/>
  </r>
  <r>
    <s v="ORD9969540"/>
    <s v="CUST0332"/>
    <s v="Zomato"/>
    <x v="172"/>
    <d v="1899-12-30T16:40:00"/>
    <x v="0"/>
    <x v="97"/>
    <x v="0"/>
    <n v="357"/>
    <n v="357"/>
    <x v="2"/>
  </r>
  <r>
    <s v="ORD7544871"/>
    <s v="CUST0098"/>
    <s v="Zomato"/>
    <x v="173"/>
    <d v="1899-12-30T19:42:00"/>
    <x v="0"/>
    <x v="26"/>
    <x v="0"/>
    <n v="515"/>
    <n v="515"/>
    <x v="2"/>
  </r>
  <r>
    <s v="ORD9383308"/>
    <s v="CUST0277"/>
    <s v="Swiggy"/>
    <x v="7"/>
    <d v="1899-12-30T16:50:00"/>
    <x v="0"/>
    <x v="155"/>
    <x v="0"/>
    <n v="415"/>
    <n v="415"/>
    <x v="1"/>
  </r>
  <r>
    <s v="ORD2208521"/>
    <s v="CUST0380"/>
    <s v="Swiggy"/>
    <x v="174"/>
    <d v="1899-12-30T23:09:00"/>
    <x v="0"/>
    <x v="154"/>
    <x v="64"/>
    <n v="454.75"/>
    <n v="535"/>
    <x v="1"/>
  </r>
  <r>
    <s v="ORD2073030"/>
    <s v="CUST0313"/>
    <s v="Zomato"/>
    <x v="81"/>
    <d v="1899-12-30T16:29:00"/>
    <x v="0"/>
    <x v="156"/>
    <x v="14"/>
    <n v="283.10000000000002"/>
    <n v="298"/>
    <x v="1"/>
  </r>
  <r>
    <s v="ORD3304005"/>
    <s v="CUST0206"/>
    <s v="Zomato"/>
    <x v="175"/>
    <d v="1899-12-30T21:43:00"/>
    <x v="0"/>
    <x v="26"/>
    <x v="0"/>
    <n v="515"/>
    <n v="515"/>
    <x v="1"/>
  </r>
  <r>
    <s v="ORD7310431"/>
    <s v="CUST0052"/>
    <s v="Swiggy"/>
    <x v="154"/>
    <d v="1899-12-30T09:08:00"/>
    <x v="0"/>
    <x v="43"/>
    <x v="0"/>
    <n v="149"/>
    <n v="149"/>
    <x v="1"/>
  </r>
  <r>
    <s v="ORD8986164"/>
    <s v="CUST0356"/>
    <s v="Swiggy"/>
    <x v="176"/>
    <d v="1899-12-30T13:26:00"/>
    <x v="0"/>
    <x v="100"/>
    <x v="0"/>
    <n v="735"/>
    <n v="735"/>
    <x v="1"/>
  </r>
  <r>
    <s v="ORD6053293"/>
    <s v="CUST0487"/>
    <s v="Zomato"/>
    <x v="177"/>
    <d v="1899-12-30T19:39:00"/>
    <x v="0"/>
    <x v="157"/>
    <x v="0"/>
    <n v="940"/>
    <n v="940"/>
    <x v="1"/>
  </r>
  <r>
    <s v="ORD4491484"/>
    <s v="CUST0238"/>
    <s v="Swiggy"/>
    <x v="178"/>
    <d v="1899-12-30T23:14:00"/>
    <x v="0"/>
    <x v="39"/>
    <x v="0"/>
    <n v="79"/>
    <n v="79"/>
    <x v="0"/>
  </r>
  <r>
    <s v="ORD7110145"/>
    <s v="CUST0473"/>
    <s v="Zomato"/>
    <x v="146"/>
    <d v="1899-12-30T17:42:00"/>
    <x v="0"/>
    <x v="158"/>
    <x v="65"/>
    <n v="792.3"/>
    <n v="834"/>
    <x v="2"/>
  </r>
  <r>
    <s v="ORD4947676"/>
    <s v="CUST0264"/>
    <s v="Zomato"/>
    <x v="30"/>
    <d v="1899-12-30T16:31:00"/>
    <x v="0"/>
    <x v="152"/>
    <x v="66"/>
    <n v="505.75"/>
    <n v="595"/>
    <x v="0"/>
  </r>
  <r>
    <s v="ORD1911663"/>
    <s v="CUST0242"/>
    <s v="Swiggy"/>
    <x v="137"/>
    <d v="1899-12-30T17:04:00"/>
    <x v="0"/>
    <x v="47"/>
    <x v="13"/>
    <n v="188.1"/>
    <n v="198"/>
    <x v="1"/>
  </r>
  <r>
    <s v="ORD2000789"/>
    <s v="CUST0066"/>
    <s v="Zomato"/>
    <x v="179"/>
    <d v="1899-12-30T12:21:00"/>
    <x v="0"/>
    <x v="159"/>
    <x v="0"/>
    <n v="258"/>
    <n v="258"/>
    <x v="2"/>
  </r>
  <r>
    <s v="ORD4853765"/>
    <s v="CUST0464"/>
    <s v="Zomato"/>
    <x v="180"/>
    <d v="1899-12-30T01:39:00"/>
    <x v="0"/>
    <x v="106"/>
    <x v="0"/>
    <n v="377"/>
    <n v="377"/>
    <x v="0"/>
  </r>
  <r>
    <s v="ORD4731363"/>
    <s v="CUST0168"/>
    <s v="Zomato"/>
    <x v="29"/>
    <d v="1899-12-30T17:15:00"/>
    <x v="1"/>
    <x v="160"/>
    <x v="0"/>
    <n v="0"/>
    <n v="909"/>
    <x v="1"/>
  </r>
  <r>
    <s v="ORD1208423"/>
    <s v="CUST0254"/>
    <s v="Zomato"/>
    <x v="181"/>
    <d v="1899-12-30T10:28:00"/>
    <x v="0"/>
    <x v="161"/>
    <x v="0"/>
    <n v="782"/>
    <n v="782"/>
    <x v="2"/>
  </r>
  <r>
    <s v="ORD7214624"/>
    <s v="CUST0361"/>
    <s v="Zomato"/>
    <x v="182"/>
    <d v="1899-12-30T17:55:00"/>
    <x v="0"/>
    <x v="162"/>
    <x v="0"/>
    <n v="565"/>
    <n v="565"/>
    <x v="1"/>
  </r>
  <r>
    <s v="ORD2358267"/>
    <s v="CUST0107"/>
    <s v="Swiggy"/>
    <x v="183"/>
    <d v="1899-12-30T20:50:00"/>
    <x v="1"/>
    <x v="163"/>
    <x v="67"/>
    <n v="0"/>
    <n v="882"/>
    <x v="1"/>
  </r>
  <r>
    <s v="ORD4434507"/>
    <s v="CUST0288"/>
    <s v="Swiggy"/>
    <x v="184"/>
    <d v="1899-12-30T21:04:00"/>
    <x v="0"/>
    <x v="118"/>
    <x v="0"/>
    <n v="1070"/>
    <n v="1070"/>
    <x v="0"/>
  </r>
  <r>
    <s v="ORD7254777"/>
    <s v="CUST0142"/>
    <s v="Zomato"/>
    <x v="140"/>
    <d v="1899-12-30T21:27:00"/>
    <x v="0"/>
    <x v="122"/>
    <x v="0"/>
    <n v="496"/>
    <n v="496"/>
    <x v="0"/>
  </r>
  <r>
    <s v="ORD2101048"/>
    <s v="CUST0345"/>
    <s v="Direct"/>
    <x v="67"/>
    <d v="1899-12-30T18:51:00"/>
    <x v="0"/>
    <x v="164"/>
    <x v="0"/>
    <n v="852"/>
    <n v="852"/>
    <x v="0"/>
  </r>
  <r>
    <s v="ORD3215051"/>
    <s v="CUST0151"/>
    <s v="Zomato"/>
    <x v="28"/>
    <d v="1899-12-30T21:01:00"/>
    <x v="0"/>
    <x v="165"/>
    <x v="0"/>
    <n v="278"/>
    <n v="278"/>
    <x v="1"/>
  </r>
  <r>
    <s v="ORD6474513"/>
    <s v="CUST0211"/>
    <s v="Swiggy"/>
    <x v="11"/>
    <d v="1899-12-30T01:21:00"/>
    <x v="0"/>
    <x v="166"/>
    <x v="0"/>
    <n v="705"/>
    <n v="705"/>
    <x v="2"/>
  </r>
  <r>
    <s v="ORD6924385"/>
    <s v="CUST0433"/>
    <s v="Zomato"/>
    <x v="185"/>
    <d v="1899-12-30T18:49:00"/>
    <x v="0"/>
    <x v="49"/>
    <x v="0"/>
    <n v="277"/>
    <n v="277"/>
    <x v="2"/>
  </r>
  <r>
    <s v="ORD2961547"/>
    <s v="CUST0079"/>
    <s v="Zomato"/>
    <x v="186"/>
    <d v="1899-12-30T01:50:00"/>
    <x v="0"/>
    <x v="167"/>
    <x v="0"/>
    <n v="1230"/>
    <n v="1230"/>
    <x v="1"/>
  </r>
  <r>
    <s v="ORD9378825"/>
    <s v="CUST0013"/>
    <s v="Zomato"/>
    <x v="187"/>
    <d v="1899-12-30T16:58:00"/>
    <x v="0"/>
    <x v="108"/>
    <x v="0"/>
    <n v="771"/>
    <n v="771"/>
    <x v="1"/>
  </r>
  <r>
    <s v="ORD8417300"/>
    <s v="CUST0410"/>
    <s v="Swiggy"/>
    <x v="88"/>
    <d v="1899-12-30T01:09:00"/>
    <x v="0"/>
    <x v="9"/>
    <x v="0"/>
    <n v="416"/>
    <n v="416"/>
    <x v="1"/>
  </r>
  <r>
    <s v="ORD9832094"/>
    <s v="CUST0329"/>
    <s v="Zomato"/>
    <x v="188"/>
    <d v="1899-12-30T16:38:00"/>
    <x v="0"/>
    <x v="168"/>
    <x v="0"/>
    <n v="1101"/>
    <n v="1101"/>
    <x v="1"/>
  </r>
  <r>
    <s v="ORD7057663"/>
    <s v="CUST0262"/>
    <s v="Direct"/>
    <x v="189"/>
    <d v="1899-12-30T20:38:00"/>
    <x v="0"/>
    <x v="33"/>
    <x v="0"/>
    <n v="218"/>
    <n v="218"/>
    <x v="2"/>
  </r>
  <r>
    <s v="ORD7972774"/>
    <s v="CUST0373"/>
    <s v="Direct"/>
    <x v="190"/>
    <d v="1899-12-30T10:13:00"/>
    <x v="0"/>
    <x v="155"/>
    <x v="68"/>
    <n v="352.75"/>
    <n v="415"/>
    <x v="1"/>
  </r>
  <r>
    <s v="ORD6627359"/>
    <s v="CUST0445"/>
    <s v="Swiggy"/>
    <x v="191"/>
    <d v="1899-12-30T18:30:00"/>
    <x v="0"/>
    <x v="140"/>
    <x v="0"/>
    <n v="714"/>
    <n v="714"/>
    <x v="1"/>
  </r>
  <r>
    <s v="ORD6066600"/>
    <s v="CUST0252"/>
    <s v="Zomato"/>
    <x v="192"/>
    <d v="1899-12-30T13:35:00"/>
    <x v="1"/>
    <x v="33"/>
    <x v="0"/>
    <n v="0"/>
    <n v="218"/>
    <x v="0"/>
  </r>
  <r>
    <s v="ORD5826621"/>
    <s v="CUST0335"/>
    <s v="Swiggy"/>
    <x v="193"/>
    <d v="1899-12-30T22:07:00"/>
    <x v="0"/>
    <x v="132"/>
    <x v="0"/>
    <n v="396"/>
    <n v="396"/>
    <x v="0"/>
  </r>
  <r>
    <s v="ORD5327037"/>
    <s v="CUST0247"/>
    <s v="Swiggy"/>
    <x v="194"/>
    <d v="1899-12-30T18:37:00"/>
    <x v="0"/>
    <x v="117"/>
    <x v="0"/>
    <n v="684"/>
    <n v="684"/>
    <x v="1"/>
  </r>
  <r>
    <s v="ORD6972425"/>
    <s v="CUST0326"/>
    <s v="Direct"/>
    <x v="76"/>
    <d v="1899-12-30T18:26:00"/>
    <x v="0"/>
    <x v="21"/>
    <x v="0"/>
    <n v="435"/>
    <n v="435"/>
    <x v="1"/>
  </r>
  <r>
    <s v="ORD6051155"/>
    <s v="CUST0447"/>
    <s v="Zomato"/>
    <x v="195"/>
    <d v="1899-12-30T23:20:00"/>
    <x v="0"/>
    <x v="117"/>
    <x v="0"/>
    <n v="684"/>
    <n v="684"/>
    <x v="0"/>
  </r>
  <r>
    <s v="ORD4709668"/>
    <s v="CUST0112"/>
    <s v="Zomato"/>
    <x v="2"/>
    <d v="1899-12-30T17:06:00"/>
    <x v="0"/>
    <x v="169"/>
    <x v="0"/>
    <n v="753"/>
    <n v="753"/>
    <x v="1"/>
  </r>
  <r>
    <s v="ORD9044980"/>
    <s v="CUST0068"/>
    <s v="Direct"/>
    <x v="148"/>
    <d v="1899-12-30T10:52:00"/>
    <x v="0"/>
    <x v="170"/>
    <x v="69"/>
    <n v="462.6"/>
    <n v="514"/>
    <x v="0"/>
  </r>
  <r>
    <s v="ORD3388393"/>
    <s v="CUST0061"/>
    <s v="Zomato"/>
    <x v="156"/>
    <d v="1899-12-30T21:52:00"/>
    <x v="0"/>
    <x v="171"/>
    <x v="70"/>
    <n v="214.7"/>
    <n v="226"/>
    <x v="0"/>
  </r>
  <r>
    <s v="ORD9614751"/>
    <s v="CUST0056"/>
    <s v="Zomato"/>
    <x v="143"/>
    <d v="1899-12-30T09:12:00"/>
    <x v="1"/>
    <x v="39"/>
    <x v="71"/>
    <n v="0"/>
    <n v="79"/>
    <x v="2"/>
  </r>
  <r>
    <s v="ORD4355853"/>
    <s v="CUST0309"/>
    <s v="Zomato"/>
    <x v="8"/>
    <d v="1899-12-30T16:58:00"/>
    <x v="0"/>
    <x v="12"/>
    <x v="0"/>
    <n v="476"/>
    <n v="476"/>
    <x v="1"/>
  </r>
  <r>
    <s v="ORD1234617"/>
    <s v="CUST0035"/>
    <s v="Zomato"/>
    <x v="196"/>
    <d v="1899-12-30T20:36:00"/>
    <x v="0"/>
    <x v="25"/>
    <x v="0"/>
    <n v="534"/>
    <n v="534"/>
    <x v="0"/>
  </r>
  <r>
    <s v="ORD4105895"/>
    <s v="CUST0363"/>
    <s v="Zomato"/>
    <x v="69"/>
    <d v="1899-12-30T20:54:00"/>
    <x v="0"/>
    <x v="172"/>
    <x v="0"/>
    <n v="406"/>
    <n v="406"/>
    <x v="0"/>
  </r>
  <r>
    <s v="ORD5836389"/>
    <s v="CUST0254"/>
    <s v="Swiggy"/>
    <x v="197"/>
    <d v="1899-12-30T20:08:00"/>
    <x v="0"/>
    <x v="105"/>
    <x v="0"/>
    <n v="803"/>
    <n v="803"/>
    <x v="2"/>
  </r>
  <r>
    <s v="ORD8980532"/>
    <s v="CUST0439"/>
    <s v="Zomato"/>
    <x v="198"/>
    <d v="1899-12-30T19:12:00"/>
    <x v="0"/>
    <x v="47"/>
    <x v="0"/>
    <n v="198"/>
    <n v="198"/>
    <x v="1"/>
  </r>
  <r>
    <s v="ORD3830705"/>
    <s v="CUST0303"/>
    <s v="Direct"/>
    <x v="151"/>
    <d v="1899-12-30T19:44:00"/>
    <x v="0"/>
    <x v="11"/>
    <x v="72"/>
    <n v="240.3"/>
    <n v="267"/>
    <x v="0"/>
  </r>
  <r>
    <s v="ORD5579723"/>
    <s v="CUST0392"/>
    <s v="Swiggy"/>
    <x v="44"/>
    <d v="1899-12-30T22:17:00"/>
    <x v="0"/>
    <x v="173"/>
    <x v="73"/>
    <n v="812.7"/>
    <n v="903"/>
    <x v="1"/>
  </r>
  <r>
    <s v="ORD1498677"/>
    <s v="CUST0322"/>
    <s v="Direct"/>
    <x v="199"/>
    <d v="1899-12-30T19:14:00"/>
    <x v="0"/>
    <x v="174"/>
    <x v="0"/>
    <n v="426"/>
    <n v="426"/>
    <x v="0"/>
  </r>
  <r>
    <s v="ORD8818548"/>
    <s v="CUST0267"/>
    <s v="Swiggy"/>
    <x v="200"/>
    <d v="1899-12-30T01:48:00"/>
    <x v="0"/>
    <x v="156"/>
    <x v="0"/>
    <n v="298"/>
    <n v="298"/>
    <x v="1"/>
  </r>
  <r>
    <s v="ORD7436241"/>
    <s v="CUST0451"/>
    <s v="Direct"/>
    <x v="201"/>
    <d v="1899-12-30T16:27:00"/>
    <x v="0"/>
    <x v="17"/>
    <x v="0"/>
    <n v="297"/>
    <n v="297"/>
    <x v="0"/>
  </r>
  <r>
    <s v="ORD7527687"/>
    <s v="CUST0069"/>
    <s v="Zomato"/>
    <x v="158"/>
    <d v="1899-12-30T22:27:00"/>
    <x v="0"/>
    <x v="175"/>
    <x v="74"/>
    <n v="754.3"/>
    <n v="794"/>
    <x v="1"/>
  </r>
  <r>
    <s v="ORD6918393"/>
    <s v="CUST0194"/>
    <s v="Swiggy"/>
    <x v="152"/>
    <d v="1899-12-30T19:37:00"/>
    <x v="0"/>
    <x v="52"/>
    <x v="0"/>
    <n v="336"/>
    <n v="336"/>
    <x v="2"/>
  </r>
  <r>
    <s v="ORD6995607"/>
    <s v="CUST0050"/>
    <s v="Zomato"/>
    <x v="202"/>
    <d v="1899-12-30T14:24:00"/>
    <x v="0"/>
    <x v="122"/>
    <x v="75"/>
    <n v="471.2"/>
    <n v="496"/>
    <x v="1"/>
  </r>
  <r>
    <s v="ORD8732776"/>
    <s v="CUST0276"/>
    <s v="Zomato"/>
    <x v="105"/>
    <d v="1899-12-30T17:01:00"/>
    <x v="0"/>
    <x v="176"/>
    <x v="76"/>
    <n v="784.8"/>
    <n v="872"/>
    <x v="1"/>
  </r>
  <r>
    <s v="ORD6636598"/>
    <s v="CUST0354"/>
    <s v="Swiggy"/>
    <x v="133"/>
    <d v="1899-12-30T19:06:00"/>
    <x v="0"/>
    <x v="97"/>
    <x v="0"/>
    <n v="357"/>
    <n v="357"/>
    <x v="1"/>
  </r>
  <r>
    <s v="ORD5821026"/>
    <s v="CUST0436"/>
    <s v="Swiggy"/>
    <x v="203"/>
    <d v="1899-12-30T10:53:00"/>
    <x v="0"/>
    <x v="147"/>
    <x v="0"/>
    <n v="49"/>
    <n v="49"/>
    <x v="1"/>
  </r>
  <r>
    <s v="ORD2128599"/>
    <s v="CUST0304"/>
    <s v="Zomato"/>
    <x v="162"/>
    <d v="1899-12-30T20:06:00"/>
    <x v="0"/>
    <x v="143"/>
    <x v="0"/>
    <n v="833"/>
    <n v="833"/>
    <x v="1"/>
  </r>
  <r>
    <s v="ORD1312111"/>
    <s v="CUST0391"/>
    <s v="Swiggy"/>
    <x v="204"/>
    <d v="1899-12-30T19:42:00"/>
    <x v="0"/>
    <x v="177"/>
    <x v="77"/>
    <n v="981"/>
    <n v="1090"/>
    <x v="1"/>
  </r>
  <r>
    <s v="ORD3478727"/>
    <s v="CUST0103"/>
    <s v="Zomato"/>
    <x v="205"/>
    <d v="1899-12-30T09:33:00"/>
    <x v="0"/>
    <x v="1"/>
    <x v="0"/>
    <n v="238"/>
    <n v="238"/>
    <x v="1"/>
  </r>
  <r>
    <s v="ORD3694157"/>
    <s v="CUST0422"/>
    <s v="Zomato"/>
    <x v="206"/>
    <d v="1899-12-30T19:17:00"/>
    <x v="0"/>
    <x v="29"/>
    <x v="0"/>
    <n v="376"/>
    <n v="376"/>
    <x v="1"/>
  </r>
  <r>
    <s v="ORD3673591"/>
    <s v="CUST0464"/>
    <s v="Zomato"/>
    <x v="2"/>
    <d v="1899-12-30T15:41:00"/>
    <x v="0"/>
    <x v="17"/>
    <x v="0"/>
    <n v="297"/>
    <n v="297"/>
    <x v="0"/>
  </r>
  <r>
    <s v="ORD6266448"/>
    <s v="CUST0441"/>
    <s v="Direct"/>
    <x v="207"/>
    <d v="1899-12-30T16:03:00"/>
    <x v="1"/>
    <x v="75"/>
    <x v="0"/>
    <n v="0"/>
    <n v="634"/>
    <x v="1"/>
  </r>
  <r>
    <s v="ORD9392777"/>
    <s v="CUST0058"/>
    <s v="Swiggy"/>
    <x v="208"/>
    <d v="1899-12-30T11:15:00"/>
    <x v="0"/>
    <x v="155"/>
    <x v="78"/>
    <n v="394.25"/>
    <n v="415"/>
    <x v="1"/>
  </r>
  <r>
    <s v="ORD7542286"/>
    <s v="CUST0427"/>
    <s v="Swiggy"/>
    <x v="191"/>
    <d v="1899-12-30T14:21:00"/>
    <x v="0"/>
    <x v="37"/>
    <x v="79"/>
    <n v="409.5"/>
    <n v="455"/>
    <x v="2"/>
  </r>
  <r>
    <s v="ORD5659599"/>
    <s v="CUST0244"/>
    <s v="Swiggy"/>
    <x v="209"/>
    <d v="1899-12-30T20:27:00"/>
    <x v="0"/>
    <x v="77"/>
    <x v="0"/>
    <n v="894"/>
    <n v="894"/>
    <x v="1"/>
  </r>
  <r>
    <s v="ORD5021093"/>
    <s v="CUST0470"/>
    <s v="Swiggy"/>
    <x v="210"/>
    <d v="1899-12-30T09:44:00"/>
    <x v="0"/>
    <x v="178"/>
    <x v="0"/>
    <n v="583"/>
    <n v="583"/>
    <x v="0"/>
  </r>
  <r>
    <s v="ORD2514149"/>
    <s v="CUST0470"/>
    <s v="Zomato"/>
    <x v="134"/>
    <d v="1899-12-30T15:59:00"/>
    <x v="0"/>
    <x v="1"/>
    <x v="0"/>
    <n v="238"/>
    <n v="238"/>
    <x v="0"/>
  </r>
  <r>
    <s v="ORD9249220"/>
    <s v="CUST0042"/>
    <s v="Swiggy"/>
    <x v="46"/>
    <d v="1899-12-30T13:55:00"/>
    <x v="0"/>
    <x v="179"/>
    <x v="0"/>
    <n v="414"/>
    <n v="414"/>
    <x v="0"/>
  </r>
  <r>
    <s v="ORD8604470"/>
    <s v="CUST0281"/>
    <s v="Swiggy"/>
    <x v="211"/>
    <d v="1899-12-30T21:52:00"/>
    <x v="0"/>
    <x v="124"/>
    <x v="0"/>
    <n v="456"/>
    <n v="456"/>
    <x v="0"/>
  </r>
  <r>
    <s v="ORD3182597"/>
    <s v="CUST0366"/>
    <s v="Direct"/>
    <x v="119"/>
    <d v="1899-12-30T17:33:00"/>
    <x v="1"/>
    <x v="104"/>
    <x v="0"/>
    <n v="0"/>
    <n v="654"/>
    <x v="0"/>
  </r>
  <r>
    <s v="ORD7330379"/>
    <s v="CUST0094"/>
    <s v="Zomato"/>
    <x v="87"/>
    <d v="1899-12-30T19:23:00"/>
    <x v="0"/>
    <x v="83"/>
    <x v="0"/>
    <n v="316"/>
    <n v="316"/>
    <x v="0"/>
  </r>
  <r>
    <s v="ORD8195804"/>
    <s v="CUST0087"/>
    <s v="Zomato"/>
    <x v="187"/>
    <d v="1899-12-30T21:54:00"/>
    <x v="1"/>
    <x v="21"/>
    <x v="0"/>
    <n v="0"/>
    <n v="435"/>
    <x v="2"/>
  </r>
  <r>
    <s v="ORD4766215"/>
    <s v="CUST0345"/>
    <s v="Zomato"/>
    <x v="212"/>
    <d v="1899-12-30T22:52:00"/>
    <x v="0"/>
    <x v="180"/>
    <x v="80"/>
    <n v="405.65"/>
    <n v="427"/>
    <x v="0"/>
  </r>
  <r>
    <s v="ORD4026104"/>
    <s v="CUST0347"/>
    <s v="Zomato"/>
    <x v="191"/>
    <d v="1899-12-30T13:46:00"/>
    <x v="0"/>
    <x v="181"/>
    <x v="0"/>
    <n v="335"/>
    <n v="335"/>
    <x v="0"/>
  </r>
  <r>
    <s v="ORD7433986"/>
    <s v="CUST0204"/>
    <s v="Swiggy"/>
    <x v="151"/>
    <d v="1899-12-30T18:44:00"/>
    <x v="0"/>
    <x v="182"/>
    <x v="0"/>
    <n v="574"/>
    <n v="574"/>
    <x v="1"/>
  </r>
  <r>
    <s v="ORD1089942"/>
    <s v="CUST0384"/>
    <s v="Swiggy"/>
    <x v="213"/>
    <d v="1899-12-30T00:45:00"/>
    <x v="0"/>
    <x v="183"/>
    <x v="0"/>
    <n v="187"/>
    <n v="187"/>
    <x v="2"/>
  </r>
  <r>
    <s v="ORD8853160"/>
    <s v="CUST0253"/>
    <s v="Direct"/>
    <x v="214"/>
    <d v="1899-12-30T17:32:00"/>
    <x v="0"/>
    <x v="86"/>
    <x v="0"/>
    <n v="159"/>
    <n v="159"/>
    <x v="2"/>
  </r>
  <r>
    <s v="ORD7049733"/>
    <s v="CUST0428"/>
    <s v="Zomato"/>
    <x v="215"/>
    <d v="1899-12-30T22:55:00"/>
    <x v="0"/>
    <x v="132"/>
    <x v="0"/>
    <n v="396"/>
    <n v="396"/>
    <x v="1"/>
  </r>
  <r>
    <s v="ORD8381800"/>
    <s v="CUST0487"/>
    <s v="Zomato"/>
    <x v="99"/>
    <d v="1899-12-30T19:48:00"/>
    <x v="0"/>
    <x v="49"/>
    <x v="0"/>
    <n v="277"/>
    <n v="277"/>
    <x v="1"/>
  </r>
  <r>
    <s v="ORD9140297"/>
    <s v="CUST0227"/>
    <s v="Zomato"/>
    <x v="216"/>
    <d v="1899-12-30T22:02:00"/>
    <x v="0"/>
    <x v="184"/>
    <x v="81"/>
    <n v="125.1"/>
    <n v="139"/>
    <x v="1"/>
  </r>
  <r>
    <s v="ORD4563416"/>
    <s v="CUST0140"/>
    <s v="Swiggy"/>
    <x v="78"/>
    <d v="1899-12-30T20:52:00"/>
    <x v="1"/>
    <x v="103"/>
    <x v="0"/>
    <n v="0"/>
    <n v="545"/>
    <x v="2"/>
  </r>
  <r>
    <s v="ORD6428072"/>
    <s v="CUST0476"/>
    <s v="Direct"/>
    <x v="217"/>
    <d v="1899-12-30T18:37:00"/>
    <x v="0"/>
    <x v="1"/>
    <x v="82"/>
    <n v="214.2"/>
    <n v="238"/>
    <x v="2"/>
  </r>
  <r>
    <s v="ORD1735630"/>
    <s v="CUST0003"/>
    <s v="Zomato"/>
    <x v="218"/>
    <d v="1899-12-30T00:42:00"/>
    <x v="1"/>
    <x v="29"/>
    <x v="0"/>
    <n v="0"/>
    <n v="376"/>
    <x v="1"/>
  </r>
  <r>
    <s v="ORD7691735"/>
    <s v="CUST0309"/>
    <s v="Zomato"/>
    <x v="144"/>
    <d v="1899-12-30T16:35:00"/>
    <x v="0"/>
    <x v="122"/>
    <x v="0"/>
    <n v="496"/>
    <n v="496"/>
    <x v="1"/>
  </r>
  <r>
    <s v="ORD8253770"/>
    <s v="CUST0062"/>
    <s v="Zomato"/>
    <x v="196"/>
    <d v="1899-12-30T21:09:00"/>
    <x v="0"/>
    <x v="66"/>
    <x v="0"/>
    <n v="307"/>
    <n v="307"/>
    <x v="0"/>
  </r>
  <r>
    <s v="ORD8283088"/>
    <s v="CUST0189"/>
    <s v="Swiggy"/>
    <x v="219"/>
    <d v="1899-12-30T19:51:00"/>
    <x v="0"/>
    <x v="185"/>
    <x v="0"/>
    <n v="745"/>
    <n v="745"/>
    <x v="1"/>
  </r>
  <r>
    <s v="ORD2408784"/>
    <s v="CUST0323"/>
    <s v="Swiggy"/>
    <x v="64"/>
    <d v="1899-12-30T22:33:00"/>
    <x v="0"/>
    <x v="186"/>
    <x v="0"/>
    <n v="614"/>
    <n v="614"/>
    <x v="0"/>
  </r>
  <r>
    <s v="ORD2284002"/>
    <s v="CUST0292"/>
    <s v="Zomato"/>
    <x v="220"/>
    <d v="1899-12-30T19:18:00"/>
    <x v="0"/>
    <x v="101"/>
    <x v="0"/>
    <n v="436"/>
    <n v="436"/>
    <x v="1"/>
  </r>
  <r>
    <s v="ORD8765820"/>
    <s v="CUST0059"/>
    <s v="Swiggy"/>
    <x v="113"/>
    <d v="1899-12-30T20:01:00"/>
    <x v="0"/>
    <x v="26"/>
    <x v="0"/>
    <n v="515"/>
    <n v="515"/>
    <x v="1"/>
  </r>
  <r>
    <s v="ORD4541139"/>
    <s v="CUST0447"/>
    <s v="Swiggy"/>
    <x v="221"/>
    <d v="1899-12-30T14:58:00"/>
    <x v="0"/>
    <x v="147"/>
    <x v="0"/>
    <n v="49"/>
    <n v="49"/>
    <x v="0"/>
  </r>
  <r>
    <s v="ORD9004743"/>
    <s v="CUST0007"/>
    <s v="Zomato"/>
    <x v="222"/>
    <d v="1899-12-30T19:07:00"/>
    <x v="0"/>
    <x v="187"/>
    <x v="0"/>
    <n v="1181"/>
    <n v="1181"/>
    <x v="0"/>
  </r>
  <r>
    <s v="ORD3266835"/>
    <s v="CUST0155"/>
    <s v="Zomato"/>
    <x v="223"/>
    <d v="1899-12-30T15:51:00"/>
    <x v="0"/>
    <x v="188"/>
    <x v="0"/>
    <n v="248"/>
    <n v="248"/>
    <x v="0"/>
  </r>
  <r>
    <s v="ORD2444410"/>
    <s v="CUST0405"/>
    <s v="Swiggy"/>
    <x v="26"/>
    <d v="1899-12-30T21:54:00"/>
    <x v="0"/>
    <x v="73"/>
    <x v="0"/>
    <n v="682"/>
    <n v="682"/>
    <x v="2"/>
  </r>
  <r>
    <s v="ORD7572195"/>
    <s v="CUST0151"/>
    <s v="Swiggy"/>
    <x v="224"/>
    <d v="1899-12-30T17:12:00"/>
    <x v="0"/>
    <x v="33"/>
    <x v="0"/>
    <n v="218"/>
    <n v="218"/>
    <x v="1"/>
  </r>
  <r>
    <s v="ORD9612679"/>
    <s v="CUST0250"/>
    <s v="Zomato"/>
    <x v="20"/>
    <d v="1899-12-30T13:02:00"/>
    <x v="1"/>
    <x v="17"/>
    <x v="0"/>
    <n v="0"/>
    <n v="297"/>
    <x v="1"/>
  </r>
  <r>
    <s v="ORD9301178"/>
    <s v="CUST0456"/>
    <s v="Zomato"/>
    <x v="0"/>
    <d v="1899-12-30T21:26:00"/>
    <x v="1"/>
    <x v="132"/>
    <x v="0"/>
    <n v="0"/>
    <n v="396"/>
    <x v="2"/>
  </r>
  <r>
    <s v="ORD5922335"/>
    <s v="CUST0240"/>
    <s v="Zomato"/>
    <x v="225"/>
    <d v="1899-12-30T21:42:00"/>
    <x v="0"/>
    <x v="189"/>
    <x v="0"/>
    <n v="1171"/>
    <n v="1171"/>
    <x v="1"/>
  </r>
  <r>
    <s v="ORD7979059"/>
    <s v="CUST0311"/>
    <s v="Zomato"/>
    <x v="61"/>
    <d v="1899-12-30T17:10:00"/>
    <x v="0"/>
    <x v="190"/>
    <x v="0"/>
    <n v="475"/>
    <n v="475"/>
    <x v="1"/>
  </r>
  <r>
    <s v="ORD8224612"/>
    <s v="CUST0414"/>
    <s v="Zomato"/>
    <x v="226"/>
    <d v="1899-12-30T23:02:00"/>
    <x v="0"/>
    <x v="191"/>
    <x v="0"/>
    <n v="257"/>
    <n v="257"/>
    <x v="2"/>
  </r>
  <r>
    <s v="ORD2747213"/>
    <s v="CUST0264"/>
    <s v="Swiggy"/>
    <x v="227"/>
    <d v="1899-12-30T21:55:00"/>
    <x v="0"/>
    <x v="192"/>
    <x v="0"/>
    <n v="734"/>
    <n v="734"/>
    <x v="0"/>
  </r>
  <r>
    <s v="ORD4445809"/>
    <s v="CUST0323"/>
    <s v="Zomato"/>
    <x v="228"/>
    <d v="1899-12-30T16:10:00"/>
    <x v="0"/>
    <x v="91"/>
    <x v="83"/>
    <n v="429.25"/>
    <n v="505"/>
    <x v="0"/>
  </r>
  <r>
    <s v="ORD7975124"/>
    <s v="CUST0104"/>
    <s v="Zomato"/>
    <x v="229"/>
    <d v="1899-12-30T10:54:00"/>
    <x v="0"/>
    <x v="191"/>
    <x v="0"/>
    <n v="257"/>
    <n v="257"/>
    <x v="1"/>
  </r>
  <r>
    <s v="ORD9886057"/>
    <s v="CUST0078"/>
    <s v="Swiggy"/>
    <x v="88"/>
    <d v="1899-12-30T21:15:00"/>
    <x v="0"/>
    <x v="193"/>
    <x v="84"/>
    <n v="747"/>
    <n v="830"/>
    <x v="2"/>
  </r>
  <r>
    <s v="ORD2167378"/>
    <s v="CUST0413"/>
    <s v="Swiggy"/>
    <x v="230"/>
    <d v="1899-12-30T16:45:00"/>
    <x v="0"/>
    <x v="33"/>
    <x v="41"/>
    <n v="207.1"/>
    <n v="218"/>
    <x v="1"/>
  </r>
  <r>
    <s v="ORD9720433"/>
    <s v="CUST0324"/>
    <s v="Direct"/>
    <x v="97"/>
    <d v="1899-12-30T20:03:00"/>
    <x v="0"/>
    <x v="10"/>
    <x v="3"/>
    <n v="499.5"/>
    <n v="555"/>
    <x v="0"/>
  </r>
  <r>
    <s v="ORD3463932"/>
    <s v="CUST0271"/>
    <s v="Swiggy"/>
    <x v="231"/>
    <d v="1899-12-30T18:57:00"/>
    <x v="0"/>
    <x v="194"/>
    <x v="0"/>
    <n v="465"/>
    <n v="465"/>
    <x v="2"/>
  </r>
  <r>
    <s v="ORD2413999"/>
    <s v="CUST0102"/>
    <s v="Direct"/>
    <x v="57"/>
    <d v="1899-12-30T15:49:00"/>
    <x v="0"/>
    <x v="195"/>
    <x v="0"/>
    <n v="495"/>
    <n v="495"/>
    <x v="0"/>
  </r>
  <r>
    <s v="ORD5340101"/>
    <s v="CUST0012"/>
    <s v="Zomato"/>
    <x v="215"/>
    <d v="1899-12-30T21:10:00"/>
    <x v="0"/>
    <x v="96"/>
    <x v="0"/>
    <n v="853"/>
    <n v="853"/>
    <x v="0"/>
  </r>
  <r>
    <s v="ORD4961055"/>
    <s v="CUST0003"/>
    <s v="Zomato"/>
    <x v="232"/>
    <d v="1899-12-30T20:47:00"/>
    <x v="1"/>
    <x v="101"/>
    <x v="0"/>
    <n v="0"/>
    <n v="436"/>
    <x v="1"/>
  </r>
  <r>
    <s v="ORD6500359"/>
    <s v="CUST0378"/>
    <s v="Zomato"/>
    <x v="233"/>
    <d v="1899-12-30T15:33:00"/>
    <x v="0"/>
    <x v="25"/>
    <x v="72"/>
    <n v="507.3"/>
    <n v="534"/>
    <x v="1"/>
  </r>
  <r>
    <s v="ORD9706452"/>
    <s v="CUST0270"/>
    <s v="Zomato"/>
    <x v="112"/>
    <d v="1899-12-30T18:43:00"/>
    <x v="0"/>
    <x v="196"/>
    <x v="85"/>
    <n v="1216.95"/>
    <n v="1281"/>
    <x v="0"/>
  </r>
  <r>
    <s v="ORD4567549"/>
    <s v="CUST0442"/>
    <s v="Swiggy"/>
    <x v="2"/>
    <d v="1899-12-30T21:32:00"/>
    <x v="0"/>
    <x v="194"/>
    <x v="0"/>
    <n v="465"/>
    <n v="465"/>
    <x v="1"/>
  </r>
  <r>
    <s v="ORD2975386"/>
    <s v="CUST0021"/>
    <s v="Swiggy"/>
    <x v="108"/>
    <d v="1899-12-30T20:18:00"/>
    <x v="0"/>
    <x v="54"/>
    <x v="0"/>
    <n v="178"/>
    <n v="178"/>
    <x v="1"/>
  </r>
  <r>
    <s v="ORD9200596"/>
    <s v="CUST0146"/>
    <s v="Zomato"/>
    <x v="25"/>
    <d v="1899-12-30T13:56:00"/>
    <x v="0"/>
    <x v="97"/>
    <x v="0"/>
    <n v="357"/>
    <n v="357"/>
    <x v="1"/>
  </r>
  <r>
    <s v="ORD3228175"/>
    <s v="CUST0369"/>
    <s v="Swiggy"/>
    <x v="169"/>
    <d v="1899-12-30T22:53:00"/>
    <x v="0"/>
    <x v="35"/>
    <x v="0"/>
    <n v="119"/>
    <n v="119"/>
    <x v="1"/>
  </r>
  <r>
    <s v="ORD7633663"/>
    <s v="CUST0210"/>
    <s v="Zomato"/>
    <x v="234"/>
    <d v="1899-12-30T01:39:00"/>
    <x v="0"/>
    <x v="123"/>
    <x v="0"/>
    <n v="713"/>
    <n v="713"/>
    <x v="1"/>
  </r>
  <r>
    <s v="ORD2428614"/>
    <s v="CUST0064"/>
    <s v="Swiggy"/>
    <x v="12"/>
    <d v="1899-12-30T23:41:00"/>
    <x v="0"/>
    <x v="197"/>
    <x v="0"/>
    <n v="604"/>
    <n v="604"/>
    <x v="0"/>
  </r>
  <r>
    <s v="ORD8452933"/>
    <s v="CUST0106"/>
    <s v="Zomato"/>
    <x v="96"/>
    <d v="1899-12-30T13:50:00"/>
    <x v="0"/>
    <x v="198"/>
    <x v="0"/>
    <n v="594"/>
    <n v="594"/>
    <x v="1"/>
  </r>
  <r>
    <s v="ORD4064676"/>
    <s v="CUST0087"/>
    <s v="Zomato"/>
    <x v="111"/>
    <d v="1899-12-30T16:34:00"/>
    <x v="0"/>
    <x v="107"/>
    <x v="0"/>
    <n v="723"/>
    <n v="723"/>
    <x v="2"/>
  </r>
  <r>
    <s v="ORD7300065"/>
    <s v="CUST0458"/>
    <s v="Zomato"/>
    <x v="235"/>
    <d v="1899-12-30T17:26:00"/>
    <x v="0"/>
    <x v="6"/>
    <x v="0"/>
    <n v="158"/>
    <n v="158"/>
    <x v="2"/>
  </r>
  <r>
    <s v="ORD7829609"/>
    <s v="CUST0032"/>
    <s v="Zomato"/>
    <x v="92"/>
    <d v="1899-12-30T16:17:00"/>
    <x v="0"/>
    <x v="199"/>
    <x v="86"/>
    <n v="365.75"/>
    <n v="385"/>
    <x v="1"/>
  </r>
  <r>
    <s v="ORD2407748"/>
    <s v="CUST0291"/>
    <s v="Zomato"/>
    <x v="128"/>
    <d v="1899-12-30T17:19:00"/>
    <x v="0"/>
    <x v="200"/>
    <x v="0"/>
    <n v="662"/>
    <n v="662"/>
    <x v="1"/>
  </r>
  <r>
    <s v="ORD5852800"/>
    <s v="CUST0001"/>
    <s v="Swiggy"/>
    <x v="236"/>
    <d v="1899-12-30T22:02:00"/>
    <x v="0"/>
    <x v="6"/>
    <x v="0"/>
    <n v="158"/>
    <n v="158"/>
    <x v="0"/>
  </r>
  <r>
    <s v="ORD9561890"/>
    <s v="CUST0324"/>
    <s v="Zomato"/>
    <x v="186"/>
    <d v="1899-12-30T18:53:00"/>
    <x v="0"/>
    <x v="201"/>
    <x v="87"/>
    <n v="286.2"/>
    <n v="318"/>
    <x v="0"/>
  </r>
  <r>
    <s v="ORD8247127"/>
    <s v="CUST0285"/>
    <s v="Direct"/>
    <x v="176"/>
    <d v="1899-12-30T11:46:00"/>
    <x v="0"/>
    <x v="202"/>
    <x v="0"/>
    <n v="405"/>
    <n v="405"/>
    <x v="1"/>
  </r>
  <r>
    <s v="ORD6510598"/>
    <s v="CUST0236"/>
    <s v="Direct"/>
    <x v="237"/>
    <d v="1899-12-30T14:13:00"/>
    <x v="0"/>
    <x v="75"/>
    <x v="0"/>
    <n v="634"/>
    <n v="634"/>
    <x v="1"/>
  </r>
  <r>
    <s v="ORD8468826"/>
    <s v="CUST0040"/>
    <s v="Swiggy"/>
    <x v="238"/>
    <d v="1899-12-30T21:41:00"/>
    <x v="0"/>
    <x v="50"/>
    <x v="0"/>
    <n v="99"/>
    <n v="99"/>
    <x v="1"/>
  </r>
  <r>
    <s v="ORD4237849"/>
    <s v="CUST0237"/>
    <s v="Zomato"/>
    <x v="107"/>
    <d v="1899-12-30T09:07:00"/>
    <x v="0"/>
    <x v="16"/>
    <x v="0"/>
    <n v="447"/>
    <n v="447"/>
    <x v="1"/>
  </r>
  <r>
    <s v="ORD4710242"/>
    <s v="CUST0156"/>
    <s v="Swiggy"/>
    <x v="5"/>
    <d v="1899-12-30T20:40:00"/>
    <x v="0"/>
    <x v="203"/>
    <x v="88"/>
    <n v="1071"/>
    <n v="1190"/>
    <x v="2"/>
  </r>
  <r>
    <s v="ORD3944885"/>
    <s v="CUST0338"/>
    <s v="Swiggy"/>
    <x v="49"/>
    <d v="1899-12-30T20:12:00"/>
    <x v="0"/>
    <x v="204"/>
    <x v="0"/>
    <n v="991"/>
    <n v="991"/>
    <x v="0"/>
  </r>
  <r>
    <s v="ORD8615616"/>
    <s v="CUST0273"/>
    <s v="Swiggy"/>
    <x v="51"/>
    <d v="1899-12-30T21:43:00"/>
    <x v="0"/>
    <x v="205"/>
    <x v="0"/>
    <n v="733"/>
    <n v="733"/>
    <x v="1"/>
  </r>
  <r>
    <s v="ORD5662942"/>
    <s v="CUST0370"/>
    <s v="Zomato"/>
    <x v="124"/>
    <d v="1899-12-30T16:56:00"/>
    <x v="0"/>
    <x v="206"/>
    <x v="0"/>
    <n v="503"/>
    <n v="503"/>
    <x v="2"/>
  </r>
  <r>
    <s v="ORD6523472"/>
    <s v="CUST0128"/>
    <s v="Zomato"/>
    <x v="198"/>
    <d v="1899-12-30T10:58:00"/>
    <x v="0"/>
    <x v="86"/>
    <x v="0"/>
    <n v="159"/>
    <n v="159"/>
    <x v="1"/>
  </r>
  <r>
    <s v="ORD8945295"/>
    <s v="CUST0129"/>
    <s v="Zomato"/>
    <x v="182"/>
    <d v="1899-12-30T14:53:00"/>
    <x v="0"/>
    <x v="162"/>
    <x v="0"/>
    <n v="565"/>
    <n v="565"/>
    <x v="1"/>
  </r>
  <r>
    <s v="ORD2090992"/>
    <s v="CUST0161"/>
    <s v="Direct"/>
    <x v="126"/>
    <d v="1899-12-30T09:24:00"/>
    <x v="0"/>
    <x v="50"/>
    <x v="0"/>
    <n v="99"/>
    <n v="99"/>
    <x v="2"/>
  </r>
  <r>
    <s v="ORD7399761"/>
    <s v="CUST0027"/>
    <s v="Zomato"/>
    <x v="239"/>
    <d v="1899-12-30T16:35:00"/>
    <x v="0"/>
    <x v="43"/>
    <x v="12"/>
    <n v="141.55000000000001"/>
    <n v="149"/>
    <x v="1"/>
  </r>
  <r>
    <s v="ORD6697818"/>
    <s v="CUST0318"/>
    <s v="Swiggy"/>
    <x v="218"/>
    <d v="1899-12-30T19:56:00"/>
    <x v="0"/>
    <x v="0"/>
    <x v="89"/>
    <n v="196.65"/>
    <n v="207"/>
    <x v="0"/>
  </r>
  <r>
    <s v="ORD8459558"/>
    <s v="CUST0182"/>
    <s v="Zomato"/>
    <x v="240"/>
    <d v="1899-12-30T20:16:00"/>
    <x v="0"/>
    <x v="33"/>
    <x v="0"/>
    <n v="218"/>
    <n v="218"/>
    <x v="0"/>
  </r>
  <r>
    <s v="ORD6178697"/>
    <s v="CUST0075"/>
    <s v="Zomato"/>
    <x v="88"/>
    <d v="1899-12-30T20:49:00"/>
    <x v="1"/>
    <x v="83"/>
    <x v="24"/>
    <n v="0"/>
    <n v="316"/>
    <x v="1"/>
  </r>
  <r>
    <s v="ORD4278387"/>
    <s v="CUST0028"/>
    <s v="Zomato"/>
    <x v="241"/>
    <d v="1899-12-30T23:54:00"/>
    <x v="0"/>
    <x v="9"/>
    <x v="0"/>
    <n v="416"/>
    <n v="416"/>
    <x v="0"/>
  </r>
  <r>
    <s v="ORD6513312"/>
    <s v="CUST0316"/>
    <s v="Zomato"/>
    <x v="242"/>
    <d v="1899-12-30T00:21:00"/>
    <x v="0"/>
    <x v="30"/>
    <x v="0"/>
    <n v="556"/>
    <n v="556"/>
    <x v="0"/>
  </r>
  <r>
    <s v="ORD5010074"/>
    <s v="CUST0239"/>
    <s v="Swiggy"/>
    <x v="243"/>
    <d v="1899-12-30T21:14:00"/>
    <x v="0"/>
    <x v="207"/>
    <x v="0"/>
    <n v="933"/>
    <n v="933"/>
    <x v="1"/>
  </r>
  <r>
    <s v="ORD7038275"/>
    <s v="CUST0149"/>
    <s v="Zomato"/>
    <x v="6"/>
    <d v="1899-12-30T16:09:00"/>
    <x v="0"/>
    <x v="170"/>
    <x v="0"/>
    <n v="514"/>
    <n v="514"/>
    <x v="0"/>
  </r>
  <r>
    <s v="ORD2861751"/>
    <s v="CUST0195"/>
    <s v="Swiggy"/>
    <x v="244"/>
    <d v="1899-12-30T21:08:00"/>
    <x v="0"/>
    <x v="208"/>
    <x v="90"/>
    <n v="1816.4"/>
    <n v="1912"/>
    <x v="1"/>
  </r>
  <r>
    <s v="ORD7345068"/>
    <s v="CUST0098"/>
    <s v="Zomato"/>
    <x v="41"/>
    <d v="1899-12-30T11:50:00"/>
    <x v="0"/>
    <x v="209"/>
    <x v="0"/>
    <n v="843"/>
    <n v="843"/>
    <x v="2"/>
  </r>
  <r>
    <s v="ORD5698850"/>
    <s v="CUST0127"/>
    <s v="Zomato"/>
    <x v="245"/>
    <d v="1899-12-30T17:20:00"/>
    <x v="0"/>
    <x v="69"/>
    <x v="0"/>
    <n v="593"/>
    <n v="593"/>
    <x v="1"/>
  </r>
  <r>
    <s v="ORD7272644"/>
    <s v="CUST0238"/>
    <s v="Zomato"/>
    <x v="46"/>
    <d v="1899-12-30T19:33:00"/>
    <x v="0"/>
    <x v="210"/>
    <x v="91"/>
    <n v="819.85"/>
    <n v="863"/>
    <x v="0"/>
  </r>
  <r>
    <s v="ORD7326402"/>
    <s v="CUST0112"/>
    <s v="Zomato"/>
    <x v="246"/>
    <d v="1899-12-30T17:25:00"/>
    <x v="0"/>
    <x v="101"/>
    <x v="0"/>
    <n v="436"/>
    <n v="436"/>
    <x v="1"/>
  </r>
  <r>
    <s v="ORD8148811"/>
    <s v="CUST0263"/>
    <s v="Swiggy"/>
    <x v="102"/>
    <d v="1899-12-30T16:29:00"/>
    <x v="0"/>
    <x v="72"/>
    <x v="0"/>
    <n v="168"/>
    <n v="168"/>
    <x v="0"/>
  </r>
  <r>
    <s v="ORD9418218"/>
    <s v="CUST0043"/>
    <s v="Zomato"/>
    <x v="11"/>
    <d v="1899-12-30T18:57:00"/>
    <x v="0"/>
    <x v="132"/>
    <x v="92"/>
    <n v="356.4"/>
    <n v="396"/>
    <x v="2"/>
  </r>
  <r>
    <s v="ORD5604751"/>
    <s v="CUST0418"/>
    <s v="Swiggy"/>
    <x v="247"/>
    <d v="1899-12-30T18:47:00"/>
    <x v="0"/>
    <x v="211"/>
    <x v="93"/>
    <n v="578.70000000000005"/>
    <n v="643"/>
    <x v="0"/>
  </r>
  <r>
    <s v="ORD1199493"/>
    <s v="CUST0421"/>
    <s v="Swiggy"/>
    <x v="248"/>
    <d v="1899-12-30T19:25:00"/>
    <x v="0"/>
    <x v="172"/>
    <x v="0"/>
    <n v="406"/>
    <n v="406"/>
    <x v="1"/>
  </r>
  <r>
    <s v="ORD2440757"/>
    <s v="CUST0417"/>
    <s v="Zomato"/>
    <x v="13"/>
    <d v="1899-12-30T19:46:00"/>
    <x v="0"/>
    <x v="91"/>
    <x v="94"/>
    <n v="479.75"/>
    <n v="505"/>
    <x v="0"/>
  </r>
  <r>
    <s v="ORD6701271"/>
    <s v="CUST0338"/>
    <s v="Swiggy"/>
    <x v="249"/>
    <d v="1899-12-30T22:51:00"/>
    <x v="0"/>
    <x v="98"/>
    <x v="0"/>
    <n v="585"/>
    <n v="585"/>
    <x v="0"/>
  </r>
  <r>
    <s v="ORD7557976"/>
    <s v="CUST0170"/>
    <s v="Swiggy"/>
    <x v="182"/>
    <d v="1899-12-30T11:09:00"/>
    <x v="0"/>
    <x v="5"/>
    <x v="1"/>
    <n v="169.2"/>
    <n v="188"/>
    <x v="1"/>
  </r>
  <r>
    <s v="ORD1537863"/>
    <s v="CUST0346"/>
    <s v="Swiggy"/>
    <x v="250"/>
    <d v="1899-12-30T17:06:00"/>
    <x v="1"/>
    <x v="212"/>
    <x v="0"/>
    <n v="0"/>
    <n v="564"/>
    <x v="2"/>
  </r>
  <r>
    <s v="ORD6482325"/>
    <s v="CUST0266"/>
    <s v="Zomato"/>
    <x v="97"/>
    <d v="1899-12-30T16:23:00"/>
    <x v="0"/>
    <x v="71"/>
    <x v="0"/>
    <n v="246"/>
    <n v="246"/>
    <x v="1"/>
  </r>
  <r>
    <s v="ORD8965487"/>
    <s v="CUST0222"/>
    <s v="Swiggy"/>
    <x v="240"/>
    <d v="1899-12-30T17:19:00"/>
    <x v="0"/>
    <x v="126"/>
    <x v="95"/>
    <n v="499.7"/>
    <n v="526"/>
    <x v="1"/>
  </r>
  <r>
    <s v="ORD9236918"/>
    <s v="CUST0127"/>
    <s v="Swiggy"/>
    <x v="188"/>
    <d v="1899-12-30T00:51:00"/>
    <x v="0"/>
    <x v="82"/>
    <x v="0"/>
    <n v="554"/>
    <n v="554"/>
    <x v="1"/>
  </r>
  <r>
    <s v="ORD3938131"/>
    <s v="CUST0422"/>
    <s v="Swiggy"/>
    <x v="149"/>
    <d v="1899-12-30T15:39:00"/>
    <x v="0"/>
    <x v="175"/>
    <x v="0"/>
    <n v="794"/>
    <n v="794"/>
    <x v="1"/>
  </r>
  <r>
    <s v="ORD5593203"/>
    <s v="CUST0454"/>
    <s v="Direct"/>
    <x v="49"/>
    <d v="1899-12-30T16:15:00"/>
    <x v="0"/>
    <x v="70"/>
    <x v="0"/>
    <n v="317"/>
    <n v="317"/>
    <x v="2"/>
  </r>
  <r>
    <s v="ORD6469592"/>
    <s v="CUST0387"/>
    <s v="Zomato"/>
    <x v="153"/>
    <d v="1899-12-30T18:04:00"/>
    <x v="0"/>
    <x v="40"/>
    <x v="0"/>
    <n v="347"/>
    <n v="347"/>
    <x v="1"/>
  </r>
  <r>
    <s v="ORD1633753"/>
    <s v="CUST0439"/>
    <s v="Zomato"/>
    <x v="33"/>
    <d v="1899-12-30T21:25:00"/>
    <x v="0"/>
    <x v="112"/>
    <x v="0"/>
    <n v="516"/>
    <n v="516"/>
    <x v="1"/>
  </r>
  <r>
    <s v="ORD3707281"/>
    <s v="CUST0242"/>
    <s v="Swiggy"/>
    <x v="251"/>
    <d v="1899-12-30T22:08:00"/>
    <x v="0"/>
    <x v="148"/>
    <x v="96"/>
    <n v="562.5"/>
    <n v="625"/>
    <x v="1"/>
  </r>
  <r>
    <s v="ORD8416504"/>
    <s v="CUST0346"/>
    <s v="Swiggy"/>
    <x v="76"/>
    <d v="1899-12-30T16:57:00"/>
    <x v="0"/>
    <x v="122"/>
    <x v="0"/>
    <n v="496"/>
    <n v="496"/>
    <x v="2"/>
  </r>
  <r>
    <s v="ORD1269080"/>
    <s v="CUST0123"/>
    <s v="Zomato"/>
    <x v="252"/>
    <d v="1899-12-30T14:58:00"/>
    <x v="0"/>
    <x v="150"/>
    <x v="71"/>
    <n v="225.15"/>
    <n v="237"/>
    <x v="0"/>
  </r>
  <r>
    <s v="ORD7973953"/>
    <s v="CUST0371"/>
    <s v="Zomato"/>
    <x v="167"/>
    <d v="1899-12-30T01:10:00"/>
    <x v="0"/>
    <x v="135"/>
    <x v="97"/>
    <n v="112.1"/>
    <n v="118"/>
    <x v="0"/>
  </r>
  <r>
    <s v="ORD2776460"/>
    <s v="CUST0062"/>
    <s v="Zomato"/>
    <x v="89"/>
    <d v="1899-12-30T15:27:00"/>
    <x v="0"/>
    <x v="34"/>
    <x v="0"/>
    <n v="228"/>
    <n v="228"/>
    <x v="0"/>
  </r>
  <r>
    <s v="ORD4666842"/>
    <s v="CUST0023"/>
    <s v="Zomato"/>
    <x v="253"/>
    <d v="1899-12-30T20:23:00"/>
    <x v="0"/>
    <x v="213"/>
    <x v="98"/>
    <n v="234.65"/>
    <n v="247"/>
    <x v="1"/>
  </r>
  <r>
    <s v="ORD3230219"/>
    <s v="CUST0357"/>
    <s v="Zomato"/>
    <x v="171"/>
    <d v="1899-12-30T18:40:00"/>
    <x v="0"/>
    <x v="214"/>
    <x v="99"/>
    <n v="990.85"/>
    <n v="1043"/>
    <x v="1"/>
  </r>
  <r>
    <s v="ORD9445986"/>
    <s v="CUST0328"/>
    <s v="Swiggy"/>
    <x v="166"/>
    <d v="1899-12-30T19:32:00"/>
    <x v="1"/>
    <x v="34"/>
    <x v="0"/>
    <n v="0"/>
    <n v="228"/>
    <x v="1"/>
  </r>
  <r>
    <s v="ORD3544610"/>
    <s v="CUST0256"/>
    <s v="Zomato"/>
    <x v="254"/>
    <d v="1899-12-30T17:23:00"/>
    <x v="0"/>
    <x v="170"/>
    <x v="0"/>
    <n v="514"/>
    <n v="514"/>
    <x v="1"/>
  </r>
  <r>
    <s v="ORD7960756"/>
    <s v="CUST0390"/>
    <s v="Zomato"/>
    <x v="37"/>
    <d v="1899-12-30T21:50:00"/>
    <x v="0"/>
    <x v="175"/>
    <x v="0"/>
    <n v="794"/>
    <n v="794"/>
    <x v="1"/>
  </r>
  <r>
    <s v="ORD6396173"/>
    <s v="CUST0447"/>
    <s v="Zomato"/>
    <x v="77"/>
    <d v="1899-12-30T12:38:00"/>
    <x v="0"/>
    <x v="33"/>
    <x v="0"/>
    <n v="218"/>
    <n v="218"/>
    <x v="0"/>
  </r>
  <r>
    <s v="ORD4428815"/>
    <s v="CUST0304"/>
    <s v="Swiggy"/>
    <x v="255"/>
    <d v="1899-12-30T16:11:00"/>
    <x v="0"/>
    <x v="5"/>
    <x v="0"/>
    <n v="188"/>
    <n v="188"/>
    <x v="1"/>
  </r>
  <r>
    <s v="ORD9072704"/>
    <s v="CUST0326"/>
    <s v="Zomato"/>
    <x v="180"/>
    <d v="1899-12-30T20:28:00"/>
    <x v="0"/>
    <x v="215"/>
    <x v="0"/>
    <n v="702"/>
    <n v="702"/>
    <x v="1"/>
  </r>
  <r>
    <s v="ORD3563536"/>
    <s v="CUST0465"/>
    <s v="Direct"/>
    <x v="70"/>
    <d v="1899-12-30T16:48:00"/>
    <x v="0"/>
    <x v="70"/>
    <x v="37"/>
    <n v="301.14999999999998"/>
    <n v="317"/>
    <x v="2"/>
  </r>
  <r>
    <s v="ORD7279004"/>
    <s v="CUST0007"/>
    <s v="Direct"/>
    <x v="233"/>
    <d v="1899-12-30T17:00:00"/>
    <x v="0"/>
    <x v="216"/>
    <x v="0"/>
    <n v="296"/>
    <n v="296"/>
    <x v="0"/>
  </r>
  <r>
    <s v="ORD3723988"/>
    <s v="CUST0064"/>
    <s v="Zomato"/>
    <x v="256"/>
    <d v="1899-12-30T16:58:00"/>
    <x v="0"/>
    <x v="106"/>
    <x v="0"/>
    <n v="377"/>
    <n v="377"/>
    <x v="0"/>
  </r>
  <r>
    <s v="ORD5066006"/>
    <s v="CUST0218"/>
    <s v="Swiggy"/>
    <x v="184"/>
    <d v="1899-12-30T19:59:00"/>
    <x v="0"/>
    <x v="47"/>
    <x v="0"/>
    <n v="198"/>
    <n v="198"/>
    <x v="1"/>
  </r>
  <r>
    <s v="ORD3472414"/>
    <s v="CUST0234"/>
    <s v="Direct"/>
    <x v="183"/>
    <d v="1899-12-30T18:38:00"/>
    <x v="0"/>
    <x v="156"/>
    <x v="14"/>
    <n v="283.10000000000002"/>
    <n v="298"/>
    <x v="1"/>
  </r>
  <r>
    <s v="ORD2348021"/>
    <s v="CUST0301"/>
    <s v="Direct"/>
    <x v="46"/>
    <d v="1899-12-30T15:45:00"/>
    <x v="0"/>
    <x v="217"/>
    <x v="100"/>
    <n v="1089"/>
    <n v="1210"/>
    <x v="1"/>
  </r>
  <r>
    <s v="ORD6777952"/>
    <s v="CUST0326"/>
    <s v="Swiggy"/>
    <x v="88"/>
    <d v="1899-12-30T10:06:00"/>
    <x v="0"/>
    <x v="66"/>
    <x v="0"/>
    <n v="307"/>
    <n v="307"/>
    <x v="1"/>
  </r>
  <r>
    <s v="ORD5837546"/>
    <s v="CUST0269"/>
    <s v="Zomato"/>
    <x v="170"/>
    <d v="1899-12-30T21:26:00"/>
    <x v="0"/>
    <x v="188"/>
    <x v="0"/>
    <n v="248"/>
    <n v="248"/>
    <x v="1"/>
  </r>
  <r>
    <s v="ORD4219293"/>
    <s v="CUST0031"/>
    <s v="Swiggy"/>
    <x v="257"/>
    <d v="1899-12-30T11:12:00"/>
    <x v="0"/>
    <x v="154"/>
    <x v="101"/>
    <n v="508.25"/>
    <n v="535"/>
    <x v="1"/>
  </r>
  <r>
    <s v="ORD5464094"/>
    <s v="CUST0052"/>
    <s v="Zomato"/>
    <x v="13"/>
    <d v="1899-12-30T21:48:00"/>
    <x v="0"/>
    <x v="25"/>
    <x v="0"/>
    <n v="534"/>
    <n v="534"/>
    <x v="1"/>
  </r>
  <r>
    <s v="ORD6755884"/>
    <s v="CUST0220"/>
    <s v="Zomato"/>
    <x v="258"/>
    <d v="1899-12-30T18:38:00"/>
    <x v="0"/>
    <x v="195"/>
    <x v="0"/>
    <n v="495"/>
    <n v="495"/>
    <x v="1"/>
  </r>
  <r>
    <s v="ORD9902483"/>
    <s v="CUST0309"/>
    <s v="Zomato"/>
    <x v="259"/>
    <d v="1899-12-30T11:01:00"/>
    <x v="0"/>
    <x v="218"/>
    <x v="0"/>
    <n v="1052"/>
    <n v="1052"/>
    <x v="1"/>
  </r>
  <r>
    <s v="ORD6461406"/>
    <s v="CUST0448"/>
    <s v="Zomato"/>
    <x v="232"/>
    <d v="1899-12-30T21:23:00"/>
    <x v="0"/>
    <x v="219"/>
    <x v="0"/>
    <n v="626"/>
    <n v="626"/>
    <x v="1"/>
  </r>
  <r>
    <s v="ORD7456854"/>
    <s v="CUST0359"/>
    <s v="Direct"/>
    <x v="232"/>
    <d v="1899-12-30T21:54:00"/>
    <x v="0"/>
    <x v="100"/>
    <x v="102"/>
    <n v="698.25"/>
    <n v="735"/>
    <x v="2"/>
  </r>
  <r>
    <s v="ORD8831655"/>
    <s v="CUST0345"/>
    <s v="Direct"/>
    <x v="260"/>
    <d v="1899-12-30T13:53:00"/>
    <x v="0"/>
    <x v="130"/>
    <x v="0"/>
    <n v="762"/>
    <n v="762"/>
    <x v="0"/>
  </r>
  <r>
    <s v="ORD4697296"/>
    <s v="CUST0197"/>
    <s v="Swiggy"/>
    <x v="202"/>
    <d v="1899-12-30T14:57:00"/>
    <x v="0"/>
    <x v="186"/>
    <x v="0"/>
    <n v="614"/>
    <n v="614"/>
    <x v="1"/>
  </r>
  <r>
    <s v="ORD2084932"/>
    <s v="CUST0295"/>
    <s v="Swiggy"/>
    <x v="12"/>
    <d v="1899-12-30T17:59:00"/>
    <x v="0"/>
    <x v="86"/>
    <x v="103"/>
    <n v="143.1"/>
    <n v="159"/>
    <x v="1"/>
  </r>
  <r>
    <s v="ORD6708243"/>
    <s v="CUST0045"/>
    <s v="Zomato"/>
    <x v="101"/>
    <d v="1899-12-30T16:18:00"/>
    <x v="1"/>
    <x v="220"/>
    <x v="0"/>
    <n v="0"/>
    <n v="832"/>
    <x v="2"/>
  </r>
  <r>
    <s v="ORD3119085"/>
    <s v="CUST0187"/>
    <s v="Swiggy"/>
    <x v="51"/>
    <d v="1899-12-30T14:49:00"/>
    <x v="0"/>
    <x v="221"/>
    <x v="104"/>
    <n v="560.70000000000005"/>
    <n v="623"/>
    <x v="0"/>
  </r>
  <r>
    <s v="ORD1576194"/>
    <s v="CUST0308"/>
    <s v="Zomato"/>
    <x v="261"/>
    <d v="1899-12-30T19:09:00"/>
    <x v="1"/>
    <x v="151"/>
    <x v="0"/>
    <n v="0"/>
    <n v="596"/>
    <x v="0"/>
  </r>
  <r>
    <s v="ORD6589238"/>
    <s v="CUST0193"/>
    <s v="Zomato"/>
    <x v="104"/>
    <d v="1899-12-30T18:45:00"/>
    <x v="0"/>
    <x v="154"/>
    <x v="0"/>
    <n v="535"/>
    <n v="535"/>
    <x v="1"/>
  </r>
  <r>
    <s v="ORD1361814"/>
    <s v="CUST0435"/>
    <s v="Zomato"/>
    <x v="238"/>
    <d v="1899-12-30T01:58:00"/>
    <x v="0"/>
    <x v="5"/>
    <x v="105"/>
    <n v="159.80000000000001"/>
    <n v="188"/>
    <x v="1"/>
  </r>
  <r>
    <s v="ORD2632751"/>
    <s v="CUST0439"/>
    <s v="Swiggy"/>
    <x v="262"/>
    <d v="1899-12-30T12:44:00"/>
    <x v="0"/>
    <x v="222"/>
    <x v="0"/>
    <n v="655"/>
    <n v="655"/>
    <x v="1"/>
  </r>
  <r>
    <s v="ORD3429724"/>
    <s v="CUST0248"/>
    <s v="Zomato"/>
    <x v="100"/>
    <d v="1899-12-30T19:44:00"/>
    <x v="0"/>
    <x v="223"/>
    <x v="106"/>
    <n v="443.65"/>
    <n v="467"/>
    <x v="0"/>
  </r>
  <r>
    <s v="ORD3822312"/>
    <s v="CUST0487"/>
    <s v="Direct"/>
    <x v="263"/>
    <d v="1899-12-30T11:24:00"/>
    <x v="0"/>
    <x v="39"/>
    <x v="71"/>
    <n v="67.150000000000006"/>
    <n v="79"/>
    <x v="1"/>
  </r>
  <r>
    <s v="ORD1570305"/>
    <s v="CUST0370"/>
    <s v="Zomato"/>
    <x v="56"/>
    <d v="1899-12-30T17:40:00"/>
    <x v="0"/>
    <x v="77"/>
    <x v="0"/>
    <n v="894"/>
    <n v="894"/>
    <x v="2"/>
  </r>
  <r>
    <s v="ORD7410589"/>
    <s v="CUST0399"/>
    <s v="Zomato"/>
    <x v="242"/>
    <d v="1899-12-30T01:05:00"/>
    <x v="0"/>
    <x v="224"/>
    <x v="0"/>
    <n v="633"/>
    <n v="633"/>
    <x v="1"/>
  </r>
  <r>
    <s v="ORD4038296"/>
    <s v="CUST0356"/>
    <s v="Swiggy"/>
    <x v="13"/>
    <d v="1899-12-30T22:17:00"/>
    <x v="0"/>
    <x v="137"/>
    <x v="107"/>
    <n v="337.45"/>
    <n v="397"/>
    <x v="1"/>
  </r>
  <r>
    <s v="ORD9893395"/>
    <s v="CUST0285"/>
    <s v="Swiggy"/>
    <x v="264"/>
    <d v="1899-12-30T09:25:00"/>
    <x v="0"/>
    <x v="165"/>
    <x v="0"/>
    <n v="278"/>
    <n v="278"/>
    <x v="1"/>
  </r>
  <r>
    <s v="ORD4018851"/>
    <s v="CUST0460"/>
    <s v="Zomato"/>
    <x v="100"/>
    <d v="1899-12-30T12:42:00"/>
    <x v="0"/>
    <x v="29"/>
    <x v="0"/>
    <n v="376"/>
    <n v="376"/>
    <x v="1"/>
  </r>
  <r>
    <s v="ORD3879023"/>
    <s v="CUST0187"/>
    <s v="Direct"/>
    <x v="265"/>
    <d v="1899-12-30T23:19:00"/>
    <x v="0"/>
    <x v="225"/>
    <x v="108"/>
    <n v="739.8"/>
    <n v="822"/>
    <x v="0"/>
  </r>
  <r>
    <s v="ORD2661097"/>
    <s v="CUST0276"/>
    <s v="Swiggy"/>
    <x v="266"/>
    <d v="1899-12-30T18:38:00"/>
    <x v="0"/>
    <x v="221"/>
    <x v="109"/>
    <n v="591.85"/>
    <n v="623"/>
    <x v="1"/>
  </r>
  <r>
    <s v="ORD5277642"/>
    <s v="CUST0217"/>
    <s v="Zomato"/>
    <x v="7"/>
    <d v="1899-12-30T21:39:00"/>
    <x v="0"/>
    <x v="72"/>
    <x v="0"/>
    <n v="168"/>
    <n v="168"/>
    <x v="0"/>
  </r>
  <r>
    <s v="ORD4231751"/>
    <s v="CUST0376"/>
    <s v="Zomato"/>
    <x v="266"/>
    <d v="1899-12-30T16:40:00"/>
    <x v="0"/>
    <x v="226"/>
    <x v="0"/>
    <n v="1023"/>
    <n v="1023"/>
    <x v="1"/>
  </r>
  <r>
    <s v="ORD7824657"/>
    <s v="CUST0273"/>
    <s v="Zomato"/>
    <x v="207"/>
    <d v="1899-12-30T18:07:00"/>
    <x v="0"/>
    <x v="101"/>
    <x v="0"/>
    <n v="436"/>
    <n v="436"/>
    <x v="1"/>
  </r>
  <r>
    <s v="ORD3072044"/>
    <s v="CUST0054"/>
    <s v="Swiggy"/>
    <x v="163"/>
    <d v="1899-12-30T17:24:00"/>
    <x v="0"/>
    <x v="227"/>
    <x v="0"/>
    <n v="536"/>
    <n v="536"/>
    <x v="1"/>
  </r>
  <r>
    <s v="ORD7535788"/>
    <s v="CUST0163"/>
    <s v="Direct"/>
    <x v="121"/>
    <d v="1899-12-30T16:10:00"/>
    <x v="0"/>
    <x v="12"/>
    <x v="0"/>
    <n v="476"/>
    <n v="476"/>
    <x v="1"/>
  </r>
  <r>
    <s v="ORD3120109"/>
    <s v="CUST0263"/>
    <s v="Swiggy"/>
    <x v="112"/>
    <d v="1899-12-30T16:43:00"/>
    <x v="0"/>
    <x v="228"/>
    <x v="0"/>
    <n v="993"/>
    <n v="993"/>
    <x v="0"/>
  </r>
  <r>
    <s v="ORD6939158"/>
    <s v="CUST0094"/>
    <s v="Zomato"/>
    <x v="128"/>
    <d v="1899-12-30T21:29:00"/>
    <x v="0"/>
    <x v="229"/>
    <x v="0"/>
    <n v="672"/>
    <n v="672"/>
    <x v="0"/>
  </r>
  <r>
    <s v="ORD2512308"/>
    <s v="CUST0395"/>
    <s v="Zomato"/>
    <x v="249"/>
    <d v="1899-12-30T13:26:00"/>
    <x v="0"/>
    <x v="39"/>
    <x v="110"/>
    <n v="75.05"/>
    <n v="79"/>
    <x v="1"/>
  </r>
  <r>
    <s v="ORD8113264"/>
    <s v="CUST0448"/>
    <s v="Zomato"/>
    <x v="151"/>
    <d v="1899-12-30T19:51:00"/>
    <x v="0"/>
    <x v="122"/>
    <x v="0"/>
    <n v="496"/>
    <n v="496"/>
    <x v="1"/>
  </r>
  <r>
    <s v="ORD5097436"/>
    <s v="CUST0274"/>
    <s v="Swiggy"/>
    <x v="267"/>
    <d v="1899-12-30T19:44:00"/>
    <x v="0"/>
    <x v="230"/>
    <x v="0"/>
    <n v="1109"/>
    <n v="1109"/>
    <x v="1"/>
  </r>
  <r>
    <s v="ORD3860246"/>
    <s v="CUST0217"/>
    <s v="Zomato"/>
    <x v="184"/>
    <d v="1899-12-30T18:03:00"/>
    <x v="0"/>
    <x v="117"/>
    <x v="0"/>
    <n v="684"/>
    <n v="684"/>
    <x v="0"/>
  </r>
  <r>
    <s v="ORD9649141"/>
    <s v="CUST0473"/>
    <s v="Zomato"/>
    <x v="268"/>
    <d v="1899-12-30T19:13:00"/>
    <x v="0"/>
    <x v="190"/>
    <x v="0"/>
    <n v="475"/>
    <n v="475"/>
    <x v="2"/>
  </r>
  <r>
    <s v="ORD9628834"/>
    <s v="CUST0102"/>
    <s v="Zomato"/>
    <x v="204"/>
    <d v="1899-12-30T19:31:00"/>
    <x v="0"/>
    <x v="83"/>
    <x v="0"/>
    <n v="316"/>
    <n v="316"/>
    <x v="0"/>
  </r>
  <r>
    <s v="ORD8358018"/>
    <s v="CUST0416"/>
    <s v="Zomato"/>
    <x v="269"/>
    <d v="1899-12-30T17:34:00"/>
    <x v="0"/>
    <x v="101"/>
    <x v="0"/>
    <n v="436"/>
    <n v="436"/>
    <x v="1"/>
  </r>
  <r>
    <s v="ORD1530269"/>
    <s v="CUST0381"/>
    <s v="Zomato"/>
    <x v="68"/>
    <d v="1899-12-30T19:26:00"/>
    <x v="0"/>
    <x v="181"/>
    <x v="0"/>
    <n v="335"/>
    <n v="335"/>
    <x v="1"/>
  </r>
  <r>
    <s v="ORD7523795"/>
    <s v="CUST0372"/>
    <s v="Direct"/>
    <x v="126"/>
    <d v="1899-12-30T15:32:00"/>
    <x v="0"/>
    <x v="39"/>
    <x v="110"/>
    <n v="75.05"/>
    <n v="79"/>
    <x v="1"/>
  </r>
  <r>
    <s v="ORD6740173"/>
    <s v="CUST0027"/>
    <s v="Swiggy"/>
    <x v="109"/>
    <d v="1899-12-30T21:15:00"/>
    <x v="0"/>
    <x v="96"/>
    <x v="111"/>
    <n v="810.35"/>
    <n v="853"/>
    <x v="1"/>
  </r>
  <r>
    <s v="ORD8200092"/>
    <s v="CUST0127"/>
    <s v="Swiggy"/>
    <x v="248"/>
    <d v="1899-12-30T18:44:00"/>
    <x v="0"/>
    <x v="154"/>
    <x v="0"/>
    <n v="535"/>
    <n v="535"/>
    <x v="1"/>
  </r>
  <r>
    <s v="ORD1643681"/>
    <s v="CUST0062"/>
    <s v="Zomato"/>
    <x v="245"/>
    <d v="1899-12-30T17:14:00"/>
    <x v="0"/>
    <x v="194"/>
    <x v="0"/>
    <n v="465"/>
    <n v="465"/>
    <x v="0"/>
  </r>
  <r>
    <s v="ORD2846415"/>
    <s v="CUST0330"/>
    <s v="Zomato"/>
    <x v="63"/>
    <d v="1899-12-30T20:27:00"/>
    <x v="0"/>
    <x v="190"/>
    <x v="112"/>
    <n v="451.25"/>
    <n v="475"/>
    <x v="1"/>
  </r>
  <r>
    <s v="ORD5700293"/>
    <s v="CUST0109"/>
    <s v="Zomato"/>
    <x v="214"/>
    <d v="1899-12-30T21:20:00"/>
    <x v="1"/>
    <x v="2"/>
    <x v="26"/>
    <n v="0"/>
    <n v="356"/>
    <x v="1"/>
  </r>
  <r>
    <s v="ORD3186206"/>
    <s v="CUST0350"/>
    <s v="Swiggy"/>
    <x v="172"/>
    <d v="1899-12-30T21:00:00"/>
    <x v="0"/>
    <x v="122"/>
    <x v="75"/>
    <n v="471.2"/>
    <n v="496"/>
    <x v="0"/>
  </r>
  <r>
    <s v="ORD3019210"/>
    <s v="CUST0455"/>
    <s v="Zomato"/>
    <x v="56"/>
    <d v="1899-12-30T19:05:00"/>
    <x v="0"/>
    <x v="96"/>
    <x v="0"/>
    <n v="853"/>
    <n v="853"/>
    <x v="1"/>
  </r>
  <r>
    <s v="ORD3144664"/>
    <s v="CUST0370"/>
    <s v="Zomato"/>
    <x v="270"/>
    <d v="1899-12-30T12:34:00"/>
    <x v="0"/>
    <x v="140"/>
    <x v="0"/>
    <n v="714"/>
    <n v="714"/>
    <x v="2"/>
  </r>
  <r>
    <s v="ORD2135960"/>
    <s v="CUST0061"/>
    <s v="Direct"/>
    <x v="271"/>
    <d v="1899-12-30T21:45:00"/>
    <x v="0"/>
    <x v="66"/>
    <x v="0"/>
    <n v="307"/>
    <n v="307"/>
    <x v="0"/>
  </r>
  <r>
    <s v="ORD4190874"/>
    <s v="CUST0407"/>
    <s v="Direct"/>
    <x v="260"/>
    <d v="1899-12-30T20:03:00"/>
    <x v="0"/>
    <x v="188"/>
    <x v="0"/>
    <n v="248"/>
    <n v="248"/>
    <x v="1"/>
  </r>
  <r>
    <s v="ORD3684405"/>
    <s v="CUST0106"/>
    <s v="Zomato"/>
    <x v="1"/>
    <d v="1899-12-30T20:17:00"/>
    <x v="0"/>
    <x v="154"/>
    <x v="0"/>
    <n v="535"/>
    <n v="535"/>
    <x v="1"/>
  </r>
  <r>
    <s v="ORD2998223"/>
    <s v="CUST0363"/>
    <s v="Zomato"/>
    <x v="174"/>
    <d v="1899-12-30T17:18:00"/>
    <x v="0"/>
    <x v="82"/>
    <x v="0"/>
    <n v="554"/>
    <n v="554"/>
    <x v="0"/>
  </r>
  <r>
    <s v="ORD4522752"/>
    <s v="CUST0128"/>
    <s v="Direct"/>
    <x v="106"/>
    <d v="1899-12-30T09:41:00"/>
    <x v="0"/>
    <x v="201"/>
    <x v="0"/>
    <n v="318"/>
    <n v="318"/>
    <x v="1"/>
  </r>
  <r>
    <s v="ORD5947522"/>
    <s v="CUST0370"/>
    <s v="Zomato"/>
    <x v="144"/>
    <d v="1899-12-30T23:16:00"/>
    <x v="0"/>
    <x v="10"/>
    <x v="0"/>
    <n v="555"/>
    <n v="555"/>
    <x v="2"/>
  </r>
  <r>
    <s v="ORD5317535"/>
    <s v="CUST0353"/>
    <s v="Zomato"/>
    <x v="213"/>
    <d v="1899-12-30T21:47:00"/>
    <x v="1"/>
    <x v="23"/>
    <x v="0"/>
    <n v="0"/>
    <n v="752"/>
    <x v="0"/>
  </r>
  <r>
    <s v="ORD9320847"/>
    <s v="CUST0462"/>
    <s v="Zomato"/>
    <x v="11"/>
    <d v="1899-12-30T14:09:00"/>
    <x v="0"/>
    <x v="182"/>
    <x v="0"/>
    <n v="574"/>
    <n v="574"/>
    <x v="1"/>
  </r>
  <r>
    <s v="ORD4151566"/>
    <s v="CUST0202"/>
    <s v="Swiggy"/>
    <x v="248"/>
    <d v="1899-12-30T17:52:00"/>
    <x v="0"/>
    <x v="66"/>
    <x v="0"/>
    <n v="307"/>
    <n v="307"/>
    <x v="1"/>
  </r>
  <r>
    <s v="ORD1347555"/>
    <s v="CUST0052"/>
    <s v="Zomato"/>
    <x v="272"/>
    <d v="1899-12-30T09:38:00"/>
    <x v="0"/>
    <x v="231"/>
    <x v="0"/>
    <n v="665"/>
    <n v="665"/>
    <x v="1"/>
  </r>
  <r>
    <s v="ORD2425479"/>
    <s v="CUST0174"/>
    <s v="Direct"/>
    <x v="193"/>
    <d v="1899-12-30T21:52:00"/>
    <x v="0"/>
    <x v="31"/>
    <x v="0"/>
    <n v="386"/>
    <n v="386"/>
    <x v="1"/>
  </r>
  <r>
    <s v="ORD1747019"/>
    <s v="CUST0279"/>
    <s v="Zomato"/>
    <x v="254"/>
    <d v="1899-12-30T18:40:00"/>
    <x v="0"/>
    <x v="232"/>
    <x v="0"/>
    <n v="227"/>
    <n v="227"/>
    <x v="1"/>
  </r>
  <r>
    <s v="ORD2885904"/>
    <s v="CUST0352"/>
    <s v="Direct"/>
    <x v="140"/>
    <d v="1899-12-30T21:24:00"/>
    <x v="0"/>
    <x v="83"/>
    <x v="113"/>
    <n v="284.39999999999998"/>
    <n v="316"/>
    <x v="0"/>
  </r>
  <r>
    <s v="ORD1727239"/>
    <s v="CUST0474"/>
    <s v="Direct"/>
    <x v="273"/>
    <d v="1899-12-30T18:59:00"/>
    <x v="1"/>
    <x v="87"/>
    <x v="114"/>
    <n v="0"/>
    <n v="128"/>
    <x v="0"/>
  </r>
  <r>
    <s v="ORD7192680"/>
    <s v="CUST0470"/>
    <s v="Zomato"/>
    <x v="89"/>
    <d v="1899-12-30T16:17:00"/>
    <x v="0"/>
    <x v="10"/>
    <x v="0"/>
    <n v="555"/>
    <n v="555"/>
    <x v="0"/>
  </r>
  <r>
    <s v="ORD5672054"/>
    <s v="CUST0296"/>
    <s v="Zomato"/>
    <x v="274"/>
    <d v="1899-12-30T16:07:00"/>
    <x v="0"/>
    <x v="147"/>
    <x v="0"/>
    <n v="49"/>
    <n v="49"/>
    <x v="1"/>
  </r>
  <r>
    <s v="ORD6594616"/>
    <s v="CUST0309"/>
    <s v="Swiggy"/>
    <x v="47"/>
    <d v="1899-12-30T21:26:00"/>
    <x v="0"/>
    <x v="93"/>
    <x v="0"/>
    <n v="962"/>
    <n v="962"/>
    <x v="1"/>
  </r>
  <r>
    <s v="ORD2463815"/>
    <s v="CUST0384"/>
    <s v="Zomato"/>
    <x v="25"/>
    <d v="1899-12-30T21:51:00"/>
    <x v="0"/>
    <x v="53"/>
    <x v="115"/>
    <n v="348.65"/>
    <n v="367"/>
    <x v="2"/>
  </r>
  <r>
    <s v="ORD8064499"/>
    <s v="CUST0236"/>
    <s v="Zomato"/>
    <x v="275"/>
    <d v="1899-12-30T17:18:00"/>
    <x v="0"/>
    <x v="106"/>
    <x v="116"/>
    <n v="320.45"/>
    <n v="377"/>
    <x v="1"/>
  </r>
  <r>
    <s v="ORD2237660"/>
    <s v="CUST0360"/>
    <s v="Zomato"/>
    <x v="276"/>
    <d v="1899-12-30T14:03:00"/>
    <x v="0"/>
    <x v="143"/>
    <x v="0"/>
    <n v="833"/>
    <n v="833"/>
    <x v="1"/>
  </r>
  <r>
    <s v="ORD8448641"/>
    <s v="CUST0211"/>
    <s v="Swiggy"/>
    <x v="162"/>
    <d v="1899-12-30T13:30:00"/>
    <x v="0"/>
    <x v="29"/>
    <x v="0"/>
    <n v="376"/>
    <n v="376"/>
    <x v="2"/>
  </r>
  <r>
    <s v="ORD5329433"/>
    <s v="CUST0233"/>
    <s v="Swiggy"/>
    <x v="8"/>
    <d v="1899-12-30T01:56:00"/>
    <x v="0"/>
    <x v="233"/>
    <x v="0"/>
    <n v="864"/>
    <n v="864"/>
    <x v="0"/>
  </r>
  <r>
    <s v="ORD7581550"/>
    <s v="CUST0317"/>
    <s v="Zomato"/>
    <x v="190"/>
    <d v="1899-12-30T17:25:00"/>
    <x v="0"/>
    <x v="192"/>
    <x v="117"/>
    <n v="660.6"/>
    <n v="734"/>
    <x v="1"/>
  </r>
  <r>
    <s v="ORD6628280"/>
    <s v="CUST0040"/>
    <s v="Zomato"/>
    <x v="64"/>
    <d v="1899-12-30T16:06:00"/>
    <x v="0"/>
    <x v="54"/>
    <x v="0"/>
    <n v="178"/>
    <n v="178"/>
    <x v="1"/>
  </r>
  <r>
    <s v="ORD1752869"/>
    <s v="CUST0138"/>
    <s v="Zomato"/>
    <x v="277"/>
    <d v="1899-12-30T16:15:00"/>
    <x v="0"/>
    <x v="234"/>
    <x v="0"/>
    <n v="1356"/>
    <n v="1356"/>
    <x v="2"/>
  </r>
  <r>
    <s v="ORD7833134"/>
    <s v="CUST0346"/>
    <s v="Zomato"/>
    <x v="238"/>
    <d v="1899-12-30T17:44:00"/>
    <x v="0"/>
    <x v="50"/>
    <x v="0"/>
    <n v="99"/>
    <n v="99"/>
    <x v="2"/>
  </r>
  <r>
    <s v="ORD8769633"/>
    <s v="CUST0083"/>
    <s v="Zomato"/>
    <x v="278"/>
    <d v="1899-12-30T16:18:00"/>
    <x v="0"/>
    <x v="235"/>
    <x v="0"/>
    <n v="1289"/>
    <n v="1289"/>
    <x v="1"/>
  </r>
  <r>
    <s v="ORD5879512"/>
    <s v="CUST0403"/>
    <s v="Zomato"/>
    <x v="129"/>
    <d v="1899-12-30T14:28:00"/>
    <x v="0"/>
    <x v="236"/>
    <x v="118"/>
    <n v="771.4"/>
    <n v="812"/>
    <x v="1"/>
  </r>
  <r>
    <s v="ORD6193258"/>
    <s v="CUST0413"/>
    <s v="Zomato"/>
    <x v="193"/>
    <d v="1899-12-30T19:06:00"/>
    <x v="0"/>
    <x v="152"/>
    <x v="119"/>
    <n v="535.5"/>
    <n v="595"/>
    <x v="1"/>
  </r>
  <r>
    <s v="ORD8416290"/>
    <s v="CUST0243"/>
    <s v="Direct"/>
    <x v="176"/>
    <d v="1899-12-30T19:16:00"/>
    <x v="0"/>
    <x v="212"/>
    <x v="0"/>
    <n v="564"/>
    <n v="564"/>
    <x v="0"/>
  </r>
  <r>
    <s v="ORD5409512"/>
    <s v="CUST0212"/>
    <s v="Swiggy"/>
    <x v="89"/>
    <d v="1899-12-30T16:43:00"/>
    <x v="0"/>
    <x v="237"/>
    <x v="0"/>
    <n v="1053"/>
    <n v="1053"/>
    <x v="1"/>
  </r>
  <r>
    <s v="ORD2568722"/>
    <s v="CUST0199"/>
    <s v="Direct"/>
    <x v="226"/>
    <d v="1899-12-30T16:14:00"/>
    <x v="0"/>
    <x v="70"/>
    <x v="0"/>
    <n v="317"/>
    <n v="317"/>
    <x v="1"/>
  </r>
  <r>
    <s v="ORD6323156"/>
    <s v="CUST0206"/>
    <s v="Zomato"/>
    <x v="279"/>
    <d v="1899-12-30T15:12:00"/>
    <x v="0"/>
    <x v="120"/>
    <x v="0"/>
    <n v="546"/>
    <n v="546"/>
    <x v="1"/>
  </r>
  <r>
    <s v="ORD7064842"/>
    <s v="CUST0195"/>
    <s v="Zomato"/>
    <x v="47"/>
    <d v="1899-12-30T20:49:00"/>
    <x v="0"/>
    <x v="66"/>
    <x v="39"/>
    <n v="291.64999999999998"/>
    <n v="307"/>
    <x v="1"/>
  </r>
  <r>
    <s v="ORD8041764"/>
    <s v="CUST0365"/>
    <s v="Zomato"/>
    <x v="211"/>
    <d v="1899-12-30T18:55:00"/>
    <x v="0"/>
    <x v="202"/>
    <x v="0"/>
    <n v="405"/>
    <n v="405"/>
    <x v="0"/>
  </r>
  <r>
    <s v="ORD8977556"/>
    <s v="CUST0483"/>
    <s v="Zomato"/>
    <x v="280"/>
    <d v="1899-12-30T17:22:00"/>
    <x v="0"/>
    <x v="172"/>
    <x v="0"/>
    <n v="406"/>
    <n v="406"/>
    <x v="1"/>
  </r>
  <r>
    <s v="ORD6310245"/>
    <s v="CUST0316"/>
    <s v="Zomato"/>
    <x v="14"/>
    <d v="1899-12-30T21:37:00"/>
    <x v="0"/>
    <x v="124"/>
    <x v="0"/>
    <n v="456"/>
    <n v="456"/>
    <x v="0"/>
  </r>
  <r>
    <s v="ORD3109184"/>
    <s v="CUST0483"/>
    <s v="Swiggy"/>
    <x v="281"/>
    <d v="1899-12-30T16:28:00"/>
    <x v="0"/>
    <x v="64"/>
    <x v="0"/>
    <n v="744"/>
    <n v="744"/>
    <x v="1"/>
  </r>
  <r>
    <s v="ORD7211871"/>
    <s v="CUST0296"/>
    <s v="Direct"/>
    <x v="282"/>
    <d v="1899-12-30T17:43:00"/>
    <x v="0"/>
    <x v="6"/>
    <x v="0"/>
    <n v="158"/>
    <n v="158"/>
    <x v="1"/>
  </r>
  <r>
    <s v="ORD8144563"/>
    <s v="CUST0211"/>
    <s v="Zomato"/>
    <x v="209"/>
    <d v="1899-12-30T19:26:00"/>
    <x v="0"/>
    <x v="194"/>
    <x v="0"/>
    <n v="465"/>
    <n v="465"/>
    <x v="2"/>
  </r>
  <r>
    <s v="ORD2664720"/>
    <s v="CUST0481"/>
    <s v="Direct"/>
    <x v="283"/>
    <d v="1899-12-30T21:39:00"/>
    <x v="0"/>
    <x v="238"/>
    <x v="120"/>
    <n v="819.9"/>
    <n v="911"/>
    <x v="1"/>
  </r>
  <r>
    <s v="ORD4739295"/>
    <s v="CUST0437"/>
    <s v="Zomato"/>
    <x v="36"/>
    <d v="1899-12-30T01:18:00"/>
    <x v="0"/>
    <x v="198"/>
    <x v="121"/>
    <n v="534.6"/>
    <n v="594"/>
    <x v="0"/>
  </r>
  <r>
    <s v="ORD5437558"/>
    <s v="CUST0146"/>
    <s v="Zomato"/>
    <x v="160"/>
    <d v="1899-12-30T17:32:00"/>
    <x v="0"/>
    <x v="239"/>
    <x v="0"/>
    <n v="326"/>
    <n v="326"/>
    <x v="1"/>
  </r>
  <r>
    <s v="ORD5057252"/>
    <s v="CUST0293"/>
    <s v="Direct"/>
    <x v="284"/>
    <d v="1899-12-30T18:10:00"/>
    <x v="0"/>
    <x v="152"/>
    <x v="0"/>
    <n v="595"/>
    <n v="595"/>
    <x v="1"/>
  </r>
  <r>
    <s v="ORD3119470"/>
    <s v="CUST0224"/>
    <s v="Zomato"/>
    <x v="285"/>
    <d v="1899-12-30T23:10:00"/>
    <x v="0"/>
    <x v="43"/>
    <x v="0"/>
    <n v="149"/>
    <n v="149"/>
    <x v="2"/>
  </r>
  <r>
    <s v="ORD1430171"/>
    <s v="CUST0105"/>
    <s v="Zomato"/>
    <x v="279"/>
    <d v="1899-12-30T11:20:00"/>
    <x v="0"/>
    <x v="43"/>
    <x v="0"/>
    <n v="149"/>
    <n v="149"/>
    <x v="1"/>
  </r>
  <r>
    <s v="ORD3190232"/>
    <s v="CUST0013"/>
    <s v="Swiggy"/>
    <x v="286"/>
    <d v="1899-12-30T00:24:00"/>
    <x v="0"/>
    <x v="139"/>
    <x v="0"/>
    <n v="715"/>
    <n v="715"/>
    <x v="1"/>
  </r>
  <r>
    <s v="ORD3412052"/>
    <s v="CUST0027"/>
    <s v="Zomato"/>
    <x v="101"/>
    <d v="1899-12-30T18:42:00"/>
    <x v="0"/>
    <x v="174"/>
    <x v="122"/>
    <n v="404.7"/>
    <n v="426"/>
    <x v="1"/>
  </r>
  <r>
    <s v="ORD2688991"/>
    <s v="CUST0430"/>
    <s v="Zomato"/>
    <x v="90"/>
    <d v="1899-12-30T18:58:00"/>
    <x v="0"/>
    <x v="149"/>
    <x v="0"/>
    <n v="824"/>
    <n v="824"/>
    <x v="0"/>
  </r>
  <r>
    <s v="ORD1527651"/>
    <s v="CUST0463"/>
    <s v="Zomato"/>
    <x v="257"/>
    <d v="1899-12-30T18:00:00"/>
    <x v="0"/>
    <x v="76"/>
    <x v="123"/>
    <n v="874.95"/>
    <n v="921"/>
    <x v="0"/>
  </r>
  <r>
    <s v="ORD4639947"/>
    <s v="CUST0187"/>
    <s v="Zomato"/>
    <x v="102"/>
    <d v="1899-12-30T12:55:00"/>
    <x v="0"/>
    <x v="190"/>
    <x v="124"/>
    <n v="427.5"/>
    <n v="475"/>
    <x v="0"/>
  </r>
  <r>
    <s v="ORD9318172"/>
    <s v="CUST0334"/>
    <s v="Zomato"/>
    <x v="192"/>
    <d v="1899-12-30T21:35:00"/>
    <x v="0"/>
    <x v="11"/>
    <x v="0"/>
    <n v="267"/>
    <n v="267"/>
    <x v="2"/>
  </r>
  <r>
    <s v="ORD3779198"/>
    <s v="CUST0393"/>
    <s v="Swiggy"/>
    <x v="248"/>
    <d v="1899-12-30T20:50:00"/>
    <x v="0"/>
    <x v="225"/>
    <x v="0"/>
    <n v="822"/>
    <n v="822"/>
    <x v="1"/>
  </r>
  <r>
    <s v="ORD9579143"/>
    <s v="CUST0086"/>
    <s v="Direct"/>
    <x v="269"/>
    <d v="1899-12-30T16:28:00"/>
    <x v="0"/>
    <x v="240"/>
    <x v="0"/>
    <n v="743"/>
    <n v="743"/>
    <x v="0"/>
  </r>
  <r>
    <s v="ORD7235425"/>
    <s v="CUST0038"/>
    <s v="Zomato"/>
    <x v="133"/>
    <d v="1899-12-30T14:15:00"/>
    <x v="0"/>
    <x v="241"/>
    <x v="0"/>
    <n v="276"/>
    <n v="276"/>
    <x v="2"/>
  </r>
  <r>
    <s v="ORD4559708"/>
    <s v="CUST0034"/>
    <s v="Zomato"/>
    <x v="49"/>
    <d v="1899-12-30T17:35:00"/>
    <x v="0"/>
    <x v="242"/>
    <x v="0"/>
    <n v="873"/>
    <n v="873"/>
    <x v="1"/>
  </r>
  <r>
    <s v="ORD6370746"/>
    <s v="CUST0223"/>
    <s v="Zomato"/>
    <x v="119"/>
    <d v="1899-12-30T21:48:00"/>
    <x v="0"/>
    <x v="243"/>
    <x v="125"/>
    <n v="611.79999999999995"/>
    <n v="644"/>
    <x v="1"/>
  </r>
  <r>
    <s v="ORD1077963"/>
    <s v="CUST0011"/>
    <s v="Zomato"/>
    <x v="219"/>
    <d v="1899-12-30T17:36:00"/>
    <x v="0"/>
    <x v="220"/>
    <x v="126"/>
    <n v="707.2"/>
    <n v="832"/>
    <x v="0"/>
  </r>
  <r>
    <s v="ORD6801971"/>
    <s v="CUST0155"/>
    <s v="Zomato"/>
    <x v="130"/>
    <d v="1899-12-30T19:46:00"/>
    <x v="0"/>
    <x v="156"/>
    <x v="127"/>
    <n v="268.2"/>
    <n v="298"/>
    <x v="0"/>
  </r>
  <r>
    <s v="ORD2723751"/>
    <s v="CUST0063"/>
    <s v="Swiggy"/>
    <x v="183"/>
    <d v="1899-12-30T21:58:00"/>
    <x v="0"/>
    <x v="244"/>
    <x v="0"/>
    <n v="792"/>
    <n v="792"/>
    <x v="0"/>
  </r>
  <r>
    <s v="ORD1082902"/>
    <s v="CUST0416"/>
    <s v="Zomato"/>
    <x v="287"/>
    <d v="1899-12-30T21:57:00"/>
    <x v="0"/>
    <x v="194"/>
    <x v="0"/>
    <n v="465"/>
    <n v="465"/>
    <x v="1"/>
  </r>
  <r>
    <s v="ORD8729158"/>
    <s v="CUST0088"/>
    <s v="Direct"/>
    <x v="115"/>
    <d v="1899-12-30T13:44:00"/>
    <x v="0"/>
    <x v="245"/>
    <x v="0"/>
    <n v="1291"/>
    <n v="1291"/>
    <x v="1"/>
  </r>
  <r>
    <s v="ORD9222577"/>
    <s v="CUST0296"/>
    <s v="Zomato"/>
    <x v="188"/>
    <d v="1899-12-30T20:15:00"/>
    <x v="0"/>
    <x v="1"/>
    <x v="55"/>
    <n v="202.3"/>
    <n v="238"/>
    <x v="1"/>
  </r>
  <r>
    <s v="ORD2308903"/>
    <s v="CUST0439"/>
    <s v="Zomato"/>
    <x v="288"/>
    <d v="1899-12-30T21:47:00"/>
    <x v="0"/>
    <x v="190"/>
    <x v="0"/>
    <n v="475"/>
    <n v="475"/>
    <x v="1"/>
  </r>
  <r>
    <s v="ORD9464296"/>
    <s v="CUST0233"/>
    <s v="Swiggy"/>
    <x v="289"/>
    <d v="1899-12-30T13:45:00"/>
    <x v="0"/>
    <x v="246"/>
    <x v="0"/>
    <n v="613"/>
    <n v="613"/>
    <x v="0"/>
  </r>
  <r>
    <s v="ORD2798071"/>
    <s v="CUST0076"/>
    <s v="Zomato"/>
    <x v="290"/>
    <d v="1899-12-30T01:06:00"/>
    <x v="0"/>
    <x v="213"/>
    <x v="0"/>
    <n v="247"/>
    <n v="247"/>
    <x v="1"/>
  </r>
  <r>
    <s v="ORD7659346"/>
    <s v="CUST0221"/>
    <s v="Zomato"/>
    <x v="258"/>
    <d v="1899-12-30T10:22:00"/>
    <x v="0"/>
    <x v="54"/>
    <x v="0"/>
    <n v="178"/>
    <n v="178"/>
    <x v="1"/>
  </r>
  <r>
    <s v="ORD9884588"/>
    <s v="CUST0091"/>
    <s v="Swiggy"/>
    <x v="120"/>
    <d v="1899-12-30T17:25:00"/>
    <x v="1"/>
    <x v="158"/>
    <x v="0"/>
    <n v="0"/>
    <n v="834"/>
    <x v="2"/>
  </r>
  <r>
    <s v="ORD5621443"/>
    <s v="CUST0034"/>
    <s v="Swiggy"/>
    <x v="80"/>
    <d v="1899-12-30T18:15:00"/>
    <x v="0"/>
    <x v="247"/>
    <x v="0"/>
    <n v="712"/>
    <n v="712"/>
    <x v="1"/>
  </r>
  <r>
    <s v="ORD9442968"/>
    <s v="CUST0002"/>
    <s v="Zomato"/>
    <x v="250"/>
    <d v="1899-12-30T13:46:00"/>
    <x v="1"/>
    <x v="72"/>
    <x v="128"/>
    <n v="0"/>
    <n v="168"/>
    <x v="0"/>
  </r>
  <r>
    <s v="ORD1349416"/>
    <s v="CUST0243"/>
    <s v="Zomato"/>
    <x v="127"/>
    <d v="1899-12-30T16:42:00"/>
    <x v="0"/>
    <x v="224"/>
    <x v="0"/>
    <n v="633"/>
    <n v="633"/>
    <x v="0"/>
  </r>
  <r>
    <s v="ORD9441397"/>
    <s v="CUST0428"/>
    <s v="Zomato"/>
    <x v="291"/>
    <d v="1899-12-30T21:18:00"/>
    <x v="0"/>
    <x v="174"/>
    <x v="0"/>
    <n v="426"/>
    <n v="426"/>
    <x v="1"/>
  </r>
  <r>
    <s v="ORD6599209"/>
    <s v="CUST0424"/>
    <s v="Zomato"/>
    <x v="97"/>
    <d v="1899-12-30T19:00:00"/>
    <x v="0"/>
    <x v="152"/>
    <x v="119"/>
    <n v="535.5"/>
    <n v="595"/>
    <x v="1"/>
  </r>
  <r>
    <s v="ORD8226291"/>
    <s v="CUST0255"/>
    <s v="Zomato"/>
    <x v="245"/>
    <d v="1899-12-30T11:22:00"/>
    <x v="0"/>
    <x v="6"/>
    <x v="0"/>
    <n v="158"/>
    <n v="158"/>
    <x v="1"/>
  </r>
  <r>
    <s v="ORD6852648"/>
    <s v="CUST0270"/>
    <s v="Zomato"/>
    <x v="89"/>
    <d v="1899-12-30T19:56:00"/>
    <x v="0"/>
    <x v="135"/>
    <x v="129"/>
    <n v="106.2"/>
    <n v="118"/>
    <x v="0"/>
  </r>
  <r>
    <s v="ORD5838692"/>
    <s v="CUST0406"/>
    <s v="Swiggy"/>
    <x v="288"/>
    <d v="1899-12-30T19:36:00"/>
    <x v="0"/>
    <x v="248"/>
    <x v="0"/>
    <n v="1240"/>
    <n v="1240"/>
    <x v="1"/>
  </r>
  <r>
    <s v="ORD3070908"/>
    <s v="CUST0145"/>
    <s v="Swiggy"/>
    <x v="77"/>
    <d v="1899-12-30T16:13:00"/>
    <x v="0"/>
    <x v="83"/>
    <x v="113"/>
    <n v="284.39999999999998"/>
    <n v="316"/>
    <x v="1"/>
  </r>
  <r>
    <s v="ORD3393173"/>
    <s v="CUST0045"/>
    <s v="Swiggy"/>
    <x v="274"/>
    <d v="1899-12-30T20:09:00"/>
    <x v="0"/>
    <x v="21"/>
    <x v="0"/>
    <n v="435"/>
    <n v="435"/>
    <x v="2"/>
  </r>
  <r>
    <s v="ORD6067099"/>
    <s v="CUST0051"/>
    <s v="Direct"/>
    <x v="263"/>
    <d v="1899-12-30T19:57:00"/>
    <x v="1"/>
    <x v="137"/>
    <x v="53"/>
    <n v="0"/>
    <n v="397"/>
    <x v="1"/>
  </r>
  <r>
    <s v="ORD8736886"/>
    <s v="CUST0157"/>
    <s v="Zomato"/>
    <x v="171"/>
    <d v="1899-12-30T17:19:00"/>
    <x v="0"/>
    <x v="180"/>
    <x v="0"/>
    <n v="427"/>
    <n v="427"/>
    <x v="1"/>
  </r>
  <r>
    <s v="ORD8054914"/>
    <s v="CUST0182"/>
    <s v="Zomato"/>
    <x v="36"/>
    <d v="1899-12-30T14:29:00"/>
    <x v="0"/>
    <x v="83"/>
    <x v="113"/>
    <n v="284.39999999999998"/>
    <n v="316"/>
    <x v="0"/>
  </r>
  <r>
    <s v="ORD5921482"/>
    <s v="CUST0318"/>
    <s v="Swiggy"/>
    <x v="55"/>
    <d v="1899-12-30T18:08:00"/>
    <x v="0"/>
    <x v="249"/>
    <x v="130"/>
    <n v="590.9"/>
    <n v="622"/>
    <x v="0"/>
  </r>
  <r>
    <s v="ORD5875071"/>
    <s v="CUST0305"/>
    <s v="Zomato"/>
    <x v="227"/>
    <d v="1899-12-30T10:21:00"/>
    <x v="0"/>
    <x v="190"/>
    <x v="0"/>
    <n v="475"/>
    <n v="475"/>
    <x v="1"/>
  </r>
  <r>
    <s v="ORD3288458"/>
    <s v="CUST0380"/>
    <s v="Direct"/>
    <x v="80"/>
    <d v="1899-12-30T17:35:00"/>
    <x v="0"/>
    <x v="134"/>
    <x v="0"/>
    <n v="1251"/>
    <n v="1251"/>
    <x v="1"/>
  </r>
  <r>
    <s v="ORD2738237"/>
    <s v="CUST0050"/>
    <s v="Zomato"/>
    <x v="211"/>
    <d v="1899-12-30T16:33:00"/>
    <x v="0"/>
    <x v="43"/>
    <x v="12"/>
    <n v="141.55000000000001"/>
    <n v="149"/>
    <x v="1"/>
  </r>
  <r>
    <s v="ORD5366631"/>
    <s v="CUST0121"/>
    <s v="Swiggy"/>
    <x v="220"/>
    <d v="1899-12-30T17:52:00"/>
    <x v="1"/>
    <x v="250"/>
    <x v="0"/>
    <n v="0"/>
    <n v="854"/>
    <x v="1"/>
  </r>
  <r>
    <s v="ORD5856148"/>
    <s v="CUST0244"/>
    <s v="Zomato"/>
    <x v="156"/>
    <d v="1899-12-30T23:12:00"/>
    <x v="0"/>
    <x v="8"/>
    <x v="48"/>
    <n v="348.3"/>
    <n v="387"/>
    <x v="1"/>
  </r>
  <r>
    <s v="ORD8457126"/>
    <s v="CUST0018"/>
    <s v="Swiggy"/>
    <x v="41"/>
    <d v="1899-12-30T20:19:00"/>
    <x v="0"/>
    <x v="41"/>
    <x v="0"/>
    <n v="693"/>
    <n v="693"/>
    <x v="1"/>
  </r>
  <r>
    <s v="ORD6903348"/>
    <s v="CUST0090"/>
    <s v="Swiggy"/>
    <x v="169"/>
    <d v="1899-12-30T20:04:00"/>
    <x v="0"/>
    <x v="219"/>
    <x v="0"/>
    <n v="626"/>
    <n v="626"/>
    <x v="0"/>
  </r>
  <r>
    <s v="ORD4026182"/>
    <s v="CUST0193"/>
    <s v="Direct"/>
    <x v="189"/>
    <d v="1899-12-30T01:30:00"/>
    <x v="0"/>
    <x v="175"/>
    <x v="0"/>
    <n v="794"/>
    <n v="794"/>
    <x v="1"/>
  </r>
  <r>
    <s v="ORD2619679"/>
    <s v="CUST0376"/>
    <s v="Zomato"/>
    <x v="43"/>
    <d v="1899-12-30T16:54:00"/>
    <x v="0"/>
    <x v="239"/>
    <x v="0"/>
    <n v="326"/>
    <n v="326"/>
    <x v="1"/>
  </r>
  <r>
    <s v="ORD8047372"/>
    <s v="CUST0457"/>
    <s v="Zomato"/>
    <x v="12"/>
    <d v="1899-12-30T17:46:00"/>
    <x v="0"/>
    <x v="50"/>
    <x v="0"/>
    <n v="99"/>
    <n v="99"/>
    <x v="1"/>
  </r>
  <r>
    <s v="ORD6388157"/>
    <s v="CUST0016"/>
    <s v="Direct"/>
    <x v="154"/>
    <d v="1899-12-30T21:53:00"/>
    <x v="0"/>
    <x v="13"/>
    <x v="0"/>
    <n v="287"/>
    <n v="287"/>
    <x v="1"/>
  </r>
  <r>
    <s v="ORD1406730"/>
    <s v="CUST0405"/>
    <s v="Zomato"/>
    <x v="23"/>
    <d v="1899-12-30T20:51:00"/>
    <x v="0"/>
    <x v="54"/>
    <x v="0"/>
    <n v="178"/>
    <n v="178"/>
    <x v="2"/>
  </r>
  <r>
    <s v="ORD9324443"/>
    <s v="CUST0373"/>
    <s v="Swiggy"/>
    <x v="292"/>
    <d v="1899-12-30T21:58:00"/>
    <x v="0"/>
    <x v="98"/>
    <x v="0"/>
    <n v="585"/>
    <n v="585"/>
    <x v="1"/>
  </r>
  <r>
    <s v="ORD4868381"/>
    <s v="CUST0052"/>
    <s v="Zomato"/>
    <x v="292"/>
    <d v="1899-12-30T20:19:00"/>
    <x v="0"/>
    <x v="251"/>
    <x v="131"/>
    <n v="506.35"/>
    <n v="533"/>
    <x v="1"/>
  </r>
  <r>
    <s v="ORD9389396"/>
    <s v="CUST0437"/>
    <s v="Swiggy"/>
    <x v="150"/>
    <d v="1899-12-30T20:15:00"/>
    <x v="0"/>
    <x v="40"/>
    <x v="9"/>
    <n v="312.3"/>
    <n v="347"/>
    <x v="0"/>
  </r>
  <r>
    <s v="ORD1996431"/>
    <s v="CUST0103"/>
    <s v="Zomato"/>
    <x v="100"/>
    <d v="1899-12-30T19:16:00"/>
    <x v="0"/>
    <x v="251"/>
    <x v="132"/>
    <n v="479.7"/>
    <n v="533"/>
    <x v="1"/>
  </r>
  <r>
    <s v="ORD1593277"/>
    <s v="CUST0428"/>
    <s v="Swiggy"/>
    <x v="6"/>
    <d v="1899-12-30T00:44:00"/>
    <x v="0"/>
    <x v="252"/>
    <x v="133"/>
    <n v="936.7"/>
    <n v="1102"/>
    <x v="1"/>
  </r>
  <r>
    <s v="ORD4821097"/>
    <s v="CUST0401"/>
    <s v="Swiggy"/>
    <x v="198"/>
    <d v="1899-12-30T19:19:00"/>
    <x v="0"/>
    <x v="253"/>
    <x v="0"/>
    <n v="704"/>
    <n v="704"/>
    <x v="2"/>
  </r>
  <r>
    <s v="ORD8347629"/>
    <s v="CUST0282"/>
    <s v="Zomato"/>
    <x v="66"/>
    <d v="1899-12-30T21:27:00"/>
    <x v="0"/>
    <x v="199"/>
    <x v="0"/>
    <n v="385"/>
    <n v="385"/>
    <x v="1"/>
  </r>
  <r>
    <s v="ORD5193002"/>
    <s v="CUST0411"/>
    <s v="Zomato"/>
    <x v="57"/>
    <d v="1899-12-30T00:02:00"/>
    <x v="0"/>
    <x v="39"/>
    <x v="134"/>
    <n v="71.099999999999994"/>
    <n v="79"/>
    <x v="1"/>
  </r>
  <r>
    <s v="ORD3053134"/>
    <s v="CUST0311"/>
    <s v="Zomato"/>
    <x v="219"/>
    <d v="1899-12-30T13:08:00"/>
    <x v="0"/>
    <x v="39"/>
    <x v="0"/>
    <n v="79"/>
    <n v="79"/>
    <x v="1"/>
  </r>
  <r>
    <s v="ORD7156124"/>
    <s v="CUST0366"/>
    <s v="Zomato"/>
    <x v="19"/>
    <d v="1899-12-30T12:28:00"/>
    <x v="0"/>
    <x v="137"/>
    <x v="0"/>
    <n v="397"/>
    <n v="397"/>
    <x v="0"/>
  </r>
  <r>
    <s v="ORD3300684"/>
    <s v="CUST0144"/>
    <s v="Zomato"/>
    <x v="80"/>
    <d v="1899-12-30T00:31:00"/>
    <x v="0"/>
    <x v="30"/>
    <x v="135"/>
    <n v="528.20000000000005"/>
    <n v="556"/>
    <x v="1"/>
  </r>
  <r>
    <s v="ORD1566334"/>
    <s v="CUST0011"/>
    <s v="Zomato"/>
    <x v="183"/>
    <d v="1899-12-30T19:07:00"/>
    <x v="0"/>
    <x v="5"/>
    <x v="0"/>
    <n v="188"/>
    <n v="188"/>
    <x v="0"/>
  </r>
  <r>
    <s v="ORD7364050"/>
    <s v="CUST0023"/>
    <s v="Zomato"/>
    <x v="170"/>
    <d v="1899-12-30T15:28:00"/>
    <x v="0"/>
    <x v="235"/>
    <x v="136"/>
    <n v="1160.0999999999999"/>
    <n v="1289"/>
    <x v="1"/>
  </r>
  <r>
    <s v="ORD8282586"/>
    <s v="CUST0388"/>
    <s v="Zomato"/>
    <x v="30"/>
    <d v="1899-12-30T00:13:00"/>
    <x v="0"/>
    <x v="254"/>
    <x v="137"/>
    <n v="999"/>
    <n v="1110"/>
    <x v="0"/>
  </r>
  <r>
    <s v="ORD9705913"/>
    <s v="CUST0294"/>
    <s v="Swiggy"/>
    <x v="289"/>
    <d v="1899-12-30T22:27:00"/>
    <x v="0"/>
    <x v="255"/>
    <x v="138"/>
    <n v="582.25"/>
    <n v="685"/>
    <x v="1"/>
  </r>
  <r>
    <s v="ORD7620309"/>
    <s v="CUST0278"/>
    <s v="Zomato"/>
    <x v="71"/>
    <d v="1899-12-30T17:49:00"/>
    <x v="0"/>
    <x v="117"/>
    <x v="139"/>
    <n v="615.6"/>
    <n v="684"/>
    <x v="1"/>
  </r>
  <r>
    <s v="ORD8825556"/>
    <s v="CUST0009"/>
    <s v="Zomato"/>
    <x v="288"/>
    <d v="1899-12-30T22:29:00"/>
    <x v="0"/>
    <x v="99"/>
    <x v="35"/>
    <n v="761.9"/>
    <n v="802"/>
    <x v="1"/>
  </r>
  <r>
    <s v="ORD3927545"/>
    <s v="CUST0254"/>
    <s v="Zomato"/>
    <x v="111"/>
    <d v="1899-12-30T13:55:00"/>
    <x v="0"/>
    <x v="132"/>
    <x v="0"/>
    <n v="396"/>
    <n v="396"/>
    <x v="2"/>
  </r>
  <r>
    <s v="ORD6927978"/>
    <s v="CUST0009"/>
    <s v="Swiggy"/>
    <x v="293"/>
    <d v="1899-12-30T13:16:00"/>
    <x v="0"/>
    <x v="256"/>
    <x v="0"/>
    <n v="466"/>
    <n v="466"/>
    <x v="1"/>
  </r>
  <r>
    <s v="ORD5749368"/>
    <s v="CUST0329"/>
    <s v="Zomato"/>
    <x v="114"/>
    <d v="1899-12-30T15:04:00"/>
    <x v="0"/>
    <x v="43"/>
    <x v="0"/>
    <n v="149"/>
    <n v="149"/>
    <x v="1"/>
  </r>
  <r>
    <s v="ORD1748441"/>
    <s v="CUST0016"/>
    <s v="Zomato"/>
    <x v="67"/>
    <d v="1899-12-30T18:39:00"/>
    <x v="0"/>
    <x v="257"/>
    <x v="0"/>
    <n v="931"/>
    <n v="931"/>
    <x v="1"/>
  </r>
  <r>
    <s v="ORD2316088"/>
    <s v="CUST0372"/>
    <s v="Zomato"/>
    <x v="294"/>
    <d v="1899-12-30T09:42:00"/>
    <x v="0"/>
    <x v="149"/>
    <x v="140"/>
    <n v="782.8"/>
    <n v="824"/>
    <x v="1"/>
  </r>
  <r>
    <s v="ORD5916819"/>
    <s v="CUST0163"/>
    <s v="Zomato"/>
    <x v="180"/>
    <d v="1899-12-30T23:28:00"/>
    <x v="0"/>
    <x v="258"/>
    <x v="0"/>
    <n v="148"/>
    <n v="148"/>
    <x v="1"/>
  </r>
  <r>
    <s v="ORD9483289"/>
    <s v="CUST0041"/>
    <s v="Zomato"/>
    <x v="242"/>
    <d v="1899-12-30T19:23:00"/>
    <x v="0"/>
    <x v="259"/>
    <x v="0"/>
    <n v="1002"/>
    <n v="1002"/>
    <x v="1"/>
  </r>
  <r>
    <s v="ORD6730623"/>
    <s v="CUST0134"/>
    <s v="Swiggy"/>
    <x v="281"/>
    <d v="1899-12-30T17:38:00"/>
    <x v="0"/>
    <x v="110"/>
    <x v="141"/>
    <n v="131.1"/>
    <n v="138"/>
    <x v="1"/>
  </r>
  <r>
    <s v="ORD1260252"/>
    <s v="CUST0093"/>
    <s v="Direct"/>
    <x v="119"/>
    <d v="1899-12-30T17:57:00"/>
    <x v="0"/>
    <x v="41"/>
    <x v="10"/>
    <n v="658.35"/>
    <n v="693"/>
    <x v="1"/>
  </r>
  <r>
    <s v="ORD9880342"/>
    <s v="CUST0068"/>
    <s v="Swiggy"/>
    <x v="267"/>
    <d v="1899-12-30T17:04:00"/>
    <x v="0"/>
    <x v="260"/>
    <x v="142"/>
    <n v="1129.55"/>
    <n v="1189"/>
    <x v="0"/>
  </r>
  <r>
    <s v="ORD7859779"/>
    <s v="CUST0182"/>
    <s v="Direct"/>
    <x v="153"/>
    <d v="1899-12-30T21:58:00"/>
    <x v="0"/>
    <x v="92"/>
    <x v="0"/>
    <n v="1003"/>
    <n v="1003"/>
    <x v="0"/>
  </r>
  <r>
    <s v="ORD8608923"/>
    <s v="CUST0304"/>
    <s v="Zomato"/>
    <x v="92"/>
    <d v="1899-12-30T16:37:00"/>
    <x v="0"/>
    <x v="261"/>
    <x v="0"/>
    <n v="566"/>
    <n v="566"/>
    <x v="1"/>
  </r>
  <r>
    <s v="ORD8158662"/>
    <s v="CUST0269"/>
    <s v="Swiggy"/>
    <x v="170"/>
    <d v="1899-12-30T20:57:00"/>
    <x v="0"/>
    <x v="262"/>
    <x v="0"/>
    <n v="266"/>
    <n v="266"/>
    <x v="1"/>
  </r>
  <r>
    <s v="ORD6274209"/>
    <s v="CUST0295"/>
    <s v="Direct"/>
    <x v="16"/>
    <d v="1899-12-30T20:17:00"/>
    <x v="0"/>
    <x v="13"/>
    <x v="143"/>
    <n v="272.64999999999998"/>
    <n v="287"/>
    <x v="1"/>
  </r>
  <r>
    <s v="ORD5674614"/>
    <s v="CUST0055"/>
    <s v="Direct"/>
    <x v="295"/>
    <d v="1899-12-30T00:48:00"/>
    <x v="0"/>
    <x v="47"/>
    <x v="0"/>
    <n v="198"/>
    <n v="198"/>
    <x v="0"/>
  </r>
  <r>
    <s v="ORD9193420"/>
    <s v="CUST0410"/>
    <s v="Zomato"/>
    <x v="191"/>
    <d v="1899-12-30T20:34:00"/>
    <x v="0"/>
    <x v="72"/>
    <x v="15"/>
    <n v="151.19999999999999"/>
    <n v="168"/>
    <x v="1"/>
  </r>
  <r>
    <s v="ORD8252219"/>
    <s v="CUST0433"/>
    <s v="Zomato"/>
    <x v="74"/>
    <d v="1899-12-30T21:58:00"/>
    <x v="0"/>
    <x v="256"/>
    <x v="0"/>
    <n v="466"/>
    <n v="466"/>
    <x v="2"/>
  </r>
  <r>
    <s v="ORD5632324"/>
    <s v="CUST0081"/>
    <s v="Swiggy"/>
    <x v="161"/>
    <d v="1899-12-30T10:20:00"/>
    <x v="0"/>
    <x v="263"/>
    <x v="0"/>
    <n v="904"/>
    <n v="904"/>
    <x v="1"/>
  </r>
  <r>
    <s v="ORD1597875"/>
    <s v="CUST0429"/>
    <s v="Direct"/>
    <x v="94"/>
    <d v="1899-12-30T20:42:00"/>
    <x v="0"/>
    <x v="264"/>
    <x v="0"/>
    <n v="288"/>
    <n v="288"/>
    <x v="1"/>
  </r>
  <r>
    <s v="ORD2488335"/>
    <s v="CUST0068"/>
    <s v="Zomato"/>
    <x v="2"/>
    <d v="1899-12-30T19:18:00"/>
    <x v="0"/>
    <x v="265"/>
    <x v="144"/>
    <n v="401.4"/>
    <n v="446"/>
    <x v="0"/>
  </r>
  <r>
    <s v="ORD4020978"/>
    <s v="CUST0272"/>
    <s v="Swiggy"/>
    <x v="104"/>
    <d v="1899-12-30T18:30:00"/>
    <x v="0"/>
    <x v="266"/>
    <x v="0"/>
    <n v="884"/>
    <n v="884"/>
    <x v="1"/>
  </r>
  <r>
    <s v="ORD8128056"/>
    <s v="CUST0167"/>
    <s v="Zomato"/>
    <x v="246"/>
    <d v="1899-12-30T15:28:00"/>
    <x v="0"/>
    <x v="34"/>
    <x v="52"/>
    <n v="205.2"/>
    <n v="228"/>
    <x v="1"/>
  </r>
  <r>
    <s v="ORD5880999"/>
    <s v="CUST0352"/>
    <s v="Zomato"/>
    <x v="186"/>
    <d v="1899-12-30T00:26:00"/>
    <x v="0"/>
    <x v="126"/>
    <x v="46"/>
    <n v="473.4"/>
    <n v="526"/>
    <x v="0"/>
  </r>
  <r>
    <s v="ORD1916595"/>
    <s v="CUST0205"/>
    <s v="Zomato"/>
    <x v="223"/>
    <d v="1899-12-30T19:27:00"/>
    <x v="0"/>
    <x v="1"/>
    <x v="32"/>
    <n v="226.1"/>
    <n v="238"/>
    <x v="0"/>
  </r>
  <r>
    <s v="ORD6531182"/>
    <s v="CUST0321"/>
    <s v="Zomato"/>
    <x v="53"/>
    <d v="1899-12-30T17:49:00"/>
    <x v="0"/>
    <x v="90"/>
    <x v="0"/>
    <n v="913"/>
    <n v="913"/>
    <x v="1"/>
  </r>
  <r>
    <s v="ORD3633903"/>
    <s v="CUST0186"/>
    <s v="Swiggy"/>
    <x v="0"/>
    <d v="1899-12-30T23:13:00"/>
    <x v="0"/>
    <x v="188"/>
    <x v="0"/>
    <n v="248"/>
    <n v="248"/>
    <x v="1"/>
  </r>
  <r>
    <s v="ORD9834133"/>
    <s v="CUST0433"/>
    <s v="Zomato"/>
    <x v="0"/>
    <d v="1899-12-30T16:02:00"/>
    <x v="0"/>
    <x v="47"/>
    <x v="0"/>
    <n v="198"/>
    <n v="198"/>
    <x v="2"/>
  </r>
  <r>
    <s v="ORD7723485"/>
    <s v="CUST0417"/>
    <s v="Swiggy"/>
    <x v="141"/>
    <d v="1899-12-30T21:07:00"/>
    <x v="0"/>
    <x v="267"/>
    <x v="145"/>
    <n v="1083.95"/>
    <n v="1141"/>
    <x v="0"/>
  </r>
  <r>
    <s v="ORD6237674"/>
    <s v="CUST0426"/>
    <s v="Swiggy"/>
    <x v="135"/>
    <d v="1899-12-30T19:12:00"/>
    <x v="0"/>
    <x v="8"/>
    <x v="48"/>
    <n v="348.3"/>
    <n v="387"/>
    <x v="1"/>
  </r>
  <r>
    <s v="ORD5771825"/>
    <s v="CUST0288"/>
    <s v="Zomato"/>
    <x v="66"/>
    <d v="1899-12-30T17:26:00"/>
    <x v="0"/>
    <x v="42"/>
    <x v="0"/>
    <n v="454"/>
    <n v="454"/>
    <x v="0"/>
  </r>
  <r>
    <s v="ORD8500846"/>
    <s v="CUST0204"/>
    <s v="Swiggy"/>
    <x v="233"/>
    <d v="1899-12-30T20:01:00"/>
    <x v="0"/>
    <x v="191"/>
    <x v="146"/>
    <n v="218.45"/>
    <n v="257"/>
    <x v="1"/>
  </r>
  <r>
    <s v="ORD7764490"/>
    <s v="CUST0128"/>
    <s v="Zomato"/>
    <x v="296"/>
    <d v="1899-12-30T22:37:00"/>
    <x v="1"/>
    <x v="268"/>
    <x v="147"/>
    <n v="0"/>
    <n v="1061"/>
    <x v="1"/>
  </r>
  <r>
    <s v="ORD9199476"/>
    <s v="CUST0354"/>
    <s v="Zomato"/>
    <x v="79"/>
    <d v="1899-12-30T16:17:00"/>
    <x v="0"/>
    <x v="83"/>
    <x v="0"/>
    <n v="316"/>
    <n v="316"/>
    <x v="1"/>
  </r>
  <r>
    <s v="ORD3135445"/>
    <s v="CUST0359"/>
    <s v="Zomato"/>
    <x v="297"/>
    <d v="1899-12-30T10:27:00"/>
    <x v="0"/>
    <x v="243"/>
    <x v="125"/>
    <n v="611.79999999999995"/>
    <n v="644"/>
    <x v="2"/>
  </r>
  <r>
    <s v="ORD8015348"/>
    <s v="CUST0269"/>
    <s v="Zomato"/>
    <x v="57"/>
    <d v="1899-12-30T21:51:00"/>
    <x v="0"/>
    <x v="89"/>
    <x v="0"/>
    <n v="395"/>
    <n v="395"/>
    <x v="1"/>
  </r>
  <r>
    <s v="ORD3784106"/>
    <s v="CUST0456"/>
    <s v="Zomato"/>
    <x v="298"/>
    <d v="1899-12-30T18:39:00"/>
    <x v="0"/>
    <x v="103"/>
    <x v="0"/>
    <n v="545"/>
    <n v="545"/>
    <x v="2"/>
  </r>
  <r>
    <s v="ORD3270615"/>
    <s v="CUST0383"/>
    <s v="Swiggy"/>
    <x v="299"/>
    <d v="1899-12-30T18:59:00"/>
    <x v="0"/>
    <x v="269"/>
    <x v="0"/>
    <n v="523"/>
    <n v="523"/>
    <x v="2"/>
  </r>
  <r>
    <s v="ORD8863382"/>
    <s v="CUST0170"/>
    <s v="Zomato"/>
    <x v="277"/>
    <d v="1899-12-30T23:29:00"/>
    <x v="1"/>
    <x v="49"/>
    <x v="148"/>
    <n v="0"/>
    <n v="277"/>
    <x v="1"/>
  </r>
  <r>
    <s v="ORD7765720"/>
    <s v="CUST0374"/>
    <s v="Zomato"/>
    <x v="163"/>
    <d v="1899-12-30T15:37:00"/>
    <x v="0"/>
    <x v="137"/>
    <x v="0"/>
    <n v="397"/>
    <n v="397"/>
    <x v="0"/>
  </r>
  <r>
    <s v="ORD5651273"/>
    <s v="CUST0197"/>
    <s v="Zomato"/>
    <x v="126"/>
    <d v="1899-12-30T21:49:00"/>
    <x v="1"/>
    <x v="270"/>
    <x v="149"/>
    <n v="0"/>
    <n v="1161"/>
    <x v="1"/>
  </r>
  <r>
    <s v="ORD8376757"/>
    <s v="CUST0027"/>
    <s v="Zomato"/>
    <x v="112"/>
    <d v="1899-12-30T16:57:00"/>
    <x v="0"/>
    <x v="28"/>
    <x v="150"/>
    <n v="329.4"/>
    <n v="366"/>
    <x v="1"/>
  </r>
  <r>
    <s v="ORD4588635"/>
    <s v="CUST0041"/>
    <s v="Direct"/>
    <x v="113"/>
    <d v="1899-12-30T14:33:00"/>
    <x v="0"/>
    <x v="207"/>
    <x v="0"/>
    <n v="933"/>
    <n v="933"/>
    <x v="1"/>
  </r>
  <r>
    <s v="ORD6804775"/>
    <s v="CUST0188"/>
    <s v="Direct"/>
    <x v="212"/>
    <d v="1899-12-30T16:55:00"/>
    <x v="0"/>
    <x v="14"/>
    <x v="0"/>
    <n v="445"/>
    <n v="445"/>
    <x v="1"/>
  </r>
  <r>
    <s v="ORD6207491"/>
    <s v="CUST0270"/>
    <s v="Zomato"/>
    <x v="33"/>
    <d v="1899-12-30T19:23:00"/>
    <x v="0"/>
    <x v="39"/>
    <x v="110"/>
    <n v="75.05"/>
    <n v="79"/>
    <x v="0"/>
  </r>
  <r>
    <s v="ORD5245272"/>
    <s v="CUST0246"/>
    <s v="Zomato"/>
    <x v="180"/>
    <d v="1899-12-30T18:41:00"/>
    <x v="0"/>
    <x v="271"/>
    <x v="151"/>
    <n v="1088.0999999999999"/>
    <n v="1209"/>
    <x v="0"/>
  </r>
  <r>
    <s v="ORD1640782"/>
    <s v="CUST0280"/>
    <s v="Swiggy"/>
    <x v="285"/>
    <d v="1899-12-30T01:48:00"/>
    <x v="0"/>
    <x v="39"/>
    <x v="0"/>
    <n v="79"/>
    <n v="79"/>
    <x v="2"/>
  </r>
  <r>
    <s v="ORD8438648"/>
    <s v="CUST0434"/>
    <s v="Zomato"/>
    <x v="300"/>
    <d v="1899-12-30T19:53:00"/>
    <x v="0"/>
    <x v="152"/>
    <x v="0"/>
    <n v="595"/>
    <n v="595"/>
    <x v="1"/>
  </r>
  <r>
    <s v="ORD7144765"/>
    <s v="CUST0364"/>
    <s v="Zomato"/>
    <x v="172"/>
    <d v="1899-12-30T14:57:00"/>
    <x v="0"/>
    <x v="43"/>
    <x v="0"/>
    <n v="149"/>
    <n v="149"/>
    <x v="2"/>
  </r>
  <r>
    <s v="ORD3895499"/>
    <s v="CUST0374"/>
    <s v="Zomato"/>
    <x v="159"/>
    <d v="1899-12-30T20:09:00"/>
    <x v="0"/>
    <x v="156"/>
    <x v="0"/>
    <n v="298"/>
    <n v="298"/>
    <x v="0"/>
  </r>
  <r>
    <s v="ORD2974922"/>
    <s v="CUST0141"/>
    <s v="Swiggy"/>
    <x v="179"/>
    <d v="1899-12-30T09:19:00"/>
    <x v="0"/>
    <x v="20"/>
    <x v="152"/>
    <n v="584.25"/>
    <n v="615"/>
    <x v="1"/>
  </r>
  <r>
    <s v="ORD3840983"/>
    <s v="CUST0321"/>
    <s v="Direct"/>
    <x v="155"/>
    <d v="1899-12-30T18:37:00"/>
    <x v="0"/>
    <x v="153"/>
    <x v="0"/>
    <n v="327"/>
    <n v="327"/>
    <x v="1"/>
  </r>
  <r>
    <s v="ORD6209108"/>
    <s v="CUST0387"/>
    <s v="Swiggy"/>
    <x v="95"/>
    <d v="1899-12-30T12:47:00"/>
    <x v="0"/>
    <x v="54"/>
    <x v="0"/>
    <n v="178"/>
    <n v="178"/>
    <x v="1"/>
  </r>
  <r>
    <s v="ORD8375236"/>
    <s v="CUST0152"/>
    <s v="Zomato"/>
    <x v="288"/>
    <d v="1899-12-30T17:11:00"/>
    <x v="0"/>
    <x v="39"/>
    <x v="0"/>
    <n v="79"/>
    <n v="79"/>
    <x v="1"/>
  </r>
  <r>
    <s v="ORD7470648"/>
    <s v="CUST0088"/>
    <s v="Zomato"/>
    <x v="174"/>
    <d v="1899-12-30T01:53:00"/>
    <x v="0"/>
    <x v="224"/>
    <x v="0"/>
    <n v="633"/>
    <n v="633"/>
    <x v="1"/>
  </r>
  <r>
    <s v="ORD5332109"/>
    <s v="CUST0263"/>
    <s v="Swiggy"/>
    <x v="36"/>
    <d v="1899-12-30T13:05:00"/>
    <x v="0"/>
    <x v="191"/>
    <x v="146"/>
    <n v="218.45"/>
    <n v="257"/>
    <x v="0"/>
  </r>
  <r>
    <s v="ORD2755114"/>
    <s v="CUST0462"/>
    <s v="Zomato"/>
    <x v="144"/>
    <d v="1899-12-30T21:37:00"/>
    <x v="0"/>
    <x v="272"/>
    <x v="0"/>
    <n v="902"/>
    <n v="902"/>
    <x v="1"/>
  </r>
  <r>
    <s v="ORD7699704"/>
    <s v="CUST0295"/>
    <s v="Swiggy"/>
    <x v="72"/>
    <d v="1899-12-30T22:37:00"/>
    <x v="0"/>
    <x v="273"/>
    <x v="139"/>
    <n v="1299.5999999999999"/>
    <n v="1368"/>
    <x v="1"/>
  </r>
  <r>
    <s v="ORD9593363"/>
    <s v="CUST0304"/>
    <s v="Zomato"/>
    <x v="25"/>
    <d v="1899-12-30T00:25:00"/>
    <x v="0"/>
    <x v="274"/>
    <x v="0"/>
    <n v="840"/>
    <n v="840"/>
    <x v="1"/>
  </r>
  <r>
    <s v="ORD3773979"/>
    <s v="CUST0178"/>
    <s v="Zomato"/>
    <x v="194"/>
    <d v="1899-12-30T17:51:00"/>
    <x v="0"/>
    <x v="132"/>
    <x v="92"/>
    <n v="356.4"/>
    <n v="396"/>
    <x v="1"/>
  </r>
  <r>
    <s v="ORD3586005"/>
    <s v="CUST0047"/>
    <s v="Swiggy"/>
    <x v="290"/>
    <d v="1899-12-30T17:27:00"/>
    <x v="0"/>
    <x v="275"/>
    <x v="0"/>
    <n v="1050"/>
    <n v="1050"/>
    <x v="0"/>
  </r>
  <r>
    <s v="ORD3240199"/>
    <s v="CUST0066"/>
    <s v="Zomato"/>
    <x v="301"/>
    <d v="1899-12-30T10:24:00"/>
    <x v="0"/>
    <x v="65"/>
    <x v="0"/>
    <n v="337"/>
    <n v="337"/>
    <x v="2"/>
  </r>
  <r>
    <s v="ORD4945289"/>
    <s v="CUST0312"/>
    <s v="Zomato"/>
    <x v="297"/>
    <d v="1899-12-30T17:56:00"/>
    <x v="0"/>
    <x v="66"/>
    <x v="39"/>
    <n v="291.64999999999998"/>
    <n v="307"/>
    <x v="1"/>
  </r>
  <r>
    <s v="ORD7443567"/>
    <s v="CUST0223"/>
    <s v="Zomato"/>
    <x v="272"/>
    <d v="1899-12-30T17:19:00"/>
    <x v="0"/>
    <x v="2"/>
    <x v="0"/>
    <n v="356"/>
    <n v="356"/>
    <x v="1"/>
  </r>
  <r>
    <s v="ORD2386477"/>
    <s v="CUST0428"/>
    <s v="Zomato"/>
    <x v="25"/>
    <d v="1899-12-30T21:33:00"/>
    <x v="0"/>
    <x v="124"/>
    <x v="0"/>
    <n v="456"/>
    <n v="456"/>
    <x v="1"/>
  </r>
  <r>
    <s v="ORD6082733"/>
    <s v="CUST0217"/>
    <s v="Swiggy"/>
    <x v="218"/>
    <d v="1899-12-30T21:25:00"/>
    <x v="0"/>
    <x v="276"/>
    <x v="0"/>
    <n v="775"/>
    <n v="775"/>
    <x v="0"/>
  </r>
  <r>
    <s v="ORD8114632"/>
    <s v="CUST0058"/>
    <s v="Swiggy"/>
    <x v="299"/>
    <d v="1899-12-30T20:23:00"/>
    <x v="0"/>
    <x v="41"/>
    <x v="153"/>
    <n v="623.70000000000005"/>
    <n v="693"/>
    <x v="1"/>
  </r>
  <r>
    <s v="ORD7158985"/>
    <s v="CUST0445"/>
    <s v="Zomato"/>
    <x v="212"/>
    <d v="1899-12-30T16:07:00"/>
    <x v="0"/>
    <x v="80"/>
    <x v="27"/>
    <n v="713.7"/>
    <n v="793"/>
    <x v="1"/>
  </r>
  <r>
    <s v="ORD7647377"/>
    <s v="CUST0375"/>
    <s v="Zomato"/>
    <x v="235"/>
    <d v="1899-12-30T16:22:00"/>
    <x v="0"/>
    <x v="191"/>
    <x v="154"/>
    <n v="231.3"/>
    <n v="257"/>
    <x v="0"/>
  </r>
  <r>
    <s v="ORD9783858"/>
    <s v="CUST0471"/>
    <s v="Swiggy"/>
    <x v="125"/>
    <d v="1899-12-30T20:15:00"/>
    <x v="0"/>
    <x v="212"/>
    <x v="0"/>
    <n v="564"/>
    <n v="564"/>
    <x v="1"/>
  </r>
  <r>
    <s v="ORD6066483"/>
    <s v="CUST0173"/>
    <s v="Direct"/>
    <x v="302"/>
    <d v="1899-12-30T21:05:00"/>
    <x v="0"/>
    <x v="148"/>
    <x v="96"/>
    <n v="562.5"/>
    <n v="625"/>
    <x v="0"/>
  </r>
  <r>
    <s v="ORD5089486"/>
    <s v="CUST0156"/>
    <s v="Swiggy"/>
    <x v="207"/>
    <d v="1899-12-30T00:16:00"/>
    <x v="0"/>
    <x v="277"/>
    <x v="0"/>
    <n v="506"/>
    <n v="506"/>
    <x v="2"/>
  </r>
  <r>
    <s v="ORD5780038"/>
    <s v="CUST0466"/>
    <s v="Zomato"/>
    <x v="62"/>
    <d v="1899-12-30T00:25:00"/>
    <x v="0"/>
    <x v="11"/>
    <x v="155"/>
    <n v="253.65"/>
    <n v="267"/>
    <x v="1"/>
  </r>
  <r>
    <s v="ORD1303213"/>
    <s v="CUST0050"/>
    <s v="Zomato"/>
    <x v="163"/>
    <d v="1899-12-30T21:20:00"/>
    <x v="0"/>
    <x v="278"/>
    <x v="156"/>
    <n v="572.4"/>
    <n v="636"/>
    <x v="1"/>
  </r>
  <r>
    <s v="ORD6753758"/>
    <s v="CUST0477"/>
    <s v="Swiggy"/>
    <x v="179"/>
    <d v="1899-12-30T19:30:00"/>
    <x v="0"/>
    <x v="195"/>
    <x v="0"/>
    <n v="495"/>
    <n v="495"/>
    <x v="0"/>
  </r>
  <r>
    <s v="ORD2318832"/>
    <s v="CUST0339"/>
    <s v="Direct"/>
    <x v="156"/>
    <d v="1899-12-30T19:02:00"/>
    <x v="0"/>
    <x v="279"/>
    <x v="0"/>
    <n v="217"/>
    <n v="217"/>
    <x v="0"/>
  </r>
  <r>
    <s v="ORD7969137"/>
    <s v="CUST0181"/>
    <s v="Swiggy"/>
    <x v="202"/>
    <d v="1899-12-30T17:39:00"/>
    <x v="0"/>
    <x v="52"/>
    <x v="15"/>
    <n v="319.2"/>
    <n v="336"/>
    <x v="1"/>
  </r>
  <r>
    <s v="ORD3669548"/>
    <s v="CUST0149"/>
    <s v="Zomato"/>
    <x v="135"/>
    <d v="1899-12-30T16:36:00"/>
    <x v="0"/>
    <x v="78"/>
    <x v="0"/>
    <n v="474"/>
    <n v="474"/>
    <x v="0"/>
  </r>
  <r>
    <s v="ORD7579577"/>
    <s v="CUST0258"/>
    <s v="Swiggy"/>
    <x v="86"/>
    <d v="1899-12-30T21:20:00"/>
    <x v="0"/>
    <x v="280"/>
    <x v="0"/>
    <n v="664"/>
    <n v="664"/>
    <x v="1"/>
  </r>
  <r>
    <s v="ORD8014552"/>
    <s v="CUST0465"/>
    <s v="Zomato"/>
    <x v="172"/>
    <d v="1899-12-30T17:43:00"/>
    <x v="0"/>
    <x v="86"/>
    <x v="0"/>
    <n v="159"/>
    <n v="159"/>
    <x v="2"/>
  </r>
  <r>
    <s v="ORD5193310"/>
    <s v="CUST0485"/>
    <s v="Zomato"/>
    <x v="17"/>
    <d v="1899-12-30T21:26:00"/>
    <x v="0"/>
    <x v="129"/>
    <x v="0"/>
    <n v="871"/>
    <n v="871"/>
    <x v="0"/>
  </r>
  <r>
    <s v="ORD5015044"/>
    <s v="CUST0189"/>
    <s v="Swiggy"/>
    <x v="178"/>
    <d v="1899-12-30T11:29:00"/>
    <x v="0"/>
    <x v="188"/>
    <x v="157"/>
    <n v="210.8"/>
    <n v="248"/>
    <x v="1"/>
  </r>
  <r>
    <s v="ORD8741111"/>
    <s v="CUST0124"/>
    <s v="Swiggy"/>
    <x v="303"/>
    <d v="1899-12-30T20:28:00"/>
    <x v="0"/>
    <x v="154"/>
    <x v="0"/>
    <n v="535"/>
    <n v="535"/>
    <x v="0"/>
  </r>
  <r>
    <s v="ORD8888801"/>
    <s v="CUST0209"/>
    <s v="Direct"/>
    <x v="292"/>
    <d v="1899-12-30T01:43:00"/>
    <x v="0"/>
    <x v="281"/>
    <x v="0"/>
    <n v="69"/>
    <n v="69"/>
    <x v="1"/>
  </r>
  <r>
    <s v="ORD9066612"/>
    <s v="CUST0366"/>
    <s v="Zomato"/>
    <x v="44"/>
    <d v="1899-12-30T01:34:00"/>
    <x v="0"/>
    <x v="31"/>
    <x v="0"/>
    <n v="386"/>
    <n v="386"/>
    <x v="0"/>
  </r>
  <r>
    <s v="ORD5404004"/>
    <s v="CUST0064"/>
    <s v="Zomato"/>
    <x v="31"/>
    <d v="1899-12-30T19:50:00"/>
    <x v="1"/>
    <x v="249"/>
    <x v="0"/>
    <n v="0"/>
    <n v="622"/>
    <x v="0"/>
  </r>
  <r>
    <s v="ORD5105861"/>
    <s v="CUST0461"/>
    <s v="Swiggy"/>
    <x v="135"/>
    <d v="1899-12-30T16:29:00"/>
    <x v="0"/>
    <x v="97"/>
    <x v="0"/>
    <n v="357"/>
    <n v="357"/>
    <x v="1"/>
  </r>
  <r>
    <s v="ORD7221849"/>
    <s v="CUST0014"/>
    <s v="Zomato"/>
    <x v="265"/>
    <d v="1899-12-30T20:18:00"/>
    <x v="0"/>
    <x v="191"/>
    <x v="0"/>
    <n v="257"/>
    <n v="257"/>
    <x v="0"/>
  </r>
  <r>
    <s v="ORD5904531"/>
    <s v="CUST0356"/>
    <s v="Zomato"/>
    <x v="154"/>
    <d v="1899-12-30T21:51:00"/>
    <x v="0"/>
    <x v="17"/>
    <x v="158"/>
    <n v="267.3"/>
    <n v="297"/>
    <x v="1"/>
  </r>
  <r>
    <s v="ORD3859007"/>
    <s v="CUST0245"/>
    <s v="Swiggy"/>
    <x v="10"/>
    <d v="1899-12-30T23:25:00"/>
    <x v="0"/>
    <x v="228"/>
    <x v="0"/>
    <n v="993"/>
    <n v="993"/>
    <x v="1"/>
  </r>
  <r>
    <s v="ORD6743965"/>
    <s v="CUST0343"/>
    <s v="Direct"/>
    <x v="9"/>
    <d v="1899-12-30T19:00:00"/>
    <x v="0"/>
    <x v="282"/>
    <x v="0"/>
    <n v="504"/>
    <n v="504"/>
    <x v="1"/>
  </r>
  <r>
    <s v="ORD9793246"/>
    <s v="CUST0007"/>
    <s v="Swiggy"/>
    <x v="113"/>
    <d v="1899-12-30T21:58:00"/>
    <x v="0"/>
    <x v="205"/>
    <x v="0"/>
    <n v="733"/>
    <n v="733"/>
    <x v="0"/>
  </r>
  <r>
    <s v="ORD9773624"/>
    <s v="CUST0029"/>
    <s v="Zomato"/>
    <x v="51"/>
    <d v="1899-12-30T16:51:00"/>
    <x v="0"/>
    <x v="283"/>
    <x v="159"/>
    <n v="620.35"/>
    <n v="653"/>
    <x v="1"/>
  </r>
  <r>
    <s v="ORD2532752"/>
    <s v="CUST0137"/>
    <s v="Swiggy"/>
    <x v="141"/>
    <d v="1899-12-30T16:38:00"/>
    <x v="0"/>
    <x v="54"/>
    <x v="0"/>
    <n v="178"/>
    <n v="178"/>
    <x v="2"/>
  </r>
  <r>
    <s v="ORD6349555"/>
    <s v="CUST0452"/>
    <s v="Swiggy"/>
    <x v="70"/>
    <d v="1899-12-30T16:34:00"/>
    <x v="0"/>
    <x v="70"/>
    <x v="0"/>
    <n v="317"/>
    <n v="317"/>
    <x v="0"/>
  </r>
  <r>
    <s v="ORD8426297"/>
    <s v="CUST0441"/>
    <s v="Direct"/>
    <x v="65"/>
    <d v="1899-12-30T20:27:00"/>
    <x v="0"/>
    <x v="97"/>
    <x v="0"/>
    <n v="357"/>
    <n v="357"/>
    <x v="1"/>
  </r>
  <r>
    <s v="ORD9928667"/>
    <s v="CUST0154"/>
    <s v="Zomato"/>
    <x v="37"/>
    <d v="1899-12-30T18:41:00"/>
    <x v="0"/>
    <x v="16"/>
    <x v="0"/>
    <n v="447"/>
    <n v="447"/>
    <x v="1"/>
  </r>
  <r>
    <s v="ORD2099905"/>
    <s v="CUST0254"/>
    <s v="Zomato"/>
    <x v="155"/>
    <d v="1899-12-30T20:30:00"/>
    <x v="0"/>
    <x v="104"/>
    <x v="38"/>
    <n v="621.29999999999995"/>
    <n v="654"/>
    <x v="2"/>
  </r>
  <r>
    <s v="ORD6034195"/>
    <s v="CUST0272"/>
    <s v="Zomato"/>
    <x v="304"/>
    <d v="1899-12-30T18:49:00"/>
    <x v="1"/>
    <x v="284"/>
    <x v="0"/>
    <n v="0"/>
    <n v="208"/>
    <x v="1"/>
  </r>
  <r>
    <s v="ORD7994575"/>
    <s v="CUST0243"/>
    <s v="Swiggy"/>
    <x v="226"/>
    <d v="1899-12-30T14:33:00"/>
    <x v="0"/>
    <x v="29"/>
    <x v="0"/>
    <n v="376"/>
    <n v="376"/>
    <x v="0"/>
  </r>
  <r>
    <s v="ORD7602542"/>
    <s v="CUST0158"/>
    <s v="Zomato"/>
    <x v="259"/>
    <d v="1899-12-30T14:28:00"/>
    <x v="0"/>
    <x v="39"/>
    <x v="134"/>
    <n v="71.099999999999994"/>
    <n v="79"/>
    <x v="1"/>
  </r>
  <r>
    <s v="ORD4392572"/>
    <s v="CUST0141"/>
    <s v="Zomato"/>
    <x v="140"/>
    <d v="1899-12-30T22:49:00"/>
    <x v="0"/>
    <x v="9"/>
    <x v="160"/>
    <n v="395.2"/>
    <n v="416"/>
    <x v="1"/>
  </r>
  <r>
    <s v="ORD5079175"/>
    <s v="CUST0141"/>
    <s v="Zomato"/>
    <x v="12"/>
    <d v="1899-12-30T19:54:00"/>
    <x v="0"/>
    <x v="285"/>
    <x v="161"/>
    <n v="1009.85"/>
    <n v="1063"/>
    <x v="1"/>
  </r>
  <r>
    <s v="ORD7291774"/>
    <s v="CUST0128"/>
    <s v="Zomato"/>
    <x v="196"/>
    <d v="1899-12-30T21:31:00"/>
    <x v="0"/>
    <x v="86"/>
    <x v="0"/>
    <n v="159"/>
    <n v="159"/>
    <x v="1"/>
  </r>
  <r>
    <s v="ORD7942032"/>
    <s v="CUST0384"/>
    <s v="Zomato"/>
    <x v="30"/>
    <d v="1899-12-30T17:56:00"/>
    <x v="0"/>
    <x v="63"/>
    <x v="0"/>
    <n v="635"/>
    <n v="635"/>
    <x v="2"/>
  </r>
  <r>
    <s v="ORD6267395"/>
    <s v="CUST0395"/>
    <s v="Zomato"/>
    <x v="305"/>
    <d v="1899-12-30T11:49:00"/>
    <x v="0"/>
    <x v="195"/>
    <x v="162"/>
    <n v="445.5"/>
    <n v="495"/>
    <x v="1"/>
  </r>
  <r>
    <s v="ORD8169423"/>
    <s v="CUST0062"/>
    <s v="Swiggy"/>
    <x v="306"/>
    <d v="1899-12-30T09:08:00"/>
    <x v="0"/>
    <x v="286"/>
    <x v="0"/>
    <n v="582"/>
    <n v="582"/>
    <x v="0"/>
  </r>
  <r>
    <s v="ORD2125910"/>
    <s v="CUST0145"/>
    <s v="Swiggy"/>
    <x v="307"/>
    <d v="1899-12-30T20:31:00"/>
    <x v="0"/>
    <x v="88"/>
    <x v="0"/>
    <n v="683"/>
    <n v="683"/>
    <x v="1"/>
  </r>
  <r>
    <s v="ORD5645022"/>
    <s v="CUST0351"/>
    <s v="Zomato"/>
    <x v="166"/>
    <d v="1899-12-30T10:49:00"/>
    <x v="0"/>
    <x v="70"/>
    <x v="0"/>
    <n v="317"/>
    <n v="317"/>
    <x v="2"/>
  </r>
  <r>
    <s v="ORD1360433"/>
    <s v="CUST0420"/>
    <s v="Direct"/>
    <x v="225"/>
    <d v="1899-12-30T21:47:00"/>
    <x v="0"/>
    <x v="54"/>
    <x v="0"/>
    <n v="178"/>
    <n v="178"/>
    <x v="0"/>
  </r>
  <r>
    <s v="ORD4361005"/>
    <s v="CUST0235"/>
    <s v="Swiggy"/>
    <x v="308"/>
    <d v="1899-12-30T14:34:00"/>
    <x v="0"/>
    <x v="63"/>
    <x v="0"/>
    <n v="635"/>
    <n v="635"/>
    <x v="0"/>
  </r>
  <r>
    <s v="ORD4860502"/>
    <s v="CUST0168"/>
    <s v="Direct"/>
    <x v="309"/>
    <d v="1899-12-30T18:04:00"/>
    <x v="0"/>
    <x v="287"/>
    <x v="0"/>
    <n v="295"/>
    <n v="295"/>
    <x v="1"/>
  </r>
  <r>
    <s v="ORD1426542"/>
    <s v="CUST0428"/>
    <s v="Direct"/>
    <x v="202"/>
    <d v="1899-12-30T22:07:00"/>
    <x v="0"/>
    <x v="143"/>
    <x v="0"/>
    <n v="833"/>
    <n v="833"/>
    <x v="1"/>
  </r>
  <r>
    <s v="ORD3019277"/>
    <s v="CUST0084"/>
    <s v="Swiggy"/>
    <x v="152"/>
    <d v="1899-12-30T20:07:00"/>
    <x v="0"/>
    <x v="262"/>
    <x v="0"/>
    <n v="266"/>
    <n v="266"/>
    <x v="1"/>
  </r>
  <r>
    <s v="ORD7716059"/>
    <s v="CUST0195"/>
    <s v="Swiggy"/>
    <x v="92"/>
    <d v="1899-12-30T09:00:00"/>
    <x v="0"/>
    <x v="29"/>
    <x v="163"/>
    <n v="338.4"/>
    <n v="376"/>
    <x v="1"/>
  </r>
  <r>
    <s v="ORD8908133"/>
    <s v="CUST0415"/>
    <s v="Zomato"/>
    <x v="123"/>
    <d v="1899-12-30T01:41:00"/>
    <x v="0"/>
    <x v="26"/>
    <x v="0"/>
    <n v="515"/>
    <n v="515"/>
    <x v="1"/>
  </r>
  <r>
    <s v="ORD7236158"/>
    <s v="CUST0379"/>
    <s v="Swiggy"/>
    <x v="70"/>
    <d v="1899-12-30T17:55:00"/>
    <x v="1"/>
    <x v="288"/>
    <x v="164"/>
    <n v="0"/>
    <n v="851"/>
    <x v="1"/>
  </r>
  <r>
    <s v="ORD7772195"/>
    <s v="CUST0255"/>
    <s v="Zomato"/>
    <x v="229"/>
    <d v="1899-12-30T11:01:00"/>
    <x v="0"/>
    <x v="176"/>
    <x v="0"/>
    <n v="872"/>
    <n v="872"/>
    <x v="1"/>
  </r>
  <r>
    <s v="ORD2679655"/>
    <s v="CUST0269"/>
    <s v="Zomato"/>
    <x v="291"/>
    <d v="1899-12-30T20:46:00"/>
    <x v="0"/>
    <x v="289"/>
    <x v="0"/>
    <n v="424"/>
    <n v="424"/>
    <x v="1"/>
  </r>
  <r>
    <s v="ORD1012106"/>
    <s v="CUST0439"/>
    <s v="Swiggy"/>
    <x v="103"/>
    <d v="1899-12-30T22:08:00"/>
    <x v="0"/>
    <x v="49"/>
    <x v="0"/>
    <n v="277"/>
    <n v="277"/>
    <x v="1"/>
  </r>
  <r>
    <s v="ORD4293151"/>
    <s v="CUST0426"/>
    <s v="Direct"/>
    <x v="61"/>
    <d v="1899-12-30T19:47:00"/>
    <x v="0"/>
    <x v="54"/>
    <x v="165"/>
    <n v="169.1"/>
    <n v="178"/>
    <x v="1"/>
  </r>
  <r>
    <s v="ORD4097522"/>
    <s v="CUST0128"/>
    <s v="Zomato"/>
    <x v="233"/>
    <d v="1899-12-30T20:06:00"/>
    <x v="0"/>
    <x v="124"/>
    <x v="0"/>
    <n v="456"/>
    <n v="456"/>
    <x v="1"/>
  </r>
  <r>
    <s v="ORD1574205"/>
    <s v="CUST0339"/>
    <s v="Zomato"/>
    <x v="70"/>
    <d v="1899-12-30T19:23:00"/>
    <x v="0"/>
    <x v="282"/>
    <x v="0"/>
    <n v="504"/>
    <n v="504"/>
    <x v="0"/>
  </r>
  <r>
    <s v="ORD7805792"/>
    <s v="CUST0322"/>
    <s v="Direct"/>
    <x v="29"/>
    <d v="1899-12-30T18:12:00"/>
    <x v="0"/>
    <x v="63"/>
    <x v="0"/>
    <n v="635"/>
    <n v="635"/>
    <x v="0"/>
  </r>
  <r>
    <s v="ORD2619058"/>
    <s v="CUST0282"/>
    <s v="Zomato"/>
    <x v="277"/>
    <d v="1899-12-30T19:49:00"/>
    <x v="0"/>
    <x v="9"/>
    <x v="0"/>
    <n v="416"/>
    <n v="416"/>
    <x v="1"/>
  </r>
  <r>
    <s v="ORD6151115"/>
    <s v="CUST0065"/>
    <s v="Direct"/>
    <x v="43"/>
    <d v="1899-12-30T21:18:00"/>
    <x v="0"/>
    <x v="37"/>
    <x v="0"/>
    <n v="455"/>
    <n v="455"/>
    <x v="0"/>
  </r>
  <r>
    <s v="ORD1280502"/>
    <s v="CUST0431"/>
    <s v="Swiggy"/>
    <x v="232"/>
    <d v="1899-12-30T12:09:00"/>
    <x v="0"/>
    <x v="163"/>
    <x v="0"/>
    <n v="882"/>
    <n v="882"/>
    <x v="1"/>
  </r>
  <r>
    <s v="ORD3778902"/>
    <s v="CUST0192"/>
    <s v="Zomato"/>
    <x v="123"/>
    <d v="1899-12-30T23:10:00"/>
    <x v="1"/>
    <x v="75"/>
    <x v="166"/>
    <n v="0"/>
    <n v="634"/>
    <x v="1"/>
  </r>
  <r>
    <s v="ORD8067639"/>
    <s v="CUST0200"/>
    <s v="Direct"/>
    <x v="310"/>
    <d v="1899-12-30T19:18:00"/>
    <x v="0"/>
    <x v="54"/>
    <x v="0"/>
    <n v="178"/>
    <n v="178"/>
    <x v="1"/>
  </r>
  <r>
    <s v="ORD7884958"/>
    <s v="CUST0035"/>
    <s v="Zomato"/>
    <x v="215"/>
    <d v="1899-12-30T00:38:00"/>
    <x v="0"/>
    <x v="290"/>
    <x v="0"/>
    <n v="893"/>
    <n v="893"/>
    <x v="0"/>
  </r>
  <r>
    <s v="ORD6878859"/>
    <s v="CUST0100"/>
    <s v="Zomato"/>
    <x v="55"/>
    <d v="1899-12-30T19:37:00"/>
    <x v="0"/>
    <x v="191"/>
    <x v="0"/>
    <n v="257"/>
    <n v="257"/>
    <x v="2"/>
  </r>
  <r>
    <s v="ORD1180674"/>
    <s v="CUST0142"/>
    <s v="Swiggy"/>
    <x v="223"/>
    <d v="1899-12-30T17:43:00"/>
    <x v="0"/>
    <x v="291"/>
    <x v="0"/>
    <n v="695"/>
    <n v="695"/>
    <x v="0"/>
  </r>
  <r>
    <s v="ORD1687389"/>
    <s v="CUST0449"/>
    <s v="Zomato"/>
    <x v="166"/>
    <d v="1899-12-30T21:21:00"/>
    <x v="0"/>
    <x v="292"/>
    <x v="167"/>
    <n v="875.9"/>
    <n v="922"/>
    <x v="1"/>
  </r>
  <r>
    <s v="ORD9296866"/>
    <s v="CUST0186"/>
    <s v="Zomato"/>
    <x v="176"/>
    <d v="1899-12-30T00:55:00"/>
    <x v="0"/>
    <x v="293"/>
    <x v="0"/>
    <n v="437"/>
    <n v="437"/>
    <x v="1"/>
  </r>
  <r>
    <s v="ORD6983783"/>
    <s v="CUST0429"/>
    <s v="Zomato"/>
    <x v="171"/>
    <d v="1899-12-30T19:42:00"/>
    <x v="0"/>
    <x v="201"/>
    <x v="0"/>
    <n v="318"/>
    <n v="318"/>
    <x v="1"/>
  </r>
  <r>
    <s v="ORD9184965"/>
    <s v="CUST0400"/>
    <s v="Swiggy"/>
    <x v="167"/>
    <d v="1899-12-30T18:06:00"/>
    <x v="0"/>
    <x v="180"/>
    <x v="85"/>
    <n v="362.95"/>
    <n v="427"/>
    <x v="1"/>
  </r>
  <r>
    <s v="ORD8077121"/>
    <s v="CUST0123"/>
    <s v="Zomato"/>
    <x v="15"/>
    <d v="1899-12-30T16:48:00"/>
    <x v="0"/>
    <x v="60"/>
    <x v="168"/>
    <n v="732.6"/>
    <n v="814"/>
    <x v="0"/>
  </r>
  <r>
    <s v="ORD4032275"/>
    <s v="CUST0465"/>
    <s v="Zomato"/>
    <x v="19"/>
    <d v="1899-12-30T19:42:00"/>
    <x v="0"/>
    <x v="294"/>
    <x v="0"/>
    <n v="543"/>
    <n v="543"/>
    <x v="2"/>
  </r>
  <r>
    <s v="ORD6444414"/>
    <s v="CUST0229"/>
    <s v="Swiggy"/>
    <x v="283"/>
    <d v="1899-12-30T17:17:00"/>
    <x v="0"/>
    <x v="295"/>
    <x v="0"/>
    <n v="973"/>
    <n v="973"/>
    <x v="1"/>
  </r>
  <r>
    <s v="ORD6599618"/>
    <s v="CUST0256"/>
    <s v="Direct"/>
    <x v="88"/>
    <d v="1899-12-30T11:54:00"/>
    <x v="0"/>
    <x v="94"/>
    <x v="0"/>
    <n v="694"/>
    <n v="694"/>
    <x v="1"/>
  </r>
  <r>
    <s v="ORD9144342"/>
    <s v="CUST0196"/>
    <s v="Zomato"/>
    <x v="215"/>
    <d v="1899-12-30T17:48:00"/>
    <x v="0"/>
    <x v="47"/>
    <x v="13"/>
    <n v="188.1"/>
    <n v="198"/>
    <x v="1"/>
  </r>
  <r>
    <s v="ORD3984802"/>
    <s v="CUST0329"/>
    <s v="Swiggy"/>
    <x v="311"/>
    <d v="1899-12-30T20:44:00"/>
    <x v="0"/>
    <x v="296"/>
    <x v="169"/>
    <n v="927.9"/>
    <n v="1031"/>
    <x v="1"/>
  </r>
  <r>
    <s v="ORD5931029"/>
    <s v="CUST0433"/>
    <s v="Direct"/>
    <x v="96"/>
    <d v="1899-12-30T19:06:00"/>
    <x v="1"/>
    <x v="37"/>
    <x v="0"/>
    <n v="0"/>
    <n v="455"/>
    <x v="2"/>
  </r>
  <r>
    <s v="ORD4623343"/>
    <s v="CUST0449"/>
    <s v="Zomato"/>
    <x v="170"/>
    <d v="1899-12-30T12:15:00"/>
    <x v="0"/>
    <x v="50"/>
    <x v="13"/>
    <n v="89.1"/>
    <n v="99"/>
    <x v="1"/>
  </r>
  <r>
    <s v="ORD9700184"/>
    <s v="CUST0099"/>
    <s v="Zomato"/>
    <x v="261"/>
    <d v="1899-12-30T20:36:00"/>
    <x v="1"/>
    <x v="34"/>
    <x v="52"/>
    <n v="0"/>
    <n v="228"/>
    <x v="2"/>
  </r>
  <r>
    <s v="ORD4937710"/>
    <s v="CUST0461"/>
    <s v="Direct"/>
    <x v="312"/>
    <d v="1899-12-30T18:23:00"/>
    <x v="0"/>
    <x v="220"/>
    <x v="0"/>
    <n v="832"/>
    <n v="832"/>
    <x v="1"/>
  </r>
  <r>
    <s v="ORD2758380"/>
    <s v="CUST0244"/>
    <s v="Swiggy"/>
    <x v="135"/>
    <d v="1899-12-30T23:45:00"/>
    <x v="1"/>
    <x v="176"/>
    <x v="0"/>
    <n v="0"/>
    <n v="872"/>
    <x v="1"/>
  </r>
  <r>
    <s v="ORD8317957"/>
    <s v="CUST0225"/>
    <s v="Zomato"/>
    <x v="227"/>
    <d v="1899-12-30T22:39:00"/>
    <x v="0"/>
    <x v="131"/>
    <x v="0"/>
    <n v="485"/>
    <n v="485"/>
    <x v="1"/>
  </r>
  <r>
    <s v="ORD1462664"/>
    <s v="CUST0486"/>
    <s v="Direct"/>
    <x v="206"/>
    <d v="1899-12-30T00:16:00"/>
    <x v="1"/>
    <x v="82"/>
    <x v="0"/>
    <n v="0"/>
    <n v="554"/>
    <x v="1"/>
  </r>
  <r>
    <s v="ORD9522069"/>
    <s v="CUST0292"/>
    <s v="Swiggy"/>
    <x v="313"/>
    <d v="1899-12-30T14:14:00"/>
    <x v="0"/>
    <x v="188"/>
    <x v="0"/>
    <n v="248"/>
    <n v="248"/>
    <x v="1"/>
  </r>
  <r>
    <s v="ORD9888098"/>
    <s v="CUST0037"/>
    <s v="Swiggy"/>
    <x v="85"/>
    <d v="1899-12-30T16:49:00"/>
    <x v="0"/>
    <x v="166"/>
    <x v="0"/>
    <n v="705"/>
    <n v="705"/>
    <x v="1"/>
  </r>
  <r>
    <s v="ORD7500351"/>
    <s v="CUST0485"/>
    <s v="Zomato"/>
    <x v="170"/>
    <d v="1899-12-30T16:06:00"/>
    <x v="0"/>
    <x v="159"/>
    <x v="0"/>
    <n v="258"/>
    <n v="258"/>
    <x v="0"/>
  </r>
  <r>
    <s v="ORD4802391"/>
    <s v="CUST0134"/>
    <s v="Zomato"/>
    <x v="239"/>
    <d v="1899-12-30T16:11:00"/>
    <x v="0"/>
    <x v="134"/>
    <x v="170"/>
    <n v="1125.9000000000001"/>
    <n v="1251"/>
    <x v="1"/>
  </r>
  <r>
    <s v="ORD6138255"/>
    <s v="CUST0003"/>
    <s v="Zomato"/>
    <x v="135"/>
    <d v="1899-12-30T20:00:00"/>
    <x v="0"/>
    <x v="297"/>
    <x v="171"/>
    <n v="985.15"/>
    <n v="1159"/>
    <x v="1"/>
  </r>
  <r>
    <s v="ORD3977821"/>
    <s v="CUST0457"/>
    <s v="Zomato"/>
    <x v="146"/>
    <d v="1899-12-30T20:11:00"/>
    <x v="0"/>
    <x v="17"/>
    <x v="0"/>
    <n v="297"/>
    <n v="297"/>
    <x v="1"/>
  </r>
  <r>
    <s v="ORD4026890"/>
    <s v="CUST0150"/>
    <s v="Zomato"/>
    <x v="232"/>
    <d v="1899-12-30T13:59:00"/>
    <x v="1"/>
    <x v="173"/>
    <x v="0"/>
    <n v="0"/>
    <n v="903"/>
    <x v="1"/>
  </r>
  <r>
    <s v="ORD2952559"/>
    <s v="CUST0200"/>
    <s v="Swiggy"/>
    <x v="213"/>
    <d v="1899-12-30T23:53:00"/>
    <x v="0"/>
    <x v="50"/>
    <x v="0"/>
    <n v="99"/>
    <n v="99"/>
    <x v="1"/>
  </r>
  <r>
    <s v="ORD9060167"/>
    <s v="CUST0031"/>
    <s v="Direct"/>
    <x v="65"/>
    <d v="1899-12-30T09:22:00"/>
    <x v="1"/>
    <x v="47"/>
    <x v="0"/>
    <n v="0"/>
    <n v="198"/>
    <x v="1"/>
  </r>
  <r>
    <s v="ORD4371081"/>
    <s v="CUST0202"/>
    <s v="Swiggy"/>
    <x v="314"/>
    <d v="1899-12-30T20:33:00"/>
    <x v="0"/>
    <x v="190"/>
    <x v="0"/>
    <n v="475"/>
    <n v="475"/>
    <x v="1"/>
  </r>
  <r>
    <s v="ORD7523126"/>
    <s v="CUST0288"/>
    <s v="Zomato"/>
    <x v="251"/>
    <d v="1899-12-30T16:20:00"/>
    <x v="0"/>
    <x v="8"/>
    <x v="0"/>
    <n v="387"/>
    <n v="387"/>
    <x v="0"/>
  </r>
  <r>
    <s v="ORD3908477"/>
    <s v="CUST0461"/>
    <s v="Swiggy"/>
    <x v="68"/>
    <d v="1899-12-30T20:47:00"/>
    <x v="0"/>
    <x v="88"/>
    <x v="0"/>
    <n v="683"/>
    <n v="683"/>
    <x v="1"/>
  </r>
  <r>
    <s v="ORD1750288"/>
    <s v="CUST0092"/>
    <s v="Swiggy"/>
    <x v="307"/>
    <d v="1899-12-30T23:54:00"/>
    <x v="0"/>
    <x v="83"/>
    <x v="0"/>
    <n v="316"/>
    <n v="316"/>
    <x v="2"/>
  </r>
  <r>
    <s v="ORD1758898"/>
    <s v="CUST0328"/>
    <s v="Swiggy"/>
    <x v="6"/>
    <d v="1899-12-30T17:36:00"/>
    <x v="0"/>
    <x v="34"/>
    <x v="0"/>
    <n v="228"/>
    <n v="228"/>
    <x v="1"/>
  </r>
  <r>
    <s v="ORD7743748"/>
    <s v="CUST0117"/>
    <s v="Zomato"/>
    <x v="267"/>
    <d v="1899-12-30T15:52:00"/>
    <x v="0"/>
    <x v="298"/>
    <x v="172"/>
    <n v="679.5"/>
    <n v="755"/>
    <x v="2"/>
  </r>
  <r>
    <s v="ORD7939725"/>
    <s v="CUST0354"/>
    <s v="Zomato"/>
    <x v="315"/>
    <d v="1899-12-30T13:26:00"/>
    <x v="0"/>
    <x v="2"/>
    <x v="0"/>
    <n v="356"/>
    <n v="356"/>
    <x v="1"/>
  </r>
  <r>
    <s v="ORD2183202"/>
    <s v="CUST0340"/>
    <s v="Swiggy"/>
    <x v="189"/>
    <d v="1899-12-30T22:08:00"/>
    <x v="0"/>
    <x v="6"/>
    <x v="0"/>
    <n v="158"/>
    <n v="158"/>
    <x v="1"/>
  </r>
  <r>
    <s v="ORD7680763"/>
    <s v="CUST0367"/>
    <s v="Direct"/>
    <x v="37"/>
    <d v="1899-12-30T13:43:00"/>
    <x v="0"/>
    <x v="163"/>
    <x v="0"/>
    <n v="882"/>
    <n v="882"/>
    <x v="1"/>
  </r>
  <r>
    <s v="ORD2834486"/>
    <s v="CUST0019"/>
    <s v="Zomato"/>
    <x v="0"/>
    <d v="1899-12-30T17:33:00"/>
    <x v="0"/>
    <x v="117"/>
    <x v="0"/>
    <n v="684"/>
    <n v="684"/>
    <x v="1"/>
  </r>
  <r>
    <s v="ORD9449329"/>
    <s v="CUST0306"/>
    <s v="Swiggy"/>
    <x v="115"/>
    <d v="1899-12-30T17:28:00"/>
    <x v="0"/>
    <x v="154"/>
    <x v="0"/>
    <n v="535"/>
    <n v="535"/>
    <x v="1"/>
  </r>
  <r>
    <s v="ORD5895685"/>
    <s v="CUST0195"/>
    <s v="Zomato"/>
    <x v="303"/>
    <d v="1899-12-30T09:25:00"/>
    <x v="0"/>
    <x v="48"/>
    <x v="165"/>
    <n v="80.099999999999994"/>
    <n v="89"/>
    <x v="1"/>
  </r>
  <r>
    <s v="ORD3702775"/>
    <s v="CUST0271"/>
    <s v="Zomato"/>
    <x v="276"/>
    <d v="1899-12-30T17:38:00"/>
    <x v="0"/>
    <x v="89"/>
    <x v="0"/>
    <n v="395"/>
    <n v="395"/>
    <x v="2"/>
  </r>
  <r>
    <s v="ORD1057394"/>
    <s v="CUST0120"/>
    <s v="Zomato"/>
    <x v="133"/>
    <d v="1899-12-30T16:43:00"/>
    <x v="0"/>
    <x v="54"/>
    <x v="0"/>
    <n v="178"/>
    <n v="178"/>
    <x v="1"/>
  </r>
  <r>
    <s v="ORD8993139"/>
    <s v="CUST0011"/>
    <s v="Swiggy"/>
    <x v="70"/>
    <d v="1899-12-30T20:04:00"/>
    <x v="0"/>
    <x v="96"/>
    <x v="0"/>
    <n v="853"/>
    <n v="853"/>
    <x v="0"/>
  </r>
  <r>
    <s v="ORD4755409"/>
    <s v="CUST0275"/>
    <s v="Direct"/>
    <x v="256"/>
    <d v="1899-12-30T17:29:00"/>
    <x v="0"/>
    <x v="1"/>
    <x v="0"/>
    <n v="238"/>
    <n v="238"/>
    <x v="0"/>
  </r>
  <r>
    <s v="ORD4808186"/>
    <s v="CUST0022"/>
    <s v="Zomato"/>
    <x v="297"/>
    <d v="1899-12-30T18:09:00"/>
    <x v="0"/>
    <x v="139"/>
    <x v="0"/>
    <n v="715"/>
    <n v="715"/>
    <x v="2"/>
  </r>
  <r>
    <s v="ORD7692147"/>
    <s v="CUST0173"/>
    <s v="Zomato"/>
    <x v="257"/>
    <d v="1899-12-30T22:23:00"/>
    <x v="0"/>
    <x v="239"/>
    <x v="0"/>
    <n v="326"/>
    <n v="326"/>
    <x v="0"/>
  </r>
  <r>
    <s v="ORD7288379"/>
    <s v="CUST0392"/>
    <s v="Swiggy"/>
    <x v="3"/>
    <d v="1899-12-30T23:55:00"/>
    <x v="0"/>
    <x v="191"/>
    <x v="0"/>
    <n v="257"/>
    <n v="257"/>
    <x v="1"/>
  </r>
  <r>
    <s v="ORD3629314"/>
    <s v="CUST0112"/>
    <s v="Zomato"/>
    <x v="143"/>
    <d v="1899-12-30T16:12:00"/>
    <x v="0"/>
    <x v="299"/>
    <x v="0"/>
    <n v="880"/>
    <n v="880"/>
    <x v="1"/>
  </r>
  <r>
    <s v="ORD5122136"/>
    <s v="CUST0211"/>
    <s v="Zomato"/>
    <x v="95"/>
    <d v="1899-12-30T17:09:00"/>
    <x v="0"/>
    <x v="18"/>
    <x v="173"/>
    <n v="726.75"/>
    <n v="765"/>
    <x v="2"/>
  </r>
  <r>
    <s v="ORD6984371"/>
    <s v="CUST0437"/>
    <s v="Zomato"/>
    <x v="151"/>
    <d v="1899-12-30T16:21:00"/>
    <x v="0"/>
    <x v="224"/>
    <x v="174"/>
    <n v="569.70000000000005"/>
    <n v="633"/>
    <x v="0"/>
  </r>
  <r>
    <s v="ORD3681207"/>
    <s v="CUST0052"/>
    <s v="Swiggy"/>
    <x v="112"/>
    <d v="1899-12-30T13:19:00"/>
    <x v="0"/>
    <x v="150"/>
    <x v="0"/>
    <n v="237"/>
    <n v="237"/>
    <x v="1"/>
  </r>
  <r>
    <s v="ORD8464248"/>
    <s v="CUST0340"/>
    <s v="Direct"/>
    <x v="209"/>
    <d v="1899-12-30T17:07:00"/>
    <x v="0"/>
    <x v="5"/>
    <x v="0"/>
    <n v="188"/>
    <n v="188"/>
    <x v="1"/>
  </r>
  <r>
    <s v="ORD1333139"/>
    <s v="CUST0094"/>
    <s v="Zomato"/>
    <x v="316"/>
    <d v="1899-12-30T00:36:00"/>
    <x v="0"/>
    <x v="49"/>
    <x v="0"/>
    <n v="277"/>
    <n v="277"/>
    <x v="0"/>
  </r>
  <r>
    <s v="ORD2393728"/>
    <s v="CUST0325"/>
    <s v="Zomato"/>
    <x v="42"/>
    <d v="1899-12-30T01:12:00"/>
    <x v="0"/>
    <x v="155"/>
    <x v="0"/>
    <n v="415"/>
    <n v="415"/>
    <x v="1"/>
  </r>
  <r>
    <s v="ORD1872600"/>
    <s v="CUST0164"/>
    <s v="Direct"/>
    <x v="248"/>
    <d v="1899-12-30T16:31:00"/>
    <x v="0"/>
    <x v="300"/>
    <x v="175"/>
    <n v="619.4"/>
    <n v="652"/>
    <x v="1"/>
  </r>
  <r>
    <s v="ORD6078638"/>
    <s v="CUST0377"/>
    <s v="Swiggy"/>
    <x v="172"/>
    <d v="1899-12-30T20:00:00"/>
    <x v="0"/>
    <x v="153"/>
    <x v="0"/>
    <n v="327"/>
    <n v="327"/>
    <x v="1"/>
  </r>
  <r>
    <s v="ORD6808928"/>
    <s v="CUST0363"/>
    <s v="Zomato"/>
    <x v="184"/>
    <d v="1899-12-30T19:26:00"/>
    <x v="0"/>
    <x v="141"/>
    <x v="0"/>
    <n v="773"/>
    <n v="773"/>
    <x v="0"/>
  </r>
  <r>
    <s v="ORD2248470"/>
    <s v="CUST0391"/>
    <s v="Zomato"/>
    <x v="92"/>
    <d v="1899-12-30T17:51:00"/>
    <x v="0"/>
    <x v="198"/>
    <x v="158"/>
    <n v="564.29999999999995"/>
    <n v="594"/>
    <x v="1"/>
  </r>
  <r>
    <s v="ORD3621335"/>
    <s v="CUST0466"/>
    <s v="Swiggy"/>
    <x v="259"/>
    <d v="1899-12-30T14:55:00"/>
    <x v="1"/>
    <x v="122"/>
    <x v="75"/>
    <n v="0"/>
    <n v="496"/>
    <x v="1"/>
  </r>
  <r>
    <s v="ORD2536556"/>
    <s v="CUST0042"/>
    <s v="Zomato"/>
    <x v="48"/>
    <d v="1899-12-30T21:59:00"/>
    <x v="0"/>
    <x v="66"/>
    <x v="0"/>
    <n v="307"/>
    <n v="307"/>
    <x v="0"/>
  </r>
  <r>
    <s v="ORD5832903"/>
    <s v="CUST0362"/>
    <s v="Zomato"/>
    <x v="131"/>
    <d v="1899-12-30T22:38:00"/>
    <x v="1"/>
    <x v="28"/>
    <x v="176"/>
    <n v="0"/>
    <n v="366"/>
    <x v="1"/>
  </r>
  <r>
    <s v="ORD4820432"/>
    <s v="CUST0096"/>
    <s v="Swiggy"/>
    <x v="209"/>
    <d v="1899-12-30T10:12:00"/>
    <x v="0"/>
    <x v="70"/>
    <x v="0"/>
    <n v="317"/>
    <n v="317"/>
    <x v="2"/>
  </r>
  <r>
    <s v="ORD5222291"/>
    <s v="CUST0004"/>
    <s v="Swiggy"/>
    <x v="171"/>
    <d v="1899-12-30T17:33:00"/>
    <x v="0"/>
    <x v="190"/>
    <x v="0"/>
    <n v="475"/>
    <n v="475"/>
    <x v="1"/>
  </r>
  <r>
    <s v="ORD6341832"/>
    <s v="CUST0382"/>
    <s v="Swiggy"/>
    <x v="161"/>
    <d v="1899-12-30T22:00:00"/>
    <x v="1"/>
    <x v="301"/>
    <x v="0"/>
    <n v="0"/>
    <n v="1072"/>
    <x v="1"/>
  </r>
  <r>
    <s v="ORD6259232"/>
    <s v="CUST0154"/>
    <s v="Swiggy"/>
    <x v="76"/>
    <d v="1899-12-30T14:31:00"/>
    <x v="0"/>
    <x v="230"/>
    <x v="0"/>
    <n v="1109"/>
    <n v="1109"/>
    <x v="1"/>
  </r>
  <r>
    <s v="ORD7468693"/>
    <s v="CUST0073"/>
    <s v="Swiggy"/>
    <x v="124"/>
    <d v="1899-12-30T22:09:00"/>
    <x v="0"/>
    <x v="153"/>
    <x v="0"/>
    <n v="327"/>
    <n v="327"/>
    <x v="0"/>
  </r>
  <r>
    <s v="ORD8923681"/>
    <s v="CUST0049"/>
    <s v="Zomato"/>
    <x v="240"/>
    <d v="1899-12-30T17:13:00"/>
    <x v="0"/>
    <x v="227"/>
    <x v="0"/>
    <n v="536"/>
    <n v="536"/>
    <x v="1"/>
  </r>
  <r>
    <s v="ORD3681345"/>
    <s v="CUST0256"/>
    <s v="Zomato"/>
    <x v="147"/>
    <d v="1899-12-30T20:46:00"/>
    <x v="0"/>
    <x v="29"/>
    <x v="0"/>
    <n v="376"/>
    <n v="376"/>
    <x v="1"/>
  </r>
  <r>
    <s v="ORD6211203"/>
    <s v="CUST0324"/>
    <s v="Zomato"/>
    <x v="312"/>
    <d v="1899-12-30T16:19:00"/>
    <x v="1"/>
    <x v="49"/>
    <x v="148"/>
    <n v="0"/>
    <n v="277"/>
    <x v="0"/>
  </r>
  <r>
    <s v="ORD5129038"/>
    <s v="CUST0229"/>
    <s v="Zomato"/>
    <x v="114"/>
    <d v="1899-12-30T10:01:00"/>
    <x v="0"/>
    <x v="302"/>
    <x v="0"/>
    <n v="1013"/>
    <n v="1013"/>
    <x v="1"/>
  </r>
  <r>
    <s v="ORD4840752"/>
    <s v="CUST0401"/>
    <s v="Swiggy"/>
    <x v="94"/>
    <d v="1899-12-30T11:20:00"/>
    <x v="1"/>
    <x v="303"/>
    <x v="0"/>
    <n v="0"/>
    <n v="891"/>
    <x v="2"/>
  </r>
  <r>
    <s v="ORD5462862"/>
    <s v="CUST0237"/>
    <s v="Swiggy"/>
    <x v="42"/>
    <d v="1899-12-30T20:31:00"/>
    <x v="0"/>
    <x v="188"/>
    <x v="0"/>
    <n v="248"/>
    <n v="248"/>
    <x v="1"/>
  </r>
  <r>
    <s v="ORD9095897"/>
    <s v="CUST0168"/>
    <s v="Zomato"/>
    <x v="275"/>
    <d v="1899-12-30T21:00:00"/>
    <x v="0"/>
    <x v="246"/>
    <x v="0"/>
    <n v="613"/>
    <n v="613"/>
    <x v="1"/>
  </r>
  <r>
    <s v="ORD2016077"/>
    <s v="CUST0062"/>
    <s v="Zomato"/>
    <x v="83"/>
    <d v="1899-12-30T20:38:00"/>
    <x v="0"/>
    <x v="186"/>
    <x v="0"/>
    <n v="614"/>
    <n v="614"/>
    <x v="0"/>
  </r>
  <r>
    <s v="ORD8800390"/>
    <s v="CUST0216"/>
    <s v="Zomato"/>
    <x v="235"/>
    <d v="1899-12-30T21:48:00"/>
    <x v="0"/>
    <x v="5"/>
    <x v="0"/>
    <n v="188"/>
    <n v="188"/>
    <x v="1"/>
  </r>
  <r>
    <s v="ORD3156470"/>
    <s v="CUST0146"/>
    <s v="Zomato"/>
    <x v="218"/>
    <d v="1899-12-30T20:29:00"/>
    <x v="0"/>
    <x v="123"/>
    <x v="0"/>
    <n v="713"/>
    <n v="713"/>
    <x v="1"/>
  </r>
  <r>
    <s v="ORD1660711"/>
    <s v="CUST0145"/>
    <s v="Zomato"/>
    <x v="189"/>
    <d v="1899-12-30T16:41:00"/>
    <x v="0"/>
    <x v="86"/>
    <x v="30"/>
    <n v="151.05000000000001"/>
    <n v="159"/>
    <x v="1"/>
  </r>
  <r>
    <s v="ORD7045114"/>
    <s v="CUST0121"/>
    <s v="Zomato"/>
    <x v="255"/>
    <d v="1899-12-30T17:45:00"/>
    <x v="0"/>
    <x v="101"/>
    <x v="0"/>
    <n v="436"/>
    <n v="436"/>
    <x v="1"/>
  </r>
  <r>
    <s v="ORD4477154"/>
    <s v="CUST0422"/>
    <s v="Zomato"/>
    <x v="95"/>
    <d v="1899-12-30T17:35:00"/>
    <x v="0"/>
    <x v="264"/>
    <x v="0"/>
    <n v="288"/>
    <n v="288"/>
    <x v="1"/>
  </r>
  <r>
    <s v="ORD4674225"/>
    <s v="CUST0246"/>
    <s v="Zomato"/>
    <x v="182"/>
    <d v="1899-12-30T21:14:00"/>
    <x v="0"/>
    <x v="304"/>
    <x v="177"/>
    <n v="440.8"/>
    <n v="464"/>
    <x v="0"/>
  </r>
  <r>
    <s v="ORD1604073"/>
    <s v="CUST0021"/>
    <s v="Zomato"/>
    <x v="317"/>
    <d v="1899-12-30T23:04:00"/>
    <x v="0"/>
    <x v="305"/>
    <x v="0"/>
    <n v="675"/>
    <n v="675"/>
    <x v="1"/>
  </r>
  <r>
    <s v="ORD5721396"/>
    <s v="CUST0004"/>
    <s v="Direct"/>
    <x v="43"/>
    <d v="1899-12-30T17:34:00"/>
    <x v="0"/>
    <x v="174"/>
    <x v="0"/>
    <n v="426"/>
    <n v="426"/>
    <x v="1"/>
  </r>
  <r>
    <s v="ORD9586664"/>
    <s v="CUST0309"/>
    <s v="Direct"/>
    <x v="41"/>
    <d v="1899-12-30T16:28:00"/>
    <x v="0"/>
    <x v="21"/>
    <x v="0"/>
    <n v="435"/>
    <n v="435"/>
    <x v="1"/>
  </r>
  <r>
    <s v="ORD6089714"/>
    <s v="CUST0354"/>
    <s v="Swiggy"/>
    <x v="70"/>
    <d v="1899-12-30T13:53:00"/>
    <x v="0"/>
    <x v="80"/>
    <x v="0"/>
    <n v="793"/>
    <n v="793"/>
    <x v="1"/>
  </r>
  <r>
    <s v="ORD7519151"/>
    <s v="CUST0171"/>
    <s v="Zomato"/>
    <x v="182"/>
    <d v="1899-12-30T17:55:00"/>
    <x v="0"/>
    <x v="128"/>
    <x v="178"/>
    <n v="696.6"/>
    <n v="774"/>
    <x v="1"/>
  </r>
  <r>
    <s v="ORD1004542"/>
    <s v="CUST0316"/>
    <s v="Zomato"/>
    <x v="12"/>
    <d v="1899-12-30T12:04:00"/>
    <x v="0"/>
    <x v="33"/>
    <x v="0"/>
    <n v="218"/>
    <n v="218"/>
    <x v="0"/>
  </r>
  <r>
    <s v="ORD7254897"/>
    <s v="CUST0098"/>
    <s v="Direct"/>
    <x v="226"/>
    <d v="1899-12-30T17:41:00"/>
    <x v="0"/>
    <x v="1"/>
    <x v="82"/>
    <n v="214.2"/>
    <n v="238"/>
    <x v="2"/>
  </r>
  <r>
    <s v="ORD1509483"/>
    <s v="CUST0471"/>
    <s v="Swiggy"/>
    <x v="318"/>
    <d v="1899-12-30T12:07:00"/>
    <x v="0"/>
    <x v="175"/>
    <x v="0"/>
    <n v="794"/>
    <n v="794"/>
    <x v="1"/>
  </r>
  <r>
    <s v="ORD3571860"/>
    <s v="CUST0033"/>
    <s v="Swiggy"/>
    <x v="319"/>
    <d v="1899-12-30T20:30:00"/>
    <x v="0"/>
    <x v="43"/>
    <x v="14"/>
    <n v="134.1"/>
    <n v="149"/>
    <x v="1"/>
  </r>
  <r>
    <s v="ORD2057136"/>
    <s v="CUST0296"/>
    <s v="Direct"/>
    <x v="222"/>
    <d v="1899-12-30T17:00:00"/>
    <x v="0"/>
    <x v="220"/>
    <x v="0"/>
    <n v="832"/>
    <n v="832"/>
    <x v="1"/>
  </r>
  <r>
    <s v="ORD8303868"/>
    <s v="CUST0289"/>
    <s v="Swiggy"/>
    <x v="181"/>
    <d v="1899-12-30T09:55:00"/>
    <x v="0"/>
    <x v="96"/>
    <x v="0"/>
    <n v="853"/>
    <n v="853"/>
    <x v="1"/>
  </r>
  <r>
    <s v="ORD6818132"/>
    <s v="CUST0075"/>
    <s v="Zomato"/>
    <x v="253"/>
    <d v="1899-12-30T20:34:00"/>
    <x v="0"/>
    <x v="5"/>
    <x v="1"/>
    <n v="169.2"/>
    <n v="188"/>
    <x v="1"/>
  </r>
  <r>
    <s v="ORD3309241"/>
    <s v="CUST0309"/>
    <s v="Zomato"/>
    <x v="263"/>
    <d v="1899-12-30T19:05:00"/>
    <x v="0"/>
    <x v="306"/>
    <x v="179"/>
    <n v="1553.4"/>
    <n v="1726"/>
    <x v="1"/>
  </r>
  <r>
    <s v="ORD4452965"/>
    <s v="CUST0409"/>
    <s v="Swiggy"/>
    <x v="201"/>
    <d v="1899-12-30T11:54:00"/>
    <x v="0"/>
    <x v="281"/>
    <x v="0"/>
    <n v="69"/>
    <n v="69"/>
    <x v="2"/>
  </r>
  <r>
    <s v="ORD3763239"/>
    <s v="CUST0479"/>
    <s v="Swiggy"/>
    <x v="214"/>
    <d v="1899-12-30T16:16:00"/>
    <x v="0"/>
    <x v="307"/>
    <x v="0"/>
    <n v="952"/>
    <n v="952"/>
    <x v="2"/>
  </r>
  <r>
    <s v="ORD2785542"/>
    <s v="CUST0209"/>
    <s v="Swiggy"/>
    <x v="316"/>
    <d v="1899-12-30T18:47:00"/>
    <x v="0"/>
    <x v="20"/>
    <x v="0"/>
    <n v="615"/>
    <n v="615"/>
    <x v="1"/>
  </r>
  <r>
    <s v="ORD7813560"/>
    <s v="CUST0487"/>
    <s v="Zomato"/>
    <x v="199"/>
    <d v="1899-12-30T16:44:00"/>
    <x v="0"/>
    <x v="170"/>
    <x v="69"/>
    <n v="462.6"/>
    <n v="514"/>
    <x v="1"/>
  </r>
  <r>
    <s v="ORD6036779"/>
    <s v="CUST0207"/>
    <s v="Zomato"/>
    <x v="257"/>
    <d v="1899-12-30T18:42:00"/>
    <x v="0"/>
    <x v="216"/>
    <x v="0"/>
    <n v="296"/>
    <n v="296"/>
    <x v="2"/>
  </r>
  <r>
    <s v="ORD5291312"/>
    <s v="CUST0164"/>
    <s v="Zomato"/>
    <x v="214"/>
    <d v="1899-12-30T16:31:00"/>
    <x v="0"/>
    <x v="308"/>
    <x v="124"/>
    <n v="902.5"/>
    <n v="950"/>
    <x v="1"/>
  </r>
  <r>
    <s v="ORD2391916"/>
    <s v="CUST0130"/>
    <s v="Swiggy"/>
    <x v="73"/>
    <d v="1899-12-30T10:30:00"/>
    <x v="0"/>
    <x v="309"/>
    <x v="180"/>
    <n v="1107.9000000000001"/>
    <n v="1231"/>
    <x v="1"/>
  </r>
  <r>
    <s v="ORD1172703"/>
    <s v="CUST0315"/>
    <s v="Zomato"/>
    <x v="0"/>
    <d v="1899-12-30T22:13:00"/>
    <x v="0"/>
    <x v="106"/>
    <x v="0"/>
    <n v="377"/>
    <n v="377"/>
    <x v="1"/>
  </r>
  <r>
    <s v="ORD9669396"/>
    <s v="CUST0130"/>
    <s v="Swiggy"/>
    <x v="77"/>
    <d v="1899-12-30T21:03:00"/>
    <x v="0"/>
    <x v="137"/>
    <x v="0"/>
    <n v="397"/>
    <n v="397"/>
    <x v="1"/>
  </r>
  <r>
    <s v="ORD1095504"/>
    <s v="CUST0247"/>
    <s v="Zomato"/>
    <x v="86"/>
    <d v="1899-12-30T10:12:00"/>
    <x v="0"/>
    <x v="153"/>
    <x v="0"/>
    <n v="327"/>
    <n v="327"/>
    <x v="1"/>
  </r>
  <r>
    <s v="ORD2947659"/>
    <s v="CUST0359"/>
    <s v="Direct"/>
    <x v="149"/>
    <d v="1899-12-30T19:51:00"/>
    <x v="0"/>
    <x v="213"/>
    <x v="181"/>
    <n v="222.3"/>
    <n v="247"/>
    <x v="2"/>
  </r>
  <r>
    <s v="ORD7178852"/>
    <s v="CUST0269"/>
    <s v="Direct"/>
    <x v="184"/>
    <d v="1899-12-30T09:45:00"/>
    <x v="0"/>
    <x v="35"/>
    <x v="0"/>
    <n v="119"/>
    <n v="119"/>
    <x v="1"/>
  </r>
  <r>
    <s v="ORD8962894"/>
    <s v="CUST0486"/>
    <s v="Swiggy"/>
    <x v="25"/>
    <d v="1899-12-30T18:56:00"/>
    <x v="0"/>
    <x v="54"/>
    <x v="165"/>
    <n v="169.1"/>
    <n v="178"/>
    <x v="1"/>
  </r>
  <r>
    <s v="ORD2121034"/>
    <s v="CUST0286"/>
    <s v="Zomato"/>
    <x v="136"/>
    <d v="1899-12-30T20:23:00"/>
    <x v="0"/>
    <x v="194"/>
    <x v="0"/>
    <n v="465"/>
    <n v="465"/>
    <x v="1"/>
  </r>
  <r>
    <s v="ORD1148604"/>
    <s v="CUST0137"/>
    <s v="Swiggy"/>
    <x v="92"/>
    <d v="1899-12-30T20:42:00"/>
    <x v="0"/>
    <x v="104"/>
    <x v="0"/>
    <n v="654"/>
    <n v="654"/>
    <x v="2"/>
  </r>
  <r>
    <s v="ORD9554163"/>
    <s v="CUST0342"/>
    <s v="Zomato"/>
    <x v="179"/>
    <d v="1899-12-30T16:09:00"/>
    <x v="0"/>
    <x v="310"/>
    <x v="0"/>
    <n v="862"/>
    <n v="862"/>
    <x v="2"/>
  </r>
  <r>
    <s v="ORD7620773"/>
    <s v="CUST0446"/>
    <s v="Zomato"/>
    <x v="244"/>
    <d v="1899-12-30T19:02:00"/>
    <x v="0"/>
    <x v="261"/>
    <x v="0"/>
    <n v="566"/>
    <n v="566"/>
    <x v="0"/>
  </r>
  <r>
    <s v="ORD3638806"/>
    <s v="CUST0209"/>
    <s v="Swiggy"/>
    <x v="45"/>
    <d v="1899-12-30T20:56:00"/>
    <x v="0"/>
    <x v="97"/>
    <x v="0"/>
    <n v="357"/>
    <n v="357"/>
    <x v="1"/>
  </r>
  <r>
    <s v="ORD6729127"/>
    <s v="CUST0202"/>
    <s v="Zomato"/>
    <x v="26"/>
    <d v="1899-12-30T18:17:00"/>
    <x v="0"/>
    <x v="311"/>
    <x v="0"/>
    <n v="1260"/>
    <n v="1260"/>
    <x v="1"/>
  </r>
  <r>
    <s v="ORD9215392"/>
    <s v="CUST0241"/>
    <s v="Zomato"/>
    <x v="283"/>
    <d v="1899-12-30T20:08:00"/>
    <x v="0"/>
    <x v="56"/>
    <x v="0"/>
    <n v="953"/>
    <n v="953"/>
    <x v="2"/>
  </r>
  <r>
    <s v="ORD6847081"/>
    <s v="CUST0123"/>
    <s v="Swiggy"/>
    <x v="293"/>
    <d v="1899-12-30T14:58:00"/>
    <x v="0"/>
    <x v="11"/>
    <x v="155"/>
    <n v="253.65"/>
    <n v="267"/>
    <x v="0"/>
  </r>
  <r>
    <s v="ORD4187101"/>
    <s v="CUST0395"/>
    <s v="Swiggy"/>
    <x v="107"/>
    <d v="1899-12-30T11:51:00"/>
    <x v="0"/>
    <x v="195"/>
    <x v="162"/>
    <n v="445.5"/>
    <n v="495"/>
    <x v="1"/>
  </r>
  <r>
    <s v="ORD9337532"/>
    <s v="CUST0173"/>
    <s v="Zomato"/>
    <x v="250"/>
    <d v="1899-12-30T21:53:00"/>
    <x v="0"/>
    <x v="122"/>
    <x v="182"/>
    <n v="421.6"/>
    <n v="496"/>
    <x v="0"/>
  </r>
  <r>
    <s v="ORD1054812"/>
    <s v="CUST0282"/>
    <s v="Direct"/>
    <x v="292"/>
    <d v="1899-12-30T19:52:00"/>
    <x v="0"/>
    <x v="6"/>
    <x v="0"/>
    <n v="158"/>
    <n v="158"/>
    <x v="1"/>
  </r>
  <r>
    <s v="ORD8175737"/>
    <s v="CUST0102"/>
    <s v="Zomato"/>
    <x v="13"/>
    <d v="1899-12-30T20:26:00"/>
    <x v="0"/>
    <x v="20"/>
    <x v="152"/>
    <n v="584.25"/>
    <n v="615"/>
    <x v="0"/>
  </r>
  <r>
    <s v="ORD8101189"/>
    <s v="CUST0402"/>
    <s v="Zomato"/>
    <x v="147"/>
    <d v="1899-12-30T18:08:00"/>
    <x v="0"/>
    <x v="43"/>
    <x v="183"/>
    <n v="126.65"/>
    <n v="149"/>
    <x v="1"/>
  </r>
  <r>
    <s v="ORD5475083"/>
    <s v="CUST0113"/>
    <s v="Swiggy"/>
    <x v="320"/>
    <d v="1899-12-30T17:14:00"/>
    <x v="0"/>
    <x v="89"/>
    <x v="0"/>
    <n v="395"/>
    <n v="395"/>
    <x v="2"/>
  </r>
  <r>
    <s v="ORD2529708"/>
    <s v="CUST0009"/>
    <s v="Direct"/>
    <x v="321"/>
    <d v="1899-12-30T20:39:00"/>
    <x v="0"/>
    <x v="89"/>
    <x v="0"/>
    <n v="395"/>
    <n v="395"/>
    <x v="1"/>
  </r>
  <r>
    <s v="ORD6175674"/>
    <s v="CUST0055"/>
    <s v="Zomato"/>
    <x v="322"/>
    <d v="1899-12-30T17:17:00"/>
    <x v="0"/>
    <x v="172"/>
    <x v="0"/>
    <n v="406"/>
    <n v="406"/>
    <x v="0"/>
  </r>
  <r>
    <s v="ORD5558760"/>
    <s v="CUST0195"/>
    <s v="Zomato"/>
    <x v="297"/>
    <d v="1899-12-30T20:48:00"/>
    <x v="0"/>
    <x v="129"/>
    <x v="184"/>
    <n v="783.9"/>
    <n v="871"/>
    <x v="1"/>
  </r>
  <r>
    <s v="ORD7778101"/>
    <s v="CUST0194"/>
    <s v="Zomato"/>
    <x v="26"/>
    <d v="1899-12-30T21:43:00"/>
    <x v="0"/>
    <x v="82"/>
    <x v="0"/>
    <n v="554"/>
    <n v="554"/>
    <x v="2"/>
  </r>
  <r>
    <s v="ORD2085401"/>
    <s v="CUST0289"/>
    <s v="Zomato"/>
    <x v="323"/>
    <d v="1899-12-30T01:59:00"/>
    <x v="0"/>
    <x v="66"/>
    <x v="0"/>
    <n v="307"/>
    <n v="307"/>
    <x v="1"/>
  </r>
  <r>
    <s v="ORD9028413"/>
    <s v="CUST0467"/>
    <s v="Direct"/>
    <x v="324"/>
    <d v="1899-12-30T18:23:00"/>
    <x v="0"/>
    <x v="298"/>
    <x v="0"/>
    <n v="755"/>
    <n v="755"/>
    <x v="1"/>
  </r>
  <r>
    <s v="ORD2549825"/>
    <s v="CUST0363"/>
    <s v="Direct"/>
    <x v="190"/>
    <d v="1899-12-30T17:05:00"/>
    <x v="1"/>
    <x v="182"/>
    <x v="0"/>
    <n v="0"/>
    <n v="574"/>
    <x v="0"/>
  </r>
  <r>
    <s v="ORD2548050"/>
    <s v="CUST0267"/>
    <s v="Zomato"/>
    <x v="279"/>
    <d v="1899-12-30T18:10:00"/>
    <x v="1"/>
    <x v="16"/>
    <x v="0"/>
    <n v="0"/>
    <n v="447"/>
    <x v="1"/>
  </r>
  <r>
    <s v="ORD3817334"/>
    <s v="CUST0483"/>
    <s v="Zomato"/>
    <x v="232"/>
    <d v="1899-12-30T20:30:00"/>
    <x v="0"/>
    <x v="6"/>
    <x v="134"/>
    <n v="150.1"/>
    <n v="158"/>
    <x v="1"/>
  </r>
  <r>
    <s v="ORD7189628"/>
    <s v="CUST0399"/>
    <s v="Zomato"/>
    <x v="227"/>
    <d v="1899-12-30T23:07:00"/>
    <x v="0"/>
    <x v="52"/>
    <x v="0"/>
    <n v="336"/>
    <n v="336"/>
    <x v="1"/>
  </r>
  <r>
    <s v="ORD3801816"/>
    <s v="CUST0030"/>
    <s v="Zomato"/>
    <x v="31"/>
    <d v="1899-12-30T20:57:00"/>
    <x v="0"/>
    <x v="17"/>
    <x v="158"/>
    <n v="267.3"/>
    <n v="297"/>
    <x v="1"/>
  </r>
  <r>
    <s v="ORD1709232"/>
    <s v="CUST0366"/>
    <s v="Zomato"/>
    <x v="303"/>
    <d v="1899-12-30T21:07:00"/>
    <x v="0"/>
    <x v="312"/>
    <x v="0"/>
    <n v="1149"/>
    <n v="1149"/>
    <x v="0"/>
  </r>
  <r>
    <s v="ORD7798104"/>
    <s v="CUST0368"/>
    <s v="Swiggy"/>
    <x v="64"/>
    <d v="1899-12-30T20:36:00"/>
    <x v="0"/>
    <x v="2"/>
    <x v="0"/>
    <n v="356"/>
    <n v="356"/>
    <x v="1"/>
  </r>
  <r>
    <s v="ORD6025077"/>
    <s v="CUST0212"/>
    <s v="Zomato"/>
    <x v="184"/>
    <d v="1899-12-30T20:57:00"/>
    <x v="0"/>
    <x v="16"/>
    <x v="0"/>
    <n v="447"/>
    <n v="447"/>
    <x v="1"/>
  </r>
  <r>
    <s v="ORD3346211"/>
    <s v="CUST0303"/>
    <s v="Swiggy"/>
    <x v="143"/>
    <d v="1899-12-30T22:55:00"/>
    <x v="0"/>
    <x v="155"/>
    <x v="185"/>
    <n v="373.5"/>
    <n v="415"/>
    <x v="0"/>
  </r>
  <r>
    <s v="ORD1861447"/>
    <s v="CUST0067"/>
    <s v="Zomato"/>
    <x v="124"/>
    <d v="1899-12-30T17:29:00"/>
    <x v="0"/>
    <x v="282"/>
    <x v="0"/>
    <n v="504"/>
    <n v="504"/>
    <x v="1"/>
  </r>
  <r>
    <s v="ORD9043979"/>
    <s v="CUST0479"/>
    <s v="Direct"/>
    <x v="113"/>
    <d v="1899-12-30T19:02:00"/>
    <x v="0"/>
    <x v="3"/>
    <x v="186"/>
    <n v="411.4"/>
    <n v="484"/>
    <x v="2"/>
  </r>
  <r>
    <s v="ORD1404999"/>
    <s v="CUST0323"/>
    <s v="Swiggy"/>
    <x v="1"/>
    <d v="1899-12-30T20:13:00"/>
    <x v="0"/>
    <x v="70"/>
    <x v="187"/>
    <n v="269.45"/>
    <n v="317"/>
    <x v="0"/>
  </r>
  <r>
    <s v="ORD9488394"/>
    <s v="CUST0391"/>
    <s v="Swiggy"/>
    <x v="13"/>
    <d v="1899-12-30T22:27:00"/>
    <x v="0"/>
    <x v="296"/>
    <x v="188"/>
    <n v="979.45"/>
    <n v="1031"/>
    <x v="1"/>
  </r>
  <r>
    <s v="ORD1203251"/>
    <s v="CUST0022"/>
    <s v="Zomato"/>
    <x v="195"/>
    <d v="1899-12-30T19:14:00"/>
    <x v="0"/>
    <x v="112"/>
    <x v="0"/>
    <n v="516"/>
    <n v="516"/>
    <x v="2"/>
  </r>
  <r>
    <s v="ORD5454479"/>
    <s v="CUST0084"/>
    <s v="Direct"/>
    <x v="306"/>
    <d v="1899-12-30T09:04:00"/>
    <x v="0"/>
    <x v="155"/>
    <x v="0"/>
    <n v="415"/>
    <n v="415"/>
    <x v="1"/>
  </r>
  <r>
    <s v="ORD5329920"/>
    <s v="CUST0241"/>
    <s v="Direct"/>
    <x v="270"/>
    <d v="1899-12-30T14:54:00"/>
    <x v="0"/>
    <x v="78"/>
    <x v="0"/>
    <n v="474"/>
    <n v="474"/>
    <x v="2"/>
  </r>
  <r>
    <s v="ORD1372876"/>
    <s v="CUST0460"/>
    <s v="Zomato"/>
    <x v="27"/>
    <d v="1899-12-30T00:49:00"/>
    <x v="0"/>
    <x v="9"/>
    <x v="0"/>
    <n v="416"/>
    <n v="416"/>
    <x v="1"/>
  </r>
  <r>
    <s v="ORD4751808"/>
    <s v="CUST0422"/>
    <s v="Zomato"/>
    <x v="15"/>
    <d v="1899-12-30T18:06:00"/>
    <x v="0"/>
    <x v="75"/>
    <x v="0"/>
    <n v="634"/>
    <n v="634"/>
    <x v="1"/>
  </r>
  <r>
    <s v="ORD1954674"/>
    <s v="CUST0397"/>
    <s v="Zomato"/>
    <x v="139"/>
    <d v="1899-12-30T21:04:00"/>
    <x v="0"/>
    <x v="280"/>
    <x v="189"/>
    <n v="597.6"/>
    <n v="664"/>
    <x v="1"/>
  </r>
  <r>
    <s v="ORD7800102"/>
    <s v="CUST0203"/>
    <s v="Swiggy"/>
    <x v="41"/>
    <d v="1899-12-30T19:59:00"/>
    <x v="0"/>
    <x v="40"/>
    <x v="190"/>
    <n v="294.95"/>
    <n v="347"/>
    <x v="1"/>
  </r>
  <r>
    <s v="ORD3548252"/>
    <s v="CUST0048"/>
    <s v="Direct"/>
    <x v="8"/>
    <d v="1899-12-30T19:57:00"/>
    <x v="0"/>
    <x v="48"/>
    <x v="0"/>
    <n v="89"/>
    <n v="89"/>
    <x v="0"/>
  </r>
  <r>
    <s v="ORD3771957"/>
    <s v="CUST0293"/>
    <s v="Zomato"/>
    <x v="184"/>
    <d v="1899-12-30T14:42:00"/>
    <x v="0"/>
    <x v="313"/>
    <x v="0"/>
    <n v="943"/>
    <n v="943"/>
    <x v="1"/>
  </r>
  <r>
    <s v="ORD5889357"/>
    <s v="CUST0252"/>
    <s v="Zomato"/>
    <x v="131"/>
    <d v="1899-12-30T19:52:00"/>
    <x v="1"/>
    <x v="314"/>
    <x v="0"/>
    <n v="0"/>
    <n v="1151"/>
    <x v="0"/>
  </r>
  <r>
    <s v="ORD8929924"/>
    <s v="CUST0174"/>
    <s v="Swiggy"/>
    <x v="308"/>
    <d v="1899-12-30T19:54:00"/>
    <x v="0"/>
    <x v="153"/>
    <x v="0"/>
    <n v="327"/>
    <n v="327"/>
    <x v="1"/>
  </r>
  <r>
    <s v="ORD8739107"/>
    <s v="CUST0168"/>
    <s v="Zomato"/>
    <x v="24"/>
    <d v="1899-12-30T13:42:00"/>
    <x v="0"/>
    <x v="75"/>
    <x v="191"/>
    <n v="538.9"/>
    <n v="634"/>
    <x v="1"/>
  </r>
  <r>
    <s v="ORD8303706"/>
    <s v="CUST0123"/>
    <s v="Swiggy"/>
    <x v="6"/>
    <d v="1899-12-30T14:37:00"/>
    <x v="0"/>
    <x v="12"/>
    <x v="82"/>
    <n v="452.2"/>
    <n v="476"/>
    <x v="0"/>
  </r>
  <r>
    <s v="ORD2108224"/>
    <s v="CUST0201"/>
    <s v="Zomato"/>
    <x v="246"/>
    <d v="1899-12-30T14:10:00"/>
    <x v="0"/>
    <x v="184"/>
    <x v="0"/>
    <n v="139"/>
    <n v="139"/>
    <x v="1"/>
  </r>
  <r>
    <s v="ORD8543241"/>
    <s v="CUST0364"/>
    <s v="Direct"/>
    <x v="203"/>
    <d v="1899-12-30T15:50:00"/>
    <x v="0"/>
    <x v="315"/>
    <x v="0"/>
    <n v="1310"/>
    <n v="1310"/>
    <x v="2"/>
  </r>
  <r>
    <s v="ORD5026924"/>
    <s v="CUST0022"/>
    <s v="Direct"/>
    <x v="171"/>
    <d v="1899-12-30T18:09:00"/>
    <x v="0"/>
    <x v="75"/>
    <x v="0"/>
    <n v="634"/>
    <n v="634"/>
    <x v="2"/>
  </r>
  <r>
    <s v="ORD9406675"/>
    <s v="CUST0248"/>
    <s v="Swiggy"/>
    <x v="77"/>
    <d v="1899-12-30T16:06:00"/>
    <x v="0"/>
    <x v="162"/>
    <x v="192"/>
    <n v="508.5"/>
    <n v="565"/>
    <x v="0"/>
  </r>
  <r>
    <s v="ORD1661445"/>
    <s v="CUST0314"/>
    <s v="Zomato"/>
    <x v="325"/>
    <d v="1899-12-30T00:59:00"/>
    <x v="0"/>
    <x v="316"/>
    <x v="193"/>
    <n v="770.45"/>
    <n v="811"/>
    <x v="0"/>
  </r>
  <r>
    <s v="ORD4874618"/>
    <s v="CUST0453"/>
    <s v="Swiggy"/>
    <x v="112"/>
    <d v="1899-12-30T22:58:00"/>
    <x v="0"/>
    <x v="58"/>
    <x v="18"/>
    <n v="733.4"/>
    <n v="772"/>
    <x v="2"/>
  </r>
  <r>
    <s v="ORD1801342"/>
    <s v="CUST0204"/>
    <s v="Zomato"/>
    <x v="309"/>
    <d v="1899-12-30T22:15:00"/>
    <x v="0"/>
    <x v="317"/>
    <x v="0"/>
    <n v="1029"/>
    <n v="1029"/>
    <x v="1"/>
  </r>
  <r>
    <s v="ORD5824408"/>
    <s v="CUST0274"/>
    <s v="Swiggy"/>
    <x v="219"/>
    <d v="1899-12-30T20:13:00"/>
    <x v="0"/>
    <x v="32"/>
    <x v="0"/>
    <n v="575"/>
    <n v="575"/>
    <x v="1"/>
  </r>
  <r>
    <s v="ORD5904259"/>
    <s v="CUST0133"/>
    <s v="Zomato"/>
    <x v="326"/>
    <d v="1899-12-30T21:46:00"/>
    <x v="0"/>
    <x v="72"/>
    <x v="0"/>
    <n v="168"/>
    <n v="168"/>
    <x v="0"/>
  </r>
  <r>
    <s v="ORD3610008"/>
    <s v="CUST0036"/>
    <s v="Zomato"/>
    <x v="32"/>
    <d v="1899-12-30T20:40:00"/>
    <x v="0"/>
    <x v="318"/>
    <x v="194"/>
    <n v="1137.3"/>
    <n v="1338"/>
    <x v="0"/>
  </r>
  <r>
    <s v="ORD6977035"/>
    <s v="CUST0143"/>
    <s v="Swiggy"/>
    <x v="124"/>
    <d v="1899-12-30T21:39:00"/>
    <x v="0"/>
    <x v="25"/>
    <x v="0"/>
    <n v="534"/>
    <n v="534"/>
    <x v="0"/>
  </r>
  <r>
    <s v="ORD3690055"/>
    <s v="CUST0084"/>
    <s v="Zomato"/>
    <x v="3"/>
    <d v="1899-12-30T10:04:00"/>
    <x v="0"/>
    <x v="93"/>
    <x v="0"/>
    <n v="962"/>
    <n v="962"/>
    <x v="1"/>
  </r>
  <r>
    <s v="ORD2122405"/>
    <s v="CUST0318"/>
    <s v="Swiggy"/>
    <x v="143"/>
    <d v="1899-12-30T17:12:00"/>
    <x v="0"/>
    <x v="105"/>
    <x v="0"/>
    <n v="803"/>
    <n v="803"/>
    <x v="0"/>
  </r>
  <r>
    <s v="ORD7971498"/>
    <s v="CUST0191"/>
    <s v="Swiggy"/>
    <x v="53"/>
    <d v="1899-12-30T21:59:00"/>
    <x v="0"/>
    <x v="126"/>
    <x v="0"/>
    <n v="526"/>
    <n v="526"/>
    <x v="1"/>
  </r>
  <r>
    <s v="ORD6319500"/>
    <s v="CUST0320"/>
    <s v="Swiggy"/>
    <x v="117"/>
    <d v="1899-12-30T14:07:00"/>
    <x v="0"/>
    <x v="31"/>
    <x v="0"/>
    <n v="386"/>
    <n v="386"/>
    <x v="2"/>
  </r>
  <r>
    <s v="ORD5708829"/>
    <s v="CUST0195"/>
    <s v="Direct"/>
    <x v="207"/>
    <d v="1899-12-30T18:52:00"/>
    <x v="0"/>
    <x v="170"/>
    <x v="154"/>
    <n v="488.3"/>
    <n v="514"/>
    <x v="1"/>
  </r>
  <r>
    <s v="ORD7082280"/>
    <s v="CUST0307"/>
    <s v="Direct"/>
    <x v="85"/>
    <d v="1899-12-30T23:38:00"/>
    <x v="0"/>
    <x v="50"/>
    <x v="0"/>
    <n v="99"/>
    <n v="99"/>
    <x v="1"/>
  </r>
  <r>
    <s v="ORD2336525"/>
    <s v="CUST0026"/>
    <s v="Zomato"/>
    <x v="155"/>
    <d v="1899-12-30T16:14:00"/>
    <x v="0"/>
    <x v="90"/>
    <x v="0"/>
    <n v="913"/>
    <n v="913"/>
    <x v="0"/>
  </r>
  <r>
    <s v="ORD1067267"/>
    <s v="CUST0071"/>
    <s v="Zomato"/>
    <x v="90"/>
    <d v="1899-12-30T21:03:00"/>
    <x v="0"/>
    <x v="157"/>
    <x v="0"/>
    <n v="940"/>
    <n v="940"/>
    <x v="0"/>
  </r>
  <r>
    <s v="ORD4664443"/>
    <s v="CUST0416"/>
    <s v="Zomato"/>
    <x v="277"/>
    <d v="1899-12-30T10:40:00"/>
    <x v="0"/>
    <x v="96"/>
    <x v="195"/>
    <n v="725.05"/>
    <n v="853"/>
    <x v="1"/>
  </r>
  <r>
    <s v="ORD4991496"/>
    <s v="CUST0432"/>
    <s v="Zomato"/>
    <x v="28"/>
    <d v="1899-12-30T21:49:00"/>
    <x v="0"/>
    <x v="261"/>
    <x v="196"/>
    <n v="481.1"/>
    <n v="566"/>
    <x v="0"/>
  </r>
  <r>
    <s v="ORD3091259"/>
    <s v="CUST0316"/>
    <s v="Direct"/>
    <x v="108"/>
    <d v="1899-12-30T18:15:00"/>
    <x v="0"/>
    <x v="106"/>
    <x v="0"/>
    <n v="377"/>
    <n v="377"/>
    <x v="0"/>
  </r>
  <r>
    <s v="ORD5173838"/>
    <s v="CUST0062"/>
    <s v="Direct"/>
    <x v="242"/>
    <d v="1899-12-30T21:37:00"/>
    <x v="0"/>
    <x v="116"/>
    <x v="0"/>
    <n v="673"/>
    <n v="673"/>
    <x v="0"/>
  </r>
  <r>
    <s v="ORD1230853"/>
    <s v="CUST0057"/>
    <s v="Swiggy"/>
    <x v="311"/>
    <d v="1899-12-30T17:45:00"/>
    <x v="0"/>
    <x v="48"/>
    <x v="0"/>
    <n v="89"/>
    <n v="89"/>
    <x v="1"/>
  </r>
  <r>
    <s v="ORD5614818"/>
    <s v="CUST0194"/>
    <s v="Swiggy"/>
    <x v="55"/>
    <d v="1899-12-30T14:26:00"/>
    <x v="0"/>
    <x v="41"/>
    <x v="0"/>
    <n v="693"/>
    <n v="693"/>
    <x v="2"/>
  </r>
  <r>
    <s v="ORD3660952"/>
    <s v="CUST0002"/>
    <s v="Zomato"/>
    <x v="65"/>
    <d v="1899-12-30T16:16:00"/>
    <x v="0"/>
    <x v="8"/>
    <x v="0"/>
    <n v="387"/>
    <n v="387"/>
    <x v="0"/>
  </r>
  <r>
    <s v="ORD8624054"/>
    <s v="CUST0391"/>
    <s v="Swiggy"/>
    <x v="173"/>
    <d v="1899-12-30T22:50:00"/>
    <x v="0"/>
    <x v="282"/>
    <x v="197"/>
    <n v="453.6"/>
    <n v="504"/>
    <x v="1"/>
  </r>
  <r>
    <s v="ORD4932931"/>
    <s v="CUST0069"/>
    <s v="Zomato"/>
    <x v="227"/>
    <d v="1899-12-30T19:57:00"/>
    <x v="0"/>
    <x v="213"/>
    <x v="181"/>
    <n v="222.3"/>
    <n v="247"/>
    <x v="1"/>
  </r>
  <r>
    <s v="ORD9665105"/>
    <s v="CUST0140"/>
    <s v="Direct"/>
    <x v="10"/>
    <d v="1899-12-30T21:06:00"/>
    <x v="0"/>
    <x v="24"/>
    <x v="0"/>
    <n v="605"/>
    <n v="605"/>
    <x v="2"/>
  </r>
  <r>
    <s v="ORD4069345"/>
    <s v="CUST0410"/>
    <s v="Direct"/>
    <x v="61"/>
    <d v="1899-12-30T20:36:00"/>
    <x v="0"/>
    <x v="67"/>
    <x v="20"/>
    <n v="471.6"/>
    <n v="524"/>
    <x v="1"/>
  </r>
  <r>
    <s v="ORD7743663"/>
    <s v="CUST0140"/>
    <s v="Swiggy"/>
    <x v="10"/>
    <d v="1899-12-30T21:51:00"/>
    <x v="1"/>
    <x v="81"/>
    <x v="0"/>
    <n v="0"/>
    <n v="742"/>
    <x v="2"/>
  </r>
  <r>
    <s v="ORD1275672"/>
    <s v="CUST0221"/>
    <s v="Direct"/>
    <x v="165"/>
    <d v="1899-12-30T19:14:00"/>
    <x v="0"/>
    <x v="39"/>
    <x v="0"/>
    <n v="79"/>
    <n v="79"/>
    <x v="1"/>
  </r>
  <r>
    <s v="ORD8403469"/>
    <s v="CUST0053"/>
    <s v="Swiggy"/>
    <x v="315"/>
    <d v="1899-12-30T21:04:00"/>
    <x v="0"/>
    <x v="6"/>
    <x v="0"/>
    <n v="158"/>
    <n v="158"/>
    <x v="1"/>
  </r>
  <r>
    <s v="ORD2568383"/>
    <s v="CUST0231"/>
    <s v="Direct"/>
    <x v="41"/>
    <d v="1899-12-30T20:56:00"/>
    <x v="0"/>
    <x v="319"/>
    <x v="0"/>
    <n v="1220"/>
    <n v="1220"/>
    <x v="0"/>
  </r>
  <r>
    <s v="ORD4629894"/>
    <s v="CUST0432"/>
    <s v="Zomato"/>
    <x v="34"/>
    <d v="1899-12-30T09:59:00"/>
    <x v="0"/>
    <x v="320"/>
    <x v="0"/>
    <n v="1280"/>
    <n v="1280"/>
    <x v="0"/>
  </r>
  <r>
    <s v="ORD4230362"/>
    <s v="CUST0011"/>
    <s v="Swiggy"/>
    <x v="145"/>
    <d v="1899-12-30T01:36:00"/>
    <x v="0"/>
    <x v="28"/>
    <x v="0"/>
    <n v="366"/>
    <n v="366"/>
    <x v="0"/>
  </r>
  <r>
    <s v="ORD6026347"/>
    <s v="CUST0322"/>
    <s v="Swiggy"/>
    <x v="164"/>
    <d v="1899-12-30T12:23:00"/>
    <x v="0"/>
    <x v="70"/>
    <x v="0"/>
    <n v="317"/>
    <n v="317"/>
    <x v="0"/>
  </r>
  <r>
    <s v="ORD4553165"/>
    <s v="CUST0044"/>
    <s v="Swiggy"/>
    <x v="96"/>
    <d v="1899-12-30T15:06:00"/>
    <x v="0"/>
    <x v="83"/>
    <x v="0"/>
    <n v="316"/>
    <n v="316"/>
    <x v="1"/>
  </r>
  <r>
    <s v="ORD6537308"/>
    <s v="CUST0470"/>
    <s v="Swiggy"/>
    <x v="0"/>
    <d v="1899-12-30T00:57:00"/>
    <x v="0"/>
    <x v="321"/>
    <x v="0"/>
    <n v="394"/>
    <n v="394"/>
    <x v="0"/>
  </r>
  <r>
    <s v="ORD1336009"/>
    <s v="CUST0134"/>
    <s v="Swiggy"/>
    <x v="166"/>
    <d v="1899-12-30T13:20:00"/>
    <x v="0"/>
    <x v="44"/>
    <x v="198"/>
    <n v="629.85"/>
    <n v="663"/>
    <x v="1"/>
  </r>
  <r>
    <s v="ORD2898591"/>
    <s v="CUST0378"/>
    <s v="Swiggy"/>
    <x v="12"/>
    <d v="1899-12-30T16:14:00"/>
    <x v="0"/>
    <x v="126"/>
    <x v="0"/>
    <n v="526"/>
    <n v="526"/>
    <x v="1"/>
  </r>
  <r>
    <s v="ORD2244415"/>
    <s v="CUST0465"/>
    <s v="Zomato"/>
    <x v="313"/>
    <d v="1899-12-30T17:15:00"/>
    <x v="0"/>
    <x v="182"/>
    <x v="199"/>
    <n v="516.6"/>
    <n v="574"/>
    <x v="2"/>
  </r>
  <r>
    <s v="ORD3480045"/>
    <s v="CUST0326"/>
    <s v="Zomato"/>
    <x v="39"/>
    <d v="1899-12-30T17:44:00"/>
    <x v="1"/>
    <x v="28"/>
    <x v="0"/>
    <n v="0"/>
    <n v="366"/>
    <x v="1"/>
  </r>
  <r>
    <s v="ORD1458383"/>
    <s v="CUST0017"/>
    <s v="Swiggy"/>
    <x v="283"/>
    <d v="1899-12-30T14:01:00"/>
    <x v="0"/>
    <x v="222"/>
    <x v="0"/>
    <n v="655"/>
    <n v="655"/>
    <x v="1"/>
  </r>
  <r>
    <s v="ORD1433544"/>
    <s v="CUST0191"/>
    <s v="Zomato"/>
    <x v="175"/>
    <d v="1899-12-30T20:41:00"/>
    <x v="0"/>
    <x v="24"/>
    <x v="200"/>
    <n v="514.25"/>
    <n v="605"/>
    <x v="1"/>
  </r>
  <r>
    <s v="ORD3526267"/>
    <s v="CUST0467"/>
    <s v="Swiggy"/>
    <x v="20"/>
    <d v="1899-12-30T19:33:00"/>
    <x v="0"/>
    <x v="322"/>
    <x v="201"/>
    <n v="472.5"/>
    <n v="525"/>
    <x v="1"/>
  </r>
  <r>
    <s v="ORD9655209"/>
    <s v="CUST0046"/>
    <s v="Zomato"/>
    <x v="57"/>
    <d v="1899-12-30T21:21:00"/>
    <x v="0"/>
    <x v="213"/>
    <x v="0"/>
    <n v="247"/>
    <n v="247"/>
    <x v="1"/>
  </r>
  <r>
    <s v="ORD1702514"/>
    <s v="CUST0296"/>
    <s v="Zomato"/>
    <x v="97"/>
    <d v="1899-12-30T17:50:00"/>
    <x v="0"/>
    <x v="323"/>
    <x v="0"/>
    <n v="764"/>
    <n v="764"/>
    <x v="1"/>
  </r>
  <r>
    <s v="ORD9821826"/>
    <s v="CUST0326"/>
    <s v="Direct"/>
    <x v="55"/>
    <d v="1899-12-30T20:49:00"/>
    <x v="0"/>
    <x v="141"/>
    <x v="0"/>
    <n v="773"/>
    <n v="773"/>
    <x v="1"/>
  </r>
  <r>
    <s v="ORD5339621"/>
    <s v="CUST0003"/>
    <s v="Zomato"/>
    <x v="327"/>
    <d v="1899-12-30T23:47:00"/>
    <x v="0"/>
    <x v="9"/>
    <x v="0"/>
    <n v="416"/>
    <n v="416"/>
    <x v="1"/>
  </r>
  <r>
    <s v="ORD5951813"/>
    <s v="CUST0073"/>
    <s v="Swiggy"/>
    <x v="328"/>
    <d v="1899-12-30T21:04:00"/>
    <x v="0"/>
    <x v="32"/>
    <x v="0"/>
    <n v="575"/>
    <n v="575"/>
    <x v="0"/>
  </r>
  <r>
    <s v="ORD5225340"/>
    <s v="CUST0110"/>
    <s v="Zomato"/>
    <x v="22"/>
    <d v="1899-12-30T23:27:00"/>
    <x v="0"/>
    <x v="182"/>
    <x v="0"/>
    <n v="574"/>
    <n v="574"/>
    <x v="1"/>
  </r>
  <r>
    <s v="ORD7765901"/>
    <s v="CUST0448"/>
    <s v="Zomato"/>
    <x v="329"/>
    <d v="1899-12-30T18:55:00"/>
    <x v="0"/>
    <x v="82"/>
    <x v="0"/>
    <n v="554"/>
    <n v="554"/>
    <x v="1"/>
  </r>
  <r>
    <s v="ORD9897879"/>
    <s v="CUST0149"/>
    <s v="Swiggy"/>
    <x v="60"/>
    <d v="1899-12-30T18:55:00"/>
    <x v="0"/>
    <x v="324"/>
    <x v="0"/>
    <n v="553"/>
    <n v="553"/>
    <x v="0"/>
  </r>
  <r>
    <s v="ORD6703062"/>
    <s v="CUST0357"/>
    <s v="Zomato"/>
    <x v="259"/>
    <d v="1899-12-30T20:53:00"/>
    <x v="0"/>
    <x v="284"/>
    <x v="0"/>
    <n v="208"/>
    <n v="208"/>
    <x v="1"/>
  </r>
  <r>
    <s v="ORD6286061"/>
    <s v="CUST0270"/>
    <s v="Zomato"/>
    <x v="150"/>
    <d v="1899-12-30T12:53:00"/>
    <x v="0"/>
    <x v="54"/>
    <x v="16"/>
    <n v="160.19999999999999"/>
    <n v="178"/>
    <x v="0"/>
  </r>
  <r>
    <s v="ORD4332271"/>
    <s v="CUST0025"/>
    <s v="Swiggy"/>
    <x v="314"/>
    <d v="1899-12-30T10:34:00"/>
    <x v="0"/>
    <x v="153"/>
    <x v="0"/>
    <n v="327"/>
    <n v="327"/>
    <x v="1"/>
  </r>
  <r>
    <s v="ORD9470588"/>
    <s v="CUST0385"/>
    <s v="Swiggy"/>
    <x v="245"/>
    <d v="1899-12-30T10:58:00"/>
    <x v="0"/>
    <x v="190"/>
    <x v="0"/>
    <n v="475"/>
    <n v="475"/>
    <x v="0"/>
  </r>
  <r>
    <s v="ORD1493220"/>
    <s v="CUST0421"/>
    <s v="Zomato"/>
    <x v="99"/>
    <d v="1899-12-30T17:13:00"/>
    <x v="1"/>
    <x v="43"/>
    <x v="183"/>
    <n v="0"/>
    <n v="149"/>
    <x v="1"/>
  </r>
  <r>
    <s v="ORD9344176"/>
    <s v="CUST0171"/>
    <s v="Zomato"/>
    <x v="174"/>
    <d v="1899-12-30T21:24:00"/>
    <x v="0"/>
    <x v="325"/>
    <x v="202"/>
    <n v="1242.5999999999999"/>
    <n v="1308"/>
    <x v="1"/>
  </r>
  <r>
    <s v="ORD6221536"/>
    <s v="CUST0454"/>
    <s v="Zomato"/>
    <x v="238"/>
    <d v="1899-12-30T18:08:00"/>
    <x v="1"/>
    <x v="6"/>
    <x v="0"/>
    <n v="0"/>
    <n v="158"/>
    <x v="2"/>
  </r>
  <r>
    <s v="ORD6753751"/>
    <s v="CUST0204"/>
    <s v="Swiggy"/>
    <x v="330"/>
    <d v="1899-12-30T17:14:00"/>
    <x v="0"/>
    <x v="326"/>
    <x v="0"/>
    <n v="912"/>
    <n v="912"/>
    <x v="1"/>
  </r>
  <r>
    <s v="ORD5280661"/>
    <s v="CUST0215"/>
    <s v="Zomato"/>
    <x v="6"/>
    <d v="1899-12-30T18:21:00"/>
    <x v="0"/>
    <x v="96"/>
    <x v="0"/>
    <n v="853"/>
    <n v="853"/>
    <x v="1"/>
  </r>
  <r>
    <s v="ORD1777764"/>
    <s v="CUST0203"/>
    <s v="Zomato"/>
    <x v="331"/>
    <d v="1899-12-30T19:59:00"/>
    <x v="0"/>
    <x v="153"/>
    <x v="0"/>
    <n v="327"/>
    <n v="327"/>
    <x v="1"/>
  </r>
  <r>
    <s v="ORD1457506"/>
    <s v="CUST0453"/>
    <s v="Swiggy"/>
    <x v="84"/>
    <d v="1899-12-30T19:25:00"/>
    <x v="0"/>
    <x v="9"/>
    <x v="0"/>
    <n v="416"/>
    <n v="416"/>
    <x v="2"/>
  </r>
  <r>
    <s v="ORD4077006"/>
    <s v="CUST0419"/>
    <s v="Zomato"/>
    <x v="167"/>
    <d v="1899-12-30T14:03:00"/>
    <x v="0"/>
    <x v="164"/>
    <x v="0"/>
    <n v="852"/>
    <n v="852"/>
    <x v="0"/>
  </r>
  <r>
    <s v="ORD1083198"/>
    <s v="CUST0124"/>
    <s v="Zomato"/>
    <x v="267"/>
    <d v="1899-12-30T16:07:00"/>
    <x v="0"/>
    <x v="327"/>
    <x v="0"/>
    <n v="1060"/>
    <n v="1060"/>
    <x v="0"/>
  </r>
  <r>
    <s v="ORD8575481"/>
    <s v="CUST0053"/>
    <s v="Swiggy"/>
    <x v="46"/>
    <d v="1899-12-30T16:03:00"/>
    <x v="0"/>
    <x v="253"/>
    <x v="0"/>
    <n v="704"/>
    <n v="704"/>
    <x v="1"/>
  </r>
  <r>
    <s v="ORD8058810"/>
    <s v="CUST0414"/>
    <s v="Zomato"/>
    <x v="130"/>
    <d v="1899-12-30T13:37:00"/>
    <x v="1"/>
    <x v="104"/>
    <x v="0"/>
    <n v="0"/>
    <n v="654"/>
    <x v="2"/>
  </r>
  <r>
    <s v="ORD3435733"/>
    <s v="CUST0456"/>
    <s v="Swiggy"/>
    <x v="263"/>
    <d v="1899-12-30T22:05:00"/>
    <x v="0"/>
    <x v="95"/>
    <x v="0"/>
    <n v="457"/>
    <n v="457"/>
    <x v="2"/>
  </r>
  <r>
    <s v="ORD4262346"/>
    <s v="CUST0406"/>
    <s v="Direct"/>
    <x v="332"/>
    <d v="1899-12-30T00:39:00"/>
    <x v="0"/>
    <x v="38"/>
    <x v="0"/>
    <n v="831"/>
    <n v="831"/>
    <x v="1"/>
  </r>
  <r>
    <s v="ORD2974957"/>
    <s v="CUST0243"/>
    <s v="Zomato"/>
    <x v="48"/>
    <d v="1899-12-30T16:35:00"/>
    <x v="0"/>
    <x v="23"/>
    <x v="0"/>
    <n v="752"/>
    <n v="752"/>
    <x v="0"/>
  </r>
  <r>
    <s v="ORD5092999"/>
    <s v="CUST0309"/>
    <s v="Direct"/>
    <x v="84"/>
    <d v="1899-12-30T21:42:00"/>
    <x v="0"/>
    <x v="328"/>
    <x v="0"/>
    <n v="982"/>
    <n v="982"/>
    <x v="1"/>
  </r>
  <r>
    <s v="ORD8283798"/>
    <s v="CUST0073"/>
    <s v="Direct"/>
    <x v="67"/>
    <d v="1899-12-30T01:07:00"/>
    <x v="0"/>
    <x v="17"/>
    <x v="0"/>
    <n v="297"/>
    <n v="297"/>
    <x v="0"/>
  </r>
  <r>
    <s v="ORD7416175"/>
    <s v="CUST0339"/>
    <s v="Zomato"/>
    <x v="168"/>
    <d v="1899-12-30T17:27:00"/>
    <x v="0"/>
    <x v="174"/>
    <x v="0"/>
    <n v="426"/>
    <n v="426"/>
    <x v="0"/>
  </r>
  <r>
    <s v="ORD9866836"/>
    <s v="CUST0075"/>
    <s v="Swiggy"/>
    <x v="236"/>
    <d v="1899-12-30T01:56:00"/>
    <x v="0"/>
    <x v="22"/>
    <x v="203"/>
    <n v="328.7"/>
    <n v="346"/>
    <x v="1"/>
  </r>
  <r>
    <s v="ORD1494157"/>
    <s v="CUST0321"/>
    <s v="Direct"/>
    <x v="27"/>
    <d v="1899-12-30T23:17:00"/>
    <x v="0"/>
    <x v="83"/>
    <x v="0"/>
    <n v="316"/>
    <n v="316"/>
    <x v="1"/>
  </r>
  <r>
    <s v="ORD7495927"/>
    <s v="CUST0427"/>
    <s v="Direct"/>
    <x v="302"/>
    <d v="1899-12-30T16:07:00"/>
    <x v="0"/>
    <x v="154"/>
    <x v="101"/>
    <n v="508.25"/>
    <n v="535"/>
    <x v="2"/>
  </r>
  <r>
    <s v="ORD2343929"/>
    <s v="CUST0314"/>
    <s v="Swiggy"/>
    <x v="291"/>
    <d v="1899-12-30T20:03:00"/>
    <x v="0"/>
    <x v="227"/>
    <x v="204"/>
    <n v="509.2"/>
    <n v="536"/>
    <x v="0"/>
  </r>
  <r>
    <s v="ORD7180073"/>
    <s v="CUST0322"/>
    <s v="Zomato"/>
    <x v="300"/>
    <d v="1899-12-30T01:26:00"/>
    <x v="0"/>
    <x v="29"/>
    <x v="0"/>
    <n v="376"/>
    <n v="376"/>
    <x v="0"/>
  </r>
  <r>
    <s v="ORD6780597"/>
    <s v="CUST0067"/>
    <s v="Swiggy"/>
    <x v="57"/>
    <d v="1899-12-30T15:42:00"/>
    <x v="0"/>
    <x v="329"/>
    <x v="0"/>
    <n v="1429"/>
    <n v="1429"/>
    <x v="1"/>
  </r>
  <r>
    <s v="ORD7665233"/>
    <s v="CUST0399"/>
    <s v="Zomato"/>
    <x v="79"/>
    <d v="1899-12-30T10:49:00"/>
    <x v="0"/>
    <x v="2"/>
    <x v="0"/>
    <n v="356"/>
    <n v="356"/>
    <x v="1"/>
  </r>
  <r>
    <s v="ORD2823906"/>
    <s v="CUST0469"/>
    <s v="Direct"/>
    <x v="76"/>
    <d v="1899-12-30T12:22:00"/>
    <x v="0"/>
    <x v="182"/>
    <x v="0"/>
    <n v="574"/>
    <n v="574"/>
    <x v="1"/>
  </r>
  <r>
    <s v="ORD6331060"/>
    <s v="CUST0423"/>
    <s v="Swiggy"/>
    <x v="50"/>
    <d v="1899-12-30T19:15:00"/>
    <x v="0"/>
    <x v="258"/>
    <x v="0"/>
    <n v="148"/>
    <n v="148"/>
    <x v="1"/>
  </r>
  <r>
    <s v="ORD3830208"/>
    <s v="CUST0304"/>
    <s v="Zomato"/>
    <x v="99"/>
    <d v="1899-12-30T18:16:00"/>
    <x v="1"/>
    <x v="211"/>
    <x v="93"/>
    <n v="0"/>
    <n v="643"/>
    <x v="1"/>
  </r>
  <r>
    <s v="ORD2704824"/>
    <s v="CUST0350"/>
    <s v="Zomato"/>
    <x v="262"/>
    <d v="1899-12-30T19:13:00"/>
    <x v="0"/>
    <x v="37"/>
    <x v="205"/>
    <n v="432.25"/>
    <n v="455"/>
    <x v="0"/>
  </r>
  <r>
    <s v="ORD9996681"/>
    <s v="CUST0048"/>
    <s v="Direct"/>
    <x v="279"/>
    <d v="1899-12-30T17:40:00"/>
    <x v="0"/>
    <x v="54"/>
    <x v="0"/>
    <n v="178"/>
    <n v="178"/>
    <x v="0"/>
  </r>
  <r>
    <s v="ORD8347263"/>
    <s v="CUST0252"/>
    <s v="Swiggy"/>
    <x v="156"/>
    <d v="1899-12-30T21:53:00"/>
    <x v="0"/>
    <x v="124"/>
    <x v="0"/>
    <n v="456"/>
    <n v="456"/>
    <x v="0"/>
  </r>
  <r>
    <s v="ORD1384511"/>
    <s v="CUST0294"/>
    <s v="Swiggy"/>
    <x v="117"/>
    <d v="1899-12-30T18:14:00"/>
    <x v="0"/>
    <x v="330"/>
    <x v="0"/>
    <n v="961"/>
    <n v="961"/>
    <x v="1"/>
  </r>
  <r>
    <s v="ORD3458603"/>
    <s v="CUST0208"/>
    <s v="Swiggy"/>
    <x v="204"/>
    <d v="1899-12-30T12:57:00"/>
    <x v="0"/>
    <x v="29"/>
    <x v="0"/>
    <n v="376"/>
    <n v="376"/>
    <x v="1"/>
  </r>
  <r>
    <s v="ORD7141140"/>
    <s v="CUST0202"/>
    <s v="Swiggy"/>
    <x v="104"/>
    <d v="1899-12-30T17:05:00"/>
    <x v="0"/>
    <x v="182"/>
    <x v="0"/>
    <n v="574"/>
    <n v="574"/>
    <x v="1"/>
  </r>
  <r>
    <s v="ORD8662586"/>
    <s v="CUST0168"/>
    <s v="Swiggy"/>
    <x v="332"/>
    <d v="1899-12-30T20:08:00"/>
    <x v="1"/>
    <x v="105"/>
    <x v="0"/>
    <n v="0"/>
    <n v="803"/>
    <x v="1"/>
  </r>
  <r>
    <s v="ORD4855388"/>
    <s v="CUST0170"/>
    <s v="Swiggy"/>
    <x v="15"/>
    <d v="1899-12-30T16:54:00"/>
    <x v="0"/>
    <x v="86"/>
    <x v="103"/>
    <n v="143.1"/>
    <n v="159"/>
    <x v="1"/>
  </r>
  <r>
    <s v="ORD9593384"/>
    <s v="CUST0434"/>
    <s v="Swiggy"/>
    <x v="56"/>
    <d v="1899-12-30T20:21:00"/>
    <x v="0"/>
    <x v="331"/>
    <x v="0"/>
    <n v="823"/>
    <n v="823"/>
    <x v="1"/>
  </r>
  <r>
    <s v="ORD7738624"/>
    <s v="CUST0092"/>
    <s v="Zomato"/>
    <x v="266"/>
    <d v="1899-12-30T18:59:00"/>
    <x v="0"/>
    <x v="153"/>
    <x v="0"/>
    <n v="327"/>
    <n v="327"/>
    <x v="2"/>
  </r>
  <r>
    <s v="ORD8741107"/>
    <s v="CUST0369"/>
    <s v="Swiggy"/>
    <x v="163"/>
    <d v="1899-12-30T00:04:00"/>
    <x v="0"/>
    <x v="63"/>
    <x v="0"/>
    <n v="635"/>
    <n v="635"/>
    <x v="1"/>
  </r>
  <r>
    <s v="ORD1640552"/>
    <s v="CUST0101"/>
    <s v="Zomato"/>
    <x v="261"/>
    <d v="1899-12-30T20:36:00"/>
    <x v="0"/>
    <x v="49"/>
    <x v="0"/>
    <n v="277"/>
    <n v="277"/>
    <x v="1"/>
  </r>
  <r>
    <s v="ORD7545705"/>
    <s v="CUST0459"/>
    <s v="Direct"/>
    <x v="80"/>
    <d v="1899-12-30T16:42:00"/>
    <x v="0"/>
    <x v="332"/>
    <x v="0"/>
    <n v="573"/>
    <n v="573"/>
    <x v="0"/>
  </r>
  <r>
    <s v="ORD7596354"/>
    <s v="CUST0094"/>
    <s v="Direct"/>
    <x v="82"/>
    <d v="1899-12-30T13:16:00"/>
    <x v="0"/>
    <x v="14"/>
    <x v="206"/>
    <n v="378.25"/>
    <n v="445"/>
    <x v="0"/>
  </r>
  <r>
    <s v="ORD4264306"/>
    <s v="CUST0444"/>
    <s v="Zomato"/>
    <x v="297"/>
    <d v="1899-12-30T15:53:00"/>
    <x v="0"/>
    <x v="55"/>
    <x v="0"/>
    <n v="494"/>
    <n v="494"/>
    <x v="2"/>
  </r>
  <r>
    <s v="ORD3883285"/>
    <s v="CUST0086"/>
    <s v="Direct"/>
    <x v="16"/>
    <d v="1899-12-30T18:24:00"/>
    <x v="0"/>
    <x v="118"/>
    <x v="207"/>
    <n v="909.5"/>
    <n v="1070"/>
    <x v="0"/>
  </r>
  <r>
    <s v="ORD7480687"/>
    <s v="CUST0266"/>
    <s v="Zomato"/>
    <x v="238"/>
    <d v="1899-12-30T21:31:00"/>
    <x v="0"/>
    <x v="333"/>
    <x v="0"/>
    <n v="606"/>
    <n v="606"/>
    <x v="1"/>
  </r>
  <r>
    <s v="ORD9595138"/>
    <s v="CUST0450"/>
    <s v="Swiggy"/>
    <x v="160"/>
    <d v="1899-12-30T20:07:00"/>
    <x v="0"/>
    <x v="30"/>
    <x v="0"/>
    <n v="556"/>
    <n v="556"/>
    <x v="1"/>
  </r>
  <r>
    <s v="ORD1632342"/>
    <s v="CUST0298"/>
    <s v="Zomato"/>
    <x v="322"/>
    <d v="1899-12-30T21:21:00"/>
    <x v="0"/>
    <x v="21"/>
    <x v="0"/>
    <n v="435"/>
    <n v="435"/>
    <x v="1"/>
  </r>
  <r>
    <s v="ORD2633729"/>
    <s v="CUST0434"/>
    <s v="Direct"/>
    <x v="57"/>
    <d v="1899-12-30T22:46:00"/>
    <x v="0"/>
    <x v="41"/>
    <x v="0"/>
    <n v="693"/>
    <n v="693"/>
    <x v="1"/>
  </r>
  <r>
    <s v="ORD8661030"/>
    <s v="CUST0398"/>
    <s v="Zomato"/>
    <x v="312"/>
    <d v="1899-12-30T16:02:00"/>
    <x v="0"/>
    <x v="334"/>
    <x v="208"/>
    <n v="489.6"/>
    <n v="544"/>
    <x v="2"/>
  </r>
  <r>
    <s v="ORD6843777"/>
    <s v="CUST0264"/>
    <s v="Swiggy"/>
    <x v="160"/>
    <d v="1899-12-30T17:54:00"/>
    <x v="0"/>
    <x v="78"/>
    <x v="0"/>
    <n v="474"/>
    <n v="474"/>
    <x v="0"/>
  </r>
  <r>
    <s v="ORD8546050"/>
    <s v="CUST0213"/>
    <s v="Swiggy"/>
    <x v="333"/>
    <d v="1899-12-30T20:32:00"/>
    <x v="0"/>
    <x v="13"/>
    <x v="0"/>
    <n v="287"/>
    <n v="287"/>
    <x v="2"/>
  </r>
  <r>
    <s v="ORD8079391"/>
    <s v="CUST0174"/>
    <s v="Swiggy"/>
    <x v="297"/>
    <d v="1899-12-30T23:40:00"/>
    <x v="0"/>
    <x v="250"/>
    <x v="0"/>
    <n v="854"/>
    <n v="854"/>
    <x v="1"/>
  </r>
  <r>
    <s v="ORD1104984"/>
    <s v="CUST0014"/>
    <s v="Zomato"/>
    <x v="321"/>
    <d v="1899-12-30T15:21:00"/>
    <x v="0"/>
    <x v="50"/>
    <x v="0"/>
    <n v="99"/>
    <n v="99"/>
    <x v="0"/>
  </r>
  <r>
    <s v="ORD2941686"/>
    <s v="CUST0330"/>
    <s v="Direct"/>
    <x v="64"/>
    <d v="1899-12-30T17:08:00"/>
    <x v="0"/>
    <x v="182"/>
    <x v="209"/>
    <n v="545.29999999999995"/>
    <n v="574"/>
    <x v="1"/>
  </r>
  <r>
    <s v="ORD9231395"/>
    <s v="CUST0316"/>
    <s v="Zomato"/>
    <x v="262"/>
    <d v="1899-12-30T20:33:00"/>
    <x v="0"/>
    <x v="5"/>
    <x v="0"/>
    <n v="188"/>
    <n v="188"/>
    <x v="0"/>
  </r>
  <r>
    <s v="ORD3176618"/>
    <s v="CUST0077"/>
    <s v="Swiggy"/>
    <x v="154"/>
    <d v="1899-12-30T01:26:00"/>
    <x v="0"/>
    <x v="330"/>
    <x v="0"/>
    <n v="961"/>
    <n v="961"/>
    <x v="1"/>
  </r>
  <r>
    <s v="ORD4358481"/>
    <s v="CUST0429"/>
    <s v="Zomato"/>
    <x v="101"/>
    <d v="1899-12-30T17:12:00"/>
    <x v="1"/>
    <x v="33"/>
    <x v="0"/>
    <n v="0"/>
    <n v="218"/>
    <x v="1"/>
  </r>
  <r>
    <s v="ORD4421831"/>
    <s v="CUST0135"/>
    <s v="Zomato"/>
    <x v="160"/>
    <d v="1899-12-30T17:26:00"/>
    <x v="0"/>
    <x v="2"/>
    <x v="26"/>
    <n v="320.39999999999998"/>
    <n v="356"/>
    <x v="1"/>
  </r>
  <r>
    <s v="ORD7093273"/>
    <s v="CUST0238"/>
    <s v="Zomato"/>
    <x v="173"/>
    <d v="1899-12-30T18:30:00"/>
    <x v="0"/>
    <x v="313"/>
    <x v="0"/>
    <n v="943"/>
    <n v="943"/>
    <x v="0"/>
  </r>
  <r>
    <s v="ORD5044801"/>
    <s v="CUST0461"/>
    <s v="Swiggy"/>
    <x v="143"/>
    <d v="1899-12-30T22:24:00"/>
    <x v="0"/>
    <x v="5"/>
    <x v="0"/>
    <n v="188"/>
    <n v="188"/>
    <x v="1"/>
  </r>
  <r>
    <s v="ORD4645184"/>
    <s v="CUST0404"/>
    <s v="Swiggy"/>
    <x v="206"/>
    <d v="1899-12-30T12:28:00"/>
    <x v="0"/>
    <x v="6"/>
    <x v="0"/>
    <n v="158"/>
    <n v="158"/>
    <x v="1"/>
  </r>
  <r>
    <s v="ORD2691311"/>
    <s v="CUST0452"/>
    <s v="Zomato"/>
    <x v="79"/>
    <d v="1899-12-30T21:26:00"/>
    <x v="0"/>
    <x v="333"/>
    <x v="0"/>
    <n v="606"/>
    <n v="606"/>
    <x v="0"/>
  </r>
  <r>
    <s v="ORD4408903"/>
    <s v="CUST0296"/>
    <s v="Direct"/>
    <x v="100"/>
    <d v="1899-12-30T12:50:00"/>
    <x v="0"/>
    <x v="335"/>
    <x v="0"/>
    <n v="861"/>
    <n v="861"/>
    <x v="1"/>
  </r>
  <r>
    <s v="ORD5259672"/>
    <s v="CUST0171"/>
    <s v="Zomato"/>
    <x v="101"/>
    <d v="1899-12-30T16:36:00"/>
    <x v="0"/>
    <x v="336"/>
    <x v="210"/>
    <n v="1113.4000000000001"/>
    <n v="1172"/>
    <x v="1"/>
  </r>
  <r>
    <s v="ORD8860310"/>
    <s v="CUST0170"/>
    <s v="Zomato"/>
    <x v="53"/>
    <d v="1899-12-30T17:03:00"/>
    <x v="0"/>
    <x v="337"/>
    <x v="211"/>
    <n v="1055.45"/>
    <n v="1111"/>
    <x v="1"/>
  </r>
  <r>
    <s v="ORD7112061"/>
    <s v="CUST0051"/>
    <s v="Zomato"/>
    <x v="22"/>
    <d v="1899-12-30T21:48:00"/>
    <x v="0"/>
    <x v="231"/>
    <x v="212"/>
    <n v="598.5"/>
    <n v="665"/>
    <x v="1"/>
  </r>
  <r>
    <s v="ORD8354627"/>
    <s v="CUST0258"/>
    <s v="Swiggy"/>
    <x v="180"/>
    <d v="1899-12-30T22:33:00"/>
    <x v="0"/>
    <x v="256"/>
    <x v="0"/>
    <n v="466"/>
    <n v="466"/>
    <x v="1"/>
  </r>
  <r>
    <s v="ORD6068456"/>
    <s v="CUST0009"/>
    <s v="Zomato"/>
    <x v="30"/>
    <d v="1899-12-30T09:12:00"/>
    <x v="0"/>
    <x v="119"/>
    <x v="0"/>
    <n v="844"/>
    <n v="844"/>
    <x v="1"/>
  </r>
  <r>
    <s v="ORD3809849"/>
    <s v="CUST0399"/>
    <s v="Zomato"/>
    <x v="129"/>
    <d v="1899-12-30T10:01:00"/>
    <x v="1"/>
    <x v="253"/>
    <x v="213"/>
    <n v="0"/>
    <n v="704"/>
    <x v="1"/>
  </r>
  <r>
    <s v="ORD9386347"/>
    <s v="CUST0108"/>
    <s v="Swiggy"/>
    <x v="146"/>
    <d v="1899-12-30T19:05:00"/>
    <x v="0"/>
    <x v="131"/>
    <x v="0"/>
    <n v="485"/>
    <n v="485"/>
    <x v="1"/>
  </r>
  <r>
    <s v="ORD1897639"/>
    <s v="CUST0386"/>
    <s v="Swiggy"/>
    <x v="30"/>
    <d v="1899-12-30T15:29:00"/>
    <x v="0"/>
    <x v="34"/>
    <x v="0"/>
    <n v="228"/>
    <n v="228"/>
    <x v="1"/>
  </r>
  <r>
    <s v="ORD9877751"/>
    <s v="CUST0371"/>
    <s v="Zomato"/>
    <x v="44"/>
    <d v="1899-12-30T22:08:00"/>
    <x v="0"/>
    <x v="127"/>
    <x v="47"/>
    <n v="716.3"/>
    <n v="754"/>
    <x v="0"/>
  </r>
  <r>
    <s v="ORD5731929"/>
    <s v="CUST0267"/>
    <s v="Zomato"/>
    <x v="218"/>
    <d v="1899-12-30T13:49:00"/>
    <x v="0"/>
    <x v="11"/>
    <x v="0"/>
    <n v="267"/>
    <n v="267"/>
    <x v="1"/>
  </r>
  <r>
    <s v="ORD6480097"/>
    <s v="CUST0005"/>
    <s v="Swiggy"/>
    <x v="89"/>
    <d v="1899-12-30T18:55:00"/>
    <x v="0"/>
    <x v="190"/>
    <x v="0"/>
    <n v="475"/>
    <n v="475"/>
    <x v="2"/>
  </r>
  <r>
    <s v="ORD1020737"/>
    <s v="CUST0405"/>
    <s v="Zomato"/>
    <x v="184"/>
    <d v="1899-12-30T15:53:00"/>
    <x v="0"/>
    <x v="218"/>
    <x v="0"/>
    <n v="1052"/>
    <n v="1052"/>
    <x v="2"/>
  </r>
  <r>
    <s v="ORD6480092"/>
    <s v="CUST0479"/>
    <s v="Zomato"/>
    <x v="218"/>
    <d v="1899-12-30T17:27:00"/>
    <x v="0"/>
    <x v="72"/>
    <x v="0"/>
    <n v="168"/>
    <n v="168"/>
    <x v="2"/>
  </r>
  <r>
    <s v="ORD8087699"/>
    <s v="CUST0247"/>
    <s v="Direct"/>
    <x v="57"/>
    <d v="1899-12-30T09:09:00"/>
    <x v="0"/>
    <x v="191"/>
    <x v="0"/>
    <n v="257"/>
    <n v="257"/>
    <x v="1"/>
  </r>
  <r>
    <s v="ORD1375480"/>
    <s v="CUST0219"/>
    <s v="Direct"/>
    <x v="159"/>
    <d v="1899-12-30T10:27:00"/>
    <x v="0"/>
    <x v="170"/>
    <x v="69"/>
    <n v="462.6"/>
    <n v="514"/>
    <x v="1"/>
  </r>
  <r>
    <s v="ORD1127128"/>
    <s v="CUST0450"/>
    <s v="Swiggy"/>
    <x v="47"/>
    <d v="1899-12-30T11:52:00"/>
    <x v="0"/>
    <x v="1"/>
    <x v="0"/>
    <n v="238"/>
    <n v="238"/>
    <x v="1"/>
  </r>
  <r>
    <s v="ORD6171733"/>
    <s v="CUST0189"/>
    <s v="Zomato"/>
    <x v="193"/>
    <d v="1899-12-30T21:28:00"/>
    <x v="1"/>
    <x v="1"/>
    <x v="0"/>
    <n v="0"/>
    <n v="238"/>
    <x v="1"/>
  </r>
  <r>
    <s v="ORD2785515"/>
    <s v="CUST0129"/>
    <s v="Zomato"/>
    <x v="114"/>
    <d v="1899-12-30T17:15:00"/>
    <x v="0"/>
    <x v="303"/>
    <x v="214"/>
    <n v="757.35"/>
    <n v="891"/>
    <x v="1"/>
  </r>
  <r>
    <s v="ORD2509625"/>
    <s v="CUST0205"/>
    <s v="Zomato"/>
    <x v="94"/>
    <d v="1899-12-30T16:28:00"/>
    <x v="0"/>
    <x v="84"/>
    <x v="215"/>
    <n v="580.5"/>
    <n v="645"/>
    <x v="0"/>
  </r>
  <r>
    <s v="ORD6749870"/>
    <s v="CUST0369"/>
    <s v="Zomato"/>
    <x v="188"/>
    <d v="1899-12-30T16:55:00"/>
    <x v="0"/>
    <x v="49"/>
    <x v="0"/>
    <n v="277"/>
    <n v="277"/>
    <x v="1"/>
  </r>
  <r>
    <s v="ORD9903570"/>
    <s v="CUST0446"/>
    <s v="Zomato"/>
    <x v="293"/>
    <d v="1899-12-30T16:52:00"/>
    <x v="0"/>
    <x v="54"/>
    <x v="16"/>
    <n v="160.19999999999999"/>
    <n v="178"/>
    <x v="0"/>
  </r>
  <r>
    <s v="ORD8205561"/>
    <s v="CUST0182"/>
    <s v="Zomato"/>
    <x v="155"/>
    <d v="1899-12-30T20:43:00"/>
    <x v="1"/>
    <x v="6"/>
    <x v="0"/>
    <n v="0"/>
    <n v="158"/>
    <x v="0"/>
  </r>
  <r>
    <s v="ORD8373187"/>
    <s v="CUST0422"/>
    <s v="Swiggy"/>
    <x v="300"/>
    <d v="1899-12-30T19:10:00"/>
    <x v="0"/>
    <x v="182"/>
    <x v="209"/>
    <n v="545.29999999999995"/>
    <n v="574"/>
    <x v="1"/>
  </r>
  <r>
    <s v="ORD1418312"/>
    <s v="CUST0160"/>
    <s v="Direct"/>
    <x v="217"/>
    <d v="1899-12-30T19:06:00"/>
    <x v="0"/>
    <x v="137"/>
    <x v="0"/>
    <n v="397"/>
    <n v="397"/>
    <x v="1"/>
  </r>
  <r>
    <s v="ORD5522403"/>
    <s v="CUST0421"/>
    <s v="Swiggy"/>
    <x v="13"/>
    <d v="1899-12-30T20:04:00"/>
    <x v="0"/>
    <x v="195"/>
    <x v="216"/>
    <n v="470.25"/>
    <n v="495"/>
    <x v="1"/>
  </r>
  <r>
    <s v="ORD9336696"/>
    <s v="CUST0414"/>
    <s v="Swiggy"/>
    <x v="214"/>
    <d v="1899-12-30T20:02:00"/>
    <x v="0"/>
    <x v="172"/>
    <x v="118"/>
    <n v="365.4"/>
    <n v="406"/>
    <x v="2"/>
  </r>
  <r>
    <s v="ORD2670620"/>
    <s v="CUST0211"/>
    <s v="Direct"/>
    <x v="278"/>
    <d v="1899-12-30T18:06:00"/>
    <x v="0"/>
    <x v="13"/>
    <x v="0"/>
    <n v="287"/>
    <n v="287"/>
    <x v="2"/>
  </r>
  <r>
    <s v="ORD9646777"/>
    <s v="CUST0378"/>
    <s v="Swiggy"/>
    <x v="285"/>
    <d v="1899-12-30T17:13:00"/>
    <x v="1"/>
    <x v="2"/>
    <x v="0"/>
    <n v="0"/>
    <n v="356"/>
    <x v="1"/>
  </r>
  <r>
    <s v="ORD1855315"/>
    <s v="CUST0014"/>
    <s v="Zomato"/>
    <x v="322"/>
    <d v="1899-12-30T21:08:00"/>
    <x v="0"/>
    <x v="33"/>
    <x v="0"/>
    <n v="218"/>
    <n v="218"/>
    <x v="0"/>
  </r>
  <r>
    <s v="ORD2595144"/>
    <s v="CUST0339"/>
    <s v="Swiggy"/>
    <x v="97"/>
    <d v="1899-12-30T01:51:00"/>
    <x v="0"/>
    <x v="338"/>
    <x v="0"/>
    <n v="1399"/>
    <n v="1399"/>
    <x v="0"/>
  </r>
  <r>
    <s v="ORD9449836"/>
    <s v="CUST0375"/>
    <s v="Swiggy"/>
    <x v="334"/>
    <d v="1899-12-30T19:01:00"/>
    <x v="1"/>
    <x v="306"/>
    <x v="217"/>
    <n v="0"/>
    <n v="1726"/>
    <x v="0"/>
  </r>
  <r>
    <s v="ORD4911403"/>
    <s v="CUST0263"/>
    <s v="Swiggy"/>
    <x v="335"/>
    <d v="1899-12-30T18:33:00"/>
    <x v="0"/>
    <x v="21"/>
    <x v="0"/>
    <n v="435"/>
    <n v="435"/>
    <x v="0"/>
  </r>
  <r>
    <s v="ORD2428211"/>
    <s v="CUST0097"/>
    <s v="Zomato"/>
    <x v="61"/>
    <d v="1899-12-30T11:53:00"/>
    <x v="0"/>
    <x v="242"/>
    <x v="0"/>
    <n v="873"/>
    <n v="873"/>
    <x v="0"/>
  </r>
  <r>
    <s v="ORD8773875"/>
    <s v="CUST0463"/>
    <s v="Swiggy"/>
    <x v="94"/>
    <d v="1899-12-30T19:35:00"/>
    <x v="0"/>
    <x v="91"/>
    <x v="0"/>
    <n v="505"/>
    <n v="505"/>
    <x v="0"/>
  </r>
  <r>
    <s v="ORD6949369"/>
    <s v="CUST0298"/>
    <s v="Zomato"/>
    <x v="41"/>
    <d v="1899-12-30T10:50:00"/>
    <x v="0"/>
    <x v="6"/>
    <x v="0"/>
    <n v="158"/>
    <n v="158"/>
    <x v="1"/>
  </r>
  <r>
    <s v="ORD7331500"/>
    <s v="CUST0115"/>
    <s v="Zomato"/>
    <x v="262"/>
    <d v="1899-12-30T23:35:00"/>
    <x v="0"/>
    <x v="6"/>
    <x v="0"/>
    <n v="158"/>
    <n v="158"/>
    <x v="0"/>
  </r>
  <r>
    <s v="ORD8073819"/>
    <s v="CUST0328"/>
    <s v="Zomato"/>
    <x v="253"/>
    <d v="1899-12-30T17:18:00"/>
    <x v="0"/>
    <x v="26"/>
    <x v="0"/>
    <n v="515"/>
    <n v="515"/>
    <x v="1"/>
  </r>
  <r>
    <s v="ORD6965497"/>
    <s v="CUST0082"/>
    <s v="Direct"/>
    <x v="138"/>
    <d v="1899-12-30T19:09:00"/>
    <x v="1"/>
    <x v="21"/>
    <x v="0"/>
    <n v="0"/>
    <n v="435"/>
    <x v="1"/>
  </r>
  <r>
    <s v="ORD1689341"/>
    <s v="CUST0257"/>
    <s v="Zomato"/>
    <x v="308"/>
    <d v="1899-12-30T20:44:00"/>
    <x v="0"/>
    <x v="339"/>
    <x v="218"/>
    <n v="847.8"/>
    <n v="942"/>
    <x v="1"/>
  </r>
  <r>
    <s v="ORD6031481"/>
    <s v="CUST0427"/>
    <s v="Zomato"/>
    <x v="219"/>
    <d v="1899-12-30T16:39:00"/>
    <x v="0"/>
    <x v="152"/>
    <x v="119"/>
    <n v="535.5"/>
    <n v="595"/>
    <x v="2"/>
  </r>
  <r>
    <s v="ORD4432133"/>
    <s v="CUST0084"/>
    <s v="Direct"/>
    <x v="97"/>
    <d v="1899-12-30T01:52:00"/>
    <x v="0"/>
    <x v="6"/>
    <x v="0"/>
    <n v="158"/>
    <n v="158"/>
    <x v="1"/>
  </r>
  <r>
    <s v="ORD9573888"/>
    <s v="CUST0131"/>
    <s v="Zomato"/>
    <x v="270"/>
    <d v="1899-12-30T09:58:00"/>
    <x v="0"/>
    <x v="298"/>
    <x v="0"/>
    <n v="755"/>
    <n v="755"/>
    <x v="0"/>
  </r>
  <r>
    <s v="ORD6333203"/>
    <s v="CUST0316"/>
    <s v="Zomato"/>
    <x v="33"/>
    <d v="1899-12-30T18:07:00"/>
    <x v="0"/>
    <x v="340"/>
    <x v="0"/>
    <n v="1168"/>
    <n v="1168"/>
    <x v="0"/>
  </r>
  <r>
    <s v="ORD1701806"/>
    <s v="CUST0305"/>
    <s v="Swiggy"/>
    <x v="206"/>
    <d v="1899-12-30T21:16:00"/>
    <x v="0"/>
    <x v="202"/>
    <x v="0"/>
    <n v="405"/>
    <n v="405"/>
    <x v="1"/>
  </r>
  <r>
    <s v="ORD4098885"/>
    <s v="CUST0116"/>
    <s v="Swiggy"/>
    <x v="137"/>
    <d v="1899-12-30T10:50:00"/>
    <x v="0"/>
    <x v="127"/>
    <x v="0"/>
    <n v="754"/>
    <n v="754"/>
    <x v="1"/>
  </r>
  <r>
    <s v="ORD6240368"/>
    <s v="CUST0477"/>
    <s v="Swiggy"/>
    <x v="208"/>
    <d v="1899-12-30T19:19:00"/>
    <x v="0"/>
    <x v="122"/>
    <x v="75"/>
    <n v="471.2"/>
    <n v="496"/>
    <x v="0"/>
  </r>
  <r>
    <s v="ORD7061877"/>
    <s v="CUST0352"/>
    <s v="Swiggy"/>
    <x v="10"/>
    <d v="1899-12-30T09:54:00"/>
    <x v="0"/>
    <x v="172"/>
    <x v="219"/>
    <n v="385.7"/>
    <n v="406"/>
    <x v="0"/>
  </r>
  <r>
    <s v="ORD6274555"/>
    <s v="CUST0203"/>
    <s v="Zomato"/>
    <x v="287"/>
    <d v="1899-12-30T20:51:00"/>
    <x v="0"/>
    <x v="70"/>
    <x v="0"/>
    <n v="317"/>
    <n v="317"/>
    <x v="1"/>
  </r>
  <r>
    <s v="ORD6052169"/>
    <s v="CUST0305"/>
    <s v="Swiggy"/>
    <x v="48"/>
    <d v="1899-12-30T16:01:00"/>
    <x v="0"/>
    <x v="190"/>
    <x v="0"/>
    <n v="475"/>
    <n v="475"/>
    <x v="1"/>
  </r>
  <r>
    <s v="ORD8236684"/>
    <s v="CUST0286"/>
    <s v="Swiggy"/>
    <x v="283"/>
    <d v="1899-12-30T21:55:00"/>
    <x v="0"/>
    <x v="216"/>
    <x v="0"/>
    <n v="296"/>
    <n v="296"/>
    <x v="1"/>
  </r>
  <r>
    <s v="ORD1489629"/>
    <s v="CUST0227"/>
    <s v="Zomato"/>
    <x v="197"/>
    <d v="1899-12-30T22:48:00"/>
    <x v="0"/>
    <x v="334"/>
    <x v="0"/>
    <n v="544"/>
    <n v="544"/>
    <x v="1"/>
  </r>
  <r>
    <s v="ORD7785319"/>
    <s v="CUST0401"/>
    <s v="Zomato"/>
    <x v="166"/>
    <d v="1899-12-30T17:54:00"/>
    <x v="0"/>
    <x v="31"/>
    <x v="0"/>
    <n v="386"/>
    <n v="386"/>
    <x v="2"/>
  </r>
  <r>
    <s v="ORD8138632"/>
    <s v="CUST0356"/>
    <s v="Direct"/>
    <x v="166"/>
    <d v="1899-12-30T16:00:00"/>
    <x v="0"/>
    <x v="341"/>
    <x v="0"/>
    <n v="1279"/>
    <n v="1279"/>
    <x v="1"/>
  </r>
  <r>
    <s v="ORD3967512"/>
    <s v="CUST0015"/>
    <s v="Zomato"/>
    <x v="336"/>
    <d v="1899-12-30T16:24:00"/>
    <x v="0"/>
    <x v="300"/>
    <x v="0"/>
    <n v="652"/>
    <n v="652"/>
    <x v="2"/>
  </r>
  <r>
    <s v="ORD9661579"/>
    <s v="CUST0056"/>
    <s v="Zomato"/>
    <x v="134"/>
    <d v="1899-12-30T20:00:00"/>
    <x v="0"/>
    <x v="188"/>
    <x v="0"/>
    <n v="248"/>
    <n v="248"/>
    <x v="2"/>
  </r>
  <r>
    <s v="ORD3263414"/>
    <s v="CUST0411"/>
    <s v="Zomato"/>
    <x v="302"/>
    <d v="1899-12-30T16:59:00"/>
    <x v="0"/>
    <x v="53"/>
    <x v="0"/>
    <n v="367"/>
    <n v="367"/>
    <x v="1"/>
  </r>
  <r>
    <s v="ORD7473815"/>
    <s v="CUST0117"/>
    <s v="Zomato"/>
    <x v="171"/>
    <d v="1899-12-30T22:21:00"/>
    <x v="0"/>
    <x v="195"/>
    <x v="216"/>
    <n v="470.25"/>
    <n v="495"/>
    <x v="2"/>
  </r>
  <r>
    <s v="ORD4901721"/>
    <s v="CUST0159"/>
    <s v="Zomato"/>
    <x v="184"/>
    <d v="1899-12-30T20:11:00"/>
    <x v="0"/>
    <x v="198"/>
    <x v="121"/>
    <n v="534.6"/>
    <n v="594"/>
    <x v="1"/>
  </r>
  <r>
    <s v="ORD3443467"/>
    <s v="CUST0240"/>
    <s v="Zomato"/>
    <x v="118"/>
    <d v="1899-12-30T13:41:00"/>
    <x v="0"/>
    <x v="342"/>
    <x v="0"/>
    <n v="999"/>
    <n v="999"/>
    <x v="1"/>
  </r>
  <r>
    <s v="ORD7679747"/>
    <s v="CUST0225"/>
    <s v="Direct"/>
    <x v="65"/>
    <d v="1899-12-30T10:28:00"/>
    <x v="0"/>
    <x v="222"/>
    <x v="220"/>
    <n v="556.75"/>
    <n v="655"/>
    <x v="1"/>
  </r>
  <r>
    <s v="ORD1211654"/>
    <s v="CUST0244"/>
    <s v="Zomato"/>
    <x v="313"/>
    <d v="1899-12-30T10:57:00"/>
    <x v="0"/>
    <x v="165"/>
    <x v="0"/>
    <n v="278"/>
    <n v="278"/>
    <x v="1"/>
  </r>
  <r>
    <s v="ORD7486289"/>
    <s v="CUST0326"/>
    <s v="Zomato"/>
    <x v="128"/>
    <d v="1899-12-30T18:45:00"/>
    <x v="1"/>
    <x v="343"/>
    <x v="0"/>
    <n v="0"/>
    <n v="603"/>
    <x v="1"/>
  </r>
  <r>
    <s v="ORD7649465"/>
    <s v="CUST0054"/>
    <s v="Swiggy"/>
    <x v="265"/>
    <d v="1899-12-30T01:47:00"/>
    <x v="0"/>
    <x v="239"/>
    <x v="0"/>
    <n v="326"/>
    <n v="326"/>
    <x v="1"/>
  </r>
  <r>
    <s v="ORD9921066"/>
    <s v="CUST0135"/>
    <s v="Zomato"/>
    <x v="118"/>
    <d v="1899-12-30T14:16:00"/>
    <x v="0"/>
    <x v="328"/>
    <x v="0"/>
    <n v="982"/>
    <n v="982"/>
    <x v="1"/>
  </r>
  <r>
    <s v="ORD3467652"/>
    <s v="CUST0330"/>
    <s v="Swiggy"/>
    <x v="231"/>
    <d v="1899-12-30T14:15:00"/>
    <x v="0"/>
    <x v="77"/>
    <x v="221"/>
    <n v="804.6"/>
    <n v="894"/>
    <x v="1"/>
  </r>
  <r>
    <s v="ORD2022082"/>
    <s v="CUST0455"/>
    <s v="Swiggy"/>
    <x v="16"/>
    <d v="1899-12-30T17:56:00"/>
    <x v="0"/>
    <x v="124"/>
    <x v="52"/>
    <n v="433.2"/>
    <n v="456"/>
    <x v="1"/>
  </r>
  <r>
    <s v="ORD3936508"/>
    <s v="CUST0196"/>
    <s v="Swiggy"/>
    <x v="178"/>
    <d v="1899-12-30T23:47:00"/>
    <x v="0"/>
    <x v="5"/>
    <x v="222"/>
    <n v="178.6"/>
    <n v="188"/>
    <x v="1"/>
  </r>
  <r>
    <s v="ORD9388090"/>
    <s v="CUST0331"/>
    <s v="Swiggy"/>
    <x v="241"/>
    <d v="1899-12-30T11:07:00"/>
    <x v="0"/>
    <x v="69"/>
    <x v="0"/>
    <n v="593"/>
    <n v="593"/>
    <x v="0"/>
  </r>
  <r>
    <s v="ORD3444535"/>
    <s v="CUST0474"/>
    <s v="Zomato"/>
    <x v="31"/>
    <d v="1899-12-30T20:35:00"/>
    <x v="0"/>
    <x v="39"/>
    <x v="110"/>
    <n v="75.05"/>
    <n v="79"/>
    <x v="0"/>
  </r>
  <r>
    <s v="ORD7365316"/>
    <s v="CUST0198"/>
    <s v="Zomato"/>
    <x v="325"/>
    <d v="1899-12-30T21:33:00"/>
    <x v="0"/>
    <x v="17"/>
    <x v="0"/>
    <n v="297"/>
    <n v="297"/>
    <x v="1"/>
  </r>
  <r>
    <s v="ORD1187973"/>
    <s v="CUST0367"/>
    <s v="Zomato"/>
    <x v="105"/>
    <d v="1899-12-30T01:30:00"/>
    <x v="0"/>
    <x v="48"/>
    <x v="0"/>
    <n v="89"/>
    <n v="89"/>
    <x v="1"/>
  </r>
  <r>
    <s v="ORD6357379"/>
    <s v="CUST0284"/>
    <s v="Zomato"/>
    <x v="295"/>
    <d v="1899-12-30T12:57:00"/>
    <x v="0"/>
    <x v="344"/>
    <x v="0"/>
    <n v="784"/>
    <n v="784"/>
    <x v="0"/>
  </r>
  <r>
    <s v="ORD6308180"/>
    <s v="CUST0444"/>
    <s v="Direct"/>
    <x v="95"/>
    <d v="1899-12-30T18:26:00"/>
    <x v="0"/>
    <x v="11"/>
    <x v="72"/>
    <n v="240.3"/>
    <n v="267"/>
    <x v="2"/>
  </r>
  <r>
    <s v="ORD8340617"/>
    <s v="CUST0381"/>
    <s v="Swiggy"/>
    <x v="279"/>
    <d v="1899-12-30T18:21:00"/>
    <x v="0"/>
    <x v="155"/>
    <x v="0"/>
    <n v="415"/>
    <n v="415"/>
    <x v="1"/>
  </r>
  <r>
    <s v="ORD2451929"/>
    <s v="CUST0470"/>
    <s v="Zomato"/>
    <x v="227"/>
    <d v="1899-12-30T21:25:00"/>
    <x v="0"/>
    <x v="0"/>
    <x v="0"/>
    <n v="207"/>
    <n v="207"/>
    <x v="0"/>
  </r>
  <r>
    <s v="ORD9771006"/>
    <s v="CUST0317"/>
    <s v="Zomato"/>
    <x v="316"/>
    <d v="1899-12-30T13:49:00"/>
    <x v="1"/>
    <x v="16"/>
    <x v="0"/>
    <n v="0"/>
    <n v="447"/>
    <x v="1"/>
  </r>
  <r>
    <s v="ORD7799074"/>
    <s v="CUST0274"/>
    <s v="Swiggy"/>
    <x v="38"/>
    <d v="1899-12-30T17:24:00"/>
    <x v="0"/>
    <x v="47"/>
    <x v="0"/>
    <n v="198"/>
    <n v="198"/>
    <x v="1"/>
  </r>
  <r>
    <s v="ORD9141900"/>
    <s v="CUST0350"/>
    <s v="Swiggy"/>
    <x v="67"/>
    <d v="1899-12-30T19:33:00"/>
    <x v="1"/>
    <x v="17"/>
    <x v="158"/>
    <n v="0"/>
    <n v="297"/>
    <x v="0"/>
  </r>
  <r>
    <s v="ORD1392144"/>
    <s v="CUST0233"/>
    <s v="Direct"/>
    <x v="78"/>
    <d v="1899-12-30T16:36:00"/>
    <x v="1"/>
    <x v="70"/>
    <x v="0"/>
    <n v="0"/>
    <n v="317"/>
    <x v="0"/>
  </r>
  <r>
    <s v="ORD4133513"/>
    <s v="CUST0287"/>
    <s v="Swiggy"/>
    <x v="218"/>
    <d v="1899-12-30T23:36:00"/>
    <x v="0"/>
    <x v="345"/>
    <x v="223"/>
    <n v="83.3"/>
    <n v="98"/>
    <x v="2"/>
  </r>
  <r>
    <s v="ORD9564714"/>
    <s v="CUST0237"/>
    <s v="Zomato"/>
    <x v="184"/>
    <d v="1899-12-30T16:50:00"/>
    <x v="0"/>
    <x v="212"/>
    <x v="0"/>
    <n v="564"/>
    <n v="564"/>
    <x v="1"/>
  </r>
  <r>
    <s v="ORD7758079"/>
    <s v="CUST0075"/>
    <s v="Zomato"/>
    <x v="6"/>
    <d v="1899-12-30T21:35:00"/>
    <x v="0"/>
    <x v="37"/>
    <x v="205"/>
    <n v="432.25"/>
    <n v="455"/>
    <x v="1"/>
  </r>
  <r>
    <s v="ORD3212752"/>
    <s v="CUST0375"/>
    <s v="Zomato"/>
    <x v="221"/>
    <d v="1899-12-30T13:46:00"/>
    <x v="0"/>
    <x v="346"/>
    <x v="224"/>
    <n v="885.4"/>
    <n v="932"/>
    <x v="0"/>
  </r>
  <r>
    <s v="ORD1303026"/>
    <s v="CUST0001"/>
    <s v="Swiggy"/>
    <x v="126"/>
    <d v="1899-12-30T22:53:00"/>
    <x v="0"/>
    <x v="2"/>
    <x v="0"/>
    <n v="356"/>
    <n v="356"/>
    <x v="0"/>
  </r>
  <r>
    <s v="ORD5671550"/>
    <s v="CUST0109"/>
    <s v="Swiggy"/>
    <x v="108"/>
    <d v="1899-12-30T22:10:00"/>
    <x v="0"/>
    <x v="164"/>
    <x v="225"/>
    <n v="809.4"/>
    <n v="852"/>
    <x v="1"/>
  </r>
  <r>
    <s v="ORD8041150"/>
    <s v="CUST0047"/>
    <s v="Zomato"/>
    <x v="335"/>
    <d v="1899-12-30T19:15:00"/>
    <x v="0"/>
    <x v="83"/>
    <x v="0"/>
    <n v="316"/>
    <n v="316"/>
    <x v="0"/>
  </r>
  <r>
    <s v="ORD1989886"/>
    <s v="CUST0358"/>
    <s v="Swiggy"/>
    <x v="275"/>
    <d v="1899-12-30T20:41:00"/>
    <x v="0"/>
    <x v="48"/>
    <x v="0"/>
    <n v="89"/>
    <n v="89"/>
    <x v="1"/>
  </r>
  <r>
    <s v="ORD2356787"/>
    <s v="CUST0162"/>
    <s v="Zomato"/>
    <x v="124"/>
    <d v="1899-12-30T01:05:00"/>
    <x v="0"/>
    <x v="49"/>
    <x v="0"/>
    <n v="277"/>
    <n v="277"/>
    <x v="1"/>
  </r>
  <r>
    <s v="ORD1077233"/>
    <s v="CUST0161"/>
    <s v="Swiggy"/>
    <x v="164"/>
    <d v="1899-12-30T19:37:00"/>
    <x v="0"/>
    <x v="53"/>
    <x v="0"/>
    <n v="367"/>
    <n v="367"/>
    <x v="2"/>
  </r>
  <r>
    <s v="ORD9756078"/>
    <s v="CUST0416"/>
    <s v="Swiggy"/>
    <x v="1"/>
    <d v="1899-12-30T18:14:00"/>
    <x v="0"/>
    <x v="29"/>
    <x v="0"/>
    <n v="376"/>
    <n v="376"/>
    <x v="1"/>
  </r>
  <r>
    <s v="ORD9634736"/>
    <s v="CUST0429"/>
    <s v="Swiggy"/>
    <x v="147"/>
    <d v="1899-12-30T16:26:00"/>
    <x v="0"/>
    <x v="347"/>
    <x v="0"/>
    <n v="692"/>
    <n v="692"/>
    <x v="1"/>
  </r>
  <r>
    <s v="ORD8856301"/>
    <s v="CUST0351"/>
    <s v="Zomato"/>
    <x v="143"/>
    <d v="1899-12-30T15:14:00"/>
    <x v="0"/>
    <x v="54"/>
    <x v="0"/>
    <n v="178"/>
    <n v="178"/>
    <x v="2"/>
  </r>
  <r>
    <s v="ORD5580322"/>
    <s v="CUST0272"/>
    <s v="Zomato"/>
    <x v="228"/>
    <d v="1899-12-30T17:26:00"/>
    <x v="0"/>
    <x v="8"/>
    <x v="0"/>
    <n v="387"/>
    <n v="387"/>
    <x v="1"/>
  </r>
  <r>
    <s v="ORD3967499"/>
    <s v="CUST0100"/>
    <s v="Swiggy"/>
    <x v="171"/>
    <d v="1899-12-30T20:32:00"/>
    <x v="0"/>
    <x v="286"/>
    <x v="226"/>
    <n v="523.79999999999995"/>
    <n v="582"/>
    <x v="2"/>
  </r>
  <r>
    <s v="ORD6912948"/>
    <s v="CUST0230"/>
    <s v="Swiggy"/>
    <x v="142"/>
    <d v="1899-12-30T15:23:00"/>
    <x v="0"/>
    <x v="2"/>
    <x v="0"/>
    <n v="356"/>
    <n v="356"/>
    <x v="1"/>
  </r>
  <r>
    <s v="ORD6192100"/>
    <s v="CUST0022"/>
    <s v="Zomato"/>
    <x v="201"/>
    <d v="1899-12-30T18:06:00"/>
    <x v="0"/>
    <x v="24"/>
    <x v="0"/>
    <n v="605"/>
    <n v="605"/>
    <x v="2"/>
  </r>
  <r>
    <s v="ORD8468968"/>
    <s v="CUST0169"/>
    <s v="Swiggy"/>
    <x v="195"/>
    <d v="1899-12-30T09:09:00"/>
    <x v="0"/>
    <x v="86"/>
    <x v="227"/>
    <n v="135.15"/>
    <n v="159"/>
    <x v="0"/>
  </r>
  <r>
    <s v="ORD2395156"/>
    <s v="CUST0471"/>
    <s v="Direct"/>
    <x v="3"/>
    <d v="1899-12-30T14:52:00"/>
    <x v="0"/>
    <x v="348"/>
    <x v="228"/>
    <n v="1014.3"/>
    <n v="1127"/>
    <x v="1"/>
  </r>
  <r>
    <s v="ORD4600370"/>
    <s v="CUST0164"/>
    <s v="Zomato"/>
    <x v="70"/>
    <d v="1899-12-30T09:05:00"/>
    <x v="0"/>
    <x v="141"/>
    <x v="229"/>
    <n v="734.35"/>
    <n v="773"/>
    <x v="1"/>
  </r>
  <r>
    <s v="ORD8779521"/>
    <s v="CUST0098"/>
    <s v="Swiggy"/>
    <x v="193"/>
    <d v="1899-12-30T19:45:00"/>
    <x v="1"/>
    <x v="8"/>
    <x v="0"/>
    <n v="0"/>
    <n v="387"/>
    <x v="2"/>
  </r>
  <r>
    <s v="ORD6101321"/>
    <s v="CUST0347"/>
    <s v="Swiggy"/>
    <x v="206"/>
    <d v="1899-12-30T19:18:00"/>
    <x v="0"/>
    <x v="6"/>
    <x v="134"/>
    <n v="150.1"/>
    <n v="158"/>
    <x v="0"/>
  </r>
  <r>
    <s v="ORD6031351"/>
    <s v="CUST0146"/>
    <s v="Zomato"/>
    <x v="59"/>
    <d v="1899-12-30T21:48:00"/>
    <x v="1"/>
    <x v="349"/>
    <x v="0"/>
    <n v="0"/>
    <n v="1178"/>
    <x v="1"/>
  </r>
  <r>
    <s v="ORD1557971"/>
    <s v="CUST0186"/>
    <s v="Zomato"/>
    <x v="269"/>
    <d v="1899-12-30T17:02:00"/>
    <x v="0"/>
    <x v="34"/>
    <x v="0"/>
    <n v="228"/>
    <n v="228"/>
    <x v="1"/>
  </r>
  <r>
    <s v="ORD8369095"/>
    <s v="CUST0038"/>
    <s v="Swiggy"/>
    <x v="232"/>
    <d v="1899-12-30T23:03:00"/>
    <x v="0"/>
    <x v="41"/>
    <x v="0"/>
    <n v="693"/>
    <n v="693"/>
    <x v="2"/>
  </r>
  <r>
    <s v="ORD5848213"/>
    <s v="CUST0100"/>
    <s v="Swiggy"/>
    <x v="126"/>
    <d v="1899-12-30T12:42:00"/>
    <x v="0"/>
    <x v="239"/>
    <x v="0"/>
    <n v="326"/>
    <n v="326"/>
    <x v="2"/>
  </r>
  <r>
    <s v="ORD1185458"/>
    <s v="CUST0325"/>
    <s v="Zomato"/>
    <x v="337"/>
    <d v="1899-12-30T17:10:00"/>
    <x v="0"/>
    <x v="350"/>
    <x v="0"/>
    <n v="108"/>
    <n v="108"/>
    <x v="1"/>
  </r>
  <r>
    <s v="ORD3507382"/>
    <s v="CUST0322"/>
    <s v="Zomato"/>
    <x v="303"/>
    <d v="1899-12-30T20:03:00"/>
    <x v="0"/>
    <x v="98"/>
    <x v="0"/>
    <n v="585"/>
    <n v="585"/>
    <x v="0"/>
  </r>
  <r>
    <s v="ORD7945843"/>
    <s v="CUST0003"/>
    <s v="Swiggy"/>
    <x v="25"/>
    <d v="1899-12-30T14:15:00"/>
    <x v="0"/>
    <x v="6"/>
    <x v="0"/>
    <n v="158"/>
    <n v="158"/>
    <x v="1"/>
  </r>
  <r>
    <s v="ORD8659445"/>
    <s v="CUST0459"/>
    <s v="Swiggy"/>
    <x v="12"/>
    <d v="1899-12-30T16:18:00"/>
    <x v="0"/>
    <x v="351"/>
    <x v="0"/>
    <n v="345"/>
    <n v="345"/>
    <x v="0"/>
  </r>
  <r>
    <s v="ORD7631049"/>
    <s v="CUST0217"/>
    <s v="Zomato"/>
    <x v="151"/>
    <d v="1899-12-30T20:49:00"/>
    <x v="0"/>
    <x v="352"/>
    <x v="230"/>
    <n v="413.1"/>
    <n v="486"/>
    <x v="0"/>
  </r>
  <r>
    <s v="ORD8774013"/>
    <s v="CUST0040"/>
    <s v="Zomato"/>
    <x v="255"/>
    <d v="1899-12-30T20:11:00"/>
    <x v="0"/>
    <x v="78"/>
    <x v="0"/>
    <n v="474"/>
    <n v="474"/>
    <x v="1"/>
  </r>
  <r>
    <s v="ORD2660519"/>
    <s v="CUST0359"/>
    <s v="Direct"/>
    <x v="88"/>
    <d v="1899-12-30T17:27:00"/>
    <x v="1"/>
    <x v="353"/>
    <x v="231"/>
    <n v="0"/>
    <n v="741"/>
    <x v="2"/>
  </r>
  <r>
    <s v="ORD8323766"/>
    <s v="CUST0396"/>
    <s v="Zomato"/>
    <x v="86"/>
    <d v="1899-12-30T19:06:00"/>
    <x v="0"/>
    <x v="220"/>
    <x v="0"/>
    <n v="832"/>
    <n v="832"/>
    <x v="0"/>
  </r>
  <r>
    <s v="ORD1844630"/>
    <s v="CUST0265"/>
    <s v="Zomato"/>
    <x v="34"/>
    <d v="1899-12-30T15:35:00"/>
    <x v="0"/>
    <x v="51"/>
    <x v="0"/>
    <n v="1331"/>
    <n v="1331"/>
    <x v="0"/>
  </r>
  <r>
    <s v="ORD6217575"/>
    <s v="CUST0170"/>
    <s v="Direct"/>
    <x v="326"/>
    <d v="1899-12-30T20:17:00"/>
    <x v="0"/>
    <x v="172"/>
    <x v="219"/>
    <n v="385.7"/>
    <n v="406"/>
    <x v="1"/>
  </r>
  <r>
    <s v="ORD3269458"/>
    <s v="CUST0430"/>
    <s v="Direct"/>
    <x v="115"/>
    <d v="1899-12-30T21:59:00"/>
    <x v="0"/>
    <x v="35"/>
    <x v="0"/>
    <n v="119"/>
    <n v="119"/>
    <x v="0"/>
  </r>
  <r>
    <s v="ORD7038145"/>
    <s v="CUST0057"/>
    <s v="Zomato"/>
    <x v="100"/>
    <d v="1899-12-30T23:47:00"/>
    <x v="0"/>
    <x v="52"/>
    <x v="0"/>
    <n v="336"/>
    <n v="336"/>
    <x v="1"/>
  </r>
  <r>
    <s v="ORD8363632"/>
    <s v="CUST0437"/>
    <s v="Zomato"/>
    <x v="81"/>
    <d v="1899-12-30T11:14:00"/>
    <x v="0"/>
    <x v="34"/>
    <x v="232"/>
    <n v="216.6"/>
    <n v="228"/>
    <x v="0"/>
  </r>
  <r>
    <s v="ORD1789113"/>
    <s v="CUST0048"/>
    <s v="Zomato"/>
    <x v="214"/>
    <d v="1899-12-30T11:32:00"/>
    <x v="0"/>
    <x v="9"/>
    <x v="0"/>
    <n v="416"/>
    <n v="416"/>
    <x v="0"/>
  </r>
  <r>
    <s v="ORD2609837"/>
    <s v="CUST0183"/>
    <s v="Zomato"/>
    <x v="123"/>
    <d v="1899-12-30T22:29:00"/>
    <x v="1"/>
    <x v="9"/>
    <x v="0"/>
    <n v="0"/>
    <n v="416"/>
    <x v="1"/>
  </r>
  <r>
    <s v="ORD1685796"/>
    <s v="CUST0194"/>
    <s v="Direct"/>
    <x v="86"/>
    <d v="1899-12-30T22:19:00"/>
    <x v="0"/>
    <x v="324"/>
    <x v="0"/>
    <n v="553"/>
    <n v="553"/>
    <x v="2"/>
  </r>
  <r>
    <s v="ORD4406178"/>
    <s v="CUST0078"/>
    <s v="Swiggy"/>
    <x v="62"/>
    <d v="1899-12-30T19:10:00"/>
    <x v="0"/>
    <x v="190"/>
    <x v="124"/>
    <n v="427.5"/>
    <n v="475"/>
    <x v="2"/>
  </r>
  <r>
    <s v="ORD7428437"/>
    <s v="CUST0450"/>
    <s v="Direct"/>
    <x v="210"/>
    <d v="1899-12-30T22:48:00"/>
    <x v="0"/>
    <x v="40"/>
    <x v="0"/>
    <n v="347"/>
    <n v="347"/>
    <x v="1"/>
  </r>
  <r>
    <s v="ORD7568552"/>
    <s v="CUST0226"/>
    <s v="Direct"/>
    <x v="168"/>
    <d v="1899-12-30T21:02:00"/>
    <x v="0"/>
    <x v="256"/>
    <x v="0"/>
    <n v="466"/>
    <n v="466"/>
    <x v="0"/>
  </r>
  <r>
    <s v="ORD2970838"/>
    <s v="CUST0069"/>
    <s v="Zomato"/>
    <x v="218"/>
    <d v="1899-12-30T17:24:00"/>
    <x v="0"/>
    <x v="54"/>
    <x v="16"/>
    <n v="160.19999999999999"/>
    <n v="178"/>
    <x v="1"/>
  </r>
  <r>
    <s v="ORD9635016"/>
    <s v="CUST0345"/>
    <s v="Zomato"/>
    <x v="232"/>
    <d v="1899-12-30T18:17:00"/>
    <x v="0"/>
    <x v="230"/>
    <x v="0"/>
    <n v="1109"/>
    <n v="1109"/>
    <x v="0"/>
  </r>
  <r>
    <s v="ORD2419946"/>
    <s v="CUST0160"/>
    <s v="Direct"/>
    <x v="318"/>
    <d v="1899-12-30T17:46:00"/>
    <x v="1"/>
    <x v="316"/>
    <x v="0"/>
    <n v="0"/>
    <n v="811"/>
    <x v="1"/>
  </r>
  <r>
    <s v="ORD7118155"/>
    <s v="CUST0188"/>
    <s v="Swiggy"/>
    <x v="248"/>
    <d v="1899-12-30T17:56:00"/>
    <x v="0"/>
    <x v="190"/>
    <x v="0"/>
    <n v="475"/>
    <n v="475"/>
    <x v="1"/>
  </r>
  <r>
    <s v="ORD7805976"/>
    <s v="CUST0343"/>
    <s v="Swiggy"/>
    <x v="338"/>
    <d v="1899-12-30T14:54:00"/>
    <x v="0"/>
    <x v="12"/>
    <x v="0"/>
    <n v="476"/>
    <n v="476"/>
    <x v="1"/>
  </r>
  <r>
    <s v="ORD5500507"/>
    <s v="CUST0233"/>
    <s v="Zomato"/>
    <x v="79"/>
    <d v="1899-12-30T18:50:00"/>
    <x v="0"/>
    <x v="244"/>
    <x v="0"/>
    <n v="792"/>
    <n v="792"/>
    <x v="0"/>
  </r>
  <r>
    <s v="ORD3121867"/>
    <s v="CUST0107"/>
    <s v="Direct"/>
    <x v="36"/>
    <d v="1899-12-30T10:27:00"/>
    <x v="0"/>
    <x v="213"/>
    <x v="181"/>
    <n v="222.3"/>
    <n v="247"/>
    <x v="1"/>
  </r>
  <r>
    <s v="ORD4109904"/>
    <s v="CUST0045"/>
    <s v="Swiggy"/>
    <x v="142"/>
    <d v="1899-12-30T13:32:00"/>
    <x v="0"/>
    <x v="202"/>
    <x v="0"/>
    <n v="405"/>
    <n v="405"/>
    <x v="2"/>
  </r>
  <r>
    <s v="ORD2990842"/>
    <s v="CUST0123"/>
    <s v="Zomato"/>
    <x v="241"/>
    <d v="1899-12-30T18:08:00"/>
    <x v="0"/>
    <x v="49"/>
    <x v="233"/>
    <n v="249.3"/>
    <n v="277"/>
    <x v="0"/>
  </r>
  <r>
    <s v="ORD7970196"/>
    <s v="CUST0460"/>
    <s v="Zomato"/>
    <x v="56"/>
    <d v="1899-12-30T17:50:00"/>
    <x v="0"/>
    <x v="0"/>
    <x v="0"/>
    <n v="207"/>
    <n v="207"/>
    <x v="1"/>
  </r>
  <r>
    <s v="ORD1303197"/>
    <s v="CUST0465"/>
    <s v="Swiggy"/>
    <x v="167"/>
    <d v="1899-12-30T12:06:00"/>
    <x v="0"/>
    <x v="326"/>
    <x v="234"/>
    <n v="820.8"/>
    <n v="912"/>
    <x v="2"/>
  </r>
  <r>
    <s v="ORD7085903"/>
    <s v="CUST0163"/>
    <s v="Zomato"/>
    <x v="129"/>
    <d v="1899-12-30T20:17:00"/>
    <x v="0"/>
    <x v="10"/>
    <x v="0"/>
    <n v="555"/>
    <n v="555"/>
    <x v="1"/>
  </r>
  <r>
    <s v="ORD1424716"/>
    <s v="CUST0084"/>
    <s v="Direct"/>
    <x v="203"/>
    <d v="1899-12-30T17:41:00"/>
    <x v="0"/>
    <x v="291"/>
    <x v="0"/>
    <n v="695"/>
    <n v="695"/>
    <x v="1"/>
  </r>
  <r>
    <s v="ORD8852250"/>
    <s v="CUST0209"/>
    <s v="Zomato"/>
    <x v="106"/>
    <d v="1899-12-30T21:20:00"/>
    <x v="0"/>
    <x v="6"/>
    <x v="235"/>
    <n v="134.30000000000001"/>
    <n v="158"/>
    <x v="1"/>
  </r>
  <r>
    <s v="ORD7165419"/>
    <s v="CUST0275"/>
    <s v="Zomato"/>
    <x v="209"/>
    <d v="1899-12-30T22:59:00"/>
    <x v="0"/>
    <x v="148"/>
    <x v="96"/>
    <n v="562.5"/>
    <n v="625"/>
    <x v="0"/>
  </r>
  <r>
    <s v="ORD6052021"/>
    <s v="CUST0218"/>
    <s v="Zomato"/>
    <x v="277"/>
    <d v="1899-12-30T17:07:00"/>
    <x v="0"/>
    <x v="354"/>
    <x v="0"/>
    <n v="1000"/>
    <n v="1000"/>
    <x v="1"/>
  </r>
  <r>
    <s v="ORD9692233"/>
    <s v="CUST0180"/>
    <s v="Swiggy"/>
    <x v="339"/>
    <d v="1899-12-30T20:22:00"/>
    <x v="0"/>
    <x v="223"/>
    <x v="236"/>
    <n v="420.3"/>
    <n v="467"/>
    <x v="1"/>
  </r>
  <r>
    <s v="ORD4577047"/>
    <s v="CUST0316"/>
    <s v="Zomato"/>
    <x v="274"/>
    <d v="1899-12-30T21:23:00"/>
    <x v="0"/>
    <x v="265"/>
    <x v="0"/>
    <n v="446"/>
    <n v="446"/>
    <x v="0"/>
  </r>
  <r>
    <s v="ORD8947055"/>
    <s v="CUST0148"/>
    <s v="Zomato"/>
    <x v="340"/>
    <d v="1899-12-30T17:00:00"/>
    <x v="0"/>
    <x v="206"/>
    <x v="0"/>
    <n v="503"/>
    <n v="503"/>
    <x v="0"/>
  </r>
  <r>
    <s v="ORD9352271"/>
    <s v="CUST0262"/>
    <s v="Zomato"/>
    <x v="90"/>
    <d v="1899-12-30T19:02:00"/>
    <x v="0"/>
    <x v="5"/>
    <x v="1"/>
    <n v="169.2"/>
    <n v="188"/>
    <x v="2"/>
  </r>
  <r>
    <s v="ORD4068301"/>
    <s v="CUST0458"/>
    <s v="Direct"/>
    <x v="58"/>
    <d v="1899-12-30T20:14:00"/>
    <x v="0"/>
    <x v="209"/>
    <x v="0"/>
    <n v="843"/>
    <n v="843"/>
    <x v="2"/>
  </r>
  <r>
    <s v="ORD3562992"/>
    <s v="CUST0111"/>
    <s v="Direct"/>
    <x v="341"/>
    <d v="1899-12-30T17:13:00"/>
    <x v="0"/>
    <x v="355"/>
    <x v="0"/>
    <n v="1768"/>
    <n v="1768"/>
    <x v="2"/>
  </r>
  <r>
    <s v="ORD3997051"/>
    <s v="CUST0324"/>
    <s v="Direct"/>
    <x v="79"/>
    <d v="1899-12-30T01:43:00"/>
    <x v="0"/>
    <x v="211"/>
    <x v="237"/>
    <n v="610.85"/>
    <n v="643"/>
    <x v="0"/>
  </r>
  <r>
    <s v="ORD9032737"/>
    <s v="CUST0427"/>
    <s v="Direct"/>
    <x v="114"/>
    <d v="1899-12-30T19:15:00"/>
    <x v="0"/>
    <x v="201"/>
    <x v="87"/>
    <n v="286.2"/>
    <n v="318"/>
    <x v="2"/>
  </r>
  <r>
    <s v="ORD9146459"/>
    <s v="CUST0424"/>
    <s v="Zomato"/>
    <x v="208"/>
    <d v="1899-12-30T13:06:00"/>
    <x v="0"/>
    <x v="49"/>
    <x v="238"/>
    <n v="235.45"/>
    <n v="277"/>
    <x v="1"/>
  </r>
  <r>
    <s v="ORD5812104"/>
    <s v="CUST0339"/>
    <s v="Zomato"/>
    <x v="292"/>
    <d v="1899-12-30T11:25:00"/>
    <x v="0"/>
    <x v="33"/>
    <x v="0"/>
    <n v="218"/>
    <n v="218"/>
    <x v="0"/>
  </r>
  <r>
    <s v="ORD3923931"/>
    <s v="CUST0292"/>
    <s v="Zomato"/>
    <x v="342"/>
    <d v="1899-12-30T18:16:00"/>
    <x v="0"/>
    <x v="8"/>
    <x v="0"/>
    <n v="387"/>
    <n v="387"/>
    <x v="1"/>
  </r>
  <r>
    <s v="ORD7307818"/>
    <s v="CUST0478"/>
    <s v="Swiggy"/>
    <x v="270"/>
    <d v="1899-12-30T16:36:00"/>
    <x v="1"/>
    <x v="218"/>
    <x v="0"/>
    <n v="0"/>
    <n v="1052"/>
    <x v="1"/>
  </r>
  <r>
    <s v="ORD2612189"/>
    <s v="CUST0444"/>
    <s v="Swiggy"/>
    <x v="187"/>
    <d v="1899-12-30T10:39:00"/>
    <x v="0"/>
    <x v="3"/>
    <x v="0"/>
    <n v="484"/>
    <n v="484"/>
    <x v="2"/>
  </r>
  <r>
    <s v="ORD9778172"/>
    <s v="CUST0208"/>
    <s v="Zomato"/>
    <x v="204"/>
    <d v="1899-12-30T21:29:00"/>
    <x v="0"/>
    <x v="40"/>
    <x v="0"/>
    <n v="347"/>
    <n v="347"/>
    <x v="1"/>
  </r>
  <r>
    <s v="ORD8723932"/>
    <s v="CUST0346"/>
    <s v="Swiggy"/>
    <x v="332"/>
    <d v="1899-12-30T21:24:00"/>
    <x v="0"/>
    <x v="75"/>
    <x v="0"/>
    <n v="634"/>
    <n v="634"/>
    <x v="2"/>
  </r>
  <r>
    <s v="ORD7412776"/>
    <s v="CUST0060"/>
    <s v="Swiggy"/>
    <x v="232"/>
    <d v="1899-12-30T13:12:00"/>
    <x v="0"/>
    <x v="122"/>
    <x v="0"/>
    <n v="496"/>
    <n v="496"/>
    <x v="1"/>
  </r>
  <r>
    <s v="ORD1394582"/>
    <s v="CUST0301"/>
    <s v="Zomato"/>
    <x v="11"/>
    <d v="1899-12-30T17:07:00"/>
    <x v="0"/>
    <x v="241"/>
    <x v="239"/>
    <n v="248.4"/>
    <n v="276"/>
    <x v="1"/>
  </r>
  <r>
    <s v="ORD8789111"/>
    <s v="CUST0216"/>
    <s v="Direct"/>
    <x v="326"/>
    <d v="1899-12-30T09:08:00"/>
    <x v="0"/>
    <x v="40"/>
    <x v="0"/>
    <n v="347"/>
    <n v="347"/>
    <x v="1"/>
  </r>
  <r>
    <s v="ORD6831067"/>
    <s v="CUST0418"/>
    <s v="Zomato"/>
    <x v="221"/>
    <d v="1899-12-30T16:26:00"/>
    <x v="0"/>
    <x v="1"/>
    <x v="0"/>
    <n v="238"/>
    <n v="238"/>
    <x v="0"/>
  </r>
  <r>
    <s v="ORD4128472"/>
    <s v="CUST0140"/>
    <s v="Swiggy"/>
    <x v="60"/>
    <d v="1899-12-30T21:24:00"/>
    <x v="0"/>
    <x v="70"/>
    <x v="0"/>
    <n v="317"/>
    <n v="317"/>
    <x v="2"/>
  </r>
  <r>
    <s v="ORD1133496"/>
    <s v="CUST0304"/>
    <s v="Zomato"/>
    <x v="308"/>
    <d v="1899-12-30T21:23:00"/>
    <x v="0"/>
    <x v="2"/>
    <x v="0"/>
    <n v="356"/>
    <n v="356"/>
    <x v="1"/>
  </r>
  <r>
    <s v="ORD6627064"/>
    <s v="CUST0149"/>
    <s v="Direct"/>
    <x v="24"/>
    <d v="1899-12-30T18:39:00"/>
    <x v="1"/>
    <x v="258"/>
    <x v="0"/>
    <n v="0"/>
    <n v="148"/>
    <x v="0"/>
  </r>
  <r>
    <s v="ORD5318419"/>
    <s v="CUST0114"/>
    <s v="Zomato"/>
    <x v="244"/>
    <d v="1899-12-30T13:47:00"/>
    <x v="0"/>
    <x v="131"/>
    <x v="0"/>
    <n v="485"/>
    <n v="485"/>
    <x v="1"/>
  </r>
  <r>
    <s v="ORD5523795"/>
    <s v="CUST0146"/>
    <s v="Zomato"/>
    <x v="230"/>
    <d v="1899-12-30T20:28:00"/>
    <x v="0"/>
    <x v="122"/>
    <x v="75"/>
    <n v="471.2"/>
    <n v="496"/>
    <x v="1"/>
  </r>
  <r>
    <s v="ORD4666262"/>
    <s v="CUST0371"/>
    <s v="Zomato"/>
    <x v="7"/>
    <d v="1899-12-30T17:38:00"/>
    <x v="0"/>
    <x v="265"/>
    <x v="240"/>
    <n v="423.7"/>
    <n v="446"/>
    <x v="0"/>
  </r>
  <r>
    <s v="ORD3908113"/>
    <s v="CUST0067"/>
    <s v="Zomato"/>
    <x v="226"/>
    <d v="1899-12-30T00:28:00"/>
    <x v="0"/>
    <x v="231"/>
    <x v="0"/>
    <n v="665"/>
    <n v="665"/>
    <x v="1"/>
  </r>
  <r>
    <s v="ORD6062881"/>
    <s v="CUST0126"/>
    <s v="Zomato"/>
    <x v="77"/>
    <d v="1899-12-30T17:02:00"/>
    <x v="0"/>
    <x v="256"/>
    <x v="241"/>
    <n v="396.1"/>
    <n v="466"/>
    <x v="1"/>
  </r>
  <r>
    <s v="ORD6592155"/>
    <s v="CUST0376"/>
    <s v="Direct"/>
    <x v="28"/>
    <d v="1899-12-30T16:13:00"/>
    <x v="0"/>
    <x v="177"/>
    <x v="0"/>
    <n v="1090"/>
    <n v="1090"/>
    <x v="1"/>
  </r>
  <r>
    <s v="ORD5380387"/>
    <s v="CUST0112"/>
    <s v="Direct"/>
    <x v="239"/>
    <d v="1899-12-30T00:39:00"/>
    <x v="0"/>
    <x v="198"/>
    <x v="0"/>
    <n v="594"/>
    <n v="594"/>
    <x v="1"/>
  </r>
  <r>
    <s v="ORD3277202"/>
    <s v="CUST0425"/>
    <s v="Zomato"/>
    <x v="81"/>
    <d v="1899-12-30T17:12:00"/>
    <x v="0"/>
    <x v="28"/>
    <x v="150"/>
    <n v="329.4"/>
    <n v="366"/>
    <x v="1"/>
  </r>
  <r>
    <s v="ORD7647888"/>
    <s v="CUST0346"/>
    <s v="Swiggy"/>
    <x v="85"/>
    <d v="1899-12-30T21:44:00"/>
    <x v="0"/>
    <x v="356"/>
    <x v="0"/>
    <n v="1081"/>
    <n v="1081"/>
    <x v="2"/>
  </r>
  <r>
    <s v="ORD9175462"/>
    <s v="CUST0332"/>
    <s v="Swiggy"/>
    <x v="91"/>
    <d v="1899-12-30T21:05:00"/>
    <x v="0"/>
    <x v="58"/>
    <x v="0"/>
    <n v="772"/>
    <n v="772"/>
    <x v="2"/>
  </r>
  <r>
    <s v="ORD7557264"/>
    <s v="CUST0484"/>
    <s v="Zomato"/>
    <x v="329"/>
    <d v="1899-12-30T20:39:00"/>
    <x v="0"/>
    <x v="357"/>
    <x v="0"/>
    <n v="924"/>
    <n v="924"/>
    <x v="0"/>
  </r>
  <r>
    <s v="ORD1272490"/>
    <s v="CUST0120"/>
    <s v="Zomato"/>
    <x v="106"/>
    <d v="1899-12-30T00:50:00"/>
    <x v="0"/>
    <x v="34"/>
    <x v="232"/>
    <n v="216.6"/>
    <n v="228"/>
    <x v="1"/>
  </r>
  <r>
    <s v="ORD8176895"/>
    <s v="CUST0355"/>
    <s v="Zomato"/>
    <x v="118"/>
    <d v="1899-12-30T16:46:00"/>
    <x v="0"/>
    <x v="124"/>
    <x v="242"/>
    <n v="410.4"/>
    <n v="456"/>
    <x v="1"/>
  </r>
  <r>
    <s v="ORD7210843"/>
    <s v="CUST0089"/>
    <s v="Zomato"/>
    <x v="33"/>
    <d v="1899-12-30T21:03:00"/>
    <x v="0"/>
    <x v="39"/>
    <x v="0"/>
    <n v="79"/>
    <n v="79"/>
    <x v="1"/>
  </r>
  <r>
    <s v="ORD5544163"/>
    <s v="CUST0121"/>
    <s v="Zomato"/>
    <x v="21"/>
    <d v="1899-12-30T22:10:00"/>
    <x v="0"/>
    <x v="47"/>
    <x v="0"/>
    <n v="198"/>
    <n v="198"/>
    <x v="1"/>
  </r>
  <r>
    <s v="ORD3741507"/>
    <s v="CUST0233"/>
    <s v="Swiggy"/>
    <x v="87"/>
    <d v="1899-12-30T09:05:00"/>
    <x v="0"/>
    <x v="21"/>
    <x v="0"/>
    <n v="435"/>
    <n v="435"/>
    <x v="0"/>
  </r>
  <r>
    <s v="ORD8990770"/>
    <s v="CUST0398"/>
    <s v="Direct"/>
    <x v="343"/>
    <d v="1899-12-30T22:46:00"/>
    <x v="0"/>
    <x v="21"/>
    <x v="0"/>
    <n v="435"/>
    <n v="435"/>
    <x v="2"/>
  </r>
  <r>
    <s v="ORD8393823"/>
    <s v="CUST0278"/>
    <s v="Zomato"/>
    <x v="142"/>
    <d v="1899-12-30T18:40:00"/>
    <x v="0"/>
    <x v="74"/>
    <x v="243"/>
    <n v="687.8"/>
    <n v="724"/>
    <x v="1"/>
  </r>
  <r>
    <s v="ORD9955283"/>
    <s v="CUST0198"/>
    <s v="Zomato"/>
    <x v="312"/>
    <d v="1899-12-30T21:21:00"/>
    <x v="0"/>
    <x v="65"/>
    <x v="0"/>
    <n v="337"/>
    <n v="337"/>
    <x v="1"/>
  </r>
  <r>
    <s v="ORD1790983"/>
    <s v="CUST0044"/>
    <s v="Zomato"/>
    <x v="232"/>
    <d v="1899-12-30T10:08:00"/>
    <x v="0"/>
    <x v="358"/>
    <x v="0"/>
    <n v="990"/>
    <n v="990"/>
    <x v="1"/>
  </r>
  <r>
    <s v="ORD9132441"/>
    <s v="CUST0438"/>
    <s v="Zomato"/>
    <x v="81"/>
    <d v="1899-12-30T10:29:00"/>
    <x v="0"/>
    <x v="10"/>
    <x v="0"/>
    <n v="555"/>
    <n v="555"/>
    <x v="0"/>
  </r>
  <r>
    <s v="ORD9287806"/>
    <s v="CUST0460"/>
    <s v="Swiggy"/>
    <x v="113"/>
    <d v="1899-12-30T21:56:00"/>
    <x v="0"/>
    <x v="188"/>
    <x v="0"/>
    <n v="248"/>
    <n v="248"/>
    <x v="1"/>
  </r>
  <r>
    <s v="ORD2895605"/>
    <s v="CUST0149"/>
    <s v="Zomato"/>
    <x v="218"/>
    <d v="1899-12-30T18:54:00"/>
    <x v="0"/>
    <x v="43"/>
    <x v="0"/>
    <n v="149"/>
    <n v="149"/>
    <x v="0"/>
  </r>
  <r>
    <s v="ORD4279979"/>
    <s v="CUST0377"/>
    <s v="Zomato"/>
    <x v="278"/>
    <d v="1899-12-30T12:47:00"/>
    <x v="0"/>
    <x v="359"/>
    <x v="0"/>
    <n v="732"/>
    <n v="732"/>
    <x v="1"/>
  </r>
  <r>
    <s v="ORD7333787"/>
    <s v="CUST0441"/>
    <s v="Zomato"/>
    <x v="121"/>
    <d v="1899-12-30T17:00:00"/>
    <x v="0"/>
    <x v="162"/>
    <x v="0"/>
    <n v="565"/>
    <n v="565"/>
    <x v="1"/>
  </r>
  <r>
    <s v="ORD6310532"/>
    <s v="CUST0082"/>
    <s v="Direct"/>
    <x v="78"/>
    <d v="1899-12-30T21:13:00"/>
    <x v="0"/>
    <x v="155"/>
    <x v="0"/>
    <n v="415"/>
    <n v="415"/>
    <x v="1"/>
  </r>
  <r>
    <s v="ORD2404503"/>
    <s v="CUST0454"/>
    <s v="Zomato"/>
    <x v="76"/>
    <d v="1899-12-30T19:05:00"/>
    <x v="0"/>
    <x v="123"/>
    <x v="0"/>
    <n v="713"/>
    <n v="713"/>
    <x v="2"/>
  </r>
  <r>
    <s v="ORD7748185"/>
    <s v="CUST0163"/>
    <s v="Zomato"/>
    <x v="107"/>
    <d v="1899-12-30T17:37:00"/>
    <x v="0"/>
    <x v="165"/>
    <x v="0"/>
    <n v="278"/>
    <n v="278"/>
    <x v="1"/>
  </r>
  <r>
    <s v="ORD6624133"/>
    <s v="CUST0221"/>
    <s v="Zomato"/>
    <x v="10"/>
    <d v="1899-12-30T11:02:00"/>
    <x v="0"/>
    <x v="101"/>
    <x v="0"/>
    <n v="436"/>
    <n v="436"/>
    <x v="1"/>
  </r>
  <r>
    <s v="ORD3634592"/>
    <s v="CUST0437"/>
    <s v="Direct"/>
    <x v="39"/>
    <d v="1899-12-30T20:34:00"/>
    <x v="0"/>
    <x v="41"/>
    <x v="10"/>
    <n v="658.35"/>
    <n v="693"/>
    <x v="0"/>
  </r>
  <r>
    <s v="ORD7735438"/>
    <s v="CUST0214"/>
    <s v="Swiggy"/>
    <x v="5"/>
    <d v="1899-12-30T19:34:00"/>
    <x v="0"/>
    <x v="115"/>
    <x v="244"/>
    <n v="1234.05"/>
    <n v="1299"/>
    <x v="0"/>
  </r>
  <r>
    <s v="ORD9352168"/>
    <s v="CUST0258"/>
    <s v="Direct"/>
    <x v="214"/>
    <d v="1899-12-30T20:59:00"/>
    <x v="0"/>
    <x v="314"/>
    <x v="0"/>
    <n v="1151"/>
    <n v="1151"/>
    <x v="1"/>
  </r>
  <r>
    <s v="ORD4652593"/>
    <s v="CUST0223"/>
    <s v="Swiggy"/>
    <x v="105"/>
    <d v="1899-12-30T10:38:00"/>
    <x v="0"/>
    <x v="155"/>
    <x v="68"/>
    <n v="352.75"/>
    <n v="415"/>
    <x v="1"/>
  </r>
  <r>
    <s v="ORD2891931"/>
    <s v="CUST0273"/>
    <s v="Zomato"/>
    <x v="206"/>
    <d v="1899-12-30T20:16:00"/>
    <x v="0"/>
    <x v="360"/>
    <x v="0"/>
    <n v="763"/>
    <n v="763"/>
    <x v="1"/>
  </r>
  <r>
    <s v="ORD5658782"/>
    <s v="CUST0313"/>
    <s v="Swiggy"/>
    <x v="188"/>
    <d v="1899-12-30T15:37:00"/>
    <x v="0"/>
    <x v="101"/>
    <x v="245"/>
    <n v="392.4"/>
    <n v="436"/>
    <x v="1"/>
  </r>
  <r>
    <s v="ORD2046696"/>
    <s v="CUST0087"/>
    <s v="Swiggy"/>
    <x v="25"/>
    <d v="1899-12-30T21:47:00"/>
    <x v="0"/>
    <x v="13"/>
    <x v="0"/>
    <n v="287"/>
    <n v="287"/>
    <x v="2"/>
  </r>
  <r>
    <s v="ORD5098200"/>
    <s v="CUST0415"/>
    <s v="Zomato"/>
    <x v="135"/>
    <d v="1899-12-30T16:20:00"/>
    <x v="0"/>
    <x v="297"/>
    <x v="0"/>
    <n v="1159"/>
    <n v="1159"/>
    <x v="1"/>
  </r>
  <r>
    <s v="ORD8673707"/>
    <s v="CUST0358"/>
    <s v="Zomato"/>
    <x v="115"/>
    <d v="1899-12-30T19:34:00"/>
    <x v="0"/>
    <x v="361"/>
    <x v="0"/>
    <n v="1268"/>
    <n v="1268"/>
    <x v="1"/>
  </r>
  <r>
    <s v="ORD6640877"/>
    <s v="CUST0383"/>
    <s v="Zomato"/>
    <x v="315"/>
    <d v="1899-12-30T15:57:00"/>
    <x v="0"/>
    <x v="124"/>
    <x v="0"/>
    <n v="456"/>
    <n v="456"/>
    <x v="2"/>
  </r>
  <r>
    <s v="ORD3631527"/>
    <s v="CUST0080"/>
    <s v="Swiggy"/>
    <x v="207"/>
    <d v="1899-12-30T16:12:00"/>
    <x v="0"/>
    <x v="362"/>
    <x v="0"/>
    <n v="1430"/>
    <n v="1430"/>
    <x v="1"/>
  </r>
  <r>
    <s v="ORD1331934"/>
    <s v="CUST0481"/>
    <s v="Swiggy"/>
    <x v="245"/>
    <d v="1899-12-30T18:45:00"/>
    <x v="0"/>
    <x v="140"/>
    <x v="0"/>
    <n v="714"/>
    <n v="714"/>
    <x v="1"/>
  </r>
  <r>
    <s v="ORD2259303"/>
    <s v="CUST0137"/>
    <s v="Zomato"/>
    <x v="313"/>
    <d v="1899-12-30T21:52:00"/>
    <x v="1"/>
    <x v="305"/>
    <x v="0"/>
    <n v="0"/>
    <n v="675"/>
    <x v="2"/>
  </r>
  <r>
    <s v="ORD6014853"/>
    <s v="CUST0274"/>
    <s v="Swiggy"/>
    <x v="140"/>
    <d v="1899-12-30T20:54:00"/>
    <x v="0"/>
    <x v="194"/>
    <x v="0"/>
    <n v="465"/>
    <n v="465"/>
    <x v="1"/>
  </r>
  <r>
    <s v="ORD6937488"/>
    <s v="CUST0088"/>
    <s v="Swiggy"/>
    <x v="15"/>
    <d v="1899-12-30T19:48:00"/>
    <x v="0"/>
    <x v="176"/>
    <x v="0"/>
    <n v="872"/>
    <n v="872"/>
    <x v="1"/>
  </r>
  <r>
    <s v="ORD1377064"/>
    <s v="CUST0153"/>
    <s v="Direct"/>
    <x v="212"/>
    <d v="1899-12-30T19:47:00"/>
    <x v="0"/>
    <x v="8"/>
    <x v="0"/>
    <n v="387"/>
    <n v="387"/>
    <x v="2"/>
  </r>
  <r>
    <s v="ORD1064545"/>
    <s v="CUST0249"/>
    <s v="Zomato"/>
    <x v="206"/>
    <d v="1899-12-30T20:25:00"/>
    <x v="0"/>
    <x v="136"/>
    <x v="0"/>
    <n v="983"/>
    <n v="983"/>
    <x v="2"/>
  </r>
  <r>
    <s v="ORD6071231"/>
    <s v="CUST0312"/>
    <s v="Swiggy"/>
    <x v="62"/>
    <d v="1899-12-30T12:51:00"/>
    <x v="0"/>
    <x v="101"/>
    <x v="0"/>
    <n v="436"/>
    <n v="436"/>
    <x v="1"/>
  </r>
  <r>
    <s v="ORD9954070"/>
    <s v="CUST0195"/>
    <s v="Zomato"/>
    <x v="40"/>
    <d v="1899-12-30T20:06:00"/>
    <x v="0"/>
    <x v="279"/>
    <x v="246"/>
    <n v="195.3"/>
    <n v="217"/>
    <x v="1"/>
  </r>
  <r>
    <s v="ORD1526788"/>
    <s v="CUST0428"/>
    <s v="Direct"/>
    <x v="28"/>
    <d v="1899-12-30T17:07:00"/>
    <x v="0"/>
    <x v="49"/>
    <x v="0"/>
    <n v="277"/>
    <n v="277"/>
    <x v="1"/>
  </r>
  <r>
    <s v="ORD9725552"/>
    <s v="CUST0427"/>
    <s v="Zomato"/>
    <x v="130"/>
    <d v="1899-12-30T18:34:00"/>
    <x v="0"/>
    <x v="31"/>
    <x v="18"/>
    <n v="347.4"/>
    <n v="386"/>
    <x v="2"/>
  </r>
  <r>
    <s v="ORD8947817"/>
    <s v="CUST0317"/>
    <s v="Swiggy"/>
    <x v="249"/>
    <d v="1899-12-30T23:15:00"/>
    <x v="0"/>
    <x v="363"/>
    <x v="0"/>
    <n v="710"/>
    <n v="710"/>
    <x v="1"/>
  </r>
  <r>
    <s v="ORD7766201"/>
    <s v="CUST0369"/>
    <s v="Zomato"/>
    <x v="291"/>
    <d v="1899-12-30T21:22:00"/>
    <x v="0"/>
    <x v="92"/>
    <x v="0"/>
    <n v="1003"/>
    <n v="1003"/>
    <x v="1"/>
  </r>
  <r>
    <s v="ORD5935684"/>
    <s v="CUST0225"/>
    <s v="Direct"/>
    <x v="344"/>
    <d v="1899-12-30T12:52:00"/>
    <x v="0"/>
    <x v="364"/>
    <x v="0"/>
    <n v="992"/>
    <n v="992"/>
    <x v="1"/>
  </r>
  <r>
    <s v="ORD4423305"/>
    <s v="CUST0018"/>
    <s v="Zomato"/>
    <x v="327"/>
    <d v="1899-12-30T21:51:00"/>
    <x v="0"/>
    <x v="188"/>
    <x v="0"/>
    <n v="248"/>
    <n v="248"/>
    <x v="1"/>
  </r>
  <r>
    <s v="ORD6753647"/>
    <s v="CUST0248"/>
    <s v="Zomato"/>
    <x v="171"/>
    <d v="1899-12-30T16:25:00"/>
    <x v="0"/>
    <x v="11"/>
    <x v="155"/>
    <n v="253.65"/>
    <n v="267"/>
    <x v="0"/>
  </r>
  <r>
    <s v="ORD3297254"/>
    <s v="CUST0224"/>
    <s v="Direct"/>
    <x v="216"/>
    <d v="1899-12-30T00:38:00"/>
    <x v="0"/>
    <x v="220"/>
    <x v="0"/>
    <n v="832"/>
    <n v="832"/>
    <x v="2"/>
  </r>
  <r>
    <s v="ORD5841463"/>
    <s v="CUST0462"/>
    <s v="Zomato"/>
    <x v="94"/>
    <d v="1899-12-30T18:30:00"/>
    <x v="0"/>
    <x v="101"/>
    <x v="0"/>
    <n v="436"/>
    <n v="436"/>
    <x v="1"/>
  </r>
  <r>
    <s v="ORD5822943"/>
    <s v="CUST0042"/>
    <s v="Direct"/>
    <x v="96"/>
    <d v="1899-12-30T19:53:00"/>
    <x v="0"/>
    <x v="247"/>
    <x v="0"/>
    <n v="712"/>
    <n v="712"/>
    <x v="0"/>
  </r>
  <r>
    <s v="ORD4973323"/>
    <s v="CUST0368"/>
    <s v="Swiggy"/>
    <x v="253"/>
    <d v="1899-12-30T10:59:00"/>
    <x v="0"/>
    <x v="63"/>
    <x v="0"/>
    <n v="635"/>
    <n v="635"/>
    <x v="1"/>
  </r>
  <r>
    <s v="ORD6121645"/>
    <s v="CUST0088"/>
    <s v="Zomato"/>
    <x v="133"/>
    <d v="1899-12-30T23:20:00"/>
    <x v="0"/>
    <x v="251"/>
    <x v="0"/>
    <n v="533"/>
    <n v="533"/>
    <x v="1"/>
  </r>
  <r>
    <s v="ORD1791274"/>
    <s v="CUST0027"/>
    <s v="Swiggy"/>
    <x v="251"/>
    <d v="1899-12-30T18:58:00"/>
    <x v="0"/>
    <x v="70"/>
    <x v="21"/>
    <n v="285.3"/>
    <n v="317"/>
    <x v="1"/>
  </r>
  <r>
    <s v="ORD5962643"/>
    <s v="CUST0225"/>
    <s v="Direct"/>
    <x v="250"/>
    <d v="1899-12-30T17:19:00"/>
    <x v="0"/>
    <x v="115"/>
    <x v="0"/>
    <n v="1299"/>
    <n v="1299"/>
    <x v="1"/>
  </r>
  <r>
    <s v="ORD3093993"/>
    <s v="CUST0016"/>
    <s v="Zomato"/>
    <x v="177"/>
    <d v="1899-12-30T20:34:00"/>
    <x v="0"/>
    <x v="65"/>
    <x v="0"/>
    <n v="337"/>
    <n v="337"/>
    <x v="1"/>
  </r>
  <r>
    <s v="ORD9489734"/>
    <s v="CUST0020"/>
    <s v="Swiggy"/>
    <x v="279"/>
    <d v="1899-12-30T15:59:00"/>
    <x v="0"/>
    <x v="334"/>
    <x v="0"/>
    <n v="544"/>
    <n v="544"/>
    <x v="1"/>
  </r>
  <r>
    <s v="ORD6481363"/>
    <s v="CUST0355"/>
    <s v="Zomato"/>
    <x v="86"/>
    <d v="1899-12-30T16:28:00"/>
    <x v="0"/>
    <x v="30"/>
    <x v="247"/>
    <n v="500.4"/>
    <n v="556"/>
    <x v="1"/>
  </r>
  <r>
    <s v="ORD9039487"/>
    <s v="CUST0196"/>
    <s v="Zomato"/>
    <x v="86"/>
    <d v="1899-12-30T18:55:00"/>
    <x v="0"/>
    <x v="365"/>
    <x v="248"/>
    <n v="1008"/>
    <n v="1120"/>
    <x v="1"/>
  </r>
  <r>
    <s v="ORD8214397"/>
    <s v="CUST0193"/>
    <s v="Swiggy"/>
    <x v="272"/>
    <d v="1899-12-30T18:56:00"/>
    <x v="0"/>
    <x v="141"/>
    <x v="0"/>
    <n v="773"/>
    <n v="773"/>
    <x v="1"/>
  </r>
  <r>
    <s v="ORD6710639"/>
    <s v="CUST0477"/>
    <s v="Swiggy"/>
    <x v="20"/>
    <d v="1899-12-30T17:53:00"/>
    <x v="0"/>
    <x v="1"/>
    <x v="0"/>
    <n v="238"/>
    <n v="238"/>
    <x v="0"/>
  </r>
  <r>
    <s v="ORD9633551"/>
    <s v="CUST0200"/>
    <s v="Zomato"/>
    <x v="345"/>
    <d v="1899-12-30T21:18:00"/>
    <x v="0"/>
    <x v="124"/>
    <x v="0"/>
    <n v="456"/>
    <n v="456"/>
    <x v="1"/>
  </r>
  <r>
    <s v="ORD6512882"/>
    <s v="CUST0397"/>
    <s v="Direct"/>
    <x v="324"/>
    <d v="1899-12-30T18:52:00"/>
    <x v="0"/>
    <x v="25"/>
    <x v="72"/>
    <n v="507.3"/>
    <n v="534"/>
    <x v="1"/>
  </r>
  <r>
    <s v="ORD2241156"/>
    <s v="CUST0237"/>
    <s v="Swiggy"/>
    <x v="35"/>
    <d v="1899-12-30T21:37:00"/>
    <x v="0"/>
    <x v="140"/>
    <x v="55"/>
    <n v="678.3"/>
    <n v="714"/>
    <x v="1"/>
  </r>
  <r>
    <s v="ORD6515198"/>
    <s v="CUST0469"/>
    <s v="Direct"/>
    <x v="142"/>
    <d v="1899-12-30T23:19:00"/>
    <x v="0"/>
    <x v="186"/>
    <x v="0"/>
    <n v="614"/>
    <n v="614"/>
    <x v="1"/>
  </r>
  <r>
    <s v="ORD6733093"/>
    <s v="CUST0108"/>
    <s v="Swiggy"/>
    <x v="251"/>
    <d v="1899-12-30T01:01:00"/>
    <x v="0"/>
    <x v="7"/>
    <x v="0"/>
    <n v="691"/>
    <n v="691"/>
    <x v="1"/>
  </r>
  <r>
    <s v="ORD3800519"/>
    <s v="CUST0470"/>
    <s v="Direct"/>
    <x v="57"/>
    <d v="1899-12-30T20:42:00"/>
    <x v="0"/>
    <x v="126"/>
    <x v="0"/>
    <n v="526"/>
    <n v="526"/>
    <x v="0"/>
  </r>
  <r>
    <s v="ORD6252627"/>
    <s v="CUST0322"/>
    <s v="Swiggy"/>
    <x v="13"/>
    <d v="1899-12-30T18:05:00"/>
    <x v="0"/>
    <x v="190"/>
    <x v="124"/>
    <n v="427.5"/>
    <n v="475"/>
    <x v="0"/>
  </r>
  <r>
    <s v="ORD2339161"/>
    <s v="CUST0124"/>
    <s v="Swiggy"/>
    <x v="224"/>
    <d v="1899-12-30T10:36:00"/>
    <x v="0"/>
    <x v="101"/>
    <x v="245"/>
    <n v="392.4"/>
    <n v="436"/>
    <x v="0"/>
  </r>
  <r>
    <s v="ORD9910694"/>
    <s v="CUST0294"/>
    <s v="Zomato"/>
    <x v="271"/>
    <d v="1899-12-30T19:02:00"/>
    <x v="0"/>
    <x v="207"/>
    <x v="0"/>
    <n v="933"/>
    <n v="933"/>
    <x v="1"/>
  </r>
  <r>
    <s v="ORD4450093"/>
    <s v="CUST0403"/>
    <s v="Swiggy"/>
    <x v="292"/>
    <d v="1899-12-30T21:50:00"/>
    <x v="0"/>
    <x v="9"/>
    <x v="160"/>
    <n v="395.2"/>
    <n v="416"/>
    <x v="1"/>
  </r>
  <r>
    <s v="ORD6601298"/>
    <s v="CUST0361"/>
    <s v="Zomato"/>
    <x v="346"/>
    <d v="1899-12-30T20:03:00"/>
    <x v="0"/>
    <x v="266"/>
    <x v="0"/>
    <n v="884"/>
    <n v="884"/>
    <x v="1"/>
  </r>
  <r>
    <s v="ORD7301078"/>
    <s v="CUST0172"/>
    <s v="Direct"/>
    <x v="4"/>
    <d v="1899-12-30T10:41:00"/>
    <x v="0"/>
    <x v="153"/>
    <x v="0"/>
    <n v="327"/>
    <n v="327"/>
    <x v="0"/>
  </r>
  <r>
    <s v="ORD4048600"/>
    <s v="CUST0123"/>
    <s v="Zomato"/>
    <x v="115"/>
    <d v="1899-12-30T23:58:00"/>
    <x v="0"/>
    <x v="47"/>
    <x v="23"/>
    <n v="178.2"/>
    <n v="198"/>
    <x v="0"/>
  </r>
  <r>
    <s v="ORD7336938"/>
    <s v="CUST0091"/>
    <s v="Swiggy"/>
    <x v="108"/>
    <d v="1899-12-30T17:18:00"/>
    <x v="0"/>
    <x v="291"/>
    <x v="0"/>
    <n v="695"/>
    <n v="695"/>
    <x v="2"/>
  </r>
  <r>
    <s v="ORD9982743"/>
    <s v="CUST0457"/>
    <s v="Zomato"/>
    <x v="183"/>
    <d v="1899-12-30T14:40:00"/>
    <x v="0"/>
    <x v="334"/>
    <x v="0"/>
    <n v="544"/>
    <n v="544"/>
    <x v="1"/>
  </r>
  <r>
    <s v="ORD8041371"/>
    <s v="CUST0136"/>
    <s v="Zomato"/>
    <x v="38"/>
    <d v="1899-12-30T17:00:00"/>
    <x v="0"/>
    <x v="66"/>
    <x v="0"/>
    <n v="307"/>
    <n v="307"/>
    <x v="1"/>
  </r>
  <r>
    <s v="ORD4546948"/>
    <s v="CUST0304"/>
    <s v="Zomato"/>
    <x v="218"/>
    <d v="1899-12-30T20:14:00"/>
    <x v="0"/>
    <x v="366"/>
    <x v="0"/>
    <n v="1042"/>
    <n v="1042"/>
    <x v="1"/>
  </r>
  <r>
    <s v="ORD5667750"/>
    <s v="CUST0089"/>
    <s v="Zomato"/>
    <x v="89"/>
    <d v="1899-12-30T09:36:00"/>
    <x v="1"/>
    <x v="367"/>
    <x v="0"/>
    <n v="0"/>
    <n v="586"/>
    <x v="1"/>
  </r>
  <r>
    <s v="ORD3278090"/>
    <s v="CUST0384"/>
    <s v="Direct"/>
    <x v="241"/>
    <d v="1899-12-30T14:34:00"/>
    <x v="0"/>
    <x v="49"/>
    <x v="0"/>
    <n v="277"/>
    <n v="277"/>
    <x v="2"/>
  </r>
  <r>
    <s v="ORD5546442"/>
    <s v="CUST0197"/>
    <s v="Swiggy"/>
    <x v="1"/>
    <d v="1899-12-30T16:48:00"/>
    <x v="0"/>
    <x v="360"/>
    <x v="0"/>
    <n v="763"/>
    <n v="763"/>
    <x v="1"/>
  </r>
  <r>
    <s v="ORD4732002"/>
    <s v="CUST0184"/>
    <s v="Direct"/>
    <x v="315"/>
    <d v="1899-12-30T21:47:00"/>
    <x v="0"/>
    <x v="284"/>
    <x v="0"/>
    <n v="208"/>
    <n v="208"/>
    <x v="1"/>
  </r>
  <r>
    <s v="ORD8031853"/>
    <s v="CUST0099"/>
    <s v="Swiggy"/>
    <x v="8"/>
    <d v="1899-12-30T16:22:00"/>
    <x v="0"/>
    <x v="54"/>
    <x v="165"/>
    <n v="169.1"/>
    <n v="178"/>
    <x v="2"/>
  </r>
  <r>
    <s v="ORD2425937"/>
    <s v="CUST0446"/>
    <s v="Zomato"/>
    <x v="30"/>
    <d v="1899-12-30T17:55:00"/>
    <x v="1"/>
    <x v="201"/>
    <x v="87"/>
    <n v="0"/>
    <n v="318"/>
    <x v="0"/>
  </r>
  <r>
    <s v="ORD5565271"/>
    <s v="CUST0354"/>
    <s v="Zomato"/>
    <x v="165"/>
    <d v="1899-12-30T16:45:00"/>
    <x v="0"/>
    <x v="75"/>
    <x v="0"/>
    <n v="634"/>
    <n v="634"/>
    <x v="1"/>
  </r>
  <r>
    <s v="ORD5648091"/>
    <s v="CUST0074"/>
    <s v="Zomato"/>
    <x v="18"/>
    <d v="1899-12-30T21:59:00"/>
    <x v="0"/>
    <x v="205"/>
    <x v="249"/>
    <n v="696.35"/>
    <n v="733"/>
    <x v="1"/>
  </r>
  <r>
    <s v="ORD4112545"/>
    <s v="CUST0153"/>
    <s v="Swiggy"/>
    <x v="173"/>
    <d v="1899-12-30T19:53:00"/>
    <x v="0"/>
    <x v="165"/>
    <x v="0"/>
    <n v="278"/>
    <n v="278"/>
    <x v="2"/>
  </r>
  <r>
    <s v="ORD4228253"/>
    <s v="CUST0319"/>
    <s v="Zomato"/>
    <x v="156"/>
    <d v="1899-12-30T20:53:00"/>
    <x v="0"/>
    <x v="62"/>
    <x v="65"/>
    <n v="375.3"/>
    <n v="417"/>
    <x v="1"/>
  </r>
  <r>
    <s v="ORD1589684"/>
    <s v="CUST0477"/>
    <s v="Zomato"/>
    <x v="221"/>
    <d v="1899-12-30T09:59:00"/>
    <x v="0"/>
    <x v="124"/>
    <x v="0"/>
    <n v="456"/>
    <n v="456"/>
    <x v="0"/>
  </r>
  <r>
    <s v="ORD6251075"/>
    <s v="CUST0239"/>
    <s v="Zomato"/>
    <x v="91"/>
    <d v="1899-12-30T16:21:00"/>
    <x v="0"/>
    <x v="43"/>
    <x v="0"/>
    <n v="149"/>
    <n v="149"/>
    <x v="1"/>
  </r>
  <r>
    <s v="ORD4179392"/>
    <s v="CUST0316"/>
    <s v="Zomato"/>
    <x v="1"/>
    <d v="1899-12-30T19:13:00"/>
    <x v="0"/>
    <x v="368"/>
    <x v="0"/>
    <n v="425"/>
    <n v="425"/>
    <x v="0"/>
  </r>
  <r>
    <s v="ORD1418620"/>
    <s v="CUST0073"/>
    <s v="Zomato"/>
    <x v="299"/>
    <d v="1899-12-30T19:31:00"/>
    <x v="0"/>
    <x v="117"/>
    <x v="0"/>
    <n v="684"/>
    <n v="684"/>
    <x v="0"/>
  </r>
  <r>
    <s v="ORD5308981"/>
    <s v="CUST0428"/>
    <s v="Zomato"/>
    <x v="347"/>
    <d v="1899-12-30T16:30:00"/>
    <x v="0"/>
    <x v="144"/>
    <x v="0"/>
    <n v="444"/>
    <n v="444"/>
    <x v="1"/>
  </r>
  <r>
    <s v="ORD7665779"/>
    <s v="CUST0074"/>
    <s v="Zomato"/>
    <x v="55"/>
    <d v="1899-12-30T11:23:00"/>
    <x v="0"/>
    <x v="72"/>
    <x v="128"/>
    <n v="159.6"/>
    <n v="168"/>
    <x v="1"/>
  </r>
  <r>
    <s v="ORD4024840"/>
    <s v="CUST0432"/>
    <s v="Zomato"/>
    <x v="13"/>
    <d v="1899-12-30T19:51:00"/>
    <x v="0"/>
    <x v="198"/>
    <x v="0"/>
    <n v="594"/>
    <n v="594"/>
    <x v="0"/>
  </r>
  <r>
    <s v="ORD3247082"/>
    <s v="CUST0286"/>
    <s v="Zomato"/>
    <x v="338"/>
    <d v="1899-12-30T18:46:00"/>
    <x v="0"/>
    <x v="37"/>
    <x v="0"/>
    <n v="455"/>
    <n v="455"/>
    <x v="1"/>
  </r>
  <r>
    <s v="ORD7788118"/>
    <s v="CUST0413"/>
    <s v="Zomato"/>
    <x v="313"/>
    <d v="1899-12-30T10:10:00"/>
    <x v="0"/>
    <x v="38"/>
    <x v="250"/>
    <n v="747.9"/>
    <n v="831"/>
    <x v="1"/>
  </r>
  <r>
    <s v="ORD5517001"/>
    <s v="CUST0005"/>
    <s v="Swiggy"/>
    <x v="126"/>
    <d v="1899-12-30T16:58:00"/>
    <x v="0"/>
    <x v="106"/>
    <x v="0"/>
    <n v="377"/>
    <n v="377"/>
    <x v="2"/>
  </r>
  <r>
    <s v="ORD3191599"/>
    <s v="CUST0150"/>
    <s v="Swiggy"/>
    <x v="190"/>
    <d v="1899-12-30T16:31:00"/>
    <x v="0"/>
    <x v="282"/>
    <x v="0"/>
    <n v="504"/>
    <n v="504"/>
    <x v="1"/>
  </r>
  <r>
    <s v="ORD3145093"/>
    <s v="CUST0312"/>
    <s v="Direct"/>
    <x v="107"/>
    <d v="1899-12-30T12:25:00"/>
    <x v="0"/>
    <x v="282"/>
    <x v="0"/>
    <n v="504"/>
    <n v="504"/>
    <x v="1"/>
  </r>
  <r>
    <s v="ORD4145588"/>
    <s v="CUST0164"/>
    <s v="Zomato"/>
    <x v="216"/>
    <d v="1899-12-30T20:26:00"/>
    <x v="0"/>
    <x v="129"/>
    <x v="251"/>
    <n v="827.45"/>
    <n v="871"/>
    <x v="1"/>
  </r>
  <r>
    <s v="ORD4654144"/>
    <s v="CUST0450"/>
    <s v="Zomato"/>
    <x v="348"/>
    <d v="1899-12-30T18:00:00"/>
    <x v="0"/>
    <x v="6"/>
    <x v="0"/>
    <n v="158"/>
    <n v="158"/>
    <x v="1"/>
  </r>
  <r>
    <s v="ORD1081021"/>
    <s v="CUST0123"/>
    <s v="Swiggy"/>
    <x v="4"/>
    <d v="1899-12-30T15:29:00"/>
    <x v="0"/>
    <x v="77"/>
    <x v="25"/>
    <n v="849.3"/>
    <n v="894"/>
    <x v="0"/>
  </r>
  <r>
    <s v="ORD3554635"/>
    <s v="CUST0436"/>
    <s v="Zomato"/>
    <x v="281"/>
    <d v="1899-12-30T20:54:00"/>
    <x v="0"/>
    <x v="154"/>
    <x v="0"/>
    <n v="535"/>
    <n v="535"/>
    <x v="1"/>
  </r>
  <r>
    <s v="ORD6651210"/>
    <s v="CUST0199"/>
    <s v="Zomato"/>
    <x v="143"/>
    <d v="1899-12-30T00:02:00"/>
    <x v="0"/>
    <x v="20"/>
    <x v="0"/>
    <n v="615"/>
    <n v="615"/>
    <x v="1"/>
  </r>
  <r>
    <s v="ORD9641104"/>
    <s v="CUST0306"/>
    <s v="Swiggy"/>
    <x v="134"/>
    <d v="1899-12-30T16:58:00"/>
    <x v="0"/>
    <x v="224"/>
    <x v="252"/>
    <n v="601.35"/>
    <n v="633"/>
    <x v="1"/>
  </r>
  <r>
    <s v="ORD7197168"/>
    <s v="CUST0310"/>
    <s v="Swiggy"/>
    <x v="174"/>
    <d v="1899-12-30T16:42:00"/>
    <x v="0"/>
    <x v="265"/>
    <x v="253"/>
    <n v="379.1"/>
    <n v="446"/>
    <x v="1"/>
  </r>
  <r>
    <s v="ORD5012665"/>
    <s v="CUST0186"/>
    <s v="Zomato"/>
    <x v="343"/>
    <d v="1899-12-30T09:04:00"/>
    <x v="0"/>
    <x v="170"/>
    <x v="0"/>
    <n v="514"/>
    <n v="514"/>
    <x v="1"/>
  </r>
  <r>
    <s v="ORD1900408"/>
    <s v="CUST0227"/>
    <s v="Zomato"/>
    <x v="21"/>
    <d v="1899-12-30T15:27:00"/>
    <x v="0"/>
    <x v="132"/>
    <x v="0"/>
    <n v="396"/>
    <n v="396"/>
    <x v="1"/>
  </r>
  <r>
    <s v="ORD3553618"/>
    <s v="CUST0047"/>
    <s v="Swiggy"/>
    <x v="181"/>
    <d v="1899-12-30T23:58:00"/>
    <x v="0"/>
    <x v="369"/>
    <x v="254"/>
    <n v="1266.5"/>
    <n v="1490"/>
    <x v="0"/>
  </r>
  <r>
    <s v="ORD3280748"/>
    <s v="CUST0353"/>
    <s v="Zomato"/>
    <x v="125"/>
    <d v="1899-12-30T22:16:00"/>
    <x v="0"/>
    <x v="1"/>
    <x v="0"/>
    <n v="238"/>
    <n v="238"/>
    <x v="0"/>
  </r>
  <r>
    <s v="ORD2588823"/>
    <s v="CUST0151"/>
    <s v="Zomato"/>
    <x v="308"/>
    <d v="1899-12-30T09:00:00"/>
    <x v="0"/>
    <x v="129"/>
    <x v="0"/>
    <n v="871"/>
    <n v="871"/>
    <x v="1"/>
  </r>
  <r>
    <s v="ORD1531957"/>
    <s v="CUST0457"/>
    <s v="Zomato"/>
    <x v="125"/>
    <d v="1899-12-30T21:55:00"/>
    <x v="0"/>
    <x v="5"/>
    <x v="105"/>
    <n v="159.80000000000001"/>
    <n v="188"/>
    <x v="1"/>
  </r>
  <r>
    <s v="ORD3949116"/>
    <s v="CUST0046"/>
    <s v="Swiggy"/>
    <x v="139"/>
    <d v="1899-12-30T16:01:00"/>
    <x v="0"/>
    <x v="194"/>
    <x v="0"/>
    <n v="465"/>
    <n v="465"/>
    <x v="1"/>
  </r>
  <r>
    <s v="ORD5337729"/>
    <s v="CUST0385"/>
    <s v="Zomato"/>
    <x v="269"/>
    <d v="1899-12-30T19:27:00"/>
    <x v="0"/>
    <x v="79"/>
    <x v="0"/>
    <n v="674"/>
    <n v="674"/>
    <x v="0"/>
  </r>
  <r>
    <s v="ORD1422000"/>
    <s v="CUST0197"/>
    <s v="Swiggy"/>
    <x v="349"/>
    <d v="1899-12-30T21:19:00"/>
    <x v="0"/>
    <x v="282"/>
    <x v="0"/>
    <n v="504"/>
    <n v="504"/>
    <x v="1"/>
  </r>
  <r>
    <s v="ORD2393753"/>
    <s v="CUST0286"/>
    <s v="Direct"/>
    <x v="170"/>
    <d v="1899-12-30T17:22:00"/>
    <x v="0"/>
    <x v="347"/>
    <x v="0"/>
    <n v="692"/>
    <n v="692"/>
    <x v="1"/>
  </r>
  <r>
    <s v="ORD6890185"/>
    <s v="CUST0415"/>
    <s v="Zomato"/>
    <x v="268"/>
    <d v="1899-12-30T19:45:00"/>
    <x v="0"/>
    <x v="370"/>
    <x v="0"/>
    <n v="1170"/>
    <n v="1170"/>
    <x v="1"/>
  </r>
  <r>
    <s v="ORD3678376"/>
    <s v="CUST0240"/>
    <s v="Swiggy"/>
    <x v="149"/>
    <d v="1899-12-30T13:30:00"/>
    <x v="1"/>
    <x v="48"/>
    <x v="0"/>
    <n v="0"/>
    <n v="89"/>
    <x v="1"/>
  </r>
  <r>
    <s v="ORD6055598"/>
    <s v="CUST0290"/>
    <s v="Zomato"/>
    <x v="350"/>
    <d v="1899-12-30T13:32:00"/>
    <x v="0"/>
    <x v="6"/>
    <x v="0"/>
    <n v="158"/>
    <n v="158"/>
    <x v="1"/>
  </r>
  <r>
    <s v="ORD2457615"/>
    <s v="CUST0486"/>
    <s v="Zomato"/>
    <x v="323"/>
    <d v="1899-12-30T23:09:00"/>
    <x v="0"/>
    <x v="227"/>
    <x v="0"/>
    <n v="536"/>
    <n v="536"/>
    <x v="1"/>
  </r>
  <r>
    <s v="ORD2475412"/>
    <s v="CUST0145"/>
    <s v="Swiggy"/>
    <x v="194"/>
    <d v="1899-12-30T13:51:00"/>
    <x v="0"/>
    <x v="201"/>
    <x v="0"/>
    <n v="318"/>
    <n v="318"/>
    <x v="1"/>
  </r>
  <r>
    <s v="ORD8198004"/>
    <s v="CUST0002"/>
    <s v="Direct"/>
    <x v="110"/>
    <d v="1899-12-30T19:15:00"/>
    <x v="0"/>
    <x v="239"/>
    <x v="0"/>
    <n v="326"/>
    <n v="326"/>
    <x v="0"/>
  </r>
  <r>
    <s v="ORD1389216"/>
    <s v="CUST0301"/>
    <s v="Swiggy"/>
    <x v="35"/>
    <d v="1899-12-30T20:17:00"/>
    <x v="0"/>
    <x v="104"/>
    <x v="38"/>
    <n v="621.29999999999995"/>
    <n v="654"/>
    <x v="1"/>
  </r>
  <r>
    <s v="ORD5680271"/>
    <s v="CUST0101"/>
    <s v="Swiggy"/>
    <x v="155"/>
    <d v="1899-12-30T18:19:00"/>
    <x v="0"/>
    <x v="107"/>
    <x v="0"/>
    <n v="723"/>
    <n v="723"/>
    <x v="1"/>
  </r>
  <r>
    <s v="ORD1887034"/>
    <s v="CUST0447"/>
    <s v="Swiggy"/>
    <x v="203"/>
    <d v="1899-12-30T21:41:00"/>
    <x v="0"/>
    <x v="165"/>
    <x v="0"/>
    <n v="278"/>
    <n v="278"/>
    <x v="0"/>
  </r>
  <r>
    <s v="ORD1544147"/>
    <s v="CUST0046"/>
    <s v="Swiggy"/>
    <x v="200"/>
    <d v="1899-12-30T09:05:00"/>
    <x v="0"/>
    <x v="47"/>
    <x v="0"/>
    <n v="198"/>
    <n v="198"/>
    <x v="1"/>
  </r>
  <r>
    <s v="ORD1764825"/>
    <s v="CUST0334"/>
    <s v="Swiggy"/>
    <x v="33"/>
    <d v="1899-12-30T19:48:00"/>
    <x v="0"/>
    <x v="371"/>
    <x v="0"/>
    <n v="1117"/>
    <n v="1117"/>
    <x v="2"/>
  </r>
  <r>
    <s v="ORD9789306"/>
    <s v="CUST0326"/>
    <s v="Zomato"/>
    <x v="343"/>
    <d v="1899-12-30T18:54:00"/>
    <x v="0"/>
    <x v="101"/>
    <x v="0"/>
    <n v="436"/>
    <n v="436"/>
    <x v="1"/>
  </r>
  <r>
    <s v="ORD3308575"/>
    <s v="CUST0382"/>
    <s v="Zomato"/>
    <x v="34"/>
    <d v="1899-12-30T19:33:00"/>
    <x v="0"/>
    <x v="52"/>
    <x v="0"/>
    <n v="336"/>
    <n v="336"/>
    <x v="1"/>
  </r>
  <r>
    <s v="ORD7445760"/>
    <s v="CUST0458"/>
    <s v="Zomato"/>
    <x v="331"/>
    <d v="1899-12-30T17:08:00"/>
    <x v="0"/>
    <x v="84"/>
    <x v="215"/>
    <n v="580.5"/>
    <n v="645"/>
    <x v="2"/>
  </r>
  <r>
    <s v="ORD1250389"/>
    <s v="CUST0409"/>
    <s v="Zomato"/>
    <x v="1"/>
    <d v="1899-12-30T16:11:00"/>
    <x v="0"/>
    <x v="17"/>
    <x v="0"/>
    <n v="297"/>
    <n v="297"/>
    <x v="2"/>
  </r>
  <r>
    <s v="ORD4124302"/>
    <s v="CUST0449"/>
    <s v="Zomato"/>
    <x v="61"/>
    <d v="1899-12-30T17:13:00"/>
    <x v="0"/>
    <x v="113"/>
    <x v="255"/>
    <n v="525.6"/>
    <n v="584"/>
    <x v="1"/>
  </r>
  <r>
    <s v="ORD8330480"/>
    <s v="CUST0350"/>
    <s v="Zomato"/>
    <x v="136"/>
    <d v="1899-12-30T19:43:00"/>
    <x v="1"/>
    <x v="116"/>
    <x v="256"/>
    <n v="0"/>
    <n v="673"/>
    <x v="0"/>
  </r>
  <r>
    <s v="ORD3435911"/>
    <s v="CUST0209"/>
    <s v="Direct"/>
    <x v="176"/>
    <d v="1899-12-30T16:53:00"/>
    <x v="0"/>
    <x v="43"/>
    <x v="0"/>
    <n v="149"/>
    <n v="149"/>
    <x v="1"/>
  </r>
  <r>
    <s v="ORD3626317"/>
    <s v="CUST0393"/>
    <s v="Zomato"/>
    <x v="291"/>
    <d v="1899-12-30T01:33:00"/>
    <x v="0"/>
    <x v="372"/>
    <x v="0"/>
    <n v="1202"/>
    <n v="1202"/>
    <x v="1"/>
  </r>
  <r>
    <s v="ORD1259548"/>
    <s v="CUST0415"/>
    <s v="Swiggy"/>
    <x v="8"/>
    <d v="1899-12-30T15:38:00"/>
    <x v="0"/>
    <x v="373"/>
    <x v="0"/>
    <n v="1058"/>
    <n v="1058"/>
    <x v="1"/>
  </r>
  <r>
    <s v="ORD6536394"/>
    <s v="CUST0445"/>
    <s v="Direct"/>
    <x v="204"/>
    <d v="1899-12-30T12:42:00"/>
    <x v="0"/>
    <x v="6"/>
    <x v="0"/>
    <n v="158"/>
    <n v="158"/>
    <x v="1"/>
  </r>
  <r>
    <s v="ORD8121698"/>
    <s v="CUST0259"/>
    <s v="Swiggy"/>
    <x v="146"/>
    <d v="1899-12-30T17:31:00"/>
    <x v="0"/>
    <x v="251"/>
    <x v="257"/>
    <n v="453.05"/>
    <n v="533"/>
    <x v="0"/>
  </r>
  <r>
    <s v="ORD4929395"/>
    <s v="CUST0414"/>
    <s v="Zomato"/>
    <x v="332"/>
    <d v="1899-12-30T22:21:00"/>
    <x v="1"/>
    <x v="188"/>
    <x v="0"/>
    <n v="0"/>
    <n v="248"/>
    <x v="2"/>
  </r>
  <r>
    <s v="ORD4809816"/>
    <s v="CUST0307"/>
    <s v="Zomato"/>
    <x v="213"/>
    <d v="1899-12-30T21:51:00"/>
    <x v="0"/>
    <x v="48"/>
    <x v="0"/>
    <n v="89"/>
    <n v="89"/>
    <x v="1"/>
  </r>
  <r>
    <s v="ORD3371399"/>
    <s v="CUST0396"/>
    <s v="Zomato"/>
    <x v="149"/>
    <d v="1899-12-30T18:27:00"/>
    <x v="0"/>
    <x v="101"/>
    <x v="0"/>
    <n v="436"/>
    <n v="436"/>
    <x v="0"/>
  </r>
  <r>
    <s v="ORD4856748"/>
    <s v="CUST0273"/>
    <s v="Direct"/>
    <x v="351"/>
    <d v="1899-12-30T01:30:00"/>
    <x v="0"/>
    <x v="374"/>
    <x v="0"/>
    <n v="810"/>
    <n v="810"/>
    <x v="1"/>
  </r>
  <r>
    <s v="ORD8701056"/>
    <s v="CUST0434"/>
    <s v="Zomato"/>
    <x v="235"/>
    <d v="1899-12-30T18:32:00"/>
    <x v="0"/>
    <x v="31"/>
    <x v="0"/>
    <n v="386"/>
    <n v="386"/>
    <x v="1"/>
  </r>
  <r>
    <s v="ORD6037482"/>
    <s v="CUST0285"/>
    <s v="Swiggy"/>
    <x v="204"/>
    <d v="1899-12-30T19:11:00"/>
    <x v="0"/>
    <x v="375"/>
    <x v="0"/>
    <n v="375"/>
    <n v="375"/>
    <x v="1"/>
  </r>
  <r>
    <s v="ORD7725763"/>
    <s v="CUST0107"/>
    <s v="Swiggy"/>
    <x v="26"/>
    <d v="1899-12-30T12:21:00"/>
    <x v="0"/>
    <x v="137"/>
    <x v="74"/>
    <n v="357.3"/>
    <n v="397"/>
    <x v="1"/>
  </r>
  <r>
    <s v="ORD9674029"/>
    <s v="CUST0016"/>
    <s v="Swiggy"/>
    <x v="166"/>
    <d v="1899-12-30T21:44:00"/>
    <x v="0"/>
    <x v="282"/>
    <x v="0"/>
    <n v="504"/>
    <n v="504"/>
    <x v="1"/>
  </r>
  <r>
    <s v="ORD2406064"/>
    <s v="CUST0103"/>
    <s v="Swiggy"/>
    <x v="230"/>
    <d v="1899-12-30T17:30:00"/>
    <x v="0"/>
    <x v="323"/>
    <x v="0"/>
    <n v="764"/>
    <n v="764"/>
    <x v="1"/>
  </r>
  <r>
    <s v="ORD6687491"/>
    <s v="CUST0238"/>
    <s v="Zomato"/>
    <x v="333"/>
    <d v="1899-12-30T20:56:00"/>
    <x v="0"/>
    <x v="97"/>
    <x v="0"/>
    <n v="357"/>
    <n v="357"/>
    <x v="0"/>
  </r>
  <r>
    <s v="ORD3185029"/>
    <s v="CUST0108"/>
    <s v="Direct"/>
    <x v="314"/>
    <d v="1899-12-30T17:30:00"/>
    <x v="0"/>
    <x v="122"/>
    <x v="75"/>
    <n v="471.2"/>
    <n v="496"/>
    <x v="1"/>
  </r>
  <r>
    <s v="ORD3024875"/>
    <s v="CUST0251"/>
    <s v="Zomato"/>
    <x v="288"/>
    <d v="1899-12-30T01:56:00"/>
    <x v="0"/>
    <x v="17"/>
    <x v="0"/>
    <n v="297"/>
    <n v="297"/>
    <x v="1"/>
  </r>
  <r>
    <s v="ORD4903872"/>
    <s v="CUST0429"/>
    <s v="Swiggy"/>
    <x v="302"/>
    <d v="1899-12-30T18:17:00"/>
    <x v="0"/>
    <x v="63"/>
    <x v="0"/>
    <n v="635"/>
    <n v="635"/>
    <x v="1"/>
  </r>
  <r>
    <s v="ORD1233441"/>
    <s v="CUST0212"/>
    <s v="Direct"/>
    <x v="101"/>
    <d v="1899-12-30T17:47:00"/>
    <x v="0"/>
    <x v="172"/>
    <x v="0"/>
    <n v="406"/>
    <n v="406"/>
    <x v="1"/>
  </r>
  <r>
    <s v="ORD4255084"/>
    <s v="CUST0042"/>
    <s v="Zomato"/>
    <x v="57"/>
    <d v="1899-12-30T17:51:00"/>
    <x v="0"/>
    <x v="52"/>
    <x v="0"/>
    <n v="336"/>
    <n v="336"/>
    <x v="0"/>
  </r>
  <r>
    <s v="ORD8391531"/>
    <s v="CUST0437"/>
    <s v="Zomato"/>
    <x v="118"/>
    <d v="1899-12-30T20:14:00"/>
    <x v="0"/>
    <x v="164"/>
    <x v="225"/>
    <n v="809.4"/>
    <n v="852"/>
    <x v="0"/>
  </r>
  <r>
    <s v="ORD6868570"/>
    <s v="CUST0032"/>
    <s v="Zomato"/>
    <x v="162"/>
    <d v="1899-12-30T14:16:00"/>
    <x v="1"/>
    <x v="182"/>
    <x v="199"/>
    <n v="0"/>
    <n v="574"/>
    <x v="1"/>
  </r>
  <r>
    <s v="ORD3685450"/>
    <s v="CUST0277"/>
    <s v="Direct"/>
    <x v="209"/>
    <d v="1899-12-30T22:11:00"/>
    <x v="0"/>
    <x v="48"/>
    <x v="155"/>
    <n v="75.650000000000006"/>
    <n v="89"/>
    <x v="1"/>
  </r>
  <r>
    <s v="ORD6555400"/>
    <s v="CUST0215"/>
    <s v="Zomato"/>
    <x v="305"/>
    <d v="1899-12-30T19:45:00"/>
    <x v="0"/>
    <x v="159"/>
    <x v="0"/>
    <n v="258"/>
    <n v="258"/>
    <x v="1"/>
  </r>
  <r>
    <s v="ORD9483659"/>
    <s v="CUST0232"/>
    <s v="Swiggy"/>
    <x v="200"/>
    <d v="1899-12-30T18:01:00"/>
    <x v="0"/>
    <x v="11"/>
    <x v="72"/>
    <n v="240.3"/>
    <n v="267"/>
    <x v="0"/>
  </r>
  <r>
    <s v="ORD2732796"/>
    <s v="CUST0006"/>
    <s v="Swiggy"/>
    <x v="51"/>
    <d v="1899-12-30T16:34:00"/>
    <x v="0"/>
    <x v="376"/>
    <x v="0"/>
    <n v="2005"/>
    <n v="2005"/>
    <x v="1"/>
  </r>
  <r>
    <s v="ORD3908376"/>
    <s v="CUST0018"/>
    <s v="Swiggy"/>
    <x v="164"/>
    <d v="1899-12-30T20:58:00"/>
    <x v="0"/>
    <x v="48"/>
    <x v="0"/>
    <n v="89"/>
    <n v="89"/>
    <x v="1"/>
  </r>
  <r>
    <s v="ORD6772242"/>
    <s v="CUST0334"/>
    <s v="Swiggy"/>
    <x v="76"/>
    <d v="1899-12-30T18:57:00"/>
    <x v="0"/>
    <x v="39"/>
    <x v="0"/>
    <n v="79"/>
    <n v="79"/>
    <x v="2"/>
  </r>
  <r>
    <s v="ORD9460643"/>
    <s v="CUST0438"/>
    <s v="Zomato"/>
    <x v="37"/>
    <d v="1899-12-30T09:14:00"/>
    <x v="0"/>
    <x v="139"/>
    <x v="0"/>
    <n v="715"/>
    <n v="715"/>
    <x v="0"/>
  </r>
  <r>
    <s v="ORD6818667"/>
    <s v="CUST0416"/>
    <s v="Swiggy"/>
    <x v="243"/>
    <d v="1899-12-30T17:00:00"/>
    <x v="0"/>
    <x v="57"/>
    <x v="258"/>
    <n v="859.35"/>
    <n v="1011"/>
    <x v="1"/>
  </r>
  <r>
    <s v="ORD3246423"/>
    <s v="CUST0161"/>
    <s v="Direct"/>
    <x v="333"/>
    <d v="1899-12-30T00:25:00"/>
    <x v="0"/>
    <x v="47"/>
    <x v="0"/>
    <n v="198"/>
    <n v="198"/>
    <x v="2"/>
  </r>
  <r>
    <s v="ORD1249770"/>
    <s v="CUST0082"/>
    <s v="Zomato"/>
    <x v="9"/>
    <d v="1899-12-30T18:17:00"/>
    <x v="0"/>
    <x v="188"/>
    <x v="0"/>
    <n v="248"/>
    <n v="248"/>
    <x v="1"/>
  </r>
  <r>
    <s v="ORD2275295"/>
    <s v="CUST0093"/>
    <s v="Zomato"/>
    <x v="200"/>
    <d v="1899-12-30T00:08:00"/>
    <x v="0"/>
    <x v="54"/>
    <x v="16"/>
    <n v="160.19999999999999"/>
    <n v="178"/>
    <x v="1"/>
  </r>
  <r>
    <s v="ORD7688099"/>
    <s v="CUST0342"/>
    <s v="Direct"/>
    <x v="245"/>
    <d v="1899-12-30T18:09:00"/>
    <x v="0"/>
    <x v="49"/>
    <x v="148"/>
    <n v="263.14999999999998"/>
    <n v="277"/>
    <x v="2"/>
  </r>
  <r>
    <s v="ORD5506019"/>
    <s v="CUST0380"/>
    <s v="Direct"/>
    <x v="276"/>
    <d v="1899-12-30T17:42:00"/>
    <x v="0"/>
    <x v="80"/>
    <x v="0"/>
    <n v="793"/>
    <n v="793"/>
    <x v="1"/>
  </r>
  <r>
    <s v="ORD1828280"/>
    <s v="CUST0054"/>
    <s v="Zomato"/>
    <x v="320"/>
    <d v="1899-12-30T20:40:00"/>
    <x v="0"/>
    <x v="60"/>
    <x v="259"/>
    <n v="773.3"/>
    <n v="814"/>
    <x v="1"/>
  </r>
  <r>
    <s v="ORD2836456"/>
    <s v="CUST0409"/>
    <s v="Swiggy"/>
    <x v="36"/>
    <d v="1899-12-30T18:40:00"/>
    <x v="1"/>
    <x v="89"/>
    <x v="260"/>
    <n v="0"/>
    <n v="395"/>
    <x v="2"/>
  </r>
  <r>
    <s v="ORD3854736"/>
    <s v="CUST0451"/>
    <s v="Zomato"/>
    <x v="179"/>
    <d v="1899-12-30T12:13:00"/>
    <x v="1"/>
    <x v="49"/>
    <x v="0"/>
    <n v="0"/>
    <n v="277"/>
    <x v="0"/>
  </r>
  <r>
    <s v="ORD6595931"/>
    <s v="CUST0030"/>
    <s v="Direct"/>
    <x v="233"/>
    <d v="1899-12-30T15:17:00"/>
    <x v="0"/>
    <x v="343"/>
    <x v="261"/>
    <n v="542.70000000000005"/>
    <n v="603"/>
    <x v="1"/>
  </r>
  <r>
    <s v="ORD9521406"/>
    <s v="CUST0089"/>
    <s v="Zomato"/>
    <x v="5"/>
    <d v="1899-12-30T19:50:00"/>
    <x v="0"/>
    <x v="34"/>
    <x v="0"/>
    <n v="228"/>
    <n v="228"/>
    <x v="1"/>
  </r>
  <r>
    <s v="ORD3831541"/>
    <s v="CUST0403"/>
    <s v="Swiggy"/>
    <x v="196"/>
    <d v="1899-12-30T14:05:00"/>
    <x v="0"/>
    <x v="368"/>
    <x v="262"/>
    <n v="382.5"/>
    <n v="425"/>
    <x v="1"/>
  </r>
  <r>
    <s v="ORD6031079"/>
    <s v="CUST0087"/>
    <s v="Swiggy"/>
    <x v="129"/>
    <d v="1899-12-30T01:25:00"/>
    <x v="0"/>
    <x v="33"/>
    <x v="41"/>
    <n v="207.1"/>
    <n v="218"/>
    <x v="2"/>
  </r>
  <r>
    <s v="ORD3936064"/>
    <s v="CUST0148"/>
    <s v="Swiggy"/>
    <x v="94"/>
    <d v="1899-12-30T18:05:00"/>
    <x v="1"/>
    <x v="6"/>
    <x v="0"/>
    <n v="0"/>
    <n v="158"/>
    <x v="0"/>
  </r>
  <r>
    <s v="ORD5400264"/>
    <s v="CUST0210"/>
    <s v="Zomato"/>
    <x v="156"/>
    <d v="1899-12-30T09:08:00"/>
    <x v="0"/>
    <x v="212"/>
    <x v="0"/>
    <n v="564"/>
    <n v="564"/>
    <x v="1"/>
  </r>
  <r>
    <s v="ORD4368734"/>
    <s v="CUST0126"/>
    <s v="Zomato"/>
    <x v="81"/>
    <d v="1899-12-30T00:14:00"/>
    <x v="0"/>
    <x v="172"/>
    <x v="219"/>
    <n v="385.7"/>
    <n v="406"/>
    <x v="1"/>
  </r>
  <r>
    <s v="ORD1625318"/>
    <s v="CUST0237"/>
    <s v="Zomato"/>
    <x v="349"/>
    <d v="1899-12-30T20:09:00"/>
    <x v="0"/>
    <x v="282"/>
    <x v="197"/>
    <n v="453.6"/>
    <n v="504"/>
    <x v="1"/>
  </r>
  <r>
    <s v="ORD6938942"/>
    <s v="CUST0270"/>
    <s v="Swiggy"/>
    <x v="105"/>
    <d v="1899-12-30T17:45:00"/>
    <x v="0"/>
    <x v="135"/>
    <x v="97"/>
    <n v="112.1"/>
    <n v="118"/>
    <x v="0"/>
  </r>
  <r>
    <s v="ORD2867709"/>
    <s v="CUST0076"/>
    <s v="Direct"/>
    <x v="121"/>
    <d v="1899-12-30T19:42:00"/>
    <x v="0"/>
    <x v="377"/>
    <x v="0"/>
    <n v="1409"/>
    <n v="1409"/>
    <x v="1"/>
  </r>
  <r>
    <s v="ORD5826896"/>
    <s v="CUST0142"/>
    <s v="Direct"/>
    <x v="213"/>
    <d v="1899-12-30T15:22:00"/>
    <x v="0"/>
    <x v="37"/>
    <x v="0"/>
    <n v="455"/>
    <n v="455"/>
    <x v="0"/>
  </r>
  <r>
    <s v="ORD4020918"/>
    <s v="CUST0129"/>
    <s v="Swiggy"/>
    <x v="164"/>
    <d v="1899-12-30T12:50:00"/>
    <x v="1"/>
    <x v="182"/>
    <x v="209"/>
    <n v="0"/>
    <n v="574"/>
    <x v="1"/>
  </r>
  <r>
    <s v="ORD4066071"/>
    <s v="CUST0097"/>
    <s v="Zomato"/>
    <x v="288"/>
    <d v="1899-12-30T20:36:00"/>
    <x v="0"/>
    <x v="256"/>
    <x v="0"/>
    <n v="466"/>
    <n v="466"/>
    <x v="0"/>
  </r>
  <r>
    <s v="ORD8526850"/>
    <s v="CUST0200"/>
    <s v="Swiggy"/>
    <x v="196"/>
    <d v="1899-12-30T23:52:00"/>
    <x v="0"/>
    <x v="282"/>
    <x v="0"/>
    <n v="504"/>
    <n v="504"/>
    <x v="1"/>
  </r>
  <r>
    <s v="ORD9652307"/>
    <s v="CUST0240"/>
    <s v="Zomato"/>
    <x v="148"/>
    <d v="1899-12-30T18:44:00"/>
    <x v="0"/>
    <x v="2"/>
    <x v="0"/>
    <n v="356"/>
    <n v="356"/>
    <x v="1"/>
  </r>
  <r>
    <s v="ORD5672909"/>
    <s v="CUST0047"/>
    <s v="Zomato"/>
    <x v="57"/>
    <d v="1899-12-30T18:11:00"/>
    <x v="0"/>
    <x v="154"/>
    <x v="0"/>
    <n v="535"/>
    <n v="535"/>
    <x v="0"/>
  </r>
  <r>
    <s v="ORD7888141"/>
    <s v="CUST0157"/>
    <s v="Zomato"/>
    <x v="96"/>
    <d v="1899-12-30T19:03:00"/>
    <x v="0"/>
    <x v="49"/>
    <x v="0"/>
    <n v="277"/>
    <n v="277"/>
    <x v="1"/>
  </r>
  <r>
    <s v="ORD6895559"/>
    <s v="CUST0232"/>
    <s v="Swiggy"/>
    <x v="208"/>
    <d v="1899-12-30T20:48:00"/>
    <x v="0"/>
    <x v="66"/>
    <x v="39"/>
    <n v="291.64999999999998"/>
    <n v="307"/>
    <x v="0"/>
  </r>
  <r>
    <s v="ORD2461763"/>
    <s v="CUST0338"/>
    <s v="Zomato"/>
    <x v="204"/>
    <d v="1899-12-30T10:23:00"/>
    <x v="0"/>
    <x v="15"/>
    <x v="0"/>
    <n v="308"/>
    <n v="308"/>
    <x v="0"/>
  </r>
  <r>
    <s v="ORD6612339"/>
    <s v="CUST0398"/>
    <s v="Swiggy"/>
    <x v="30"/>
    <d v="1899-12-30T16:00:00"/>
    <x v="0"/>
    <x v="8"/>
    <x v="0"/>
    <n v="387"/>
    <n v="387"/>
    <x v="2"/>
  </r>
  <r>
    <s v="ORD8127058"/>
    <s v="CUST0127"/>
    <s v="Zomato"/>
    <x v="265"/>
    <d v="1899-12-30T12:45:00"/>
    <x v="1"/>
    <x v="52"/>
    <x v="42"/>
    <n v="0"/>
    <n v="336"/>
    <x v="1"/>
  </r>
  <r>
    <s v="ORD4077109"/>
    <s v="CUST0478"/>
    <s v="Zomato"/>
    <x v="60"/>
    <d v="1899-12-30T10:35:00"/>
    <x v="0"/>
    <x v="26"/>
    <x v="0"/>
    <n v="515"/>
    <n v="515"/>
    <x v="1"/>
  </r>
  <r>
    <s v="ORD9428560"/>
    <s v="CUST0221"/>
    <s v="Zomato"/>
    <x v="332"/>
    <d v="1899-12-30T21:32:00"/>
    <x v="0"/>
    <x v="70"/>
    <x v="0"/>
    <n v="317"/>
    <n v="317"/>
    <x v="1"/>
  </r>
  <r>
    <s v="ORD1403834"/>
    <s v="CUST0247"/>
    <s v="Direct"/>
    <x v="183"/>
    <d v="1899-12-30T23:48:00"/>
    <x v="0"/>
    <x v="151"/>
    <x v="127"/>
    <n v="566.20000000000005"/>
    <n v="596"/>
    <x v="1"/>
  </r>
  <r>
    <s v="ORD2304420"/>
    <s v="CUST0288"/>
    <s v="Zomato"/>
    <x v="266"/>
    <d v="1899-12-30T21:54:00"/>
    <x v="0"/>
    <x v="102"/>
    <x v="0"/>
    <n v="842"/>
    <n v="842"/>
    <x v="0"/>
  </r>
  <r>
    <s v="ORD3974790"/>
    <s v="CUST0484"/>
    <s v="Swiggy"/>
    <x v="263"/>
    <d v="1899-12-30T22:12:00"/>
    <x v="0"/>
    <x v="212"/>
    <x v="0"/>
    <n v="564"/>
    <n v="564"/>
    <x v="0"/>
  </r>
  <r>
    <s v="ORD1101935"/>
    <s v="CUST0235"/>
    <s v="Swiggy"/>
    <x v="315"/>
    <d v="1899-12-30T22:05:00"/>
    <x v="0"/>
    <x v="62"/>
    <x v="0"/>
    <n v="417"/>
    <n v="417"/>
    <x v="0"/>
  </r>
  <r>
    <s v="ORD2461262"/>
    <s v="CUST0341"/>
    <s v="Zomato"/>
    <x v="346"/>
    <d v="1899-12-30T23:43:00"/>
    <x v="0"/>
    <x v="123"/>
    <x v="263"/>
    <n v="641.70000000000005"/>
    <n v="713"/>
    <x v="0"/>
  </r>
  <r>
    <s v="ORD1033416"/>
    <s v="CUST0276"/>
    <s v="Zomato"/>
    <x v="191"/>
    <d v="1899-12-30T18:52:00"/>
    <x v="0"/>
    <x v="243"/>
    <x v="264"/>
    <n v="579.6"/>
    <n v="644"/>
    <x v="1"/>
  </r>
  <r>
    <s v="ORD2264074"/>
    <s v="CUST0076"/>
    <s v="Swiggy"/>
    <x v="253"/>
    <d v="1899-12-30T16:44:00"/>
    <x v="0"/>
    <x v="242"/>
    <x v="0"/>
    <n v="873"/>
    <n v="873"/>
    <x v="1"/>
  </r>
  <r>
    <s v="ORD1869144"/>
    <s v="CUST0297"/>
    <s v="Direct"/>
    <x v="308"/>
    <d v="1899-12-30T21:33:00"/>
    <x v="0"/>
    <x v="101"/>
    <x v="202"/>
    <n v="370.6"/>
    <n v="436"/>
    <x v="0"/>
  </r>
  <r>
    <s v="ORD8985182"/>
    <s v="CUST0397"/>
    <s v="Zomato"/>
    <x v="92"/>
    <d v="1899-12-30T17:28:00"/>
    <x v="0"/>
    <x v="375"/>
    <x v="265"/>
    <n v="356.25"/>
    <n v="375"/>
    <x v="1"/>
  </r>
  <r>
    <s v="ORD3916773"/>
    <s v="CUST0308"/>
    <s v="Direct"/>
    <x v="218"/>
    <d v="1899-12-30T20:10:00"/>
    <x v="0"/>
    <x v="212"/>
    <x v="0"/>
    <n v="564"/>
    <n v="564"/>
    <x v="0"/>
  </r>
  <r>
    <s v="ORD8028787"/>
    <s v="CUST0142"/>
    <s v="Zomato"/>
    <x v="79"/>
    <d v="1899-12-30T19:40:00"/>
    <x v="0"/>
    <x v="6"/>
    <x v="0"/>
    <n v="158"/>
    <n v="158"/>
    <x v="0"/>
  </r>
  <r>
    <s v="ORD7575211"/>
    <s v="CUST0410"/>
    <s v="Zomato"/>
    <x v="302"/>
    <d v="1899-12-30T16:10:00"/>
    <x v="0"/>
    <x v="50"/>
    <x v="266"/>
    <n v="84.15"/>
    <n v="99"/>
    <x v="1"/>
  </r>
  <r>
    <s v="ORD5438623"/>
    <s v="CUST0216"/>
    <s v="Zomato"/>
    <x v="41"/>
    <d v="1899-12-30T17:59:00"/>
    <x v="0"/>
    <x v="97"/>
    <x v="0"/>
    <n v="357"/>
    <n v="357"/>
    <x v="1"/>
  </r>
  <r>
    <s v="ORD1183744"/>
    <s v="CUST0004"/>
    <s v="Zomato"/>
    <x v="17"/>
    <d v="1899-12-30T22:57:00"/>
    <x v="0"/>
    <x v="21"/>
    <x v="0"/>
    <n v="435"/>
    <n v="435"/>
    <x v="1"/>
  </r>
  <r>
    <s v="ORD5467103"/>
    <s v="CUST0005"/>
    <s v="Zomato"/>
    <x v="337"/>
    <d v="1899-12-30T18:15:00"/>
    <x v="0"/>
    <x v="191"/>
    <x v="0"/>
    <n v="257"/>
    <n v="257"/>
    <x v="2"/>
  </r>
  <r>
    <s v="ORD6173064"/>
    <s v="CUST0193"/>
    <s v="Zomato"/>
    <x v="221"/>
    <d v="1899-12-30T18:15:00"/>
    <x v="0"/>
    <x v="126"/>
    <x v="0"/>
    <n v="526"/>
    <n v="526"/>
    <x v="1"/>
  </r>
  <r>
    <s v="ORD7712695"/>
    <s v="CUST0009"/>
    <s v="Direct"/>
    <x v="19"/>
    <d v="1899-12-30T13:43:00"/>
    <x v="0"/>
    <x v="316"/>
    <x v="0"/>
    <n v="811"/>
    <n v="811"/>
    <x v="1"/>
  </r>
  <r>
    <s v="ORD7394795"/>
    <s v="CUST0119"/>
    <s v="Zomato"/>
    <x v="116"/>
    <d v="1899-12-30T17:08:00"/>
    <x v="0"/>
    <x v="79"/>
    <x v="0"/>
    <n v="674"/>
    <n v="674"/>
    <x v="1"/>
  </r>
  <r>
    <s v="ORD5304568"/>
    <s v="CUST0384"/>
    <s v="Zomato"/>
    <x v="245"/>
    <d v="1899-12-30T11:08:00"/>
    <x v="0"/>
    <x v="2"/>
    <x v="26"/>
    <n v="320.39999999999998"/>
    <n v="356"/>
    <x v="2"/>
  </r>
  <r>
    <s v="ORD7324261"/>
    <s v="CUST0097"/>
    <s v="Direct"/>
    <x v="52"/>
    <d v="1899-12-30T19:11:00"/>
    <x v="1"/>
    <x v="340"/>
    <x v="0"/>
    <n v="0"/>
    <n v="1168"/>
    <x v="0"/>
  </r>
  <r>
    <s v="ORD9311973"/>
    <s v="CUST0264"/>
    <s v="Zomato"/>
    <x v="88"/>
    <d v="1899-12-30T15:35:00"/>
    <x v="0"/>
    <x v="70"/>
    <x v="0"/>
    <n v="317"/>
    <n v="317"/>
    <x v="0"/>
  </r>
  <r>
    <s v="ORD4357826"/>
    <s v="CUST0127"/>
    <s v="Zomato"/>
    <x v="348"/>
    <d v="1899-12-30T20:52:00"/>
    <x v="1"/>
    <x v="123"/>
    <x v="0"/>
    <n v="0"/>
    <n v="713"/>
    <x v="1"/>
  </r>
  <r>
    <s v="ORD3462796"/>
    <s v="CUST0239"/>
    <s v="Direct"/>
    <x v="345"/>
    <d v="1899-12-30T21:44:00"/>
    <x v="1"/>
    <x v="239"/>
    <x v="0"/>
    <n v="0"/>
    <n v="326"/>
    <x v="1"/>
  </r>
  <r>
    <s v="ORD9316569"/>
    <s v="CUST0009"/>
    <s v="Zomato"/>
    <x v="205"/>
    <d v="1899-12-30T18:07:00"/>
    <x v="0"/>
    <x v="62"/>
    <x v="0"/>
    <n v="417"/>
    <n v="417"/>
    <x v="1"/>
  </r>
  <r>
    <s v="ORD3272177"/>
    <s v="CUST0082"/>
    <s v="Swiggy"/>
    <x v="46"/>
    <d v="1899-12-30T15:19:00"/>
    <x v="0"/>
    <x v="37"/>
    <x v="0"/>
    <n v="455"/>
    <n v="455"/>
    <x v="1"/>
  </r>
  <r>
    <s v="ORD7722274"/>
    <s v="CUST0483"/>
    <s v="Zomato"/>
    <x v="236"/>
    <d v="1899-12-30T16:39:00"/>
    <x v="0"/>
    <x v="378"/>
    <x v="0"/>
    <n v="1218"/>
    <n v="1218"/>
    <x v="1"/>
  </r>
  <r>
    <s v="ORD1046609"/>
    <s v="CUST0126"/>
    <s v="Swiggy"/>
    <x v="298"/>
    <d v="1899-12-30T21:23:00"/>
    <x v="0"/>
    <x v="232"/>
    <x v="0"/>
    <n v="227"/>
    <n v="227"/>
    <x v="1"/>
  </r>
  <r>
    <s v="ORD5159219"/>
    <s v="CUST0434"/>
    <s v="Zomato"/>
    <x v="100"/>
    <d v="1899-12-30T13:54:00"/>
    <x v="0"/>
    <x v="54"/>
    <x v="0"/>
    <n v="178"/>
    <n v="178"/>
    <x v="1"/>
  </r>
  <r>
    <s v="ORD9224056"/>
    <s v="CUST0007"/>
    <s v="Zomato"/>
    <x v="97"/>
    <d v="1899-12-30T19:06:00"/>
    <x v="0"/>
    <x v="198"/>
    <x v="0"/>
    <n v="594"/>
    <n v="594"/>
    <x v="0"/>
  </r>
  <r>
    <s v="ORD2190891"/>
    <s v="CUST0076"/>
    <s v="Swiggy"/>
    <x v="165"/>
    <d v="1899-12-30T11:02:00"/>
    <x v="1"/>
    <x v="34"/>
    <x v="0"/>
    <n v="0"/>
    <n v="228"/>
    <x v="1"/>
  </r>
  <r>
    <s v="ORD1001433"/>
    <s v="CUST0230"/>
    <s v="Zomato"/>
    <x v="74"/>
    <d v="1899-12-30T13:54:00"/>
    <x v="0"/>
    <x v="24"/>
    <x v="0"/>
    <n v="605"/>
    <n v="605"/>
    <x v="1"/>
  </r>
  <r>
    <s v="ORD6391404"/>
    <s v="CUST0429"/>
    <s v="Zomato"/>
    <x v="197"/>
    <d v="1899-12-30T16:44:00"/>
    <x v="0"/>
    <x v="379"/>
    <x v="0"/>
    <n v="1540"/>
    <n v="1540"/>
    <x v="1"/>
  </r>
  <r>
    <s v="ORD6823594"/>
    <s v="CUST0443"/>
    <s v="Swiggy"/>
    <x v="176"/>
    <d v="1899-12-30T01:10:00"/>
    <x v="0"/>
    <x v="22"/>
    <x v="0"/>
    <n v="346"/>
    <n v="346"/>
    <x v="0"/>
  </r>
  <r>
    <s v="ORD2601153"/>
    <s v="CUST0380"/>
    <s v="Zomato"/>
    <x v="113"/>
    <d v="1899-12-30T18:34:00"/>
    <x v="0"/>
    <x v="322"/>
    <x v="0"/>
    <n v="525"/>
    <n v="525"/>
    <x v="1"/>
  </r>
  <r>
    <s v="ORD1211417"/>
    <s v="CUST0301"/>
    <s v="Zomato"/>
    <x v="284"/>
    <d v="1899-12-30T18:00:00"/>
    <x v="0"/>
    <x v="157"/>
    <x v="267"/>
    <n v="893"/>
    <n v="940"/>
    <x v="1"/>
  </r>
  <r>
    <s v="ORD1404895"/>
    <s v="CUST0092"/>
    <s v="Zomato"/>
    <x v="180"/>
    <d v="1899-12-30T23:09:00"/>
    <x v="0"/>
    <x v="194"/>
    <x v="0"/>
    <n v="465"/>
    <n v="465"/>
    <x v="2"/>
  </r>
  <r>
    <s v="ORD8462774"/>
    <s v="CUST0356"/>
    <s v="Swiggy"/>
    <x v="0"/>
    <d v="1899-12-30T13:40:00"/>
    <x v="0"/>
    <x v="173"/>
    <x v="0"/>
    <n v="903"/>
    <n v="903"/>
    <x v="1"/>
  </r>
  <r>
    <s v="ORD8004884"/>
    <s v="CUST0122"/>
    <s v="Zomato"/>
    <x v="5"/>
    <d v="1899-12-30T17:46:00"/>
    <x v="0"/>
    <x v="106"/>
    <x v="116"/>
    <n v="320.45"/>
    <n v="377"/>
    <x v="2"/>
  </r>
  <r>
    <s v="ORD9102857"/>
    <s v="CUST0022"/>
    <s v="Swiggy"/>
    <x v="67"/>
    <d v="1899-12-30T15:31:00"/>
    <x v="0"/>
    <x v="197"/>
    <x v="0"/>
    <n v="604"/>
    <n v="604"/>
    <x v="2"/>
  </r>
  <r>
    <s v="ORD3437048"/>
    <s v="CUST0048"/>
    <s v="Zomato"/>
    <x v="104"/>
    <d v="1899-12-30T12:05:00"/>
    <x v="0"/>
    <x v="2"/>
    <x v="0"/>
    <n v="356"/>
    <n v="356"/>
    <x v="0"/>
  </r>
  <r>
    <s v="ORD7765880"/>
    <s v="CUST0058"/>
    <s v="Swiggy"/>
    <x v="77"/>
    <d v="1899-12-30T21:07:00"/>
    <x v="0"/>
    <x v="64"/>
    <x v="182"/>
    <n v="669.6"/>
    <n v="744"/>
    <x v="1"/>
  </r>
  <r>
    <s v="ORD5574086"/>
    <s v="CUST0244"/>
    <s v="Zomato"/>
    <x v="198"/>
    <d v="1899-12-30T01:00:00"/>
    <x v="0"/>
    <x v="116"/>
    <x v="0"/>
    <n v="673"/>
    <n v="673"/>
    <x v="1"/>
  </r>
  <r>
    <s v="ORD7549850"/>
    <s v="CUST0385"/>
    <s v="Zomato"/>
    <x v="243"/>
    <d v="1899-12-30T10:28:00"/>
    <x v="0"/>
    <x v="380"/>
    <x v="268"/>
    <n v="1304.0999999999999"/>
    <n v="1449"/>
    <x v="0"/>
  </r>
  <r>
    <s v="ORD4893809"/>
    <s v="CUST0473"/>
    <s v="Zomato"/>
    <x v="35"/>
    <d v="1899-12-30T20:24:00"/>
    <x v="0"/>
    <x v="188"/>
    <x v="0"/>
    <n v="248"/>
    <n v="248"/>
    <x v="2"/>
  </r>
  <r>
    <s v="ORD1812330"/>
    <s v="CUST0199"/>
    <s v="Swiggy"/>
    <x v="344"/>
    <d v="1899-12-30T17:58:00"/>
    <x v="0"/>
    <x v="368"/>
    <x v="0"/>
    <n v="425"/>
    <n v="425"/>
    <x v="1"/>
  </r>
  <r>
    <s v="ORD3024725"/>
    <s v="CUST0429"/>
    <s v="Zomato"/>
    <x v="95"/>
    <d v="1899-12-30T19:17:00"/>
    <x v="0"/>
    <x v="243"/>
    <x v="269"/>
    <n v="547.4"/>
    <n v="644"/>
    <x v="1"/>
  </r>
  <r>
    <s v="ORD7224807"/>
    <s v="CUST0483"/>
    <s v="Zomato"/>
    <x v="244"/>
    <d v="1899-12-30T17:49:00"/>
    <x v="0"/>
    <x v="106"/>
    <x v="0"/>
    <n v="377"/>
    <n v="377"/>
    <x v="1"/>
  </r>
  <r>
    <s v="ORD8775711"/>
    <s v="CUST0221"/>
    <s v="Zomato"/>
    <x v="238"/>
    <d v="1899-12-30T21:34:00"/>
    <x v="0"/>
    <x v="44"/>
    <x v="270"/>
    <n v="596.70000000000005"/>
    <n v="663"/>
    <x v="1"/>
  </r>
  <r>
    <s v="ORD4777038"/>
    <s v="CUST0147"/>
    <s v="Direct"/>
    <x v="33"/>
    <d v="1899-12-30T13:44:00"/>
    <x v="0"/>
    <x v="47"/>
    <x v="158"/>
    <n v="168.3"/>
    <n v="198"/>
    <x v="2"/>
  </r>
  <r>
    <s v="ORD5747786"/>
    <s v="CUST0109"/>
    <s v="Zomato"/>
    <x v="14"/>
    <d v="1899-12-30T18:33:00"/>
    <x v="0"/>
    <x v="9"/>
    <x v="160"/>
    <n v="395.2"/>
    <n v="416"/>
    <x v="1"/>
  </r>
  <r>
    <s v="ORD1202528"/>
    <s v="CUST0359"/>
    <s v="Zomato"/>
    <x v="44"/>
    <d v="1899-12-30T16:20:00"/>
    <x v="0"/>
    <x v="182"/>
    <x v="209"/>
    <n v="545.29999999999995"/>
    <n v="574"/>
    <x v="2"/>
  </r>
  <r>
    <s v="ORD2055082"/>
    <s v="CUST0068"/>
    <s v="Zomato"/>
    <x v="165"/>
    <d v="1899-12-30T15:01:00"/>
    <x v="0"/>
    <x v="72"/>
    <x v="15"/>
    <n v="151.19999999999999"/>
    <n v="168"/>
    <x v="0"/>
  </r>
  <r>
    <s v="ORD6302160"/>
    <s v="CUST0255"/>
    <s v="Swiggy"/>
    <x v="123"/>
    <d v="1899-12-30T10:27:00"/>
    <x v="0"/>
    <x v="47"/>
    <x v="0"/>
    <n v="198"/>
    <n v="198"/>
    <x v="1"/>
  </r>
  <r>
    <s v="ORD8421194"/>
    <s v="CUST0303"/>
    <s v="Zomato"/>
    <x v="35"/>
    <d v="1899-12-30T17:15:00"/>
    <x v="0"/>
    <x v="132"/>
    <x v="23"/>
    <n v="376.2"/>
    <n v="396"/>
    <x v="0"/>
  </r>
  <r>
    <s v="ORD8721462"/>
    <s v="CUST0028"/>
    <s v="Zomato"/>
    <x v="283"/>
    <d v="1899-12-30T19:37:00"/>
    <x v="0"/>
    <x v="20"/>
    <x v="0"/>
    <n v="615"/>
    <n v="615"/>
    <x v="0"/>
  </r>
  <r>
    <s v="ORD3064526"/>
    <s v="CUST0220"/>
    <s v="Zomato"/>
    <x v="220"/>
    <d v="1899-12-30T00:13:00"/>
    <x v="0"/>
    <x v="12"/>
    <x v="0"/>
    <n v="476"/>
    <n v="476"/>
    <x v="1"/>
  </r>
  <r>
    <s v="ORD4116123"/>
    <s v="CUST0240"/>
    <s v="Zomato"/>
    <x v="208"/>
    <d v="1899-12-30T14:43:00"/>
    <x v="0"/>
    <x v="381"/>
    <x v="0"/>
    <n v="1082"/>
    <n v="1082"/>
    <x v="1"/>
  </r>
  <r>
    <s v="ORD3410155"/>
    <s v="CUST0112"/>
    <s v="Zomato"/>
    <x v="276"/>
    <d v="1899-12-30T19:15:00"/>
    <x v="1"/>
    <x v="334"/>
    <x v="0"/>
    <n v="0"/>
    <n v="544"/>
    <x v="1"/>
  </r>
  <r>
    <s v="ORD7623361"/>
    <s v="CUST0123"/>
    <s v="Swiggy"/>
    <x v="277"/>
    <d v="1899-12-30T17:20:00"/>
    <x v="0"/>
    <x v="156"/>
    <x v="14"/>
    <n v="283.10000000000002"/>
    <n v="298"/>
    <x v="0"/>
  </r>
  <r>
    <s v="ORD3360409"/>
    <s v="CUST0274"/>
    <s v="Direct"/>
    <x v="200"/>
    <d v="1899-12-30T12:46:00"/>
    <x v="0"/>
    <x v="106"/>
    <x v="47"/>
    <n v="339.3"/>
    <n v="377"/>
    <x v="1"/>
  </r>
  <r>
    <s v="ORD4563779"/>
    <s v="CUST0143"/>
    <s v="Zomato"/>
    <x v="18"/>
    <d v="1899-12-30T17:33:00"/>
    <x v="0"/>
    <x v="62"/>
    <x v="0"/>
    <n v="417"/>
    <n v="417"/>
    <x v="0"/>
  </r>
  <r>
    <s v="ORD6739427"/>
    <s v="CUST0432"/>
    <s v="Zomato"/>
    <x v="2"/>
    <d v="1899-12-30T10:21:00"/>
    <x v="0"/>
    <x v="198"/>
    <x v="271"/>
    <n v="504.9"/>
    <n v="594"/>
    <x v="0"/>
  </r>
  <r>
    <s v="ORD8256078"/>
    <s v="CUST0345"/>
    <s v="Zomato"/>
    <x v="267"/>
    <d v="1899-12-30T12:13:00"/>
    <x v="0"/>
    <x v="382"/>
    <x v="0"/>
    <n v="624"/>
    <n v="624"/>
    <x v="0"/>
  </r>
  <r>
    <s v="ORD4478510"/>
    <s v="CUST0411"/>
    <s v="Zomato"/>
    <x v="120"/>
    <d v="1899-12-30T09:59:00"/>
    <x v="0"/>
    <x v="54"/>
    <x v="0"/>
    <n v="178"/>
    <n v="178"/>
    <x v="1"/>
  </r>
  <r>
    <s v="ORD8934226"/>
    <s v="CUST0373"/>
    <s v="Swiggy"/>
    <x v="12"/>
    <d v="1899-12-30T18:05:00"/>
    <x v="0"/>
    <x v="253"/>
    <x v="0"/>
    <n v="704"/>
    <n v="704"/>
    <x v="1"/>
  </r>
  <r>
    <s v="ORD8209168"/>
    <s v="CUST0292"/>
    <s v="Direct"/>
    <x v="34"/>
    <d v="1899-12-30T17:23:00"/>
    <x v="0"/>
    <x v="47"/>
    <x v="0"/>
    <n v="198"/>
    <n v="198"/>
    <x v="1"/>
  </r>
  <r>
    <s v="ORD7770277"/>
    <s v="CUST0407"/>
    <s v="Swiggy"/>
    <x v="92"/>
    <d v="1899-12-30T01:54:00"/>
    <x v="0"/>
    <x v="337"/>
    <x v="0"/>
    <n v="1111"/>
    <n v="1111"/>
    <x v="1"/>
  </r>
  <r>
    <s v="ORD5660649"/>
    <s v="CUST0295"/>
    <s v="Swiggy"/>
    <x v="183"/>
    <d v="1899-12-30T19:47:00"/>
    <x v="1"/>
    <x v="346"/>
    <x v="272"/>
    <n v="0"/>
    <n v="932"/>
    <x v="1"/>
  </r>
  <r>
    <s v="ORD7995191"/>
    <s v="CUST0339"/>
    <s v="Zomato"/>
    <x v="29"/>
    <d v="1899-12-30T21:51:00"/>
    <x v="0"/>
    <x v="334"/>
    <x v="0"/>
    <n v="544"/>
    <n v="544"/>
    <x v="0"/>
  </r>
  <r>
    <s v="ORD9953454"/>
    <s v="CUST0361"/>
    <s v="Direct"/>
    <x v="22"/>
    <d v="1899-12-30T20:37:00"/>
    <x v="0"/>
    <x v="383"/>
    <x v="0"/>
    <n v="404"/>
    <n v="404"/>
    <x v="1"/>
  </r>
  <r>
    <s v="ORD3306375"/>
    <s v="CUST0471"/>
    <s v="Direct"/>
    <x v="155"/>
    <d v="1899-12-30T21:44:00"/>
    <x v="0"/>
    <x v="384"/>
    <x v="0"/>
    <n v="1012"/>
    <n v="1012"/>
    <x v="1"/>
  </r>
  <r>
    <s v="ORD9830779"/>
    <s v="CUST0263"/>
    <s v="Swiggy"/>
    <x v="82"/>
    <d v="1899-12-30T10:54:00"/>
    <x v="0"/>
    <x v="385"/>
    <x v="0"/>
    <n v="1112"/>
    <n v="1112"/>
    <x v="0"/>
  </r>
  <r>
    <s v="ORD5285200"/>
    <s v="CUST0375"/>
    <s v="Zomato"/>
    <x v="134"/>
    <d v="1899-12-30T21:04:00"/>
    <x v="0"/>
    <x v="386"/>
    <x v="273"/>
    <n v="835.2"/>
    <n v="928"/>
    <x v="0"/>
  </r>
  <r>
    <s v="ORD5518767"/>
    <s v="CUST0352"/>
    <s v="Zomato"/>
    <x v="276"/>
    <d v="1899-12-30T23:27:00"/>
    <x v="0"/>
    <x v="342"/>
    <x v="274"/>
    <n v="899.1"/>
    <n v="999"/>
    <x v="0"/>
  </r>
  <r>
    <s v="ORD3360703"/>
    <s v="CUST0430"/>
    <s v="Swiggy"/>
    <x v="337"/>
    <d v="1899-12-30T16:03:00"/>
    <x v="0"/>
    <x v="48"/>
    <x v="0"/>
    <n v="89"/>
    <n v="89"/>
    <x v="0"/>
  </r>
  <r>
    <s v="ORD5660426"/>
    <s v="CUST0260"/>
    <s v="Zomato"/>
    <x v="113"/>
    <d v="1899-12-30T19:43:00"/>
    <x v="0"/>
    <x v="39"/>
    <x v="0"/>
    <n v="79"/>
    <n v="79"/>
    <x v="1"/>
  </r>
  <r>
    <s v="ORD5606976"/>
    <s v="CUST0131"/>
    <s v="Zomato"/>
    <x v="76"/>
    <d v="1899-12-30T16:11:00"/>
    <x v="0"/>
    <x v="48"/>
    <x v="0"/>
    <n v="89"/>
    <n v="89"/>
    <x v="0"/>
  </r>
  <r>
    <s v="ORD2196066"/>
    <s v="CUST0350"/>
    <s v="Zomato"/>
    <x v="181"/>
    <d v="1899-12-30T11:18:00"/>
    <x v="0"/>
    <x v="54"/>
    <x v="16"/>
    <n v="160.19999999999999"/>
    <n v="178"/>
    <x v="0"/>
  </r>
  <r>
    <s v="ORD1082850"/>
    <s v="CUST0242"/>
    <s v="Direct"/>
    <x v="185"/>
    <d v="1899-12-30T00:39:00"/>
    <x v="0"/>
    <x v="154"/>
    <x v="275"/>
    <n v="481.5"/>
    <n v="535"/>
    <x v="1"/>
  </r>
  <r>
    <s v="ORD1764736"/>
    <s v="CUST0126"/>
    <s v="Zomato"/>
    <x v="105"/>
    <d v="1899-12-30T22:01:00"/>
    <x v="1"/>
    <x v="191"/>
    <x v="276"/>
    <n v="0"/>
    <n v="257"/>
    <x v="1"/>
  </r>
  <r>
    <s v="ORD4747003"/>
    <s v="CUST0314"/>
    <s v="Swiggy"/>
    <x v="12"/>
    <d v="1899-12-30T16:34:00"/>
    <x v="0"/>
    <x v="74"/>
    <x v="277"/>
    <n v="651.6"/>
    <n v="724"/>
    <x v="0"/>
  </r>
  <r>
    <s v="ORD5575750"/>
    <s v="CUST0250"/>
    <s v="Zomato"/>
    <x v="14"/>
    <d v="1899-12-30T00:56:00"/>
    <x v="0"/>
    <x v="38"/>
    <x v="0"/>
    <n v="831"/>
    <n v="831"/>
    <x v="1"/>
  </r>
  <r>
    <s v="ORD1237577"/>
    <s v="CUST0261"/>
    <s v="Direct"/>
    <x v="332"/>
    <d v="1899-12-30T22:19:00"/>
    <x v="0"/>
    <x v="12"/>
    <x v="278"/>
    <n v="428.4"/>
    <n v="476"/>
    <x v="1"/>
  </r>
  <r>
    <s v="ORD8251052"/>
    <s v="CUST0072"/>
    <s v="Swiggy"/>
    <x v="13"/>
    <d v="1899-12-30T20:02:00"/>
    <x v="0"/>
    <x v="20"/>
    <x v="152"/>
    <n v="584.25"/>
    <n v="615"/>
    <x v="1"/>
  </r>
  <r>
    <s v="ORD9733958"/>
    <s v="CUST0391"/>
    <s v="Zomato"/>
    <x v="150"/>
    <d v="1899-12-30T20:38:00"/>
    <x v="0"/>
    <x v="159"/>
    <x v="279"/>
    <n v="232.2"/>
    <n v="258"/>
    <x v="1"/>
  </r>
  <r>
    <s v="ORD7128711"/>
    <s v="CUST0236"/>
    <s v="Zomato"/>
    <x v="136"/>
    <d v="1899-12-30T20:27:00"/>
    <x v="0"/>
    <x v="387"/>
    <x v="0"/>
    <n v="1071"/>
    <n v="1071"/>
    <x v="1"/>
  </r>
  <r>
    <s v="ORD9724147"/>
    <s v="CUST0311"/>
    <s v="Zomato"/>
    <x v="352"/>
    <d v="1899-12-30T11:53:00"/>
    <x v="0"/>
    <x v="122"/>
    <x v="0"/>
    <n v="496"/>
    <n v="496"/>
    <x v="1"/>
  </r>
  <r>
    <s v="ORD5696796"/>
    <s v="CUST0281"/>
    <s v="Zomato"/>
    <x v="59"/>
    <d v="1899-12-30T14:46:00"/>
    <x v="0"/>
    <x v="53"/>
    <x v="0"/>
    <n v="367"/>
    <n v="367"/>
    <x v="0"/>
  </r>
  <r>
    <s v="ORD2450419"/>
    <s v="CUST0432"/>
    <s v="Swiggy"/>
    <x v="131"/>
    <d v="1899-12-30T19:11:00"/>
    <x v="0"/>
    <x v="132"/>
    <x v="0"/>
    <n v="396"/>
    <n v="396"/>
    <x v="0"/>
  </r>
  <r>
    <s v="ORD7400252"/>
    <s v="CUST0399"/>
    <s v="Zomato"/>
    <x v="176"/>
    <d v="1899-12-30T17:18:00"/>
    <x v="0"/>
    <x v="388"/>
    <x v="0"/>
    <n v="1021"/>
    <n v="1021"/>
    <x v="1"/>
  </r>
  <r>
    <s v="ORD1452563"/>
    <s v="CUST0320"/>
    <s v="Swiggy"/>
    <x v="26"/>
    <d v="1899-12-30T10:28:00"/>
    <x v="0"/>
    <x v="389"/>
    <x v="0"/>
    <n v="1130"/>
    <n v="1130"/>
    <x v="2"/>
  </r>
  <r>
    <s v="ORD5707149"/>
    <s v="CUST0344"/>
    <s v="Direct"/>
    <x v="233"/>
    <d v="1899-12-30T19:03:00"/>
    <x v="0"/>
    <x v="255"/>
    <x v="0"/>
    <n v="685"/>
    <n v="685"/>
    <x v="2"/>
  </r>
  <r>
    <s v="ORD4525412"/>
    <s v="CUST0021"/>
    <s v="Swiggy"/>
    <x v="323"/>
    <d v="1899-12-30T20:43:00"/>
    <x v="0"/>
    <x v="49"/>
    <x v="0"/>
    <n v="277"/>
    <n v="277"/>
    <x v="1"/>
  </r>
  <r>
    <s v="ORD4524857"/>
    <s v="CUST0086"/>
    <s v="Zomato"/>
    <x v="114"/>
    <d v="1899-12-30T01:24:00"/>
    <x v="0"/>
    <x v="98"/>
    <x v="0"/>
    <n v="585"/>
    <n v="585"/>
    <x v="0"/>
  </r>
  <r>
    <s v="ORD2824928"/>
    <s v="CUST0304"/>
    <s v="Zomato"/>
    <x v="86"/>
    <d v="1899-12-30T17:15:00"/>
    <x v="0"/>
    <x v="201"/>
    <x v="87"/>
    <n v="286.2"/>
    <n v="318"/>
    <x v="1"/>
  </r>
  <r>
    <s v="ORD9774395"/>
    <s v="CUST0080"/>
    <s v="Direct"/>
    <x v="353"/>
    <d v="1899-12-30T20:06:00"/>
    <x v="0"/>
    <x v="322"/>
    <x v="0"/>
    <n v="525"/>
    <n v="525"/>
    <x v="1"/>
  </r>
  <r>
    <s v="ORD8628291"/>
    <s v="CUST0448"/>
    <s v="Zomato"/>
    <x v="233"/>
    <d v="1899-12-30T00:02:00"/>
    <x v="1"/>
    <x v="40"/>
    <x v="0"/>
    <n v="0"/>
    <n v="347"/>
    <x v="1"/>
  </r>
  <r>
    <s v="ORD8325920"/>
    <s v="CUST0340"/>
    <s v="Direct"/>
    <x v="11"/>
    <d v="1899-12-30T21:32:00"/>
    <x v="0"/>
    <x v="63"/>
    <x v="0"/>
    <n v="635"/>
    <n v="635"/>
    <x v="1"/>
  </r>
  <r>
    <s v="ORD8484166"/>
    <s v="CUST0174"/>
    <s v="Zomato"/>
    <x v="178"/>
    <d v="1899-12-30T12:12:00"/>
    <x v="0"/>
    <x v="56"/>
    <x v="0"/>
    <n v="953"/>
    <n v="953"/>
    <x v="1"/>
  </r>
  <r>
    <s v="ORD3130343"/>
    <s v="CUST0464"/>
    <s v="Zomato"/>
    <x v="283"/>
    <d v="1899-12-30T22:43:00"/>
    <x v="0"/>
    <x v="276"/>
    <x v="280"/>
    <n v="697.5"/>
    <n v="775"/>
    <x v="0"/>
  </r>
  <r>
    <s v="ORD9110060"/>
    <s v="CUST0160"/>
    <s v="Zomato"/>
    <x v="54"/>
    <d v="1899-12-30T16:04:00"/>
    <x v="0"/>
    <x v="390"/>
    <x v="0"/>
    <n v="1459"/>
    <n v="1459"/>
    <x v="1"/>
  </r>
  <r>
    <s v="ORD9955929"/>
    <s v="CUST0385"/>
    <s v="Zomato"/>
    <x v="313"/>
    <d v="1899-12-30T18:40:00"/>
    <x v="1"/>
    <x v="47"/>
    <x v="0"/>
    <n v="0"/>
    <n v="198"/>
    <x v="0"/>
  </r>
  <r>
    <s v="ORD6075999"/>
    <s v="CUST0452"/>
    <s v="Zomato"/>
    <x v="257"/>
    <d v="1899-12-30T16:55:00"/>
    <x v="0"/>
    <x v="80"/>
    <x v="0"/>
    <n v="793"/>
    <n v="793"/>
    <x v="0"/>
  </r>
  <r>
    <s v="ORD6002347"/>
    <s v="CUST0439"/>
    <s v="Zomato"/>
    <x v="354"/>
    <d v="1899-12-30T15:46:00"/>
    <x v="0"/>
    <x v="39"/>
    <x v="0"/>
    <n v="79"/>
    <n v="79"/>
    <x v="1"/>
  </r>
  <r>
    <s v="ORD9358735"/>
    <s v="CUST0445"/>
    <s v="Zomato"/>
    <x v="167"/>
    <d v="1899-12-30T21:13:00"/>
    <x v="0"/>
    <x v="106"/>
    <x v="0"/>
    <n v="377"/>
    <n v="377"/>
    <x v="1"/>
  </r>
  <r>
    <s v="ORD1633270"/>
    <s v="CUST0381"/>
    <s v="Zomato"/>
    <x v="93"/>
    <d v="1899-12-30T20:49:00"/>
    <x v="0"/>
    <x v="38"/>
    <x v="0"/>
    <n v="831"/>
    <n v="831"/>
    <x v="1"/>
  </r>
  <r>
    <s v="ORD5266269"/>
    <s v="CUST0036"/>
    <s v="Swiggy"/>
    <x v="285"/>
    <d v="1899-12-30T21:23:00"/>
    <x v="0"/>
    <x v="220"/>
    <x v="0"/>
    <n v="832"/>
    <n v="832"/>
    <x v="0"/>
  </r>
  <r>
    <s v="ORD6794463"/>
    <s v="CUST0091"/>
    <s v="Swiggy"/>
    <x v="12"/>
    <d v="1899-12-30T13:24:00"/>
    <x v="0"/>
    <x v="153"/>
    <x v="0"/>
    <n v="327"/>
    <n v="327"/>
    <x v="2"/>
  </r>
  <r>
    <s v="ORD3710559"/>
    <s v="CUST0002"/>
    <s v="Zomato"/>
    <x v="120"/>
    <d v="1899-12-30T16:28:00"/>
    <x v="0"/>
    <x v="43"/>
    <x v="0"/>
    <n v="149"/>
    <n v="149"/>
    <x v="0"/>
  </r>
  <r>
    <s v="ORD5587854"/>
    <s v="CUST0404"/>
    <s v="Swiggy"/>
    <x v="64"/>
    <d v="1899-12-30T10:14:00"/>
    <x v="0"/>
    <x v="137"/>
    <x v="0"/>
    <n v="397"/>
    <n v="397"/>
    <x v="1"/>
  </r>
  <r>
    <s v="ORD3103442"/>
    <s v="CUST0303"/>
    <s v="Swiggy"/>
    <x v="181"/>
    <d v="1899-12-30T21:08:00"/>
    <x v="0"/>
    <x v="391"/>
    <x v="144"/>
    <n v="847.4"/>
    <n v="892"/>
    <x v="0"/>
  </r>
  <r>
    <s v="ORD7450350"/>
    <s v="CUST0478"/>
    <s v="Swiggy"/>
    <x v="181"/>
    <d v="1899-12-30T21:22:00"/>
    <x v="0"/>
    <x v="39"/>
    <x v="0"/>
    <n v="79"/>
    <n v="79"/>
    <x v="1"/>
  </r>
  <r>
    <s v="ORD1025093"/>
    <s v="CUST0223"/>
    <s v="Direct"/>
    <x v="44"/>
    <d v="1899-12-30T15:26:00"/>
    <x v="0"/>
    <x v="129"/>
    <x v="0"/>
    <n v="871"/>
    <n v="871"/>
    <x v="1"/>
  </r>
  <r>
    <s v="ORD4502357"/>
    <s v="CUST0021"/>
    <s v="Zomato"/>
    <x v="190"/>
    <d v="1899-12-30T20:34:00"/>
    <x v="0"/>
    <x v="74"/>
    <x v="277"/>
    <n v="651.6"/>
    <n v="724"/>
    <x v="1"/>
  </r>
  <r>
    <s v="ORD4544837"/>
    <s v="CUST0014"/>
    <s v="Swiggy"/>
    <x v="62"/>
    <d v="1899-12-30T18:18:00"/>
    <x v="0"/>
    <x v="182"/>
    <x v="0"/>
    <n v="574"/>
    <n v="574"/>
    <x v="0"/>
  </r>
  <r>
    <s v="ORD3151521"/>
    <s v="CUST0127"/>
    <s v="Zomato"/>
    <x v="66"/>
    <d v="1899-12-30T20:24:00"/>
    <x v="0"/>
    <x v="185"/>
    <x v="0"/>
    <n v="745"/>
    <n v="745"/>
    <x v="1"/>
  </r>
  <r>
    <s v="ORD9153183"/>
    <s v="CUST0081"/>
    <s v="Swiggy"/>
    <x v="115"/>
    <d v="1899-12-30T20:48:00"/>
    <x v="0"/>
    <x v="54"/>
    <x v="0"/>
    <n v="178"/>
    <n v="178"/>
    <x v="1"/>
  </r>
  <r>
    <s v="ORD6612357"/>
    <s v="CUST0002"/>
    <s v="Direct"/>
    <x v="310"/>
    <d v="1899-12-30T23:20:00"/>
    <x v="0"/>
    <x v="86"/>
    <x v="0"/>
    <n v="159"/>
    <n v="159"/>
    <x v="0"/>
  </r>
  <r>
    <s v="ORD9071705"/>
    <s v="CUST0449"/>
    <s v="Swiggy"/>
    <x v="150"/>
    <d v="1899-12-30T01:16:00"/>
    <x v="0"/>
    <x v="150"/>
    <x v="71"/>
    <n v="225.15"/>
    <n v="237"/>
    <x v="1"/>
  </r>
  <r>
    <s v="ORD2404119"/>
    <s v="CUST0194"/>
    <s v="Swiggy"/>
    <x v="193"/>
    <d v="1899-12-30T18:17:00"/>
    <x v="0"/>
    <x v="194"/>
    <x v="0"/>
    <n v="465"/>
    <n v="465"/>
    <x v="2"/>
  </r>
  <r>
    <s v="ORD1135513"/>
    <s v="CUST0033"/>
    <s v="Zomato"/>
    <x v="102"/>
    <d v="1899-12-30T18:13:00"/>
    <x v="0"/>
    <x v="392"/>
    <x v="97"/>
    <n v="53.1"/>
    <n v="59"/>
    <x v="1"/>
  </r>
  <r>
    <s v="ORD7274275"/>
    <s v="CUST0027"/>
    <s v="Swiggy"/>
    <x v="56"/>
    <d v="1899-12-30T20:12:00"/>
    <x v="0"/>
    <x v="6"/>
    <x v="24"/>
    <n v="142.19999999999999"/>
    <n v="158"/>
    <x v="1"/>
  </r>
  <r>
    <s v="ORD2089225"/>
    <s v="CUST0044"/>
    <s v="Zomato"/>
    <x v="207"/>
    <d v="1899-12-30T17:37:00"/>
    <x v="0"/>
    <x v="192"/>
    <x v="281"/>
    <n v="623.9"/>
    <n v="734"/>
    <x v="1"/>
  </r>
  <r>
    <s v="ORD9799742"/>
    <s v="CUST0344"/>
    <s v="Zomato"/>
    <x v="338"/>
    <d v="1899-12-30T16:39:00"/>
    <x v="0"/>
    <x v="120"/>
    <x v="0"/>
    <n v="546"/>
    <n v="546"/>
    <x v="2"/>
  </r>
  <r>
    <s v="ORD5100202"/>
    <s v="CUST0297"/>
    <s v="Swiggy"/>
    <x v="261"/>
    <d v="1899-12-30T19:52:00"/>
    <x v="0"/>
    <x v="159"/>
    <x v="282"/>
    <n v="245.1"/>
    <n v="258"/>
    <x v="0"/>
  </r>
  <r>
    <s v="ORD6622669"/>
    <s v="CUST0172"/>
    <s v="Direct"/>
    <x v="80"/>
    <d v="1899-12-30T15:55:00"/>
    <x v="0"/>
    <x v="11"/>
    <x v="0"/>
    <n v="267"/>
    <n v="267"/>
    <x v="0"/>
  </r>
  <r>
    <s v="ORD3376786"/>
    <s v="CUST0164"/>
    <s v="Swiggy"/>
    <x v="9"/>
    <d v="1899-12-30T16:16:00"/>
    <x v="0"/>
    <x v="184"/>
    <x v="283"/>
    <n v="132.05000000000001"/>
    <n v="139"/>
    <x v="1"/>
  </r>
  <r>
    <s v="ORD5661974"/>
    <s v="CUST0070"/>
    <s v="Direct"/>
    <x v="315"/>
    <d v="1899-12-30T11:08:00"/>
    <x v="0"/>
    <x v="393"/>
    <x v="0"/>
    <n v="177"/>
    <n v="177"/>
    <x v="2"/>
  </r>
  <r>
    <s v="ORD2603998"/>
    <s v="CUST0072"/>
    <s v="Swiggy"/>
    <x v="264"/>
    <d v="1899-12-30T18:24:00"/>
    <x v="1"/>
    <x v="190"/>
    <x v="0"/>
    <n v="0"/>
    <n v="475"/>
    <x v="1"/>
  </r>
  <r>
    <s v="ORD3656233"/>
    <s v="CUST0060"/>
    <s v="Swiggy"/>
    <x v="95"/>
    <d v="1899-12-30T20:24:00"/>
    <x v="0"/>
    <x v="66"/>
    <x v="0"/>
    <n v="307"/>
    <n v="307"/>
    <x v="1"/>
  </r>
  <r>
    <s v="ORD3906864"/>
    <s v="CUST0220"/>
    <s v="Swiggy"/>
    <x v="235"/>
    <d v="1899-12-30T00:28:00"/>
    <x v="0"/>
    <x v="216"/>
    <x v="0"/>
    <n v="296"/>
    <n v="296"/>
    <x v="1"/>
  </r>
  <r>
    <s v="ORD5068524"/>
    <s v="CUST0243"/>
    <s v="Swiggy"/>
    <x v="128"/>
    <d v="1899-12-30T01:42:00"/>
    <x v="0"/>
    <x v="265"/>
    <x v="0"/>
    <n v="446"/>
    <n v="446"/>
    <x v="0"/>
  </r>
  <r>
    <s v="ORD2112928"/>
    <s v="CUST0190"/>
    <s v="Swiggy"/>
    <x v="172"/>
    <d v="1899-12-30T19:25:00"/>
    <x v="0"/>
    <x v="6"/>
    <x v="0"/>
    <n v="158"/>
    <n v="158"/>
    <x v="1"/>
  </r>
  <r>
    <s v="ORD7198743"/>
    <s v="CUST0054"/>
    <s v="Zomato"/>
    <x v="275"/>
    <d v="1899-12-30T15:19:00"/>
    <x v="0"/>
    <x v="367"/>
    <x v="0"/>
    <n v="586"/>
    <n v="586"/>
    <x v="1"/>
  </r>
  <r>
    <s v="ORD4914547"/>
    <s v="CUST0369"/>
    <s v="Zomato"/>
    <x v="52"/>
    <d v="1899-12-30T15:27:00"/>
    <x v="0"/>
    <x v="185"/>
    <x v="0"/>
    <n v="745"/>
    <n v="745"/>
    <x v="1"/>
  </r>
  <r>
    <s v="ORD4398191"/>
    <s v="CUST0128"/>
    <s v="Zomato"/>
    <x v="252"/>
    <d v="1899-12-30T18:47:00"/>
    <x v="0"/>
    <x v="1"/>
    <x v="0"/>
    <n v="238"/>
    <n v="238"/>
    <x v="1"/>
  </r>
  <r>
    <s v="ORD4768255"/>
    <s v="CUST0382"/>
    <s v="Swiggy"/>
    <x v="178"/>
    <d v="1899-12-30T15:12:00"/>
    <x v="0"/>
    <x v="52"/>
    <x v="0"/>
    <n v="336"/>
    <n v="336"/>
    <x v="1"/>
  </r>
  <r>
    <s v="ORD5966644"/>
    <s v="CUST0375"/>
    <s v="Swiggy"/>
    <x v="61"/>
    <d v="1899-12-30T16:25:00"/>
    <x v="0"/>
    <x v="394"/>
    <x v="227"/>
    <n v="453.15"/>
    <n v="477"/>
    <x v="0"/>
  </r>
  <r>
    <s v="ORD2702989"/>
    <s v="CUST0485"/>
    <s v="Swiggy"/>
    <x v="103"/>
    <d v="1899-12-30T17:43:00"/>
    <x v="0"/>
    <x v="169"/>
    <x v="0"/>
    <n v="753"/>
    <n v="753"/>
    <x v="0"/>
  </r>
  <r>
    <s v="ORD8107034"/>
    <s v="CUST0141"/>
    <s v="Swiggy"/>
    <x v="322"/>
    <d v="1899-12-30T09:06:00"/>
    <x v="0"/>
    <x v="239"/>
    <x v="175"/>
    <n v="293.39999999999998"/>
    <n v="326"/>
    <x v="1"/>
  </r>
  <r>
    <s v="ORD4086060"/>
    <s v="CUST0396"/>
    <s v="Zomato"/>
    <x v="328"/>
    <d v="1899-12-30T18:50:00"/>
    <x v="0"/>
    <x v="154"/>
    <x v="0"/>
    <n v="535"/>
    <n v="535"/>
    <x v="0"/>
  </r>
  <r>
    <s v="ORD6042815"/>
    <s v="CUST0056"/>
    <s v="Zomato"/>
    <x v="281"/>
    <d v="1899-12-30T12:38:00"/>
    <x v="0"/>
    <x v="132"/>
    <x v="0"/>
    <n v="396"/>
    <n v="396"/>
    <x v="2"/>
  </r>
  <r>
    <s v="ORD2483629"/>
    <s v="CUST0150"/>
    <s v="Swiggy"/>
    <x v="78"/>
    <d v="1899-12-30T19:45:00"/>
    <x v="1"/>
    <x v="395"/>
    <x v="0"/>
    <n v="0"/>
    <n v="256"/>
    <x v="1"/>
  </r>
  <r>
    <s v="ORD1462042"/>
    <s v="CUST0056"/>
    <s v="Zomato"/>
    <x v="167"/>
    <d v="1899-12-30T16:24:00"/>
    <x v="0"/>
    <x v="223"/>
    <x v="0"/>
    <n v="467"/>
    <n v="467"/>
    <x v="2"/>
  </r>
  <r>
    <s v="ORD8034050"/>
    <s v="CUST0111"/>
    <s v="Zomato"/>
    <x v="251"/>
    <d v="1899-12-30T18:17:00"/>
    <x v="0"/>
    <x v="101"/>
    <x v="0"/>
    <n v="436"/>
    <n v="436"/>
    <x v="2"/>
  </r>
  <r>
    <s v="ORD4632437"/>
    <s v="CUST0223"/>
    <s v="Zomato"/>
    <x v="258"/>
    <d v="1899-12-30T10:55:00"/>
    <x v="0"/>
    <x v="47"/>
    <x v="13"/>
    <n v="188.1"/>
    <n v="198"/>
    <x v="1"/>
  </r>
  <r>
    <s v="ORD1418009"/>
    <s v="CUST0340"/>
    <s v="Swiggy"/>
    <x v="187"/>
    <d v="1899-12-30T21:37:00"/>
    <x v="0"/>
    <x v="114"/>
    <x v="284"/>
    <n v="665.55"/>
    <n v="783"/>
    <x v="1"/>
  </r>
  <r>
    <s v="ORD5134708"/>
    <s v="CUST0318"/>
    <s v="Swiggy"/>
    <x v="17"/>
    <d v="1899-12-30T10:56:00"/>
    <x v="0"/>
    <x v="305"/>
    <x v="0"/>
    <n v="675"/>
    <n v="675"/>
    <x v="0"/>
  </r>
  <r>
    <s v="ORD2253042"/>
    <s v="CUST0108"/>
    <s v="Zomato"/>
    <x v="220"/>
    <d v="1899-12-30T17:03:00"/>
    <x v="0"/>
    <x v="185"/>
    <x v="285"/>
    <n v="633.25"/>
    <n v="745"/>
    <x v="1"/>
  </r>
  <r>
    <s v="ORD9062331"/>
    <s v="CUST0041"/>
    <s v="Zomato"/>
    <x v="58"/>
    <d v="1899-12-30T15:03:00"/>
    <x v="0"/>
    <x v="170"/>
    <x v="0"/>
    <n v="514"/>
    <n v="514"/>
    <x v="1"/>
  </r>
  <r>
    <s v="ORD1072278"/>
    <s v="CUST0238"/>
    <s v="Swiggy"/>
    <x v="305"/>
    <d v="1899-12-30T13:57:00"/>
    <x v="0"/>
    <x v="205"/>
    <x v="286"/>
    <n v="659.7"/>
    <n v="733"/>
    <x v="0"/>
  </r>
  <r>
    <s v="ORD9557662"/>
    <s v="CUST0224"/>
    <s v="Zomato"/>
    <x v="205"/>
    <d v="1899-12-30T20:13:00"/>
    <x v="0"/>
    <x v="232"/>
    <x v="0"/>
    <n v="227"/>
    <n v="227"/>
    <x v="2"/>
  </r>
  <r>
    <s v="ORD7357739"/>
    <s v="CUST0315"/>
    <s v="Direct"/>
    <x v="161"/>
    <d v="1899-12-30T22:19:00"/>
    <x v="0"/>
    <x v="17"/>
    <x v="0"/>
    <n v="297"/>
    <n v="297"/>
    <x v="1"/>
  </r>
  <r>
    <s v="ORD8270280"/>
    <s v="CUST0211"/>
    <s v="Swiggy"/>
    <x v="251"/>
    <d v="1899-12-30T18:03:00"/>
    <x v="0"/>
    <x v="72"/>
    <x v="0"/>
    <n v="168"/>
    <n v="168"/>
    <x v="2"/>
  </r>
  <r>
    <s v="ORD7094896"/>
    <s v="CUST0039"/>
    <s v="Zomato"/>
    <x v="165"/>
    <d v="1899-12-30T18:57:00"/>
    <x v="0"/>
    <x v="2"/>
    <x v="0"/>
    <n v="356"/>
    <n v="356"/>
    <x v="0"/>
  </r>
  <r>
    <s v="ORD9500739"/>
    <s v="CUST0200"/>
    <s v="Swiggy"/>
    <x v="62"/>
    <d v="1899-12-30T18:27:00"/>
    <x v="0"/>
    <x v="274"/>
    <x v="0"/>
    <n v="840"/>
    <n v="840"/>
    <x v="1"/>
  </r>
  <r>
    <s v="ORD3443510"/>
    <s v="CUST0259"/>
    <s v="Zomato"/>
    <x v="279"/>
    <d v="1899-12-30T18:49:00"/>
    <x v="0"/>
    <x v="165"/>
    <x v="0"/>
    <n v="278"/>
    <n v="278"/>
    <x v="0"/>
  </r>
  <r>
    <s v="ORD1718625"/>
    <s v="CUST0005"/>
    <s v="Zomato"/>
    <x v="204"/>
    <d v="1899-12-30T19:55:00"/>
    <x v="0"/>
    <x v="87"/>
    <x v="0"/>
    <n v="128"/>
    <n v="128"/>
    <x v="2"/>
  </r>
  <r>
    <s v="ORD9589117"/>
    <s v="CUST0093"/>
    <s v="Zomato"/>
    <x v="132"/>
    <d v="1899-12-30T19:55:00"/>
    <x v="0"/>
    <x v="36"/>
    <x v="287"/>
    <n v="568.79999999999995"/>
    <n v="632"/>
    <x v="1"/>
  </r>
  <r>
    <s v="ORD1129313"/>
    <s v="CUST0070"/>
    <s v="Swiggy"/>
    <x v="16"/>
    <d v="1899-12-30T10:31:00"/>
    <x v="0"/>
    <x v="261"/>
    <x v="0"/>
    <n v="566"/>
    <n v="566"/>
    <x v="2"/>
  </r>
  <r>
    <s v="ORD5763194"/>
    <s v="CUST0090"/>
    <s v="Swiggy"/>
    <x v="255"/>
    <d v="1899-12-30T17:11:00"/>
    <x v="0"/>
    <x v="20"/>
    <x v="288"/>
    <n v="553.5"/>
    <n v="615"/>
    <x v="0"/>
  </r>
  <r>
    <s v="ORD2943171"/>
    <s v="CUST0232"/>
    <s v="Swiggy"/>
    <x v="90"/>
    <d v="1899-12-30T23:17:00"/>
    <x v="0"/>
    <x v="298"/>
    <x v="289"/>
    <n v="717.25"/>
    <n v="755"/>
    <x v="0"/>
  </r>
  <r>
    <s v="ORD8432244"/>
    <s v="CUST0164"/>
    <s v="Direct"/>
    <x v="83"/>
    <d v="1899-12-30T14:12:00"/>
    <x v="0"/>
    <x v="27"/>
    <x v="290"/>
    <n v="706.5"/>
    <n v="785"/>
    <x v="1"/>
  </r>
  <r>
    <s v="ORD1686773"/>
    <s v="CUST0251"/>
    <s v="Swiggy"/>
    <x v="345"/>
    <d v="1899-12-30T21:23:00"/>
    <x v="1"/>
    <x v="55"/>
    <x v="291"/>
    <n v="0"/>
    <n v="494"/>
    <x v="1"/>
  </r>
  <r>
    <s v="ORD6585409"/>
    <s v="CUST0155"/>
    <s v="Zomato"/>
    <x v="231"/>
    <d v="1899-12-30T14:15:00"/>
    <x v="0"/>
    <x v="31"/>
    <x v="0"/>
    <n v="386"/>
    <n v="386"/>
    <x v="0"/>
  </r>
  <r>
    <s v="ORD9555363"/>
    <s v="CUST0090"/>
    <s v="Zomato"/>
    <x v="40"/>
    <d v="1899-12-30T20:02:00"/>
    <x v="0"/>
    <x v="396"/>
    <x v="0"/>
    <n v="1357"/>
    <n v="1357"/>
    <x v="0"/>
  </r>
  <r>
    <s v="ORD8459700"/>
    <s v="CUST0050"/>
    <s v="Zomato"/>
    <x v="344"/>
    <d v="1899-12-30T01:09:00"/>
    <x v="0"/>
    <x v="132"/>
    <x v="92"/>
    <n v="356.4"/>
    <n v="396"/>
    <x v="1"/>
  </r>
  <r>
    <s v="ORD5668383"/>
    <s v="CUST0394"/>
    <s v="Zomato"/>
    <x v="274"/>
    <d v="1899-12-30T18:44:00"/>
    <x v="0"/>
    <x v="298"/>
    <x v="0"/>
    <n v="755"/>
    <n v="755"/>
    <x v="0"/>
  </r>
  <r>
    <s v="ORD1813207"/>
    <s v="CUST0008"/>
    <s v="Zomato"/>
    <x v="138"/>
    <d v="1899-12-30T20:27:00"/>
    <x v="0"/>
    <x v="2"/>
    <x v="0"/>
    <n v="356"/>
    <n v="356"/>
    <x v="1"/>
  </r>
  <r>
    <s v="ORD8017149"/>
    <s v="CUST0048"/>
    <s v="Direct"/>
    <x v="251"/>
    <d v="1899-12-30T19:26:00"/>
    <x v="0"/>
    <x v="156"/>
    <x v="14"/>
    <n v="283.10000000000002"/>
    <n v="298"/>
    <x v="0"/>
  </r>
  <r>
    <s v="ORD3696585"/>
    <s v="CUST0371"/>
    <s v="Zomato"/>
    <x v="179"/>
    <d v="1899-12-30T17:30:00"/>
    <x v="1"/>
    <x v="384"/>
    <x v="292"/>
    <n v="0"/>
    <n v="1012"/>
    <x v="0"/>
  </r>
  <r>
    <s v="ORD3921062"/>
    <s v="CUST0073"/>
    <s v="Direct"/>
    <x v="96"/>
    <d v="1899-12-30T12:47:00"/>
    <x v="0"/>
    <x v="49"/>
    <x v="0"/>
    <n v="277"/>
    <n v="277"/>
    <x v="0"/>
  </r>
  <r>
    <s v="ORD6671312"/>
    <s v="CUST0056"/>
    <s v="Zomato"/>
    <x v="320"/>
    <d v="1899-12-30T19:38:00"/>
    <x v="0"/>
    <x v="264"/>
    <x v="0"/>
    <n v="288"/>
    <n v="288"/>
    <x v="2"/>
  </r>
  <r>
    <s v="ORD5012469"/>
    <s v="CUST0189"/>
    <s v="Zomato"/>
    <x v="101"/>
    <d v="1899-12-30T18:10:00"/>
    <x v="0"/>
    <x v="17"/>
    <x v="0"/>
    <n v="297"/>
    <n v="297"/>
    <x v="1"/>
  </r>
  <r>
    <s v="ORD9814090"/>
    <s v="CUST0472"/>
    <s v="Swiggy"/>
    <x v="308"/>
    <d v="1899-12-30T21:34:00"/>
    <x v="0"/>
    <x v="72"/>
    <x v="0"/>
    <n v="168"/>
    <n v="168"/>
    <x v="1"/>
  </r>
  <r>
    <s v="ORD5957512"/>
    <s v="CUST0081"/>
    <s v="Zomato"/>
    <x v="298"/>
    <d v="1899-12-30T16:28:00"/>
    <x v="0"/>
    <x v="116"/>
    <x v="293"/>
    <n v="572.04999999999995"/>
    <n v="673"/>
    <x v="1"/>
  </r>
  <r>
    <s v="ORD1083118"/>
    <s v="CUST0310"/>
    <s v="Zomato"/>
    <x v="355"/>
    <d v="1899-12-30T19:24:00"/>
    <x v="0"/>
    <x v="6"/>
    <x v="0"/>
    <n v="158"/>
    <n v="158"/>
    <x v="1"/>
  </r>
  <r>
    <s v="ORD7011139"/>
    <s v="CUST0400"/>
    <s v="Direct"/>
    <x v="13"/>
    <d v="1899-12-30T18:34:00"/>
    <x v="0"/>
    <x v="191"/>
    <x v="0"/>
    <n v="257"/>
    <n v="257"/>
    <x v="1"/>
  </r>
  <r>
    <s v="ORD2036734"/>
    <s v="CUST0310"/>
    <s v="Zomato"/>
    <x v="254"/>
    <d v="1899-12-30T17:31:00"/>
    <x v="0"/>
    <x v="6"/>
    <x v="0"/>
    <n v="158"/>
    <n v="158"/>
    <x v="1"/>
  </r>
  <r>
    <s v="ORD5710588"/>
    <s v="CUST0175"/>
    <s v="Zomato"/>
    <x v="239"/>
    <d v="1899-12-30T17:53:00"/>
    <x v="0"/>
    <x v="86"/>
    <x v="0"/>
    <n v="159"/>
    <n v="159"/>
    <x v="2"/>
  </r>
  <r>
    <s v="ORD1007893"/>
    <s v="CUST0461"/>
    <s v="Zomato"/>
    <x v="268"/>
    <d v="1899-12-30T20:51:00"/>
    <x v="0"/>
    <x v="155"/>
    <x v="0"/>
    <n v="415"/>
    <n v="415"/>
    <x v="1"/>
  </r>
  <r>
    <s v="ORD8400298"/>
    <s v="CUST0170"/>
    <s v="Zomato"/>
    <x v="124"/>
    <d v="1899-12-30T10:18:00"/>
    <x v="0"/>
    <x v="397"/>
    <x v="294"/>
    <n v="931"/>
    <n v="980"/>
    <x v="1"/>
  </r>
  <r>
    <s v="ORD1980012"/>
    <s v="CUST0365"/>
    <s v="Zomato"/>
    <x v="317"/>
    <d v="1899-12-30T15:26:00"/>
    <x v="0"/>
    <x v="47"/>
    <x v="0"/>
    <n v="198"/>
    <n v="198"/>
    <x v="0"/>
  </r>
  <r>
    <s v="ORD1921808"/>
    <s v="CUST0165"/>
    <s v="Zomato"/>
    <x v="226"/>
    <d v="1899-12-30T21:41:00"/>
    <x v="0"/>
    <x v="112"/>
    <x v="295"/>
    <n v="464.4"/>
    <n v="516"/>
    <x v="0"/>
  </r>
  <r>
    <s v="ORD5128444"/>
    <s v="CUST0219"/>
    <s v="Zomato"/>
    <x v="182"/>
    <d v="1899-12-30T19:40:00"/>
    <x v="0"/>
    <x v="34"/>
    <x v="232"/>
    <n v="216.6"/>
    <n v="228"/>
    <x v="1"/>
  </r>
  <r>
    <s v="ORD7947194"/>
    <s v="CUST0332"/>
    <s v="Swiggy"/>
    <x v="132"/>
    <d v="1899-12-30T21:18:00"/>
    <x v="0"/>
    <x v="131"/>
    <x v="0"/>
    <n v="485"/>
    <n v="485"/>
    <x v="2"/>
  </r>
  <r>
    <s v="ORD3491461"/>
    <s v="CUST0276"/>
    <s v="Swiggy"/>
    <x v="63"/>
    <d v="1899-12-30T00:48:00"/>
    <x v="0"/>
    <x v="141"/>
    <x v="296"/>
    <n v="695.7"/>
    <n v="773"/>
    <x v="1"/>
  </r>
  <r>
    <s v="ORD2732776"/>
    <s v="CUST0275"/>
    <s v="Swiggy"/>
    <x v="115"/>
    <d v="1899-12-30T19:48:00"/>
    <x v="0"/>
    <x v="209"/>
    <x v="0"/>
    <n v="843"/>
    <n v="843"/>
    <x v="0"/>
  </r>
  <r>
    <s v="ORD1508917"/>
    <s v="CUST0141"/>
    <s v="Swiggy"/>
    <x v="174"/>
    <d v="1899-12-30T16:49:00"/>
    <x v="0"/>
    <x v="308"/>
    <x v="124"/>
    <n v="902.5"/>
    <n v="950"/>
    <x v="1"/>
  </r>
  <r>
    <s v="ORD5175968"/>
    <s v="CUST0113"/>
    <s v="Direct"/>
    <x v="65"/>
    <d v="1899-12-30T14:22:00"/>
    <x v="0"/>
    <x v="202"/>
    <x v="0"/>
    <n v="405"/>
    <n v="405"/>
    <x v="2"/>
  </r>
  <r>
    <s v="ORD7167441"/>
    <s v="CUST0411"/>
    <s v="Swiggy"/>
    <x v="27"/>
    <d v="1899-12-30T18:52:00"/>
    <x v="0"/>
    <x v="281"/>
    <x v="141"/>
    <n v="62.1"/>
    <n v="69"/>
    <x v="1"/>
  </r>
  <r>
    <s v="ORD6600282"/>
    <s v="CUST0197"/>
    <s v="Swiggy"/>
    <x v="20"/>
    <d v="1899-12-30T15:20:00"/>
    <x v="0"/>
    <x v="233"/>
    <x v="0"/>
    <n v="864"/>
    <n v="864"/>
    <x v="1"/>
  </r>
  <r>
    <s v="ORD8396229"/>
    <s v="CUST0164"/>
    <s v="Swiggy"/>
    <x v="5"/>
    <d v="1899-12-30T17:47:00"/>
    <x v="1"/>
    <x v="124"/>
    <x v="242"/>
    <n v="0"/>
    <n v="456"/>
    <x v="1"/>
  </r>
  <r>
    <s v="ORD1104897"/>
    <s v="CUST0458"/>
    <s v="Zomato"/>
    <x v="169"/>
    <d v="1899-12-30T17:18:00"/>
    <x v="0"/>
    <x v="143"/>
    <x v="0"/>
    <n v="833"/>
    <n v="833"/>
    <x v="2"/>
  </r>
  <r>
    <s v="ORD3416225"/>
    <s v="CUST0048"/>
    <s v="Zomato"/>
    <x v="315"/>
    <d v="1899-12-30T20:08:00"/>
    <x v="0"/>
    <x v="175"/>
    <x v="0"/>
    <n v="794"/>
    <n v="794"/>
    <x v="0"/>
  </r>
  <r>
    <s v="ORD8470341"/>
    <s v="CUST0205"/>
    <s v="Swiggy"/>
    <x v="227"/>
    <d v="1899-12-30T19:31:00"/>
    <x v="0"/>
    <x v="61"/>
    <x v="297"/>
    <n v="257.39999999999998"/>
    <n v="286"/>
    <x v="0"/>
  </r>
  <r>
    <s v="ORD1454102"/>
    <s v="CUST0407"/>
    <s v="Swiggy"/>
    <x v="23"/>
    <d v="1899-12-30T17:56:00"/>
    <x v="0"/>
    <x v="214"/>
    <x v="0"/>
    <n v="1043"/>
    <n v="1043"/>
    <x v="1"/>
  </r>
  <r>
    <s v="ORD7392549"/>
    <s v="CUST0232"/>
    <s v="Swiggy"/>
    <x v="315"/>
    <d v="1899-12-30T15:54:00"/>
    <x v="0"/>
    <x v="173"/>
    <x v="298"/>
    <n v="857.85"/>
    <n v="903"/>
    <x v="0"/>
  </r>
  <r>
    <s v="ORD8295839"/>
    <s v="CUST0470"/>
    <s v="Zomato"/>
    <x v="39"/>
    <d v="1899-12-30T18:38:00"/>
    <x v="1"/>
    <x v="191"/>
    <x v="0"/>
    <n v="0"/>
    <n v="257"/>
    <x v="0"/>
  </r>
  <r>
    <s v="ORD2570040"/>
    <s v="CUST0190"/>
    <s v="Swiggy"/>
    <x v="157"/>
    <d v="1899-12-30T18:39:00"/>
    <x v="0"/>
    <x v="331"/>
    <x v="0"/>
    <n v="823"/>
    <n v="823"/>
    <x v="1"/>
  </r>
  <r>
    <s v="ORD4636245"/>
    <s v="CUST0277"/>
    <s v="Direct"/>
    <x v="67"/>
    <d v="1899-12-30T01:03:00"/>
    <x v="0"/>
    <x v="333"/>
    <x v="299"/>
    <n v="575.70000000000005"/>
    <n v="606"/>
    <x v="1"/>
  </r>
  <r>
    <s v="ORD6539379"/>
    <s v="CUST0039"/>
    <s v="Swiggy"/>
    <x v="206"/>
    <d v="1899-12-30T20:21:00"/>
    <x v="0"/>
    <x v="139"/>
    <x v="300"/>
    <n v="679.25"/>
    <n v="715"/>
    <x v="0"/>
  </r>
  <r>
    <s v="ORD5728360"/>
    <s v="CUST0477"/>
    <s v="Zomato"/>
    <x v="89"/>
    <d v="1899-12-30T19:33:00"/>
    <x v="0"/>
    <x v="165"/>
    <x v="0"/>
    <n v="278"/>
    <n v="278"/>
    <x v="0"/>
  </r>
  <r>
    <s v="ORD2723145"/>
    <s v="CUST0455"/>
    <s v="Zomato"/>
    <x v="90"/>
    <d v="1899-12-30T09:09:00"/>
    <x v="0"/>
    <x v="398"/>
    <x v="0"/>
    <n v="407"/>
    <n v="407"/>
    <x v="1"/>
  </r>
  <r>
    <s v="ORD8885674"/>
    <s v="CUST0044"/>
    <s v="Swiggy"/>
    <x v="236"/>
    <d v="1899-12-30T15:07:00"/>
    <x v="0"/>
    <x v="15"/>
    <x v="0"/>
    <n v="308"/>
    <n v="308"/>
    <x v="1"/>
  </r>
  <r>
    <s v="ORD9997784"/>
    <s v="CUST0015"/>
    <s v="Zomato"/>
    <x v="112"/>
    <d v="1899-12-30T18:55:00"/>
    <x v="0"/>
    <x v="159"/>
    <x v="0"/>
    <n v="258"/>
    <n v="258"/>
    <x v="2"/>
  </r>
  <r>
    <s v="ORD9542620"/>
    <s v="CUST0123"/>
    <s v="Direct"/>
    <x v="301"/>
    <d v="1899-12-30T17:23:00"/>
    <x v="0"/>
    <x v="91"/>
    <x v="301"/>
    <n v="454.5"/>
    <n v="505"/>
    <x v="0"/>
  </r>
  <r>
    <s v="ORD8135725"/>
    <s v="CUST0277"/>
    <s v="Swiggy"/>
    <x v="172"/>
    <d v="1899-12-30T21:21:00"/>
    <x v="0"/>
    <x v="114"/>
    <x v="0"/>
    <n v="783"/>
    <n v="783"/>
    <x v="1"/>
  </r>
  <r>
    <s v="ORD4724182"/>
    <s v="CUST0387"/>
    <s v="Zomato"/>
    <x v="226"/>
    <d v="1899-12-30T11:30:00"/>
    <x v="0"/>
    <x v="97"/>
    <x v="63"/>
    <n v="303.45"/>
    <n v="357"/>
    <x v="1"/>
  </r>
  <r>
    <s v="ORD8836901"/>
    <s v="CUST0003"/>
    <s v="Swiggy"/>
    <x v="114"/>
    <d v="1899-12-30T16:15:00"/>
    <x v="0"/>
    <x v="89"/>
    <x v="0"/>
    <n v="395"/>
    <n v="395"/>
    <x v="1"/>
  </r>
  <r>
    <s v="ORD8648406"/>
    <s v="CUST0407"/>
    <s v="Zomato"/>
    <x v="344"/>
    <d v="1899-12-30T11:30:00"/>
    <x v="0"/>
    <x v="153"/>
    <x v="0"/>
    <n v="327"/>
    <n v="327"/>
    <x v="1"/>
  </r>
  <r>
    <s v="ORD8425350"/>
    <s v="CUST0309"/>
    <s v="Zomato"/>
    <x v="36"/>
    <d v="1899-12-30T16:49:00"/>
    <x v="0"/>
    <x v="132"/>
    <x v="0"/>
    <n v="396"/>
    <n v="396"/>
    <x v="1"/>
  </r>
  <r>
    <s v="ORD9110583"/>
    <s v="CUST0179"/>
    <s v="Swiggy"/>
    <x v="345"/>
    <d v="1899-12-30T21:03:00"/>
    <x v="0"/>
    <x v="140"/>
    <x v="59"/>
    <n v="642.6"/>
    <n v="714"/>
    <x v="1"/>
  </r>
  <r>
    <s v="ORD5965982"/>
    <s v="CUST0395"/>
    <s v="Zomato"/>
    <x v="5"/>
    <d v="1899-12-30T19:25:00"/>
    <x v="0"/>
    <x v="162"/>
    <x v="192"/>
    <n v="508.5"/>
    <n v="565"/>
    <x v="1"/>
  </r>
  <r>
    <s v="ORD7115786"/>
    <s v="CUST0346"/>
    <s v="Zomato"/>
    <x v="138"/>
    <d v="1899-12-30T13:08:00"/>
    <x v="0"/>
    <x v="272"/>
    <x v="0"/>
    <n v="902"/>
    <n v="902"/>
    <x v="2"/>
  </r>
  <r>
    <s v="ORD5081001"/>
    <s v="CUST0355"/>
    <s v="Zomato"/>
    <x v="200"/>
    <d v="1899-12-30T16:23:00"/>
    <x v="0"/>
    <x v="6"/>
    <x v="134"/>
    <n v="150.1"/>
    <n v="158"/>
    <x v="1"/>
  </r>
  <r>
    <s v="ORD2161701"/>
    <s v="CUST0360"/>
    <s v="Zomato"/>
    <x v="251"/>
    <d v="1899-12-30T09:47:00"/>
    <x v="0"/>
    <x v="239"/>
    <x v="0"/>
    <n v="326"/>
    <n v="326"/>
    <x v="1"/>
  </r>
  <r>
    <s v="ORD4410943"/>
    <s v="CUST0234"/>
    <s v="Direct"/>
    <x v="317"/>
    <d v="1899-12-30T14:38:00"/>
    <x v="0"/>
    <x v="298"/>
    <x v="289"/>
    <n v="717.25"/>
    <n v="755"/>
    <x v="1"/>
  </r>
  <r>
    <s v="ORD7449227"/>
    <s v="CUST0047"/>
    <s v="Swiggy"/>
    <x v="199"/>
    <d v="1899-12-30T19:36:00"/>
    <x v="0"/>
    <x v="36"/>
    <x v="0"/>
    <n v="632"/>
    <n v="632"/>
    <x v="0"/>
  </r>
  <r>
    <s v="ORD7121455"/>
    <s v="CUST0337"/>
    <s v="Zomato"/>
    <x v="232"/>
    <d v="1899-12-30T11:52:00"/>
    <x v="0"/>
    <x v="304"/>
    <x v="0"/>
    <n v="464"/>
    <n v="464"/>
    <x v="1"/>
  </r>
  <r>
    <s v="ORD3369785"/>
    <s v="CUST0018"/>
    <s v="Swiggy"/>
    <x v="317"/>
    <d v="1899-12-30T16:51:00"/>
    <x v="0"/>
    <x v="146"/>
    <x v="302"/>
    <n v="254.6"/>
    <n v="268"/>
    <x v="1"/>
  </r>
  <r>
    <s v="ORD2921689"/>
    <s v="CUST0074"/>
    <s v="Zomato"/>
    <x v="1"/>
    <d v="1899-12-30T17:52:00"/>
    <x v="0"/>
    <x v="388"/>
    <x v="303"/>
    <n v="969.95"/>
    <n v="1021"/>
    <x v="1"/>
  </r>
  <r>
    <s v="ORD1976642"/>
    <s v="CUST0007"/>
    <s v="Zomato"/>
    <x v="73"/>
    <d v="1899-12-30T12:51:00"/>
    <x v="0"/>
    <x v="137"/>
    <x v="0"/>
    <n v="397"/>
    <n v="397"/>
    <x v="0"/>
  </r>
  <r>
    <s v="ORD1752540"/>
    <s v="CUST0422"/>
    <s v="Swiggy"/>
    <x v="259"/>
    <d v="1899-12-30T13:54:00"/>
    <x v="0"/>
    <x v="323"/>
    <x v="0"/>
    <n v="764"/>
    <n v="764"/>
    <x v="1"/>
  </r>
  <r>
    <s v="ORD5404222"/>
    <s v="CUST0118"/>
    <s v="Zomato"/>
    <x v="35"/>
    <d v="1899-12-30T00:47:00"/>
    <x v="0"/>
    <x v="10"/>
    <x v="0"/>
    <n v="555"/>
    <n v="555"/>
    <x v="0"/>
  </r>
  <r>
    <s v="ORD2120379"/>
    <s v="CUST0326"/>
    <s v="Zomato"/>
    <x v="181"/>
    <d v="1899-12-30T17:43:00"/>
    <x v="0"/>
    <x v="399"/>
    <x v="0"/>
    <n v="1846"/>
    <n v="1846"/>
    <x v="1"/>
  </r>
  <r>
    <s v="ORD4558295"/>
    <s v="CUST0179"/>
    <s v="Swiggy"/>
    <x v="167"/>
    <d v="1899-12-30T10:02:00"/>
    <x v="0"/>
    <x v="201"/>
    <x v="0"/>
    <n v="318"/>
    <n v="318"/>
    <x v="1"/>
  </r>
  <r>
    <s v="ORD3093662"/>
    <s v="CUST0286"/>
    <s v="Swiggy"/>
    <x v="188"/>
    <d v="1899-12-30T17:06:00"/>
    <x v="0"/>
    <x v="400"/>
    <x v="0"/>
    <n v="602"/>
    <n v="602"/>
    <x v="1"/>
  </r>
  <r>
    <s v="ORD2649093"/>
    <s v="CUST0249"/>
    <s v="Zomato"/>
    <x v="202"/>
    <d v="1899-12-30T15:51:00"/>
    <x v="0"/>
    <x v="52"/>
    <x v="0"/>
    <n v="336"/>
    <n v="336"/>
    <x v="2"/>
  </r>
  <r>
    <s v="ORD6998442"/>
    <s v="CUST0464"/>
    <s v="Swiggy"/>
    <x v="108"/>
    <d v="1899-12-30T20:33:00"/>
    <x v="0"/>
    <x v="16"/>
    <x v="0"/>
    <n v="447"/>
    <n v="447"/>
    <x v="0"/>
  </r>
  <r>
    <s v="ORD8252042"/>
    <s v="CUST0082"/>
    <s v="Zomato"/>
    <x v="335"/>
    <d v="1899-12-30T11:37:00"/>
    <x v="0"/>
    <x v="122"/>
    <x v="0"/>
    <n v="496"/>
    <n v="496"/>
    <x v="1"/>
  </r>
  <r>
    <s v="ORD1011337"/>
    <s v="CUST0096"/>
    <s v="Swiggy"/>
    <x v="208"/>
    <d v="1899-12-30T14:10:00"/>
    <x v="0"/>
    <x v="40"/>
    <x v="0"/>
    <n v="347"/>
    <n v="347"/>
    <x v="2"/>
  </r>
  <r>
    <s v="ORD9321592"/>
    <s v="CUST0166"/>
    <s v="Direct"/>
    <x v="200"/>
    <d v="1899-12-30T17:27:00"/>
    <x v="0"/>
    <x v="82"/>
    <x v="0"/>
    <n v="554"/>
    <n v="554"/>
    <x v="0"/>
  </r>
  <r>
    <s v="ORD7501701"/>
    <s v="CUST0396"/>
    <s v="Zomato"/>
    <x v="197"/>
    <d v="1899-12-30T13:07:00"/>
    <x v="0"/>
    <x v="151"/>
    <x v="304"/>
    <n v="536.4"/>
    <n v="596"/>
    <x v="0"/>
  </r>
  <r>
    <s v="ORD2915131"/>
    <s v="CUST0273"/>
    <s v="Zomato"/>
    <x v="105"/>
    <d v="1899-12-30T16:34:00"/>
    <x v="0"/>
    <x v="124"/>
    <x v="0"/>
    <n v="456"/>
    <n v="456"/>
    <x v="1"/>
  </r>
  <r>
    <s v="ORD6864992"/>
    <s v="CUST0428"/>
    <s v="Direct"/>
    <x v="301"/>
    <d v="1899-12-30T19:35:00"/>
    <x v="0"/>
    <x v="298"/>
    <x v="0"/>
    <n v="755"/>
    <n v="755"/>
    <x v="1"/>
  </r>
  <r>
    <s v="ORD5617711"/>
    <s v="CUST0321"/>
    <s v="Zomato"/>
    <x v="29"/>
    <d v="1899-12-30T19:53:00"/>
    <x v="0"/>
    <x v="313"/>
    <x v="0"/>
    <n v="943"/>
    <n v="943"/>
    <x v="1"/>
  </r>
  <r>
    <s v="ORD3821058"/>
    <s v="CUST0288"/>
    <s v="Zomato"/>
    <x v="281"/>
    <d v="1899-12-30T16:40:00"/>
    <x v="0"/>
    <x v="6"/>
    <x v="134"/>
    <n v="150.1"/>
    <n v="158"/>
    <x v="0"/>
  </r>
  <r>
    <s v="ORD5354733"/>
    <s v="CUST0364"/>
    <s v="Zomato"/>
    <x v="181"/>
    <d v="1899-12-30T15:41:00"/>
    <x v="0"/>
    <x v="83"/>
    <x v="113"/>
    <n v="284.39999999999998"/>
    <n v="316"/>
    <x v="2"/>
  </r>
  <r>
    <s v="ORD6118318"/>
    <s v="CUST0329"/>
    <s v="Swiggy"/>
    <x v="170"/>
    <d v="1899-12-30T10:51:00"/>
    <x v="0"/>
    <x v="200"/>
    <x v="0"/>
    <n v="662"/>
    <n v="662"/>
    <x v="1"/>
  </r>
  <r>
    <s v="ORD2100308"/>
    <s v="CUST0131"/>
    <s v="Zomato"/>
    <x v="351"/>
    <d v="1899-12-30T18:14:00"/>
    <x v="0"/>
    <x v="202"/>
    <x v="0"/>
    <n v="405"/>
    <n v="405"/>
    <x v="0"/>
  </r>
  <r>
    <s v="ORD5977356"/>
    <s v="CUST0138"/>
    <s v="Swiggy"/>
    <x v="307"/>
    <d v="1899-12-30T21:55:00"/>
    <x v="0"/>
    <x v="83"/>
    <x v="0"/>
    <n v="316"/>
    <n v="316"/>
    <x v="2"/>
  </r>
  <r>
    <s v="ORD5032195"/>
    <s v="CUST0154"/>
    <s v="Swiggy"/>
    <x v="170"/>
    <d v="1899-12-30T19:53:00"/>
    <x v="0"/>
    <x v="156"/>
    <x v="0"/>
    <n v="298"/>
    <n v="298"/>
    <x v="1"/>
  </r>
  <r>
    <s v="ORD7853714"/>
    <s v="CUST0125"/>
    <s v="Zomato"/>
    <x v="60"/>
    <d v="1899-12-30T00:18:00"/>
    <x v="1"/>
    <x v="319"/>
    <x v="0"/>
    <n v="0"/>
    <n v="1220"/>
    <x v="1"/>
  </r>
  <r>
    <s v="ORD6354067"/>
    <s v="CUST0371"/>
    <s v="Swiggy"/>
    <x v="348"/>
    <d v="1899-12-30T16:48:00"/>
    <x v="0"/>
    <x v="95"/>
    <x v="305"/>
    <n v="434.15"/>
    <n v="457"/>
    <x v="0"/>
  </r>
  <r>
    <s v="ORD4290868"/>
    <s v="CUST0144"/>
    <s v="Zomato"/>
    <x v="40"/>
    <d v="1899-12-30T19:12:00"/>
    <x v="0"/>
    <x v="35"/>
    <x v="0"/>
    <n v="119"/>
    <n v="119"/>
    <x v="1"/>
  </r>
  <r>
    <s v="ORD6794172"/>
    <s v="CUST0139"/>
    <s v="Swiggy"/>
    <x v="45"/>
    <d v="1899-12-30T00:20:00"/>
    <x v="0"/>
    <x v="49"/>
    <x v="0"/>
    <n v="277"/>
    <n v="277"/>
    <x v="0"/>
  </r>
  <r>
    <s v="ORD1388554"/>
    <s v="CUST0154"/>
    <s v="Direct"/>
    <x v="113"/>
    <d v="1899-12-30T01:00:00"/>
    <x v="0"/>
    <x v="85"/>
    <x v="0"/>
    <n v="791"/>
    <n v="791"/>
    <x v="1"/>
  </r>
  <r>
    <s v="ORD6546744"/>
    <s v="CUST0440"/>
    <s v="Swiggy"/>
    <x v="86"/>
    <d v="1899-12-30T22:39:00"/>
    <x v="0"/>
    <x v="278"/>
    <x v="87"/>
    <n v="604.20000000000005"/>
    <n v="636"/>
    <x v="2"/>
  </r>
  <r>
    <s v="ORD4097922"/>
    <s v="CUST0086"/>
    <s v="Zomato"/>
    <x v="253"/>
    <d v="1899-12-30T18:55:00"/>
    <x v="0"/>
    <x v="326"/>
    <x v="0"/>
    <n v="912"/>
    <n v="912"/>
    <x v="0"/>
  </r>
  <r>
    <s v="ORD2346321"/>
    <s v="CUST0179"/>
    <s v="Zomato"/>
    <x v="327"/>
    <d v="1899-12-30T21:22:00"/>
    <x v="0"/>
    <x v="74"/>
    <x v="277"/>
    <n v="651.6"/>
    <n v="724"/>
    <x v="1"/>
  </r>
  <r>
    <s v="ORD4689637"/>
    <s v="CUST0184"/>
    <s v="Zomato"/>
    <x v="136"/>
    <d v="1899-12-30T14:53:00"/>
    <x v="0"/>
    <x v="194"/>
    <x v="0"/>
    <n v="465"/>
    <n v="465"/>
    <x v="1"/>
  </r>
  <r>
    <s v="ORD8979708"/>
    <s v="CUST0045"/>
    <s v="Swiggy"/>
    <x v="171"/>
    <d v="1899-12-30T17:54:00"/>
    <x v="0"/>
    <x v="15"/>
    <x v="0"/>
    <n v="308"/>
    <n v="308"/>
    <x v="2"/>
  </r>
  <r>
    <s v="ORD7580946"/>
    <s v="CUST0402"/>
    <s v="Swiggy"/>
    <x v="202"/>
    <d v="1899-12-30T16:32:00"/>
    <x v="0"/>
    <x v="86"/>
    <x v="0"/>
    <n v="159"/>
    <n v="159"/>
    <x v="1"/>
  </r>
  <r>
    <s v="ORD6637599"/>
    <s v="CUST0405"/>
    <s v="Swiggy"/>
    <x v="251"/>
    <d v="1899-12-30T12:01:00"/>
    <x v="0"/>
    <x v="137"/>
    <x v="0"/>
    <n v="397"/>
    <n v="397"/>
    <x v="2"/>
  </r>
  <r>
    <s v="ORD8025845"/>
    <s v="CUST0347"/>
    <s v="Swiggy"/>
    <x v="284"/>
    <d v="1899-12-30T17:58:00"/>
    <x v="0"/>
    <x v="190"/>
    <x v="0"/>
    <n v="475"/>
    <n v="475"/>
    <x v="0"/>
  </r>
  <r>
    <s v="ORD6773984"/>
    <s v="CUST0020"/>
    <s v="Zomato"/>
    <x v="43"/>
    <d v="1899-12-30T20:33:00"/>
    <x v="0"/>
    <x v="195"/>
    <x v="0"/>
    <n v="495"/>
    <n v="495"/>
    <x v="1"/>
  </r>
  <r>
    <s v="ORD3223226"/>
    <s v="CUST0055"/>
    <s v="Zomato"/>
    <x v="26"/>
    <d v="1899-12-30T21:15:00"/>
    <x v="0"/>
    <x v="191"/>
    <x v="154"/>
    <n v="231.3"/>
    <n v="257"/>
    <x v="0"/>
  </r>
  <r>
    <s v="ORD2427420"/>
    <s v="CUST0133"/>
    <s v="Zomato"/>
    <x v="74"/>
    <d v="1899-12-30T18:40:00"/>
    <x v="0"/>
    <x v="311"/>
    <x v="0"/>
    <n v="1260"/>
    <n v="1260"/>
    <x v="0"/>
  </r>
  <r>
    <s v="ORD6380339"/>
    <s v="CUST0348"/>
    <s v="Swiggy"/>
    <x v="136"/>
    <d v="1899-12-30T19:07:00"/>
    <x v="0"/>
    <x v="124"/>
    <x v="242"/>
    <n v="410.4"/>
    <n v="456"/>
    <x v="2"/>
  </r>
  <r>
    <s v="ORD8169923"/>
    <s v="CUST0083"/>
    <s v="Swiggy"/>
    <x v="101"/>
    <d v="1899-12-30T12:54:00"/>
    <x v="0"/>
    <x v="256"/>
    <x v="0"/>
    <n v="466"/>
    <n v="466"/>
    <x v="1"/>
  </r>
  <r>
    <s v="ORD8726065"/>
    <s v="CUST0165"/>
    <s v="Zomato"/>
    <x v="237"/>
    <d v="1899-12-30T16:50:00"/>
    <x v="0"/>
    <x v="21"/>
    <x v="4"/>
    <n v="391.5"/>
    <n v="435"/>
    <x v="0"/>
  </r>
  <r>
    <s v="ORD4296668"/>
    <s v="CUST0374"/>
    <s v="Zomato"/>
    <x v="125"/>
    <d v="1899-12-30T20:53:00"/>
    <x v="0"/>
    <x v="42"/>
    <x v="0"/>
    <n v="454"/>
    <n v="454"/>
    <x v="0"/>
  </r>
  <r>
    <s v="ORD1574034"/>
    <s v="CUST0254"/>
    <s v="Swiggy"/>
    <x v="66"/>
    <d v="1899-12-30T12:35:00"/>
    <x v="0"/>
    <x v="25"/>
    <x v="0"/>
    <n v="534"/>
    <n v="534"/>
    <x v="2"/>
  </r>
  <r>
    <s v="ORD4451332"/>
    <s v="CUST0310"/>
    <s v="Swiggy"/>
    <x v="241"/>
    <d v="1899-12-30T13:00:00"/>
    <x v="0"/>
    <x v="43"/>
    <x v="183"/>
    <n v="126.65"/>
    <n v="149"/>
    <x v="1"/>
  </r>
  <r>
    <s v="ORD2266964"/>
    <s v="CUST0259"/>
    <s v="Zomato"/>
    <x v="259"/>
    <d v="1899-12-30T19:34:00"/>
    <x v="0"/>
    <x v="126"/>
    <x v="0"/>
    <n v="526"/>
    <n v="526"/>
    <x v="0"/>
  </r>
  <r>
    <s v="ORD7067682"/>
    <s v="CUST0337"/>
    <s v="Swiggy"/>
    <x v="226"/>
    <d v="1899-12-30T17:34:00"/>
    <x v="0"/>
    <x v="95"/>
    <x v="0"/>
    <n v="457"/>
    <n v="457"/>
    <x v="1"/>
  </r>
  <r>
    <s v="ORD1151625"/>
    <s v="CUST0114"/>
    <s v="Zomato"/>
    <x v="356"/>
    <d v="1899-12-30T21:26:00"/>
    <x v="0"/>
    <x v="285"/>
    <x v="0"/>
    <n v="1063"/>
    <n v="1063"/>
    <x v="1"/>
  </r>
  <r>
    <s v="ORD9155269"/>
    <s v="CUST0362"/>
    <s v="Zomato"/>
    <x v="219"/>
    <d v="1899-12-30T20:37:00"/>
    <x v="0"/>
    <x v="54"/>
    <x v="165"/>
    <n v="169.1"/>
    <n v="178"/>
    <x v="1"/>
  </r>
  <r>
    <s v="ORD5512974"/>
    <s v="CUST0059"/>
    <s v="Zomato"/>
    <x v="196"/>
    <d v="1899-12-30T09:29:00"/>
    <x v="0"/>
    <x v="47"/>
    <x v="0"/>
    <n v="198"/>
    <n v="198"/>
    <x v="1"/>
  </r>
  <r>
    <s v="ORD2847661"/>
    <s v="CUST0271"/>
    <s v="Zomato"/>
    <x v="47"/>
    <d v="1899-12-30T19:00:00"/>
    <x v="1"/>
    <x v="101"/>
    <x v="245"/>
    <n v="0"/>
    <n v="436"/>
    <x v="2"/>
  </r>
  <r>
    <s v="ORD9363715"/>
    <s v="CUST0096"/>
    <s v="Zomato"/>
    <x v="109"/>
    <d v="1899-12-30T16:38:00"/>
    <x v="0"/>
    <x v="261"/>
    <x v="0"/>
    <n v="566"/>
    <n v="566"/>
    <x v="2"/>
  </r>
  <r>
    <s v="ORD2787641"/>
    <s v="CUST0300"/>
    <s v="Zomato"/>
    <x v="103"/>
    <d v="1899-12-30T19:15:00"/>
    <x v="0"/>
    <x v="104"/>
    <x v="0"/>
    <n v="654"/>
    <n v="654"/>
    <x v="1"/>
  </r>
  <r>
    <s v="ORD9016612"/>
    <s v="CUST0434"/>
    <s v="Direct"/>
    <x v="170"/>
    <d v="1899-12-30T17:34:00"/>
    <x v="0"/>
    <x v="401"/>
    <x v="0"/>
    <n v="1747"/>
    <n v="1747"/>
    <x v="1"/>
  </r>
  <r>
    <s v="ORD4664351"/>
    <s v="CUST0218"/>
    <s v="Zomato"/>
    <x v="55"/>
    <d v="1899-12-30T11:31:00"/>
    <x v="0"/>
    <x v="255"/>
    <x v="0"/>
    <n v="685"/>
    <n v="685"/>
    <x v="1"/>
  </r>
  <r>
    <s v="ORD2890702"/>
    <s v="CUST0152"/>
    <s v="Swiggy"/>
    <x v="285"/>
    <d v="1899-12-30T14:11:00"/>
    <x v="1"/>
    <x v="194"/>
    <x v="0"/>
    <n v="0"/>
    <n v="465"/>
    <x v="1"/>
  </r>
  <r>
    <s v="ORD9565000"/>
    <s v="CUST0290"/>
    <s v="Zomato"/>
    <x v="210"/>
    <d v="1899-12-30T19:34:00"/>
    <x v="0"/>
    <x v="32"/>
    <x v="0"/>
    <n v="575"/>
    <n v="575"/>
    <x v="1"/>
  </r>
  <r>
    <s v="ORD6780009"/>
    <s v="CUST0432"/>
    <s v="Zomato"/>
    <x v="95"/>
    <d v="1899-12-30T17:44:00"/>
    <x v="0"/>
    <x v="402"/>
    <x v="0"/>
    <n v="751"/>
    <n v="751"/>
    <x v="0"/>
  </r>
  <r>
    <s v="ORD3435279"/>
    <s v="CUST0136"/>
    <s v="Zomato"/>
    <x v="191"/>
    <d v="1899-12-30T16:58:00"/>
    <x v="1"/>
    <x v="50"/>
    <x v="0"/>
    <n v="0"/>
    <n v="99"/>
    <x v="1"/>
  </r>
  <r>
    <s v="ORD8488510"/>
    <s v="CUST0045"/>
    <s v="Swiggy"/>
    <x v="248"/>
    <d v="1899-12-30T17:01:00"/>
    <x v="1"/>
    <x v="127"/>
    <x v="0"/>
    <n v="0"/>
    <n v="754"/>
    <x v="2"/>
  </r>
  <r>
    <s v="ORD5779148"/>
    <s v="CUST0296"/>
    <s v="Zomato"/>
    <x v="261"/>
    <d v="1899-12-30T18:53:00"/>
    <x v="1"/>
    <x v="305"/>
    <x v="0"/>
    <n v="0"/>
    <n v="675"/>
    <x v="1"/>
  </r>
  <r>
    <s v="ORD9968045"/>
    <s v="CUST0265"/>
    <s v="Swiggy"/>
    <x v="75"/>
    <d v="1899-12-30T15:22:00"/>
    <x v="0"/>
    <x v="193"/>
    <x v="0"/>
    <n v="830"/>
    <n v="830"/>
    <x v="0"/>
  </r>
  <r>
    <s v="ORD7149241"/>
    <s v="CUST0306"/>
    <s v="Zomato"/>
    <x v="195"/>
    <d v="1899-12-30T16:10:00"/>
    <x v="0"/>
    <x v="34"/>
    <x v="0"/>
    <n v="228"/>
    <n v="228"/>
    <x v="1"/>
  </r>
  <r>
    <s v="ORD4544340"/>
    <s v="CUST0037"/>
    <s v="Zomato"/>
    <x v="108"/>
    <d v="1899-12-30T20:32:00"/>
    <x v="0"/>
    <x v="314"/>
    <x v="0"/>
    <n v="1151"/>
    <n v="1151"/>
    <x v="1"/>
  </r>
  <r>
    <s v="ORD3881328"/>
    <s v="CUST0179"/>
    <s v="Zomato"/>
    <x v="228"/>
    <d v="1899-12-30T19:31:00"/>
    <x v="0"/>
    <x v="188"/>
    <x v="0"/>
    <n v="248"/>
    <n v="248"/>
    <x v="1"/>
  </r>
  <r>
    <s v="ORD1761836"/>
    <s v="CUST0138"/>
    <s v="Swiggy"/>
    <x v="273"/>
    <d v="1899-12-30T20:21:00"/>
    <x v="0"/>
    <x v="149"/>
    <x v="0"/>
    <n v="824"/>
    <n v="824"/>
    <x v="2"/>
  </r>
  <r>
    <s v="ORD3074710"/>
    <s v="CUST0421"/>
    <s v="Direct"/>
    <x v="36"/>
    <d v="1899-12-30T19:57:00"/>
    <x v="0"/>
    <x v="398"/>
    <x v="0"/>
    <n v="407"/>
    <n v="407"/>
    <x v="1"/>
  </r>
  <r>
    <s v="ORD4091304"/>
    <s v="CUST0415"/>
    <s v="Zomato"/>
    <x v="331"/>
    <d v="1899-12-30T10:28:00"/>
    <x v="0"/>
    <x v="217"/>
    <x v="0"/>
    <n v="1210"/>
    <n v="1210"/>
    <x v="1"/>
  </r>
  <r>
    <s v="ORD4151929"/>
    <s v="CUST0361"/>
    <s v="Direct"/>
    <x v="67"/>
    <d v="1899-12-30T10:52:00"/>
    <x v="0"/>
    <x v="197"/>
    <x v="0"/>
    <n v="604"/>
    <n v="604"/>
    <x v="1"/>
  </r>
  <r>
    <s v="ORD1145575"/>
    <s v="CUST0027"/>
    <s v="Swiggy"/>
    <x v="11"/>
    <d v="1899-12-30T17:49:00"/>
    <x v="0"/>
    <x v="222"/>
    <x v="306"/>
    <n v="589.5"/>
    <n v="655"/>
    <x v="1"/>
  </r>
  <r>
    <s v="ORD1538723"/>
    <s v="CUST0070"/>
    <s v="Swiggy"/>
    <x v="351"/>
    <d v="1899-12-30T23:29:00"/>
    <x v="0"/>
    <x v="403"/>
    <x v="0"/>
    <n v="1629"/>
    <n v="1629"/>
    <x v="2"/>
  </r>
  <r>
    <s v="ORD8893152"/>
    <s v="CUST0106"/>
    <s v="Zomato"/>
    <x v="349"/>
    <d v="1899-12-30T16:56:00"/>
    <x v="0"/>
    <x v="53"/>
    <x v="0"/>
    <n v="367"/>
    <n v="367"/>
    <x v="1"/>
  </r>
  <r>
    <s v="ORD5536103"/>
    <s v="CUST0377"/>
    <s v="Direct"/>
    <x v="249"/>
    <d v="1899-12-30T01:10:00"/>
    <x v="0"/>
    <x v="140"/>
    <x v="0"/>
    <n v="714"/>
    <n v="714"/>
    <x v="1"/>
  </r>
  <r>
    <s v="ORD2675675"/>
    <s v="CUST0008"/>
    <s v="Zomato"/>
    <x v="40"/>
    <d v="1899-12-30T18:57:00"/>
    <x v="0"/>
    <x v="152"/>
    <x v="0"/>
    <n v="595"/>
    <n v="595"/>
    <x v="1"/>
  </r>
  <r>
    <s v="ORD7171594"/>
    <s v="CUST0126"/>
    <s v="Swiggy"/>
    <x v="357"/>
    <d v="1899-12-30T21:17:00"/>
    <x v="0"/>
    <x v="138"/>
    <x v="0"/>
    <n v="972"/>
    <n v="972"/>
    <x v="1"/>
  </r>
  <r>
    <s v="ORD5781626"/>
    <s v="CUST0314"/>
    <s v="Swiggy"/>
    <x v="206"/>
    <d v="1899-12-30T18:00:00"/>
    <x v="0"/>
    <x v="70"/>
    <x v="37"/>
    <n v="301.14999999999998"/>
    <n v="317"/>
    <x v="0"/>
  </r>
  <r>
    <s v="ORD2565963"/>
    <s v="CUST0154"/>
    <s v="Swiggy"/>
    <x v="60"/>
    <d v="1899-12-30T21:08:00"/>
    <x v="1"/>
    <x v="39"/>
    <x v="0"/>
    <n v="0"/>
    <n v="79"/>
    <x v="1"/>
  </r>
  <r>
    <s v="ORD7431224"/>
    <s v="CUST0330"/>
    <s v="Zomato"/>
    <x v="61"/>
    <d v="1899-12-30T10:01:00"/>
    <x v="0"/>
    <x v="192"/>
    <x v="117"/>
    <n v="660.6"/>
    <n v="734"/>
    <x v="1"/>
  </r>
  <r>
    <s v="ORD3816575"/>
    <s v="CUST0217"/>
    <s v="Swiggy"/>
    <x v="5"/>
    <d v="1899-12-30T21:59:00"/>
    <x v="0"/>
    <x v="213"/>
    <x v="231"/>
    <n v="209.95"/>
    <n v="247"/>
    <x v="0"/>
  </r>
  <r>
    <s v="ORD4867069"/>
    <s v="CUST0428"/>
    <s v="Swiggy"/>
    <x v="358"/>
    <d v="1899-12-30T21:01:00"/>
    <x v="0"/>
    <x v="264"/>
    <x v="0"/>
    <n v="288"/>
    <n v="288"/>
    <x v="1"/>
  </r>
  <r>
    <s v="ORD9680402"/>
    <s v="CUST0104"/>
    <s v="Swiggy"/>
    <x v="31"/>
    <d v="1899-12-30T19:12:00"/>
    <x v="0"/>
    <x v="169"/>
    <x v="0"/>
    <n v="753"/>
    <n v="753"/>
    <x v="1"/>
  </r>
  <r>
    <s v="ORD5831336"/>
    <s v="CUST0398"/>
    <s v="Swiggy"/>
    <x v="115"/>
    <d v="1899-12-30T23:27:00"/>
    <x v="0"/>
    <x v="364"/>
    <x v="0"/>
    <n v="992"/>
    <n v="992"/>
    <x v="2"/>
  </r>
  <r>
    <s v="ORD6828339"/>
    <s v="CUST0421"/>
    <s v="Swiggy"/>
    <x v="109"/>
    <d v="1899-12-30T17:21:00"/>
    <x v="0"/>
    <x v="404"/>
    <x v="0"/>
    <n v="1566"/>
    <n v="1566"/>
    <x v="1"/>
  </r>
  <r>
    <s v="ORD8079136"/>
    <s v="CUST0464"/>
    <s v="Swiggy"/>
    <x v="348"/>
    <d v="1899-12-30T19:51:00"/>
    <x v="0"/>
    <x v="216"/>
    <x v="307"/>
    <n v="266.39999999999998"/>
    <n v="296"/>
    <x v="0"/>
  </r>
  <r>
    <s v="ORD6707994"/>
    <s v="CUST0020"/>
    <s v="Swiggy"/>
    <x v="126"/>
    <d v="1899-12-30T17:00:00"/>
    <x v="0"/>
    <x v="405"/>
    <x v="0"/>
    <n v="1221"/>
    <n v="1221"/>
    <x v="1"/>
  </r>
  <r>
    <s v="ORD5332113"/>
    <s v="CUST0223"/>
    <s v="Zomato"/>
    <x v="166"/>
    <d v="1899-12-30T19:33:00"/>
    <x v="0"/>
    <x v="201"/>
    <x v="0"/>
    <n v="318"/>
    <n v="318"/>
    <x v="1"/>
  </r>
  <r>
    <s v="ORD5376542"/>
    <s v="CUST0027"/>
    <s v="Zomato"/>
    <x v="46"/>
    <d v="1899-12-30T15:37:00"/>
    <x v="1"/>
    <x v="198"/>
    <x v="121"/>
    <n v="0"/>
    <n v="594"/>
    <x v="1"/>
  </r>
  <r>
    <s v="ORD7014574"/>
    <s v="CUST0173"/>
    <s v="Zomato"/>
    <x v="12"/>
    <d v="1899-12-30T22:06:00"/>
    <x v="0"/>
    <x v="49"/>
    <x v="0"/>
    <n v="277"/>
    <n v="277"/>
    <x v="0"/>
  </r>
  <r>
    <s v="ORD4031676"/>
    <s v="CUST0150"/>
    <s v="Zomato"/>
    <x v="224"/>
    <d v="1899-12-30T19:42:00"/>
    <x v="0"/>
    <x v="52"/>
    <x v="0"/>
    <n v="336"/>
    <n v="336"/>
    <x v="1"/>
  </r>
  <r>
    <s v="ORD6622443"/>
    <s v="CUST0389"/>
    <s v="Direct"/>
    <x v="102"/>
    <d v="1899-12-30T18:20:00"/>
    <x v="0"/>
    <x v="159"/>
    <x v="48"/>
    <n v="219.3"/>
    <n v="258"/>
    <x v="2"/>
  </r>
  <r>
    <s v="ORD8912619"/>
    <s v="CUST0288"/>
    <s v="Zomato"/>
    <x v="33"/>
    <d v="1899-12-30T17:50:00"/>
    <x v="0"/>
    <x v="300"/>
    <x v="0"/>
    <n v="652"/>
    <n v="652"/>
    <x v="0"/>
  </r>
  <r>
    <s v="ORD8177839"/>
    <s v="CUST0362"/>
    <s v="Direct"/>
    <x v="283"/>
    <d v="1899-12-30T18:55:00"/>
    <x v="0"/>
    <x v="37"/>
    <x v="79"/>
    <n v="409.5"/>
    <n v="455"/>
    <x v="1"/>
  </r>
  <r>
    <s v="ORD7465311"/>
    <s v="CUST0287"/>
    <s v="Direct"/>
    <x v="53"/>
    <d v="1899-12-30T15:55:00"/>
    <x v="0"/>
    <x v="83"/>
    <x v="24"/>
    <n v="300.2"/>
    <n v="316"/>
    <x v="2"/>
  </r>
  <r>
    <s v="ORD4496308"/>
    <s v="CUST0044"/>
    <s v="Direct"/>
    <x v="154"/>
    <d v="1899-12-30T20:21:00"/>
    <x v="0"/>
    <x v="406"/>
    <x v="0"/>
    <n v="1250"/>
    <n v="1250"/>
    <x v="1"/>
  </r>
  <r>
    <s v="ORD1865796"/>
    <s v="CUST0168"/>
    <s v="Zomato"/>
    <x v="66"/>
    <d v="1899-12-30T17:24:00"/>
    <x v="0"/>
    <x v="213"/>
    <x v="0"/>
    <n v="247"/>
    <n v="247"/>
    <x v="1"/>
  </r>
  <r>
    <s v="ORD3525628"/>
    <s v="CUST0054"/>
    <s v="Swiggy"/>
    <x v="191"/>
    <d v="1899-12-30T12:14:00"/>
    <x v="0"/>
    <x v="14"/>
    <x v="0"/>
    <n v="445"/>
    <n v="445"/>
    <x v="1"/>
  </r>
  <r>
    <s v="ORD6994969"/>
    <s v="CUST0229"/>
    <s v="Zomato"/>
    <x v="221"/>
    <d v="1899-12-30T16:56:00"/>
    <x v="0"/>
    <x v="231"/>
    <x v="0"/>
    <n v="665"/>
    <n v="665"/>
    <x v="1"/>
  </r>
  <r>
    <s v="ORD9193739"/>
    <s v="CUST0315"/>
    <s v="Direct"/>
    <x v="341"/>
    <d v="1899-12-30T16:32:00"/>
    <x v="0"/>
    <x v="156"/>
    <x v="0"/>
    <n v="298"/>
    <n v="298"/>
    <x v="1"/>
  </r>
  <r>
    <s v="ORD6941510"/>
    <s v="CUST0172"/>
    <s v="Zomato"/>
    <x v="241"/>
    <d v="1899-12-30T20:45:00"/>
    <x v="0"/>
    <x v="124"/>
    <x v="0"/>
    <n v="456"/>
    <n v="456"/>
    <x v="0"/>
  </r>
  <r>
    <s v="ORD5448284"/>
    <s v="CUST0244"/>
    <s v="Zomato"/>
    <x v="355"/>
    <d v="1899-12-30T19:35:00"/>
    <x v="0"/>
    <x v="184"/>
    <x v="0"/>
    <n v="139"/>
    <n v="139"/>
    <x v="1"/>
  </r>
  <r>
    <s v="ORD8905164"/>
    <s v="CUST0046"/>
    <s v="Zomato"/>
    <x v="290"/>
    <d v="1899-12-30T17:19:00"/>
    <x v="0"/>
    <x v="152"/>
    <x v="0"/>
    <n v="595"/>
    <n v="595"/>
    <x v="1"/>
  </r>
  <r>
    <s v="ORD5062907"/>
    <s v="CUST0372"/>
    <s v="Swiggy"/>
    <x v="265"/>
    <d v="1899-12-30T19:22:00"/>
    <x v="0"/>
    <x v="52"/>
    <x v="42"/>
    <n v="302.39999999999998"/>
    <n v="336"/>
    <x v="1"/>
  </r>
  <r>
    <s v="ORD1535053"/>
    <s v="CUST0483"/>
    <s v="Zomato"/>
    <x v="15"/>
    <d v="1899-12-30T01:08:00"/>
    <x v="0"/>
    <x v="277"/>
    <x v="0"/>
    <n v="506"/>
    <n v="506"/>
    <x v="1"/>
  </r>
  <r>
    <s v="ORD9419884"/>
    <s v="CUST0308"/>
    <s v="Swiggy"/>
    <x v="136"/>
    <d v="1899-12-30T10:05:00"/>
    <x v="0"/>
    <x v="14"/>
    <x v="0"/>
    <n v="445"/>
    <n v="445"/>
    <x v="0"/>
  </r>
  <r>
    <s v="ORD6140751"/>
    <s v="CUST0219"/>
    <s v="Zomato"/>
    <x v="280"/>
    <d v="1899-12-30T13:25:00"/>
    <x v="0"/>
    <x v="31"/>
    <x v="18"/>
    <n v="347.4"/>
    <n v="386"/>
    <x v="1"/>
  </r>
  <r>
    <s v="ORD7432383"/>
    <s v="CUST0299"/>
    <s v="Zomato"/>
    <x v="61"/>
    <d v="1899-12-30T19:46:00"/>
    <x v="0"/>
    <x v="238"/>
    <x v="308"/>
    <n v="865.45"/>
    <n v="911"/>
    <x v="1"/>
  </r>
  <r>
    <s v="ORD4027962"/>
    <s v="CUST0119"/>
    <s v="Zomato"/>
    <x v="62"/>
    <d v="1899-12-30T17:44:00"/>
    <x v="0"/>
    <x v="79"/>
    <x v="0"/>
    <n v="674"/>
    <n v="674"/>
    <x v="1"/>
  </r>
  <r>
    <s v="ORD4628600"/>
    <s v="CUST0029"/>
    <s v="Zomato"/>
    <x v="25"/>
    <d v="1899-12-30T10:16:00"/>
    <x v="0"/>
    <x v="2"/>
    <x v="16"/>
    <n v="338.2"/>
    <n v="356"/>
    <x v="1"/>
  </r>
  <r>
    <s v="ORD6020284"/>
    <s v="CUST0086"/>
    <s v="Zomato"/>
    <x v="118"/>
    <d v="1899-12-30T23:21:00"/>
    <x v="0"/>
    <x v="407"/>
    <x v="0"/>
    <n v="1047"/>
    <n v="1047"/>
    <x v="0"/>
  </r>
  <r>
    <s v="ORD7816369"/>
    <s v="CUST0276"/>
    <s v="Direct"/>
    <x v="152"/>
    <d v="1899-12-30T18:05:00"/>
    <x v="0"/>
    <x v="264"/>
    <x v="309"/>
    <n v="273.60000000000002"/>
    <n v="288"/>
    <x v="1"/>
  </r>
  <r>
    <s v="ORD9625447"/>
    <s v="CUST0005"/>
    <s v="Zomato"/>
    <x v="243"/>
    <d v="1899-12-30T21:12:00"/>
    <x v="0"/>
    <x v="89"/>
    <x v="310"/>
    <n v="375.25"/>
    <n v="395"/>
    <x v="2"/>
  </r>
  <r>
    <s v="ORD2995270"/>
    <s v="CUST0327"/>
    <s v="Zomato"/>
    <x v="71"/>
    <d v="1899-12-30T23:23:00"/>
    <x v="0"/>
    <x v="52"/>
    <x v="0"/>
    <n v="336"/>
    <n v="336"/>
    <x v="1"/>
  </r>
  <r>
    <s v="ORD9704510"/>
    <s v="CUST0193"/>
    <s v="Zomato"/>
    <x v="94"/>
    <d v="1899-12-30T17:35:00"/>
    <x v="0"/>
    <x v="1"/>
    <x v="0"/>
    <n v="238"/>
    <n v="238"/>
    <x v="1"/>
  </r>
  <r>
    <s v="ORD1688743"/>
    <s v="CUST0281"/>
    <s v="Direct"/>
    <x v="27"/>
    <d v="1899-12-30T20:05:00"/>
    <x v="0"/>
    <x v="408"/>
    <x v="0"/>
    <n v="901"/>
    <n v="901"/>
    <x v="0"/>
  </r>
  <r>
    <s v="ORD5062815"/>
    <s v="CUST0238"/>
    <s v="Swiggy"/>
    <x v="93"/>
    <d v="1899-12-30T18:36:00"/>
    <x v="0"/>
    <x v="195"/>
    <x v="0"/>
    <n v="495"/>
    <n v="495"/>
    <x v="0"/>
  </r>
  <r>
    <s v="ORD4284596"/>
    <s v="CUST0329"/>
    <s v="Zomato"/>
    <x v="176"/>
    <d v="1899-12-30T18:56:00"/>
    <x v="0"/>
    <x v="213"/>
    <x v="0"/>
    <n v="247"/>
    <n v="247"/>
    <x v="1"/>
  </r>
  <r>
    <s v="ORD6084824"/>
    <s v="CUST0185"/>
    <s v="Swiggy"/>
    <x v="340"/>
    <d v="1899-12-30T21:26:00"/>
    <x v="0"/>
    <x v="22"/>
    <x v="0"/>
    <n v="346"/>
    <n v="346"/>
    <x v="2"/>
  </r>
  <r>
    <s v="ORD2648873"/>
    <s v="CUST0095"/>
    <s v="Swiggy"/>
    <x v="256"/>
    <d v="1899-12-30T20:47:00"/>
    <x v="0"/>
    <x v="1"/>
    <x v="0"/>
    <n v="238"/>
    <n v="238"/>
    <x v="0"/>
  </r>
  <r>
    <s v="ORD7416366"/>
    <s v="CUST0215"/>
    <s v="Direct"/>
    <x v="86"/>
    <d v="1899-12-30T10:01:00"/>
    <x v="0"/>
    <x v="205"/>
    <x v="311"/>
    <n v="623.04999999999995"/>
    <n v="733"/>
    <x v="1"/>
  </r>
  <r>
    <s v="ORD9446620"/>
    <s v="CUST0275"/>
    <s v="Zomato"/>
    <x v="171"/>
    <d v="1899-12-30T10:25:00"/>
    <x v="0"/>
    <x v="70"/>
    <x v="0"/>
    <n v="317"/>
    <n v="317"/>
    <x v="0"/>
  </r>
  <r>
    <s v="ORD1511319"/>
    <s v="CUST0196"/>
    <s v="Direct"/>
    <x v="358"/>
    <d v="1899-12-30T00:49:00"/>
    <x v="0"/>
    <x v="291"/>
    <x v="312"/>
    <n v="660.25"/>
    <n v="695"/>
    <x v="1"/>
  </r>
  <r>
    <s v="ORD6900463"/>
    <s v="CUST0410"/>
    <s v="Swiggy"/>
    <x v="8"/>
    <d v="1899-12-30T17:42:00"/>
    <x v="0"/>
    <x v="159"/>
    <x v="282"/>
    <n v="245.1"/>
    <n v="258"/>
    <x v="1"/>
  </r>
  <r>
    <s v="ORD3161205"/>
    <s v="CUST0174"/>
    <s v="Swiggy"/>
    <x v="91"/>
    <d v="1899-12-30T13:35:00"/>
    <x v="0"/>
    <x v="21"/>
    <x v="0"/>
    <n v="435"/>
    <n v="435"/>
    <x v="1"/>
  </r>
  <r>
    <s v="ORD9657185"/>
    <s v="CUST0362"/>
    <s v="Direct"/>
    <x v="31"/>
    <d v="1899-12-30T01:01:00"/>
    <x v="0"/>
    <x v="48"/>
    <x v="313"/>
    <n v="84.55"/>
    <n v="89"/>
    <x v="1"/>
  </r>
  <r>
    <s v="ORD7016513"/>
    <s v="CUST0007"/>
    <s v="Zomato"/>
    <x v="285"/>
    <d v="1899-12-30T11:16:00"/>
    <x v="0"/>
    <x v="409"/>
    <x v="314"/>
    <n v="621.35"/>
    <n v="731"/>
    <x v="0"/>
  </r>
  <r>
    <s v="ORD5355118"/>
    <s v="CUST0201"/>
    <s v="Direct"/>
    <x v="194"/>
    <d v="1899-12-30T18:27:00"/>
    <x v="0"/>
    <x v="39"/>
    <x v="0"/>
    <n v="79"/>
    <n v="79"/>
    <x v="1"/>
  </r>
  <r>
    <s v="ORD9563936"/>
    <s v="CUST0252"/>
    <s v="Swiggy"/>
    <x v="239"/>
    <d v="1899-12-30T20:35:00"/>
    <x v="0"/>
    <x v="410"/>
    <x v="0"/>
    <n v="472"/>
    <n v="472"/>
    <x v="0"/>
  </r>
  <r>
    <s v="ORD1386380"/>
    <s v="CUST0454"/>
    <s v="Direct"/>
    <x v="253"/>
    <d v="1899-12-30T21:08:00"/>
    <x v="0"/>
    <x v="58"/>
    <x v="0"/>
    <n v="772"/>
    <n v="772"/>
    <x v="2"/>
  </r>
  <r>
    <s v="ORD6524250"/>
    <s v="CUST0261"/>
    <s v="Zomato"/>
    <x v="161"/>
    <d v="1899-12-30T16:13:00"/>
    <x v="0"/>
    <x v="411"/>
    <x v="295"/>
    <n v="980.4"/>
    <n v="1032"/>
    <x v="1"/>
  </r>
  <r>
    <s v="ORD3047411"/>
    <s v="CUST0302"/>
    <s v="Swiggy"/>
    <x v="71"/>
    <d v="1899-12-30T18:04:00"/>
    <x v="0"/>
    <x v="47"/>
    <x v="13"/>
    <n v="188.1"/>
    <n v="198"/>
    <x v="2"/>
  </r>
  <r>
    <s v="ORD6559653"/>
    <s v="CUST0111"/>
    <s v="Swiggy"/>
    <x v="27"/>
    <d v="1899-12-30T15:30:00"/>
    <x v="0"/>
    <x v="333"/>
    <x v="0"/>
    <n v="606"/>
    <n v="606"/>
    <x v="2"/>
  </r>
  <r>
    <s v="ORD6565483"/>
    <s v="CUST0395"/>
    <s v="Zomato"/>
    <x v="102"/>
    <d v="1899-12-30T23:47:00"/>
    <x v="0"/>
    <x v="170"/>
    <x v="154"/>
    <n v="488.3"/>
    <n v="514"/>
    <x v="1"/>
  </r>
  <r>
    <s v="ORD2858631"/>
    <s v="CUST0001"/>
    <s v="Swiggy"/>
    <x v="314"/>
    <d v="1899-12-30T20:57:00"/>
    <x v="0"/>
    <x v="49"/>
    <x v="0"/>
    <n v="277"/>
    <n v="277"/>
    <x v="0"/>
  </r>
  <r>
    <s v="ORD9308229"/>
    <s v="CUST0465"/>
    <s v="Zomato"/>
    <x v="96"/>
    <d v="1899-12-30T19:31:00"/>
    <x v="0"/>
    <x v="39"/>
    <x v="0"/>
    <n v="79"/>
    <n v="79"/>
    <x v="2"/>
  </r>
  <r>
    <s v="ORD8968236"/>
    <s v="CUST0167"/>
    <s v="Swiggy"/>
    <x v="167"/>
    <d v="1899-12-30T13:36:00"/>
    <x v="0"/>
    <x v="137"/>
    <x v="0"/>
    <n v="397"/>
    <n v="397"/>
    <x v="1"/>
  </r>
  <r>
    <s v="ORD9196420"/>
    <s v="CUST0082"/>
    <s v="Direct"/>
    <x v="86"/>
    <d v="1899-12-30T00:40:00"/>
    <x v="0"/>
    <x v="236"/>
    <x v="0"/>
    <n v="812"/>
    <n v="812"/>
    <x v="1"/>
  </r>
  <r>
    <s v="ORD2976629"/>
    <s v="CUST0166"/>
    <s v="Swiggy"/>
    <x v="57"/>
    <d v="1899-12-30T15:28:00"/>
    <x v="1"/>
    <x v="412"/>
    <x v="0"/>
    <n v="0"/>
    <n v="365"/>
    <x v="0"/>
  </r>
  <r>
    <s v="ORD8159977"/>
    <s v="CUST0207"/>
    <s v="Zomato"/>
    <x v="95"/>
    <d v="1899-12-30T16:39:00"/>
    <x v="0"/>
    <x v="58"/>
    <x v="0"/>
    <n v="772"/>
    <n v="772"/>
    <x v="2"/>
  </r>
  <r>
    <s v="ORD3604390"/>
    <s v="CUST0295"/>
    <s v="Zomato"/>
    <x v="261"/>
    <d v="1899-12-30T21:20:00"/>
    <x v="0"/>
    <x v="391"/>
    <x v="315"/>
    <n v="802.8"/>
    <n v="892"/>
    <x v="1"/>
  </r>
  <r>
    <s v="ORD1827363"/>
    <s v="CUST0131"/>
    <s v="Zomato"/>
    <x v="0"/>
    <d v="1899-12-30T20:49:00"/>
    <x v="0"/>
    <x v="186"/>
    <x v="0"/>
    <n v="614"/>
    <n v="614"/>
    <x v="0"/>
  </r>
  <r>
    <s v="ORD7714998"/>
    <s v="CUST0452"/>
    <s v="Swiggy"/>
    <x v="167"/>
    <d v="1899-12-30T14:50:00"/>
    <x v="0"/>
    <x v="39"/>
    <x v="0"/>
    <n v="79"/>
    <n v="79"/>
    <x v="0"/>
  </r>
  <r>
    <s v="ORD8338663"/>
    <s v="CUST0202"/>
    <s v="Zomato"/>
    <x v="130"/>
    <d v="1899-12-30T17:57:00"/>
    <x v="0"/>
    <x v="162"/>
    <x v="0"/>
    <n v="565"/>
    <n v="565"/>
    <x v="1"/>
  </r>
  <r>
    <s v="ORD3569548"/>
    <s v="CUST0055"/>
    <s v="Swiggy"/>
    <x v="75"/>
    <d v="1899-12-30T20:04:00"/>
    <x v="0"/>
    <x v="413"/>
    <x v="0"/>
    <n v="1300"/>
    <n v="1300"/>
    <x v="0"/>
  </r>
  <r>
    <s v="ORD5125519"/>
    <s v="CUST0337"/>
    <s v="Zomato"/>
    <x v="52"/>
    <d v="1899-12-30T01:53:00"/>
    <x v="0"/>
    <x v="97"/>
    <x v="0"/>
    <n v="357"/>
    <n v="357"/>
    <x v="1"/>
  </r>
  <r>
    <s v="ORD7634113"/>
    <s v="CUST0263"/>
    <s v="Zomato"/>
    <x v="232"/>
    <d v="1899-12-30T19:41:00"/>
    <x v="0"/>
    <x v="77"/>
    <x v="316"/>
    <n v="759.9"/>
    <n v="894"/>
    <x v="0"/>
  </r>
  <r>
    <s v="ORD7285488"/>
    <s v="CUST0034"/>
    <s v="Zomato"/>
    <x v="183"/>
    <d v="1899-12-30T00:32:00"/>
    <x v="0"/>
    <x v="156"/>
    <x v="0"/>
    <n v="298"/>
    <n v="298"/>
    <x v="1"/>
  </r>
  <r>
    <s v="ORD8204875"/>
    <s v="CUST0106"/>
    <s v="Swiggy"/>
    <x v="94"/>
    <d v="1899-12-30T17:21:00"/>
    <x v="0"/>
    <x v="12"/>
    <x v="0"/>
    <n v="476"/>
    <n v="476"/>
    <x v="1"/>
  </r>
  <r>
    <s v="ORD1615730"/>
    <s v="CUST0195"/>
    <s v="Swiggy"/>
    <x v="112"/>
    <d v="1899-12-30T19:22:00"/>
    <x v="0"/>
    <x v="135"/>
    <x v="129"/>
    <n v="106.2"/>
    <n v="118"/>
    <x v="1"/>
  </r>
  <r>
    <s v="ORD8246236"/>
    <s v="CUST0157"/>
    <s v="Zomato"/>
    <x v="56"/>
    <d v="1899-12-30T01:53:00"/>
    <x v="0"/>
    <x v="97"/>
    <x v="0"/>
    <n v="357"/>
    <n v="357"/>
    <x v="1"/>
  </r>
  <r>
    <s v="ORD1902080"/>
    <s v="CUST0314"/>
    <s v="Direct"/>
    <x v="259"/>
    <d v="1899-12-30T13:49:00"/>
    <x v="0"/>
    <x v="83"/>
    <x v="113"/>
    <n v="284.39999999999998"/>
    <n v="316"/>
    <x v="0"/>
  </r>
  <r>
    <s v="ORD6587247"/>
    <s v="CUST0025"/>
    <s v="Zomato"/>
    <x v="7"/>
    <d v="1899-12-30T16:42:00"/>
    <x v="0"/>
    <x v="293"/>
    <x v="0"/>
    <n v="437"/>
    <n v="437"/>
    <x v="1"/>
  </r>
  <r>
    <s v="ORD7128421"/>
    <s v="CUST0069"/>
    <s v="Zomato"/>
    <x v="316"/>
    <d v="1899-12-30T23:30:00"/>
    <x v="0"/>
    <x v="300"/>
    <x v="317"/>
    <n v="586.79999999999995"/>
    <n v="652"/>
    <x v="1"/>
  </r>
  <r>
    <s v="ORD6269284"/>
    <s v="CUST0110"/>
    <s v="Swiggy"/>
    <x v="96"/>
    <d v="1899-12-30T14:29:00"/>
    <x v="0"/>
    <x v="49"/>
    <x v="0"/>
    <n v="277"/>
    <n v="277"/>
    <x v="1"/>
  </r>
  <r>
    <s v="ORD9183911"/>
    <s v="CUST0383"/>
    <s v="Swiggy"/>
    <x v="223"/>
    <d v="1899-12-30T18:31:00"/>
    <x v="0"/>
    <x v="414"/>
    <x v="0"/>
    <n v="850"/>
    <n v="850"/>
    <x v="2"/>
  </r>
  <r>
    <s v="ORD6065908"/>
    <s v="CUST0336"/>
    <s v="Swiggy"/>
    <x v="108"/>
    <d v="1899-12-30T21:47:00"/>
    <x v="0"/>
    <x v="39"/>
    <x v="0"/>
    <n v="79"/>
    <n v="79"/>
    <x v="1"/>
  </r>
  <r>
    <s v="ORD9266135"/>
    <s v="CUST0050"/>
    <s v="Zomato"/>
    <x v="7"/>
    <d v="1899-12-30T01:45:00"/>
    <x v="1"/>
    <x v="50"/>
    <x v="13"/>
    <n v="0"/>
    <n v="99"/>
    <x v="1"/>
  </r>
  <r>
    <s v="ORD9693979"/>
    <s v="CUST0175"/>
    <s v="Direct"/>
    <x v="126"/>
    <d v="1899-12-30T18:36:00"/>
    <x v="0"/>
    <x v="188"/>
    <x v="157"/>
    <n v="210.8"/>
    <n v="248"/>
    <x v="2"/>
  </r>
  <r>
    <s v="ORD1524116"/>
    <s v="CUST0179"/>
    <s v="Swiggy"/>
    <x v="83"/>
    <d v="1899-12-30T16:29:00"/>
    <x v="0"/>
    <x v="186"/>
    <x v="0"/>
    <n v="614"/>
    <n v="614"/>
    <x v="1"/>
  </r>
  <r>
    <s v="ORD7675125"/>
    <s v="CUST0161"/>
    <s v="Swiggy"/>
    <x v="222"/>
    <d v="1899-12-30T20:20:00"/>
    <x v="0"/>
    <x v="47"/>
    <x v="0"/>
    <n v="198"/>
    <n v="198"/>
    <x v="2"/>
  </r>
  <r>
    <s v="ORD5194080"/>
    <s v="CUST0228"/>
    <s v="Zomato"/>
    <x v="136"/>
    <d v="1899-12-30T00:27:00"/>
    <x v="0"/>
    <x v="81"/>
    <x v="28"/>
    <n v="704.9"/>
    <n v="742"/>
    <x v="1"/>
  </r>
  <r>
    <s v="ORD4866878"/>
    <s v="CUST0044"/>
    <s v="Direct"/>
    <x v="106"/>
    <d v="1899-12-30T18:49:00"/>
    <x v="0"/>
    <x v="415"/>
    <x v="0"/>
    <n v="1121"/>
    <n v="1121"/>
    <x v="1"/>
  </r>
  <r>
    <s v="ORD7946545"/>
    <s v="CUST0116"/>
    <s v="Zomato"/>
    <x v="115"/>
    <d v="1899-12-30T21:59:00"/>
    <x v="0"/>
    <x v="108"/>
    <x v="0"/>
    <n v="771"/>
    <n v="771"/>
    <x v="1"/>
  </r>
  <r>
    <s v="ORD7110350"/>
    <s v="CUST0370"/>
    <s v="Zomato"/>
    <x v="61"/>
    <d v="1899-12-30T22:43:00"/>
    <x v="0"/>
    <x v="416"/>
    <x v="0"/>
    <n v="1288"/>
    <n v="1288"/>
    <x v="2"/>
  </r>
  <r>
    <s v="ORD3373815"/>
    <s v="CUST0399"/>
    <s v="Swiggy"/>
    <x v="129"/>
    <d v="1899-12-30T13:45:00"/>
    <x v="0"/>
    <x v="182"/>
    <x v="318"/>
    <n v="487.9"/>
    <n v="574"/>
    <x v="1"/>
  </r>
  <r>
    <s v="ORD2815385"/>
    <s v="CUST0194"/>
    <s v="Zomato"/>
    <x v="253"/>
    <d v="1899-12-30T17:51:00"/>
    <x v="1"/>
    <x v="417"/>
    <x v="0"/>
    <n v="0"/>
    <n v="1242"/>
    <x v="2"/>
  </r>
  <r>
    <s v="ORD5577636"/>
    <s v="CUST0136"/>
    <s v="Swiggy"/>
    <x v="348"/>
    <d v="1899-12-30T18:28:00"/>
    <x v="0"/>
    <x v="143"/>
    <x v="0"/>
    <n v="833"/>
    <n v="833"/>
    <x v="1"/>
  </r>
  <r>
    <s v="ORD8552187"/>
    <s v="CUST0110"/>
    <s v="Zomato"/>
    <x v="136"/>
    <d v="1899-12-30T14:05:00"/>
    <x v="0"/>
    <x v="145"/>
    <x v="0"/>
    <n v="197"/>
    <n v="197"/>
    <x v="1"/>
  </r>
  <r>
    <s v="ORD8194732"/>
    <s v="CUST0429"/>
    <s v="Direct"/>
    <x v="201"/>
    <d v="1899-12-30T12:28:00"/>
    <x v="0"/>
    <x v="106"/>
    <x v="47"/>
    <n v="339.3"/>
    <n v="377"/>
    <x v="1"/>
  </r>
  <r>
    <s v="ORD4327362"/>
    <s v="CUST0339"/>
    <s v="Swiggy"/>
    <x v="317"/>
    <d v="1899-12-30T16:16:00"/>
    <x v="0"/>
    <x v="6"/>
    <x v="0"/>
    <n v="158"/>
    <n v="158"/>
    <x v="0"/>
  </r>
  <r>
    <s v="ORD7625199"/>
    <s v="CUST0247"/>
    <s v="Direct"/>
    <x v="146"/>
    <d v="1899-12-30T16:32:00"/>
    <x v="0"/>
    <x v="15"/>
    <x v="0"/>
    <n v="308"/>
    <n v="308"/>
    <x v="1"/>
  </r>
  <r>
    <s v="ORD7260863"/>
    <s v="CUST0239"/>
    <s v="Zomato"/>
    <x v="212"/>
    <d v="1899-12-30T12:49:00"/>
    <x v="0"/>
    <x v="43"/>
    <x v="0"/>
    <n v="149"/>
    <n v="149"/>
    <x v="1"/>
  </r>
  <r>
    <s v="ORD9659485"/>
    <s v="CUST0280"/>
    <s v="Swiggy"/>
    <x v="91"/>
    <d v="1899-12-30T16:18:00"/>
    <x v="0"/>
    <x v="44"/>
    <x v="0"/>
    <n v="663"/>
    <n v="663"/>
    <x v="2"/>
  </r>
  <r>
    <s v="ORD8204131"/>
    <s v="CUST0206"/>
    <s v="Zomato"/>
    <x v="134"/>
    <d v="1899-12-30T18:50:00"/>
    <x v="0"/>
    <x v="62"/>
    <x v="0"/>
    <n v="417"/>
    <n v="417"/>
    <x v="1"/>
  </r>
  <r>
    <s v="ORD1556841"/>
    <s v="CUST0467"/>
    <s v="Zomato"/>
    <x v="123"/>
    <d v="1899-12-30T15:50:00"/>
    <x v="0"/>
    <x v="418"/>
    <x v="0"/>
    <n v="1321"/>
    <n v="1321"/>
    <x v="1"/>
  </r>
  <r>
    <s v="ORD7270714"/>
    <s v="CUST0036"/>
    <s v="Swiggy"/>
    <x v="14"/>
    <d v="1899-12-30T10:35:00"/>
    <x v="0"/>
    <x v="178"/>
    <x v="0"/>
    <n v="583"/>
    <n v="583"/>
    <x v="0"/>
  </r>
  <r>
    <s v="ORD7676881"/>
    <s v="CUST0128"/>
    <s v="Swiggy"/>
    <x v="91"/>
    <d v="1899-12-30T10:38:00"/>
    <x v="0"/>
    <x v="419"/>
    <x v="0"/>
    <n v="306"/>
    <n v="306"/>
    <x v="1"/>
  </r>
  <r>
    <s v="ORD1175565"/>
    <s v="CUST0406"/>
    <s v="Zomato"/>
    <x v="276"/>
    <d v="1899-12-30T22:23:00"/>
    <x v="0"/>
    <x v="186"/>
    <x v="0"/>
    <n v="614"/>
    <n v="614"/>
    <x v="1"/>
  </r>
  <r>
    <s v="ORD2417020"/>
    <s v="CUST0454"/>
    <s v="Swiggy"/>
    <x v="251"/>
    <d v="1899-12-30T19:15:00"/>
    <x v="0"/>
    <x v="191"/>
    <x v="0"/>
    <n v="257"/>
    <n v="257"/>
    <x v="2"/>
  </r>
  <r>
    <s v="ORD2483561"/>
    <s v="CUST0025"/>
    <s v="Direct"/>
    <x v="276"/>
    <d v="1899-12-30T16:19:00"/>
    <x v="0"/>
    <x v="420"/>
    <x v="0"/>
    <n v="703"/>
    <n v="703"/>
    <x v="1"/>
  </r>
  <r>
    <s v="ORD2366435"/>
    <s v="CUST0253"/>
    <s v="Direct"/>
    <x v="101"/>
    <d v="1899-12-30T22:06:00"/>
    <x v="0"/>
    <x v="296"/>
    <x v="319"/>
    <n v="876.35"/>
    <n v="1031"/>
    <x v="2"/>
  </r>
  <r>
    <s v="ORD6381462"/>
    <s v="CUST0277"/>
    <s v="Swiggy"/>
    <x v="278"/>
    <d v="1899-12-30T19:16:00"/>
    <x v="0"/>
    <x v="190"/>
    <x v="0"/>
    <n v="475"/>
    <n v="475"/>
    <x v="1"/>
  </r>
  <r>
    <s v="ORD5694522"/>
    <s v="CUST0032"/>
    <s v="Zomato"/>
    <x v="359"/>
    <d v="1899-12-30T15:54:00"/>
    <x v="0"/>
    <x v="124"/>
    <x v="242"/>
    <n v="410.4"/>
    <n v="456"/>
    <x v="1"/>
  </r>
  <r>
    <s v="ORD8925877"/>
    <s v="CUST0041"/>
    <s v="Swiggy"/>
    <x v="263"/>
    <d v="1899-12-30T12:53:00"/>
    <x v="0"/>
    <x v="39"/>
    <x v="0"/>
    <n v="79"/>
    <n v="79"/>
    <x v="1"/>
  </r>
  <r>
    <s v="ORD9386469"/>
    <s v="CUST0468"/>
    <s v="Swiggy"/>
    <x v="33"/>
    <d v="1899-12-30T22:21:00"/>
    <x v="0"/>
    <x v="265"/>
    <x v="0"/>
    <n v="446"/>
    <n v="446"/>
    <x v="2"/>
  </r>
  <r>
    <s v="ORD7493063"/>
    <s v="CUST0048"/>
    <s v="Direct"/>
    <x v="154"/>
    <d v="1899-12-30T10:34:00"/>
    <x v="0"/>
    <x v="421"/>
    <x v="0"/>
    <n v="1160"/>
    <n v="1160"/>
    <x v="0"/>
  </r>
  <r>
    <s v="ORD8929859"/>
    <s v="CUST0056"/>
    <s v="Zomato"/>
    <x v="312"/>
    <d v="1899-12-30T16:06:00"/>
    <x v="0"/>
    <x v="265"/>
    <x v="0"/>
    <n v="446"/>
    <n v="446"/>
    <x v="2"/>
  </r>
  <r>
    <s v="ORD4524697"/>
    <s v="CUST0199"/>
    <s v="Swiggy"/>
    <x v="31"/>
    <d v="1899-12-30T11:10:00"/>
    <x v="0"/>
    <x v="258"/>
    <x v="320"/>
    <n v="125.8"/>
    <n v="148"/>
    <x v="1"/>
  </r>
  <r>
    <s v="ORD1191390"/>
    <s v="CUST0179"/>
    <s v="Swiggy"/>
    <x v="111"/>
    <d v="1899-12-30T23:54:00"/>
    <x v="0"/>
    <x v="151"/>
    <x v="0"/>
    <n v="596"/>
    <n v="596"/>
    <x v="1"/>
  </r>
  <r>
    <s v="ORD8991958"/>
    <s v="CUST0068"/>
    <s v="Direct"/>
    <x v="320"/>
    <d v="1899-12-30T17:33:00"/>
    <x v="0"/>
    <x v="33"/>
    <x v="41"/>
    <n v="207.1"/>
    <n v="218"/>
    <x v="0"/>
  </r>
  <r>
    <s v="ORD7312402"/>
    <s v="CUST0423"/>
    <s v="Zomato"/>
    <x v="165"/>
    <d v="1899-12-30T20:57:00"/>
    <x v="0"/>
    <x v="143"/>
    <x v="321"/>
    <n v="791.35"/>
    <n v="833"/>
    <x v="1"/>
  </r>
  <r>
    <s v="ORD8037085"/>
    <s v="CUST0064"/>
    <s v="Zomato"/>
    <x v="48"/>
    <d v="1899-12-30T17:22:00"/>
    <x v="0"/>
    <x v="224"/>
    <x v="0"/>
    <n v="633"/>
    <n v="633"/>
    <x v="0"/>
  </r>
  <r>
    <s v="ORD3400778"/>
    <s v="CUST0124"/>
    <s v="Zomato"/>
    <x v="23"/>
    <d v="1899-12-30T21:49:00"/>
    <x v="0"/>
    <x v="299"/>
    <x v="0"/>
    <n v="880"/>
    <n v="880"/>
    <x v="0"/>
  </r>
  <r>
    <s v="ORD1038690"/>
    <s v="CUST0117"/>
    <s v="Swiggy"/>
    <x v="15"/>
    <d v="1899-12-30T18:45:00"/>
    <x v="0"/>
    <x v="154"/>
    <x v="275"/>
    <n v="481.5"/>
    <n v="535"/>
    <x v="2"/>
  </r>
  <r>
    <s v="ORD1553753"/>
    <s v="CUST0367"/>
    <s v="Swiggy"/>
    <x v="176"/>
    <d v="1899-12-30T17:30:00"/>
    <x v="0"/>
    <x v="283"/>
    <x v="0"/>
    <n v="653"/>
    <n v="653"/>
    <x v="1"/>
  </r>
  <r>
    <s v="ORD7075197"/>
    <s v="CUST0006"/>
    <s v="Zomato"/>
    <x v="179"/>
    <d v="1899-12-30T23:50:00"/>
    <x v="0"/>
    <x v="82"/>
    <x v="0"/>
    <n v="554"/>
    <n v="554"/>
    <x v="1"/>
  </r>
  <r>
    <s v="ORD8493210"/>
    <s v="CUST0272"/>
    <s v="Swiggy"/>
    <x v="164"/>
    <d v="1899-12-30T19:35:00"/>
    <x v="0"/>
    <x v="94"/>
    <x v="0"/>
    <n v="694"/>
    <n v="694"/>
    <x v="1"/>
  </r>
  <r>
    <s v="ORD6469850"/>
    <s v="CUST0462"/>
    <s v="Direct"/>
    <x v="128"/>
    <d v="1899-12-30T19:02:00"/>
    <x v="0"/>
    <x v="216"/>
    <x v="307"/>
    <n v="266.39999999999998"/>
    <n v="296"/>
    <x v="1"/>
  </r>
  <r>
    <s v="ORD4405484"/>
    <s v="CUST0454"/>
    <s v="Swiggy"/>
    <x v="79"/>
    <d v="1899-12-30T11:58:00"/>
    <x v="0"/>
    <x v="5"/>
    <x v="0"/>
    <n v="188"/>
    <n v="188"/>
    <x v="2"/>
  </r>
  <r>
    <s v="ORD8165721"/>
    <s v="CUST0159"/>
    <s v="Zomato"/>
    <x v="311"/>
    <d v="1899-12-30T00:25:00"/>
    <x v="0"/>
    <x v="122"/>
    <x v="75"/>
    <n v="471.2"/>
    <n v="496"/>
    <x v="1"/>
  </r>
  <r>
    <s v="ORD3517639"/>
    <s v="CUST0174"/>
    <s v="Swiggy"/>
    <x v="209"/>
    <d v="1899-12-30T19:19:00"/>
    <x v="0"/>
    <x v="124"/>
    <x v="0"/>
    <n v="456"/>
    <n v="456"/>
    <x v="1"/>
  </r>
  <r>
    <s v="ORD9359905"/>
    <s v="CUST0204"/>
    <s v="Zomato"/>
    <x v="98"/>
    <d v="1899-12-30T18:04:00"/>
    <x v="1"/>
    <x v="122"/>
    <x v="0"/>
    <n v="0"/>
    <n v="496"/>
    <x v="1"/>
  </r>
  <r>
    <s v="ORD3870871"/>
    <s v="CUST0400"/>
    <s v="Zomato"/>
    <x v="307"/>
    <d v="1899-12-30T21:01:00"/>
    <x v="0"/>
    <x v="63"/>
    <x v="0"/>
    <n v="635"/>
    <n v="635"/>
    <x v="1"/>
  </r>
  <r>
    <s v="ORD4164842"/>
    <s v="CUST0478"/>
    <s v="Direct"/>
    <x v="45"/>
    <d v="1899-12-30T21:34:00"/>
    <x v="0"/>
    <x v="6"/>
    <x v="0"/>
    <n v="158"/>
    <n v="158"/>
    <x v="1"/>
  </r>
  <r>
    <s v="ORD1175585"/>
    <s v="CUST0274"/>
    <s v="Swiggy"/>
    <x v="169"/>
    <d v="1899-12-30T12:25:00"/>
    <x v="0"/>
    <x v="35"/>
    <x v="0"/>
    <n v="119"/>
    <n v="119"/>
    <x v="1"/>
  </r>
  <r>
    <s v="ORD9917509"/>
    <s v="CUST0039"/>
    <s v="Zomato"/>
    <x v="14"/>
    <d v="1899-12-30T19:31:00"/>
    <x v="0"/>
    <x v="1"/>
    <x v="0"/>
    <n v="238"/>
    <n v="238"/>
    <x v="0"/>
  </r>
  <r>
    <s v="ORD3166384"/>
    <s v="CUST0068"/>
    <s v="Zomato"/>
    <x v="79"/>
    <d v="1899-12-30T19:42:00"/>
    <x v="0"/>
    <x v="50"/>
    <x v="322"/>
    <n v="94.05"/>
    <n v="99"/>
    <x v="0"/>
  </r>
  <r>
    <s v="ORD8549131"/>
    <s v="CUST0117"/>
    <s v="Swiggy"/>
    <x v="110"/>
    <d v="1899-12-30T11:15:00"/>
    <x v="0"/>
    <x v="422"/>
    <x v="323"/>
    <n v="652.5"/>
    <n v="725"/>
    <x v="2"/>
  </r>
  <r>
    <s v="ORD8442905"/>
    <s v="CUST0432"/>
    <s v="Zomato"/>
    <x v="354"/>
    <d v="1899-12-30T10:27:00"/>
    <x v="0"/>
    <x v="52"/>
    <x v="0"/>
    <n v="336"/>
    <n v="336"/>
    <x v="0"/>
  </r>
  <r>
    <s v="ORD8847442"/>
    <s v="CUST0094"/>
    <s v="Zomato"/>
    <x v="158"/>
    <d v="1899-12-30T13:58:00"/>
    <x v="0"/>
    <x v="122"/>
    <x v="0"/>
    <n v="496"/>
    <n v="496"/>
    <x v="0"/>
  </r>
  <r>
    <s v="ORD8285393"/>
    <s v="CUST0231"/>
    <s v="Zomato"/>
    <x v="173"/>
    <d v="1899-12-30T22:46:00"/>
    <x v="0"/>
    <x v="54"/>
    <x v="0"/>
    <n v="178"/>
    <n v="178"/>
    <x v="0"/>
  </r>
  <r>
    <s v="ORD7314805"/>
    <s v="CUST0254"/>
    <s v="Zomato"/>
    <x v="270"/>
    <d v="1899-12-30T19:33:00"/>
    <x v="0"/>
    <x v="145"/>
    <x v="0"/>
    <n v="197"/>
    <n v="197"/>
    <x v="2"/>
  </r>
  <r>
    <s v="ORD4798268"/>
    <s v="CUST0469"/>
    <s v="Swiggy"/>
    <x v="348"/>
    <d v="1899-12-30T17:39:00"/>
    <x v="0"/>
    <x v="423"/>
    <x v="0"/>
    <n v="1270"/>
    <n v="1270"/>
    <x v="1"/>
  </r>
  <r>
    <s v="ORD4826119"/>
    <s v="CUST0358"/>
    <s v="Zomato"/>
    <x v="49"/>
    <d v="1899-12-30T16:26:00"/>
    <x v="0"/>
    <x v="28"/>
    <x v="0"/>
    <n v="366"/>
    <n v="366"/>
    <x v="1"/>
  </r>
  <r>
    <s v="ORD7922134"/>
    <s v="CUST0473"/>
    <s v="Zomato"/>
    <x v="272"/>
    <d v="1899-12-30T20:09:00"/>
    <x v="1"/>
    <x v="301"/>
    <x v="0"/>
    <n v="0"/>
    <n v="1072"/>
    <x v="2"/>
  </r>
  <r>
    <s v="ORD2906711"/>
    <s v="CUST0239"/>
    <s v="Zomato"/>
    <x v="333"/>
    <d v="1899-12-30T18:09:00"/>
    <x v="0"/>
    <x v="11"/>
    <x v="0"/>
    <n v="267"/>
    <n v="267"/>
    <x v="1"/>
  </r>
  <r>
    <s v="ORD9752729"/>
    <s v="CUST0006"/>
    <s v="Swiggy"/>
    <x v="25"/>
    <d v="1899-12-30T09:56:00"/>
    <x v="0"/>
    <x v="123"/>
    <x v="0"/>
    <n v="713"/>
    <n v="713"/>
    <x v="1"/>
  </r>
  <r>
    <s v="ORD5066077"/>
    <s v="CUST0295"/>
    <s v="Swiggy"/>
    <x v="319"/>
    <d v="1899-12-30T11:10:00"/>
    <x v="0"/>
    <x v="424"/>
    <x v="324"/>
    <n v="1291.05"/>
    <n v="1359"/>
    <x v="1"/>
  </r>
  <r>
    <s v="ORD3743507"/>
    <s v="CUST0221"/>
    <s v="Swiggy"/>
    <x v="178"/>
    <d v="1899-12-30T17:10:00"/>
    <x v="0"/>
    <x v="13"/>
    <x v="325"/>
    <n v="243.95"/>
    <n v="287"/>
    <x v="1"/>
  </r>
  <r>
    <s v="ORD8604820"/>
    <s v="CUST0222"/>
    <s v="Zomato"/>
    <x v="130"/>
    <d v="1899-12-30T21:03:00"/>
    <x v="0"/>
    <x v="184"/>
    <x v="283"/>
    <n v="132.05000000000001"/>
    <n v="139"/>
    <x v="1"/>
  </r>
  <r>
    <s v="ORD1880761"/>
    <s v="CUST0167"/>
    <s v="Zomato"/>
    <x v="257"/>
    <d v="1899-12-30T21:45:00"/>
    <x v="0"/>
    <x v="13"/>
    <x v="0"/>
    <n v="287"/>
    <n v="287"/>
    <x v="1"/>
  </r>
  <r>
    <s v="ORD4768730"/>
    <s v="CUST0442"/>
    <s v="Zomato"/>
    <x v="159"/>
    <d v="1899-12-30T18:51:00"/>
    <x v="1"/>
    <x v="34"/>
    <x v="0"/>
    <n v="0"/>
    <n v="228"/>
    <x v="1"/>
  </r>
  <r>
    <s v="ORD6817661"/>
    <s v="CUST0094"/>
    <s v="Swiggy"/>
    <x v="360"/>
    <d v="1899-12-30T00:55:00"/>
    <x v="0"/>
    <x v="49"/>
    <x v="0"/>
    <n v="277"/>
    <n v="277"/>
    <x v="0"/>
  </r>
  <r>
    <s v="ORD5651218"/>
    <s v="CUST0479"/>
    <s v="Zomato"/>
    <x v="92"/>
    <d v="1899-12-30T12:01:00"/>
    <x v="0"/>
    <x v="149"/>
    <x v="0"/>
    <n v="824"/>
    <n v="824"/>
    <x v="2"/>
  </r>
  <r>
    <s v="ORD1363038"/>
    <s v="CUST0244"/>
    <s v="Direct"/>
    <x v="58"/>
    <d v="1899-12-30T18:48:00"/>
    <x v="0"/>
    <x v="13"/>
    <x v="143"/>
    <n v="272.64999999999998"/>
    <n v="287"/>
    <x v="1"/>
  </r>
  <r>
    <s v="ORD2506164"/>
    <s v="CUST0420"/>
    <s v="Zomato"/>
    <x v="126"/>
    <d v="1899-12-30T14:06:00"/>
    <x v="0"/>
    <x v="406"/>
    <x v="0"/>
    <n v="1250"/>
    <n v="1250"/>
    <x v="0"/>
  </r>
  <r>
    <s v="ORD2320303"/>
    <s v="CUST0202"/>
    <s v="Zomato"/>
    <x v="64"/>
    <d v="1899-12-30T13:21:00"/>
    <x v="1"/>
    <x v="17"/>
    <x v="0"/>
    <n v="0"/>
    <n v="297"/>
    <x v="1"/>
  </r>
  <r>
    <s v="ORD6792490"/>
    <s v="CUST0047"/>
    <s v="Swiggy"/>
    <x v="232"/>
    <d v="1899-12-30T10:37:00"/>
    <x v="0"/>
    <x v="425"/>
    <x v="0"/>
    <n v="944"/>
    <n v="944"/>
    <x v="0"/>
  </r>
  <r>
    <s v="ORD6269035"/>
    <s v="CUST0171"/>
    <s v="Swiggy"/>
    <x v="187"/>
    <d v="1899-12-30T19:07:00"/>
    <x v="0"/>
    <x v="6"/>
    <x v="134"/>
    <n v="150.1"/>
    <n v="158"/>
    <x v="1"/>
  </r>
  <r>
    <s v="ORD7887337"/>
    <s v="CUST0402"/>
    <s v="Zomato"/>
    <x v="217"/>
    <d v="1899-12-30T16:53:00"/>
    <x v="0"/>
    <x v="240"/>
    <x v="0"/>
    <n v="743"/>
    <n v="743"/>
    <x v="1"/>
  </r>
  <r>
    <s v="ORD6274627"/>
    <s v="CUST0149"/>
    <s v="Zomato"/>
    <x v="359"/>
    <d v="1899-12-30T14:02:00"/>
    <x v="1"/>
    <x v="26"/>
    <x v="0"/>
    <n v="0"/>
    <n v="515"/>
    <x v="0"/>
  </r>
  <r>
    <s v="ORD1705194"/>
    <s v="CUST0468"/>
    <s v="Direct"/>
    <x v="86"/>
    <d v="1899-12-30T15:01:00"/>
    <x v="1"/>
    <x v="132"/>
    <x v="0"/>
    <n v="0"/>
    <n v="396"/>
    <x v="2"/>
  </r>
  <r>
    <s v="ORD9146884"/>
    <s v="CUST0111"/>
    <s v="Swiggy"/>
    <x v="148"/>
    <d v="1899-12-30T16:46:00"/>
    <x v="0"/>
    <x v="334"/>
    <x v="0"/>
    <n v="544"/>
    <n v="544"/>
    <x v="2"/>
  </r>
  <r>
    <s v="ORD9527123"/>
    <s v="CUST0059"/>
    <s v="Zomato"/>
    <x v="157"/>
    <d v="1899-12-30T23:33:00"/>
    <x v="0"/>
    <x v="227"/>
    <x v="0"/>
    <n v="536"/>
    <n v="536"/>
    <x v="1"/>
  </r>
  <r>
    <s v="ORD9997668"/>
    <s v="CUST0205"/>
    <s v="Swiggy"/>
    <x v="104"/>
    <d v="1899-12-30T15:21:00"/>
    <x v="0"/>
    <x v="49"/>
    <x v="233"/>
    <n v="249.3"/>
    <n v="277"/>
    <x v="0"/>
  </r>
  <r>
    <s v="ORD5871820"/>
    <s v="CUST0058"/>
    <s v="Swiggy"/>
    <x v="337"/>
    <d v="1899-12-30T21:35:00"/>
    <x v="0"/>
    <x v="72"/>
    <x v="128"/>
    <n v="159.6"/>
    <n v="168"/>
    <x v="1"/>
  </r>
  <r>
    <s v="ORD7716629"/>
    <s v="CUST0114"/>
    <s v="Zomato"/>
    <x v="259"/>
    <d v="1899-12-30T09:34:00"/>
    <x v="1"/>
    <x v="173"/>
    <x v="0"/>
    <n v="0"/>
    <n v="903"/>
    <x v="1"/>
  </r>
  <r>
    <s v="ORD8741856"/>
    <s v="CUST0281"/>
    <s v="Zomato"/>
    <x v="95"/>
    <d v="1899-12-30T18:38:00"/>
    <x v="0"/>
    <x v="103"/>
    <x v="0"/>
    <n v="545"/>
    <n v="545"/>
    <x v="0"/>
  </r>
  <r>
    <s v="ORD2694100"/>
    <s v="CUST0391"/>
    <s v="Zomato"/>
    <x v="148"/>
    <d v="1899-12-30T20:21:00"/>
    <x v="0"/>
    <x v="37"/>
    <x v="79"/>
    <n v="409.5"/>
    <n v="455"/>
    <x v="1"/>
  </r>
  <r>
    <s v="ORD8363445"/>
    <s v="CUST0025"/>
    <s v="Direct"/>
    <x v="346"/>
    <d v="1899-12-30T16:32:00"/>
    <x v="0"/>
    <x v="228"/>
    <x v="0"/>
    <n v="993"/>
    <n v="993"/>
    <x v="1"/>
  </r>
  <r>
    <s v="ORD5059317"/>
    <s v="CUST0245"/>
    <s v="Zomato"/>
    <x v="165"/>
    <d v="1899-12-30T19:45:00"/>
    <x v="0"/>
    <x v="331"/>
    <x v="326"/>
    <n v="740.7"/>
    <n v="823"/>
    <x v="1"/>
  </r>
  <r>
    <s v="ORD1965982"/>
    <s v="CUST0053"/>
    <s v="Zomato"/>
    <x v="38"/>
    <d v="1899-12-30T09:54:00"/>
    <x v="0"/>
    <x v="426"/>
    <x v="0"/>
    <n v="1017"/>
    <n v="1017"/>
    <x v="1"/>
  </r>
  <r>
    <s v="ORD9321087"/>
    <s v="CUST0107"/>
    <s v="Swiggy"/>
    <x v="177"/>
    <d v="1899-12-30T20:53:00"/>
    <x v="0"/>
    <x v="153"/>
    <x v="38"/>
    <n v="294.3"/>
    <n v="327"/>
    <x v="1"/>
  </r>
  <r>
    <s v="ORD2333249"/>
    <s v="CUST0015"/>
    <s v="Zomato"/>
    <x v="128"/>
    <d v="1899-12-30T21:03:00"/>
    <x v="0"/>
    <x v="427"/>
    <x v="0"/>
    <n v="841"/>
    <n v="841"/>
    <x v="2"/>
  </r>
  <r>
    <s v="ORD7925241"/>
    <s v="CUST0290"/>
    <s v="Direct"/>
    <x v="187"/>
    <d v="1899-12-30T19:36:00"/>
    <x v="0"/>
    <x v="124"/>
    <x v="0"/>
    <n v="456"/>
    <n v="456"/>
    <x v="1"/>
  </r>
  <r>
    <s v="ORD3783903"/>
    <s v="CUST0207"/>
    <s v="Zomato"/>
    <x v="26"/>
    <d v="1899-12-30T18:40:00"/>
    <x v="0"/>
    <x v="54"/>
    <x v="0"/>
    <n v="178"/>
    <n v="178"/>
    <x v="2"/>
  </r>
  <r>
    <s v="ORD7190164"/>
    <s v="CUST0185"/>
    <s v="Zomato"/>
    <x v="257"/>
    <d v="1899-12-30T10:11:00"/>
    <x v="0"/>
    <x v="224"/>
    <x v="0"/>
    <n v="633"/>
    <n v="633"/>
    <x v="2"/>
  </r>
  <r>
    <s v="ORD2925327"/>
    <s v="CUST0023"/>
    <s v="Swiggy"/>
    <x v="29"/>
    <d v="1899-12-30T19:27:00"/>
    <x v="0"/>
    <x v="54"/>
    <x v="165"/>
    <n v="169.1"/>
    <n v="178"/>
    <x v="1"/>
  </r>
  <r>
    <s v="ORD8946282"/>
    <s v="CUST0043"/>
    <s v="Zomato"/>
    <x v="13"/>
    <d v="1899-12-30T17:26:00"/>
    <x v="0"/>
    <x v="1"/>
    <x v="32"/>
    <n v="226.1"/>
    <n v="238"/>
    <x v="2"/>
  </r>
  <r>
    <s v="ORD7591537"/>
    <s v="CUST0285"/>
    <s v="Zomato"/>
    <x v="26"/>
    <d v="1899-12-30T13:44:00"/>
    <x v="0"/>
    <x v="33"/>
    <x v="0"/>
    <n v="218"/>
    <n v="218"/>
    <x v="1"/>
  </r>
  <r>
    <s v="ORD7386221"/>
    <s v="CUST0357"/>
    <s v="Zomato"/>
    <x v="261"/>
    <d v="1899-12-30T23:02:00"/>
    <x v="1"/>
    <x v="322"/>
    <x v="0"/>
    <n v="0"/>
    <n v="525"/>
    <x v="1"/>
  </r>
  <r>
    <s v="ORD2710197"/>
    <s v="CUST0382"/>
    <s v="Zomato"/>
    <x v="342"/>
    <d v="1899-12-30T00:53:00"/>
    <x v="1"/>
    <x v="423"/>
    <x v="0"/>
    <n v="0"/>
    <n v="1270"/>
    <x v="1"/>
  </r>
  <r>
    <s v="ORD2316876"/>
    <s v="CUST0024"/>
    <s v="Zomato"/>
    <x v="0"/>
    <d v="1899-12-30T13:04:00"/>
    <x v="0"/>
    <x v="156"/>
    <x v="25"/>
    <n v="253.3"/>
    <n v="298"/>
    <x v="1"/>
  </r>
  <r>
    <s v="ORD4883185"/>
    <s v="CUST0044"/>
    <s v="Swiggy"/>
    <x v="179"/>
    <d v="1899-12-30T18:58:00"/>
    <x v="0"/>
    <x v="17"/>
    <x v="0"/>
    <n v="297"/>
    <n v="297"/>
    <x v="1"/>
  </r>
  <r>
    <s v="ORD7482581"/>
    <s v="CUST0141"/>
    <s v="Swiggy"/>
    <x v="36"/>
    <d v="1899-12-30T20:47:00"/>
    <x v="0"/>
    <x v="156"/>
    <x v="14"/>
    <n v="283.10000000000002"/>
    <n v="298"/>
    <x v="1"/>
  </r>
  <r>
    <s v="ORD7538508"/>
    <s v="CUST0414"/>
    <s v="Zomato"/>
    <x v="211"/>
    <d v="1899-12-30T18:51:00"/>
    <x v="0"/>
    <x v="124"/>
    <x v="0"/>
    <n v="456"/>
    <n v="456"/>
    <x v="2"/>
  </r>
  <r>
    <s v="ORD8545277"/>
    <s v="CUST0014"/>
    <s v="Zomato"/>
    <x v="227"/>
    <d v="1899-12-30T21:17:00"/>
    <x v="0"/>
    <x v="428"/>
    <x v="0"/>
    <n v="795"/>
    <n v="795"/>
    <x v="0"/>
  </r>
  <r>
    <s v="ORD5847450"/>
    <s v="CUST0363"/>
    <s v="Zomato"/>
    <x v="180"/>
    <d v="1899-12-30T20:06:00"/>
    <x v="0"/>
    <x v="30"/>
    <x v="135"/>
    <n v="528.20000000000005"/>
    <n v="556"/>
    <x v="0"/>
  </r>
  <r>
    <s v="ORD1762915"/>
    <s v="CUST0482"/>
    <s v="Zomato"/>
    <x v="236"/>
    <d v="1899-12-30T14:14:00"/>
    <x v="0"/>
    <x v="150"/>
    <x v="327"/>
    <n v="201.45"/>
    <n v="237"/>
    <x v="1"/>
  </r>
  <r>
    <s v="ORD6404262"/>
    <s v="CUST0403"/>
    <s v="Zomato"/>
    <x v="219"/>
    <d v="1899-12-30T18:26:00"/>
    <x v="0"/>
    <x v="54"/>
    <x v="16"/>
    <n v="160.19999999999999"/>
    <n v="178"/>
    <x v="1"/>
  </r>
  <r>
    <s v="ORD9704445"/>
    <s v="CUST0397"/>
    <s v="Swiggy"/>
    <x v="124"/>
    <d v="1899-12-30T20:24:00"/>
    <x v="1"/>
    <x v="70"/>
    <x v="21"/>
    <n v="0"/>
    <n v="317"/>
    <x v="1"/>
  </r>
  <r>
    <s v="ORD8860718"/>
    <s v="CUST0457"/>
    <s v="Zomato"/>
    <x v="101"/>
    <d v="1899-12-30T16:58:00"/>
    <x v="0"/>
    <x v="103"/>
    <x v="0"/>
    <n v="545"/>
    <n v="545"/>
    <x v="1"/>
  </r>
  <r>
    <s v="ORD2239574"/>
    <s v="CUST0271"/>
    <s v="Zomato"/>
    <x v="339"/>
    <d v="1899-12-30T16:28:00"/>
    <x v="0"/>
    <x v="86"/>
    <x v="30"/>
    <n v="151.05000000000001"/>
    <n v="159"/>
    <x v="2"/>
  </r>
  <r>
    <s v="ORD6983968"/>
    <s v="CUST0147"/>
    <s v="Zomato"/>
    <x v="147"/>
    <d v="1899-12-30T16:17:00"/>
    <x v="0"/>
    <x v="429"/>
    <x v="0"/>
    <n v="1108"/>
    <n v="1108"/>
    <x v="2"/>
  </r>
  <r>
    <s v="ORD1444826"/>
    <s v="CUST0246"/>
    <s v="Swiggy"/>
    <x v="269"/>
    <d v="1899-12-30T20:06:00"/>
    <x v="0"/>
    <x v="78"/>
    <x v="235"/>
    <n v="450.3"/>
    <n v="474"/>
    <x v="0"/>
  </r>
  <r>
    <s v="ORD2873480"/>
    <s v="CUST0369"/>
    <s v="Zomato"/>
    <x v="356"/>
    <d v="1899-12-30T18:13:00"/>
    <x v="1"/>
    <x v="55"/>
    <x v="0"/>
    <n v="0"/>
    <n v="494"/>
    <x v="1"/>
  </r>
  <r>
    <s v="ORD3554104"/>
    <s v="CUST0260"/>
    <s v="Zomato"/>
    <x v="158"/>
    <d v="1899-12-30T17:17:00"/>
    <x v="0"/>
    <x v="1"/>
    <x v="0"/>
    <n v="238"/>
    <n v="238"/>
    <x v="1"/>
  </r>
  <r>
    <s v="ORD8604021"/>
    <s v="CUST0416"/>
    <s v="Zomato"/>
    <x v="288"/>
    <d v="1899-12-30T19:42:00"/>
    <x v="0"/>
    <x v="49"/>
    <x v="0"/>
    <n v="277"/>
    <n v="277"/>
    <x v="1"/>
  </r>
  <r>
    <s v="ORD8221267"/>
    <s v="CUST0226"/>
    <s v="Direct"/>
    <x v="340"/>
    <d v="1899-12-30T20:24:00"/>
    <x v="0"/>
    <x v="25"/>
    <x v="0"/>
    <n v="534"/>
    <n v="534"/>
    <x v="0"/>
  </r>
  <r>
    <s v="ORD7596826"/>
    <s v="CUST0070"/>
    <s v="Zomato"/>
    <x v="126"/>
    <d v="1899-12-30T10:24:00"/>
    <x v="1"/>
    <x v="20"/>
    <x v="0"/>
    <n v="0"/>
    <n v="615"/>
    <x v="2"/>
  </r>
  <r>
    <s v="ORD7050186"/>
    <s v="CUST0322"/>
    <s v="Swiggy"/>
    <x v="14"/>
    <d v="1899-12-30T18:42:00"/>
    <x v="0"/>
    <x v="165"/>
    <x v="0"/>
    <n v="278"/>
    <n v="278"/>
    <x v="0"/>
  </r>
  <r>
    <s v="ORD7669492"/>
    <s v="CUST0277"/>
    <s v="Direct"/>
    <x v="97"/>
    <d v="1899-12-30T16:46:00"/>
    <x v="1"/>
    <x v="238"/>
    <x v="328"/>
    <n v="0"/>
    <n v="911"/>
    <x v="1"/>
  </r>
  <r>
    <s v="ORD2395263"/>
    <s v="CUST0395"/>
    <s v="Swiggy"/>
    <x v="161"/>
    <d v="1899-12-30T10:42:00"/>
    <x v="0"/>
    <x v="9"/>
    <x v="2"/>
    <n v="374.4"/>
    <n v="41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96833-1B11-4D52-91A8-EA819A39ADDD}" name="PivotTable4" cacheId="5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E6" firstHeaderRow="0" firstDataRow="1" firstDataCol="1"/>
  <pivotFields count="12">
    <pivotField dataField="1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axis="axisRow" showAll="0">
      <items count="3">
        <item x="1"/>
        <item x="0"/>
        <item t="default"/>
      </items>
    </pivotField>
    <pivotField dataField="1" numFmtId="164" showAll="0"/>
    <pivotField dataField="1" numFmtId="164" showAll="0"/>
    <pivotField dataField="1" numFmtId="164" showAll="0"/>
    <pivotField numFmtId="164"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0" subtotal="count" baseField="0" baseItem="0"/>
    <dataField name="Sum of total_amount" fld="6" baseField="0" baseItem="0" numFmtId="168"/>
    <dataField name="Sum of discount" fld="7" baseField="0" baseItem="0" numFmtId="168"/>
    <dataField name="Sum of final_amount" fld="8" baseField="0" baseItem="0"/>
  </dataFields>
  <formats count="5"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4">
      <pivotArea dataOnly="0" outline="0" fieldPosition="0">
        <references count="1">
          <reference field="4294967294" count="1">
            <x v="3"/>
          </reference>
        </references>
      </pivotArea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D7DE9-8BFC-4964-935E-4026CDE57701}" name="PivotTable5" cacheId="5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18" firstHeaderRow="1" firstDataRow="1" firstDataCol="1"/>
  <pivotFields count="12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/>
    <pivotField numFmtId="164" showAll="0">
      <items count="431">
        <item x="147"/>
        <item x="392"/>
        <item sd="0" x="281"/>
        <item x="39"/>
        <item x="48"/>
        <item x="345"/>
        <item x="50"/>
        <item x="350"/>
        <item x="135"/>
        <item x="35"/>
        <item x="87"/>
        <item x="110"/>
        <item x="184"/>
        <item x="258"/>
        <item x="43"/>
        <item x="6"/>
        <item x="86"/>
        <item x="72"/>
        <item x="393"/>
        <item x="54"/>
        <item x="183"/>
        <item x="5"/>
        <item x="145"/>
        <item x="47"/>
        <item x="0"/>
        <item x="284"/>
        <item x="279"/>
        <item x="33"/>
        <item x="171"/>
        <item x="232"/>
        <item x="34"/>
        <item x="150"/>
        <item x="1"/>
        <item x="71"/>
        <item x="213"/>
        <item x="188"/>
        <item x="395"/>
        <item x="191"/>
        <item x="159"/>
        <item x="262"/>
        <item x="11"/>
        <item x="146"/>
        <item x="241"/>
        <item x="49"/>
        <item x="165"/>
        <item x="61"/>
        <item x="13"/>
        <item x="264"/>
        <item x="287"/>
        <item x="216"/>
        <item x="17"/>
        <item x="156"/>
        <item x="419"/>
        <item x="66"/>
        <item x="15"/>
        <item x="83"/>
        <item x="70"/>
        <item x="201"/>
        <item x="239"/>
        <item x="153"/>
        <item x="181"/>
        <item x="52"/>
        <item x="65"/>
        <item x="351"/>
        <item x="22"/>
        <item x="40"/>
        <item x="2"/>
        <item x="97"/>
        <item x="412"/>
        <item x="28"/>
        <item x="53"/>
        <item x="375"/>
        <item x="29"/>
        <item x="106"/>
        <item x="45"/>
        <item x="199"/>
        <item x="31"/>
        <item x="8"/>
        <item x="321"/>
        <item x="89"/>
        <item x="132"/>
        <item x="137"/>
        <item x="383"/>
        <item x="202"/>
        <item x="172"/>
        <item x="398"/>
        <item x="179"/>
        <item x="155"/>
        <item x="9"/>
        <item x="62"/>
        <item x="289"/>
        <item x="368"/>
        <item x="174"/>
        <item x="180"/>
        <item x="21"/>
        <item x="101"/>
        <item x="293"/>
        <item x="144"/>
        <item x="14"/>
        <item x="265"/>
        <item x="16"/>
        <item x="42"/>
        <item x="37"/>
        <item x="124"/>
        <item x="95"/>
        <item x="304"/>
        <item x="194"/>
        <item x="256"/>
        <item x="223"/>
        <item x="410"/>
        <item x="78"/>
        <item x="190"/>
        <item x="12"/>
        <item x="394"/>
        <item x="3"/>
        <item x="131"/>
        <item x="352"/>
        <item x="55"/>
        <item x="195"/>
        <item x="122"/>
        <item x="206"/>
        <item x="282"/>
        <item x="91"/>
        <item x="277"/>
        <item x="170"/>
        <item x="26"/>
        <item x="112"/>
        <item x="269"/>
        <item x="67"/>
        <item x="322"/>
        <item x="126"/>
        <item x="251"/>
        <item x="25"/>
        <item x="154"/>
        <item x="227"/>
        <item x="294"/>
        <item x="334"/>
        <item x="103"/>
        <item x="120"/>
        <item x="19"/>
        <item x="324"/>
        <item x="82"/>
        <item x="10"/>
        <item x="30"/>
        <item x="46"/>
        <item x="111"/>
        <item x="212"/>
        <item x="162"/>
        <item x="261"/>
        <item x="332"/>
        <item x="182"/>
        <item x="32"/>
        <item x="286"/>
        <item x="178"/>
        <item x="113"/>
        <item x="98"/>
        <item x="367"/>
        <item x="69"/>
        <item x="198"/>
        <item x="152"/>
        <item x="151"/>
        <item x="400"/>
        <item x="343"/>
        <item x="197"/>
        <item x="24"/>
        <item x="333"/>
        <item x="246"/>
        <item x="186"/>
        <item x="20"/>
        <item x="121"/>
        <item x="249"/>
        <item x="221"/>
        <item x="382"/>
        <item x="148"/>
        <item x="219"/>
        <item x="36"/>
        <item x="224"/>
        <item x="75"/>
        <item x="63"/>
        <item x="278"/>
        <item x="211"/>
        <item x="243"/>
        <item x="84"/>
        <item x="300"/>
        <item x="283"/>
        <item x="104"/>
        <item x="222"/>
        <item x="200"/>
        <item x="44"/>
        <item x="280"/>
        <item x="231"/>
        <item x="229"/>
        <item x="116"/>
        <item x="79"/>
        <item x="305"/>
        <item x="73"/>
        <item x="88"/>
        <item x="117"/>
        <item x="255"/>
        <item x="7"/>
        <item x="347"/>
        <item x="41"/>
        <item x="94"/>
        <item x="291"/>
        <item x="215"/>
        <item x="420"/>
        <item x="253"/>
        <item x="166"/>
        <item x="363"/>
        <item x="247"/>
        <item x="123"/>
        <item x="140"/>
        <item x="139"/>
        <item x="107"/>
        <item x="74"/>
        <item x="422"/>
        <item x="409"/>
        <item x="359"/>
        <item x="205"/>
        <item x="192"/>
        <item x="100"/>
        <item x="353"/>
        <item x="81"/>
        <item x="240"/>
        <item x="64"/>
        <item x="185"/>
        <item x="402"/>
        <item x="23"/>
        <item x="169"/>
        <item x="127"/>
        <item x="298"/>
        <item x="130"/>
        <item x="360"/>
        <item x="323"/>
        <item x="18"/>
        <item x="108"/>
        <item x="58"/>
        <item x="141"/>
        <item x="128"/>
        <item x="276"/>
        <item x="161"/>
        <item x="114"/>
        <item x="344"/>
        <item x="27"/>
        <item x="85"/>
        <item x="244"/>
        <item x="80"/>
        <item x="175"/>
        <item x="428"/>
        <item x="99"/>
        <item x="105"/>
        <item x="374"/>
        <item x="316"/>
        <item x="236"/>
        <item x="60"/>
        <item x="225"/>
        <item x="331"/>
        <item x="149"/>
        <item x="193"/>
        <item x="38"/>
        <item x="220"/>
        <item x="143"/>
        <item x="158"/>
        <item x="274"/>
        <item x="427"/>
        <item x="102"/>
        <item x="209"/>
        <item x="119"/>
        <item x="414"/>
        <item x="288"/>
        <item x="164"/>
        <item x="96"/>
        <item x="250"/>
        <item x="335"/>
        <item x="310"/>
        <item x="210"/>
        <item x="233"/>
        <item x="129"/>
        <item x="176"/>
        <item x="242"/>
        <item x="299"/>
        <item x="163"/>
        <item x="266"/>
        <item x="142"/>
        <item x="303"/>
        <item x="391"/>
        <item x="290"/>
        <item x="77"/>
        <item x="408"/>
        <item x="272"/>
        <item x="173"/>
        <item x="263"/>
        <item x="160"/>
        <item x="238"/>
        <item x="326"/>
        <item x="90"/>
        <item x="76"/>
        <item x="292"/>
        <item x="357"/>
        <item x="386"/>
        <item x="257"/>
        <item x="346"/>
        <item x="207"/>
        <item x="157"/>
        <item x="339"/>
        <item x="313"/>
        <item x="425"/>
        <item x="308"/>
        <item x="307"/>
        <item x="56"/>
        <item x="330"/>
        <item x="93"/>
        <item x="138"/>
        <item x="295"/>
        <item x="397"/>
        <item x="328"/>
        <item x="136"/>
        <item x="358"/>
        <item x="204"/>
        <item x="364"/>
        <item x="228"/>
        <item x="342"/>
        <item x="354"/>
        <item x="259"/>
        <item x="92"/>
        <item x="4"/>
        <item x="57"/>
        <item x="384"/>
        <item x="302"/>
        <item x="426"/>
        <item x="388"/>
        <item x="226"/>
        <item x="317"/>
        <item x="296"/>
        <item x="411"/>
        <item x="366"/>
        <item x="214"/>
        <item x="407"/>
        <item x="275"/>
        <item x="218"/>
        <item x="237"/>
        <item x="373"/>
        <item x="327"/>
        <item x="268"/>
        <item x="133"/>
        <item x="285"/>
        <item x="118"/>
        <item x="387"/>
        <item x="301"/>
        <item x="356"/>
        <item x="381"/>
        <item x="125"/>
        <item x="177"/>
        <item x="168"/>
        <item x="252"/>
        <item x="429"/>
        <item x="230"/>
        <item x="254"/>
        <item x="337"/>
        <item x="385"/>
        <item x="371"/>
        <item x="365"/>
        <item x="415"/>
        <item x="348"/>
        <item x="389"/>
        <item x="267"/>
        <item x="312"/>
        <item x="314"/>
        <item x="297"/>
        <item x="421"/>
        <item x="270"/>
        <item x="340"/>
        <item x="370"/>
        <item x="189"/>
        <item x="336"/>
        <item x="349"/>
        <item x="187"/>
        <item x="260"/>
        <item x="203"/>
        <item x="109"/>
        <item x="372"/>
        <item x="271"/>
        <item x="217"/>
        <item x="378"/>
        <item x="319"/>
        <item x="405"/>
        <item x="167"/>
        <item x="309"/>
        <item x="248"/>
        <item x="417"/>
        <item x="406"/>
        <item x="134"/>
        <item x="311"/>
        <item x="361"/>
        <item x="423"/>
        <item x="341"/>
        <item x="320"/>
        <item x="196"/>
        <item x="416"/>
        <item x="235"/>
        <item x="245"/>
        <item x="115"/>
        <item x="413"/>
        <item x="325"/>
        <item x="315"/>
        <item x="418"/>
        <item x="51"/>
        <item x="318"/>
        <item x="59"/>
        <item x="234"/>
        <item x="396"/>
        <item x="424"/>
        <item x="273"/>
        <item x="68"/>
        <item x="338"/>
        <item x="377"/>
        <item x="329"/>
        <item x="362"/>
        <item x="380"/>
        <item x="390"/>
        <item x="369"/>
        <item x="379"/>
        <item x="404"/>
        <item x="403"/>
        <item x="306"/>
        <item x="401"/>
        <item x="355"/>
        <item x="399"/>
        <item x="208"/>
        <item x="376"/>
        <item t="default"/>
      </items>
    </pivotField>
    <pivotField numFmtId="164" showAll="0">
      <items count="330">
        <item x="0"/>
        <item x="110"/>
        <item x="313"/>
        <item x="60"/>
        <item x="322"/>
        <item x="97"/>
        <item x="31"/>
        <item x="141"/>
        <item x="283"/>
        <item x="12"/>
        <item x="134"/>
        <item x="30"/>
        <item x="128"/>
        <item x="165"/>
        <item x="222"/>
        <item x="13"/>
        <item x="89"/>
        <item x="41"/>
        <item x="70"/>
        <item x="232"/>
        <item x="129"/>
        <item x="71"/>
        <item x="32"/>
        <item x="22"/>
        <item x="98"/>
        <item x="114"/>
        <item x="276"/>
        <item x="282"/>
        <item x="155"/>
        <item x="302"/>
        <item x="148"/>
        <item x="81"/>
        <item x="143"/>
        <item x="309"/>
        <item x="223"/>
        <item x="266"/>
        <item x="14"/>
        <item x="39"/>
        <item x="24"/>
        <item x="37"/>
        <item x="103"/>
        <item x="15"/>
        <item x="203"/>
        <item x="16"/>
        <item x="61"/>
        <item x="176"/>
        <item x="115"/>
        <item x="265"/>
        <item x="1"/>
        <item x="86"/>
        <item x="8"/>
        <item x="57"/>
        <item x="310"/>
        <item x="23"/>
        <item x="53"/>
        <item x="219"/>
        <item x="78"/>
        <item x="160"/>
        <item x="122"/>
        <item x="80"/>
        <item x="246"/>
        <item x="320"/>
        <item x="240"/>
        <item x="183"/>
        <item x="205"/>
        <item x="52"/>
        <item x="305"/>
        <item x="177"/>
        <item x="106"/>
        <item x="235"/>
        <item x="112"/>
        <item x="82"/>
        <item x="227"/>
        <item x="181"/>
        <item x="216"/>
        <item x="75"/>
        <item x="94"/>
        <item x="154"/>
        <item x="279"/>
        <item x="95"/>
        <item x="131"/>
        <item x="72"/>
        <item x="101"/>
        <item x="204"/>
        <item x="239"/>
        <item x="233"/>
        <item x="135"/>
        <item x="105"/>
        <item x="297"/>
        <item x="209"/>
        <item x="307"/>
        <item x="158"/>
        <item x="127"/>
        <item x="299"/>
        <item x="19"/>
        <item x="152"/>
        <item x="130"/>
        <item x="109"/>
        <item x="113"/>
        <item x="252"/>
        <item x="21"/>
        <item x="87"/>
        <item x="237"/>
        <item x="125"/>
        <item x="29"/>
        <item x="175"/>
        <item x="159"/>
        <item x="38"/>
        <item x="198"/>
        <item x="42"/>
        <item x="256"/>
        <item x="10"/>
        <item x="9"/>
        <item x="312"/>
        <item x="213"/>
        <item x="327"/>
        <item x="26"/>
        <item x="45"/>
        <item x="55"/>
        <item x="300"/>
        <item x="40"/>
        <item x="243"/>
        <item x="150"/>
        <item x="249"/>
        <item x="102"/>
        <item x="231"/>
        <item x="28"/>
        <item x="157"/>
        <item x="163"/>
        <item x="47"/>
        <item x="289"/>
        <item x="173"/>
        <item x="146"/>
        <item x="18"/>
        <item x="229"/>
        <item x="48"/>
        <item x="260"/>
        <item x="92"/>
        <item x="74"/>
        <item x="35"/>
        <item x="193"/>
        <item x="118"/>
        <item x="259"/>
        <item x="140"/>
        <item x="185"/>
        <item x="238"/>
        <item x="2"/>
        <item x="321"/>
        <item x="65"/>
        <item x="262"/>
        <item x="164"/>
        <item x="225"/>
        <item x="111"/>
        <item x="325"/>
        <item x="91"/>
        <item x="4"/>
        <item x="251"/>
        <item x="245"/>
        <item x="58"/>
        <item x="144"/>
        <item x="25"/>
        <item x="298"/>
        <item x="11"/>
        <item x="79"/>
        <item x="308"/>
        <item x="242"/>
        <item x="123"/>
        <item x="167"/>
        <item x="224"/>
        <item x="236"/>
        <item x="267"/>
        <item x="124"/>
        <item x="187"/>
        <item x="278"/>
        <item x="294"/>
        <item x="291"/>
        <item x="162"/>
        <item x="44"/>
        <item x="197"/>
        <item x="301"/>
        <item x="17"/>
        <item x="292"/>
        <item x="303"/>
        <item x="69"/>
        <item x="34"/>
        <item x="188"/>
        <item x="295"/>
        <item x="190"/>
        <item x="99"/>
        <item x="20"/>
        <item x="201"/>
        <item x="46"/>
        <item x="161"/>
        <item x="132"/>
        <item x="275"/>
        <item x="63"/>
        <item x="208"/>
        <item x="3"/>
        <item x="211"/>
        <item x="247"/>
        <item x="192"/>
        <item x="116"/>
        <item x="145"/>
        <item x="199"/>
        <item x="149"/>
        <item x="226"/>
        <item x="255"/>
        <item x="33"/>
        <item x="210"/>
        <item x="121"/>
        <item x="142"/>
        <item x="119"/>
        <item x="107"/>
        <item x="304"/>
        <item x="261"/>
        <item x="288"/>
        <item x="68"/>
        <item x="104"/>
        <item x="36"/>
        <item x="96"/>
        <item x="287"/>
        <item x="174"/>
        <item x="166"/>
        <item x="156"/>
        <item x="85"/>
        <item x="93"/>
        <item x="264"/>
        <item x="215"/>
        <item x="244"/>
        <item x="317"/>
        <item x="202"/>
        <item x="306"/>
        <item x="270"/>
        <item x="189"/>
        <item x="212"/>
        <item x="206"/>
        <item x="253"/>
        <item x="324"/>
        <item x="139"/>
        <item x="51"/>
        <item x="153"/>
        <item x="241"/>
        <item x="263"/>
        <item x="59"/>
        <item x="277"/>
        <item x="323"/>
        <item x="186"/>
        <item x="230"/>
        <item x="286"/>
        <item x="117"/>
        <item x="182"/>
        <item x="5"/>
        <item x="172"/>
        <item x="83"/>
        <item x="50"/>
        <item x="296"/>
        <item x="178"/>
        <item x="280"/>
        <item x="290"/>
        <item x="27"/>
        <item x="257"/>
        <item x="6"/>
        <item x="64"/>
        <item x="168"/>
        <item x="108"/>
        <item x="326"/>
        <item x="84"/>
        <item x="250"/>
        <item x="56"/>
        <item x="196"/>
        <item x="318"/>
        <item x="217"/>
        <item x="184"/>
        <item x="76"/>
        <item x="67"/>
        <item x="271"/>
        <item x="315"/>
        <item x="66"/>
        <item x="221"/>
        <item x="73"/>
        <item x="200"/>
        <item x="120"/>
        <item x="234"/>
        <item x="273"/>
        <item x="272"/>
        <item x="218"/>
        <item x="191"/>
        <item x="90"/>
        <item x="269"/>
        <item x="54"/>
        <item x="220"/>
        <item x="274"/>
        <item x="293"/>
        <item x="62"/>
        <item x="43"/>
        <item x="138"/>
        <item x="169"/>
        <item x="77"/>
        <item x="314"/>
        <item x="311"/>
        <item x="281"/>
        <item x="137"/>
        <item x="285"/>
        <item x="248"/>
        <item x="228"/>
        <item x="284"/>
        <item x="7"/>
        <item x="88"/>
        <item x="151"/>
        <item x="100"/>
        <item x="180"/>
        <item x="126"/>
        <item x="170"/>
        <item x="195"/>
        <item x="136"/>
        <item x="49"/>
        <item x="214"/>
        <item x="316"/>
        <item x="328"/>
        <item x="268"/>
        <item x="258"/>
        <item x="319"/>
        <item x="147"/>
        <item x="207"/>
        <item x="133"/>
        <item x="179"/>
        <item x="171"/>
        <item x="194"/>
        <item x="254"/>
        <item t="default"/>
      </items>
    </pivotField>
    <pivotField dataField="1" numFmtId="164" showAll="0"/>
    <pivotField numFmtId="164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3"/>
  </rowFields>
  <rowItems count="15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final_amount" fld="8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C7B51-D5E1-4F40-AA5C-A816D7AB9467}" name="PivotTable6" cacheId="5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C32" firstHeaderRow="0" firstDataRow="1" firstDataCol="1"/>
  <pivotFields count="8">
    <pivotField showAll="0"/>
    <pivotField showAll="0"/>
    <pivotField dataField="1" numFmtId="1" showAll="0"/>
    <pivotField dataField="1" numFmtId="164" showAll="0"/>
    <pivotField axis="axisRow" showAll="0" sortType="ascending">
      <items count="29">
        <item x="25"/>
        <item x="9"/>
        <item x="21"/>
        <item x="16"/>
        <item x="14"/>
        <item x="6"/>
        <item x="8"/>
        <item x="27"/>
        <item x="18"/>
        <item x="1"/>
        <item x="11"/>
        <item x="23"/>
        <item x="15"/>
        <item x="22"/>
        <item x="13"/>
        <item x="17"/>
        <item x="2"/>
        <item x="3"/>
        <item x="26"/>
        <item x="12"/>
        <item x="0"/>
        <item x="19"/>
        <item x="5"/>
        <item x="7"/>
        <item x="20"/>
        <item x="24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4"/>
        <item x="2"/>
        <item x="3"/>
        <item x="0"/>
        <item x="5"/>
        <item x="1"/>
        <item t="default"/>
      </items>
    </pivotField>
    <pivotField numFmtId="2" showAll="0"/>
    <pivotField numFmtId="2" showAll="0"/>
  </pivotFields>
  <rowFields count="1">
    <field x="4"/>
  </rowFields>
  <rowItems count="29">
    <i>
      <x v="14"/>
    </i>
    <i>
      <x v="24"/>
    </i>
    <i>
      <x v="26"/>
    </i>
    <i>
      <x/>
    </i>
    <i>
      <x v="25"/>
    </i>
    <i>
      <x v="20"/>
    </i>
    <i>
      <x v="18"/>
    </i>
    <i>
      <x v="15"/>
    </i>
    <i>
      <x v="27"/>
    </i>
    <i>
      <x v="21"/>
    </i>
    <i>
      <x v="16"/>
    </i>
    <i>
      <x v="6"/>
    </i>
    <i>
      <x v="19"/>
    </i>
    <i>
      <x v="7"/>
    </i>
    <i>
      <x v="1"/>
    </i>
    <i>
      <x v="22"/>
    </i>
    <i>
      <x v="3"/>
    </i>
    <i>
      <x v="17"/>
    </i>
    <i>
      <x v="23"/>
    </i>
    <i>
      <x v="11"/>
    </i>
    <i>
      <x v="4"/>
    </i>
    <i>
      <x v="9"/>
    </i>
    <i>
      <x v="5"/>
    </i>
    <i>
      <x v="10"/>
    </i>
    <i>
      <x v="8"/>
    </i>
    <i>
      <x v="13"/>
    </i>
    <i>
      <x v="2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_total_price" fld="3" baseField="0" baseItem="0"/>
    <dataField name="Sum of quantity" fld="2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20139-3CFE-430D-AE86-EA58463C9AE0}" name="PivotTable3" cacheId="5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4">
  <location ref="A3:C7" firstHeaderRow="0" firstDataRow="1" firstDataCol="1"/>
  <pivotFields count="12">
    <pivotField dataField="1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/>
    <pivotField numFmtId="164" showAll="0"/>
    <pivotField numFmtId="164" showAll="0"/>
    <pivotField dataField="1" numFmtId="164"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l_amount" fld="8" baseField="0" baseItem="0" numFmtId="168"/>
    <dataField name="Count of order_id" fld="0" subtotal="count" baseField="0" baseItem="0"/>
  </dataFields>
  <formats count="4"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7C8ED-DD51-41F6-8F28-C320192BEBEB}" name="PivotTable2" cacheId="5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0">
  <location ref="A3:C10" firstHeaderRow="0" firstDataRow="1" firstDataCol="1"/>
  <pivotFields count="8">
    <pivotField showAll="0"/>
    <pivotField showAll="0"/>
    <pivotField numFmtId="1" showAll="0"/>
    <pivotField dataField="1" numFmtId="164" showAll="0"/>
    <pivotField showAll="0"/>
    <pivotField axis="axisRow" showAll="0">
      <items count="7">
        <item x="4"/>
        <item x="2"/>
        <item x="3"/>
        <item x="0"/>
        <item x="5"/>
        <item x="1"/>
        <item t="default"/>
      </items>
    </pivotField>
    <pivotField numFmtId="2" showAll="0"/>
    <pivotField dataField="1" numFmtId="2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_total_price" fld="3" baseField="0" baseItem="0" numFmtId="168"/>
    <dataField name="Sum of TOTAL_PROFIT" fld="7" baseField="0" baseItem="0" numFmtId="168"/>
  </dataFields>
  <formats count="3">
    <format dxfId="4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3" cacheId="3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4">
  <location ref="A3:B7" firstHeaderRow="1" firstDataRow="1" firstDataCol="1"/>
  <pivotFields count="12">
    <pivotField showAll="0"/>
    <pivotField showAll="0"/>
    <pivotField axis="axisRow" showAll="0">
      <items count="4">
        <item n="Direct" x="2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_amount" fld="8" baseField="0" baseItem="0"/>
  </dataField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8"/>
  <sheetViews>
    <sheetView workbookViewId="0">
      <selection activeCell="A6" sqref="A6"/>
    </sheetView>
  </sheetViews>
  <sheetFormatPr defaultRowHeight="15" x14ac:dyDescent="0.25"/>
  <cols>
    <col min="1" max="1" width="13.28515625" style="5" bestFit="1" customWidth="1"/>
    <col min="2" max="2" width="24.28515625" style="5" bestFit="1" customWidth="1"/>
    <col min="3" max="3" width="32.7109375" style="5" bestFit="1" customWidth="1"/>
    <col min="4" max="4" width="15.85546875" style="5" bestFit="1" customWidth="1"/>
    <col min="5" max="5" width="14.140625" style="1" bestFit="1" customWidth="1"/>
  </cols>
  <sheetData>
    <row r="1" spans="1:5" ht="15.75" x14ac:dyDescent="0.25">
      <c r="A1" s="4" t="s">
        <v>871</v>
      </c>
      <c r="B1" s="4" t="s">
        <v>870</v>
      </c>
      <c r="C1" s="4" t="s">
        <v>869</v>
      </c>
      <c r="D1" s="4" t="s">
        <v>868</v>
      </c>
      <c r="E1" s="6" t="s">
        <v>867</v>
      </c>
    </row>
    <row r="2" spans="1:5" x14ac:dyDescent="0.25">
      <c r="A2" s="5" t="s">
        <v>866</v>
      </c>
      <c r="B2" s="5" t="s">
        <v>791</v>
      </c>
      <c r="C2" s="5" t="s">
        <v>307</v>
      </c>
      <c r="D2" s="5" t="s">
        <v>74</v>
      </c>
      <c r="E2" s="1">
        <v>45426</v>
      </c>
    </row>
    <row r="3" spans="1:5" x14ac:dyDescent="0.25">
      <c r="A3" s="5" t="s">
        <v>865</v>
      </c>
      <c r="B3" s="5" t="s">
        <v>864</v>
      </c>
      <c r="C3" s="5" t="s">
        <v>86</v>
      </c>
      <c r="D3" s="5" t="s">
        <v>74</v>
      </c>
      <c r="E3" s="1">
        <v>45618</v>
      </c>
    </row>
    <row r="4" spans="1:5" x14ac:dyDescent="0.25">
      <c r="A4" s="5" t="s">
        <v>863</v>
      </c>
      <c r="B4" s="5" t="s">
        <v>355</v>
      </c>
      <c r="C4" s="5" t="s">
        <v>97</v>
      </c>
      <c r="D4" s="5" t="s">
        <v>67</v>
      </c>
      <c r="E4" s="1">
        <v>45589</v>
      </c>
    </row>
    <row r="5" spans="1:5" x14ac:dyDescent="0.25">
      <c r="A5" s="5" t="s">
        <v>862</v>
      </c>
      <c r="B5" s="5" t="s">
        <v>471</v>
      </c>
      <c r="C5" s="5" t="s">
        <v>81</v>
      </c>
      <c r="D5" s="5" t="s">
        <v>67</v>
      </c>
      <c r="E5" s="1">
        <v>45625</v>
      </c>
    </row>
    <row r="6" spans="1:5" x14ac:dyDescent="0.25">
      <c r="A6" s="5" t="s">
        <v>861</v>
      </c>
      <c r="B6" s="5" t="s">
        <v>860</v>
      </c>
      <c r="C6" s="5" t="s">
        <v>212</v>
      </c>
      <c r="D6" s="5" t="s">
        <v>91</v>
      </c>
      <c r="E6" s="1">
        <v>45415</v>
      </c>
    </row>
    <row r="7" spans="1:5" x14ac:dyDescent="0.25">
      <c r="A7" s="5" t="s">
        <v>859</v>
      </c>
      <c r="B7" s="5" t="s">
        <v>791</v>
      </c>
      <c r="C7" s="5" t="s">
        <v>75</v>
      </c>
      <c r="D7" s="5" t="s">
        <v>67</v>
      </c>
      <c r="E7" s="1">
        <v>45503</v>
      </c>
    </row>
    <row r="8" spans="1:5" x14ac:dyDescent="0.25">
      <c r="A8" s="5" t="s">
        <v>858</v>
      </c>
      <c r="B8" s="5" t="s">
        <v>739</v>
      </c>
      <c r="C8" s="5" t="s">
        <v>97</v>
      </c>
      <c r="D8" s="5" t="s">
        <v>74</v>
      </c>
      <c r="E8" s="1">
        <v>45693</v>
      </c>
    </row>
    <row r="9" spans="1:5" x14ac:dyDescent="0.25">
      <c r="A9" s="5" t="s">
        <v>857</v>
      </c>
      <c r="B9" s="5" t="s">
        <v>372</v>
      </c>
      <c r="C9" s="5" t="s">
        <v>307</v>
      </c>
      <c r="D9" s="5" t="s">
        <v>67</v>
      </c>
      <c r="E9" s="1">
        <v>45679</v>
      </c>
    </row>
    <row r="10" spans="1:5" x14ac:dyDescent="0.25">
      <c r="A10" s="5" t="s">
        <v>856</v>
      </c>
      <c r="B10" s="5" t="s">
        <v>568</v>
      </c>
      <c r="C10" s="5" t="s">
        <v>192</v>
      </c>
      <c r="D10" s="5" t="s">
        <v>67</v>
      </c>
      <c r="E10" s="1">
        <v>45601</v>
      </c>
    </row>
    <row r="11" spans="1:5" x14ac:dyDescent="0.25">
      <c r="A11" s="5" t="s">
        <v>855</v>
      </c>
      <c r="B11" s="5" t="s">
        <v>158</v>
      </c>
      <c r="C11" s="5" t="s">
        <v>136</v>
      </c>
      <c r="D11" s="5" t="s">
        <v>74</v>
      </c>
      <c r="E11" s="1">
        <v>45742</v>
      </c>
    </row>
    <row r="12" spans="1:5" x14ac:dyDescent="0.25">
      <c r="A12" s="5" t="s">
        <v>854</v>
      </c>
      <c r="B12" s="5" t="s">
        <v>283</v>
      </c>
      <c r="C12" s="5" t="s">
        <v>125</v>
      </c>
      <c r="D12" s="5" t="s">
        <v>74</v>
      </c>
      <c r="E12" s="1">
        <v>45541</v>
      </c>
    </row>
    <row r="13" spans="1:5" x14ac:dyDescent="0.25">
      <c r="A13" s="5" t="s">
        <v>853</v>
      </c>
      <c r="B13" s="5" t="s">
        <v>548</v>
      </c>
      <c r="C13" s="5" t="s">
        <v>125</v>
      </c>
      <c r="D13" s="5" t="s">
        <v>74</v>
      </c>
      <c r="E13" s="1">
        <v>45642</v>
      </c>
    </row>
    <row r="14" spans="1:5" x14ac:dyDescent="0.25">
      <c r="A14" s="5" t="s">
        <v>852</v>
      </c>
      <c r="B14" s="5" t="s">
        <v>851</v>
      </c>
      <c r="C14" s="5" t="s">
        <v>192</v>
      </c>
      <c r="D14" s="5" t="s">
        <v>67</v>
      </c>
      <c r="E14" s="1">
        <v>45519</v>
      </c>
    </row>
    <row r="15" spans="1:5" x14ac:dyDescent="0.25">
      <c r="A15" s="5" t="s">
        <v>850</v>
      </c>
      <c r="B15" s="5" t="s">
        <v>312</v>
      </c>
      <c r="C15" s="5" t="s">
        <v>192</v>
      </c>
      <c r="D15" s="5" t="s">
        <v>74</v>
      </c>
      <c r="E15" s="1">
        <v>45596</v>
      </c>
    </row>
    <row r="16" spans="1:5" x14ac:dyDescent="0.25">
      <c r="A16" s="5" t="s">
        <v>849</v>
      </c>
      <c r="B16" s="5" t="s">
        <v>331</v>
      </c>
      <c r="C16" s="5" t="s">
        <v>148</v>
      </c>
      <c r="D16" s="5" t="s">
        <v>91</v>
      </c>
      <c r="E16" s="1">
        <v>45396</v>
      </c>
    </row>
    <row r="17" spans="1:5" x14ac:dyDescent="0.25">
      <c r="A17" s="5" t="s">
        <v>848</v>
      </c>
      <c r="B17" s="5" t="s">
        <v>485</v>
      </c>
      <c r="C17" s="5" t="s">
        <v>192</v>
      </c>
      <c r="D17" s="5" t="s">
        <v>67</v>
      </c>
      <c r="E17" s="1">
        <v>45577</v>
      </c>
    </row>
    <row r="18" spans="1:5" x14ac:dyDescent="0.25">
      <c r="A18" s="5" t="s">
        <v>847</v>
      </c>
      <c r="B18" s="5" t="s">
        <v>102</v>
      </c>
      <c r="C18" s="5" t="s">
        <v>104</v>
      </c>
      <c r="D18" s="5" t="s">
        <v>67</v>
      </c>
      <c r="E18" s="1">
        <v>45671</v>
      </c>
    </row>
    <row r="19" spans="1:5" x14ac:dyDescent="0.25">
      <c r="A19" s="5" t="s">
        <v>846</v>
      </c>
      <c r="B19" s="5" t="s">
        <v>598</v>
      </c>
      <c r="C19" s="5" t="s">
        <v>97</v>
      </c>
      <c r="D19" s="5" t="s">
        <v>67</v>
      </c>
      <c r="E19" s="1">
        <v>45431</v>
      </c>
    </row>
    <row r="20" spans="1:5" x14ac:dyDescent="0.25">
      <c r="A20" s="5" t="s">
        <v>845</v>
      </c>
      <c r="B20" s="5" t="s">
        <v>500</v>
      </c>
      <c r="C20" s="5" t="s">
        <v>125</v>
      </c>
      <c r="D20" s="5" t="s">
        <v>67</v>
      </c>
      <c r="E20" s="1">
        <v>45461</v>
      </c>
    </row>
    <row r="21" spans="1:5" x14ac:dyDescent="0.25">
      <c r="A21" s="5" t="s">
        <v>844</v>
      </c>
      <c r="B21" s="5" t="s">
        <v>186</v>
      </c>
      <c r="C21" s="5" t="s">
        <v>307</v>
      </c>
      <c r="D21" s="5" t="s">
        <v>67</v>
      </c>
      <c r="E21" s="1">
        <v>45454</v>
      </c>
    </row>
    <row r="22" spans="1:5" x14ac:dyDescent="0.25">
      <c r="A22" s="5" t="s">
        <v>843</v>
      </c>
      <c r="B22" s="5" t="s">
        <v>247</v>
      </c>
      <c r="C22" s="5" t="s">
        <v>192</v>
      </c>
      <c r="D22" s="5" t="s">
        <v>67</v>
      </c>
      <c r="E22" s="1">
        <v>45570</v>
      </c>
    </row>
    <row r="23" spans="1:5" x14ac:dyDescent="0.25">
      <c r="A23" s="5" t="s">
        <v>842</v>
      </c>
      <c r="B23" s="5" t="s">
        <v>739</v>
      </c>
      <c r="C23" s="5" t="s">
        <v>130</v>
      </c>
      <c r="D23" s="5" t="s">
        <v>91</v>
      </c>
      <c r="E23" s="1">
        <v>45399</v>
      </c>
    </row>
    <row r="24" spans="1:5" x14ac:dyDescent="0.25">
      <c r="A24" s="5" t="s">
        <v>841</v>
      </c>
      <c r="B24" s="5" t="s">
        <v>840</v>
      </c>
      <c r="C24" s="5" t="s">
        <v>148</v>
      </c>
      <c r="D24" s="5" t="s">
        <v>67</v>
      </c>
      <c r="E24" s="1">
        <v>45603</v>
      </c>
    </row>
    <row r="25" spans="1:5" x14ac:dyDescent="0.25">
      <c r="A25" s="5" t="s">
        <v>839</v>
      </c>
      <c r="B25" s="5" t="s">
        <v>613</v>
      </c>
      <c r="C25" s="5" t="s">
        <v>78</v>
      </c>
      <c r="D25" s="5" t="s">
        <v>67</v>
      </c>
      <c r="E25" s="1">
        <v>45625</v>
      </c>
    </row>
    <row r="26" spans="1:5" x14ac:dyDescent="0.25">
      <c r="A26" s="5" t="s">
        <v>838</v>
      </c>
      <c r="B26" s="5" t="s">
        <v>577</v>
      </c>
      <c r="C26" s="5" t="s">
        <v>212</v>
      </c>
      <c r="D26" s="5" t="s">
        <v>67</v>
      </c>
      <c r="E26" s="1">
        <v>45614</v>
      </c>
    </row>
    <row r="27" spans="1:5" x14ac:dyDescent="0.25">
      <c r="A27" s="5" t="s">
        <v>837</v>
      </c>
      <c r="B27" s="5" t="s">
        <v>179</v>
      </c>
      <c r="C27" s="5" t="s">
        <v>125</v>
      </c>
      <c r="D27" s="5" t="s">
        <v>74</v>
      </c>
      <c r="E27" s="1">
        <v>45624</v>
      </c>
    </row>
    <row r="28" spans="1:5" x14ac:dyDescent="0.25">
      <c r="A28" s="5" t="s">
        <v>836</v>
      </c>
      <c r="B28" s="5" t="s">
        <v>413</v>
      </c>
      <c r="C28" s="5" t="s">
        <v>104</v>
      </c>
      <c r="D28" s="5" t="s">
        <v>67</v>
      </c>
      <c r="E28" s="1">
        <v>45408</v>
      </c>
    </row>
    <row r="29" spans="1:5" x14ac:dyDescent="0.25">
      <c r="A29" s="5" t="s">
        <v>835</v>
      </c>
      <c r="B29" s="5" t="s">
        <v>508</v>
      </c>
      <c r="C29" s="5" t="s">
        <v>120</v>
      </c>
      <c r="D29" s="5" t="s">
        <v>74</v>
      </c>
      <c r="E29" s="1">
        <v>45696</v>
      </c>
    </row>
    <row r="30" spans="1:5" x14ac:dyDescent="0.25">
      <c r="A30" s="5" t="s">
        <v>834</v>
      </c>
      <c r="B30" s="5" t="s">
        <v>833</v>
      </c>
      <c r="C30" s="5" t="s">
        <v>78</v>
      </c>
      <c r="D30" s="5" t="s">
        <v>67</v>
      </c>
      <c r="E30" s="1">
        <v>45744</v>
      </c>
    </row>
    <row r="31" spans="1:5" x14ac:dyDescent="0.25">
      <c r="A31" s="5" t="s">
        <v>832</v>
      </c>
      <c r="B31" s="5" t="s">
        <v>831</v>
      </c>
      <c r="C31" s="5" t="s">
        <v>185</v>
      </c>
      <c r="D31" s="5" t="s">
        <v>67</v>
      </c>
      <c r="E31" s="1">
        <v>45649</v>
      </c>
    </row>
    <row r="32" spans="1:5" x14ac:dyDescent="0.25">
      <c r="A32" s="5" t="s">
        <v>830</v>
      </c>
      <c r="B32" s="5" t="s">
        <v>443</v>
      </c>
      <c r="C32" s="5" t="s">
        <v>78</v>
      </c>
      <c r="D32" s="5" t="s">
        <v>67</v>
      </c>
      <c r="E32" s="1">
        <v>45423</v>
      </c>
    </row>
    <row r="33" spans="1:5" x14ac:dyDescent="0.25">
      <c r="A33" s="5" t="s">
        <v>829</v>
      </c>
      <c r="B33" s="5" t="s">
        <v>300</v>
      </c>
      <c r="C33" s="5" t="s">
        <v>68</v>
      </c>
      <c r="D33" s="5" t="s">
        <v>67</v>
      </c>
      <c r="E33" s="1">
        <v>45663</v>
      </c>
    </row>
    <row r="34" spans="1:5" x14ac:dyDescent="0.25">
      <c r="A34" s="5" t="s">
        <v>828</v>
      </c>
      <c r="B34" s="5" t="s">
        <v>304</v>
      </c>
      <c r="C34" s="5" t="s">
        <v>185</v>
      </c>
      <c r="D34" s="5" t="s">
        <v>67</v>
      </c>
      <c r="E34" s="1">
        <v>45703</v>
      </c>
    </row>
    <row r="35" spans="1:5" x14ac:dyDescent="0.25">
      <c r="A35" s="5" t="s">
        <v>827</v>
      </c>
      <c r="B35" s="5" t="s">
        <v>826</v>
      </c>
      <c r="C35" s="5" t="s">
        <v>307</v>
      </c>
      <c r="D35" s="5" t="s">
        <v>67</v>
      </c>
      <c r="E35" s="1">
        <v>45576</v>
      </c>
    </row>
    <row r="36" spans="1:5" x14ac:dyDescent="0.25">
      <c r="A36" s="5" t="s">
        <v>825</v>
      </c>
      <c r="B36" s="5" t="s">
        <v>824</v>
      </c>
      <c r="C36" s="5" t="s">
        <v>86</v>
      </c>
      <c r="D36" s="5" t="s">
        <v>74</v>
      </c>
      <c r="E36" s="1">
        <v>45733</v>
      </c>
    </row>
    <row r="37" spans="1:5" x14ac:dyDescent="0.25">
      <c r="A37" s="5" t="s">
        <v>823</v>
      </c>
      <c r="B37" s="5" t="s">
        <v>717</v>
      </c>
      <c r="C37" s="5" t="s">
        <v>75</v>
      </c>
      <c r="D37" s="5" t="s">
        <v>74</v>
      </c>
      <c r="E37" s="1">
        <v>45568</v>
      </c>
    </row>
    <row r="38" spans="1:5" x14ac:dyDescent="0.25">
      <c r="A38" s="5" t="s">
        <v>822</v>
      </c>
      <c r="B38" s="5" t="s">
        <v>816</v>
      </c>
      <c r="C38" s="5" t="s">
        <v>125</v>
      </c>
      <c r="D38" s="5" t="s">
        <v>67</v>
      </c>
      <c r="E38" s="1">
        <v>45424</v>
      </c>
    </row>
    <row r="39" spans="1:5" x14ac:dyDescent="0.25">
      <c r="A39" s="5" t="s">
        <v>821</v>
      </c>
      <c r="B39" s="5" t="s">
        <v>459</v>
      </c>
      <c r="C39" s="5" t="s">
        <v>81</v>
      </c>
      <c r="D39" s="5" t="s">
        <v>91</v>
      </c>
      <c r="E39" s="1">
        <v>45442</v>
      </c>
    </row>
    <row r="40" spans="1:5" x14ac:dyDescent="0.25">
      <c r="A40" s="5" t="s">
        <v>820</v>
      </c>
      <c r="B40" s="5" t="s">
        <v>670</v>
      </c>
      <c r="C40" s="5" t="s">
        <v>81</v>
      </c>
      <c r="D40" s="5" t="s">
        <v>74</v>
      </c>
      <c r="E40" s="1">
        <v>45641</v>
      </c>
    </row>
    <row r="41" spans="1:5" x14ac:dyDescent="0.25">
      <c r="A41" s="5" t="s">
        <v>819</v>
      </c>
      <c r="B41" s="5" t="s">
        <v>164</v>
      </c>
      <c r="C41" s="5" t="s">
        <v>104</v>
      </c>
      <c r="D41" s="5" t="s">
        <v>67</v>
      </c>
      <c r="E41" s="1">
        <v>45509</v>
      </c>
    </row>
    <row r="42" spans="1:5" x14ac:dyDescent="0.25">
      <c r="A42" s="5" t="s">
        <v>818</v>
      </c>
      <c r="B42" s="5" t="s">
        <v>213</v>
      </c>
      <c r="C42" s="5" t="s">
        <v>104</v>
      </c>
      <c r="D42" s="5" t="s">
        <v>67</v>
      </c>
      <c r="E42" s="1">
        <v>45688</v>
      </c>
    </row>
    <row r="43" spans="1:5" x14ac:dyDescent="0.25">
      <c r="A43" s="5" t="s">
        <v>817</v>
      </c>
      <c r="B43" s="5" t="s">
        <v>816</v>
      </c>
      <c r="C43" s="5" t="s">
        <v>141</v>
      </c>
      <c r="D43" s="5" t="s">
        <v>74</v>
      </c>
      <c r="E43" s="1">
        <v>45440</v>
      </c>
    </row>
    <row r="44" spans="1:5" x14ac:dyDescent="0.25">
      <c r="A44" s="5" t="s">
        <v>815</v>
      </c>
      <c r="B44" s="5" t="s">
        <v>491</v>
      </c>
      <c r="C44" s="5" t="s">
        <v>97</v>
      </c>
      <c r="D44" s="5" t="s">
        <v>91</v>
      </c>
      <c r="E44" s="1">
        <v>45406</v>
      </c>
    </row>
    <row r="45" spans="1:5" x14ac:dyDescent="0.25">
      <c r="A45" s="5" t="s">
        <v>814</v>
      </c>
      <c r="B45" s="5" t="s">
        <v>465</v>
      </c>
      <c r="C45" s="5" t="s">
        <v>78</v>
      </c>
      <c r="D45" s="5" t="s">
        <v>67</v>
      </c>
      <c r="E45" s="1">
        <v>45518</v>
      </c>
    </row>
    <row r="46" spans="1:5" x14ac:dyDescent="0.25">
      <c r="A46" s="5" t="s">
        <v>813</v>
      </c>
      <c r="B46" s="5" t="s">
        <v>170</v>
      </c>
      <c r="C46" s="5" t="s">
        <v>75</v>
      </c>
      <c r="D46" s="5" t="s">
        <v>91</v>
      </c>
      <c r="E46" s="1">
        <v>45672</v>
      </c>
    </row>
    <row r="47" spans="1:5" x14ac:dyDescent="0.25">
      <c r="A47" s="5" t="s">
        <v>812</v>
      </c>
      <c r="B47" s="5" t="s">
        <v>276</v>
      </c>
      <c r="C47" s="5" t="s">
        <v>68</v>
      </c>
      <c r="D47" s="5" t="s">
        <v>67</v>
      </c>
      <c r="E47" s="1">
        <v>45402</v>
      </c>
    </row>
    <row r="48" spans="1:5" x14ac:dyDescent="0.25">
      <c r="A48" s="5" t="s">
        <v>811</v>
      </c>
      <c r="B48" s="5" t="s">
        <v>721</v>
      </c>
      <c r="C48" s="5" t="s">
        <v>133</v>
      </c>
      <c r="D48" s="5" t="s">
        <v>74</v>
      </c>
      <c r="E48" s="1">
        <v>45401</v>
      </c>
    </row>
    <row r="49" spans="1:5" x14ac:dyDescent="0.25">
      <c r="A49" s="5" t="s">
        <v>810</v>
      </c>
      <c r="B49" s="5" t="s">
        <v>618</v>
      </c>
      <c r="C49" s="5" t="s">
        <v>192</v>
      </c>
      <c r="D49" s="5" t="s">
        <v>74</v>
      </c>
      <c r="E49" s="1">
        <v>45550</v>
      </c>
    </row>
    <row r="50" spans="1:5" x14ac:dyDescent="0.25">
      <c r="A50" s="5" t="s">
        <v>809</v>
      </c>
      <c r="B50" s="5" t="s">
        <v>808</v>
      </c>
      <c r="C50" s="5" t="s">
        <v>151</v>
      </c>
      <c r="D50" s="5" t="s">
        <v>67</v>
      </c>
      <c r="E50" s="1">
        <v>45513</v>
      </c>
    </row>
    <row r="51" spans="1:5" x14ac:dyDescent="0.25">
      <c r="A51" s="5" t="s">
        <v>807</v>
      </c>
      <c r="B51" s="5" t="s">
        <v>806</v>
      </c>
      <c r="C51" s="5" t="s">
        <v>136</v>
      </c>
      <c r="D51" s="5" t="s">
        <v>67</v>
      </c>
      <c r="E51" s="1">
        <v>45533</v>
      </c>
    </row>
    <row r="52" spans="1:5" x14ac:dyDescent="0.25">
      <c r="A52" s="5" t="s">
        <v>805</v>
      </c>
      <c r="B52" s="5" t="s">
        <v>804</v>
      </c>
      <c r="C52" s="5" t="s">
        <v>130</v>
      </c>
      <c r="D52" s="5" t="s">
        <v>67</v>
      </c>
      <c r="E52" s="1">
        <v>45473</v>
      </c>
    </row>
    <row r="53" spans="1:5" x14ac:dyDescent="0.25">
      <c r="A53" s="5" t="s">
        <v>803</v>
      </c>
      <c r="B53" s="5" t="s">
        <v>802</v>
      </c>
      <c r="C53" s="5" t="s">
        <v>125</v>
      </c>
      <c r="D53" s="5" t="s">
        <v>67</v>
      </c>
      <c r="E53" s="1">
        <v>45671</v>
      </c>
    </row>
    <row r="54" spans="1:5" x14ac:dyDescent="0.25">
      <c r="A54" s="5" t="s">
        <v>801</v>
      </c>
      <c r="B54" s="5" t="s">
        <v>613</v>
      </c>
      <c r="C54" s="5" t="s">
        <v>117</v>
      </c>
      <c r="D54" s="5" t="s">
        <v>67</v>
      </c>
      <c r="E54" s="1">
        <v>45494</v>
      </c>
    </row>
    <row r="55" spans="1:5" x14ac:dyDescent="0.25">
      <c r="A55" s="5" t="s">
        <v>800</v>
      </c>
      <c r="B55" s="5" t="s">
        <v>102</v>
      </c>
      <c r="C55" s="5" t="s">
        <v>71</v>
      </c>
      <c r="D55" s="5" t="s">
        <v>67</v>
      </c>
      <c r="E55" s="1">
        <v>45612</v>
      </c>
    </row>
    <row r="56" spans="1:5" x14ac:dyDescent="0.25">
      <c r="A56" s="5" t="s">
        <v>799</v>
      </c>
      <c r="B56" s="5" t="s">
        <v>446</v>
      </c>
      <c r="C56" s="5" t="s">
        <v>151</v>
      </c>
      <c r="D56" s="5" t="s">
        <v>74</v>
      </c>
      <c r="E56" s="1">
        <v>45606</v>
      </c>
    </row>
    <row r="57" spans="1:5" x14ac:dyDescent="0.25">
      <c r="A57" s="5" t="s">
        <v>798</v>
      </c>
      <c r="B57" s="5" t="s">
        <v>532</v>
      </c>
      <c r="C57" s="5" t="s">
        <v>97</v>
      </c>
      <c r="D57" s="5" t="s">
        <v>91</v>
      </c>
      <c r="E57" s="1">
        <v>45633</v>
      </c>
    </row>
    <row r="58" spans="1:5" x14ac:dyDescent="0.25">
      <c r="A58" s="5" t="s">
        <v>797</v>
      </c>
      <c r="B58" s="5" t="s">
        <v>796</v>
      </c>
      <c r="C58" s="5" t="s">
        <v>192</v>
      </c>
      <c r="D58" s="5" t="s">
        <v>67</v>
      </c>
      <c r="E58" s="1">
        <v>45626</v>
      </c>
    </row>
    <row r="59" spans="1:5" x14ac:dyDescent="0.25">
      <c r="A59" s="5" t="s">
        <v>795</v>
      </c>
      <c r="B59" s="5" t="s">
        <v>794</v>
      </c>
      <c r="C59" s="5" t="s">
        <v>307</v>
      </c>
      <c r="D59" s="5" t="s">
        <v>67</v>
      </c>
      <c r="E59" s="1">
        <v>45583</v>
      </c>
    </row>
    <row r="60" spans="1:5" x14ac:dyDescent="0.25">
      <c r="A60" s="5" t="s">
        <v>793</v>
      </c>
      <c r="B60" s="5" t="s">
        <v>706</v>
      </c>
      <c r="C60" s="5" t="s">
        <v>212</v>
      </c>
      <c r="D60" s="5" t="s">
        <v>67</v>
      </c>
      <c r="E60" s="1">
        <v>45399</v>
      </c>
    </row>
    <row r="61" spans="1:5" x14ac:dyDescent="0.25">
      <c r="A61" s="5" t="s">
        <v>792</v>
      </c>
      <c r="B61" s="5" t="s">
        <v>791</v>
      </c>
      <c r="C61" s="5" t="s">
        <v>92</v>
      </c>
      <c r="D61" s="5" t="s">
        <v>67</v>
      </c>
      <c r="E61" s="1">
        <v>45397</v>
      </c>
    </row>
    <row r="62" spans="1:5" x14ac:dyDescent="0.25">
      <c r="A62" s="5" t="s">
        <v>790</v>
      </c>
      <c r="B62" s="5" t="s">
        <v>193</v>
      </c>
      <c r="C62" s="5" t="s">
        <v>133</v>
      </c>
      <c r="D62" s="5" t="s">
        <v>74</v>
      </c>
      <c r="E62" s="1">
        <v>45612</v>
      </c>
    </row>
    <row r="63" spans="1:5" x14ac:dyDescent="0.25">
      <c r="A63" s="5" t="s">
        <v>789</v>
      </c>
      <c r="B63" s="5" t="s">
        <v>210</v>
      </c>
      <c r="C63" s="5" t="s">
        <v>97</v>
      </c>
      <c r="D63" s="5" t="s">
        <v>74</v>
      </c>
      <c r="E63" s="1">
        <v>45438</v>
      </c>
    </row>
    <row r="64" spans="1:5" x14ac:dyDescent="0.25">
      <c r="A64" s="5" t="s">
        <v>788</v>
      </c>
      <c r="B64" s="5" t="s">
        <v>787</v>
      </c>
      <c r="C64" s="5" t="s">
        <v>78</v>
      </c>
      <c r="D64" s="5" t="s">
        <v>74</v>
      </c>
      <c r="E64" s="1">
        <v>45571</v>
      </c>
    </row>
    <row r="65" spans="1:5" x14ac:dyDescent="0.25">
      <c r="A65" s="5" t="s">
        <v>786</v>
      </c>
      <c r="B65" s="5" t="s">
        <v>785</v>
      </c>
      <c r="C65" s="5" t="s">
        <v>141</v>
      </c>
      <c r="D65" s="5" t="s">
        <v>74</v>
      </c>
      <c r="E65" s="1">
        <v>45713</v>
      </c>
    </row>
    <row r="66" spans="1:5" x14ac:dyDescent="0.25">
      <c r="A66" s="5" t="s">
        <v>784</v>
      </c>
      <c r="B66" s="5" t="s">
        <v>783</v>
      </c>
      <c r="C66" s="5" t="s">
        <v>92</v>
      </c>
      <c r="D66" s="5" t="s">
        <v>74</v>
      </c>
      <c r="E66" s="1">
        <v>45602</v>
      </c>
    </row>
    <row r="67" spans="1:5" x14ac:dyDescent="0.25">
      <c r="A67" s="5" t="s">
        <v>782</v>
      </c>
      <c r="B67" s="5" t="s">
        <v>417</v>
      </c>
      <c r="C67" s="5" t="s">
        <v>117</v>
      </c>
      <c r="D67" s="5" t="s">
        <v>91</v>
      </c>
      <c r="E67" s="1">
        <v>45722</v>
      </c>
    </row>
    <row r="68" spans="1:5" x14ac:dyDescent="0.25">
      <c r="A68" s="5" t="s">
        <v>781</v>
      </c>
      <c r="B68" s="5" t="s">
        <v>780</v>
      </c>
      <c r="C68" s="5" t="s">
        <v>141</v>
      </c>
      <c r="D68" s="5" t="s">
        <v>67</v>
      </c>
      <c r="E68" s="1">
        <v>45670</v>
      </c>
    </row>
    <row r="69" spans="1:5" x14ac:dyDescent="0.25">
      <c r="A69" s="5" t="s">
        <v>779</v>
      </c>
      <c r="B69" s="5" t="s">
        <v>465</v>
      </c>
      <c r="C69" s="5" t="s">
        <v>120</v>
      </c>
      <c r="D69" s="5" t="s">
        <v>74</v>
      </c>
      <c r="E69" s="1">
        <v>45530</v>
      </c>
    </row>
    <row r="70" spans="1:5" x14ac:dyDescent="0.25">
      <c r="A70" s="5" t="s">
        <v>778</v>
      </c>
      <c r="B70" s="5" t="s">
        <v>289</v>
      </c>
      <c r="C70" s="5" t="s">
        <v>192</v>
      </c>
      <c r="D70" s="5" t="s">
        <v>67</v>
      </c>
      <c r="E70" s="1">
        <v>45637</v>
      </c>
    </row>
    <row r="71" spans="1:5" x14ac:dyDescent="0.25">
      <c r="A71" s="5" t="s">
        <v>777</v>
      </c>
      <c r="B71" s="5" t="s">
        <v>493</v>
      </c>
      <c r="C71" s="5" t="s">
        <v>141</v>
      </c>
      <c r="D71" s="5" t="s">
        <v>91</v>
      </c>
      <c r="E71" s="1">
        <v>45607</v>
      </c>
    </row>
    <row r="72" spans="1:5" x14ac:dyDescent="0.25">
      <c r="A72" s="5" t="s">
        <v>776</v>
      </c>
      <c r="B72" s="5" t="s">
        <v>515</v>
      </c>
      <c r="C72" s="5" t="s">
        <v>92</v>
      </c>
      <c r="D72" s="5" t="s">
        <v>74</v>
      </c>
      <c r="E72" s="1">
        <v>45724</v>
      </c>
    </row>
    <row r="73" spans="1:5" x14ac:dyDescent="0.25">
      <c r="A73" s="5" t="s">
        <v>775</v>
      </c>
      <c r="B73" s="5" t="s">
        <v>774</v>
      </c>
      <c r="C73" s="5" t="s">
        <v>307</v>
      </c>
      <c r="D73" s="5" t="s">
        <v>67</v>
      </c>
      <c r="E73" s="1">
        <v>45746</v>
      </c>
    </row>
    <row r="74" spans="1:5" x14ac:dyDescent="0.25">
      <c r="A74" s="5" t="s">
        <v>773</v>
      </c>
      <c r="B74" s="5" t="s">
        <v>772</v>
      </c>
      <c r="C74" s="5" t="s">
        <v>125</v>
      </c>
      <c r="D74" s="5" t="s">
        <v>74</v>
      </c>
      <c r="E74" s="1">
        <v>45428</v>
      </c>
    </row>
    <row r="75" spans="1:5" x14ac:dyDescent="0.25">
      <c r="A75" s="5" t="s">
        <v>771</v>
      </c>
      <c r="B75" s="5" t="s">
        <v>89</v>
      </c>
      <c r="C75" s="5" t="s">
        <v>307</v>
      </c>
      <c r="D75" s="5" t="s">
        <v>67</v>
      </c>
      <c r="E75" s="1">
        <v>45588</v>
      </c>
    </row>
    <row r="76" spans="1:5" x14ac:dyDescent="0.25">
      <c r="A76" s="5" t="s">
        <v>770</v>
      </c>
      <c r="B76" s="5" t="s">
        <v>456</v>
      </c>
      <c r="C76" s="5" t="s">
        <v>212</v>
      </c>
      <c r="D76" s="5" t="s">
        <v>67</v>
      </c>
      <c r="E76" s="1">
        <v>45609</v>
      </c>
    </row>
    <row r="77" spans="1:5" x14ac:dyDescent="0.25">
      <c r="A77" s="5" t="s">
        <v>769</v>
      </c>
      <c r="B77" s="5" t="s">
        <v>766</v>
      </c>
      <c r="C77" s="5" t="s">
        <v>185</v>
      </c>
      <c r="D77" s="5" t="s">
        <v>67</v>
      </c>
      <c r="E77" s="1">
        <v>45385</v>
      </c>
    </row>
    <row r="78" spans="1:5" x14ac:dyDescent="0.25">
      <c r="A78" s="5" t="s">
        <v>768</v>
      </c>
      <c r="B78" s="5" t="s">
        <v>304</v>
      </c>
      <c r="C78" s="5" t="s">
        <v>97</v>
      </c>
      <c r="D78" s="5" t="s">
        <v>67</v>
      </c>
      <c r="E78" s="1">
        <v>45542</v>
      </c>
    </row>
    <row r="79" spans="1:5" x14ac:dyDescent="0.25">
      <c r="A79" s="5" t="s">
        <v>767</v>
      </c>
      <c r="B79" s="5" t="s">
        <v>766</v>
      </c>
      <c r="C79" s="5" t="s">
        <v>185</v>
      </c>
      <c r="D79" s="5" t="s">
        <v>91</v>
      </c>
      <c r="E79" s="1">
        <v>45595</v>
      </c>
    </row>
    <row r="80" spans="1:5" x14ac:dyDescent="0.25">
      <c r="A80" s="5" t="s">
        <v>765</v>
      </c>
      <c r="B80" s="5" t="s">
        <v>681</v>
      </c>
      <c r="C80" s="5" t="s">
        <v>125</v>
      </c>
      <c r="D80" s="5" t="s">
        <v>67</v>
      </c>
      <c r="E80" s="1">
        <v>45629</v>
      </c>
    </row>
    <row r="81" spans="1:5" x14ac:dyDescent="0.25">
      <c r="A81" s="5" t="s">
        <v>764</v>
      </c>
      <c r="B81" s="5" t="s">
        <v>763</v>
      </c>
      <c r="C81" s="5" t="s">
        <v>125</v>
      </c>
      <c r="D81" s="5" t="s">
        <v>67</v>
      </c>
      <c r="E81" s="1">
        <v>45457</v>
      </c>
    </row>
    <row r="82" spans="1:5" x14ac:dyDescent="0.25">
      <c r="A82" s="5" t="s">
        <v>762</v>
      </c>
      <c r="B82" s="5" t="s">
        <v>684</v>
      </c>
      <c r="C82" s="5" t="s">
        <v>78</v>
      </c>
      <c r="D82" s="5" t="s">
        <v>67</v>
      </c>
      <c r="E82" s="1">
        <v>45408</v>
      </c>
    </row>
    <row r="83" spans="1:5" x14ac:dyDescent="0.25">
      <c r="A83" s="5" t="s">
        <v>761</v>
      </c>
      <c r="B83" s="5" t="s">
        <v>719</v>
      </c>
      <c r="C83" s="5" t="s">
        <v>120</v>
      </c>
      <c r="D83" s="5" t="s">
        <v>67</v>
      </c>
      <c r="E83" s="1">
        <v>45632</v>
      </c>
    </row>
    <row r="84" spans="1:5" x14ac:dyDescent="0.25">
      <c r="A84" s="5" t="s">
        <v>760</v>
      </c>
      <c r="B84" s="5" t="s">
        <v>410</v>
      </c>
      <c r="C84" s="5" t="s">
        <v>130</v>
      </c>
      <c r="D84" s="5" t="s">
        <v>67</v>
      </c>
      <c r="E84" s="1">
        <v>45737</v>
      </c>
    </row>
    <row r="85" spans="1:5" x14ac:dyDescent="0.25">
      <c r="A85" s="5" t="s">
        <v>759</v>
      </c>
      <c r="B85" s="5" t="s">
        <v>691</v>
      </c>
      <c r="C85" s="5" t="s">
        <v>78</v>
      </c>
      <c r="D85" s="5" t="s">
        <v>67</v>
      </c>
      <c r="E85" s="1">
        <v>45489</v>
      </c>
    </row>
    <row r="86" spans="1:5" x14ac:dyDescent="0.25">
      <c r="A86" s="5" t="s">
        <v>758</v>
      </c>
      <c r="B86" s="5" t="s">
        <v>719</v>
      </c>
      <c r="C86" s="5" t="s">
        <v>307</v>
      </c>
      <c r="D86" s="5" t="s">
        <v>67</v>
      </c>
      <c r="E86" s="1">
        <v>45718</v>
      </c>
    </row>
    <row r="87" spans="1:5" x14ac:dyDescent="0.25">
      <c r="A87" s="5" t="s">
        <v>757</v>
      </c>
      <c r="B87" s="5" t="s">
        <v>756</v>
      </c>
      <c r="C87" s="5" t="s">
        <v>104</v>
      </c>
      <c r="D87" s="5" t="s">
        <v>74</v>
      </c>
      <c r="E87" s="1">
        <v>45425</v>
      </c>
    </row>
    <row r="88" spans="1:5" x14ac:dyDescent="0.25">
      <c r="A88" s="5" t="s">
        <v>755</v>
      </c>
      <c r="B88" s="5" t="s">
        <v>754</v>
      </c>
      <c r="C88" s="5" t="s">
        <v>71</v>
      </c>
      <c r="D88" s="5" t="s">
        <v>91</v>
      </c>
      <c r="E88" s="1">
        <v>45569</v>
      </c>
    </row>
    <row r="89" spans="1:5" x14ac:dyDescent="0.25">
      <c r="A89" s="5" t="s">
        <v>753</v>
      </c>
      <c r="B89" s="5" t="s">
        <v>341</v>
      </c>
      <c r="C89" s="5" t="s">
        <v>141</v>
      </c>
      <c r="D89" s="5" t="s">
        <v>67</v>
      </c>
      <c r="E89" s="1">
        <v>45648</v>
      </c>
    </row>
    <row r="90" spans="1:5" x14ac:dyDescent="0.25">
      <c r="A90" s="5" t="s">
        <v>752</v>
      </c>
      <c r="B90" s="5" t="s">
        <v>446</v>
      </c>
      <c r="C90" s="5" t="s">
        <v>136</v>
      </c>
      <c r="D90" s="5" t="s">
        <v>67</v>
      </c>
      <c r="E90" s="1">
        <v>45496</v>
      </c>
    </row>
    <row r="91" spans="1:5" x14ac:dyDescent="0.25">
      <c r="A91" s="5" t="s">
        <v>751</v>
      </c>
      <c r="B91" s="5" t="s">
        <v>560</v>
      </c>
      <c r="C91" s="5" t="s">
        <v>185</v>
      </c>
      <c r="D91" s="5" t="s">
        <v>74</v>
      </c>
      <c r="E91" s="1">
        <v>45671</v>
      </c>
    </row>
    <row r="92" spans="1:5" x14ac:dyDescent="0.25">
      <c r="A92" s="5" t="s">
        <v>750</v>
      </c>
      <c r="B92" s="5" t="s">
        <v>582</v>
      </c>
      <c r="C92" s="5" t="s">
        <v>185</v>
      </c>
      <c r="D92" s="5" t="s">
        <v>91</v>
      </c>
      <c r="E92" s="1">
        <v>45455</v>
      </c>
    </row>
    <row r="93" spans="1:5" x14ac:dyDescent="0.25">
      <c r="A93" s="5" t="s">
        <v>749</v>
      </c>
      <c r="B93" s="5" t="s">
        <v>574</v>
      </c>
      <c r="C93" s="5" t="s">
        <v>120</v>
      </c>
      <c r="D93" s="5" t="s">
        <v>91</v>
      </c>
      <c r="E93" s="1">
        <v>45587</v>
      </c>
    </row>
    <row r="94" spans="1:5" x14ac:dyDescent="0.25">
      <c r="A94" s="5" t="s">
        <v>748</v>
      </c>
      <c r="B94" s="5" t="s">
        <v>747</v>
      </c>
      <c r="C94" s="5" t="s">
        <v>212</v>
      </c>
      <c r="D94" s="5" t="s">
        <v>67</v>
      </c>
      <c r="E94" s="1">
        <v>45723</v>
      </c>
    </row>
    <row r="95" spans="1:5" x14ac:dyDescent="0.25">
      <c r="A95" s="5" t="s">
        <v>746</v>
      </c>
      <c r="B95" s="5" t="s">
        <v>745</v>
      </c>
      <c r="C95" s="5" t="s">
        <v>136</v>
      </c>
      <c r="D95" s="5" t="s">
        <v>74</v>
      </c>
      <c r="E95" s="1">
        <v>45485</v>
      </c>
    </row>
    <row r="96" spans="1:5" x14ac:dyDescent="0.25">
      <c r="A96" s="5" t="s">
        <v>744</v>
      </c>
      <c r="B96" s="5" t="s">
        <v>152</v>
      </c>
      <c r="C96" s="5" t="s">
        <v>92</v>
      </c>
      <c r="D96" s="5" t="s">
        <v>74</v>
      </c>
      <c r="E96" s="1">
        <v>45680</v>
      </c>
    </row>
    <row r="97" spans="1:5" x14ac:dyDescent="0.25">
      <c r="A97" s="5" t="s">
        <v>743</v>
      </c>
      <c r="B97" s="5" t="s">
        <v>423</v>
      </c>
      <c r="C97" s="5" t="s">
        <v>130</v>
      </c>
      <c r="D97" s="5" t="s">
        <v>91</v>
      </c>
      <c r="E97" s="1">
        <v>45524</v>
      </c>
    </row>
    <row r="98" spans="1:5" x14ac:dyDescent="0.25">
      <c r="A98" s="5" t="s">
        <v>742</v>
      </c>
      <c r="B98" s="5" t="s">
        <v>562</v>
      </c>
      <c r="C98" s="5" t="s">
        <v>104</v>
      </c>
      <c r="D98" s="5" t="s">
        <v>74</v>
      </c>
      <c r="E98" s="1">
        <v>45421</v>
      </c>
    </row>
    <row r="99" spans="1:5" x14ac:dyDescent="0.25">
      <c r="A99" s="5" t="s">
        <v>741</v>
      </c>
      <c r="B99" s="5" t="s">
        <v>473</v>
      </c>
      <c r="C99" s="5" t="s">
        <v>185</v>
      </c>
      <c r="D99" s="5" t="s">
        <v>91</v>
      </c>
      <c r="E99" s="1">
        <v>45692</v>
      </c>
    </row>
    <row r="100" spans="1:5" x14ac:dyDescent="0.25">
      <c r="A100" s="5" t="s">
        <v>740</v>
      </c>
      <c r="B100" s="5" t="s">
        <v>739</v>
      </c>
      <c r="C100" s="5" t="s">
        <v>68</v>
      </c>
      <c r="D100" s="5" t="s">
        <v>91</v>
      </c>
      <c r="E100" s="1">
        <v>45413</v>
      </c>
    </row>
    <row r="101" spans="1:5" x14ac:dyDescent="0.25">
      <c r="A101" s="5" t="s">
        <v>738</v>
      </c>
      <c r="B101" s="5" t="s">
        <v>627</v>
      </c>
      <c r="C101" s="5" t="s">
        <v>136</v>
      </c>
      <c r="D101" s="5" t="s">
        <v>91</v>
      </c>
      <c r="E101" s="1">
        <v>45736</v>
      </c>
    </row>
    <row r="102" spans="1:5" x14ac:dyDescent="0.25">
      <c r="A102" s="5" t="s">
        <v>737</v>
      </c>
      <c r="B102" s="5" t="s">
        <v>377</v>
      </c>
      <c r="C102" s="5" t="s">
        <v>71</v>
      </c>
      <c r="D102" s="5" t="s">
        <v>67</v>
      </c>
      <c r="E102" s="1">
        <v>45725</v>
      </c>
    </row>
    <row r="103" spans="1:5" x14ac:dyDescent="0.25">
      <c r="A103" s="5" t="s">
        <v>736</v>
      </c>
      <c r="B103" s="5" t="s">
        <v>735</v>
      </c>
      <c r="C103" s="5" t="s">
        <v>185</v>
      </c>
      <c r="D103" s="5" t="s">
        <v>74</v>
      </c>
      <c r="E103" s="1">
        <v>45673</v>
      </c>
    </row>
    <row r="104" spans="1:5" x14ac:dyDescent="0.25">
      <c r="A104" s="5" t="s">
        <v>734</v>
      </c>
      <c r="B104" s="5" t="s">
        <v>149</v>
      </c>
      <c r="C104" s="5" t="s">
        <v>71</v>
      </c>
      <c r="D104" s="5" t="s">
        <v>67</v>
      </c>
      <c r="E104" s="1">
        <v>45535</v>
      </c>
    </row>
    <row r="105" spans="1:5" x14ac:dyDescent="0.25">
      <c r="A105" s="5" t="s">
        <v>733</v>
      </c>
      <c r="B105" s="5" t="s">
        <v>415</v>
      </c>
      <c r="C105" s="5" t="s">
        <v>92</v>
      </c>
      <c r="D105" s="5" t="s">
        <v>67</v>
      </c>
      <c r="E105" s="1">
        <v>45730</v>
      </c>
    </row>
    <row r="106" spans="1:5" x14ac:dyDescent="0.25">
      <c r="A106" s="5" t="s">
        <v>732</v>
      </c>
      <c r="B106" s="5" t="s">
        <v>687</v>
      </c>
      <c r="C106" s="5" t="s">
        <v>104</v>
      </c>
      <c r="D106" s="5" t="s">
        <v>67</v>
      </c>
      <c r="E106" s="1">
        <v>45735</v>
      </c>
    </row>
    <row r="107" spans="1:5" x14ac:dyDescent="0.25">
      <c r="A107" s="5" t="s">
        <v>731</v>
      </c>
      <c r="B107" s="5" t="s">
        <v>730</v>
      </c>
      <c r="C107" s="5" t="s">
        <v>141</v>
      </c>
      <c r="D107" s="5" t="s">
        <v>67</v>
      </c>
      <c r="E107" s="1">
        <v>45716</v>
      </c>
    </row>
    <row r="108" spans="1:5" x14ac:dyDescent="0.25">
      <c r="A108" s="5" t="s">
        <v>729</v>
      </c>
      <c r="B108" s="5" t="s">
        <v>379</v>
      </c>
      <c r="C108" s="5" t="s">
        <v>148</v>
      </c>
      <c r="D108" s="5" t="s">
        <v>67</v>
      </c>
      <c r="E108" s="1">
        <v>45663</v>
      </c>
    </row>
    <row r="109" spans="1:5" x14ac:dyDescent="0.25">
      <c r="A109" s="5" t="s">
        <v>728</v>
      </c>
      <c r="B109" s="5" t="s">
        <v>190</v>
      </c>
      <c r="C109" s="5" t="s">
        <v>185</v>
      </c>
      <c r="D109" s="5" t="s">
        <v>67</v>
      </c>
      <c r="E109" s="1">
        <v>45744</v>
      </c>
    </row>
    <row r="110" spans="1:5" x14ac:dyDescent="0.25">
      <c r="A110" s="5" t="s">
        <v>727</v>
      </c>
      <c r="B110" s="5" t="s">
        <v>481</v>
      </c>
      <c r="C110" s="5" t="s">
        <v>120</v>
      </c>
      <c r="D110" s="5" t="s">
        <v>67</v>
      </c>
      <c r="E110" s="1">
        <v>45539</v>
      </c>
    </row>
    <row r="111" spans="1:5" x14ac:dyDescent="0.25">
      <c r="A111" s="5" t="s">
        <v>726</v>
      </c>
      <c r="B111" s="5" t="s">
        <v>548</v>
      </c>
      <c r="C111" s="5" t="s">
        <v>97</v>
      </c>
      <c r="D111" s="5" t="s">
        <v>67</v>
      </c>
      <c r="E111" s="1">
        <v>45431</v>
      </c>
    </row>
    <row r="112" spans="1:5" x14ac:dyDescent="0.25">
      <c r="A112" s="5" t="s">
        <v>725</v>
      </c>
      <c r="B112" s="5" t="s">
        <v>724</v>
      </c>
      <c r="C112" s="5" t="s">
        <v>185</v>
      </c>
      <c r="D112" s="5" t="s">
        <v>91</v>
      </c>
      <c r="E112" s="1">
        <v>45436</v>
      </c>
    </row>
    <row r="113" spans="1:5" x14ac:dyDescent="0.25">
      <c r="A113" s="5" t="s">
        <v>723</v>
      </c>
      <c r="B113" s="5" t="s">
        <v>706</v>
      </c>
      <c r="C113" s="5" t="s">
        <v>97</v>
      </c>
      <c r="D113" s="5" t="s">
        <v>67</v>
      </c>
      <c r="E113" s="1">
        <v>45736</v>
      </c>
    </row>
    <row r="114" spans="1:5" x14ac:dyDescent="0.25">
      <c r="A114" s="5" t="s">
        <v>722</v>
      </c>
      <c r="B114" s="5" t="s">
        <v>721</v>
      </c>
      <c r="C114" s="5" t="s">
        <v>71</v>
      </c>
      <c r="D114" s="5" t="s">
        <v>91</v>
      </c>
      <c r="E114" s="1">
        <v>45726</v>
      </c>
    </row>
    <row r="115" spans="1:5" x14ac:dyDescent="0.25">
      <c r="A115" s="5" t="s">
        <v>720</v>
      </c>
      <c r="B115" s="5" t="s">
        <v>719</v>
      </c>
      <c r="C115" s="5" t="s">
        <v>78</v>
      </c>
      <c r="D115" s="5" t="s">
        <v>67</v>
      </c>
      <c r="E115" s="1">
        <v>45577</v>
      </c>
    </row>
    <row r="116" spans="1:5" x14ac:dyDescent="0.25">
      <c r="A116" s="5" t="s">
        <v>718</v>
      </c>
      <c r="B116" s="5" t="s">
        <v>717</v>
      </c>
      <c r="C116" s="5" t="s">
        <v>117</v>
      </c>
      <c r="D116" s="5" t="s">
        <v>74</v>
      </c>
      <c r="E116" s="1">
        <v>45476</v>
      </c>
    </row>
    <row r="117" spans="1:5" x14ac:dyDescent="0.25">
      <c r="A117" s="5" t="s">
        <v>716</v>
      </c>
      <c r="B117" s="5" t="s">
        <v>166</v>
      </c>
      <c r="C117" s="5" t="s">
        <v>78</v>
      </c>
      <c r="D117" s="5" t="s">
        <v>67</v>
      </c>
      <c r="E117" s="1">
        <v>45724</v>
      </c>
    </row>
    <row r="118" spans="1:5" x14ac:dyDescent="0.25">
      <c r="A118" s="5" t="s">
        <v>715</v>
      </c>
      <c r="B118" s="5" t="s">
        <v>714</v>
      </c>
      <c r="C118" s="5" t="s">
        <v>185</v>
      </c>
      <c r="D118" s="5" t="s">
        <v>91</v>
      </c>
      <c r="E118" s="1">
        <v>45569</v>
      </c>
    </row>
    <row r="119" spans="1:5" x14ac:dyDescent="0.25">
      <c r="A119" s="5" t="s">
        <v>713</v>
      </c>
      <c r="B119" s="5" t="s">
        <v>188</v>
      </c>
      <c r="C119" s="5" t="s">
        <v>136</v>
      </c>
      <c r="D119" s="5" t="s">
        <v>74</v>
      </c>
      <c r="E119" s="1">
        <v>45596</v>
      </c>
    </row>
    <row r="120" spans="1:5" x14ac:dyDescent="0.25">
      <c r="A120" s="5" t="s">
        <v>712</v>
      </c>
      <c r="B120" s="5" t="s">
        <v>711</v>
      </c>
      <c r="C120" s="5" t="s">
        <v>97</v>
      </c>
      <c r="D120" s="5" t="s">
        <v>67</v>
      </c>
      <c r="E120" s="1">
        <v>45461</v>
      </c>
    </row>
    <row r="121" spans="1:5" x14ac:dyDescent="0.25">
      <c r="A121" s="5" t="s">
        <v>710</v>
      </c>
      <c r="B121" s="5" t="s">
        <v>684</v>
      </c>
      <c r="C121" s="5" t="s">
        <v>68</v>
      </c>
      <c r="D121" s="5" t="s">
        <v>67</v>
      </c>
      <c r="E121" s="1">
        <v>45530</v>
      </c>
    </row>
    <row r="122" spans="1:5" x14ac:dyDescent="0.25">
      <c r="A122" s="5" t="s">
        <v>709</v>
      </c>
      <c r="B122" s="5" t="s">
        <v>708</v>
      </c>
      <c r="C122" s="5" t="s">
        <v>133</v>
      </c>
      <c r="D122" s="5" t="s">
        <v>67</v>
      </c>
      <c r="E122" s="1">
        <v>45637</v>
      </c>
    </row>
    <row r="123" spans="1:5" x14ac:dyDescent="0.25">
      <c r="A123" s="5" t="s">
        <v>707</v>
      </c>
      <c r="B123" s="5" t="s">
        <v>706</v>
      </c>
      <c r="C123" s="5" t="s">
        <v>192</v>
      </c>
      <c r="D123" s="5" t="s">
        <v>91</v>
      </c>
      <c r="E123" s="1">
        <v>45405</v>
      </c>
    </row>
    <row r="124" spans="1:5" x14ac:dyDescent="0.25">
      <c r="A124" s="5" t="s">
        <v>705</v>
      </c>
      <c r="B124" s="5" t="s">
        <v>704</v>
      </c>
      <c r="C124" s="5" t="s">
        <v>68</v>
      </c>
      <c r="D124" s="5" t="s">
        <v>74</v>
      </c>
      <c r="E124" s="1">
        <v>45389</v>
      </c>
    </row>
    <row r="125" spans="1:5" x14ac:dyDescent="0.25">
      <c r="A125" s="5" t="s">
        <v>703</v>
      </c>
      <c r="B125" s="5" t="s">
        <v>664</v>
      </c>
      <c r="C125" s="5" t="s">
        <v>130</v>
      </c>
      <c r="D125" s="5" t="s">
        <v>74</v>
      </c>
      <c r="E125" s="1">
        <v>45473</v>
      </c>
    </row>
    <row r="126" spans="1:5" x14ac:dyDescent="0.25">
      <c r="A126" s="5" t="s">
        <v>702</v>
      </c>
      <c r="B126" s="5" t="s">
        <v>264</v>
      </c>
      <c r="C126" s="5" t="s">
        <v>130</v>
      </c>
      <c r="D126" s="5" t="s">
        <v>67</v>
      </c>
      <c r="E126" s="1">
        <v>45409</v>
      </c>
    </row>
    <row r="127" spans="1:5" x14ac:dyDescent="0.25">
      <c r="A127" s="5" t="s">
        <v>701</v>
      </c>
      <c r="B127" s="5" t="s">
        <v>137</v>
      </c>
      <c r="C127" s="5" t="s">
        <v>117</v>
      </c>
      <c r="D127" s="5" t="s">
        <v>67</v>
      </c>
      <c r="E127" s="1">
        <v>45568</v>
      </c>
    </row>
    <row r="128" spans="1:5" x14ac:dyDescent="0.25">
      <c r="A128" s="5" t="s">
        <v>700</v>
      </c>
      <c r="B128" s="5" t="s">
        <v>699</v>
      </c>
      <c r="C128" s="5" t="s">
        <v>133</v>
      </c>
      <c r="D128" s="5" t="s">
        <v>67</v>
      </c>
      <c r="E128" s="1">
        <v>45711</v>
      </c>
    </row>
    <row r="129" spans="1:5" x14ac:dyDescent="0.25">
      <c r="A129" s="5" t="s">
        <v>698</v>
      </c>
      <c r="B129" s="5" t="s">
        <v>697</v>
      </c>
      <c r="C129" s="5" t="s">
        <v>120</v>
      </c>
      <c r="D129" s="5" t="s">
        <v>67</v>
      </c>
      <c r="E129" s="1">
        <v>45440</v>
      </c>
    </row>
    <row r="130" spans="1:5" x14ac:dyDescent="0.25">
      <c r="A130" s="5" t="s">
        <v>696</v>
      </c>
      <c r="B130" s="5" t="s">
        <v>695</v>
      </c>
      <c r="C130" s="5" t="s">
        <v>125</v>
      </c>
      <c r="D130" s="5" t="s">
        <v>67</v>
      </c>
      <c r="E130" s="1">
        <v>45412</v>
      </c>
    </row>
    <row r="131" spans="1:5" x14ac:dyDescent="0.25">
      <c r="A131" s="5" t="s">
        <v>694</v>
      </c>
      <c r="B131" s="5" t="s">
        <v>693</v>
      </c>
      <c r="C131" s="5" t="s">
        <v>78</v>
      </c>
      <c r="D131" s="5" t="s">
        <v>67</v>
      </c>
      <c r="E131" s="1">
        <v>45707</v>
      </c>
    </row>
    <row r="132" spans="1:5" x14ac:dyDescent="0.25">
      <c r="A132" s="5" t="s">
        <v>692</v>
      </c>
      <c r="B132" s="5" t="s">
        <v>691</v>
      </c>
      <c r="C132" s="5" t="s">
        <v>120</v>
      </c>
      <c r="D132" s="5" t="s">
        <v>74</v>
      </c>
      <c r="E132" s="1">
        <v>45391</v>
      </c>
    </row>
    <row r="133" spans="1:5" x14ac:dyDescent="0.25">
      <c r="A133" s="5" t="s">
        <v>690</v>
      </c>
      <c r="B133" s="5" t="s">
        <v>316</v>
      </c>
      <c r="C133" s="5" t="s">
        <v>136</v>
      </c>
      <c r="D133" s="5" t="s">
        <v>67</v>
      </c>
      <c r="E133" s="1">
        <v>45661</v>
      </c>
    </row>
    <row r="134" spans="1:5" x14ac:dyDescent="0.25">
      <c r="A134" s="5" t="s">
        <v>689</v>
      </c>
      <c r="B134" s="5" t="s">
        <v>434</v>
      </c>
      <c r="C134" s="5" t="s">
        <v>130</v>
      </c>
      <c r="D134" s="5" t="s">
        <v>74</v>
      </c>
      <c r="E134" s="1">
        <v>45692</v>
      </c>
    </row>
    <row r="135" spans="1:5" x14ac:dyDescent="0.25">
      <c r="A135" s="5" t="s">
        <v>688</v>
      </c>
      <c r="B135" s="5" t="s">
        <v>687</v>
      </c>
      <c r="C135" s="5" t="s">
        <v>75</v>
      </c>
      <c r="D135" s="5" t="s">
        <v>67</v>
      </c>
      <c r="E135" s="1">
        <v>45743</v>
      </c>
    </row>
    <row r="136" spans="1:5" x14ac:dyDescent="0.25">
      <c r="A136" s="5" t="s">
        <v>686</v>
      </c>
      <c r="B136" s="5" t="s">
        <v>160</v>
      </c>
      <c r="C136" s="5" t="s">
        <v>92</v>
      </c>
      <c r="D136" s="5" t="s">
        <v>67</v>
      </c>
      <c r="E136" s="1">
        <v>45697</v>
      </c>
    </row>
    <row r="137" spans="1:5" x14ac:dyDescent="0.25">
      <c r="A137" s="5" t="s">
        <v>685</v>
      </c>
      <c r="B137" s="5" t="s">
        <v>684</v>
      </c>
      <c r="C137" s="5" t="s">
        <v>133</v>
      </c>
      <c r="D137" s="5" t="s">
        <v>67</v>
      </c>
      <c r="E137" s="1">
        <v>45675</v>
      </c>
    </row>
    <row r="138" spans="1:5" x14ac:dyDescent="0.25">
      <c r="A138" s="5" t="s">
        <v>683</v>
      </c>
      <c r="B138" s="5" t="s">
        <v>681</v>
      </c>
      <c r="C138" s="5" t="s">
        <v>185</v>
      </c>
      <c r="D138" s="5" t="s">
        <v>91</v>
      </c>
      <c r="E138" s="1">
        <v>45442</v>
      </c>
    </row>
    <row r="139" spans="1:5" x14ac:dyDescent="0.25">
      <c r="A139" s="5" t="s">
        <v>682</v>
      </c>
      <c r="B139" s="5" t="s">
        <v>681</v>
      </c>
      <c r="C139" s="5" t="s">
        <v>86</v>
      </c>
      <c r="D139" s="5" t="s">
        <v>91</v>
      </c>
      <c r="E139" s="1">
        <v>45703</v>
      </c>
    </row>
    <row r="140" spans="1:5" x14ac:dyDescent="0.25">
      <c r="A140" s="5" t="s">
        <v>680</v>
      </c>
      <c r="B140" s="5" t="s">
        <v>679</v>
      </c>
      <c r="C140" s="5" t="s">
        <v>117</v>
      </c>
      <c r="D140" s="5" t="s">
        <v>74</v>
      </c>
      <c r="E140" s="1">
        <v>45669</v>
      </c>
    </row>
    <row r="141" spans="1:5" x14ac:dyDescent="0.25">
      <c r="A141" s="5" t="s">
        <v>678</v>
      </c>
      <c r="B141" s="5" t="s">
        <v>350</v>
      </c>
      <c r="C141" s="5" t="s">
        <v>136</v>
      </c>
      <c r="D141" s="5" t="s">
        <v>91</v>
      </c>
      <c r="E141" s="1">
        <v>45495</v>
      </c>
    </row>
    <row r="142" spans="1:5" x14ac:dyDescent="0.25">
      <c r="A142" s="5" t="s">
        <v>677</v>
      </c>
      <c r="B142" s="5" t="s">
        <v>515</v>
      </c>
      <c r="C142" s="5" t="s">
        <v>141</v>
      </c>
      <c r="D142" s="5" t="s">
        <v>67</v>
      </c>
      <c r="E142" s="1">
        <v>45534</v>
      </c>
    </row>
    <row r="143" spans="1:5" x14ac:dyDescent="0.25">
      <c r="A143" s="5" t="s">
        <v>676</v>
      </c>
      <c r="B143" s="5" t="s">
        <v>278</v>
      </c>
      <c r="C143" s="5" t="s">
        <v>141</v>
      </c>
      <c r="D143" s="5" t="s">
        <v>74</v>
      </c>
      <c r="E143" s="1">
        <v>45431</v>
      </c>
    </row>
    <row r="144" spans="1:5" x14ac:dyDescent="0.25">
      <c r="A144" s="5" t="s">
        <v>675</v>
      </c>
      <c r="B144" s="5" t="s">
        <v>674</v>
      </c>
      <c r="C144" s="5" t="s">
        <v>78</v>
      </c>
      <c r="D144" s="5" t="s">
        <v>74</v>
      </c>
      <c r="E144" s="1">
        <v>45655</v>
      </c>
    </row>
    <row r="145" spans="1:5" x14ac:dyDescent="0.25">
      <c r="A145" s="5" t="s">
        <v>673</v>
      </c>
      <c r="B145" s="5" t="s">
        <v>672</v>
      </c>
      <c r="C145" s="5" t="s">
        <v>136</v>
      </c>
      <c r="D145" s="5" t="s">
        <v>67</v>
      </c>
      <c r="E145" s="1">
        <v>45595</v>
      </c>
    </row>
    <row r="146" spans="1:5" x14ac:dyDescent="0.25">
      <c r="A146" s="5" t="s">
        <v>671</v>
      </c>
      <c r="B146" s="5" t="s">
        <v>670</v>
      </c>
      <c r="C146" s="5" t="s">
        <v>125</v>
      </c>
      <c r="D146" s="5" t="s">
        <v>67</v>
      </c>
      <c r="E146" s="1">
        <v>45536</v>
      </c>
    </row>
    <row r="147" spans="1:5" x14ac:dyDescent="0.25">
      <c r="A147" s="5" t="s">
        <v>669</v>
      </c>
      <c r="B147" s="5" t="s">
        <v>598</v>
      </c>
      <c r="C147" s="5" t="s">
        <v>141</v>
      </c>
      <c r="D147" s="5" t="s">
        <v>67</v>
      </c>
      <c r="E147" s="1">
        <v>45631</v>
      </c>
    </row>
    <row r="148" spans="1:5" x14ac:dyDescent="0.25">
      <c r="A148" s="5" t="s">
        <v>668</v>
      </c>
      <c r="B148" s="5" t="s">
        <v>395</v>
      </c>
      <c r="C148" s="5" t="s">
        <v>92</v>
      </c>
      <c r="D148" s="5" t="s">
        <v>91</v>
      </c>
      <c r="E148" s="1">
        <v>45465</v>
      </c>
    </row>
    <row r="149" spans="1:5" x14ac:dyDescent="0.25">
      <c r="A149" s="5" t="s">
        <v>667</v>
      </c>
      <c r="B149" s="5" t="s">
        <v>397</v>
      </c>
      <c r="C149" s="5" t="s">
        <v>75</v>
      </c>
      <c r="D149" s="5" t="s">
        <v>74</v>
      </c>
      <c r="E149" s="1">
        <v>45675</v>
      </c>
    </row>
    <row r="150" spans="1:5" x14ac:dyDescent="0.25">
      <c r="A150" s="5" t="s">
        <v>666</v>
      </c>
      <c r="B150" s="5" t="s">
        <v>174</v>
      </c>
      <c r="C150" s="5" t="s">
        <v>117</v>
      </c>
      <c r="D150" s="5" t="s">
        <v>74</v>
      </c>
      <c r="E150" s="1">
        <v>45533</v>
      </c>
    </row>
    <row r="151" spans="1:5" x14ac:dyDescent="0.25">
      <c r="A151" s="5" t="s">
        <v>665</v>
      </c>
      <c r="B151" s="5" t="s">
        <v>664</v>
      </c>
      <c r="C151" s="5" t="s">
        <v>133</v>
      </c>
      <c r="D151" s="5" t="s">
        <v>67</v>
      </c>
      <c r="E151" s="1">
        <v>45433</v>
      </c>
    </row>
    <row r="152" spans="1:5" x14ac:dyDescent="0.25">
      <c r="A152" s="5" t="s">
        <v>663</v>
      </c>
      <c r="B152" s="5" t="s">
        <v>215</v>
      </c>
      <c r="C152" s="5" t="s">
        <v>68</v>
      </c>
      <c r="D152" s="5" t="s">
        <v>67</v>
      </c>
      <c r="E152" s="1">
        <v>45680</v>
      </c>
    </row>
    <row r="153" spans="1:5" x14ac:dyDescent="0.25">
      <c r="A153" s="5" t="s">
        <v>662</v>
      </c>
      <c r="B153" s="5" t="s">
        <v>622</v>
      </c>
      <c r="C153" s="5" t="s">
        <v>68</v>
      </c>
      <c r="D153" s="5" t="s">
        <v>67</v>
      </c>
      <c r="E153" s="1">
        <v>45529</v>
      </c>
    </row>
    <row r="154" spans="1:5" x14ac:dyDescent="0.25">
      <c r="A154" s="5" t="s">
        <v>661</v>
      </c>
      <c r="B154" s="5" t="s">
        <v>154</v>
      </c>
      <c r="C154" s="5" t="s">
        <v>75</v>
      </c>
      <c r="D154" s="5" t="s">
        <v>91</v>
      </c>
      <c r="E154" s="1">
        <v>45675</v>
      </c>
    </row>
    <row r="155" spans="1:5" x14ac:dyDescent="0.25">
      <c r="A155" s="5" t="s">
        <v>660</v>
      </c>
      <c r="B155" s="5" t="s">
        <v>89</v>
      </c>
      <c r="C155" s="5" t="s">
        <v>86</v>
      </c>
      <c r="D155" s="5" t="s">
        <v>67</v>
      </c>
      <c r="E155" s="1">
        <v>45607</v>
      </c>
    </row>
    <row r="156" spans="1:5" x14ac:dyDescent="0.25">
      <c r="A156" s="5" t="s">
        <v>659</v>
      </c>
      <c r="B156" s="5" t="s">
        <v>295</v>
      </c>
      <c r="C156" s="5" t="s">
        <v>104</v>
      </c>
      <c r="D156" s="5" t="s">
        <v>74</v>
      </c>
      <c r="E156" s="1">
        <v>45567</v>
      </c>
    </row>
    <row r="157" spans="1:5" x14ac:dyDescent="0.25">
      <c r="A157" s="5" t="s">
        <v>658</v>
      </c>
      <c r="B157" s="5" t="s">
        <v>375</v>
      </c>
      <c r="C157" s="5" t="s">
        <v>192</v>
      </c>
      <c r="D157" s="5" t="s">
        <v>91</v>
      </c>
      <c r="E157" s="1">
        <v>45593</v>
      </c>
    </row>
    <row r="158" spans="1:5" x14ac:dyDescent="0.25">
      <c r="A158" s="5" t="s">
        <v>657</v>
      </c>
      <c r="B158" s="5" t="s">
        <v>322</v>
      </c>
      <c r="C158" s="5" t="s">
        <v>133</v>
      </c>
      <c r="D158" s="5" t="s">
        <v>67</v>
      </c>
      <c r="E158" s="1">
        <v>45481</v>
      </c>
    </row>
    <row r="159" spans="1:5" x14ac:dyDescent="0.25">
      <c r="A159" s="5" t="s">
        <v>656</v>
      </c>
      <c r="B159" s="5" t="s">
        <v>343</v>
      </c>
      <c r="C159" s="5" t="s">
        <v>71</v>
      </c>
      <c r="D159" s="5" t="s">
        <v>67</v>
      </c>
      <c r="E159" s="1">
        <v>45540</v>
      </c>
    </row>
    <row r="160" spans="1:5" x14ac:dyDescent="0.25">
      <c r="A160" s="5" t="s">
        <v>655</v>
      </c>
      <c r="B160" s="5" t="s">
        <v>654</v>
      </c>
      <c r="C160" s="5" t="s">
        <v>120</v>
      </c>
      <c r="D160" s="5" t="s">
        <v>67</v>
      </c>
      <c r="E160" s="1">
        <v>45399</v>
      </c>
    </row>
    <row r="161" spans="1:5" x14ac:dyDescent="0.25">
      <c r="A161" s="5" t="s">
        <v>653</v>
      </c>
      <c r="B161" s="5" t="s">
        <v>534</v>
      </c>
      <c r="C161" s="5" t="s">
        <v>133</v>
      </c>
      <c r="D161" s="5" t="s">
        <v>67</v>
      </c>
      <c r="E161" s="1">
        <v>45697</v>
      </c>
    </row>
    <row r="162" spans="1:5" x14ac:dyDescent="0.25">
      <c r="A162" s="5" t="s">
        <v>652</v>
      </c>
      <c r="B162" s="5" t="s">
        <v>190</v>
      </c>
      <c r="C162" s="5" t="s">
        <v>141</v>
      </c>
      <c r="D162" s="5" t="s">
        <v>91</v>
      </c>
      <c r="E162" s="1">
        <v>45730</v>
      </c>
    </row>
    <row r="163" spans="1:5" x14ac:dyDescent="0.25">
      <c r="A163" s="5" t="s">
        <v>651</v>
      </c>
      <c r="B163" s="5" t="s">
        <v>546</v>
      </c>
      <c r="C163" s="5" t="s">
        <v>192</v>
      </c>
      <c r="D163" s="5" t="s">
        <v>67</v>
      </c>
      <c r="E163" s="1">
        <v>45562</v>
      </c>
    </row>
    <row r="164" spans="1:5" x14ac:dyDescent="0.25">
      <c r="A164" s="5" t="s">
        <v>650</v>
      </c>
      <c r="B164" s="5" t="s">
        <v>295</v>
      </c>
      <c r="C164" s="5" t="s">
        <v>71</v>
      </c>
      <c r="D164" s="5" t="s">
        <v>67</v>
      </c>
      <c r="E164" s="1">
        <v>45506</v>
      </c>
    </row>
    <row r="165" spans="1:5" x14ac:dyDescent="0.25">
      <c r="A165" s="5" t="s">
        <v>649</v>
      </c>
      <c r="B165" s="5" t="s">
        <v>534</v>
      </c>
      <c r="C165" s="5" t="s">
        <v>192</v>
      </c>
      <c r="D165" s="5" t="s">
        <v>67</v>
      </c>
      <c r="E165" s="1">
        <v>45441</v>
      </c>
    </row>
    <row r="166" spans="1:5" x14ac:dyDescent="0.25">
      <c r="A166" s="5" t="s">
        <v>648</v>
      </c>
      <c r="B166" s="5" t="s">
        <v>568</v>
      </c>
      <c r="C166" s="5" t="s">
        <v>151</v>
      </c>
      <c r="D166" s="5" t="s">
        <v>74</v>
      </c>
      <c r="E166" s="1">
        <v>45729</v>
      </c>
    </row>
    <row r="167" spans="1:5" x14ac:dyDescent="0.25">
      <c r="A167" s="5" t="s">
        <v>647</v>
      </c>
      <c r="B167" s="5" t="s">
        <v>76</v>
      </c>
      <c r="C167" s="5" t="s">
        <v>151</v>
      </c>
      <c r="D167" s="5" t="s">
        <v>74</v>
      </c>
      <c r="E167" s="1">
        <v>45561</v>
      </c>
    </row>
    <row r="168" spans="1:5" x14ac:dyDescent="0.25">
      <c r="A168" s="5" t="s">
        <v>646</v>
      </c>
      <c r="B168" s="5" t="s">
        <v>645</v>
      </c>
      <c r="C168" s="5" t="s">
        <v>75</v>
      </c>
      <c r="D168" s="5" t="s">
        <v>67</v>
      </c>
      <c r="E168" s="1">
        <v>45420</v>
      </c>
    </row>
    <row r="169" spans="1:5" x14ac:dyDescent="0.25">
      <c r="A169" s="5" t="s">
        <v>644</v>
      </c>
      <c r="B169" s="5" t="s">
        <v>643</v>
      </c>
      <c r="C169" s="5" t="s">
        <v>192</v>
      </c>
      <c r="D169" s="5" t="s">
        <v>67</v>
      </c>
      <c r="E169" s="1">
        <v>45383</v>
      </c>
    </row>
    <row r="170" spans="1:5" x14ac:dyDescent="0.25">
      <c r="A170" s="5" t="s">
        <v>642</v>
      </c>
      <c r="B170" s="5" t="s">
        <v>539</v>
      </c>
      <c r="C170" s="5" t="s">
        <v>133</v>
      </c>
      <c r="D170" s="5" t="s">
        <v>74</v>
      </c>
      <c r="E170" s="1">
        <v>45678</v>
      </c>
    </row>
    <row r="171" spans="1:5" x14ac:dyDescent="0.25">
      <c r="A171" s="5" t="s">
        <v>641</v>
      </c>
      <c r="B171" s="5" t="s">
        <v>193</v>
      </c>
      <c r="C171" s="5" t="s">
        <v>120</v>
      </c>
      <c r="D171" s="5" t="s">
        <v>67</v>
      </c>
      <c r="E171" s="1">
        <v>45493</v>
      </c>
    </row>
    <row r="172" spans="1:5" x14ac:dyDescent="0.25">
      <c r="A172" s="5" t="s">
        <v>640</v>
      </c>
      <c r="B172" s="5" t="s">
        <v>639</v>
      </c>
      <c r="C172" s="5" t="s">
        <v>307</v>
      </c>
      <c r="D172" s="5" t="s">
        <v>67</v>
      </c>
      <c r="E172" s="1">
        <v>45670</v>
      </c>
    </row>
    <row r="173" spans="1:5" x14ac:dyDescent="0.25">
      <c r="A173" s="5" t="s">
        <v>638</v>
      </c>
      <c r="B173" s="5" t="s">
        <v>637</v>
      </c>
      <c r="C173" s="5" t="s">
        <v>92</v>
      </c>
      <c r="D173" s="5" t="s">
        <v>74</v>
      </c>
      <c r="E173" s="1">
        <v>45532</v>
      </c>
    </row>
    <row r="174" spans="1:5" x14ac:dyDescent="0.25">
      <c r="A174" s="5" t="s">
        <v>636</v>
      </c>
      <c r="B174" s="5" t="s">
        <v>635</v>
      </c>
      <c r="C174" s="5" t="s">
        <v>120</v>
      </c>
      <c r="D174" s="5" t="s">
        <v>74</v>
      </c>
      <c r="E174" s="1">
        <v>45495</v>
      </c>
    </row>
    <row r="175" spans="1:5" x14ac:dyDescent="0.25">
      <c r="A175" s="5" t="s">
        <v>634</v>
      </c>
      <c r="B175" s="5" t="s">
        <v>496</v>
      </c>
      <c r="C175" s="5" t="s">
        <v>97</v>
      </c>
      <c r="D175" s="5" t="s">
        <v>67</v>
      </c>
      <c r="E175" s="1">
        <v>45454</v>
      </c>
    </row>
    <row r="176" spans="1:5" x14ac:dyDescent="0.25">
      <c r="A176" s="5" t="s">
        <v>633</v>
      </c>
      <c r="B176" s="5" t="s">
        <v>632</v>
      </c>
      <c r="C176" s="5" t="s">
        <v>71</v>
      </c>
      <c r="D176" s="5" t="s">
        <v>91</v>
      </c>
      <c r="E176" s="1">
        <v>45474</v>
      </c>
    </row>
    <row r="177" spans="1:5" x14ac:dyDescent="0.25">
      <c r="A177" s="5" t="s">
        <v>631</v>
      </c>
      <c r="B177" s="5" t="s">
        <v>630</v>
      </c>
      <c r="C177" s="5" t="s">
        <v>78</v>
      </c>
      <c r="D177" s="5" t="s">
        <v>91</v>
      </c>
      <c r="E177" s="1">
        <v>45596</v>
      </c>
    </row>
    <row r="178" spans="1:5" x14ac:dyDescent="0.25">
      <c r="A178" s="5" t="s">
        <v>629</v>
      </c>
      <c r="B178" s="5" t="s">
        <v>410</v>
      </c>
      <c r="C178" s="5" t="s">
        <v>71</v>
      </c>
      <c r="D178" s="5" t="s">
        <v>67</v>
      </c>
      <c r="E178" s="1">
        <v>45452</v>
      </c>
    </row>
    <row r="179" spans="1:5" x14ac:dyDescent="0.25">
      <c r="A179" s="5" t="s">
        <v>628</v>
      </c>
      <c r="B179" s="5" t="s">
        <v>627</v>
      </c>
      <c r="C179" s="5" t="s">
        <v>151</v>
      </c>
      <c r="D179" s="5" t="s">
        <v>67</v>
      </c>
      <c r="E179" s="1">
        <v>45401</v>
      </c>
    </row>
    <row r="180" spans="1:5" x14ac:dyDescent="0.25">
      <c r="A180" s="5" t="s">
        <v>626</v>
      </c>
      <c r="B180" s="5" t="s">
        <v>625</v>
      </c>
      <c r="C180" s="5" t="s">
        <v>151</v>
      </c>
      <c r="D180" s="5" t="s">
        <v>67</v>
      </c>
      <c r="E180" s="1">
        <v>45597</v>
      </c>
    </row>
    <row r="181" spans="1:5" x14ac:dyDescent="0.25">
      <c r="A181" s="5" t="s">
        <v>624</v>
      </c>
      <c r="B181" s="5" t="s">
        <v>536</v>
      </c>
      <c r="C181" s="5" t="s">
        <v>97</v>
      </c>
      <c r="D181" s="5" t="s">
        <v>67</v>
      </c>
      <c r="E181" s="1">
        <v>45625</v>
      </c>
    </row>
    <row r="182" spans="1:5" x14ac:dyDescent="0.25">
      <c r="A182" s="5" t="s">
        <v>623</v>
      </c>
      <c r="B182" s="5" t="s">
        <v>622</v>
      </c>
      <c r="C182" s="5" t="s">
        <v>117</v>
      </c>
      <c r="D182" s="5" t="s">
        <v>67</v>
      </c>
      <c r="E182" s="1">
        <v>45647</v>
      </c>
    </row>
    <row r="183" spans="1:5" x14ac:dyDescent="0.25">
      <c r="A183" s="5" t="s">
        <v>621</v>
      </c>
      <c r="B183" s="5" t="s">
        <v>572</v>
      </c>
      <c r="C183" s="5" t="s">
        <v>185</v>
      </c>
      <c r="D183" s="5" t="s">
        <v>74</v>
      </c>
      <c r="E183" s="1">
        <v>45679</v>
      </c>
    </row>
    <row r="184" spans="1:5" x14ac:dyDescent="0.25">
      <c r="A184" s="5" t="s">
        <v>620</v>
      </c>
      <c r="B184" s="5" t="s">
        <v>142</v>
      </c>
      <c r="C184" s="5" t="s">
        <v>148</v>
      </c>
      <c r="D184" s="5" t="s">
        <v>67</v>
      </c>
      <c r="E184" s="1">
        <v>45478</v>
      </c>
    </row>
    <row r="185" spans="1:5" x14ac:dyDescent="0.25">
      <c r="A185" s="5" t="s">
        <v>619</v>
      </c>
      <c r="B185" s="5" t="s">
        <v>618</v>
      </c>
      <c r="C185" s="5" t="s">
        <v>148</v>
      </c>
      <c r="D185" s="5" t="s">
        <v>67</v>
      </c>
      <c r="E185" s="1">
        <v>45681</v>
      </c>
    </row>
    <row r="186" spans="1:5" x14ac:dyDescent="0.25">
      <c r="A186" s="5" t="s">
        <v>617</v>
      </c>
      <c r="B186" s="5" t="s">
        <v>491</v>
      </c>
      <c r="C186" s="5" t="s">
        <v>151</v>
      </c>
      <c r="D186" s="5" t="s">
        <v>91</v>
      </c>
      <c r="E186" s="1">
        <v>45459</v>
      </c>
    </row>
    <row r="187" spans="1:5" x14ac:dyDescent="0.25">
      <c r="A187" s="5" t="s">
        <v>616</v>
      </c>
      <c r="B187" s="5" t="s">
        <v>174</v>
      </c>
      <c r="C187" s="5" t="s">
        <v>185</v>
      </c>
      <c r="D187" s="5" t="s">
        <v>67</v>
      </c>
      <c r="E187" s="1">
        <v>45526</v>
      </c>
    </row>
    <row r="188" spans="1:5" x14ac:dyDescent="0.25">
      <c r="A188" s="5" t="s">
        <v>615</v>
      </c>
      <c r="B188" s="5" t="s">
        <v>327</v>
      </c>
      <c r="C188" s="5" t="s">
        <v>125</v>
      </c>
      <c r="D188" s="5" t="s">
        <v>74</v>
      </c>
      <c r="E188" s="1">
        <v>45465</v>
      </c>
    </row>
    <row r="189" spans="1:5" x14ac:dyDescent="0.25">
      <c r="A189" s="5" t="s">
        <v>614</v>
      </c>
      <c r="B189" s="5" t="s">
        <v>613</v>
      </c>
      <c r="C189" s="5" t="s">
        <v>133</v>
      </c>
      <c r="D189" s="5" t="s">
        <v>67</v>
      </c>
      <c r="E189" s="1">
        <v>45447</v>
      </c>
    </row>
    <row r="190" spans="1:5" x14ac:dyDescent="0.25">
      <c r="A190" s="5" t="s">
        <v>612</v>
      </c>
      <c r="B190" s="5" t="s">
        <v>258</v>
      </c>
      <c r="C190" s="5" t="s">
        <v>75</v>
      </c>
      <c r="D190" s="5" t="s">
        <v>67</v>
      </c>
      <c r="E190" s="1">
        <v>45597</v>
      </c>
    </row>
    <row r="191" spans="1:5" x14ac:dyDescent="0.25">
      <c r="A191" s="5" t="s">
        <v>611</v>
      </c>
      <c r="B191" s="5" t="s">
        <v>610</v>
      </c>
      <c r="C191" s="5" t="s">
        <v>151</v>
      </c>
      <c r="D191" s="5" t="s">
        <v>67</v>
      </c>
      <c r="E191" s="1">
        <v>45587</v>
      </c>
    </row>
    <row r="192" spans="1:5" x14ac:dyDescent="0.25">
      <c r="A192" s="5" t="s">
        <v>609</v>
      </c>
      <c r="B192" s="5" t="s">
        <v>389</v>
      </c>
      <c r="C192" s="5" t="s">
        <v>120</v>
      </c>
      <c r="D192" s="5" t="s">
        <v>67</v>
      </c>
      <c r="E192" s="1">
        <v>45573</v>
      </c>
    </row>
    <row r="193" spans="1:5" x14ac:dyDescent="0.25">
      <c r="A193" s="5" t="s">
        <v>608</v>
      </c>
      <c r="B193" s="5" t="s">
        <v>607</v>
      </c>
      <c r="C193" s="5" t="s">
        <v>212</v>
      </c>
      <c r="D193" s="5" t="s">
        <v>67</v>
      </c>
      <c r="E193" s="1">
        <v>45621</v>
      </c>
    </row>
    <row r="194" spans="1:5" x14ac:dyDescent="0.25">
      <c r="A194" s="5" t="s">
        <v>606</v>
      </c>
      <c r="B194" s="5" t="s">
        <v>429</v>
      </c>
      <c r="C194" s="5" t="s">
        <v>185</v>
      </c>
      <c r="D194" s="5" t="s">
        <v>67</v>
      </c>
      <c r="E194" s="1">
        <v>45737</v>
      </c>
    </row>
    <row r="195" spans="1:5" x14ac:dyDescent="0.25">
      <c r="A195" s="5" t="s">
        <v>605</v>
      </c>
      <c r="B195" s="5" t="s">
        <v>331</v>
      </c>
      <c r="C195" s="5" t="s">
        <v>75</v>
      </c>
      <c r="D195" s="5" t="s">
        <v>91</v>
      </c>
      <c r="E195" s="1">
        <v>45465</v>
      </c>
    </row>
    <row r="196" spans="1:5" x14ac:dyDescent="0.25">
      <c r="A196" s="5" t="s">
        <v>604</v>
      </c>
      <c r="B196" s="5" t="s">
        <v>389</v>
      </c>
      <c r="C196" s="5" t="s">
        <v>71</v>
      </c>
      <c r="D196" s="5" t="s">
        <v>67</v>
      </c>
      <c r="E196" s="1">
        <v>45701</v>
      </c>
    </row>
    <row r="197" spans="1:5" x14ac:dyDescent="0.25">
      <c r="A197" s="5" t="s">
        <v>603</v>
      </c>
      <c r="B197" s="5" t="s">
        <v>577</v>
      </c>
      <c r="C197" s="5" t="s">
        <v>117</v>
      </c>
      <c r="D197" s="5" t="s">
        <v>67</v>
      </c>
      <c r="E197" s="1">
        <v>45704</v>
      </c>
    </row>
    <row r="198" spans="1:5" x14ac:dyDescent="0.25">
      <c r="A198" s="5" t="s">
        <v>602</v>
      </c>
      <c r="B198" s="5" t="s">
        <v>572</v>
      </c>
      <c r="C198" s="5" t="s">
        <v>136</v>
      </c>
      <c r="D198" s="5" t="s">
        <v>67</v>
      </c>
      <c r="E198" s="1">
        <v>45447</v>
      </c>
    </row>
    <row r="199" spans="1:5" x14ac:dyDescent="0.25">
      <c r="A199" s="5" t="s">
        <v>601</v>
      </c>
      <c r="B199" s="5" t="s">
        <v>427</v>
      </c>
      <c r="C199" s="5" t="s">
        <v>133</v>
      </c>
      <c r="D199" s="5" t="s">
        <v>67</v>
      </c>
      <c r="E199" s="1">
        <v>45630</v>
      </c>
    </row>
    <row r="200" spans="1:5" x14ac:dyDescent="0.25">
      <c r="A200" s="5" t="s">
        <v>600</v>
      </c>
      <c r="B200" s="5" t="s">
        <v>579</v>
      </c>
      <c r="C200" s="5" t="s">
        <v>117</v>
      </c>
      <c r="D200" s="5" t="s">
        <v>67</v>
      </c>
      <c r="E200" s="1">
        <v>45687</v>
      </c>
    </row>
    <row r="201" spans="1:5" x14ac:dyDescent="0.25">
      <c r="A201" s="5" t="s">
        <v>599</v>
      </c>
      <c r="B201" s="5" t="s">
        <v>598</v>
      </c>
      <c r="C201" s="5" t="s">
        <v>104</v>
      </c>
      <c r="D201" s="5" t="s">
        <v>67</v>
      </c>
      <c r="E201" s="1">
        <v>45728</v>
      </c>
    </row>
    <row r="202" spans="1:5" x14ac:dyDescent="0.25">
      <c r="A202" s="5" t="s">
        <v>597</v>
      </c>
      <c r="B202" s="5" t="s">
        <v>596</v>
      </c>
      <c r="C202" s="5" t="s">
        <v>92</v>
      </c>
      <c r="D202" s="5" t="s">
        <v>67</v>
      </c>
      <c r="E202" s="1">
        <v>45712</v>
      </c>
    </row>
    <row r="203" spans="1:5" x14ac:dyDescent="0.25">
      <c r="A203" s="5" t="s">
        <v>595</v>
      </c>
      <c r="B203" s="5" t="s">
        <v>395</v>
      </c>
      <c r="C203" s="5" t="s">
        <v>68</v>
      </c>
      <c r="D203" s="5" t="s">
        <v>67</v>
      </c>
      <c r="E203" s="1">
        <v>45743</v>
      </c>
    </row>
    <row r="204" spans="1:5" x14ac:dyDescent="0.25">
      <c r="A204" s="5" t="s">
        <v>594</v>
      </c>
      <c r="B204" s="5" t="s">
        <v>427</v>
      </c>
      <c r="C204" s="5" t="s">
        <v>117</v>
      </c>
      <c r="D204" s="5" t="s">
        <v>67</v>
      </c>
      <c r="E204" s="1">
        <v>45534</v>
      </c>
    </row>
    <row r="205" spans="1:5" x14ac:dyDescent="0.25">
      <c r="A205" s="5" t="s">
        <v>593</v>
      </c>
      <c r="B205" s="5" t="s">
        <v>473</v>
      </c>
      <c r="C205" s="5" t="s">
        <v>136</v>
      </c>
      <c r="D205" s="5" t="s">
        <v>67</v>
      </c>
      <c r="E205" s="1">
        <v>45635</v>
      </c>
    </row>
    <row r="206" spans="1:5" x14ac:dyDescent="0.25">
      <c r="A206" s="5" t="s">
        <v>592</v>
      </c>
      <c r="B206" s="5" t="s">
        <v>591</v>
      </c>
      <c r="C206" s="5" t="s">
        <v>71</v>
      </c>
      <c r="D206" s="5" t="s">
        <v>74</v>
      </c>
      <c r="E206" s="1">
        <v>45595</v>
      </c>
    </row>
    <row r="207" spans="1:5" x14ac:dyDescent="0.25">
      <c r="A207" s="5" t="s">
        <v>590</v>
      </c>
      <c r="B207" s="5" t="s">
        <v>589</v>
      </c>
      <c r="C207" s="5" t="s">
        <v>92</v>
      </c>
      <c r="D207" s="5" t="s">
        <v>67</v>
      </c>
      <c r="E207" s="1">
        <v>45665</v>
      </c>
    </row>
    <row r="208" spans="1:5" x14ac:dyDescent="0.25">
      <c r="A208" s="5" t="s">
        <v>588</v>
      </c>
      <c r="B208" s="5" t="s">
        <v>587</v>
      </c>
      <c r="C208" s="5" t="s">
        <v>130</v>
      </c>
      <c r="D208" s="5" t="s">
        <v>91</v>
      </c>
      <c r="E208" s="1">
        <v>45607</v>
      </c>
    </row>
    <row r="209" spans="1:5" x14ac:dyDescent="0.25">
      <c r="A209" s="5" t="s">
        <v>586</v>
      </c>
      <c r="B209" s="5" t="s">
        <v>585</v>
      </c>
      <c r="C209" s="5" t="s">
        <v>125</v>
      </c>
      <c r="D209" s="5" t="s">
        <v>67</v>
      </c>
      <c r="E209" s="1">
        <v>45477</v>
      </c>
    </row>
    <row r="210" spans="1:5" x14ac:dyDescent="0.25">
      <c r="A210" s="5" t="s">
        <v>584</v>
      </c>
      <c r="B210" s="5" t="s">
        <v>208</v>
      </c>
      <c r="C210" s="5" t="s">
        <v>136</v>
      </c>
      <c r="D210" s="5" t="s">
        <v>67</v>
      </c>
      <c r="E210" s="1">
        <v>45399</v>
      </c>
    </row>
    <row r="211" spans="1:5" x14ac:dyDescent="0.25">
      <c r="A211" s="5" t="s">
        <v>583</v>
      </c>
      <c r="B211" s="5" t="s">
        <v>582</v>
      </c>
      <c r="C211" s="5" t="s">
        <v>136</v>
      </c>
      <c r="D211" s="5" t="s">
        <v>67</v>
      </c>
      <c r="E211" s="1">
        <v>45570</v>
      </c>
    </row>
    <row r="212" spans="1:5" x14ac:dyDescent="0.25">
      <c r="A212" s="5" t="s">
        <v>581</v>
      </c>
      <c r="B212" s="5" t="s">
        <v>199</v>
      </c>
      <c r="C212" s="5" t="s">
        <v>104</v>
      </c>
      <c r="D212" s="5" t="s">
        <v>91</v>
      </c>
      <c r="E212" s="1">
        <v>45495</v>
      </c>
    </row>
    <row r="213" spans="1:5" x14ac:dyDescent="0.25">
      <c r="A213" s="5" t="s">
        <v>580</v>
      </c>
      <c r="B213" s="5" t="s">
        <v>579</v>
      </c>
      <c r="C213" s="5" t="s">
        <v>92</v>
      </c>
      <c r="D213" s="5" t="s">
        <v>67</v>
      </c>
      <c r="E213" s="1">
        <v>45469</v>
      </c>
    </row>
    <row r="214" spans="1:5" x14ac:dyDescent="0.25">
      <c r="A214" s="5" t="s">
        <v>578</v>
      </c>
      <c r="B214" s="5" t="s">
        <v>577</v>
      </c>
      <c r="C214" s="5" t="s">
        <v>125</v>
      </c>
      <c r="D214" s="5" t="s">
        <v>91</v>
      </c>
      <c r="E214" s="1">
        <v>45562</v>
      </c>
    </row>
    <row r="215" spans="1:5" x14ac:dyDescent="0.25">
      <c r="A215" s="5" t="s">
        <v>576</v>
      </c>
      <c r="B215" s="5" t="s">
        <v>219</v>
      </c>
      <c r="C215" s="5" t="s">
        <v>130</v>
      </c>
      <c r="D215" s="5" t="s">
        <v>74</v>
      </c>
      <c r="E215" s="1">
        <v>45416</v>
      </c>
    </row>
    <row r="216" spans="1:5" x14ac:dyDescent="0.25">
      <c r="A216" s="5" t="s">
        <v>575</v>
      </c>
      <c r="B216" s="5" t="s">
        <v>574</v>
      </c>
      <c r="C216" s="5" t="s">
        <v>117</v>
      </c>
      <c r="D216" s="5" t="s">
        <v>67</v>
      </c>
      <c r="E216" s="1">
        <v>45699</v>
      </c>
    </row>
    <row r="217" spans="1:5" x14ac:dyDescent="0.25">
      <c r="A217" s="5" t="s">
        <v>573</v>
      </c>
      <c r="B217" s="5" t="s">
        <v>572</v>
      </c>
      <c r="C217" s="5" t="s">
        <v>133</v>
      </c>
      <c r="D217" s="5" t="s">
        <v>67</v>
      </c>
      <c r="E217" s="1">
        <v>45724</v>
      </c>
    </row>
    <row r="218" spans="1:5" x14ac:dyDescent="0.25">
      <c r="A218" s="5" t="s">
        <v>571</v>
      </c>
      <c r="B218" s="5" t="s">
        <v>570</v>
      </c>
      <c r="C218" s="5" t="s">
        <v>75</v>
      </c>
      <c r="D218" s="5" t="s">
        <v>74</v>
      </c>
      <c r="E218" s="1">
        <v>45702</v>
      </c>
    </row>
    <row r="219" spans="1:5" x14ac:dyDescent="0.25">
      <c r="A219" s="5" t="s">
        <v>569</v>
      </c>
      <c r="B219" s="5" t="s">
        <v>568</v>
      </c>
      <c r="C219" s="5" t="s">
        <v>148</v>
      </c>
      <c r="D219" s="5" t="s">
        <v>67</v>
      </c>
      <c r="E219" s="1">
        <v>45541</v>
      </c>
    </row>
    <row r="220" spans="1:5" x14ac:dyDescent="0.25">
      <c r="A220" s="5" t="s">
        <v>567</v>
      </c>
      <c r="B220" s="5" t="s">
        <v>341</v>
      </c>
      <c r="C220" s="5" t="s">
        <v>141</v>
      </c>
      <c r="D220" s="5" t="s">
        <v>67</v>
      </c>
      <c r="E220" s="1">
        <v>45744</v>
      </c>
    </row>
    <row r="221" spans="1:5" x14ac:dyDescent="0.25">
      <c r="A221" s="5" t="s">
        <v>566</v>
      </c>
      <c r="B221" s="5" t="s">
        <v>565</v>
      </c>
      <c r="C221" s="5" t="s">
        <v>97</v>
      </c>
      <c r="D221" s="5" t="s">
        <v>67</v>
      </c>
      <c r="E221" s="1">
        <v>45389</v>
      </c>
    </row>
    <row r="222" spans="1:5" x14ac:dyDescent="0.25">
      <c r="A222" s="5" t="s">
        <v>564</v>
      </c>
      <c r="B222" s="5" t="s">
        <v>348</v>
      </c>
      <c r="C222" s="5" t="s">
        <v>97</v>
      </c>
      <c r="D222" s="5" t="s">
        <v>67</v>
      </c>
      <c r="E222" s="1">
        <v>45421</v>
      </c>
    </row>
    <row r="223" spans="1:5" x14ac:dyDescent="0.25">
      <c r="A223" s="5" t="s">
        <v>563</v>
      </c>
      <c r="B223" s="5" t="s">
        <v>562</v>
      </c>
      <c r="C223" s="5" t="s">
        <v>192</v>
      </c>
      <c r="D223" s="5" t="s">
        <v>67</v>
      </c>
      <c r="E223" s="1">
        <v>45578</v>
      </c>
    </row>
    <row r="224" spans="1:5" x14ac:dyDescent="0.25">
      <c r="A224" s="5" t="s">
        <v>561</v>
      </c>
      <c r="B224" s="5" t="s">
        <v>560</v>
      </c>
      <c r="C224" s="5" t="s">
        <v>307</v>
      </c>
      <c r="D224" s="5" t="s">
        <v>67</v>
      </c>
      <c r="E224" s="1">
        <v>45604</v>
      </c>
    </row>
    <row r="225" spans="1:5" x14ac:dyDescent="0.25">
      <c r="A225" s="5" t="s">
        <v>559</v>
      </c>
      <c r="B225" s="5" t="s">
        <v>532</v>
      </c>
      <c r="C225" s="5" t="s">
        <v>78</v>
      </c>
      <c r="D225" s="5" t="s">
        <v>91</v>
      </c>
      <c r="E225" s="1">
        <v>45385</v>
      </c>
    </row>
    <row r="226" spans="1:5" x14ac:dyDescent="0.25">
      <c r="A226" s="5" t="s">
        <v>558</v>
      </c>
      <c r="B226" s="5" t="s">
        <v>557</v>
      </c>
      <c r="C226" s="5" t="s">
        <v>125</v>
      </c>
      <c r="D226" s="5" t="s">
        <v>67</v>
      </c>
      <c r="E226" s="1">
        <v>45691</v>
      </c>
    </row>
    <row r="227" spans="1:5" x14ac:dyDescent="0.25">
      <c r="A227" s="5" t="s">
        <v>556</v>
      </c>
      <c r="B227" s="5" t="s">
        <v>555</v>
      </c>
      <c r="C227" s="5" t="s">
        <v>104</v>
      </c>
      <c r="D227" s="5" t="s">
        <v>74</v>
      </c>
      <c r="E227" s="1">
        <v>45486</v>
      </c>
    </row>
    <row r="228" spans="1:5" x14ac:dyDescent="0.25">
      <c r="A228" s="5" t="s">
        <v>554</v>
      </c>
      <c r="B228" s="5" t="s">
        <v>553</v>
      </c>
      <c r="C228" s="5" t="s">
        <v>212</v>
      </c>
      <c r="D228" s="5" t="s">
        <v>67</v>
      </c>
      <c r="E228" s="1">
        <v>45478</v>
      </c>
    </row>
    <row r="229" spans="1:5" x14ac:dyDescent="0.25">
      <c r="A229" s="5" t="s">
        <v>552</v>
      </c>
      <c r="B229" s="5" t="s">
        <v>498</v>
      </c>
      <c r="C229" s="5" t="s">
        <v>148</v>
      </c>
      <c r="D229" s="5" t="s">
        <v>67</v>
      </c>
      <c r="E229" s="1">
        <v>45433</v>
      </c>
    </row>
    <row r="230" spans="1:5" x14ac:dyDescent="0.25">
      <c r="A230" s="5" t="s">
        <v>551</v>
      </c>
      <c r="B230" s="5" t="s">
        <v>481</v>
      </c>
      <c r="C230" s="5" t="s">
        <v>104</v>
      </c>
      <c r="D230" s="5" t="s">
        <v>67</v>
      </c>
      <c r="E230" s="1">
        <v>45463</v>
      </c>
    </row>
    <row r="231" spans="1:5" x14ac:dyDescent="0.25">
      <c r="A231" s="5" t="s">
        <v>550</v>
      </c>
      <c r="B231" s="5" t="s">
        <v>291</v>
      </c>
      <c r="C231" s="5" t="s">
        <v>120</v>
      </c>
      <c r="D231" s="5" t="s">
        <v>67</v>
      </c>
      <c r="E231" s="1">
        <v>45402</v>
      </c>
    </row>
    <row r="232" spans="1:5" x14ac:dyDescent="0.25">
      <c r="A232" s="5" t="s">
        <v>549</v>
      </c>
      <c r="B232" s="5" t="s">
        <v>548</v>
      </c>
      <c r="C232" s="5" t="s">
        <v>136</v>
      </c>
      <c r="D232" s="5" t="s">
        <v>74</v>
      </c>
      <c r="E232" s="1">
        <v>45570</v>
      </c>
    </row>
    <row r="233" spans="1:5" x14ac:dyDescent="0.25">
      <c r="A233" s="5" t="s">
        <v>547</v>
      </c>
      <c r="B233" s="5" t="s">
        <v>546</v>
      </c>
      <c r="C233" s="5" t="s">
        <v>307</v>
      </c>
      <c r="D233" s="5" t="s">
        <v>74</v>
      </c>
      <c r="E233" s="1">
        <v>45501</v>
      </c>
    </row>
    <row r="234" spans="1:5" x14ac:dyDescent="0.25">
      <c r="A234" s="5" t="s">
        <v>545</v>
      </c>
      <c r="B234" s="5" t="s">
        <v>544</v>
      </c>
      <c r="C234" s="5" t="s">
        <v>117</v>
      </c>
      <c r="D234" s="5" t="s">
        <v>74</v>
      </c>
      <c r="E234" s="1">
        <v>45720</v>
      </c>
    </row>
    <row r="235" spans="1:5" x14ac:dyDescent="0.25">
      <c r="A235" s="5" t="s">
        <v>543</v>
      </c>
      <c r="B235" s="5" t="s">
        <v>500</v>
      </c>
      <c r="C235" s="5" t="s">
        <v>86</v>
      </c>
      <c r="D235" s="5" t="s">
        <v>67</v>
      </c>
      <c r="E235" s="1">
        <v>45505</v>
      </c>
    </row>
    <row r="236" spans="1:5" x14ac:dyDescent="0.25">
      <c r="A236" s="5" t="s">
        <v>542</v>
      </c>
      <c r="B236" s="5" t="s">
        <v>541</v>
      </c>
      <c r="C236" s="5" t="s">
        <v>133</v>
      </c>
      <c r="D236" s="5" t="s">
        <v>74</v>
      </c>
      <c r="E236" s="1">
        <v>45619</v>
      </c>
    </row>
    <row r="237" spans="1:5" x14ac:dyDescent="0.25">
      <c r="A237" s="5" t="s">
        <v>540</v>
      </c>
      <c r="B237" s="5" t="s">
        <v>539</v>
      </c>
      <c r="C237" s="5" t="s">
        <v>130</v>
      </c>
      <c r="D237" s="5" t="s">
        <v>67</v>
      </c>
      <c r="E237" s="1">
        <v>45443</v>
      </c>
    </row>
    <row r="238" spans="1:5" x14ac:dyDescent="0.25">
      <c r="A238" s="5" t="s">
        <v>538</v>
      </c>
      <c r="B238" s="5" t="s">
        <v>467</v>
      </c>
      <c r="C238" s="5" t="s">
        <v>136</v>
      </c>
      <c r="D238" s="5" t="s">
        <v>67</v>
      </c>
      <c r="E238" s="1">
        <v>45677</v>
      </c>
    </row>
    <row r="239" spans="1:5" x14ac:dyDescent="0.25">
      <c r="A239" s="5" t="s">
        <v>537</v>
      </c>
      <c r="B239" s="5" t="s">
        <v>536</v>
      </c>
      <c r="C239" s="5" t="s">
        <v>81</v>
      </c>
      <c r="D239" s="5" t="s">
        <v>74</v>
      </c>
      <c r="E239" s="1">
        <v>45438</v>
      </c>
    </row>
    <row r="240" spans="1:5" x14ac:dyDescent="0.25">
      <c r="A240" s="5" t="s">
        <v>535</v>
      </c>
      <c r="B240" s="5" t="s">
        <v>534</v>
      </c>
      <c r="C240" s="5" t="s">
        <v>97</v>
      </c>
      <c r="D240" s="5" t="s">
        <v>67</v>
      </c>
      <c r="E240" s="1">
        <v>45418</v>
      </c>
    </row>
    <row r="241" spans="1:5" x14ac:dyDescent="0.25">
      <c r="A241" s="5" t="s">
        <v>533</v>
      </c>
      <c r="B241" s="5" t="s">
        <v>532</v>
      </c>
      <c r="C241" s="5" t="s">
        <v>151</v>
      </c>
      <c r="D241" s="5" t="s">
        <v>67</v>
      </c>
      <c r="E241" s="1">
        <v>45439</v>
      </c>
    </row>
    <row r="242" spans="1:5" x14ac:dyDescent="0.25">
      <c r="A242" s="5" t="s">
        <v>531</v>
      </c>
      <c r="B242" s="5" t="s">
        <v>530</v>
      </c>
      <c r="C242" s="5" t="s">
        <v>104</v>
      </c>
      <c r="D242" s="5" t="s">
        <v>91</v>
      </c>
      <c r="E242" s="1">
        <v>45389</v>
      </c>
    </row>
    <row r="243" spans="1:5" x14ac:dyDescent="0.25">
      <c r="A243" s="5" t="s">
        <v>529</v>
      </c>
      <c r="B243" s="5" t="s">
        <v>528</v>
      </c>
      <c r="C243" s="5" t="s">
        <v>136</v>
      </c>
      <c r="D243" s="5" t="s">
        <v>67</v>
      </c>
      <c r="E243" s="1">
        <v>45654</v>
      </c>
    </row>
    <row r="244" spans="1:5" x14ac:dyDescent="0.25">
      <c r="A244" s="5" t="s">
        <v>527</v>
      </c>
      <c r="B244" s="5" t="s">
        <v>158</v>
      </c>
      <c r="C244" s="5" t="s">
        <v>185</v>
      </c>
      <c r="D244" s="5" t="s">
        <v>74</v>
      </c>
      <c r="E244" s="1">
        <v>45595</v>
      </c>
    </row>
    <row r="245" spans="1:5" x14ac:dyDescent="0.25">
      <c r="A245" s="5" t="s">
        <v>526</v>
      </c>
      <c r="B245" s="5" t="s">
        <v>179</v>
      </c>
      <c r="C245" s="5" t="s">
        <v>75</v>
      </c>
      <c r="D245" s="5" t="s">
        <v>67</v>
      </c>
      <c r="E245" s="1">
        <v>45416</v>
      </c>
    </row>
    <row r="246" spans="1:5" x14ac:dyDescent="0.25">
      <c r="A246" s="5" t="s">
        <v>525</v>
      </c>
      <c r="B246" s="5" t="s">
        <v>471</v>
      </c>
      <c r="C246" s="5" t="s">
        <v>148</v>
      </c>
      <c r="D246" s="5" t="s">
        <v>67</v>
      </c>
      <c r="E246" s="1">
        <v>45641</v>
      </c>
    </row>
    <row r="247" spans="1:5" x14ac:dyDescent="0.25">
      <c r="A247" s="5" t="s">
        <v>524</v>
      </c>
      <c r="B247" s="5" t="s">
        <v>434</v>
      </c>
      <c r="C247" s="5" t="s">
        <v>104</v>
      </c>
      <c r="D247" s="5" t="s">
        <v>74</v>
      </c>
      <c r="E247" s="1">
        <v>45483</v>
      </c>
    </row>
    <row r="248" spans="1:5" x14ac:dyDescent="0.25">
      <c r="A248" s="5" t="s">
        <v>523</v>
      </c>
      <c r="B248" s="5" t="s">
        <v>498</v>
      </c>
      <c r="C248" s="5" t="s">
        <v>133</v>
      </c>
      <c r="D248" s="5" t="s">
        <v>67</v>
      </c>
      <c r="E248" s="1">
        <v>45568</v>
      </c>
    </row>
    <row r="249" spans="1:5" x14ac:dyDescent="0.25">
      <c r="A249" s="5" t="s">
        <v>522</v>
      </c>
      <c r="B249" s="5" t="s">
        <v>459</v>
      </c>
      <c r="C249" s="5" t="s">
        <v>136</v>
      </c>
      <c r="D249" s="5" t="s">
        <v>74</v>
      </c>
      <c r="E249" s="1">
        <v>45661</v>
      </c>
    </row>
    <row r="250" spans="1:5" x14ac:dyDescent="0.25">
      <c r="A250" s="5" t="s">
        <v>521</v>
      </c>
      <c r="B250" s="5" t="s">
        <v>520</v>
      </c>
      <c r="C250" s="5" t="s">
        <v>151</v>
      </c>
      <c r="D250" s="5" t="s">
        <v>91</v>
      </c>
      <c r="E250" s="1">
        <v>45643</v>
      </c>
    </row>
    <row r="251" spans="1:5" x14ac:dyDescent="0.25">
      <c r="A251" s="5" t="s">
        <v>519</v>
      </c>
      <c r="B251" s="5" t="s">
        <v>93</v>
      </c>
      <c r="C251" s="5" t="s">
        <v>130</v>
      </c>
      <c r="D251" s="5" t="s">
        <v>67</v>
      </c>
      <c r="E251" s="1">
        <v>45534</v>
      </c>
    </row>
    <row r="252" spans="1:5" x14ac:dyDescent="0.25">
      <c r="A252" s="5" t="s">
        <v>518</v>
      </c>
      <c r="B252" s="5" t="s">
        <v>289</v>
      </c>
      <c r="C252" s="5" t="s">
        <v>133</v>
      </c>
      <c r="D252" s="5" t="s">
        <v>67</v>
      </c>
      <c r="E252" s="1">
        <v>45438</v>
      </c>
    </row>
    <row r="253" spans="1:5" x14ac:dyDescent="0.25">
      <c r="A253" s="5" t="s">
        <v>517</v>
      </c>
      <c r="B253" s="5" t="s">
        <v>264</v>
      </c>
      <c r="C253" s="5" t="s">
        <v>120</v>
      </c>
      <c r="D253" s="5" t="s">
        <v>74</v>
      </c>
      <c r="E253" s="1">
        <v>45617</v>
      </c>
    </row>
    <row r="254" spans="1:5" x14ac:dyDescent="0.25">
      <c r="A254" s="5" t="s">
        <v>516</v>
      </c>
      <c r="B254" s="5" t="s">
        <v>515</v>
      </c>
      <c r="C254" s="5" t="s">
        <v>307</v>
      </c>
      <c r="D254" s="5" t="s">
        <v>91</v>
      </c>
      <c r="E254" s="1">
        <v>45715</v>
      </c>
    </row>
    <row r="255" spans="1:5" x14ac:dyDescent="0.25">
      <c r="A255" s="5" t="s">
        <v>514</v>
      </c>
      <c r="B255" s="5" t="s">
        <v>425</v>
      </c>
      <c r="C255" s="5" t="s">
        <v>133</v>
      </c>
      <c r="D255" s="5" t="s">
        <v>91</v>
      </c>
      <c r="E255" s="1">
        <v>45653</v>
      </c>
    </row>
    <row r="256" spans="1:5" x14ac:dyDescent="0.25">
      <c r="A256" s="5" t="s">
        <v>513</v>
      </c>
      <c r="B256" s="5" t="s">
        <v>115</v>
      </c>
      <c r="C256" s="5" t="s">
        <v>307</v>
      </c>
      <c r="D256" s="5" t="s">
        <v>67</v>
      </c>
      <c r="E256" s="1">
        <v>45455</v>
      </c>
    </row>
    <row r="257" spans="1:5" x14ac:dyDescent="0.25">
      <c r="A257" s="5" t="s">
        <v>512</v>
      </c>
      <c r="B257" s="5" t="s">
        <v>511</v>
      </c>
      <c r="C257" s="5" t="s">
        <v>133</v>
      </c>
      <c r="D257" s="5" t="s">
        <v>67</v>
      </c>
      <c r="E257" s="1">
        <v>45516</v>
      </c>
    </row>
    <row r="258" spans="1:5" x14ac:dyDescent="0.25">
      <c r="A258" s="5" t="s">
        <v>510</v>
      </c>
      <c r="B258" s="5" t="s">
        <v>237</v>
      </c>
      <c r="C258" s="5" t="s">
        <v>86</v>
      </c>
      <c r="D258" s="5" t="s">
        <v>67</v>
      </c>
      <c r="E258" s="1">
        <v>45452</v>
      </c>
    </row>
    <row r="259" spans="1:5" x14ac:dyDescent="0.25">
      <c r="A259" s="5" t="s">
        <v>509</v>
      </c>
      <c r="B259" s="5" t="s">
        <v>508</v>
      </c>
      <c r="C259" s="5" t="s">
        <v>185</v>
      </c>
      <c r="D259" s="5" t="s">
        <v>67</v>
      </c>
      <c r="E259" s="1">
        <v>45692</v>
      </c>
    </row>
    <row r="260" spans="1:5" x14ac:dyDescent="0.25">
      <c r="A260" s="5" t="s">
        <v>507</v>
      </c>
      <c r="B260" s="5" t="s">
        <v>506</v>
      </c>
      <c r="C260" s="5" t="s">
        <v>81</v>
      </c>
      <c r="D260" s="5" t="s">
        <v>74</v>
      </c>
      <c r="E260" s="1">
        <v>45673</v>
      </c>
    </row>
    <row r="261" spans="1:5" x14ac:dyDescent="0.25">
      <c r="A261" s="5" t="s">
        <v>505</v>
      </c>
      <c r="B261" s="5" t="s">
        <v>504</v>
      </c>
      <c r="C261" s="5" t="s">
        <v>92</v>
      </c>
      <c r="D261" s="5" t="s">
        <v>67</v>
      </c>
      <c r="E261" s="1">
        <v>45534</v>
      </c>
    </row>
    <row r="262" spans="1:5" x14ac:dyDescent="0.25">
      <c r="A262" s="5" t="s">
        <v>503</v>
      </c>
      <c r="B262" s="5" t="s">
        <v>502</v>
      </c>
      <c r="C262" s="5" t="s">
        <v>92</v>
      </c>
      <c r="D262" s="5" t="s">
        <v>67</v>
      </c>
      <c r="E262" s="1">
        <v>45600</v>
      </c>
    </row>
    <row r="263" spans="1:5" x14ac:dyDescent="0.25">
      <c r="A263" s="5" t="s">
        <v>501</v>
      </c>
      <c r="B263" s="5" t="s">
        <v>500</v>
      </c>
      <c r="C263" s="5" t="s">
        <v>86</v>
      </c>
      <c r="D263" s="5" t="s">
        <v>91</v>
      </c>
      <c r="E263" s="1">
        <v>45383</v>
      </c>
    </row>
    <row r="264" spans="1:5" x14ac:dyDescent="0.25">
      <c r="A264" s="5" t="s">
        <v>499</v>
      </c>
      <c r="B264" s="5" t="s">
        <v>498</v>
      </c>
      <c r="C264" s="5" t="s">
        <v>307</v>
      </c>
      <c r="D264" s="5" t="s">
        <v>74</v>
      </c>
      <c r="E264" s="1">
        <v>45448</v>
      </c>
    </row>
    <row r="265" spans="1:5" x14ac:dyDescent="0.25">
      <c r="A265" s="5" t="s">
        <v>497</v>
      </c>
      <c r="B265" s="5" t="s">
        <v>496</v>
      </c>
      <c r="C265" s="5" t="s">
        <v>148</v>
      </c>
      <c r="D265" s="5" t="s">
        <v>74</v>
      </c>
      <c r="E265" s="1">
        <v>45726</v>
      </c>
    </row>
    <row r="266" spans="1:5" x14ac:dyDescent="0.25">
      <c r="A266" s="5" t="s">
        <v>495</v>
      </c>
      <c r="B266" s="5" t="s">
        <v>443</v>
      </c>
      <c r="C266" s="5" t="s">
        <v>185</v>
      </c>
      <c r="D266" s="5" t="s">
        <v>74</v>
      </c>
      <c r="E266" s="1">
        <v>45536</v>
      </c>
    </row>
    <row r="267" spans="1:5" x14ac:dyDescent="0.25">
      <c r="A267" s="5" t="s">
        <v>494</v>
      </c>
      <c r="B267" s="5" t="s">
        <v>493</v>
      </c>
      <c r="C267" s="5" t="s">
        <v>125</v>
      </c>
      <c r="D267" s="5" t="s">
        <v>67</v>
      </c>
      <c r="E267" s="1">
        <v>45468</v>
      </c>
    </row>
    <row r="268" spans="1:5" x14ac:dyDescent="0.25">
      <c r="A268" s="5" t="s">
        <v>492</v>
      </c>
      <c r="B268" s="5" t="s">
        <v>491</v>
      </c>
      <c r="C268" s="5" t="s">
        <v>81</v>
      </c>
      <c r="D268" s="5" t="s">
        <v>67</v>
      </c>
      <c r="E268" s="1">
        <v>45557</v>
      </c>
    </row>
    <row r="269" spans="1:5" x14ac:dyDescent="0.25">
      <c r="A269" s="5" t="s">
        <v>490</v>
      </c>
      <c r="B269" s="5" t="s">
        <v>489</v>
      </c>
      <c r="C269" s="5" t="s">
        <v>97</v>
      </c>
      <c r="D269" s="5" t="s">
        <v>74</v>
      </c>
      <c r="E269" s="1">
        <v>45742</v>
      </c>
    </row>
    <row r="270" spans="1:5" x14ac:dyDescent="0.25">
      <c r="A270" s="5" t="s">
        <v>488</v>
      </c>
      <c r="B270" s="5" t="s">
        <v>385</v>
      </c>
      <c r="C270" s="5" t="s">
        <v>133</v>
      </c>
      <c r="D270" s="5" t="s">
        <v>67</v>
      </c>
      <c r="E270" s="1">
        <v>45573</v>
      </c>
    </row>
    <row r="271" spans="1:5" x14ac:dyDescent="0.25">
      <c r="A271" s="5" t="s">
        <v>487</v>
      </c>
      <c r="B271" s="5" t="s">
        <v>413</v>
      </c>
      <c r="C271" s="5" t="s">
        <v>192</v>
      </c>
      <c r="D271" s="5" t="s">
        <v>74</v>
      </c>
      <c r="E271" s="1">
        <v>45741</v>
      </c>
    </row>
    <row r="272" spans="1:5" x14ac:dyDescent="0.25">
      <c r="A272" s="5" t="s">
        <v>486</v>
      </c>
      <c r="B272" s="5" t="s">
        <v>485</v>
      </c>
      <c r="C272" s="5" t="s">
        <v>192</v>
      </c>
      <c r="D272" s="5" t="s">
        <v>91</v>
      </c>
      <c r="E272" s="1">
        <v>45499</v>
      </c>
    </row>
    <row r="273" spans="1:5" x14ac:dyDescent="0.25">
      <c r="A273" s="5" t="s">
        <v>484</v>
      </c>
      <c r="B273" s="5" t="s">
        <v>429</v>
      </c>
      <c r="C273" s="5" t="s">
        <v>117</v>
      </c>
      <c r="D273" s="5" t="s">
        <v>67</v>
      </c>
      <c r="E273" s="1">
        <v>45437</v>
      </c>
    </row>
    <row r="274" spans="1:5" x14ac:dyDescent="0.25">
      <c r="A274" s="5" t="s">
        <v>483</v>
      </c>
      <c r="B274" s="5" t="s">
        <v>164</v>
      </c>
      <c r="C274" s="5" t="s">
        <v>86</v>
      </c>
      <c r="D274" s="5" t="s">
        <v>67</v>
      </c>
      <c r="E274" s="1">
        <v>45685</v>
      </c>
    </row>
    <row r="275" spans="1:5" x14ac:dyDescent="0.25">
      <c r="A275" s="5" t="s">
        <v>482</v>
      </c>
      <c r="B275" s="5" t="s">
        <v>481</v>
      </c>
      <c r="C275" s="5" t="s">
        <v>130</v>
      </c>
      <c r="D275" s="5" t="s">
        <v>67</v>
      </c>
      <c r="E275" s="1">
        <v>45739</v>
      </c>
    </row>
    <row r="276" spans="1:5" x14ac:dyDescent="0.25">
      <c r="A276" s="5" t="s">
        <v>480</v>
      </c>
      <c r="B276" s="5" t="s">
        <v>417</v>
      </c>
      <c r="C276" s="5" t="s">
        <v>307</v>
      </c>
      <c r="D276" s="5" t="s">
        <v>74</v>
      </c>
      <c r="E276" s="1">
        <v>45506</v>
      </c>
    </row>
    <row r="277" spans="1:5" x14ac:dyDescent="0.25">
      <c r="A277" s="5" t="s">
        <v>479</v>
      </c>
      <c r="B277" s="5" t="s">
        <v>478</v>
      </c>
      <c r="C277" s="5" t="s">
        <v>86</v>
      </c>
      <c r="D277" s="5" t="s">
        <v>67</v>
      </c>
      <c r="E277" s="1">
        <v>45496</v>
      </c>
    </row>
    <row r="278" spans="1:5" x14ac:dyDescent="0.25">
      <c r="A278" s="5" t="s">
        <v>477</v>
      </c>
      <c r="B278" s="5" t="s">
        <v>84</v>
      </c>
      <c r="C278" s="5" t="s">
        <v>212</v>
      </c>
      <c r="D278" s="5" t="s">
        <v>67</v>
      </c>
      <c r="E278" s="1">
        <v>45710</v>
      </c>
    </row>
    <row r="279" spans="1:5" x14ac:dyDescent="0.25">
      <c r="A279" s="5" t="s">
        <v>476</v>
      </c>
      <c r="B279" s="5" t="s">
        <v>475</v>
      </c>
      <c r="C279" s="5" t="s">
        <v>97</v>
      </c>
      <c r="D279" s="5" t="s">
        <v>67</v>
      </c>
      <c r="E279" s="1">
        <v>45636</v>
      </c>
    </row>
    <row r="280" spans="1:5" x14ac:dyDescent="0.25">
      <c r="A280" s="5" t="s">
        <v>474</v>
      </c>
      <c r="B280" s="5" t="s">
        <v>473</v>
      </c>
      <c r="C280" s="5" t="s">
        <v>192</v>
      </c>
      <c r="D280" s="5" t="s">
        <v>67</v>
      </c>
      <c r="E280" s="1">
        <v>45415</v>
      </c>
    </row>
    <row r="281" spans="1:5" x14ac:dyDescent="0.25">
      <c r="A281" s="5" t="s">
        <v>472</v>
      </c>
      <c r="B281" s="5" t="s">
        <v>471</v>
      </c>
      <c r="C281" s="5" t="s">
        <v>78</v>
      </c>
      <c r="D281" s="5" t="s">
        <v>91</v>
      </c>
      <c r="E281" s="1">
        <v>45733</v>
      </c>
    </row>
    <row r="282" spans="1:5" x14ac:dyDescent="0.25">
      <c r="A282" s="5" t="s">
        <v>470</v>
      </c>
      <c r="B282" s="5" t="s">
        <v>469</v>
      </c>
      <c r="C282" s="5" t="s">
        <v>97</v>
      </c>
      <c r="D282" s="5" t="s">
        <v>74</v>
      </c>
      <c r="E282" s="1">
        <v>45657</v>
      </c>
    </row>
    <row r="283" spans="1:5" x14ac:dyDescent="0.25">
      <c r="A283" s="5" t="s">
        <v>468</v>
      </c>
      <c r="B283" s="5" t="s">
        <v>467</v>
      </c>
      <c r="C283" s="5" t="s">
        <v>104</v>
      </c>
      <c r="D283" s="5" t="s">
        <v>67</v>
      </c>
      <c r="E283" s="1">
        <v>45519</v>
      </c>
    </row>
    <row r="284" spans="1:5" x14ac:dyDescent="0.25">
      <c r="A284" s="5" t="s">
        <v>466</v>
      </c>
      <c r="B284" s="5" t="s">
        <v>465</v>
      </c>
      <c r="C284" s="5" t="s">
        <v>75</v>
      </c>
      <c r="D284" s="5" t="s">
        <v>91</v>
      </c>
      <c r="E284" s="1">
        <v>45623</v>
      </c>
    </row>
    <row r="285" spans="1:5" x14ac:dyDescent="0.25">
      <c r="A285" s="5" t="s">
        <v>464</v>
      </c>
      <c r="B285" s="5" t="s">
        <v>463</v>
      </c>
      <c r="C285" s="5" t="s">
        <v>86</v>
      </c>
      <c r="D285" s="5" t="s">
        <v>74</v>
      </c>
      <c r="E285" s="1">
        <v>45661</v>
      </c>
    </row>
    <row r="286" spans="1:5" x14ac:dyDescent="0.25">
      <c r="A286" s="5" t="s">
        <v>462</v>
      </c>
      <c r="B286" s="5" t="s">
        <v>461</v>
      </c>
      <c r="C286" s="5" t="s">
        <v>130</v>
      </c>
      <c r="D286" s="5" t="s">
        <v>67</v>
      </c>
      <c r="E286" s="1">
        <v>45629</v>
      </c>
    </row>
    <row r="287" spans="1:5" x14ac:dyDescent="0.25">
      <c r="A287" s="5" t="s">
        <v>460</v>
      </c>
      <c r="B287" s="5" t="s">
        <v>459</v>
      </c>
      <c r="C287" s="5" t="s">
        <v>212</v>
      </c>
      <c r="D287" s="5" t="s">
        <v>67</v>
      </c>
      <c r="E287" s="1">
        <v>45531</v>
      </c>
    </row>
    <row r="288" spans="1:5" x14ac:dyDescent="0.25">
      <c r="A288" s="5" t="s">
        <v>458</v>
      </c>
      <c r="B288" s="5" t="s">
        <v>385</v>
      </c>
      <c r="C288" s="5" t="s">
        <v>141</v>
      </c>
      <c r="D288" s="5" t="s">
        <v>91</v>
      </c>
      <c r="E288" s="1">
        <v>45454</v>
      </c>
    </row>
    <row r="289" spans="1:5" x14ac:dyDescent="0.25">
      <c r="A289" s="5" t="s">
        <v>457</v>
      </c>
      <c r="B289" s="5" t="s">
        <v>456</v>
      </c>
      <c r="C289" s="5" t="s">
        <v>133</v>
      </c>
      <c r="D289" s="5" t="s">
        <v>74</v>
      </c>
      <c r="E289" s="1">
        <v>45460</v>
      </c>
    </row>
    <row r="290" spans="1:5" x14ac:dyDescent="0.25">
      <c r="A290" s="5" t="s">
        <v>455</v>
      </c>
      <c r="B290" s="5" t="s">
        <v>280</v>
      </c>
      <c r="C290" s="5" t="s">
        <v>68</v>
      </c>
      <c r="D290" s="5" t="s">
        <v>67</v>
      </c>
      <c r="E290" s="1">
        <v>45744</v>
      </c>
    </row>
    <row r="291" spans="1:5" x14ac:dyDescent="0.25">
      <c r="A291" s="5" t="s">
        <v>454</v>
      </c>
      <c r="B291" s="5" t="s">
        <v>243</v>
      </c>
      <c r="C291" s="5" t="s">
        <v>86</v>
      </c>
      <c r="D291" s="5" t="s">
        <v>67</v>
      </c>
      <c r="E291" s="1">
        <v>45642</v>
      </c>
    </row>
    <row r="292" spans="1:5" x14ac:dyDescent="0.25">
      <c r="A292" s="5" t="s">
        <v>453</v>
      </c>
      <c r="B292" s="5" t="s">
        <v>452</v>
      </c>
      <c r="C292" s="5" t="s">
        <v>130</v>
      </c>
      <c r="D292" s="5" t="s">
        <v>67</v>
      </c>
      <c r="E292" s="1">
        <v>45641</v>
      </c>
    </row>
    <row r="293" spans="1:5" x14ac:dyDescent="0.25">
      <c r="A293" s="5" t="s">
        <v>451</v>
      </c>
      <c r="B293" s="5" t="s">
        <v>350</v>
      </c>
      <c r="C293" s="5" t="s">
        <v>81</v>
      </c>
      <c r="D293" s="5" t="s">
        <v>67</v>
      </c>
      <c r="E293" s="1">
        <v>45733</v>
      </c>
    </row>
    <row r="294" spans="1:5" x14ac:dyDescent="0.25">
      <c r="A294" s="5" t="s">
        <v>450</v>
      </c>
      <c r="B294" s="5" t="s">
        <v>142</v>
      </c>
      <c r="C294" s="5" t="s">
        <v>148</v>
      </c>
      <c r="D294" s="5" t="s">
        <v>67</v>
      </c>
      <c r="E294" s="1">
        <v>45537</v>
      </c>
    </row>
    <row r="295" spans="1:5" x14ac:dyDescent="0.25">
      <c r="A295" s="5" t="s">
        <v>449</v>
      </c>
      <c r="B295" s="5" t="s">
        <v>448</v>
      </c>
      <c r="C295" s="5" t="s">
        <v>68</v>
      </c>
      <c r="D295" s="5" t="s">
        <v>67</v>
      </c>
      <c r="E295" s="1">
        <v>45671</v>
      </c>
    </row>
    <row r="296" spans="1:5" x14ac:dyDescent="0.25">
      <c r="A296" s="5" t="s">
        <v>447</v>
      </c>
      <c r="B296" s="5" t="s">
        <v>446</v>
      </c>
      <c r="C296" s="5" t="s">
        <v>75</v>
      </c>
      <c r="D296" s="5" t="s">
        <v>67</v>
      </c>
      <c r="E296" s="1">
        <v>45581</v>
      </c>
    </row>
    <row r="297" spans="1:5" x14ac:dyDescent="0.25">
      <c r="A297" s="5" t="s">
        <v>445</v>
      </c>
      <c r="B297" s="5" t="s">
        <v>162</v>
      </c>
      <c r="C297" s="5" t="s">
        <v>133</v>
      </c>
      <c r="D297" s="5" t="s">
        <v>67</v>
      </c>
      <c r="E297" s="1">
        <v>45437</v>
      </c>
    </row>
    <row r="298" spans="1:5" x14ac:dyDescent="0.25">
      <c r="A298" s="5" t="s">
        <v>444</v>
      </c>
      <c r="B298" s="5" t="s">
        <v>443</v>
      </c>
      <c r="C298" s="5" t="s">
        <v>125</v>
      </c>
      <c r="D298" s="5" t="s">
        <v>74</v>
      </c>
      <c r="E298" s="1">
        <v>45723</v>
      </c>
    </row>
    <row r="299" spans="1:5" x14ac:dyDescent="0.25">
      <c r="A299" s="5" t="s">
        <v>442</v>
      </c>
      <c r="B299" s="5" t="s">
        <v>441</v>
      </c>
      <c r="C299" s="5" t="s">
        <v>307</v>
      </c>
      <c r="D299" s="5" t="s">
        <v>67</v>
      </c>
      <c r="E299" s="1">
        <v>45532</v>
      </c>
    </row>
    <row r="300" spans="1:5" x14ac:dyDescent="0.25">
      <c r="A300" s="5" t="s">
        <v>440</v>
      </c>
      <c r="B300" s="5" t="s">
        <v>439</v>
      </c>
      <c r="C300" s="5" t="s">
        <v>120</v>
      </c>
      <c r="D300" s="5" t="s">
        <v>67</v>
      </c>
      <c r="E300" s="1">
        <v>45432</v>
      </c>
    </row>
    <row r="301" spans="1:5" x14ac:dyDescent="0.25">
      <c r="A301" s="5" t="s">
        <v>438</v>
      </c>
      <c r="B301" s="5" t="s">
        <v>256</v>
      </c>
      <c r="C301" s="5" t="s">
        <v>81</v>
      </c>
      <c r="D301" s="5" t="s">
        <v>67</v>
      </c>
      <c r="E301" s="1">
        <v>45742</v>
      </c>
    </row>
    <row r="302" spans="1:5" x14ac:dyDescent="0.25">
      <c r="A302" s="5" t="s">
        <v>437</v>
      </c>
      <c r="B302" s="5" t="s">
        <v>436</v>
      </c>
      <c r="C302" s="5" t="s">
        <v>81</v>
      </c>
      <c r="D302" s="5" t="s">
        <v>67</v>
      </c>
      <c r="E302" s="1">
        <v>45516</v>
      </c>
    </row>
    <row r="303" spans="1:5" x14ac:dyDescent="0.25">
      <c r="A303" s="5" t="s">
        <v>435</v>
      </c>
      <c r="B303" s="5" t="s">
        <v>434</v>
      </c>
      <c r="C303" s="5" t="s">
        <v>117</v>
      </c>
      <c r="D303" s="5" t="s">
        <v>91</v>
      </c>
      <c r="E303" s="1">
        <v>45659</v>
      </c>
    </row>
    <row r="304" spans="1:5" x14ac:dyDescent="0.25">
      <c r="A304" s="5" t="s">
        <v>433</v>
      </c>
      <c r="B304" s="5" t="s">
        <v>423</v>
      </c>
      <c r="C304" s="5" t="s">
        <v>81</v>
      </c>
      <c r="D304" s="5" t="s">
        <v>74</v>
      </c>
      <c r="E304" s="1">
        <v>45383</v>
      </c>
    </row>
    <row r="305" spans="1:5" x14ac:dyDescent="0.25">
      <c r="A305" s="5" t="s">
        <v>432</v>
      </c>
      <c r="B305" s="5" t="s">
        <v>431</v>
      </c>
      <c r="C305" s="5" t="s">
        <v>133</v>
      </c>
      <c r="D305" s="5" t="s">
        <v>67</v>
      </c>
      <c r="E305" s="1">
        <v>45575</v>
      </c>
    </row>
    <row r="306" spans="1:5" x14ac:dyDescent="0.25">
      <c r="A306" s="5" t="s">
        <v>430</v>
      </c>
      <c r="B306" s="5" t="s">
        <v>429</v>
      </c>
      <c r="C306" s="5" t="s">
        <v>151</v>
      </c>
      <c r="D306" s="5" t="s">
        <v>67</v>
      </c>
      <c r="E306" s="1">
        <v>45494</v>
      </c>
    </row>
    <row r="307" spans="1:5" x14ac:dyDescent="0.25">
      <c r="A307" s="5" t="s">
        <v>428</v>
      </c>
      <c r="B307" s="5" t="s">
        <v>427</v>
      </c>
      <c r="C307" s="5" t="s">
        <v>86</v>
      </c>
      <c r="D307" s="5" t="s">
        <v>67</v>
      </c>
      <c r="E307" s="1">
        <v>45538</v>
      </c>
    </row>
    <row r="308" spans="1:5" x14ac:dyDescent="0.25">
      <c r="A308" s="5" t="s">
        <v>426</v>
      </c>
      <c r="B308" s="5" t="s">
        <v>425</v>
      </c>
      <c r="C308" s="5" t="s">
        <v>185</v>
      </c>
      <c r="D308" s="5" t="s">
        <v>67</v>
      </c>
      <c r="E308" s="1">
        <v>45627</v>
      </c>
    </row>
    <row r="309" spans="1:5" x14ac:dyDescent="0.25">
      <c r="A309" s="5" t="s">
        <v>424</v>
      </c>
      <c r="B309" s="5" t="s">
        <v>423</v>
      </c>
      <c r="C309" s="5" t="s">
        <v>133</v>
      </c>
      <c r="D309" s="5" t="s">
        <v>74</v>
      </c>
      <c r="E309" s="1">
        <v>45679</v>
      </c>
    </row>
    <row r="310" spans="1:5" x14ac:dyDescent="0.25">
      <c r="A310" s="5" t="s">
        <v>422</v>
      </c>
      <c r="B310" s="5" t="s">
        <v>421</v>
      </c>
      <c r="C310" s="5" t="s">
        <v>133</v>
      </c>
      <c r="D310" s="5" t="s">
        <v>67</v>
      </c>
      <c r="E310" s="1">
        <v>45451</v>
      </c>
    </row>
    <row r="311" spans="1:5" x14ac:dyDescent="0.25">
      <c r="A311" s="5" t="s">
        <v>420</v>
      </c>
      <c r="B311" s="5" t="s">
        <v>302</v>
      </c>
      <c r="C311" s="5" t="s">
        <v>136</v>
      </c>
      <c r="D311" s="5" t="s">
        <v>67</v>
      </c>
      <c r="E311" s="1">
        <v>45397</v>
      </c>
    </row>
    <row r="312" spans="1:5" x14ac:dyDescent="0.25">
      <c r="A312" s="5" t="s">
        <v>419</v>
      </c>
      <c r="B312" s="5" t="s">
        <v>95</v>
      </c>
      <c r="C312" s="5" t="s">
        <v>68</v>
      </c>
      <c r="D312" s="5" t="s">
        <v>67</v>
      </c>
      <c r="E312" s="1">
        <v>45520</v>
      </c>
    </row>
    <row r="313" spans="1:5" x14ac:dyDescent="0.25">
      <c r="A313" s="5" t="s">
        <v>418</v>
      </c>
      <c r="B313" s="5" t="s">
        <v>417</v>
      </c>
      <c r="C313" s="5" t="s">
        <v>192</v>
      </c>
      <c r="D313" s="5" t="s">
        <v>67</v>
      </c>
      <c r="E313" s="1">
        <v>45672</v>
      </c>
    </row>
    <row r="314" spans="1:5" x14ac:dyDescent="0.25">
      <c r="A314" s="5" t="s">
        <v>416</v>
      </c>
      <c r="B314" s="5" t="s">
        <v>415</v>
      </c>
      <c r="C314" s="5" t="s">
        <v>125</v>
      </c>
      <c r="D314" s="5" t="s">
        <v>67</v>
      </c>
      <c r="E314" s="1">
        <v>45541</v>
      </c>
    </row>
    <row r="315" spans="1:5" x14ac:dyDescent="0.25">
      <c r="A315" s="5" t="s">
        <v>414</v>
      </c>
      <c r="B315" s="5" t="s">
        <v>413</v>
      </c>
      <c r="C315" s="5" t="s">
        <v>81</v>
      </c>
      <c r="D315" s="5" t="s">
        <v>74</v>
      </c>
      <c r="E315" s="1">
        <v>45662</v>
      </c>
    </row>
    <row r="316" spans="1:5" x14ac:dyDescent="0.25">
      <c r="A316" s="5" t="s">
        <v>412</v>
      </c>
      <c r="B316" s="5" t="s">
        <v>217</v>
      </c>
      <c r="C316" s="5" t="s">
        <v>117</v>
      </c>
      <c r="D316" s="5" t="s">
        <v>67</v>
      </c>
      <c r="E316" s="1">
        <v>45406</v>
      </c>
    </row>
    <row r="317" spans="1:5" x14ac:dyDescent="0.25">
      <c r="A317" s="5" t="s">
        <v>411</v>
      </c>
      <c r="B317" s="5" t="s">
        <v>410</v>
      </c>
      <c r="C317" s="5" t="s">
        <v>212</v>
      </c>
      <c r="D317" s="5" t="s">
        <v>74</v>
      </c>
      <c r="E317" s="1">
        <v>45531</v>
      </c>
    </row>
    <row r="318" spans="1:5" x14ac:dyDescent="0.25">
      <c r="A318" s="5" t="s">
        <v>409</v>
      </c>
      <c r="B318" s="5" t="s">
        <v>408</v>
      </c>
      <c r="C318" s="5" t="s">
        <v>97</v>
      </c>
      <c r="D318" s="5" t="s">
        <v>67</v>
      </c>
      <c r="E318" s="1">
        <v>45519</v>
      </c>
    </row>
    <row r="319" spans="1:5" x14ac:dyDescent="0.25">
      <c r="A319" s="5" t="s">
        <v>407</v>
      </c>
      <c r="B319" s="5" t="s">
        <v>406</v>
      </c>
      <c r="C319" s="5" t="s">
        <v>81</v>
      </c>
      <c r="D319" s="5" t="s">
        <v>74</v>
      </c>
      <c r="E319" s="1">
        <v>45690</v>
      </c>
    </row>
    <row r="320" spans="1:5" x14ac:dyDescent="0.25">
      <c r="A320" s="5" t="s">
        <v>405</v>
      </c>
      <c r="B320" s="5" t="s">
        <v>404</v>
      </c>
      <c r="C320" s="5" t="s">
        <v>130</v>
      </c>
      <c r="D320" s="5" t="s">
        <v>67</v>
      </c>
      <c r="E320" s="1">
        <v>45496</v>
      </c>
    </row>
    <row r="321" spans="1:5" x14ac:dyDescent="0.25">
      <c r="A321" s="5" t="s">
        <v>403</v>
      </c>
      <c r="B321" s="5" t="s">
        <v>402</v>
      </c>
      <c r="C321" s="5" t="s">
        <v>104</v>
      </c>
      <c r="D321" s="5" t="s">
        <v>91</v>
      </c>
      <c r="E321" s="1">
        <v>45515</v>
      </c>
    </row>
    <row r="322" spans="1:5" x14ac:dyDescent="0.25">
      <c r="A322" s="5" t="s">
        <v>401</v>
      </c>
      <c r="B322" s="5" t="s">
        <v>118</v>
      </c>
      <c r="C322" s="5" t="s">
        <v>71</v>
      </c>
      <c r="D322" s="5" t="s">
        <v>67</v>
      </c>
      <c r="E322" s="1">
        <v>45523</v>
      </c>
    </row>
    <row r="323" spans="1:5" x14ac:dyDescent="0.25">
      <c r="A323" s="5" t="s">
        <v>400</v>
      </c>
      <c r="B323" s="5" t="s">
        <v>399</v>
      </c>
      <c r="C323" s="5" t="s">
        <v>81</v>
      </c>
      <c r="D323" s="5" t="s">
        <v>74</v>
      </c>
      <c r="E323" s="1">
        <v>45459</v>
      </c>
    </row>
    <row r="324" spans="1:5" x14ac:dyDescent="0.25">
      <c r="A324" s="5" t="s">
        <v>398</v>
      </c>
      <c r="B324" s="5" t="s">
        <v>397</v>
      </c>
      <c r="C324" s="5" t="s">
        <v>71</v>
      </c>
      <c r="D324" s="5" t="s">
        <v>74</v>
      </c>
      <c r="E324" s="1">
        <v>45414</v>
      </c>
    </row>
    <row r="325" spans="1:5" x14ac:dyDescent="0.25">
      <c r="A325" s="5" t="s">
        <v>396</v>
      </c>
      <c r="B325" s="5" t="s">
        <v>395</v>
      </c>
      <c r="C325" s="5" t="s">
        <v>141</v>
      </c>
      <c r="D325" s="5" t="s">
        <v>74</v>
      </c>
      <c r="E325" s="1">
        <v>45710</v>
      </c>
    </row>
    <row r="326" spans="1:5" x14ac:dyDescent="0.25">
      <c r="A326" s="5" t="s">
        <v>394</v>
      </c>
      <c r="B326" s="5" t="s">
        <v>123</v>
      </c>
      <c r="C326" s="5" t="s">
        <v>75</v>
      </c>
      <c r="D326" s="5" t="s">
        <v>67</v>
      </c>
      <c r="E326" s="1">
        <v>45473</v>
      </c>
    </row>
    <row r="327" spans="1:5" x14ac:dyDescent="0.25">
      <c r="A327" s="5" t="s">
        <v>393</v>
      </c>
      <c r="B327" s="5" t="s">
        <v>375</v>
      </c>
      <c r="C327" s="5" t="s">
        <v>120</v>
      </c>
      <c r="D327" s="5" t="s">
        <v>67</v>
      </c>
      <c r="E327" s="1">
        <v>45675</v>
      </c>
    </row>
    <row r="328" spans="1:5" x14ac:dyDescent="0.25">
      <c r="A328" s="5" t="s">
        <v>392</v>
      </c>
      <c r="B328" s="5" t="s">
        <v>391</v>
      </c>
      <c r="C328" s="5" t="s">
        <v>192</v>
      </c>
      <c r="D328" s="5" t="s">
        <v>67</v>
      </c>
      <c r="E328" s="1">
        <v>45702</v>
      </c>
    </row>
    <row r="329" spans="1:5" x14ac:dyDescent="0.25">
      <c r="A329" s="5" t="s">
        <v>390</v>
      </c>
      <c r="B329" s="5" t="s">
        <v>389</v>
      </c>
      <c r="C329" s="5" t="s">
        <v>92</v>
      </c>
      <c r="D329" s="5" t="s">
        <v>67</v>
      </c>
      <c r="E329" s="1">
        <v>45549</v>
      </c>
    </row>
    <row r="330" spans="1:5" x14ac:dyDescent="0.25">
      <c r="A330" s="5" t="s">
        <v>388</v>
      </c>
      <c r="B330" s="5" t="s">
        <v>387</v>
      </c>
      <c r="C330" s="5" t="s">
        <v>75</v>
      </c>
      <c r="D330" s="5" t="s">
        <v>67</v>
      </c>
      <c r="E330" s="1">
        <v>45668</v>
      </c>
    </row>
    <row r="331" spans="1:5" x14ac:dyDescent="0.25">
      <c r="A331" s="5" t="s">
        <v>386</v>
      </c>
      <c r="B331" s="5" t="s">
        <v>385</v>
      </c>
      <c r="C331" s="5" t="s">
        <v>133</v>
      </c>
      <c r="D331" s="5" t="s">
        <v>67</v>
      </c>
      <c r="E331" s="1">
        <v>45605</v>
      </c>
    </row>
    <row r="332" spans="1:5" x14ac:dyDescent="0.25">
      <c r="A332" s="5" t="s">
        <v>384</v>
      </c>
      <c r="B332" s="5" t="s">
        <v>287</v>
      </c>
      <c r="C332" s="5" t="s">
        <v>185</v>
      </c>
      <c r="D332" s="5" t="s">
        <v>74</v>
      </c>
      <c r="E332" s="1">
        <v>45508</v>
      </c>
    </row>
    <row r="333" spans="1:5" x14ac:dyDescent="0.25">
      <c r="A333" s="5" t="s">
        <v>383</v>
      </c>
      <c r="B333" s="5" t="s">
        <v>254</v>
      </c>
      <c r="C333" s="5" t="s">
        <v>75</v>
      </c>
      <c r="D333" s="5" t="s">
        <v>91</v>
      </c>
      <c r="E333" s="1">
        <v>45672</v>
      </c>
    </row>
    <row r="334" spans="1:5" x14ac:dyDescent="0.25">
      <c r="A334" s="5" t="s">
        <v>382</v>
      </c>
      <c r="B334" s="5" t="s">
        <v>287</v>
      </c>
      <c r="C334" s="5" t="s">
        <v>130</v>
      </c>
      <c r="D334" s="5" t="s">
        <v>67</v>
      </c>
      <c r="E334" s="1">
        <v>45610</v>
      </c>
    </row>
    <row r="335" spans="1:5" x14ac:dyDescent="0.25">
      <c r="A335" s="5" t="s">
        <v>381</v>
      </c>
      <c r="B335" s="5" t="s">
        <v>316</v>
      </c>
      <c r="C335" s="5" t="s">
        <v>151</v>
      </c>
      <c r="D335" s="5" t="s">
        <v>91</v>
      </c>
      <c r="E335" s="1">
        <v>45577</v>
      </c>
    </row>
    <row r="336" spans="1:5" x14ac:dyDescent="0.25">
      <c r="A336" s="5" t="s">
        <v>380</v>
      </c>
      <c r="B336" s="5" t="s">
        <v>379</v>
      </c>
      <c r="C336" s="5" t="s">
        <v>68</v>
      </c>
      <c r="D336" s="5" t="s">
        <v>74</v>
      </c>
      <c r="E336" s="1">
        <v>45442</v>
      </c>
    </row>
    <row r="337" spans="1:5" x14ac:dyDescent="0.25">
      <c r="A337" s="5" t="s">
        <v>378</v>
      </c>
      <c r="B337" s="5" t="s">
        <v>377</v>
      </c>
      <c r="C337" s="5" t="s">
        <v>120</v>
      </c>
      <c r="D337" s="5" t="s">
        <v>67</v>
      </c>
      <c r="E337" s="1">
        <v>45579</v>
      </c>
    </row>
    <row r="338" spans="1:5" x14ac:dyDescent="0.25">
      <c r="A338" s="5" t="s">
        <v>376</v>
      </c>
      <c r="B338" s="5" t="s">
        <v>375</v>
      </c>
      <c r="C338" s="5" t="s">
        <v>133</v>
      </c>
      <c r="D338" s="5" t="s">
        <v>67</v>
      </c>
      <c r="E338" s="1">
        <v>45439</v>
      </c>
    </row>
    <row r="339" spans="1:5" x14ac:dyDescent="0.25">
      <c r="A339" s="5" t="s">
        <v>374</v>
      </c>
      <c r="B339" s="5" t="s">
        <v>266</v>
      </c>
      <c r="C339" s="5" t="s">
        <v>86</v>
      </c>
      <c r="D339" s="5" t="s">
        <v>74</v>
      </c>
      <c r="E339" s="1">
        <v>45452</v>
      </c>
    </row>
    <row r="340" spans="1:5" x14ac:dyDescent="0.25">
      <c r="A340" s="5" t="s">
        <v>373</v>
      </c>
      <c r="B340" s="5" t="s">
        <v>372</v>
      </c>
      <c r="C340" s="5" t="s">
        <v>148</v>
      </c>
      <c r="D340" s="5" t="s">
        <v>74</v>
      </c>
      <c r="E340" s="1">
        <v>45652</v>
      </c>
    </row>
    <row r="341" spans="1:5" x14ac:dyDescent="0.25">
      <c r="A341" s="5" t="s">
        <v>371</v>
      </c>
      <c r="B341" s="5" t="s">
        <v>144</v>
      </c>
      <c r="C341" s="5" t="s">
        <v>104</v>
      </c>
      <c r="D341" s="5" t="s">
        <v>67</v>
      </c>
      <c r="E341" s="1">
        <v>45627</v>
      </c>
    </row>
    <row r="342" spans="1:5" x14ac:dyDescent="0.25">
      <c r="A342" s="5" t="s">
        <v>370</v>
      </c>
      <c r="B342" s="5" t="s">
        <v>213</v>
      </c>
      <c r="C342" s="5" t="s">
        <v>307</v>
      </c>
      <c r="D342" s="5" t="s">
        <v>74</v>
      </c>
      <c r="E342" s="1">
        <v>45450</v>
      </c>
    </row>
    <row r="343" spans="1:5" x14ac:dyDescent="0.25">
      <c r="A343" s="5" t="s">
        <v>369</v>
      </c>
      <c r="B343" s="5" t="s">
        <v>368</v>
      </c>
      <c r="C343" s="5" t="s">
        <v>192</v>
      </c>
      <c r="D343" s="5" t="s">
        <v>91</v>
      </c>
      <c r="E343" s="1">
        <v>45671</v>
      </c>
    </row>
    <row r="344" spans="1:5" x14ac:dyDescent="0.25">
      <c r="A344" s="5" t="s">
        <v>367</v>
      </c>
      <c r="B344" s="5" t="s">
        <v>366</v>
      </c>
      <c r="C344" s="5" t="s">
        <v>86</v>
      </c>
      <c r="D344" s="5" t="s">
        <v>67</v>
      </c>
      <c r="E344" s="1">
        <v>45448</v>
      </c>
    </row>
    <row r="345" spans="1:5" x14ac:dyDescent="0.25">
      <c r="A345" s="5" t="s">
        <v>365</v>
      </c>
      <c r="B345" s="5" t="s">
        <v>364</v>
      </c>
      <c r="C345" s="5" t="s">
        <v>117</v>
      </c>
      <c r="D345" s="5" t="s">
        <v>91</v>
      </c>
      <c r="E345" s="1">
        <v>45658</v>
      </c>
    </row>
    <row r="346" spans="1:5" x14ac:dyDescent="0.25">
      <c r="A346" s="5" t="s">
        <v>363</v>
      </c>
      <c r="B346" s="5" t="s">
        <v>362</v>
      </c>
      <c r="C346" s="5" t="s">
        <v>81</v>
      </c>
      <c r="D346" s="5" t="s">
        <v>74</v>
      </c>
      <c r="E346" s="1">
        <v>45521</v>
      </c>
    </row>
    <row r="347" spans="1:5" x14ac:dyDescent="0.25">
      <c r="A347" s="5" t="s">
        <v>361</v>
      </c>
      <c r="B347" s="5" t="s">
        <v>251</v>
      </c>
      <c r="C347" s="5" t="s">
        <v>133</v>
      </c>
      <c r="D347" s="5" t="s">
        <v>91</v>
      </c>
      <c r="E347" s="1">
        <v>45622</v>
      </c>
    </row>
    <row r="348" spans="1:5" x14ac:dyDescent="0.25">
      <c r="A348" s="5" t="s">
        <v>360</v>
      </c>
      <c r="B348" s="5" t="s">
        <v>359</v>
      </c>
      <c r="C348" s="5" t="s">
        <v>71</v>
      </c>
      <c r="D348" s="5" t="s">
        <v>74</v>
      </c>
      <c r="E348" s="1">
        <v>45504</v>
      </c>
    </row>
    <row r="349" spans="1:5" x14ac:dyDescent="0.25">
      <c r="A349" s="5" t="s">
        <v>358</v>
      </c>
      <c r="B349" s="5" t="s">
        <v>357</v>
      </c>
      <c r="C349" s="5" t="s">
        <v>141</v>
      </c>
      <c r="D349" s="5" t="s">
        <v>91</v>
      </c>
      <c r="E349" s="1">
        <v>45483</v>
      </c>
    </row>
    <row r="350" spans="1:5" x14ac:dyDescent="0.25">
      <c r="A350" s="5" t="s">
        <v>356</v>
      </c>
      <c r="B350" s="5" t="s">
        <v>355</v>
      </c>
      <c r="C350" s="5" t="s">
        <v>125</v>
      </c>
      <c r="D350" s="5" t="s">
        <v>67</v>
      </c>
      <c r="E350" s="1">
        <v>45452</v>
      </c>
    </row>
    <row r="351" spans="1:5" x14ac:dyDescent="0.25">
      <c r="A351" s="5" t="s">
        <v>354</v>
      </c>
      <c r="B351" s="5" t="s">
        <v>353</v>
      </c>
      <c r="C351" s="5" t="s">
        <v>117</v>
      </c>
      <c r="D351" s="5" t="s">
        <v>74</v>
      </c>
      <c r="E351" s="1">
        <v>45482</v>
      </c>
    </row>
    <row r="352" spans="1:5" x14ac:dyDescent="0.25">
      <c r="A352" s="5" t="s">
        <v>352</v>
      </c>
      <c r="B352" s="5" t="s">
        <v>320</v>
      </c>
      <c r="C352" s="5" t="s">
        <v>148</v>
      </c>
      <c r="D352" s="5" t="s">
        <v>91</v>
      </c>
      <c r="E352" s="1">
        <v>45743</v>
      </c>
    </row>
    <row r="353" spans="1:5" x14ac:dyDescent="0.25">
      <c r="A353" s="5" t="s">
        <v>351</v>
      </c>
      <c r="B353" s="5" t="s">
        <v>350</v>
      </c>
      <c r="C353" s="5" t="s">
        <v>136</v>
      </c>
      <c r="D353" s="5" t="s">
        <v>74</v>
      </c>
      <c r="E353" s="1">
        <v>45508</v>
      </c>
    </row>
    <row r="354" spans="1:5" x14ac:dyDescent="0.25">
      <c r="A354" s="5" t="s">
        <v>349</v>
      </c>
      <c r="B354" s="5" t="s">
        <v>348</v>
      </c>
      <c r="C354" s="5" t="s">
        <v>212</v>
      </c>
      <c r="D354" s="5" t="s">
        <v>74</v>
      </c>
      <c r="E354" s="1">
        <v>45566</v>
      </c>
    </row>
    <row r="355" spans="1:5" x14ac:dyDescent="0.25">
      <c r="A355" s="5" t="s">
        <v>347</v>
      </c>
      <c r="B355" s="5" t="s">
        <v>346</v>
      </c>
      <c r="C355" s="5" t="s">
        <v>125</v>
      </c>
      <c r="D355" s="5" t="s">
        <v>67</v>
      </c>
      <c r="E355" s="1">
        <v>45713</v>
      </c>
    </row>
    <row r="356" spans="1:5" x14ac:dyDescent="0.25">
      <c r="A356" s="5" t="s">
        <v>345</v>
      </c>
      <c r="B356" s="5" t="s">
        <v>146</v>
      </c>
      <c r="C356" s="5" t="s">
        <v>71</v>
      </c>
      <c r="D356" s="5" t="s">
        <v>67</v>
      </c>
      <c r="E356" s="1">
        <v>45529</v>
      </c>
    </row>
    <row r="357" spans="1:5" x14ac:dyDescent="0.25">
      <c r="A357" s="5" t="s">
        <v>344</v>
      </c>
      <c r="B357" s="5" t="s">
        <v>343</v>
      </c>
      <c r="C357" s="5" t="s">
        <v>117</v>
      </c>
      <c r="D357" s="5" t="s">
        <v>67</v>
      </c>
      <c r="E357" s="1">
        <v>45430</v>
      </c>
    </row>
    <row r="358" spans="1:5" x14ac:dyDescent="0.25">
      <c r="A358" s="5" t="s">
        <v>342</v>
      </c>
      <c r="B358" s="5" t="s">
        <v>341</v>
      </c>
      <c r="C358" s="5" t="s">
        <v>192</v>
      </c>
      <c r="D358" s="5" t="s">
        <v>67</v>
      </c>
      <c r="E358" s="1">
        <v>45654</v>
      </c>
    </row>
    <row r="359" spans="1:5" x14ac:dyDescent="0.25">
      <c r="A359" s="5" t="s">
        <v>340</v>
      </c>
      <c r="B359" s="5" t="s">
        <v>339</v>
      </c>
      <c r="C359" s="5" t="s">
        <v>104</v>
      </c>
      <c r="D359" s="5" t="s">
        <v>67</v>
      </c>
      <c r="E359" s="1">
        <v>45615</v>
      </c>
    </row>
    <row r="360" spans="1:5" x14ac:dyDescent="0.25">
      <c r="A360" s="5" t="s">
        <v>338</v>
      </c>
      <c r="B360" s="5" t="s">
        <v>208</v>
      </c>
      <c r="C360" s="5" t="s">
        <v>307</v>
      </c>
      <c r="D360" s="5" t="s">
        <v>91</v>
      </c>
      <c r="E360" s="1">
        <v>45723</v>
      </c>
    </row>
    <row r="361" spans="1:5" x14ac:dyDescent="0.25">
      <c r="A361" s="5" t="s">
        <v>337</v>
      </c>
      <c r="B361" s="5" t="s">
        <v>336</v>
      </c>
      <c r="C361" s="5" t="s">
        <v>117</v>
      </c>
      <c r="D361" s="5" t="s">
        <v>67</v>
      </c>
      <c r="E361" s="1">
        <v>45425</v>
      </c>
    </row>
    <row r="362" spans="1:5" x14ac:dyDescent="0.25">
      <c r="A362" s="5" t="s">
        <v>335</v>
      </c>
      <c r="B362" s="5" t="s">
        <v>334</v>
      </c>
      <c r="C362" s="5" t="s">
        <v>81</v>
      </c>
      <c r="D362" s="5" t="s">
        <v>67</v>
      </c>
      <c r="E362" s="1">
        <v>45439</v>
      </c>
    </row>
    <row r="363" spans="1:5" x14ac:dyDescent="0.25">
      <c r="A363" s="5" t="s">
        <v>333</v>
      </c>
      <c r="B363" s="5" t="s">
        <v>109</v>
      </c>
      <c r="C363" s="5" t="s">
        <v>120</v>
      </c>
      <c r="D363" s="5" t="s">
        <v>67</v>
      </c>
      <c r="E363" s="1">
        <v>45617</v>
      </c>
    </row>
    <row r="364" spans="1:5" x14ac:dyDescent="0.25">
      <c r="A364" s="5" t="s">
        <v>332</v>
      </c>
      <c r="B364" s="5" t="s">
        <v>331</v>
      </c>
      <c r="C364" s="5" t="s">
        <v>86</v>
      </c>
      <c r="D364" s="5" t="s">
        <v>74</v>
      </c>
      <c r="E364" s="1">
        <v>45662</v>
      </c>
    </row>
    <row r="365" spans="1:5" x14ac:dyDescent="0.25">
      <c r="A365" s="5" t="s">
        <v>330</v>
      </c>
      <c r="B365" s="5" t="s">
        <v>329</v>
      </c>
      <c r="C365" s="5" t="s">
        <v>185</v>
      </c>
      <c r="D365" s="5" t="s">
        <v>91</v>
      </c>
      <c r="E365" s="1">
        <v>45454</v>
      </c>
    </row>
    <row r="366" spans="1:5" x14ac:dyDescent="0.25">
      <c r="A366" s="5" t="s">
        <v>328</v>
      </c>
      <c r="B366" s="5" t="s">
        <v>327</v>
      </c>
      <c r="C366" s="5" t="s">
        <v>151</v>
      </c>
      <c r="D366" s="5" t="s">
        <v>74</v>
      </c>
      <c r="E366" s="1">
        <v>45529</v>
      </c>
    </row>
    <row r="367" spans="1:5" x14ac:dyDescent="0.25">
      <c r="A367" s="5" t="s">
        <v>326</v>
      </c>
      <c r="B367" s="5" t="s">
        <v>325</v>
      </c>
      <c r="C367" s="5" t="s">
        <v>148</v>
      </c>
      <c r="D367" s="5" t="s">
        <v>74</v>
      </c>
      <c r="E367" s="1">
        <v>45743</v>
      </c>
    </row>
    <row r="368" spans="1:5" x14ac:dyDescent="0.25">
      <c r="A368" s="5" t="s">
        <v>324</v>
      </c>
      <c r="B368" s="5" t="s">
        <v>278</v>
      </c>
      <c r="C368" s="5" t="s">
        <v>92</v>
      </c>
      <c r="D368" s="5" t="s">
        <v>67</v>
      </c>
      <c r="E368" s="1">
        <v>45384</v>
      </c>
    </row>
    <row r="369" spans="1:5" x14ac:dyDescent="0.25">
      <c r="A369" s="5" t="s">
        <v>323</v>
      </c>
      <c r="B369" s="5" t="s">
        <v>322</v>
      </c>
      <c r="C369" s="5" t="s">
        <v>151</v>
      </c>
      <c r="D369" s="5" t="s">
        <v>67</v>
      </c>
      <c r="E369" s="1">
        <v>45454</v>
      </c>
    </row>
    <row r="370" spans="1:5" x14ac:dyDescent="0.25">
      <c r="A370" s="5" t="s">
        <v>321</v>
      </c>
      <c r="B370" s="5" t="s">
        <v>320</v>
      </c>
      <c r="C370" s="5" t="s">
        <v>125</v>
      </c>
      <c r="D370" s="5" t="s">
        <v>67</v>
      </c>
      <c r="E370" s="1">
        <v>45432</v>
      </c>
    </row>
    <row r="371" spans="1:5" x14ac:dyDescent="0.25">
      <c r="A371" s="5" t="s">
        <v>319</v>
      </c>
      <c r="B371" s="5" t="s">
        <v>318</v>
      </c>
      <c r="C371" s="5" t="s">
        <v>68</v>
      </c>
      <c r="D371" s="5" t="s">
        <v>91</v>
      </c>
      <c r="E371" s="1">
        <v>45405</v>
      </c>
    </row>
    <row r="372" spans="1:5" x14ac:dyDescent="0.25">
      <c r="A372" s="5" t="s">
        <v>317</v>
      </c>
      <c r="B372" s="5" t="s">
        <v>316</v>
      </c>
      <c r="C372" s="5" t="s">
        <v>104</v>
      </c>
      <c r="D372" s="5" t="s">
        <v>74</v>
      </c>
      <c r="E372" s="1">
        <v>45549</v>
      </c>
    </row>
    <row r="373" spans="1:5" x14ac:dyDescent="0.25">
      <c r="A373" s="5" t="s">
        <v>315</v>
      </c>
      <c r="B373" s="5" t="s">
        <v>314</v>
      </c>
      <c r="C373" s="5" t="s">
        <v>68</v>
      </c>
      <c r="D373" s="5" t="s">
        <v>67</v>
      </c>
      <c r="E373" s="1">
        <v>45586</v>
      </c>
    </row>
    <row r="374" spans="1:5" x14ac:dyDescent="0.25">
      <c r="A374" s="5" t="s">
        <v>313</v>
      </c>
      <c r="B374" s="5" t="s">
        <v>312</v>
      </c>
      <c r="C374" s="5" t="s">
        <v>81</v>
      </c>
      <c r="D374" s="5" t="s">
        <v>67</v>
      </c>
      <c r="E374" s="1">
        <v>45691</v>
      </c>
    </row>
    <row r="375" spans="1:5" x14ac:dyDescent="0.25">
      <c r="A375" s="5" t="s">
        <v>311</v>
      </c>
      <c r="B375" s="5" t="s">
        <v>310</v>
      </c>
      <c r="C375" s="5" t="s">
        <v>75</v>
      </c>
      <c r="D375" s="5" t="s">
        <v>74</v>
      </c>
      <c r="E375" s="1">
        <v>45473</v>
      </c>
    </row>
    <row r="376" spans="1:5" x14ac:dyDescent="0.25">
      <c r="A376" s="5" t="s">
        <v>309</v>
      </c>
      <c r="B376" s="5" t="s">
        <v>308</v>
      </c>
      <c r="C376" s="5" t="s">
        <v>307</v>
      </c>
      <c r="D376" s="5" t="s">
        <v>74</v>
      </c>
      <c r="E376" s="1">
        <v>45409</v>
      </c>
    </row>
    <row r="377" spans="1:5" x14ac:dyDescent="0.25">
      <c r="A377" s="5" t="s">
        <v>306</v>
      </c>
      <c r="B377" s="5" t="s">
        <v>166</v>
      </c>
      <c r="C377" s="5" t="s">
        <v>133</v>
      </c>
      <c r="D377" s="5" t="s">
        <v>67</v>
      </c>
      <c r="E377" s="1">
        <v>45538</v>
      </c>
    </row>
    <row r="378" spans="1:5" x14ac:dyDescent="0.25">
      <c r="A378" s="5" t="s">
        <v>305</v>
      </c>
      <c r="B378" s="5" t="s">
        <v>304</v>
      </c>
      <c r="C378" s="5" t="s">
        <v>212</v>
      </c>
      <c r="D378" s="5" t="s">
        <v>67</v>
      </c>
      <c r="E378" s="1">
        <v>45506</v>
      </c>
    </row>
    <row r="379" spans="1:5" x14ac:dyDescent="0.25">
      <c r="A379" s="5" t="s">
        <v>303</v>
      </c>
      <c r="B379" s="5" t="s">
        <v>302</v>
      </c>
      <c r="C379" s="5" t="s">
        <v>75</v>
      </c>
      <c r="D379" s="5" t="s">
        <v>67</v>
      </c>
      <c r="E379" s="1">
        <v>45619</v>
      </c>
    </row>
    <row r="380" spans="1:5" x14ac:dyDescent="0.25">
      <c r="A380" s="5" t="s">
        <v>301</v>
      </c>
      <c r="B380" s="5" t="s">
        <v>300</v>
      </c>
      <c r="C380" s="5" t="s">
        <v>125</v>
      </c>
      <c r="D380" s="5" t="s">
        <v>67</v>
      </c>
      <c r="E380" s="1">
        <v>45671</v>
      </c>
    </row>
    <row r="381" spans="1:5" x14ac:dyDescent="0.25">
      <c r="A381" s="5" t="s">
        <v>299</v>
      </c>
      <c r="B381" s="5" t="s">
        <v>298</v>
      </c>
      <c r="C381" s="5" t="s">
        <v>92</v>
      </c>
      <c r="D381" s="5" t="s">
        <v>67</v>
      </c>
      <c r="E381" s="1">
        <v>45678</v>
      </c>
    </row>
    <row r="382" spans="1:5" x14ac:dyDescent="0.25">
      <c r="A382" s="5" t="s">
        <v>297</v>
      </c>
      <c r="B382" s="5" t="s">
        <v>137</v>
      </c>
      <c r="C382" s="5" t="s">
        <v>212</v>
      </c>
      <c r="D382" s="5" t="s">
        <v>67</v>
      </c>
      <c r="E382" s="1">
        <v>45454</v>
      </c>
    </row>
    <row r="383" spans="1:5" x14ac:dyDescent="0.25">
      <c r="A383" s="5" t="s">
        <v>296</v>
      </c>
      <c r="B383" s="5" t="s">
        <v>295</v>
      </c>
      <c r="C383" s="5" t="s">
        <v>92</v>
      </c>
      <c r="D383" s="5" t="s">
        <v>67</v>
      </c>
      <c r="E383" s="1">
        <v>45735</v>
      </c>
    </row>
    <row r="384" spans="1:5" x14ac:dyDescent="0.25">
      <c r="A384" s="5" t="s">
        <v>294</v>
      </c>
      <c r="B384" s="5" t="s">
        <v>293</v>
      </c>
      <c r="C384" s="5" t="s">
        <v>148</v>
      </c>
      <c r="D384" s="5" t="s">
        <v>91</v>
      </c>
      <c r="E384" s="1">
        <v>45468</v>
      </c>
    </row>
    <row r="385" spans="1:5" x14ac:dyDescent="0.25">
      <c r="A385" s="5" t="s">
        <v>292</v>
      </c>
      <c r="B385" s="5" t="s">
        <v>291</v>
      </c>
      <c r="C385" s="5" t="s">
        <v>192</v>
      </c>
      <c r="D385" s="5" t="s">
        <v>91</v>
      </c>
      <c r="E385" s="1">
        <v>45588</v>
      </c>
    </row>
    <row r="386" spans="1:5" x14ac:dyDescent="0.25">
      <c r="A386" s="5" t="s">
        <v>290</v>
      </c>
      <c r="B386" s="5" t="s">
        <v>289</v>
      </c>
      <c r="C386" s="5" t="s">
        <v>78</v>
      </c>
      <c r="D386" s="5" t="s">
        <v>74</v>
      </c>
      <c r="E386" s="1">
        <v>45385</v>
      </c>
    </row>
    <row r="387" spans="1:5" x14ac:dyDescent="0.25">
      <c r="A387" s="5" t="s">
        <v>288</v>
      </c>
      <c r="B387" s="5" t="s">
        <v>287</v>
      </c>
      <c r="C387" s="5" t="s">
        <v>86</v>
      </c>
      <c r="D387" s="5" t="s">
        <v>67</v>
      </c>
      <c r="E387" s="1">
        <v>45390</v>
      </c>
    </row>
    <row r="388" spans="1:5" x14ac:dyDescent="0.25">
      <c r="A388" s="5" t="s">
        <v>286</v>
      </c>
      <c r="B388" s="5" t="s">
        <v>285</v>
      </c>
      <c r="C388" s="5" t="s">
        <v>104</v>
      </c>
      <c r="D388" s="5" t="s">
        <v>67</v>
      </c>
      <c r="E388" s="1">
        <v>45702</v>
      </c>
    </row>
    <row r="389" spans="1:5" x14ac:dyDescent="0.25">
      <c r="A389" s="5" t="s">
        <v>284</v>
      </c>
      <c r="B389" s="5" t="s">
        <v>283</v>
      </c>
      <c r="C389" s="5" t="s">
        <v>133</v>
      </c>
      <c r="D389" s="5" t="s">
        <v>74</v>
      </c>
      <c r="E389" s="1">
        <v>45540</v>
      </c>
    </row>
    <row r="390" spans="1:5" x14ac:dyDescent="0.25">
      <c r="A390" s="5" t="s">
        <v>282</v>
      </c>
      <c r="B390" s="5" t="s">
        <v>268</v>
      </c>
      <c r="C390" s="5" t="s">
        <v>104</v>
      </c>
      <c r="D390" s="5" t="s">
        <v>91</v>
      </c>
      <c r="E390" s="1">
        <v>45666</v>
      </c>
    </row>
    <row r="391" spans="1:5" x14ac:dyDescent="0.25">
      <c r="A391" s="5" t="s">
        <v>281</v>
      </c>
      <c r="B391" s="5" t="s">
        <v>280</v>
      </c>
      <c r="C391" s="5" t="s">
        <v>68</v>
      </c>
      <c r="D391" s="5" t="s">
        <v>67</v>
      </c>
      <c r="E391" s="1">
        <v>45473</v>
      </c>
    </row>
    <row r="392" spans="1:5" x14ac:dyDescent="0.25">
      <c r="A392" s="5" t="s">
        <v>279</v>
      </c>
      <c r="B392" s="5" t="s">
        <v>278</v>
      </c>
      <c r="C392" s="5" t="s">
        <v>136</v>
      </c>
      <c r="D392" s="5" t="s">
        <v>67</v>
      </c>
      <c r="E392" s="1">
        <v>45452</v>
      </c>
    </row>
    <row r="393" spans="1:5" x14ac:dyDescent="0.25">
      <c r="A393" s="5" t="s">
        <v>277</v>
      </c>
      <c r="B393" s="5" t="s">
        <v>276</v>
      </c>
      <c r="C393" s="5" t="s">
        <v>185</v>
      </c>
      <c r="D393" s="5" t="s">
        <v>67</v>
      </c>
      <c r="E393" s="1">
        <v>45724</v>
      </c>
    </row>
    <row r="394" spans="1:5" x14ac:dyDescent="0.25">
      <c r="A394" s="5" t="s">
        <v>275</v>
      </c>
      <c r="B394" s="5" t="s">
        <v>274</v>
      </c>
      <c r="C394" s="5" t="s">
        <v>71</v>
      </c>
      <c r="D394" s="5" t="s">
        <v>67</v>
      </c>
      <c r="E394" s="1">
        <v>45587</v>
      </c>
    </row>
    <row r="395" spans="1:5" x14ac:dyDescent="0.25">
      <c r="A395" s="5" t="s">
        <v>273</v>
      </c>
      <c r="B395" s="5" t="s">
        <v>272</v>
      </c>
      <c r="C395" s="5" t="s">
        <v>133</v>
      </c>
      <c r="D395" s="5" t="s">
        <v>74</v>
      </c>
      <c r="E395" s="1">
        <v>45487</v>
      </c>
    </row>
    <row r="396" spans="1:5" x14ac:dyDescent="0.25">
      <c r="A396" s="5" t="s">
        <v>271</v>
      </c>
      <c r="B396" s="5" t="s">
        <v>270</v>
      </c>
      <c r="C396" s="5" t="s">
        <v>81</v>
      </c>
      <c r="D396" s="5" t="s">
        <v>67</v>
      </c>
      <c r="E396" s="1">
        <v>45716</v>
      </c>
    </row>
    <row r="397" spans="1:5" x14ac:dyDescent="0.25">
      <c r="A397" s="5" t="s">
        <v>269</v>
      </c>
      <c r="B397" s="5" t="s">
        <v>268</v>
      </c>
      <c r="C397" s="5" t="s">
        <v>185</v>
      </c>
      <c r="D397" s="5" t="s">
        <v>74</v>
      </c>
      <c r="E397" s="1">
        <v>45571</v>
      </c>
    </row>
    <row r="398" spans="1:5" x14ac:dyDescent="0.25">
      <c r="A398" s="5" t="s">
        <v>267</v>
      </c>
      <c r="B398" s="5" t="s">
        <v>266</v>
      </c>
      <c r="C398" s="5" t="s">
        <v>71</v>
      </c>
      <c r="D398" s="5" t="s">
        <v>67</v>
      </c>
      <c r="E398" s="1">
        <v>45411</v>
      </c>
    </row>
    <row r="399" spans="1:5" x14ac:dyDescent="0.25">
      <c r="A399" s="5" t="s">
        <v>265</v>
      </c>
      <c r="B399" s="5" t="s">
        <v>264</v>
      </c>
      <c r="C399" s="5" t="s">
        <v>133</v>
      </c>
      <c r="D399" s="5" t="s">
        <v>91</v>
      </c>
      <c r="E399" s="1">
        <v>45478</v>
      </c>
    </row>
    <row r="400" spans="1:5" x14ac:dyDescent="0.25">
      <c r="A400" s="5" t="s">
        <v>263</v>
      </c>
      <c r="B400" s="5" t="s">
        <v>262</v>
      </c>
      <c r="C400" s="5" t="s">
        <v>120</v>
      </c>
      <c r="D400" s="5" t="s">
        <v>67</v>
      </c>
      <c r="E400" s="1">
        <v>45585</v>
      </c>
    </row>
    <row r="401" spans="1:5" x14ac:dyDescent="0.25">
      <c r="A401" s="5" t="s">
        <v>261</v>
      </c>
      <c r="B401" s="5" t="s">
        <v>237</v>
      </c>
      <c r="C401" s="5" t="s">
        <v>117</v>
      </c>
      <c r="D401" s="5" t="s">
        <v>67</v>
      </c>
      <c r="E401" s="1">
        <v>45453</v>
      </c>
    </row>
    <row r="402" spans="1:5" x14ac:dyDescent="0.25">
      <c r="A402" s="5" t="s">
        <v>260</v>
      </c>
      <c r="B402" s="5" t="s">
        <v>235</v>
      </c>
      <c r="C402" s="5" t="s">
        <v>104</v>
      </c>
      <c r="D402" s="5" t="s">
        <v>91</v>
      </c>
      <c r="E402" s="1">
        <v>45740</v>
      </c>
    </row>
    <row r="403" spans="1:5" x14ac:dyDescent="0.25">
      <c r="A403" s="5" t="s">
        <v>259</v>
      </c>
      <c r="B403" s="5" t="s">
        <v>258</v>
      </c>
      <c r="C403" s="5" t="s">
        <v>136</v>
      </c>
      <c r="D403" s="5" t="s">
        <v>67</v>
      </c>
      <c r="E403" s="1">
        <v>45394</v>
      </c>
    </row>
    <row r="404" spans="1:5" x14ac:dyDescent="0.25">
      <c r="A404" s="5" t="s">
        <v>257</v>
      </c>
      <c r="B404" s="5" t="s">
        <v>256</v>
      </c>
      <c r="C404" s="5" t="s">
        <v>104</v>
      </c>
      <c r="D404" s="5" t="s">
        <v>67</v>
      </c>
      <c r="E404" s="1">
        <v>45473</v>
      </c>
    </row>
    <row r="405" spans="1:5" x14ac:dyDescent="0.25">
      <c r="A405" s="5" t="s">
        <v>255</v>
      </c>
      <c r="B405" s="5" t="s">
        <v>254</v>
      </c>
      <c r="C405" s="5" t="s">
        <v>86</v>
      </c>
      <c r="D405" s="5" t="s">
        <v>67</v>
      </c>
      <c r="E405" s="1">
        <v>45430</v>
      </c>
    </row>
    <row r="406" spans="1:5" x14ac:dyDescent="0.25">
      <c r="A406" s="5" t="s">
        <v>253</v>
      </c>
      <c r="B406" s="5" t="s">
        <v>152</v>
      </c>
      <c r="C406" s="5" t="s">
        <v>130</v>
      </c>
      <c r="D406" s="5" t="s">
        <v>91</v>
      </c>
      <c r="E406" s="1">
        <v>45489</v>
      </c>
    </row>
    <row r="407" spans="1:5" x14ac:dyDescent="0.25">
      <c r="A407" s="5" t="s">
        <v>252</v>
      </c>
      <c r="B407" s="5" t="s">
        <v>251</v>
      </c>
      <c r="C407" s="5" t="s">
        <v>148</v>
      </c>
      <c r="D407" s="5" t="s">
        <v>67</v>
      </c>
      <c r="E407" s="1">
        <v>45688</v>
      </c>
    </row>
    <row r="408" spans="1:5" x14ac:dyDescent="0.25">
      <c r="A408" s="5" t="s">
        <v>250</v>
      </c>
      <c r="B408" s="5" t="s">
        <v>249</v>
      </c>
      <c r="C408" s="5" t="s">
        <v>104</v>
      </c>
      <c r="D408" s="5" t="s">
        <v>67</v>
      </c>
      <c r="E408" s="1">
        <v>45549</v>
      </c>
    </row>
    <row r="409" spans="1:5" x14ac:dyDescent="0.25">
      <c r="A409" s="5" t="s">
        <v>248</v>
      </c>
      <c r="B409" s="5" t="s">
        <v>247</v>
      </c>
      <c r="C409" s="5" t="s">
        <v>192</v>
      </c>
      <c r="D409" s="5" t="s">
        <v>67</v>
      </c>
      <c r="E409" s="1">
        <v>45391</v>
      </c>
    </row>
    <row r="410" spans="1:5" x14ac:dyDescent="0.25">
      <c r="A410" s="5" t="s">
        <v>246</v>
      </c>
      <c r="B410" s="5" t="s">
        <v>245</v>
      </c>
      <c r="C410" s="5" t="s">
        <v>86</v>
      </c>
      <c r="D410" s="5" t="s">
        <v>91</v>
      </c>
      <c r="E410" s="1">
        <v>45587</v>
      </c>
    </row>
    <row r="411" spans="1:5" x14ac:dyDescent="0.25">
      <c r="A411" s="5" t="s">
        <v>244</v>
      </c>
      <c r="B411" s="5" t="s">
        <v>243</v>
      </c>
      <c r="C411" s="5" t="s">
        <v>133</v>
      </c>
      <c r="D411" s="5" t="s">
        <v>67</v>
      </c>
      <c r="E411" s="1">
        <v>45662</v>
      </c>
    </row>
    <row r="412" spans="1:5" x14ac:dyDescent="0.25">
      <c r="A412" s="5" t="s">
        <v>242</v>
      </c>
      <c r="B412" s="5" t="s">
        <v>241</v>
      </c>
      <c r="C412" s="5" t="s">
        <v>141</v>
      </c>
      <c r="D412" s="5" t="s">
        <v>67</v>
      </c>
      <c r="E412" s="1">
        <v>45575</v>
      </c>
    </row>
    <row r="413" spans="1:5" x14ac:dyDescent="0.25">
      <c r="A413" s="5" t="s">
        <v>240</v>
      </c>
      <c r="B413" s="5" t="s">
        <v>239</v>
      </c>
      <c r="C413" s="5" t="s">
        <v>212</v>
      </c>
      <c r="D413" s="5" t="s">
        <v>74</v>
      </c>
      <c r="E413" s="1">
        <v>45571</v>
      </c>
    </row>
    <row r="414" spans="1:5" x14ac:dyDescent="0.25">
      <c r="A414" s="5" t="s">
        <v>238</v>
      </c>
      <c r="B414" s="5" t="s">
        <v>237</v>
      </c>
      <c r="C414" s="5" t="s">
        <v>185</v>
      </c>
      <c r="D414" s="5" t="s">
        <v>67</v>
      </c>
      <c r="E414" s="1">
        <v>45495</v>
      </c>
    </row>
    <row r="415" spans="1:5" x14ac:dyDescent="0.25">
      <c r="A415" s="5" t="s">
        <v>236</v>
      </c>
      <c r="B415" s="5" t="s">
        <v>235</v>
      </c>
      <c r="C415" s="5" t="s">
        <v>120</v>
      </c>
      <c r="D415" s="5" t="s">
        <v>91</v>
      </c>
      <c r="E415" s="1">
        <v>45695</v>
      </c>
    </row>
    <row r="416" spans="1:5" x14ac:dyDescent="0.25">
      <c r="A416" s="5" t="s">
        <v>234</v>
      </c>
      <c r="B416" s="5" t="s">
        <v>233</v>
      </c>
      <c r="C416" s="5" t="s">
        <v>141</v>
      </c>
      <c r="D416" s="5" t="s">
        <v>67</v>
      </c>
      <c r="E416" s="1">
        <v>45689</v>
      </c>
    </row>
    <row r="417" spans="1:5" x14ac:dyDescent="0.25">
      <c r="A417" s="5" t="s">
        <v>232</v>
      </c>
      <c r="B417" s="5" t="s">
        <v>231</v>
      </c>
      <c r="C417" s="5" t="s">
        <v>68</v>
      </c>
      <c r="D417" s="5" t="s">
        <v>67</v>
      </c>
      <c r="E417" s="1">
        <v>45386</v>
      </c>
    </row>
    <row r="418" spans="1:5" x14ac:dyDescent="0.25">
      <c r="A418" s="5" t="s">
        <v>230</v>
      </c>
      <c r="B418" s="5" t="s">
        <v>229</v>
      </c>
      <c r="C418" s="5" t="s">
        <v>117</v>
      </c>
      <c r="D418" s="5" t="s">
        <v>74</v>
      </c>
      <c r="E418" s="1">
        <v>45416</v>
      </c>
    </row>
    <row r="419" spans="1:5" x14ac:dyDescent="0.25">
      <c r="A419" s="5" t="s">
        <v>228</v>
      </c>
      <c r="B419" s="5" t="s">
        <v>227</v>
      </c>
      <c r="C419" s="5" t="s">
        <v>68</v>
      </c>
      <c r="D419" s="5" t="s">
        <v>74</v>
      </c>
      <c r="E419" s="1">
        <v>45397</v>
      </c>
    </row>
    <row r="420" spans="1:5" x14ac:dyDescent="0.25">
      <c r="A420" s="5" t="s">
        <v>226</v>
      </c>
      <c r="B420" s="5" t="s">
        <v>225</v>
      </c>
      <c r="C420" s="5" t="s">
        <v>104</v>
      </c>
      <c r="D420" s="5" t="s">
        <v>74</v>
      </c>
      <c r="E420" s="1">
        <v>45608</v>
      </c>
    </row>
    <row r="421" spans="1:5" x14ac:dyDescent="0.25">
      <c r="A421" s="5" t="s">
        <v>224</v>
      </c>
      <c r="B421" s="5" t="s">
        <v>223</v>
      </c>
      <c r="C421" s="5" t="s">
        <v>71</v>
      </c>
      <c r="D421" s="5" t="s">
        <v>74</v>
      </c>
      <c r="E421" s="1">
        <v>45565</v>
      </c>
    </row>
    <row r="422" spans="1:5" x14ac:dyDescent="0.25">
      <c r="A422" s="5" t="s">
        <v>222</v>
      </c>
      <c r="B422" s="5" t="s">
        <v>221</v>
      </c>
      <c r="C422" s="5" t="s">
        <v>81</v>
      </c>
      <c r="D422" s="5" t="s">
        <v>67</v>
      </c>
      <c r="E422" s="1">
        <v>45466</v>
      </c>
    </row>
    <row r="423" spans="1:5" x14ac:dyDescent="0.25">
      <c r="A423" s="5" t="s">
        <v>220</v>
      </c>
      <c r="B423" s="5" t="s">
        <v>219</v>
      </c>
      <c r="C423" s="5" t="s">
        <v>71</v>
      </c>
      <c r="D423" s="5" t="s">
        <v>67</v>
      </c>
      <c r="E423" s="1">
        <v>45386</v>
      </c>
    </row>
    <row r="424" spans="1:5" x14ac:dyDescent="0.25">
      <c r="A424" s="5" t="s">
        <v>218</v>
      </c>
      <c r="B424" s="5" t="s">
        <v>217</v>
      </c>
      <c r="C424" s="5" t="s">
        <v>151</v>
      </c>
      <c r="D424" s="5" t="s">
        <v>67</v>
      </c>
      <c r="E424" s="1">
        <v>45429</v>
      </c>
    </row>
    <row r="425" spans="1:5" x14ac:dyDescent="0.25">
      <c r="A425" s="5" t="s">
        <v>216</v>
      </c>
      <c r="B425" s="5" t="s">
        <v>215</v>
      </c>
      <c r="C425" s="5" t="s">
        <v>120</v>
      </c>
      <c r="D425" s="5" t="s">
        <v>67</v>
      </c>
      <c r="E425" s="1">
        <v>45499</v>
      </c>
    </row>
    <row r="426" spans="1:5" x14ac:dyDescent="0.25">
      <c r="A426" s="5" t="s">
        <v>214</v>
      </c>
      <c r="B426" s="5" t="s">
        <v>213</v>
      </c>
      <c r="C426" s="5" t="s">
        <v>212</v>
      </c>
      <c r="D426" s="5" t="s">
        <v>67</v>
      </c>
      <c r="E426" s="1">
        <v>45648</v>
      </c>
    </row>
    <row r="427" spans="1:5" x14ac:dyDescent="0.25">
      <c r="A427" s="5" t="s">
        <v>211</v>
      </c>
      <c r="B427" s="5" t="s">
        <v>210</v>
      </c>
      <c r="C427" s="5" t="s">
        <v>185</v>
      </c>
      <c r="D427" s="5" t="s">
        <v>67</v>
      </c>
      <c r="E427" s="1">
        <v>45396</v>
      </c>
    </row>
    <row r="428" spans="1:5" x14ac:dyDescent="0.25">
      <c r="A428" s="5" t="s">
        <v>209</v>
      </c>
      <c r="B428" s="5" t="s">
        <v>208</v>
      </c>
      <c r="C428" s="5" t="s">
        <v>86</v>
      </c>
      <c r="D428" s="5" t="s">
        <v>91</v>
      </c>
      <c r="E428" s="1">
        <v>45438</v>
      </c>
    </row>
    <row r="429" spans="1:5" x14ac:dyDescent="0.25">
      <c r="A429" s="5" t="s">
        <v>207</v>
      </c>
      <c r="B429" s="5" t="s">
        <v>206</v>
      </c>
      <c r="C429" s="5" t="s">
        <v>68</v>
      </c>
      <c r="D429" s="5" t="s">
        <v>67</v>
      </c>
      <c r="E429" s="1">
        <v>45729</v>
      </c>
    </row>
    <row r="430" spans="1:5" x14ac:dyDescent="0.25">
      <c r="A430" s="5" t="s">
        <v>205</v>
      </c>
      <c r="B430" s="5" t="s">
        <v>204</v>
      </c>
      <c r="C430" s="5" t="s">
        <v>148</v>
      </c>
      <c r="D430" s="5" t="s">
        <v>67</v>
      </c>
      <c r="E430" s="1">
        <v>45383</v>
      </c>
    </row>
    <row r="431" spans="1:5" x14ac:dyDescent="0.25">
      <c r="A431" s="5" t="s">
        <v>203</v>
      </c>
      <c r="B431" s="5" t="s">
        <v>160</v>
      </c>
      <c r="C431" s="5" t="s">
        <v>86</v>
      </c>
      <c r="D431" s="5" t="s">
        <v>74</v>
      </c>
      <c r="E431" s="1">
        <v>45674</v>
      </c>
    </row>
    <row r="432" spans="1:5" x14ac:dyDescent="0.25">
      <c r="A432" s="5" t="s">
        <v>202</v>
      </c>
      <c r="B432" s="5" t="s">
        <v>201</v>
      </c>
      <c r="C432" s="5" t="s">
        <v>130</v>
      </c>
      <c r="D432" s="5" t="s">
        <v>67</v>
      </c>
      <c r="E432" s="1">
        <v>45552</v>
      </c>
    </row>
    <row r="433" spans="1:5" x14ac:dyDescent="0.25">
      <c r="A433" s="5" t="s">
        <v>200</v>
      </c>
      <c r="B433" s="5" t="s">
        <v>199</v>
      </c>
      <c r="C433" s="5" t="s">
        <v>192</v>
      </c>
      <c r="D433" s="5" t="s">
        <v>74</v>
      </c>
      <c r="E433" s="1">
        <v>45600</v>
      </c>
    </row>
    <row r="434" spans="1:5" x14ac:dyDescent="0.25">
      <c r="A434" s="5" t="s">
        <v>198</v>
      </c>
      <c r="B434" s="5" t="s">
        <v>197</v>
      </c>
      <c r="C434" s="5" t="s">
        <v>104</v>
      </c>
      <c r="D434" s="5" t="s">
        <v>91</v>
      </c>
      <c r="E434" s="1">
        <v>45531</v>
      </c>
    </row>
    <row r="435" spans="1:5" x14ac:dyDescent="0.25">
      <c r="A435" s="5" t="s">
        <v>196</v>
      </c>
      <c r="B435" s="5" t="s">
        <v>195</v>
      </c>
      <c r="C435" s="5" t="s">
        <v>75</v>
      </c>
      <c r="D435" s="5" t="s">
        <v>67</v>
      </c>
      <c r="E435" s="1">
        <v>45559</v>
      </c>
    </row>
    <row r="436" spans="1:5" x14ac:dyDescent="0.25">
      <c r="A436" s="5" t="s">
        <v>194</v>
      </c>
      <c r="B436" s="5" t="s">
        <v>193</v>
      </c>
      <c r="C436" s="5" t="s">
        <v>192</v>
      </c>
      <c r="D436" s="5" t="s">
        <v>67</v>
      </c>
      <c r="E436" s="1">
        <v>45534</v>
      </c>
    </row>
    <row r="437" spans="1:5" x14ac:dyDescent="0.25">
      <c r="A437" s="5" t="s">
        <v>191</v>
      </c>
      <c r="B437" s="5" t="s">
        <v>190</v>
      </c>
      <c r="C437" s="5" t="s">
        <v>71</v>
      </c>
      <c r="D437" s="5" t="s">
        <v>67</v>
      </c>
      <c r="E437" s="1">
        <v>45680</v>
      </c>
    </row>
    <row r="438" spans="1:5" x14ac:dyDescent="0.25">
      <c r="A438" s="5" t="s">
        <v>189</v>
      </c>
      <c r="B438" s="5" t="s">
        <v>188</v>
      </c>
      <c r="C438" s="5" t="s">
        <v>78</v>
      </c>
      <c r="D438" s="5" t="s">
        <v>74</v>
      </c>
      <c r="E438" s="1">
        <v>45513</v>
      </c>
    </row>
    <row r="439" spans="1:5" x14ac:dyDescent="0.25">
      <c r="A439" s="5" t="s">
        <v>187</v>
      </c>
      <c r="B439" s="5" t="s">
        <v>186</v>
      </c>
      <c r="C439" s="5" t="s">
        <v>185</v>
      </c>
      <c r="D439" s="5" t="s">
        <v>74</v>
      </c>
      <c r="E439" s="1">
        <v>45613</v>
      </c>
    </row>
    <row r="440" spans="1:5" x14ac:dyDescent="0.25">
      <c r="A440" s="5" t="s">
        <v>184</v>
      </c>
      <c r="B440" s="5" t="s">
        <v>183</v>
      </c>
      <c r="C440" s="5" t="s">
        <v>117</v>
      </c>
      <c r="D440" s="5" t="s">
        <v>67</v>
      </c>
      <c r="E440" s="1">
        <v>45474</v>
      </c>
    </row>
    <row r="441" spans="1:5" x14ac:dyDescent="0.25">
      <c r="A441" s="5" t="s">
        <v>182</v>
      </c>
      <c r="B441" s="5" t="s">
        <v>181</v>
      </c>
      <c r="C441" s="5" t="s">
        <v>68</v>
      </c>
      <c r="D441" s="5" t="s">
        <v>91</v>
      </c>
      <c r="E441" s="1">
        <v>45700</v>
      </c>
    </row>
    <row r="442" spans="1:5" x14ac:dyDescent="0.25">
      <c r="A442" s="5" t="s">
        <v>180</v>
      </c>
      <c r="B442" s="5" t="s">
        <v>179</v>
      </c>
      <c r="C442" s="5" t="s">
        <v>148</v>
      </c>
      <c r="D442" s="5" t="s">
        <v>67</v>
      </c>
      <c r="E442" s="1">
        <v>45682</v>
      </c>
    </row>
    <row r="443" spans="1:5" x14ac:dyDescent="0.25">
      <c r="A443" s="5" t="s">
        <v>178</v>
      </c>
      <c r="B443" s="5" t="s">
        <v>146</v>
      </c>
      <c r="C443" s="5" t="s">
        <v>78</v>
      </c>
      <c r="D443" s="5" t="s">
        <v>67</v>
      </c>
      <c r="E443" s="1">
        <v>45401</v>
      </c>
    </row>
    <row r="444" spans="1:5" x14ac:dyDescent="0.25">
      <c r="A444" s="5" t="s">
        <v>177</v>
      </c>
      <c r="B444" s="5" t="s">
        <v>176</v>
      </c>
      <c r="C444" s="5" t="s">
        <v>75</v>
      </c>
      <c r="D444" s="5" t="s">
        <v>74</v>
      </c>
      <c r="E444" s="1">
        <v>45500</v>
      </c>
    </row>
    <row r="445" spans="1:5" x14ac:dyDescent="0.25">
      <c r="A445" s="5" t="s">
        <v>175</v>
      </c>
      <c r="B445" s="5" t="s">
        <v>174</v>
      </c>
      <c r="C445" s="5" t="s">
        <v>141</v>
      </c>
      <c r="D445" s="5" t="s">
        <v>91</v>
      </c>
      <c r="E445" s="1">
        <v>45409</v>
      </c>
    </row>
    <row r="446" spans="1:5" x14ac:dyDescent="0.25">
      <c r="A446" s="5" t="s">
        <v>173</v>
      </c>
      <c r="B446" s="5" t="s">
        <v>172</v>
      </c>
      <c r="C446" s="5" t="s">
        <v>151</v>
      </c>
      <c r="D446" s="5" t="s">
        <v>67</v>
      </c>
      <c r="E446" s="1">
        <v>45418</v>
      </c>
    </row>
    <row r="447" spans="1:5" x14ac:dyDescent="0.25">
      <c r="A447" s="5" t="s">
        <v>171</v>
      </c>
      <c r="B447" s="5" t="s">
        <v>170</v>
      </c>
      <c r="C447" s="5" t="s">
        <v>75</v>
      </c>
      <c r="D447" s="5" t="s">
        <v>74</v>
      </c>
      <c r="E447" s="1">
        <v>45679</v>
      </c>
    </row>
    <row r="448" spans="1:5" x14ac:dyDescent="0.25">
      <c r="A448" s="5" t="s">
        <v>169</v>
      </c>
      <c r="B448" s="5" t="s">
        <v>168</v>
      </c>
      <c r="C448" s="5" t="s">
        <v>68</v>
      </c>
      <c r="D448" s="5" t="s">
        <v>74</v>
      </c>
      <c r="E448" s="1">
        <v>45507</v>
      </c>
    </row>
    <row r="449" spans="1:5" x14ac:dyDescent="0.25">
      <c r="A449" s="5" t="s">
        <v>167</v>
      </c>
      <c r="B449" s="5" t="s">
        <v>166</v>
      </c>
      <c r="C449" s="5" t="s">
        <v>151</v>
      </c>
      <c r="D449" s="5" t="s">
        <v>67</v>
      </c>
      <c r="E449" s="1">
        <v>45558</v>
      </c>
    </row>
    <row r="450" spans="1:5" x14ac:dyDescent="0.25">
      <c r="A450" s="5" t="s">
        <v>165</v>
      </c>
      <c r="B450" s="5" t="s">
        <v>164</v>
      </c>
      <c r="C450" s="5" t="s">
        <v>136</v>
      </c>
      <c r="D450" s="5" t="s">
        <v>67</v>
      </c>
      <c r="E450" s="1">
        <v>45571</v>
      </c>
    </row>
    <row r="451" spans="1:5" x14ac:dyDescent="0.25">
      <c r="A451" s="5" t="s">
        <v>163</v>
      </c>
      <c r="B451" s="5" t="s">
        <v>162</v>
      </c>
      <c r="C451" s="5" t="s">
        <v>68</v>
      </c>
      <c r="D451" s="5" t="s">
        <v>67</v>
      </c>
      <c r="E451" s="1">
        <v>45485</v>
      </c>
    </row>
    <row r="452" spans="1:5" x14ac:dyDescent="0.25">
      <c r="A452" s="5" t="s">
        <v>161</v>
      </c>
      <c r="B452" s="5" t="s">
        <v>160</v>
      </c>
      <c r="C452" s="5" t="s">
        <v>148</v>
      </c>
      <c r="D452" s="5" t="s">
        <v>74</v>
      </c>
      <c r="E452" s="1">
        <v>45527</v>
      </c>
    </row>
    <row r="453" spans="1:5" x14ac:dyDescent="0.25">
      <c r="A453" s="5" t="s">
        <v>159</v>
      </c>
      <c r="B453" s="5" t="s">
        <v>158</v>
      </c>
      <c r="C453" s="5" t="s">
        <v>148</v>
      </c>
      <c r="D453" s="5" t="s">
        <v>74</v>
      </c>
      <c r="E453" s="1">
        <v>45597</v>
      </c>
    </row>
    <row r="454" spans="1:5" x14ac:dyDescent="0.25">
      <c r="A454" s="5" t="s">
        <v>157</v>
      </c>
      <c r="B454" s="5" t="s">
        <v>156</v>
      </c>
      <c r="C454" s="5" t="s">
        <v>71</v>
      </c>
      <c r="D454" s="5" t="s">
        <v>91</v>
      </c>
      <c r="E454" s="1">
        <v>45440</v>
      </c>
    </row>
    <row r="455" spans="1:5" x14ac:dyDescent="0.25">
      <c r="A455" s="5" t="s">
        <v>155</v>
      </c>
      <c r="B455" s="5" t="s">
        <v>154</v>
      </c>
      <c r="C455" s="5" t="s">
        <v>86</v>
      </c>
      <c r="D455" s="5" t="s">
        <v>91</v>
      </c>
      <c r="E455" s="1">
        <v>45701</v>
      </c>
    </row>
    <row r="456" spans="1:5" x14ac:dyDescent="0.25">
      <c r="A456" s="5" t="s">
        <v>153</v>
      </c>
      <c r="B456" s="5" t="s">
        <v>152</v>
      </c>
      <c r="C456" s="5" t="s">
        <v>151</v>
      </c>
      <c r="D456" s="5" t="s">
        <v>67</v>
      </c>
      <c r="E456" s="1">
        <v>45497</v>
      </c>
    </row>
    <row r="457" spans="1:5" x14ac:dyDescent="0.25">
      <c r="A457" s="5" t="s">
        <v>150</v>
      </c>
      <c r="B457" s="5" t="s">
        <v>149</v>
      </c>
      <c r="C457" s="5" t="s">
        <v>148</v>
      </c>
      <c r="D457" s="5" t="s">
        <v>91</v>
      </c>
      <c r="E457" s="1">
        <v>45466</v>
      </c>
    </row>
    <row r="458" spans="1:5" x14ac:dyDescent="0.25">
      <c r="A458" s="5" t="s">
        <v>147</v>
      </c>
      <c r="B458" s="5" t="s">
        <v>146</v>
      </c>
      <c r="C458" s="5" t="s">
        <v>75</v>
      </c>
      <c r="D458" s="5" t="s">
        <v>67</v>
      </c>
      <c r="E458" s="1">
        <v>45592</v>
      </c>
    </row>
    <row r="459" spans="1:5" x14ac:dyDescent="0.25">
      <c r="A459" s="5" t="s">
        <v>145</v>
      </c>
      <c r="B459" s="5" t="s">
        <v>144</v>
      </c>
      <c r="C459" s="5" t="s">
        <v>120</v>
      </c>
      <c r="D459" s="5" t="s">
        <v>91</v>
      </c>
      <c r="E459" s="1">
        <v>45712</v>
      </c>
    </row>
    <row r="460" spans="1:5" x14ac:dyDescent="0.25">
      <c r="A460" s="5" t="s">
        <v>143</v>
      </c>
      <c r="B460" s="5" t="s">
        <v>142</v>
      </c>
      <c r="C460" s="5" t="s">
        <v>141</v>
      </c>
      <c r="D460" s="5" t="s">
        <v>74</v>
      </c>
      <c r="E460" s="1">
        <v>45457</v>
      </c>
    </row>
    <row r="461" spans="1:5" x14ac:dyDescent="0.25">
      <c r="A461" s="5" t="s">
        <v>140</v>
      </c>
      <c r="B461" s="5" t="s">
        <v>139</v>
      </c>
      <c r="C461" s="5" t="s">
        <v>136</v>
      </c>
      <c r="D461" s="5" t="s">
        <v>67</v>
      </c>
      <c r="E461" s="1">
        <v>45583</v>
      </c>
    </row>
    <row r="462" spans="1:5" x14ac:dyDescent="0.25">
      <c r="A462" s="5" t="s">
        <v>138</v>
      </c>
      <c r="B462" s="5" t="s">
        <v>137</v>
      </c>
      <c r="C462" s="5" t="s">
        <v>136</v>
      </c>
      <c r="D462" s="5" t="s">
        <v>67</v>
      </c>
      <c r="E462" s="1">
        <v>45724</v>
      </c>
    </row>
    <row r="463" spans="1:5" x14ac:dyDescent="0.25">
      <c r="A463" s="5" t="s">
        <v>135</v>
      </c>
      <c r="B463" s="5" t="s">
        <v>134</v>
      </c>
      <c r="C463" s="5" t="s">
        <v>133</v>
      </c>
      <c r="D463" s="5" t="s">
        <v>67</v>
      </c>
      <c r="E463" s="1">
        <v>45479</v>
      </c>
    </row>
    <row r="464" spans="1:5" x14ac:dyDescent="0.25">
      <c r="A464" s="5" t="s">
        <v>132</v>
      </c>
      <c r="B464" s="5" t="s">
        <v>131</v>
      </c>
      <c r="C464" s="5" t="s">
        <v>130</v>
      </c>
      <c r="D464" s="5" t="s">
        <v>74</v>
      </c>
      <c r="E464" s="1">
        <v>45705</v>
      </c>
    </row>
    <row r="465" spans="1:5" x14ac:dyDescent="0.25">
      <c r="A465" s="5" t="s">
        <v>129</v>
      </c>
      <c r="B465" s="5" t="s">
        <v>128</v>
      </c>
      <c r="C465" s="5" t="s">
        <v>92</v>
      </c>
      <c r="D465" s="5" t="s">
        <v>74</v>
      </c>
      <c r="E465" s="1">
        <v>45594</v>
      </c>
    </row>
    <row r="466" spans="1:5" x14ac:dyDescent="0.25">
      <c r="A466" s="5" t="s">
        <v>127</v>
      </c>
      <c r="B466" s="5" t="s">
        <v>126</v>
      </c>
      <c r="C466" s="5" t="s">
        <v>125</v>
      </c>
      <c r="D466" s="5" t="s">
        <v>91</v>
      </c>
      <c r="E466" s="1">
        <v>45668</v>
      </c>
    </row>
    <row r="467" spans="1:5" x14ac:dyDescent="0.25">
      <c r="A467" s="5" t="s">
        <v>124</v>
      </c>
      <c r="B467" s="5" t="s">
        <v>123</v>
      </c>
      <c r="C467" s="5" t="s">
        <v>117</v>
      </c>
      <c r="D467" s="5" t="s">
        <v>67</v>
      </c>
      <c r="E467" s="1">
        <v>45449</v>
      </c>
    </row>
    <row r="468" spans="1:5" x14ac:dyDescent="0.25">
      <c r="A468" s="5" t="s">
        <v>122</v>
      </c>
      <c r="B468" s="5" t="s">
        <v>121</v>
      </c>
      <c r="C468" s="5" t="s">
        <v>120</v>
      </c>
      <c r="D468" s="5" t="s">
        <v>67</v>
      </c>
      <c r="E468" s="1">
        <v>45510</v>
      </c>
    </row>
    <row r="469" spans="1:5" x14ac:dyDescent="0.25">
      <c r="A469" s="5" t="s">
        <v>119</v>
      </c>
      <c r="B469" s="5" t="s">
        <v>118</v>
      </c>
      <c r="C469" s="5" t="s">
        <v>117</v>
      </c>
      <c r="D469" s="5" t="s">
        <v>91</v>
      </c>
      <c r="E469" s="1">
        <v>45388</v>
      </c>
    </row>
    <row r="470" spans="1:5" x14ac:dyDescent="0.25">
      <c r="A470" s="5" t="s">
        <v>116</v>
      </c>
      <c r="B470" s="5" t="s">
        <v>115</v>
      </c>
      <c r="C470" s="5" t="s">
        <v>75</v>
      </c>
      <c r="D470" s="5" t="s">
        <v>67</v>
      </c>
      <c r="E470" s="1">
        <v>45536</v>
      </c>
    </row>
    <row r="471" spans="1:5" x14ac:dyDescent="0.25">
      <c r="A471" s="5" t="s">
        <v>114</v>
      </c>
      <c r="B471" s="5" t="s">
        <v>113</v>
      </c>
      <c r="C471" s="5" t="s">
        <v>97</v>
      </c>
      <c r="D471" s="5" t="s">
        <v>74</v>
      </c>
      <c r="E471" s="1">
        <v>45703</v>
      </c>
    </row>
    <row r="472" spans="1:5" x14ac:dyDescent="0.25">
      <c r="A472" s="5" t="s">
        <v>112</v>
      </c>
      <c r="B472" s="5" t="s">
        <v>111</v>
      </c>
      <c r="C472" s="5" t="s">
        <v>71</v>
      </c>
      <c r="D472" s="5" t="s">
        <v>67</v>
      </c>
      <c r="E472" s="1">
        <v>45444</v>
      </c>
    </row>
    <row r="473" spans="1:5" x14ac:dyDescent="0.25">
      <c r="A473" s="5" t="s">
        <v>110</v>
      </c>
      <c r="B473" s="5" t="s">
        <v>109</v>
      </c>
      <c r="C473" s="5" t="s">
        <v>68</v>
      </c>
      <c r="D473" s="5" t="s">
        <v>67</v>
      </c>
      <c r="E473" s="1">
        <v>45477</v>
      </c>
    </row>
    <row r="474" spans="1:5" x14ac:dyDescent="0.25">
      <c r="A474" s="5" t="s">
        <v>108</v>
      </c>
      <c r="B474" s="5" t="s">
        <v>107</v>
      </c>
      <c r="C474" s="5" t="s">
        <v>97</v>
      </c>
      <c r="D474" s="5" t="s">
        <v>91</v>
      </c>
      <c r="E474" s="1">
        <v>45708</v>
      </c>
    </row>
    <row r="475" spans="1:5" x14ac:dyDescent="0.25">
      <c r="A475" s="5" t="s">
        <v>106</v>
      </c>
      <c r="B475" s="5" t="s">
        <v>105</v>
      </c>
      <c r="C475" s="5" t="s">
        <v>104</v>
      </c>
      <c r="D475" s="5" t="s">
        <v>74</v>
      </c>
      <c r="E475" s="1">
        <v>45674</v>
      </c>
    </row>
    <row r="476" spans="1:5" x14ac:dyDescent="0.25">
      <c r="A476" s="5" t="s">
        <v>103</v>
      </c>
      <c r="B476" s="5" t="s">
        <v>102</v>
      </c>
      <c r="C476" s="5" t="s">
        <v>75</v>
      </c>
      <c r="D476" s="5" t="s">
        <v>74</v>
      </c>
      <c r="E476" s="1">
        <v>45565</v>
      </c>
    </row>
    <row r="477" spans="1:5" x14ac:dyDescent="0.25">
      <c r="A477" s="5" t="s">
        <v>101</v>
      </c>
      <c r="B477" s="5" t="s">
        <v>100</v>
      </c>
      <c r="C477" s="5" t="s">
        <v>97</v>
      </c>
      <c r="D477" s="5" t="s">
        <v>91</v>
      </c>
      <c r="E477" s="1">
        <v>45485</v>
      </c>
    </row>
    <row r="478" spans="1:5" x14ac:dyDescent="0.25">
      <c r="A478" s="5" t="s">
        <v>99</v>
      </c>
      <c r="B478" s="5" t="s">
        <v>98</v>
      </c>
      <c r="C478" s="5" t="s">
        <v>97</v>
      </c>
      <c r="D478" s="5" t="s">
        <v>74</v>
      </c>
      <c r="E478" s="1">
        <v>45706</v>
      </c>
    </row>
    <row r="479" spans="1:5" x14ac:dyDescent="0.25">
      <c r="A479" s="5" t="s">
        <v>96</v>
      </c>
      <c r="B479" s="5" t="s">
        <v>95</v>
      </c>
      <c r="C479" s="5" t="s">
        <v>81</v>
      </c>
      <c r="D479" s="5" t="s">
        <v>67</v>
      </c>
      <c r="E479" s="1">
        <v>45634</v>
      </c>
    </row>
    <row r="480" spans="1:5" x14ac:dyDescent="0.25">
      <c r="A480" s="5" t="s">
        <v>94</v>
      </c>
      <c r="B480" s="5" t="s">
        <v>93</v>
      </c>
      <c r="C480" s="5" t="s">
        <v>92</v>
      </c>
      <c r="D480" s="5" t="s">
        <v>91</v>
      </c>
      <c r="E480" s="1">
        <v>45484</v>
      </c>
    </row>
    <row r="481" spans="1:5" x14ac:dyDescent="0.25">
      <c r="A481" s="5" t="s">
        <v>90</v>
      </c>
      <c r="B481" s="5" t="s">
        <v>89</v>
      </c>
      <c r="C481" s="5" t="s">
        <v>78</v>
      </c>
      <c r="D481" s="5" t="s">
        <v>74</v>
      </c>
      <c r="E481" s="1">
        <v>45384</v>
      </c>
    </row>
    <row r="482" spans="1:5" x14ac:dyDescent="0.25">
      <c r="A482" s="5" t="s">
        <v>88</v>
      </c>
      <c r="B482" s="5" t="s">
        <v>87</v>
      </c>
      <c r="C482" s="5" t="s">
        <v>86</v>
      </c>
      <c r="D482" s="5" t="s">
        <v>67</v>
      </c>
      <c r="E482" s="1">
        <v>45698</v>
      </c>
    </row>
    <row r="483" spans="1:5" x14ac:dyDescent="0.25">
      <c r="A483" s="5" t="s">
        <v>85</v>
      </c>
      <c r="B483" s="5" t="s">
        <v>84</v>
      </c>
      <c r="C483" s="5" t="s">
        <v>75</v>
      </c>
      <c r="D483" s="5" t="s">
        <v>67</v>
      </c>
      <c r="E483" s="1">
        <v>45508</v>
      </c>
    </row>
    <row r="484" spans="1:5" x14ac:dyDescent="0.25">
      <c r="A484" s="5" t="s">
        <v>83</v>
      </c>
      <c r="B484" s="5" t="s">
        <v>82</v>
      </c>
      <c r="C484" s="5" t="s">
        <v>81</v>
      </c>
      <c r="D484" s="5" t="s">
        <v>67</v>
      </c>
      <c r="E484" s="1">
        <v>45470</v>
      </c>
    </row>
    <row r="485" spans="1:5" x14ac:dyDescent="0.25">
      <c r="A485" s="5" t="s">
        <v>80</v>
      </c>
      <c r="B485" s="5" t="s">
        <v>79</v>
      </c>
      <c r="C485" s="5" t="s">
        <v>78</v>
      </c>
      <c r="D485" s="5" t="s">
        <v>74</v>
      </c>
      <c r="E485" s="1">
        <v>45466</v>
      </c>
    </row>
    <row r="486" spans="1:5" x14ac:dyDescent="0.25">
      <c r="A486" s="5" t="s">
        <v>77</v>
      </c>
      <c r="B486" s="5" t="s">
        <v>76</v>
      </c>
      <c r="C486" s="5" t="s">
        <v>75</v>
      </c>
      <c r="D486" s="5" t="s">
        <v>74</v>
      </c>
      <c r="E486" s="1">
        <v>45438</v>
      </c>
    </row>
    <row r="487" spans="1:5" x14ac:dyDescent="0.25">
      <c r="A487" s="5" t="s">
        <v>73</v>
      </c>
      <c r="B487" s="5" t="s">
        <v>72</v>
      </c>
      <c r="C487" s="5" t="s">
        <v>71</v>
      </c>
      <c r="D487" s="5" t="s">
        <v>67</v>
      </c>
      <c r="E487" s="1">
        <v>45555</v>
      </c>
    </row>
    <row r="488" spans="1:5" x14ac:dyDescent="0.25">
      <c r="A488" s="5" t="s">
        <v>70</v>
      </c>
      <c r="B488" s="5" t="s">
        <v>69</v>
      </c>
      <c r="C488" s="5" t="s">
        <v>68</v>
      </c>
      <c r="D488" s="5" t="s">
        <v>67</v>
      </c>
      <c r="E488" s="1">
        <v>45660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C5F0-9F1D-4514-96D1-82FAF632E02C}">
  <dimension ref="A3:F6"/>
  <sheetViews>
    <sheetView workbookViewId="0">
      <selection activeCell="B14" sqref="B14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19.85546875" bestFit="1" customWidth="1"/>
    <col min="4" max="4" width="15.28515625" bestFit="1" customWidth="1"/>
    <col min="5" max="5" width="19.7109375" bestFit="1" customWidth="1"/>
    <col min="6" max="6" width="18.7109375" style="31" bestFit="1" customWidth="1"/>
  </cols>
  <sheetData>
    <row r="3" spans="1:6" x14ac:dyDescent="0.25">
      <c r="A3" s="26" t="s">
        <v>7329</v>
      </c>
      <c r="B3" t="s">
        <v>7338</v>
      </c>
      <c r="C3" s="29" t="s">
        <v>7339</v>
      </c>
      <c r="D3" s="29" t="s">
        <v>7340</v>
      </c>
      <c r="E3" s="29" t="s">
        <v>7331</v>
      </c>
      <c r="F3" s="31" t="s">
        <v>7341</v>
      </c>
    </row>
    <row r="4" spans="1:6" x14ac:dyDescent="0.25">
      <c r="A4" s="27" t="s">
        <v>7307</v>
      </c>
      <c r="B4" s="28">
        <v>142</v>
      </c>
      <c r="C4" s="29">
        <v>74614</v>
      </c>
      <c r="D4" s="29">
        <v>2055.2499999999995</v>
      </c>
      <c r="E4" s="29">
        <v>0</v>
      </c>
      <c r="F4" s="31">
        <f>B4/B6</f>
        <v>7.7006507592190895E-2</v>
      </c>
    </row>
    <row r="5" spans="1:6" x14ac:dyDescent="0.25">
      <c r="A5" s="27" t="s">
        <v>7305</v>
      </c>
      <c r="B5" s="28">
        <v>1702</v>
      </c>
      <c r="C5" s="29">
        <v>891440</v>
      </c>
      <c r="D5" s="29">
        <v>22478.600000000002</v>
      </c>
      <c r="E5" s="29">
        <v>868961.39999999967</v>
      </c>
      <c r="F5" s="31">
        <f>B5/B6</f>
        <v>0.92299349240780915</v>
      </c>
    </row>
    <row r="6" spans="1:6" x14ac:dyDescent="0.25">
      <c r="A6" s="27" t="s">
        <v>7330</v>
      </c>
      <c r="B6" s="28">
        <v>1844</v>
      </c>
      <c r="C6" s="29">
        <v>966054</v>
      </c>
      <c r="D6" s="29">
        <v>24533.850000000002</v>
      </c>
      <c r="E6" s="29">
        <v>868961.39999999967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394F-681C-4301-8430-757786875BAA}">
  <dimension ref="A3:B18"/>
  <sheetViews>
    <sheetView workbookViewId="0">
      <selection activeCell="B9" sqref="A3:B18"/>
    </sheetView>
  </sheetViews>
  <sheetFormatPr defaultRowHeight="15" x14ac:dyDescent="0.25"/>
  <cols>
    <col min="1" max="1" width="13.140625" bestFit="1" customWidth="1"/>
    <col min="2" max="2" width="19.7109375" bestFit="1" customWidth="1"/>
  </cols>
  <sheetData>
    <row r="3" spans="1:2" x14ac:dyDescent="0.25">
      <c r="A3" s="26" t="s">
        <v>7329</v>
      </c>
      <c r="B3" t="s">
        <v>7331</v>
      </c>
    </row>
    <row r="4" spans="1:2" x14ac:dyDescent="0.25">
      <c r="A4" s="27" t="s">
        <v>7354</v>
      </c>
      <c r="B4" s="28">
        <v>668408.10000000009</v>
      </c>
    </row>
    <row r="5" spans="1:2" x14ac:dyDescent="0.25">
      <c r="A5" s="32" t="s">
        <v>7345</v>
      </c>
      <c r="B5" s="28">
        <v>65053.749999999993</v>
      </c>
    </row>
    <row r="6" spans="1:2" x14ac:dyDescent="0.25">
      <c r="A6" s="32" t="s">
        <v>7346</v>
      </c>
      <c r="B6" s="28">
        <v>67918.550000000017</v>
      </c>
    </row>
    <row r="7" spans="1:2" x14ac:dyDescent="0.25">
      <c r="A7" s="32" t="s">
        <v>7347</v>
      </c>
      <c r="B7" s="28">
        <v>51122.599999999991</v>
      </c>
    </row>
    <row r="8" spans="1:2" x14ac:dyDescent="0.25">
      <c r="A8" s="32" t="s">
        <v>7348</v>
      </c>
      <c r="B8" s="28">
        <v>64294.500000000022</v>
      </c>
    </row>
    <row r="9" spans="1:2" x14ac:dyDescent="0.25">
      <c r="A9" s="32" t="s">
        <v>7349</v>
      </c>
      <c r="B9" s="28">
        <v>69161.95</v>
      </c>
    </row>
    <row r="10" spans="1:2" x14ac:dyDescent="0.25">
      <c r="A10" s="32" t="s">
        <v>7350</v>
      </c>
      <c r="B10" s="28">
        <v>67412.25</v>
      </c>
    </row>
    <row r="11" spans="1:2" x14ac:dyDescent="0.25">
      <c r="A11" s="32" t="s">
        <v>7351</v>
      </c>
      <c r="B11" s="28">
        <v>81170.550000000047</v>
      </c>
    </row>
    <row r="12" spans="1:2" x14ac:dyDescent="0.25">
      <c r="A12" s="32" t="s">
        <v>7352</v>
      </c>
      <c r="B12" s="28">
        <v>104728.45</v>
      </c>
    </row>
    <row r="13" spans="1:2" x14ac:dyDescent="0.25">
      <c r="A13" s="32" t="s">
        <v>7353</v>
      </c>
      <c r="B13" s="28">
        <v>97545.499999999985</v>
      </c>
    </row>
    <row r="14" spans="1:2" x14ac:dyDescent="0.25">
      <c r="A14" s="27" t="s">
        <v>7355</v>
      </c>
      <c r="B14" s="28">
        <v>200553.3</v>
      </c>
    </row>
    <row r="15" spans="1:2" x14ac:dyDescent="0.25">
      <c r="A15" s="32" t="s">
        <v>7342</v>
      </c>
      <c r="B15" s="28">
        <v>75576.250000000015</v>
      </c>
    </row>
    <row r="16" spans="1:2" x14ac:dyDescent="0.25">
      <c r="A16" s="32" t="s">
        <v>7343</v>
      </c>
      <c r="B16" s="28">
        <v>60386.700000000004</v>
      </c>
    </row>
    <row r="17" spans="1:2" x14ac:dyDescent="0.25">
      <c r="A17" s="32" t="s">
        <v>7344</v>
      </c>
      <c r="B17" s="28">
        <v>64590.349999999991</v>
      </c>
    </row>
    <row r="18" spans="1:2" x14ac:dyDescent="0.25">
      <c r="A18" s="27" t="s">
        <v>7330</v>
      </c>
      <c r="B18" s="28">
        <v>868961.4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45"/>
  <sheetViews>
    <sheetView workbookViewId="0">
      <selection sqref="A1:K1845"/>
    </sheetView>
  </sheetViews>
  <sheetFormatPr defaultRowHeight="15" x14ac:dyDescent="0.25"/>
  <cols>
    <col min="1" max="1" width="11.85546875" style="5" bestFit="1" customWidth="1"/>
    <col min="2" max="2" width="13.28515625" style="5" bestFit="1" customWidth="1"/>
    <col min="3" max="3" width="15.42578125" style="5" bestFit="1" customWidth="1"/>
    <col min="4" max="4" width="12" style="1" bestFit="1" customWidth="1"/>
    <col min="5" max="5" width="12" style="17" bestFit="1" customWidth="1"/>
    <col min="6" max="6" width="13.5703125" style="5" bestFit="1" customWidth="1"/>
    <col min="7" max="7" width="14.7109375" style="12" bestFit="1" customWidth="1"/>
    <col min="8" max="8" width="9.42578125" style="12" bestFit="1" customWidth="1"/>
    <col min="9" max="9" width="14.28515625" style="12" bestFit="1" customWidth="1"/>
    <col min="10" max="10" width="12.42578125" style="12" bestFit="1" customWidth="1"/>
    <col min="11" max="16384" width="9.140625" style="5"/>
  </cols>
  <sheetData>
    <row r="1" spans="1:11" ht="15.75" x14ac:dyDescent="0.25">
      <c r="A1" s="13" t="s">
        <v>7303</v>
      </c>
      <c r="B1" s="13" t="s">
        <v>871</v>
      </c>
      <c r="C1" s="13" t="s">
        <v>7317</v>
      </c>
      <c r="D1" s="14" t="s">
        <v>7316</v>
      </c>
      <c r="E1" s="16" t="s">
        <v>7315</v>
      </c>
      <c r="F1" s="13" t="s">
        <v>7314</v>
      </c>
      <c r="G1" s="15" t="s">
        <v>7313</v>
      </c>
      <c r="H1" s="15" t="s">
        <v>7312</v>
      </c>
      <c r="I1" s="15" t="s">
        <v>7311</v>
      </c>
      <c r="J1" s="15" t="s">
        <v>7310</v>
      </c>
      <c r="K1" s="5" t="s">
        <v>7337</v>
      </c>
    </row>
    <row r="2" spans="1:11" x14ac:dyDescent="0.25">
      <c r="A2" s="5" t="s">
        <v>7299</v>
      </c>
      <c r="B2" s="5" t="s">
        <v>621</v>
      </c>
      <c r="C2" s="5" t="s">
        <v>7306</v>
      </c>
      <c r="D2" s="1">
        <v>45596</v>
      </c>
      <c r="E2" s="17">
        <v>0.67013888888888884</v>
      </c>
      <c r="F2" s="5" t="s">
        <v>7305</v>
      </c>
      <c r="G2" s="12">
        <v>207</v>
      </c>
      <c r="H2" s="12">
        <v>0</v>
      </c>
      <c r="I2" s="12">
        <v>207</v>
      </c>
      <c r="J2" s="12">
        <f>SUMIF(order_item!B:B,A2,order_item!E:E)</f>
        <v>207</v>
      </c>
      <c r="K2" s="28" t="str">
        <f>_xlfn.XLOOKUP(B2,customers!A:A,customers!D:D)</f>
        <v>New</v>
      </c>
    </row>
    <row r="3" spans="1:11" x14ac:dyDescent="0.25">
      <c r="A3" s="5" t="s">
        <v>7296</v>
      </c>
      <c r="B3" s="5" t="s">
        <v>492</v>
      </c>
      <c r="C3" s="5" t="s">
        <v>7309</v>
      </c>
      <c r="D3" s="1">
        <v>45598</v>
      </c>
      <c r="E3" s="17">
        <v>0.52500000000000002</v>
      </c>
      <c r="F3" s="5" t="s">
        <v>7305</v>
      </c>
      <c r="G3" s="12">
        <v>238</v>
      </c>
      <c r="H3" s="12">
        <v>0</v>
      </c>
      <c r="I3" s="12">
        <v>238</v>
      </c>
      <c r="J3" s="12">
        <f>SUMIF(order_item!B:B,A3,order_item!E:E)</f>
        <v>238</v>
      </c>
      <c r="K3" s="28" t="str">
        <f>_xlfn.XLOOKUP(B3,customers!A:A,customers!D:D)</f>
        <v>Regular</v>
      </c>
    </row>
    <row r="4" spans="1:11" x14ac:dyDescent="0.25">
      <c r="A4" s="5" t="s">
        <v>7294</v>
      </c>
      <c r="B4" s="5" t="s">
        <v>319</v>
      </c>
      <c r="C4" s="5" t="s">
        <v>7306</v>
      </c>
      <c r="D4" s="1">
        <v>45576</v>
      </c>
      <c r="E4" s="17">
        <v>0.76041666666666663</v>
      </c>
      <c r="F4" s="5" t="s">
        <v>7305</v>
      </c>
      <c r="G4" s="12">
        <v>356</v>
      </c>
      <c r="H4" s="12">
        <v>0</v>
      </c>
      <c r="I4" s="12">
        <v>356</v>
      </c>
      <c r="J4" s="12">
        <f>SUMIF(order_item!B:B,A4,order_item!E:E)</f>
        <v>356</v>
      </c>
      <c r="K4" s="28" t="str">
        <f>_xlfn.XLOOKUP(B4,customers!A:A,customers!D:D)</f>
        <v>Premium</v>
      </c>
    </row>
    <row r="5" spans="1:11" x14ac:dyDescent="0.25">
      <c r="A5" s="5" t="s">
        <v>7291</v>
      </c>
      <c r="B5" s="5" t="s">
        <v>638</v>
      </c>
      <c r="C5" s="5" t="s">
        <v>7309</v>
      </c>
      <c r="D5" s="1">
        <v>45615</v>
      </c>
      <c r="E5" s="17">
        <v>0.60277777777777775</v>
      </c>
      <c r="F5" s="5" t="s">
        <v>7305</v>
      </c>
      <c r="G5" s="12">
        <v>484</v>
      </c>
      <c r="H5" s="12">
        <v>0</v>
      </c>
      <c r="I5" s="12">
        <v>484</v>
      </c>
      <c r="J5" s="12">
        <f>SUMIF(order_item!B:B,A5,order_item!E:E)</f>
        <v>484</v>
      </c>
      <c r="K5" s="28" t="str">
        <f>_xlfn.XLOOKUP(B5,customers!A:A,customers!D:D)</f>
        <v>New</v>
      </c>
    </row>
    <row r="6" spans="1:11" x14ac:dyDescent="0.25">
      <c r="A6" s="5" t="s">
        <v>7286</v>
      </c>
      <c r="B6" s="5" t="s">
        <v>260</v>
      </c>
      <c r="C6" s="5" t="s">
        <v>7309</v>
      </c>
      <c r="D6" s="1">
        <v>45505</v>
      </c>
      <c r="E6" s="17">
        <v>0.94166666666666676</v>
      </c>
      <c r="F6" s="5" t="s">
        <v>7305</v>
      </c>
      <c r="G6" s="12">
        <v>1010</v>
      </c>
      <c r="H6" s="12">
        <v>0</v>
      </c>
      <c r="I6" s="12">
        <v>1010</v>
      </c>
      <c r="J6" s="12">
        <f>SUMIF(order_item!B:B,A6,order_item!E:E)</f>
        <v>1010</v>
      </c>
      <c r="K6" s="28" t="str">
        <f>_xlfn.XLOOKUP(B6,customers!A:A,customers!D:D)</f>
        <v>Premium</v>
      </c>
    </row>
    <row r="7" spans="1:11" x14ac:dyDescent="0.25">
      <c r="A7" s="5" t="s">
        <v>7283</v>
      </c>
      <c r="B7" s="5" t="s">
        <v>345</v>
      </c>
      <c r="C7" s="5" t="s">
        <v>7309</v>
      </c>
      <c r="D7" s="1">
        <v>45641</v>
      </c>
      <c r="E7" s="17">
        <v>0.78680555555555554</v>
      </c>
      <c r="F7" s="5" t="s">
        <v>7305</v>
      </c>
      <c r="G7" s="12">
        <v>188</v>
      </c>
      <c r="H7" s="12">
        <v>18.8</v>
      </c>
      <c r="I7" s="12">
        <v>169.2</v>
      </c>
      <c r="J7" s="12">
        <f>SUMIF(order_item!B:B,A7,order_item!E:E)</f>
        <v>188</v>
      </c>
      <c r="K7" s="28" t="str">
        <f>_xlfn.XLOOKUP(B7,customers!A:A,customers!D:D)</f>
        <v>Regular</v>
      </c>
    </row>
    <row r="8" spans="1:11" x14ac:dyDescent="0.25">
      <c r="A8" s="5" t="s">
        <v>7281</v>
      </c>
      <c r="B8" s="5" t="s">
        <v>590</v>
      </c>
      <c r="C8" s="5" t="s">
        <v>7306</v>
      </c>
      <c r="D8" s="1">
        <v>45411</v>
      </c>
      <c r="E8" s="17">
        <v>0.94236111111111109</v>
      </c>
      <c r="F8" s="5" t="s">
        <v>7305</v>
      </c>
      <c r="G8" s="12">
        <v>158</v>
      </c>
      <c r="H8" s="12">
        <v>0</v>
      </c>
      <c r="I8" s="12">
        <v>158</v>
      </c>
      <c r="J8" s="12">
        <f>SUMIF(order_item!B:B,A8,order_item!E:E)</f>
        <v>158</v>
      </c>
      <c r="K8" s="28" t="str">
        <f>_xlfn.XLOOKUP(B8,customers!A:A,customers!D:D)</f>
        <v>Regular</v>
      </c>
    </row>
    <row r="9" spans="1:11" x14ac:dyDescent="0.25">
      <c r="A9" s="5" t="s">
        <v>7277</v>
      </c>
      <c r="B9" s="5" t="s">
        <v>698</v>
      </c>
      <c r="C9" s="5" t="s">
        <v>7306</v>
      </c>
      <c r="D9" s="1">
        <v>45607</v>
      </c>
      <c r="E9" s="17">
        <v>0.45069444444444445</v>
      </c>
      <c r="F9" s="5" t="s">
        <v>7305</v>
      </c>
      <c r="G9" s="12">
        <v>691</v>
      </c>
      <c r="H9" s="12">
        <v>0</v>
      </c>
      <c r="I9" s="12">
        <v>691</v>
      </c>
      <c r="J9" s="12">
        <f>SUMIF(order_item!B:B,A9,order_item!E:E)</f>
        <v>691</v>
      </c>
      <c r="K9" s="28" t="str">
        <f>_xlfn.XLOOKUP(B9,customers!A:A,customers!D:D)</f>
        <v>Regular</v>
      </c>
    </row>
    <row r="10" spans="1:11" x14ac:dyDescent="0.25">
      <c r="A10" s="5" t="s">
        <v>7274</v>
      </c>
      <c r="B10" s="5" t="s">
        <v>494</v>
      </c>
      <c r="C10" s="5" t="s">
        <v>7306</v>
      </c>
      <c r="D10" s="1">
        <v>45387</v>
      </c>
      <c r="E10" s="17">
        <v>0.86597222222222225</v>
      </c>
      <c r="F10" s="5" t="s">
        <v>7305</v>
      </c>
      <c r="G10" s="12">
        <v>387</v>
      </c>
      <c r="H10" s="12">
        <v>0</v>
      </c>
      <c r="I10" s="12">
        <v>387</v>
      </c>
      <c r="J10" s="12">
        <f>SUMIF(order_item!B:B,A10,order_item!E:E)</f>
        <v>387</v>
      </c>
      <c r="K10" s="28" t="str">
        <f>_xlfn.XLOOKUP(B10,customers!A:A,customers!D:D)</f>
        <v>Regular</v>
      </c>
    </row>
    <row r="11" spans="1:11" x14ac:dyDescent="0.25">
      <c r="A11" s="5" t="s">
        <v>7271</v>
      </c>
      <c r="B11" s="5" t="s">
        <v>211</v>
      </c>
      <c r="C11" s="5" t="s">
        <v>7308</v>
      </c>
      <c r="D11" s="1">
        <v>45575</v>
      </c>
      <c r="E11" s="17">
        <v>0.67152777777777783</v>
      </c>
      <c r="F11" s="5" t="s">
        <v>7305</v>
      </c>
      <c r="G11" s="12">
        <v>416</v>
      </c>
      <c r="H11" s="12">
        <v>41.6</v>
      </c>
      <c r="I11" s="12">
        <v>374.4</v>
      </c>
      <c r="J11" s="12">
        <f>SUMIF(order_item!B:B,A11,order_item!E:E)</f>
        <v>416</v>
      </c>
      <c r="K11" s="28" t="str">
        <f>_xlfn.XLOOKUP(B11,customers!A:A,customers!D:D)</f>
        <v>Regular</v>
      </c>
    </row>
    <row r="12" spans="1:11" x14ac:dyDescent="0.25">
      <c r="A12" s="5" t="s">
        <v>7266</v>
      </c>
      <c r="B12" s="5" t="s">
        <v>841</v>
      </c>
      <c r="C12" s="5" t="s">
        <v>7306</v>
      </c>
      <c r="D12" s="1">
        <v>45645</v>
      </c>
      <c r="E12" s="17">
        <v>0.67986111111111114</v>
      </c>
      <c r="F12" s="5" t="s">
        <v>7305</v>
      </c>
      <c r="G12" s="12">
        <v>555</v>
      </c>
      <c r="H12" s="12">
        <v>55.5</v>
      </c>
      <c r="I12" s="12">
        <v>499.5</v>
      </c>
      <c r="J12" s="12">
        <f>SUMIF(order_item!B:B,A12,order_item!E:E)</f>
        <v>555</v>
      </c>
      <c r="K12" s="28" t="str">
        <f>_xlfn.XLOOKUP(B12,customers!A:A,customers!D:D)</f>
        <v>Regular</v>
      </c>
    </row>
    <row r="13" spans="1:11" x14ac:dyDescent="0.25">
      <c r="A13" s="5" t="s">
        <v>7262</v>
      </c>
      <c r="B13" s="5" t="s">
        <v>390</v>
      </c>
      <c r="C13" s="5" t="s">
        <v>7306</v>
      </c>
      <c r="D13" s="1">
        <v>45478</v>
      </c>
      <c r="E13" s="17">
        <v>0.71597222222222223</v>
      </c>
      <c r="F13" s="5" t="s">
        <v>7305</v>
      </c>
      <c r="G13" s="12">
        <v>267</v>
      </c>
      <c r="H13" s="12">
        <v>0</v>
      </c>
      <c r="I13" s="12">
        <v>267</v>
      </c>
      <c r="J13" s="12">
        <f>SUMIF(order_item!B:B,A13,order_item!E:E)</f>
        <v>267</v>
      </c>
      <c r="K13" s="28" t="str">
        <f>_xlfn.XLOOKUP(B13,customers!A:A,customers!D:D)</f>
        <v>Regular</v>
      </c>
    </row>
    <row r="14" spans="1:11" x14ac:dyDescent="0.25">
      <c r="A14" s="5" t="s">
        <v>7259</v>
      </c>
      <c r="B14" s="5" t="s">
        <v>614</v>
      </c>
      <c r="C14" s="5" t="s">
        <v>7309</v>
      </c>
      <c r="D14" s="1">
        <v>45669</v>
      </c>
      <c r="E14" s="17">
        <v>0.84097222222222223</v>
      </c>
      <c r="F14" s="5" t="s">
        <v>7305</v>
      </c>
      <c r="G14" s="12">
        <v>476</v>
      </c>
      <c r="H14" s="12">
        <v>0</v>
      </c>
      <c r="I14" s="12">
        <v>476</v>
      </c>
      <c r="J14" s="12">
        <f>SUMIF(order_item!B:B,A14,order_item!E:E)</f>
        <v>476</v>
      </c>
      <c r="K14" s="28" t="str">
        <f>_xlfn.XLOOKUP(B14,customers!A:A,customers!D:D)</f>
        <v>Regular</v>
      </c>
    </row>
    <row r="15" spans="1:11" x14ac:dyDescent="0.25">
      <c r="A15" s="5" t="s">
        <v>7255</v>
      </c>
      <c r="B15" s="5" t="s">
        <v>752</v>
      </c>
      <c r="C15" s="5" t="s">
        <v>7306</v>
      </c>
      <c r="D15" s="1">
        <v>45605</v>
      </c>
      <c r="E15" s="17">
        <v>0.81874999999999998</v>
      </c>
      <c r="F15" s="5" t="s">
        <v>7307</v>
      </c>
      <c r="G15" s="12">
        <v>287</v>
      </c>
      <c r="H15" s="12">
        <v>0</v>
      </c>
      <c r="I15" s="12">
        <v>0</v>
      </c>
      <c r="J15" s="12">
        <f>SUMIF(order_item!B:B,A15,order_item!E:E)</f>
        <v>287</v>
      </c>
      <c r="K15" s="28" t="str">
        <f>_xlfn.XLOOKUP(B15,customers!A:A,customers!D:D)</f>
        <v>Regular</v>
      </c>
    </row>
    <row r="16" spans="1:11" x14ac:dyDescent="0.25">
      <c r="A16" s="5" t="s">
        <v>7252</v>
      </c>
      <c r="B16" s="5" t="s">
        <v>519</v>
      </c>
      <c r="C16" s="5" t="s">
        <v>7306</v>
      </c>
      <c r="D16" s="1">
        <v>45608</v>
      </c>
      <c r="E16" s="17">
        <v>0.7993055555555556</v>
      </c>
      <c r="F16" s="5" t="s">
        <v>7305</v>
      </c>
      <c r="G16" s="12">
        <v>445</v>
      </c>
      <c r="H16" s="12">
        <v>0</v>
      </c>
      <c r="I16" s="12">
        <v>445</v>
      </c>
      <c r="J16" s="12">
        <f>SUMIF(order_item!B:B,A16,order_item!E:E)</f>
        <v>445</v>
      </c>
      <c r="K16" s="28" t="str">
        <f>_xlfn.XLOOKUP(B16,customers!A:A,customers!D:D)</f>
        <v>Regular</v>
      </c>
    </row>
    <row r="17" spans="1:11" x14ac:dyDescent="0.25">
      <c r="A17" s="5" t="s">
        <v>7249</v>
      </c>
      <c r="B17" s="5" t="s">
        <v>602</v>
      </c>
      <c r="C17" s="5" t="s">
        <v>7308</v>
      </c>
      <c r="D17" s="1">
        <v>45730</v>
      </c>
      <c r="E17" s="17">
        <v>0.74444444444444446</v>
      </c>
      <c r="F17" s="5" t="s">
        <v>7305</v>
      </c>
      <c r="G17" s="12">
        <v>308</v>
      </c>
      <c r="H17" s="12">
        <v>0</v>
      </c>
      <c r="I17" s="12">
        <v>308</v>
      </c>
      <c r="J17" s="12">
        <f>SUMIF(order_item!B:B,A17,order_item!E:E)</f>
        <v>308</v>
      </c>
      <c r="K17" s="28" t="str">
        <f>_xlfn.XLOOKUP(B17,customers!A:A,customers!D:D)</f>
        <v>Regular</v>
      </c>
    </row>
    <row r="18" spans="1:11" x14ac:dyDescent="0.25">
      <c r="A18" s="5" t="s">
        <v>7246</v>
      </c>
      <c r="B18" s="5" t="s">
        <v>716</v>
      </c>
      <c r="C18" s="5" t="s">
        <v>7306</v>
      </c>
      <c r="D18" s="1">
        <v>45669</v>
      </c>
      <c r="E18" s="17">
        <v>0.67847222222222225</v>
      </c>
      <c r="F18" s="5" t="s">
        <v>7305</v>
      </c>
      <c r="G18" s="12">
        <v>447</v>
      </c>
      <c r="H18" s="12">
        <v>0</v>
      </c>
      <c r="I18" s="12">
        <v>447</v>
      </c>
      <c r="J18" s="12">
        <f>SUMIF(order_item!B:B,A18,order_item!E:E)</f>
        <v>447</v>
      </c>
      <c r="K18" s="28" t="str">
        <f>_xlfn.XLOOKUP(B18,customers!A:A,customers!D:D)</f>
        <v>Regular</v>
      </c>
    </row>
    <row r="19" spans="1:11" x14ac:dyDescent="0.25">
      <c r="A19" s="5" t="s">
        <v>7244</v>
      </c>
      <c r="B19" s="5" t="s">
        <v>321</v>
      </c>
      <c r="C19" s="5" t="s">
        <v>7309</v>
      </c>
      <c r="D19" s="1">
        <v>45744</v>
      </c>
      <c r="E19" s="17">
        <v>0.70000000000000007</v>
      </c>
      <c r="F19" s="5" t="s">
        <v>7305</v>
      </c>
      <c r="G19" s="12">
        <v>297</v>
      </c>
      <c r="H19" s="12">
        <v>0</v>
      </c>
      <c r="I19" s="12">
        <v>297</v>
      </c>
      <c r="J19" s="12">
        <f>SUMIF(order_item!B:B,A19,order_item!E:E)</f>
        <v>297</v>
      </c>
      <c r="K19" s="28" t="str">
        <f>_xlfn.XLOOKUP(B19,customers!A:A,customers!D:D)</f>
        <v>Regular</v>
      </c>
    </row>
    <row r="20" spans="1:11" x14ac:dyDescent="0.25">
      <c r="A20" s="5" t="s">
        <v>7241</v>
      </c>
      <c r="B20" s="5" t="s">
        <v>226</v>
      </c>
      <c r="C20" s="5" t="s">
        <v>7309</v>
      </c>
      <c r="D20" s="1">
        <v>45747</v>
      </c>
      <c r="E20" s="17">
        <v>0.78819444444444453</v>
      </c>
      <c r="F20" s="5" t="s">
        <v>7305</v>
      </c>
      <c r="G20" s="12">
        <v>765</v>
      </c>
      <c r="H20" s="12">
        <v>0</v>
      </c>
      <c r="I20" s="12">
        <v>765</v>
      </c>
      <c r="J20" s="12">
        <f>SUMIF(order_item!B:B,A20,order_item!E:E)</f>
        <v>765</v>
      </c>
      <c r="K20" s="28" t="str">
        <f>_xlfn.XLOOKUP(B20,customers!A:A,customers!D:D)</f>
        <v>New</v>
      </c>
    </row>
    <row r="21" spans="1:11" x14ac:dyDescent="0.25">
      <c r="A21" s="5" t="s">
        <v>7237</v>
      </c>
      <c r="B21" s="5" t="s">
        <v>830</v>
      </c>
      <c r="C21" s="5" t="s">
        <v>7306</v>
      </c>
      <c r="D21" s="1">
        <v>45614</v>
      </c>
      <c r="E21" s="17">
        <v>0.53541666666666665</v>
      </c>
      <c r="F21" s="5" t="s">
        <v>7305</v>
      </c>
      <c r="G21" s="12">
        <v>552</v>
      </c>
      <c r="H21" s="12">
        <v>0</v>
      </c>
      <c r="I21" s="12">
        <v>552</v>
      </c>
      <c r="J21" s="12">
        <f>SUMIF(order_item!B:B,A21,order_item!E:E)</f>
        <v>552</v>
      </c>
      <c r="K21" s="28" t="str">
        <f>_xlfn.XLOOKUP(B21,customers!A:A,customers!D:D)</f>
        <v>Regular</v>
      </c>
    </row>
    <row r="22" spans="1:11" x14ac:dyDescent="0.25">
      <c r="A22" s="5" t="s">
        <v>7234</v>
      </c>
      <c r="B22" s="5" t="s">
        <v>830</v>
      </c>
      <c r="C22" s="5" t="s">
        <v>7308</v>
      </c>
      <c r="D22" s="1">
        <v>45676</v>
      </c>
      <c r="E22" s="17">
        <v>0.83194444444444438</v>
      </c>
      <c r="F22" s="5" t="s">
        <v>7305</v>
      </c>
      <c r="G22" s="12">
        <v>615</v>
      </c>
      <c r="H22" s="12">
        <v>0</v>
      </c>
      <c r="I22" s="12">
        <v>615</v>
      </c>
      <c r="J22" s="12">
        <f>SUMIF(order_item!B:B,A22,order_item!E:E)</f>
        <v>615</v>
      </c>
      <c r="K22" s="28" t="str">
        <f>_xlfn.XLOOKUP(B22,customers!A:A,customers!D:D)</f>
        <v>Regular</v>
      </c>
    </row>
    <row r="23" spans="1:11" x14ac:dyDescent="0.25">
      <c r="A23" s="5" t="s">
        <v>7231</v>
      </c>
      <c r="B23" s="5" t="s">
        <v>547</v>
      </c>
      <c r="C23" s="5" t="s">
        <v>7309</v>
      </c>
      <c r="D23" s="1">
        <v>45603</v>
      </c>
      <c r="E23" s="17">
        <v>0.80833333333333324</v>
      </c>
      <c r="F23" s="5" t="s">
        <v>7305</v>
      </c>
      <c r="G23" s="12">
        <v>435</v>
      </c>
      <c r="H23" s="12">
        <v>43.5</v>
      </c>
      <c r="I23" s="12">
        <v>391.5</v>
      </c>
      <c r="J23" s="12">
        <f>SUMIF(order_item!B:B,A23,order_item!E:E)</f>
        <v>435</v>
      </c>
      <c r="K23" s="28" t="str">
        <f>_xlfn.XLOOKUP(B23,customers!A:A,customers!D:D)</f>
        <v>New</v>
      </c>
    </row>
    <row r="24" spans="1:11" x14ac:dyDescent="0.25">
      <c r="A24" s="5" t="s">
        <v>7227</v>
      </c>
      <c r="B24" s="5" t="s">
        <v>542</v>
      </c>
      <c r="C24" s="5" t="s">
        <v>7306</v>
      </c>
      <c r="D24" s="1">
        <v>45604</v>
      </c>
      <c r="E24" s="17">
        <v>0.44861111111111113</v>
      </c>
      <c r="F24" s="5" t="s">
        <v>7305</v>
      </c>
      <c r="G24" s="12">
        <v>346</v>
      </c>
      <c r="H24" s="12">
        <v>0</v>
      </c>
      <c r="I24" s="12">
        <v>346</v>
      </c>
      <c r="J24" s="12">
        <f>SUMIF(order_item!B:B,A24,order_item!E:E)</f>
        <v>346</v>
      </c>
      <c r="K24" s="28" t="str">
        <f>_xlfn.XLOOKUP(B24,customers!A:A,customers!D:D)</f>
        <v>New</v>
      </c>
    </row>
    <row r="25" spans="1:11" x14ac:dyDescent="0.25">
      <c r="A25" s="5" t="s">
        <v>7223</v>
      </c>
      <c r="B25" s="5" t="s">
        <v>354</v>
      </c>
      <c r="C25" s="5" t="s">
        <v>7306</v>
      </c>
      <c r="D25" s="1">
        <v>45433</v>
      </c>
      <c r="E25" s="17">
        <v>0.62291666666666667</v>
      </c>
      <c r="F25" s="5" t="s">
        <v>7305</v>
      </c>
      <c r="G25" s="12">
        <v>752</v>
      </c>
      <c r="H25" s="12">
        <v>75.2</v>
      </c>
      <c r="I25" s="12">
        <v>676.8</v>
      </c>
      <c r="J25" s="12">
        <f>SUMIF(order_item!B:B,A25,order_item!E:E)</f>
        <v>752</v>
      </c>
      <c r="K25" s="28" t="str">
        <f>_xlfn.XLOOKUP(B25,customers!A:A,customers!D:D)</f>
        <v>New</v>
      </c>
    </row>
    <row r="26" spans="1:11" x14ac:dyDescent="0.25">
      <c r="A26" s="5" t="s">
        <v>7219</v>
      </c>
      <c r="B26" s="5" t="s">
        <v>382</v>
      </c>
      <c r="C26" s="5" t="s">
        <v>7309</v>
      </c>
      <c r="D26" s="1">
        <v>45464</v>
      </c>
      <c r="E26" s="17">
        <v>0.49722222222222223</v>
      </c>
      <c r="F26" s="5" t="s">
        <v>7305</v>
      </c>
      <c r="G26" s="12">
        <v>267</v>
      </c>
      <c r="H26" s="12">
        <v>0</v>
      </c>
      <c r="I26" s="12">
        <v>267</v>
      </c>
      <c r="J26" s="12">
        <f>SUMIF(order_item!B:B,A26,order_item!E:E)</f>
        <v>267</v>
      </c>
      <c r="K26" s="28" t="str">
        <f>_xlfn.XLOOKUP(B26,customers!A:A,customers!D:D)</f>
        <v>Regular</v>
      </c>
    </row>
    <row r="27" spans="1:11" x14ac:dyDescent="0.25">
      <c r="A27" s="5" t="s">
        <v>7216</v>
      </c>
      <c r="B27" s="5" t="s">
        <v>726</v>
      </c>
      <c r="C27" s="5" t="s">
        <v>7309</v>
      </c>
      <c r="D27" s="1">
        <v>45479</v>
      </c>
      <c r="E27" s="17">
        <v>0.41666666666666669</v>
      </c>
      <c r="F27" s="5" t="s">
        <v>7307</v>
      </c>
      <c r="G27" s="12">
        <v>605</v>
      </c>
      <c r="H27" s="12">
        <v>0</v>
      </c>
      <c r="I27" s="12">
        <v>0</v>
      </c>
      <c r="J27" s="12">
        <f>SUMIF(order_item!B:B,A27,order_item!E:E)</f>
        <v>605</v>
      </c>
      <c r="K27" s="28" t="str">
        <f>_xlfn.XLOOKUP(B27,customers!A:A,customers!D:D)</f>
        <v>Regular</v>
      </c>
    </row>
    <row r="28" spans="1:11" x14ac:dyDescent="0.25">
      <c r="A28" s="5" t="s">
        <v>7213</v>
      </c>
      <c r="B28" s="5" t="s">
        <v>602</v>
      </c>
      <c r="C28" s="5" t="s">
        <v>7309</v>
      </c>
      <c r="D28" s="1">
        <v>45555</v>
      </c>
      <c r="E28" s="17">
        <v>0.67638888888888893</v>
      </c>
      <c r="F28" s="5" t="s">
        <v>7305</v>
      </c>
      <c r="G28" s="12">
        <v>534</v>
      </c>
      <c r="H28" s="12">
        <v>80.099999999999994</v>
      </c>
      <c r="I28" s="12">
        <v>453.9</v>
      </c>
      <c r="J28" s="12">
        <f>SUMIF(order_item!B:B,A28,order_item!E:E)</f>
        <v>534</v>
      </c>
      <c r="K28" s="28" t="str">
        <f>_xlfn.XLOOKUP(B28,customers!A:A,customers!D:D)</f>
        <v>Regular</v>
      </c>
    </row>
    <row r="29" spans="1:11" x14ac:dyDescent="0.25">
      <c r="A29" s="5" t="s">
        <v>7209</v>
      </c>
      <c r="B29" s="5" t="s">
        <v>382</v>
      </c>
      <c r="C29" s="5" t="s">
        <v>7309</v>
      </c>
      <c r="D29" s="1">
        <v>45438</v>
      </c>
      <c r="E29" s="17">
        <v>0.69374999999999998</v>
      </c>
      <c r="F29" s="5" t="s">
        <v>7305</v>
      </c>
      <c r="G29" s="12">
        <v>515</v>
      </c>
      <c r="H29" s="12">
        <v>0</v>
      </c>
      <c r="I29" s="12">
        <v>515</v>
      </c>
      <c r="J29" s="12">
        <f>SUMIF(order_item!B:B,A29,order_item!E:E)</f>
        <v>515</v>
      </c>
      <c r="K29" s="28" t="str">
        <f>_xlfn.XLOOKUP(B29,customers!A:A,customers!D:D)</f>
        <v>Regular</v>
      </c>
    </row>
    <row r="30" spans="1:11" x14ac:dyDescent="0.25">
      <c r="A30" s="5" t="s">
        <v>7206</v>
      </c>
      <c r="B30" s="5" t="s">
        <v>252</v>
      </c>
      <c r="C30" s="5" t="s">
        <v>7309</v>
      </c>
      <c r="D30" s="1">
        <v>45606</v>
      </c>
      <c r="E30" s="17">
        <v>0.80555555555555547</v>
      </c>
      <c r="F30" s="5" t="s">
        <v>7305</v>
      </c>
      <c r="G30" s="12">
        <v>785</v>
      </c>
      <c r="H30" s="12">
        <v>117.75</v>
      </c>
      <c r="I30" s="12">
        <v>667.25</v>
      </c>
      <c r="J30" s="12">
        <f>SUMIF(order_item!B:B,A30,order_item!E:E)</f>
        <v>785</v>
      </c>
      <c r="K30" s="28" t="str">
        <f>_xlfn.XLOOKUP(B30,customers!A:A,customers!D:D)</f>
        <v>Regular</v>
      </c>
    </row>
    <row r="31" spans="1:11" x14ac:dyDescent="0.25">
      <c r="A31" s="5" t="s">
        <v>7202</v>
      </c>
      <c r="B31" s="5" t="s">
        <v>742</v>
      </c>
      <c r="C31" s="5" t="s">
        <v>7306</v>
      </c>
      <c r="D31" s="1">
        <v>45700</v>
      </c>
      <c r="E31" s="17">
        <v>0.85555555555555562</v>
      </c>
      <c r="F31" s="5" t="s">
        <v>7305</v>
      </c>
      <c r="G31" s="12">
        <v>366</v>
      </c>
      <c r="H31" s="12">
        <v>0</v>
      </c>
      <c r="I31" s="12">
        <v>366</v>
      </c>
      <c r="J31" s="12">
        <f>SUMIF(order_item!B:B,A31,order_item!E:E)</f>
        <v>366</v>
      </c>
      <c r="K31" s="28" t="str">
        <f>_xlfn.XLOOKUP(B31,customers!A:A,customers!D:D)</f>
        <v>New</v>
      </c>
    </row>
    <row r="32" spans="1:11" x14ac:dyDescent="0.25">
      <c r="A32" s="5" t="s">
        <v>7198</v>
      </c>
      <c r="B32" s="5" t="s">
        <v>600</v>
      </c>
      <c r="C32" s="5" t="s">
        <v>7308</v>
      </c>
      <c r="D32" s="1">
        <v>45388</v>
      </c>
      <c r="E32" s="17">
        <v>0.75555555555555554</v>
      </c>
      <c r="F32" s="5" t="s">
        <v>7305</v>
      </c>
      <c r="G32" s="12">
        <v>376</v>
      </c>
      <c r="H32" s="12">
        <v>0</v>
      </c>
      <c r="I32" s="12">
        <v>376</v>
      </c>
      <c r="J32" s="12">
        <f>SUMIF(order_item!B:B,A32,order_item!E:E)</f>
        <v>376</v>
      </c>
      <c r="K32" s="28" t="str">
        <f>_xlfn.XLOOKUP(B32,customers!A:A,customers!D:D)</f>
        <v>Regular</v>
      </c>
    </row>
    <row r="33" spans="1:11" x14ac:dyDescent="0.25">
      <c r="A33" s="5" t="s">
        <v>7195</v>
      </c>
      <c r="B33" s="5" t="s">
        <v>668</v>
      </c>
      <c r="C33" s="5" t="s">
        <v>7306</v>
      </c>
      <c r="D33" s="1">
        <v>45718</v>
      </c>
      <c r="E33" s="17">
        <v>0.64722222222222225</v>
      </c>
      <c r="F33" s="5" t="s">
        <v>7305</v>
      </c>
      <c r="G33" s="12">
        <v>387</v>
      </c>
      <c r="H33" s="12">
        <v>19.350000000000001</v>
      </c>
      <c r="I33" s="12">
        <v>367.65</v>
      </c>
      <c r="J33" s="12">
        <f>SUMIF(order_item!B:B,A33,order_item!E:E)</f>
        <v>387</v>
      </c>
      <c r="K33" s="28" t="str">
        <f>_xlfn.XLOOKUP(B33,customers!A:A,customers!D:D)</f>
        <v>Premium</v>
      </c>
    </row>
    <row r="34" spans="1:11" x14ac:dyDescent="0.25">
      <c r="A34" s="5" t="s">
        <v>7191</v>
      </c>
      <c r="B34" s="5" t="s">
        <v>644</v>
      </c>
      <c r="C34" s="5" t="s">
        <v>7309</v>
      </c>
      <c r="D34" s="1">
        <v>45584</v>
      </c>
      <c r="E34" s="17">
        <v>0.7319444444444444</v>
      </c>
      <c r="F34" s="5" t="s">
        <v>7305</v>
      </c>
      <c r="G34" s="12">
        <v>556</v>
      </c>
      <c r="H34" s="12">
        <v>0</v>
      </c>
      <c r="I34" s="12">
        <v>556</v>
      </c>
      <c r="J34" s="12">
        <f>SUMIF(order_item!B:B,A34,order_item!E:E)</f>
        <v>556</v>
      </c>
      <c r="K34" s="28" t="str">
        <f>_xlfn.XLOOKUP(B34,customers!A:A,customers!D:D)</f>
        <v>Regular</v>
      </c>
    </row>
    <row r="35" spans="1:11" x14ac:dyDescent="0.25">
      <c r="A35" s="5" t="s">
        <v>7188</v>
      </c>
      <c r="B35" s="5" t="s">
        <v>858</v>
      </c>
      <c r="C35" s="5" t="s">
        <v>7306</v>
      </c>
      <c r="D35" s="1">
        <v>45512</v>
      </c>
      <c r="E35" s="17">
        <v>0.46319444444444446</v>
      </c>
      <c r="F35" s="5" t="s">
        <v>7305</v>
      </c>
      <c r="G35" s="12">
        <v>386</v>
      </c>
      <c r="H35" s="12">
        <v>0</v>
      </c>
      <c r="I35" s="12">
        <v>386</v>
      </c>
      <c r="J35" s="12">
        <f>SUMIF(order_item!B:B,A35,order_item!E:E)</f>
        <v>386</v>
      </c>
      <c r="K35" s="28" t="str">
        <f>_xlfn.XLOOKUP(B35,customers!A:A,customers!D:D)</f>
        <v>New</v>
      </c>
    </row>
    <row r="36" spans="1:11" x14ac:dyDescent="0.25">
      <c r="A36" s="5" t="s">
        <v>7184</v>
      </c>
      <c r="B36" s="5" t="s">
        <v>138</v>
      </c>
      <c r="C36" s="5" t="s">
        <v>7309</v>
      </c>
      <c r="D36" s="1">
        <v>45653</v>
      </c>
      <c r="E36" s="17">
        <v>0.45069444444444445</v>
      </c>
      <c r="F36" s="5" t="s">
        <v>7305</v>
      </c>
      <c r="G36" s="12">
        <v>575</v>
      </c>
      <c r="H36" s="12">
        <v>0</v>
      </c>
      <c r="I36" s="12">
        <v>575</v>
      </c>
      <c r="J36" s="12">
        <f>SUMIF(order_item!B:B,A36,order_item!E:E)</f>
        <v>575</v>
      </c>
      <c r="K36" s="28" t="str">
        <f>_xlfn.XLOOKUP(B36,customers!A:A,customers!D:D)</f>
        <v>Regular</v>
      </c>
    </row>
    <row r="37" spans="1:11" x14ac:dyDescent="0.25">
      <c r="A37" s="5" t="s">
        <v>7181</v>
      </c>
      <c r="B37" s="5" t="s">
        <v>449</v>
      </c>
      <c r="C37" s="5" t="s">
        <v>7306</v>
      </c>
      <c r="D37" s="1">
        <v>45448</v>
      </c>
      <c r="E37" s="17">
        <v>0.70624999999999993</v>
      </c>
      <c r="F37" s="5" t="s">
        <v>7305</v>
      </c>
      <c r="G37" s="12">
        <v>218</v>
      </c>
      <c r="H37" s="12">
        <v>0</v>
      </c>
      <c r="I37" s="12">
        <v>218</v>
      </c>
      <c r="J37" s="12">
        <f>SUMIF(order_item!B:B,A37,order_item!E:E)</f>
        <v>218</v>
      </c>
      <c r="K37" s="28" t="str">
        <f>_xlfn.XLOOKUP(B37,customers!A:A,customers!D:D)</f>
        <v>Regular</v>
      </c>
    </row>
    <row r="38" spans="1:11" x14ac:dyDescent="0.25">
      <c r="A38" s="5" t="s">
        <v>7178</v>
      </c>
      <c r="B38" s="5" t="s">
        <v>240</v>
      </c>
      <c r="C38" s="5" t="s">
        <v>7308</v>
      </c>
      <c r="D38" s="1">
        <v>45453</v>
      </c>
      <c r="E38" s="17">
        <v>0.39930555555555558</v>
      </c>
      <c r="F38" s="5" t="s">
        <v>7305</v>
      </c>
      <c r="G38" s="12">
        <v>228</v>
      </c>
      <c r="H38" s="12">
        <v>0</v>
      </c>
      <c r="I38" s="12">
        <v>228</v>
      </c>
      <c r="J38" s="12">
        <f>SUMIF(order_item!B:B,A38,order_item!E:E)</f>
        <v>228</v>
      </c>
      <c r="K38" s="28" t="str">
        <f>_xlfn.XLOOKUP(B38,customers!A:A,customers!D:D)</f>
        <v>New</v>
      </c>
    </row>
    <row r="39" spans="1:11" x14ac:dyDescent="0.25">
      <c r="A39" s="5" t="s">
        <v>7176</v>
      </c>
      <c r="B39" s="5" t="s">
        <v>240</v>
      </c>
      <c r="C39" s="5" t="s">
        <v>7306</v>
      </c>
      <c r="D39" s="1">
        <v>45581</v>
      </c>
      <c r="E39" s="17">
        <v>0.4680555555555555</v>
      </c>
      <c r="F39" s="5" t="s">
        <v>7305</v>
      </c>
      <c r="G39" s="12">
        <v>119</v>
      </c>
      <c r="H39" s="12">
        <v>0</v>
      </c>
      <c r="I39" s="12">
        <v>119</v>
      </c>
      <c r="J39" s="12">
        <f>SUMIF(order_item!B:B,A39,order_item!E:E)</f>
        <v>119</v>
      </c>
      <c r="K39" s="28" t="str">
        <f>_xlfn.XLOOKUP(B39,customers!A:A,customers!D:D)</f>
        <v>New</v>
      </c>
    </row>
    <row r="40" spans="1:11" x14ac:dyDescent="0.25">
      <c r="A40" s="5" t="s">
        <v>7173</v>
      </c>
      <c r="B40" s="5" t="s">
        <v>734</v>
      </c>
      <c r="C40" s="5" t="s">
        <v>7309</v>
      </c>
      <c r="D40" s="1">
        <v>45519</v>
      </c>
      <c r="E40" s="17">
        <v>0.68263888888888891</v>
      </c>
      <c r="F40" s="5" t="s">
        <v>7307</v>
      </c>
      <c r="G40" s="12">
        <v>632</v>
      </c>
      <c r="H40" s="12">
        <v>0</v>
      </c>
      <c r="I40" s="12">
        <v>0</v>
      </c>
      <c r="J40" s="12">
        <f>SUMIF(order_item!B:B,A40,order_item!E:E)</f>
        <v>632</v>
      </c>
      <c r="K40" s="28" t="str">
        <f>_xlfn.XLOOKUP(B40,customers!A:A,customers!D:D)</f>
        <v>Regular</v>
      </c>
    </row>
    <row r="41" spans="1:11" x14ac:dyDescent="0.25">
      <c r="A41" s="5" t="s">
        <v>7170</v>
      </c>
      <c r="B41" s="5" t="s">
        <v>96</v>
      </c>
      <c r="C41" s="5" t="s">
        <v>7309</v>
      </c>
      <c r="D41" s="1">
        <v>45594</v>
      </c>
      <c r="E41" s="17">
        <v>0.45833333333333331</v>
      </c>
      <c r="F41" s="5" t="s">
        <v>7305</v>
      </c>
      <c r="G41" s="12">
        <v>455</v>
      </c>
      <c r="H41" s="12">
        <v>0</v>
      </c>
      <c r="I41" s="12">
        <v>455</v>
      </c>
      <c r="J41" s="12">
        <f>SUMIF(order_item!B:B,A41,order_item!E:E)</f>
        <v>455</v>
      </c>
      <c r="K41" s="28" t="str">
        <f>_xlfn.XLOOKUP(B41,customers!A:A,customers!D:D)</f>
        <v>Regular</v>
      </c>
    </row>
    <row r="42" spans="1:11" x14ac:dyDescent="0.25">
      <c r="A42" s="5" t="s">
        <v>7165</v>
      </c>
      <c r="B42" s="5" t="s">
        <v>484</v>
      </c>
      <c r="C42" s="5" t="s">
        <v>7308</v>
      </c>
      <c r="D42" s="1">
        <v>45690</v>
      </c>
      <c r="E42" s="17">
        <v>0.42569444444444443</v>
      </c>
      <c r="F42" s="5" t="s">
        <v>7305</v>
      </c>
      <c r="G42" s="12">
        <v>831</v>
      </c>
      <c r="H42" s="12">
        <v>0</v>
      </c>
      <c r="I42" s="12">
        <v>831</v>
      </c>
      <c r="J42" s="12">
        <f>SUMIF(order_item!B:B,A42,order_item!E:E)</f>
        <v>831</v>
      </c>
      <c r="K42" s="28" t="str">
        <f>_xlfn.XLOOKUP(B42,customers!A:A,customers!D:D)</f>
        <v>Regular</v>
      </c>
    </row>
    <row r="43" spans="1:11" x14ac:dyDescent="0.25">
      <c r="A43" s="5" t="s">
        <v>7161</v>
      </c>
      <c r="B43" s="5" t="s">
        <v>392</v>
      </c>
      <c r="C43" s="5" t="s">
        <v>7306</v>
      </c>
      <c r="D43" s="1">
        <v>45653</v>
      </c>
      <c r="E43" s="17">
        <v>0.83888888888888891</v>
      </c>
      <c r="F43" s="5" t="s">
        <v>7307</v>
      </c>
      <c r="G43" s="12">
        <v>515</v>
      </c>
      <c r="H43" s="12">
        <v>0</v>
      </c>
      <c r="I43" s="12">
        <v>0</v>
      </c>
      <c r="J43" s="12">
        <f>SUMIF(order_item!B:B,A43,order_item!E:E)</f>
        <v>515</v>
      </c>
      <c r="K43" s="28" t="str">
        <f>_xlfn.XLOOKUP(B43,customers!A:A,customers!D:D)</f>
        <v>Regular</v>
      </c>
    </row>
    <row r="44" spans="1:11" x14ac:dyDescent="0.25">
      <c r="A44" s="5" t="s">
        <v>7159</v>
      </c>
      <c r="B44" s="5" t="s">
        <v>820</v>
      </c>
      <c r="C44" s="5" t="s">
        <v>7308</v>
      </c>
      <c r="D44" s="1">
        <v>45648</v>
      </c>
      <c r="E44" s="17">
        <v>0.7597222222222223</v>
      </c>
      <c r="F44" s="5" t="s">
        <v>7307</v>
      </c>
      <c r="G44" s="12">
        <v>79</v>
      </c>
      <c r="H44" s="12">
        <v>0</v>
      </c>
      <c r="I44" s="12">
        <v>0</v>
      </c>
      <c r="J44" s="12">
        <f>SUMIF(order_item!B:B,A44,order_item!E:E)</f>
        <v>79</v>
      </c>
      <c r="K44" s="28" t="str">
        <f>_xlfn.XLOOKUP(B44,customers!A:A,customers!D:D)</f>
        <v>New</v>
      </c>
    </row>
    <row r="45" spans="1:11" x14ac:dyDescent="0.25">
      <c r="A45" s="5" t="s">
        <v>7156</v>
      </c>
      <c r="B45" s="5" t="s">
        <v>656</v>
      </c>
      <c r="C45" s="5" t="s">
        <v>7309</v>
      </c>
      <c r="D45" s="1">
        <v>45429</v>
      </c>
      <c r="E45" s="17">
        <v>0.72777777777777775</v>
      </c>
      <c r="F45" s="5" t="s">
        <v>7305</v>
      </c>
      <c r="G45" s="12">
        <v>347</v>
      </c>
      <c r="H45" s="12">
        <v>34.700000000000003</v>
      </c>
      <c r="I45" s="12">
        <v>312.3</v>
      </c>
      <c r="J45" s="12">
        <f>SUMIF(order_item!B:B,A45,order_item!E:E)</f>
        <v>347</v>
      </c>
      <c r="K45" s="28" t="str">
        <f>_xlfn.XLOOKUP(B45,customers!A:A,customers!D:D)</f>
        <v>Regular</v>
      </c>
    </row>
    <row r="46" spans="1:11" x14ac:dyDescent="0.25">
      <c r="A46" s="5" t="s">
        <v>7151</v>
      </c>
      <c r="B46" s="5" t="s">
        <v>499</v>
      </c>
      <c r="C46" s="5" t="s">
        <v>7309</v>
      </c>
      <c r="D46" s="1">
        <v>45440</v>
      </c>
      <c r="E46" s="17">
        <v>0.60069444444444442</v>
      </c>
      <c r="F46" s="5" t="s">
        <v>7305</v>
      </c>
      <c r="G46" s="12">
        <v>693</v>
      </c>
      <c r="H46" s="12">
        <v>34.65</v>
      </c>
      <c r="I46" s="12">
        <v>658.35</v>
      </c>
      <c r="J46" s="12">
        <f>SUMIF(order_item!B:B,A46,order_item!E:E)</f>
        <v>693</v>
      </c>
      <c r="K46" s="28" t="str">
        <f>_xlfn.XLOOKUP(B46,customers!A:A,customers!D:D)</f>
        <v>New</v>
      </c>
    </row>
    <row r="47" spans="1:11" x14ac:dyDescent="0.25">
      <c r="A47" s="5" t="s">
        <v>7147</v>
      </c>
      <c r="B47" s="5" t="s">
        <v>220</v>
      </c>
      <c r="C47" s="5" t="s">
        <v>7309</v>
      </c>
      <c r="D47" s="1">
        <v>45682</v>
      </c>
      <c r="E47" s="17">
        <v>0.46666666666666662</v>
      </c>
      <c r="F47" s="5" t="s">
        <v>7307</v>
      </c>
      <c r="G47" s="12">
        <v>454</v>
      </c>
      <c r="H47" s="12">
        <v>45.4</v>
      </c>
      <c r="I47" s="12">
        <v>0</v>
      </c>
      <c r="J47" s="12">
        <f>SUMIF(order_item!B:B,A47,order_item!E:E)</f>
        <v>454</v>
      </c>
      <c r="K47" s="28" t="str">
        <f>_xlfn.XLOOKUP(B47,customers!A:A,customers!D:D)</f>
        <v>Regular</v>
      </c>
    </row>
    <row r="48" spans="1:11" x14ac:dyDescent="0.25">
      <c r="A48" s="5" t="s">
        <v>7145</v>
      </c>
      <c r="B48" s="5" t="s">
        <v>106</v>
      </c>
      <c r="C48" s="5" t="s">
        <v>7306</v>
      </c>
      <c r="D48" s="1">
        <v>45430</v>
      </c>
      <c r="E48" s="17">
        <v>0.38194444444444442</v>
      </c>
      <c r="F48" s="5" t="s">
        <v>7305</v>
      </c>
      <c r="G48" s="12">
        <v>149</v>
      </c>
      <c r="H48" s="12">
        <v>7.45</v>
      </c>
      <c r="I48" s="12">
        <v>141.55000000000001</v>
      </c>
      <c r="J48" s="12">
        <f>SUMIF(order_item!B:B,A48,order_item!E:E)</f>
        <v>149</v>
      </c>
      <c r="K48" s="28" t="str">
        <f>_xlfn.XLOOKUP(B48,customers!A:A,customers!D:D)</f>
        <v>New</v>
      </c>
    </row>
    <row r="49" spans="1:11" x14ac:dyDescent="0.25">
      <c r="A49" s="5" t="s">
        <v>7142</v>
      </c>
      <c r="B49" s="5" t="s">
        <v>768</v>
      </c>
      <c r="C49" s="5" t="s">
        <v>7309</v>
      </c>
      <c r="D49" s="1">
        <v>45712</v>
      </c>
      <c r="E49" s="17">
        <v>0.8305555555555556</v>
      </c>
      <c r="F49" s="5" t="s">
        <v>7305</v>
      </c>
      <c r="G49" s="12">
        <v>228</v>
      </c>
      <c r="H49" s="12">
        <v>0</v>
      </c>
      <c r="I49" s="12">
        <v>228</v>
      </c>
      <c r="J49" s="12">
        <f>SUMIF(order_item!B:B,A49,order_item!E:E)</f>
        <v>228</v>
      </c>
      <c r="K49" s="28" t="str">
        <f>_xlfn.XLOOKUP(B49,customers!A:A,customers!D:D)</f>
        <v>Regular</v>
      </c>
    </row>
    <row r="50" spans="1:11" x14ac:dyDescent="0.25">
      <c r="A50" s="5" t="s">
        <v>7138</v>
      </c>
      <c r="B50" s="5" t="s">
        <v>242</v>
      </c>
      <c r="C50" s="5" t="s">
        <v>7306</v>
      </c>
      <c r="D50" s="1">
        <v>45622</v>
      </c>
      <c r="E50" s="17">
        <v>0.52777777777777779</v>
      </c>
      <c r="F50" s="5" t="s">
        <v>7305</v>
      </c>
      <c r="G50" s="12">
        <v>663</v>
      </c>
      <c r="H50" s="12">
        <v>0</v>
      </c>
      <c r="I50" s="12">
        <v>663</v>
      </c>
      <c r="J50" s="12">
        <f>SUMIF(order_item!B:B,A50,order_item!E:E)</f>
        <v>663</v>
      </c>
      <c r="K50" s="28" t="str">
        <f>_xlfn.XLOOKUP(B50,customers!A:A,customers!D:D)</f>
        <v>Regular</v>
      </c>
    </row>
    <row r="51" spans="1:11" x14ac:dyDescent="0.25">
      <c r="A51" s="5" t="s">
        <v>7134</v>
      </c>
      <c r="B51" s="5" t="s">
        <v>234</v>
      </c>
      <c r="C51" s="5" t="s">
        <v>7308</v>
      </c>
      <c r="D51" s="1">
        <v>45515</v>
      </c>
      <c r="E51" s="17">
        <v>0.75208333333333333</v>
      </c>
      <c r="F51" s="5" t="s">
        <v>7305</v>
      </c>
      <c r="G51" s="12">
        <v>384</v>
      </c>
      <c r="H51" s="12">
        <v>0</v>
      </c>
      <c r="I51" s="12">
        <v>384</v>
      </c>
      <c r="J51" s="12">
        <f>SUMIF(order_item!B:B,A51,order_item!E:E)</f>
        <v>384</v>
      </c>
      <c r="K51" s="28" t="str">
        <f>_xlfn.XLOOKUP(B51,customers!A:A,customers!D:D)</f>
        <v>Regular</v>
      </c>
    </row>
    <row r="52" spans="1:11" x14ac:dyDescent="0.25">
      <c r="A52" s="5" t="s">
        <v>7129</v>
      </c>
      <c r="B52" s="5" t="s">
        <v>196</v>
      </c>
      <c r="C52" s="5" t="s">
        <v>7308</v>
      </c>
      <c r="D52" s="1">
        <v>45404</v>
      </c>
      <c r="E52" s="17">
        <v>0.52500000000000002</v>
      </c>
      <c r="F52" s="5" t="s">
        <v>7305</v>
      </c>
      <c r="G52" s="12">
        <v>562</v>
      </c>
      <c r="H52" s="12">
        <v>0</v>
      </c>
      <c r="I52" s="12">
        <v>562</v>
      </c>
      <c r="J52" s="12">
        <f>SUMIF(order_item!B:B,A52,order_item!E:E)</f>
        <v>562</v>
      </c>
      <c r="K52" s="28" t="str">
        <f>_xlfn.XLOOKUP(B52,customers!A:A,customers!D:D)</f>
        <v>Regular</v>
      </c>
    </row>
    <row r="53" spans="1:11" x14ac:dyDescent="0.25">
      <c r="A53" s="5" t="s">
        <v>7126</v>
      </c>
      <c r="B53" s="5" t="s">
        <v>234</v>
      </c>
      <c r="C53" s="5" t="s">
        <v>7308</v>
      </c>
      <c r="D53" s="1">
        <v>45600</v>
      </c>
      <c r="E53" s="17">
        <v>0.74513888888888891</v>
      </c>
      <c r="F53" s="5" t="s">
        <v>7305</v>
      </c>
      <c r="G53" s="12">
        <v>228</v>
      </c>
      <c r="H53" s="12">
        <v>0</v>
      </c>
      <c r="I53" s="12">
        <v>228</v>
      </c>
      <c r="J53" s="12">
        <f>SUMIF(order_item!B:B,A53,order_item!E:E)</f>
        <v>228</v>
      </c>
      <c r="K53" s="28" t="str">
        <f>_xlfn.XLOOKUP(B53,customers!A:A,customers!D:D)</f>
        <v>Regular</v>
      </c>
    </row>
    <row r="54" spans="1:11" x14ac:dyDescent="0.25">
      <c r="A54" s="5" t="s">
        <v>7124</v>
      </c>
      <c r="B54" s="5" t="s">
        <v>781</v>
      </c>
      <c r="C54" s="5" t="s">
        <v>7309</v>
      </c>
      <c r="D54" s="1">
        <v>45383</v>
      </c>
      <c r="E54" s="17">
        <v>0.53541666666666665</v>
      </c>
      <c r="F54" s="5" t="s">
        <v>7305</v>
      </c>
      <c r="G54" s="12">
        <v>198</v>
      </c>
      <c r="H54" s="12">
        <v>9.9</v>
      </c>
      <c r="I54" s="12">
        <v>188.1</v>
      </c>
      <c r="J54" s="12">
        <f>SUMIF(order_item!B:B,A54,order_item!E:E)</f>
        <v>198</v>
      </c>
      <c r="K54" s="28" t="str">
        <f>_xlfn.XLOOKUP(B54,customers!A:A,customers!D:D)</f>
        <v>Regular</v>
      </c>
    </row>
    <row r="55" spans="1:11" x14ac:dyDescent="0.25">
      <c r="A55" s="5" t="s">
        <v>7122</v>
      </c>
      <c r="B55" s="5" t="s">
        <v>335</v>
      </c>
      <c r="C55" s="5" t="s">
        <v>7308</v>
      </c>
      <c r="D55" s="1">
        <v>45689</v>
      </c>
      <c r="E55" s="17">
        <v>0.43263888888888885</v>
      </c>
      <c r="F55" s="5" t="s">
        <v>7307</v>
      </c>
      <c r="G55" s="12">
        <v>89</v>
      </c>
      <c r="H55" s="12">
        <v>0</v>
      </c>
      <c r="I55" s="12">
        <v>0</v>
      </c>
      <c r="J55" s="12">
        <f>SUMIF(order_item!B:B,A55,order_item!E:E)</f>
        <v>89</v>
      </c>
      <c r="K55" s="28" t="str">
        <f>_xlfn.XLOOKUP(B55,customers!A:A,customers!D:D)</f>
        <v>Regular</v>
      </c>
    </row>
    <row r="56" spans="1:11" x14ac:dyDescent="0.25">
      <c r="A56" s="5" t="s">
        <v>7118</v>
      </c>
      <c r="B56" s="5" t="s">
        <v>650</v>
      </c>
      <c r="C56" s="5" t="s">
        <v>7309</v>
      </c>
      <c r="D56" s="1">
        <v>45728</v>
      </c>
      <c r="E56" s="17">
        <v>0.94513888888888886</v>
      </c>
      <c r="F56" s="5" t="s">
        <v>7305</v>
      </c>
      <c r="G56" s="12">
        <v>347</v>
      </c>
      <c r="H56" s="12">
        <v>0</v>
      </c>
      <c r="I56" s="12">
        <v>347</v>
      </c>
      <c r="J56" s="12">
        <f>SUMIF(order_item!B:B,A56,order_item!E:E)</f>
        <v>347</v>
      </c>
      <c r="K56" s="28" t="str">
        <f>_xlfn.XLOOKUP(B56,customers!A:A,customers!D:D)</f>
        <v>Regular</v>
      </c>
    </row>
    <row r="57" spans="1:11" x14ac:dyDescent="0.25">
      <c r="A57" s="5" t="s">
        <v>7116</v>
      </c>
      <c r="B57" s="5" t="s">
        <v>746</v>
      </c>
      <c r="C57" s="5" t="s">
        <v>7306</v>
      </c>
      <c r="D57" s="1">
        <v>45601</v>
      </c>
      <c r="E57" s="17">
        <v>1.3888888888888889E-3</v>
      </c>
      <c r="F57" s="5" t="s">
        <v>7305</v>
      </c>
      <c r="G57" s="12">
        <v>149</v>
      </c>
      <c r="H57" s="12">
        <v>14.9</v>
      </c>
      <c r="I57" s="12">
        <v>134.1</v>
      </c>
      <c r="J57" s="12">
        <f>SUMIF(order_item!B:B,A57,order_item!E:E)</f>
        <v>149</v>
      </c>
      <c r="K57" s="28" t="str">
        <f>_xlfn.XLOOKUP(B57,customers!A:A,customers!D:D)</f>
        <v>New</v>
      </c>
    </row>
    <row r="58" spans="1:11" x14ac:dyDescent="0.25">
      <c r="A58" s="5" t="s">
        <v>7114</v>
      </c>
      <c r="B58" s="5" t="s">
        <v>332</v>
      </c>
      <c r="C58" s="5" t="s">
        <v>7306</v>
      </c>
      <c r="D58" s="1">
        <v>45741</v>
      </c>
      <c r="E58" s="17">
        <v>0.70277777777777783</v>
      </c>
      <c r="F58" s="5" t="s">
        <v>7305</v>
      </c>
      <c r="G58" s="12">
        <v>158</v>
      </c>
      <c r="H58" s="12">
        <v>0</v>
      </c>
      <c r="I58" s="12">
        <v>158</v>
      </c>
      <c r="J58" s="12">
        <f>SUMIF(order_item!B:B,A58,order_item!E:E)</f>
        <v>158</v>
      </c>
      <c r="K58" s="28" t="str">
        <f>_xlfn.XLOOKUP(B58,customers!A:A,customers!D:D)</f>
        <v>New</v>
      </c>
    </row>
    <row r="59" spans="1:11" x14ac:dyDescent="0.25">
      <c r="A59" s="5" t="s">
        <v>7111</v>
      </c>
      <c r="B59" s="5" t="s">
        <v>558</v>
      </c>
      <c r="C59" s="5" t="s">
        <v>7306</v>
      </c>
      <c r="D59" s="1">
        <v>45666</v>
      </c>
      <c r="E59" s="17">
        <v>0.39166666666666666</v>
      </c>
      <c r="F59" s="5" t="s">
        <v>7305</v>
      </c>
      <c r="G59" s="12">
        <v>277</v>
      </c>
      <c r="H59" s="12">
        <v>0</v>
      </c>
      <c r="I59" s="12">
        <v>277</v>
      </c>
      <c r="J59" s="12">
        <f>SUMIF(order_item!B:B,A59,order_item!E:E)</f>
        <v>277</v>
      </c>
      <c r="K59" s="28" t="str">
        <f>_xlfn.XLOOKUP(B59,customers!A:A,customers!D:D)</f>
        <v>Regular</v>
      </c>
    </row>
    <row r="60" spans="1:11" x14ac:dyDescent="0.25">
      <c r="A60" s="5" t="s">
        <v>7109</v>
      </c>
      <c r="B60" s="5" t="s">
        <v>821</v>
      </c>
      <c r="C60" s="5" t="s">
        <v>7306</v>
      </c>
      <c r="D60" s="1">
        <v>45624</v>
      </c>
      <c r="E60" s="17">
        <v>0.4777777777777778</v>
      </c>
      <c r="F60" s="5" t="s">
        <v>7305</v>
      </c>
      <c r="G60" s="12">
        <v>99</v>
      </c>
      <c r="H60" s="12">
        <v>0</v>
      </c>
      <c r="I60" s="12">
        <v>99</v>
      </c>
      <c r="J60" s="12">
        <f>SUMIF(order_item!B:B,A60,order_item!E:E)</f>
        <v>99</v>
      </c>
      <c r="K60" s="28" t="str">
        <f>_xlfn.XLOOKUP(B60,customers!A:A,customers!D:D)</f>
        <v>Premium</v>
      </c>
    </row>
    <row r="61" spans="1:11" x14ac:dyDescent="0.25">
      <c r="A61" s="5" t="s">
        <v>7105</v>
      </c>
      <c r="B61" s="5" t="s">
        <v>83</v>
      </c>
      <c r="C61" s="5" t="s">
        <v>7308</v>
      </c>
      <c r="D61" s="1">
        <v>45704</v>
      </c>
      <c r="E61" s="17">
        <v>0.69097222222222221</v>
      </c>
      <c r="F61" s="5" t="s">
        <v>7305</v>
      </c>
      <c r="G61" s="12">
        <v>1331</v>
      </c>
      <c r="H61" s="12">
        <v>0</v>
      </c>
      <c r="I61" s="12">
        <v>1331</v>
      </c>
      <c r="J61" s="12">
        <f>SUMIF(order_item!B:B,A61,order_item!E:E)</f>
        <v>1331</v>
      </c>
      <c r="K61" s="28" t="str">
        <f>_xlfn.XLOOKUP(B61,customers!A:A,customers!D:D)</f>
        <v>Regular</v>
      </c>
    </row>
    <row r="62" spans="1:11" x14ac:dyDescent="0.25">
      <c r="A62" s="5" t="s">
        <v>7102</v>
      </c>
      <c r="B62" s="5" t="s">
        <v>342</v>
      </c>
      <c r="C62" s="5" t="s">
        <v>7306</v>
      </c>
      <c r="D62" s="1">
        <v>45422</v>
      </c>
      <c r="E62" s="17">
        <v>0.72638888888888886</v>
      </c>
      <c r="F62" s="5" t="s">
        <v>7305</v>
      </c>
      <c r="G62" s="12">
        <v>336</v>
      </c>
      <c r="H62" s="12">
        <v>16.8</v>
      </c>
      <c r="I62" s="12">
        <v>319.2</v>
      </c>
      <c r="J62" s="12">
        <f>SUMIF(order_item!B:B,A62,order_item!E:E)</f>
        <v>336</v>
      </c>
      <c r="K62" s="28" t="str">
        <f>_xlfn.XLOOKUP(B62,customers!A:A,customers!D:D)</f>
        <v>Regular</v>
      </c>
    </row>
    <row r="63" spans="1:11" x14ac:dyDescent="0.25">
      <c r="A63" s="5" t="s">
        <v>7099</v>
      </c>
      <c r="B63" s="5" t="s">
        <v>424</v>
      </c>
      <c r="C63" s="5" t="s">
        <v>7309</v>
      </c>
      <c r="D63" s="1">
        <v>45557</v>
      </c>
      <c r="E63" s="17">
        <v>0.90277777777777779</v>
      </c>
      <c r="F63" s="5" t="s">
        <v>7305</v>
      </c>
      <c r="G63" s="12">
        <v>367</v>
      </c>
      <c r="H63" s="12">
        <v>0</v>
      </c>
      <c r="I63" s="12">
        <v>367</v>
      </c>
      <c r="J63" s="12">
        <f>SUMIF(order_item!B:B,A63,order_item!E:E)</f>
        <v>367</v>
      </c>
      <c r="K63" s="28" t="str">
        <f>_xlfn.XLOOKUP(B63,customers!A:A,customers!D:D)</f>
        <v>New</v>
      </c>
    </row>
    <row r="64" spans="1:11" x14ac:dyDescent="0.25">
      <c r="A64" s="5" t="s">
        <v>7095</v>
      </c>
      <c r="B64" s="5" t="s">
        <v>388</v>
      </c>
      <c r="C64" s="5" t="s">
        <v>7306</v>
      </c>
      <c r="D64" s="1">
        <v>45571</v>
      </c>
      <c r="E64" s="17">
        <v>0.54513888888888895</v>
      </c>
      <c r="F64" s="5" t="s">
        <v>7305</v>
      </c>
      <c r="G64" s="12">
        <v>297</v>
      </c>
      <c r="H64" s="12">
        <v>0</v>
      </c>
      <c r="I64" s="12">
        <v>297</v>
      </c>
      <c r="J64" s="12">
        <f>SUMIF(order_item!B:B,A64,order_item!E:E)</f>
        <v>297</v>
      </c>
      <c r="K64" s="28" t="str">
        <f>_xlfn.XLOOKUP(B64,customers!A:A,customers!D:D)</f>
        <v>Regular</v>
      </c>
    </row>
    <row r="65" spans="1:11" x14ac:dyDescent="0.25">
      <c r="A65" s="5" t="s">
        <v>7093</v>
      </c>
      <c r="B65" s="5" t="s">
        <v>476</v>
      </c>
      <c r="C65" s="5" t="s">
        <v>7309</v>
      </c>
      <c r="D65" s="1">
        <v>45629</v>
      </c>
      <c r="E65" s="17">
        <v>0.78541666666666676</v>
      </c>
      <c r="F65" s="5" t="s">
        <v>7305</v>
      </c>
      <c r="G65" s="12">
        <v>178</v>
      </c>
      <c r="H65" s="12">
        <v>17.8</v>
      </c>
      <c r="I65" s="12">
        <v>160.19999999999999</v>
      </c>
      <c r="J65" s="12">
        <f>SUMIF(order_item!B:B,A65,order_item!E:E)</f>
        <v>178</v>
      </c>
      <c r="K65" s="28" t="str">
        <f>_xlfn.XLOOKUP(B65,customers!A:A,customers!D:D)</f>
        <v>Regular</v>
      </c>
    </row>
    <row r="66" spans="1:11" x14ac:dyDescent="0.25">
      <c r="A66" s="5" t="s">
        <v>7089</v>
      </c>
      <c r="B66" s="5" t="s">
        <v>594</v>
      </c>
      <c r="C66" s="5" t="s">
        <v>7308</v>
      </c>
      <c r="D66" s="1">
        <v>45601</v>
      </c>
      <c r="E66" s="17">
        <v>0.75347222222222221</v>
      </c>
      <c r="F66" s="5" t="s">
        <v>7305</v>
      </c>
      <c r="G66" s="12">
        <v>494</v>
      </c>
      <c r="H66" s="12">
        <v>0</v>
      </c>
      <c r="I66" s="12">
        <v>494</v>
      </c>
      <c r="J66" s="12">
        <f>SUMIF(order_item!B:B,A66,order_item!E:E)</f>
        <v>494</v>
      </c>
      <c r="K66" s="28" t="str">
        <f>_xlfn.XLOOKUP(B66,customers!A:A,customers!D:D)</f>
        <v>Regular</v>
      </c>
    </row>
    <row r="67" spans="1:11" x14ac:dyDescent="0.25">
      <c r="A67" s="5" t="s">
        <v>7084</v>
      </c>
      <c r="B67" s="5" t="s">
        <v>842</v>
      </c>
      <c r="C67" s="5" t="s">
        <v>7309</v>
      </c>
      <c r="D67" s="1">
        <v>45448</v>
      </c>
      <c r="E67" s="17">
        <v>0.71388888888888891</v>
      </c>
      <c r="F67" s="5" t="s">
        <v>7305</v>
      </c>
      <c r="G67" s="12">
        <v>953</v>
      </c>
      <c r="H67" s="12">
        <v>0</v>
      </c>
      <c r="I67" s="12">
        <v>953</v>
      </c>
      <c r="J67" s="12">
        <f>SUMIF(order_item!B:B,A67,order_item!E:E)</f>
        <v>953</v>
      </c>
      <c r="K67" s="28" t="str">
        <f>_xlfn.XLOOKUP(B67,customers!A:A,customers!D:D)</f>
        <v>Premium</v>
      </c>
    </row>
    <row r="68" spans="1:11" x14ac:dyDescent="0.25">
      <c r="A68" s="5" t="s">
        <v>7082</v>
      </c>
      <c r="B68" s="5" t="s">
        <v>338</v>
      </c>
      <c r="C68" s="5" t="s">
        <v>7306</v>
      </c>
      <c r="D68" s="1">
        <v>45498</v>
      </c>
      <c r="E68" s="17">
        <v>0.70138888888888884</v>
      </c>
      <c r="F68" s="5" t="s">
        <v>7305</v>
      </c>
      <c r="G68" s="12">
        <v>198</v>
      </c>
      <c r="H68" s="12">
        <v>9.9</v>
      </c>
      <c r="I68" s="12">
        <v>188.1</v>
      </c>
      <c r="J68" s="12">
        <f>SUMIF(order_item!B:B,A68,order_item!E:E)</f>
        <v>198</v>
      </c>
      <c r="K68" s="28" t="str">
        <f>_xlfn.XLOOKUP(B68,customers!A:A,customers!D:D)</f>
        <v>Premium</v>
      </c>
    </row>
    <row r="69" spans="1:11" x14ac:dyDescent="0.25">
      <c r="A69" s="5" t="s">
        <v>7079</v>
      </c>
      <c r="B69" s="5" t="s">
        <v>668</v>
      </c>
      <c r="C69" s="5" t="s">
        <v>7308</v>
      </c>
      <c r="D69" s="1">
        <v>45718</v>
      </c>
      <c r="E69" s="17">
        <v>0.70138888888888884</v>
      </c>
      <c r="F69" s="5" t="s">
        <v>7305</v>
      </c>
      <c r="G69" s="12">
        <v>447</v>
      </c>
      <c r="H69" s="12">
        <v>0</v>
      </c>
      <c r="I69" s="12">
        <v>447</v>
      </c>
      <c r="J69" s="12">
        <f>SUMIF(order_item!B:B,A69,order_item!E:E)</f>
        <v>447</v>
      </c>
      <c r="K69" s="28" t="str">
        <f>_xlfn.XLOOKUP(B69,customers!A:A,customers!D:D)</f>
        <v>Premium</v>
      </c>
    </row>
    <row r="70" spans="1:11" x14ac:dyDescent="0.25">
      <c r="A70" s="5" t="s">
        <v>7077</v>
      </c>
      <c r="B70" s="5" t="s">
        <v>594</v>
      </c>
      <c r="C70" s="5" t="s">
        <v>7308</v>
      </c>
      <c r="D70" s="1">
        <v>45614</v>
      </c>
      <c r="E70" s="17">
        <v>0.62638888888888888</v>
      </c>
      <c r="F70" s="5" t="s">
        <v>7305</v>
      </c>
      <c r="G70" s="12">
        <v>119</v>
      </c>
      <c r="H70" s="12">
        <v>0</v>
      </c>
      <c r="I70" s="12">
        <v>119</v>
      </c>
      <c r="J70" s="12">
        <f>SUMIF(order_item!B:B,A70,order_item!E:E)</f>
        <v>119</v>
      </c>
      <c r="K70" s="28" t="str">
        <f>_xlfn.XLOOKUP(B70,customers!A:A,customers!D:D)</f>
        <v>Regular</v>
      </c>
    </row>
    <row r="71" spans="1:11" x14ac:dyDescent="0.25">
      <c r="A71" s="5" t="s">
        <v>7074</v>
      </c>
      <c r="B71" s="5" t="s">
        <v>200</v>
      </c>
      <c r="C71" s="5" t="s">
        <v>7309</v>
      </c>
      <c r="D71" s="1">
        <v>45522</v>
      </c>
      <c r="E71" s="17">
        <v>0.55347222222222225</v>
      </c>
      <c r="F71" s="5" t="s">
        <v>7305</v>
      </c>
      <c r="G71" s="12">
        <v>356</v>
      </c>
      <c r="H71" s="12">
        <v>0</v>
      </c>
      <c r="I71" s="12">
        <v>356</v>
      </c>
      <c r="J71" s="12">
        <f>SUMIF(order_item!B:B,A71,order_item!E:E)</f>
        <v>356</v>
      </c>
      <c r="K71" s="28" t="str">
        <f>_xlfn.XLOOKUP(B71,customers!A:A,customers!D:D)</f>
        <v>New</v>
      </c>
    </row>
    <row r="72" spans="1:11" x14ac:dyDescent="0.25">
      <c r="A72" s="5" t="s">
        <v>7069</v>
      </c>
      <c r="B72" s="5" t="s">
        <v>220</v>
      </c>
      <c r="C72" s="5" t="s">
        <v>7309</v>
      </c>
      <c r="D72" s="1">
        <v>45623</v>
      </c>
      <c r="E72" s="17">
        <v>0.74861111111111101</v>
      </c>
      <c r="F72" s="5" t="s">
        <v>7305</v>
      </c>
      <c r="G72" s="12">
        <v>1011</v>
      </c>
      <c r="H72" s="12">
        <v>50.55</v>
      </c>
      <c r="I72" s="12">
        <v>960.45</v>
      </c>
      <c r="J72" s="12">
        <f>SUMIF(order_item!B:B,A72,order_item!E:E)</f>
        <v>1011</v>
      </c>
      <c r="K72" s="28" t="str">
        <f>_xlfn.XLOOKUP(B72,customers!A:A,customers!D:D)</f>
        <v>Regular</v>
      </c>
    </row>
    <row r="73" spans="1:11" x14ac:dyDescent="0.25">
      <c r="A73" s="5" t="s">
        <v>7066</v>
      </c>
      <c r="B73" s="5" t="s">
        <v>847</v>
      </c>
      <c r="C73" s="5" t="s">
        <v>7309</v>
      </c>
      <c r="D73" s="1">
        <v>45700</v>
      </c>
      <c r="E73" s="17">
        <v>0.67708333333333337</v>
      </c>
      <c r="F73" s="5" t="s">
        <v>7305</v>
      </c>
      <c r="G73" s="12">
        <v>347</v>
      </c>
      <c r="H73" s="12">
        <v>34.700000000000003</v>
      </c>
      <c r="I73" s="12">
        <v>312.3</v>
      </c>
      <c r="J73" s="12">
        <f>SUMIF(order_item!B:B,A73,order_item!E:E)</f>
        <v>347</v>
      </c>
      <c r="K73" s="28" t="str">
        <f>_xlfn.XLOOKUP(B73,customers!A:A,customers!D:D)</f>
        <v>Regular</v>
      </c>
    </row>
    <row r="74" spans="1:11" x14ac:dyDescent="0.25">
      <c r="A74" s="5" t="s">
        <v>7062</v>
      </c>
      <c r="B74" s="5" t="s">
        <v>466</v>
      </c>
      <c r="C74" s="5" t="s">
        <v>7309</v>
      </c>
      <c r="D74" s="1">
        <v>45577</v>
      </c>
      <c r="E74" s="17">
        <v>0.81736111111111109</v>
      </c>
      <c r="F74" s="5" t="s">
        <v>7305</v>
      </c>
      <c r="G74" s="12">
        <v>772</v>
      </c>
      <c r="H74" s="12">
        <v>38.6</v>
      </c>
      <c r="I74" s="12">
        <v>733.4</v>
      </c>
      <c r="J74" s="12">
        <f>SUMIF(order_item!B:B,A74,order_item!E:E)</f>
        <v>772</v>
      </c>
      <c r="K74" s="28" t="str">
        <f>_xlfn.XLOOKUP(B74,customers!A:A,customers!D:D)</f>
        <v>Premium</v>
      </c>
    </row>
    <row r="75" spans="1:11" x14ac:dyDescent="0.25">
      <c r="A75" s="5" t="s">
        <v>7057</v>
      </c>
      <c r="B75" s="5" t="s">
        <v>583</v>
      </c>
      <c r="C75" s="5" t="s">
        <v>7306</v>
      </c>
      <c r="D75" s="1">
        <v>45623</v>
      </c>
      <c r="E75" s="17">
        <v>0.57013888888888886</v>
      </c>
      <c r="F75" s="5" t="s">
        <v>7305</v>
      </c>
      <c r="G75" s="12">
        <v>1339</v>
      </c>
      <c r="H75" s="12">
        <v>0</v>
      </c>
      <c r="I75" s="12">
        <v>1339</v>
      </c>
      <c r="J75" s="12">
        <f>SUMIF(order_item!B:B,A75,order_item!E:E)</f>
        <v>1339</v>
      </c>
      <c r="K75" s="28" t="str">
        <f>_xlfn.XLOOKUP(B75,customers!A:A,customers!D:D)</f>
        <v>Regular</v>
      </c>
    </row>
    <row r="76" spans="1:11" x14ac:dyDescent="0.25">
      <c r="A76" s="5" t="s">
        <v>7054</v>
      </c>
      <c r="B76" s="5" t="s">
        <v>535</v>
      </c>
      <c r="C76" s="5" t="s">
        <v>7309</v>
      </c>
      <c r="D76" s="1">
        <v>45537</v>
      </c>
      <c r="E76" s="17">
        <v>0.75902777777777775</v>
      </c>
      <c r="F76" s="5" t="s">
        <v>7307</v>
      </c>
      <c r="G76" s="12">
        <v>605</v>
      </c>
      <c r="H76" s="12">
        <v>0</v>
      </c>
      <c r="I76" s="12">
        <v>0</v>
      </c>
      <c r="J76" s="12">
        <f>SUMIF(order_item!B:B,A76,order_item!E:E)</f>
        <v>605</v>
      </c>
      <c r="K76" s="28" t="str">
        <f>_xlfn.XLOOKUP(B76,customers!A:A,customers!D:D)</f>
        <v>Regular</v>
      </c>
    </row>
    <row r="77" spans="1:11" x14ac:dyDescent="0.25">
      <c r="A77" s="5" t="s">
        <v>7050</v>
      </c>
      <c r="B77" s="5" t="s">
        <v>798</v>
      </c>
      <c r="C77" s="5" t="s">
        <v>7309</v>
      </c>
      <c r="D77" s="1">
        <v>45623</v>
      </c>
      <c r="E77" s="17">
        <v>0.77986111111111101</v>
      </c>
      <c r="F77" s="5" t="s">
        <v>7305</v>
      </c>
      <c r="G77" s="12">
        <v>814</v>
      </c>
      <c r="H77" s="12">
        <v>0</v>
      </c>
      <c r="I77" s="12">
        <v>814</v>
      </c>
      <c r="J77" s="12">
        <f>SUMIF(order_item!B:B,A77,order_item!E:E)</f>
        <v>814</v>
      </c>
      <c r="K77" s="28" t="str">
        <f>_xlfn.XLOOKUP(B77,customers!A:A,customers!D:D)</f>
        <v>Premium</v>
      </c>
    </row>
    <row r="78" spans="1:11" x14ac:dyDescent="0.25">
      <c r="A78" s="5" t="s">
        <v>7046</v>
      </c>
      <c r="B78" s="5" t="s">
        <v>373</v>
      </c>
      <c r="C78" s="5" t="s">
        <v>7309</v>
      </c>
      <c r="D78" s="1">
        <v>45709</v>
      </c>
      <c r="E78" s="17">
        <v>1.7361111111111112E-2</v>
      </c>
      <c r="F78" s="5" t="s">
        <v>7305</v>
      </c>
      <c r="G78" s="12">
        <v>286</v>
      </c>
      <c r="H78" s="12">
        <v>0</v>
      </c>
      <c r="I78" s="12">
        <v>286</v>
      </c>
      <c r="J78" s="12">
        <f>SUMIF(order_item!B:B,A78,order_item!E:E)</f>
        <v>286</v>
      </c>
      <c r="K78" s="28" t="str">
        <f>_xlfn.XLOOKUP(B78,customers!A:A,customers!D:D)</f>
        <v>New</v>
      </c>
    </row>
    <row r="79" spans="1:11" x14ac:dyDescent="0.25">
      <c r="A79" s="5" t="s">
        <v>7044</v>
      </c>
      <c r="B79" s="5" t="s">
        <v>482</v>
      </c>
      <c r="C79" s="5" t="s">
        <v>7306</v>
      </c>
      <c r="D79" s="1">
        <v>45458</v>
      </c>
      <c r="E79" s="17">
        <v>0.52986111111111112</v>
      </c>
      <c r="F79" s="5" t="s">
        <v>7305</v>
      </c>
      <c r="G79" s="12">
        <v>417</v>
      </c>
      <c r="H79" s="12">
        <v>0</v>
      </c>
      <c r="I79" s="12">
        <v>417</v>
      </c>
      <c r="J79" s="12">
        <f>SUMIF(order_item!B:B,A79,order_item!E:E)</f>
        <v>417</v>
      </c>
      <c r="K79" s="28" t="str">
        <f>_xlfn.XLOOKUP(B79,customers!A:A,customers!D:D)</f>
        <v>Regular</v>
      </c>
    </row>
    <row r="80" spans="1:11" x14ac:dyDescent="0.25">
      <c r="A80" s="5" t="s">
        <v>7041</v>
      </c>
      <c r="B80" s="5" t="s">
        <v>236</v>
      </c>
      <c r="C80" s="5" t="s">
        <v>7306</v>
      </c>
      <c r="D80" s="1">
        <v>45421</v>
      </c>
      <c r="E80" s="17">
        <v>0.78194444444444444</v>
      </c>
      <c r="F80" s="5" t="s">
        <v>7305</v>
      </c>
      <c r="G80" s="12">
        <v>635</v>
      </c>
      <c r="H80" s="12">
        <v>0</v>
      </c>
      <c r="I80" s="12">
        <v>635</v>
      </c>
      <c r="J80" s="12">
        <f>SUMIF(order_item!B:B,A80,order_item!E:E)</f>
        <v>635</v>
      </c>
      <c r="K80" s="28" t="str">
        <f>_xlfn.XLOOKUP(B80,customers!A:A,customers!D:D)</f>
        <v>Premium</v>
      </c>
    </row>
    <row r="81" spans="1:11" x14ac:dyDescent="0.25">
      <c r="A81" s="5" t="s">
        <v>7036</v>
      </c>
      <c r="B81" s="5" t="s">
        <v>835</v>
      </c>
      <c r="C81" s="5" t="s">
        <v>7308</v>
      </c>
      <c r="D81" s="1">
        <v>45605</v>
      </c>
      <c r="E81" s="17">
        <v>0.6875</v>
      </c>
      <c r="F81" s="5" t="s">
        <v>7305</v>
      </c>
      <c r="G81" s="12">
        <v>744</v>
      </c>
      <c r="H81" s="12">
        <v>0</v>
      </c>
      <c r="I81" s="12">
        <v>744</v>
      </c>
      <c r="J81" s="12">
        <f>SUMIF(order_item!B:B,A81,order_item!E:E)</f>
        <v>744</v>
      </c>
      <c r="K81" s="28" t="str">
        <f>_xlfn.XLOOKUP(B81,customers!A:A,customers!D:D)</f>
        <v>New</v>
      </c>
    </row>
    <row r="82" spans="1:11" x14ac:dyDescent="0.25">
      <c r="A82" s="5" t="s">
        <v>7033</v>
      </c>
      <c r="B82" s="5" t="s">
        <v>651</v>
      </c>
      <c r="C82" s="5" t="s">
        <v>7308</v>
      </c>
      <c r="D82" s="1">
        <v>45600</v>
      </c>
      <c r="E82" s="17">
        <v>0.92291666666666661</v>
      </c>
      <c r="F82" s="5" t="s">
        <v>7305</v>
      </c>
      <c r="G82" s="12">
        <v>337</v>
      </c>
      <c r="H82" s="12">
        <v>0</v>
      </c>
      <c r="I82" s="12">
        <v>337</v>
      </c>
      <c r="J82" s="12">
        <f>SUMIF(order_item!B:B,A82,order_item!E:E)</f>
        <v>337</v>
      </c>
      <c r="K82" s="28" t="str">
        <f>_xlfn.XLOOKUP(B82,customers!A:A,customers!D:D)</f>
        <v>Regular</v>
      </c>
    </row>
    <row r="83" spans="1:11" x14ac:dyDescent="0.25">
      <c r="A83" s="5" t="s">
        <v>7029</v>
      </c>
      <c r="B83" s="5" t="s">
        <v>257</v>
      </c>
      <c r="C83" s="5" t="s">
        <v>7306</v>
      </c>
      <c r="D83" s="1">
        <v>45656</v>
      </c>
      <c r="E83" s="17">
        <v>0.72986111111111107</v>
      </c>
      <c r="F83" s="5" t="s">
        <v>7305</v>
      </c>
      <c r="G83" s="12">
        <v>307</v>
      </c>
      <c r="H83" s="12">
        <v>30.7</v>
      </c>
      <c r="I83" s="12">
        <v>276.3</v>
      </c>
      <c r="J83" s="12">
        <f>SUMIF(order_item!B:B,A83,order_item!E:E)</f>
        <v>307</v>
      </c>
      <c r="K83" s="28" t="str">
        <f>_xlfn.XLOOKUP(B83,customers!A:A,customers!D:D)</f>
        <v>Regular</v>
      </c>
    </row>
    <row r="84" spans="1:11" x14ac:dyDescent="0.25">
      <c r="A84" s="5" t="s">
        <v>7025</v>
      </c>
      <c r="B84" s="5" t="s">
        <v>855</v>
      </c>
      <c r="C84" s="5" t="s">
        <v>7306</v>
      </c>
      <c r="D84" s="1">
        <v>45729</v>
      </c>
      <c r="E84" s="17">
        <v>0.96666666666666667</v>
      </c>
      <c r="F84" s="5" t="s">
        <v>7305</v>
      </c>
      <c r="G84" s="12">
        <v>524</v>
      </c>
      <c r="H84" s="12">
        <v>52.4</v>
      </c>
      <c r="I84" s="12">
        <v>471.6</v>
      </c>
      <c r="J84" s="12">
        <f>SUMIF(order_item!B:B,A84,order_item!E:E)</f>
        <v>524</v>
      </c>
      <c r="K84" s="28" t="str">
        <f>_xlfn.XLOOKUP(B84,customers!A:A,customers!D:D)</f>
        <v>New</v>
      </c>
    </row>
    <row r="85" spans="1:11" x14ac:dyDescent="0.25">
      <c r="A85" s="5" t="s">
        <v>7020</v>
      </c>
      <c r="B85" s="5" t="s">
        <v>488</v>
      </c>
      <c r="C85" s="5" t="s">
        <v>7309</v>
      </c>
      <c r="D85" s="1">
        <v>45728</v>
      </c>
      <c r="E85" s="17">
        <v>0.85972222222222217</v>
      </c>
      <c r="F85" s="5" t="s">
        <v>7305</v>
      </c>
      <c r="G85" s="12">
        <v>1370</v>
      </c>
      <c r="H85" s="12">
        <v>0</v>
      </c>
      <c r="I85" s="12">
        <v>1370</v>
      </c>
      <c r="J85" s="12">
        <f>SUMIF(order_item!B:B,A85,order_item!E:E)</f>
        <v>1370</v>
      </c>
      <c r="K85" s="28" t="str">
        <f>_xlfn.XLOOKUP(B85,customers!A:A,customers!D:D)</f>
        <v>Regular</v>
      </c>
    </row>
    <row r="86" spans="1:11" x14ac:dyDescent="0.25">
      <c r="A86" s="5" t="s">
        <v>7015</v>
      </c>
      <c r="B86" s="5" t="s">
        <v>328</v>
      </c>
      <c r="C86" s="5" t="s">
        <v>7306</v>
      </c>
      <c r="D86" s="1">
        <v>45391</v>
      </c>
      <c r="E86" s="17">
        <v>0.68263888888888891</v>
      </c>
      <c r="F86" s="5" t="s">
        <v>7305</v>
      </c>
      <c r="G86" s="12">
        <v>593</v>
      </c>
      <c r="H86" s="12">
        <v>0</v>
      </c>
      <c r="I86" s="12">
        <v>593</v>
      </c>
      <c r="J86" s="12">
        <f>SUMIF(order_item!B:B,A86,order_item!E:E)</f>
        <v>593</v>
      </c>
      <c r="K86" s="28" t="str">
        <f>_xlfn.XLOOKUP(B86,customers!A:A,customers!D:D)</f>
        <v>New</v>
      </c>
    </row>
    <row r="87" spans="1:11" x14ac:dyDescent="0.25">
      <c r="A87" s="5" t="s">
        <v>7012</v>
      </c>
      <c r="B87" s="5" t="s">
        <v>765</v>
      </c>
      <c r="C87" s="5" t="s">
        <v>7309</v>
      </c>
      <c r="D87" s="1">
        <v>45539</v>
      </c>
      <c r="E87" s="17">
        <v>0.8222222222222223</v>
      </c>
      <c r="F87" s="5" t="s">
        <v>7305</v>
      </c>
      <c r="G87" s="12">
        <v>356</v>
      </c>
      <c r="H87" s="12">
        <v>0</v>
      </c>
      <c r="I87" s="12">
        <v>356</v>
      </c>
      <c r="J87" s="12">
        <f>SUMIF(order_item!B:B,A87,order_item!E:E)</f>
        <v>356</v>
      </c>
      <c r="K87" s="28" t="str">
        <f>_xlfn.XLOOKUP(B87,customers!A:A,customers!D:D)</f>
        <v>Regular</v>
      </c>
    </row>
    <row r="88" spans="1:11" x14ac:dyDescent="0.25">
      <c r="A88" s="5" t="s">
        <v>7009</v>
      </c>
      <c r="B88" s="5" t="s">
        <v>671</v>
      </c>
      <c r="C88" s="5" t="s">
        <v>7309</v>
      </c>
      <c r="D88" s="1">
        <v>45709</v>
      </c>
      <c r="E88" s="17">
        <v>0.83819444444444446</v>
      </c>
      <c r="F88" s="5" t="s">
        <v>7305</v>
      </c>
      <c r="G88" s="12">
        <v>277</v>
      </c>
      <c r="H88" s="12">
        <v>0</v>
      </c>
      <c r="I88" s="12">
        <v>277</v>
      </c>
      <c r="J88" s="12">
        <f>SUMIF(order_item!B:B,A88,order_item!E:E)</f>
        <v>277</v>
      </c>
      <c r="K88" s="28" t="str">
        <f>_xlfn.XLOOKUP(B88,customers!A:A,customers!D:D)</f>
        <v>Regular</v>
      </c>
    </row>
    <row r="89" spans="1:11" x14ac:dyDescent="0.25">
      <c r="A89" s="5" t="s">
        <v>7006</v>
      </c>
      <c r="B89" s="5" t="s">
        <v>729</v>
      </c>
      <c r="C89" s="5" t="s">
        <v>7306</v>
      </c>
      <c r="D89" s="1">
        <v>45506</v>
      </c>
      <c r="E89" s="17">
        <v>0.83194444444444438</v>
      </c>
      <c r="F89" s="5" t="s">
        <v>7305</v>
      </c>
      <c r="G89" s="12">
        <v>317</v>
      </c>
      <c r="H89" s="12">
        <v>31.7</v>
      </c>
      <c r="I89" s="12">
        <v>285.3</v>
      </c>
      <c r="J89" s="12">
        <f>SUMIF(order_item!B:B,A89,order_item!E:E)</f>
        <v>317</v>
      </c>
      <c r="K89" s="28" t="str">
        <f>_xlfn.XLOOKUP(B89,customers!A:A,customers!D:D)</f>
        <v>Regular</v>
      </c>
    </row>
    <row r="90" spans="1:11" x14ac:dyDescent="0.25">
      <c r="A90" s="5" t="s">
        <v>7003</v>
      </c>
      <c r="B90" s="5" t="s">
        <v>317</v>
      </c>
      <c r="C90" s="5" t="s">
        <v>7306</v>
      </c>
      <c r="D90" s="1">
        <v>45440</v>
      </c>
      <c r="E90" s="17">
        <v>0.83611111111111114</v>
      </c>
      <c r="F90" s="5" t="s">
        <v>7305</v>
      </c>
      <c r="G90" s="12">
        <v>246</v>
      </c>
      <c r="H90" s="12">
        <v>12.3</v>
      </c>
      <c r="I90" s="12">
        <v>233.7</v>
      </c>
      <c r="J90" s="12">
        <f>SUMIF(order_item!B:B,A90,order_item!E:E)</f>
        <v>246</v>
      </c>
      <c r="K90" s="28" t="str">
        <f>_xlfn.XLOOKUP(B90,customers!A:A,customers!D:D)</f>
        <v>New</v>
      </c>
    </row>
    <row r="91" spans="1:11" x14ac:dyDescent="0.25">
      <c r="A91" s="5" t="s">
        <v>7001</v>
      </c>
      <c r="B91" s="5" t="s">
        <v>567</v>
      </c>
      <c r="C91" s="5" t="s">
        <v>7306</v>
      </c>
      <c r="D91" s="1">
        <v>45691</v>
      </c>
      <c r="E91" s="17">
        <v>0.88888888888888884</v>
      </c>
      <c r="F91" s="5" t="s">
        <v>7305</v>
      </c>
      <c r="G91" s="12">
        <v>198</v>
      </c>
      <c r="H91" s="12">
        <v>19.8</v>
      </c>
      <c r="I91" s="12">
        <v>178.2</v>
      </c>
      <c r="J91" s="12">
        <f>SUMIF(order_item!B:B,A91,order_item!E:E)</f>
        <v>198</v>
      </c>
      <c r="K91" s="28" t="str">
        <f>_xlfn.XLOOKUP(B91,customers!A:A,customers!D:D)</f>
        <v>Regular</v>
      </c>
    </row>
    <row r="92" spans="1:11" x14ac:dyDescent="0.25">
      <c r="A92" s="5" t="s">
        <v>6998</v>
      </c>
      <c r="B92" s="5" t="s">
        <v>163</v>
      </c>
      <c r="C92" s="5" t="s">
        <v>7306</v>
      </c>
      <c r="D92" s="1">
        <v>45530</v>
      </c>
      <c r="E92" s="17">
        <v>0.84513888888888899</v>
      </c>
      <c r="F92" s="5" t="s">
        <v>7305</v>
      </c>
      <c r="G92" s="12">
        <v>168</v>
      </c>
      <c r="H92" s="12">
        <v>0</v>
      </c>
      <c r="I92" s="12">
        <v>168</v>
      </c>
      <c r="J92" s="12">
        <f>SUMIF(order_item!B:B,A92,order_item!E:E)</f>
        <v>168</v>
      </c>
      <c r="K92" s="28" t="str">
        <f>_xlfn.XLOOKUP(B92,customers!A:A,customers!D:D)</f>
        <v>Regular</v>
      </c>
    </row>
    <row r="93" spans="1:11" x14ac:dyDescent="0.25">
      <c r="A93" s="5" t="s">
        <v>6996</v>
      </c>
      <c r="B93" s="5" t="s">
        <v>779</v>
      </c>
      <c r="C93" s="5" t="s">
        <v>7306</v>
      </c>
      <c r="D93" s="1">
        <v>45671</v>
      </c>
      <c r="E93" s="17">
        <v>0.71319444444444446</v>
      </c>
      <c r="F93" s="5" t="s">
        <v>7305</v>
      </c>
      <c r="G93" s="12">
        <v>158</v>
      </c>
      <c r="H93" s="12">
        <v>15.8</v>
      </c>
      <c r="I93" s="12">
        <v>142.19999999999999</v>
      </c>
      <c r="J93" s="12">
        <f>SUMIF(order_item!B:B,A93,order_item!E:E)</f>
        <v>158</v>
      </c>
      <c r="K93" s="28" t="str">
        <f>_xlfn.XLOOKUP(B93,customers!A:A,customers!D:D)</f>
        <v>New</v>
      </c>
    </row>
    <row r="94" spans="1:11" x14ac:dyDescent="0.25">
      <c r="A94" s="5" t="s">
        <v>6991</v>
      </c>
      <c r="B94" s="5" t="s">
        <v>849</v>
      </c>
      <c r="C94" s="5" t="s">
        <v>7308</v>
      </c>
      <c r="D94" s="1">
        <v>45454</v>
      </c>
      <c r="E94" s="17">
        <v>0.77708333333333324</v>
      </c>
      <c r="F94" s="5" t="s">
        <v>7305</v>
      </c>
      <c r="G94" s="12">
        <v>682</v>
      </c>
      <c r="H94" s="12">
        <v>0</v>
      </c>
      <c r="I94" s="12">
        <v>682</v>
      </c>
      <c r="J94" s="12">
        <f>SUMIF(order_item!B:B,A94,order_item!E:E)</f>
        <v>682</v>
      </c>
      <c r="K94" s="28" t="str">
        <f>_xlfn.XLOOKUP(B94,customers!A:A,customers!D:D)</f>
        <v>Premium</v>
      </c>
    </row>
    <row r="95" spans="1:11" x14ac:dyDescent="0.25">
      <c r="A95" s="5" t="s">
        <v>6987</v>
      </c>
      <c r="B95" s="5" t="s">
        <v>634</v>
      </c>
      <c r="C95" s="5" t="s">
        <v>7306</v>
      </c>
      <c r="D95" s="1">
        <v>45599</v>
      </c>
      <c r="E95" s="17">
        <v>7.9861111111111105E-2</v>
      </c>
      <c r="F95" s="5" t="s">
        <v>7305</v>
      </c>
      <c r="G95" s="12">
        <v>724</v>
      </c>
      <c r="H95" s="12">
        <v>0</v>
      </c>
      <c r="I95" s="12">
        <v>724</v>
      </c>
      <c r="J95" s="12">
        <f>SUMIF(order_item!B:B,A95,order_item!E:E)</f>
        <v>724</v>
      </c>
      <c r="K95" s="28" t="str">
        <f>_xlfn.XLOOKUP(B95,customers!A:A,customers!D:D)</f>
        <v>Regular</v>
      </c>
    </row>
    <row r="96" spans="1:11" x14ac:dyDescent="0.25">
      <c r="A96" s="5" t="s">
        <v>6985</v>
      </c>
      <c r="B96" s="5" t="s">
        <v>194</v>
      </c>
      <c r="C96" s="5" t="s">
        <v>7309</v>
      </c>
      <c r="D96" s="1">
        <v>45403</v>
      </c>
      <c r="E96" s="17">
        <v>0.73055555555555562</v>
      </c>
      <c r="F96" s="5" t="s">
        <v>7305</v>
      </c>
      <c r="G96" s="12">
        <v>149</v>
      </c>
      <c r="H96" s="12">
        <v>0</v>
      </c>
      <c r="I96" s="12">
        <v>149</v>
      </c>
      <c r="J96" s="12">
        <f>SUMIF(order_item!B:B,A96,order_item!E:E)</f>
        <v>149</v>
      </c>
      <c r="K96" s="28" t="str">
        <f>_xlfn.XLOOKUP(B96,customers!A:A,customers!D:D)</f>
        <v>Regular</v>
      </c>
    </row>
    <row r="97" spans="1:11" x14ac:dyDescent="0.25">
      <c r="A97" s="5" t="s">
        <v>6982</v>
      </c>
      <c r="B97" s="5" t="s">
        <v>588</v>
      </c>
      <c r="C97" s="5" t="s">
        <v>7306</v>
      </c>
      <c r="D97" s="1">
        <v>45402</v>
      </c>
      <c r="E97" s="17">
        <v>0.89166666666666661</v>
      </c>
      <c r="F97" s="5" t="s">
        <v>7305</v>
      </c>
      <c r="G97" s="12">
        <v>387</v>
      </c>
      <c r="H97" s="12">
        <v>0</v>
      </c>
      <c r="I97" s="12">
        <v>387</v>
      </c>
      <c r="J97" s="12">
        <f>SUMIF(order_item!B:B,A97,order_item!E:E)</f>
        <v>387</v>
      </c>
      <c r="K97" s="28" t="str">
        <f>_xlfn.XLOOKUP(B97,customers!A:A,customers!D:D)</f>
        <v>Premium</v>
      </c>
    </row>
    <row r="98" spans="1:11" x14ac:dyDescent="0.25">
      <c r="A98" s="5" t="s">
        <v>6978</v>
      </c>
      <c r="B98" s="5" t="s">
        <v>845</v>
      </c>
      <c r="C98" s="5" t="s">
        <v>7306</v>
      </c>
      <c r="D98" s="1">
        <v>45652</v>
      </c>
      <c r="E98" s="17">
        <v>0.80972222222222223</v>
      </c>
      <c r="F98" s="5" t="s">
        <v>7305</v>
      </c>
      <c r="G98" s="12">
        <v>634</v>
      </c>
      <c r="H98" s="12">
        <v>0</v>
      </c>
      <c r="I98" s="12">
        <v>634</v>
      </c>
      <c r="J98" s="12">
        <f>SUMIF(order_item!B:B,A98,order_item!E:E)</f>
        <v>634</v>
      </c>
      <c r="K98" s="28" t="str">
        <f>_xlfn.XLOOKUP(B98,customers!A:A,customers!D:D)</f>
        <v>Regular</v>
      </c>
    </row>
    <row r="99" spans="1:11" x14ac:dyDescent="0.25">
      <c r="A99" s="5" t="s">
        <v>6974</v>
      </c>
      <c r="B99" s="5" t="s">
        <v>458</v>
      </c>
      <c r="C99" s="5" t="s">
        <v>7306</v>
      </c>
      <c r="D99" s="1">
        <v>45681</v>
      </c>
      <c r="E99" s="17">
        <v>0.93125000000000002</v>
      </c>
      <c r="F99" s="5" t="s">
        <v>7305</v>
      </c>
      <c r="G99" s="12">
        <v>921</v>
      </c>
      <c r="H99" s="12">
        <v>0</v>
      </c>
      <c r="I99" s="12">
        <v>921</v>
      </c>
      <c r="J99" s="12">
        <f>SUMIF(order_item!B:B,A99,order_item!E:E)</f>
        <v>921</v>
      </c>
      <c r="K99" s="28" t="str">
        <f>_xlfn.XLOOKUP(B99,customers!A:A,customers!D:D)</f>
        <v>Premium</v>
      </c>
    </row>
    <row r="100" spans="1:11" x14ac:dyDescent="0.25">
      <c r="A100" s="5" t="s">
        <v>6971</v>
      </c>
      <c r="B100" s="5" t="s">
        <v>758</v>
      </c>
      <c r="C100" s="5" t="s">
        <v>7309</v>
      </c>
      <c r="D100" s="1">
        <v>45586</v>
      </c>
      <c r="E100" s="17">
        <v>0.4145833333333333</v>
      </c>
      <c r="F100" s="5" t="s">
        <v>7305</v>
      </c>
      <c r="G100" s="12">
        <v>346</v>
      </c>
      <c r="H100" s="12">
        <v>0</v>
      </c>
      <c r="I100" s="12">
        <v>346</v>
      </c>
      <c r="J100" s="12">
        <f>SUMIF(order_item!B:B,A100,order_item!E:E)</f>
        <v>346</v>
      </c>
      <c r="K100" s="28" t="str">
        <f>_xlfn.XLOOKUP(B100,customers!A:A,customers!D:D)</f>
        <v>Regular</v>
      </c>
    </row>
    <row r="101" spans="1:11" x14ac:dyDescent="0.25">
      <c r="A101" s="5" t="s">
        <v>6968</v>
      </c>
      <c r="B101" s="5" t="s">
        <v>103</v>
      </c>
      <c r="C101" s="5" t="s">
        <v>7306</v>
      </c>
      <c r="D101" s="1">
        <v>45458</v>
      </c>
      <c r="E101" s="17">
        <v>0.79305555555555562</v>
      </c>
      <c r="F101" s="5" t="s">
        <v>7305</v>
      </c>
      <c r="G101" s="12">
        <v>894</v>
      </c>
      <c r="H101" s="12">
        <v>44.7</v>
      </c>
      <c r="I101" s="12">
        <v>849.3</v>
      </c>
      <c r="J101" s="12">
        <f>SUMIF(order_item!B:B,A101,order_item!E:E)</f>
        <v>894</v>
      </c>
      <c r="K101" s="28" t="str">
        <f>_xlfn.XLOOKUP(B101,customers!A:A,customers!D:D)</f>
        <v>New</v>
      </c>
    </row>
    <row r="102" spans="1:11" x14ac:dyDescent="0.25">
      <c r="A102" s="5" t="s">
        <v>6965</v>
      </c>
      <c r="B102" s="5" t="s">
        <v>106</v>
      </c>
      <c r="C102" s="5" t="s">
        <v>7306</v>
      </c>
      <c r="D102" s="1">
        <v>45596</v>
      </c>
      <c r="E102" s="17">
        <v>0.85416666666666663</v>
      </c>
      <c r="F102" s="5" t="s">
        <v>7307</v>
      </c>
      <c r="G102" s="12">
        <v>356</v>
      </c>
      <c r="H102" s="12">
        <v>35.6</v>
      </c>
      <c r="I102" s="12">
        <v>0</v>
      </c>
      <c r="J102" s="12">
        <f>SUMIF(order_item!B:B,A102,order_item!E:E)</f>
        <v>356</v>
      </c>
      <c r="K102" s="28" t="str">
        <f>_xlfn.XLOOKUP(B102,customers!A:A,customers!D:D)</f>
        <v>New</v>
      </c>
    </row>
    <row r="103" spans="1:11" x14ac:dyDescent="0.25">
      <c r="A103" s="5" t="s">
        <v>6960</v>
      </c>
      <c r="B103" s="5" t="s">
        <v>345</v>
      </c>
      <c r="C103" s="5" t="s">
        <v>7306</v>
      </c>
      <c r="D103" s="1">
        <v>45581</v>
      </c>
      <c r="E103" s="17">
        <v>0.87361111111111101</v>
      </c>
      <c r="F103" s="5" t="s">
        <v>7305</v>
      </c>
      <c r="G103" s="12">
        <v>752</v>
      </c>
      <c r="H103" s="12">
        <v>75.2</v>
      </c>
      <c r="I103" s="12">
        <v>676.8</v>
      </c>
      <c r="J103" s="12">
        <f>SUMIF(order_item!B:B,A103,order_item!E:E)</f>
        <v>752</v>
      </c>
      <c r="K103" s="28" t="str">
        <f>_xlfn.XLOOKUP(B103,customers!A:A,customers!D:D)</f>
        <v>Regular</v>
      </c>
    </row>
    <row r="104" spans="1:11" x14ac:dyDescent="0.25">
      <c r="A104" s="5" t="s">
        <v>6955</v>
      </c>
      <c r="B104" s="5" t="s">
        <v>734</v>
      </c>
      <c r="C104" s="5" t="s">
        <v>7309</v>
      </c>
      <c r="D104" s="1">
        <v>45642</v>
      </c>
      <c r="E104" s="17">
        <v>5.0694444444444452E-2</v>
      </c>
      <c r="F104" s="5" t="s">
        <v>7305</v>
      </c>
      <c r="G104" s="12">
        <v>1011</v>
      </c>
      <c r="H104" s="12">
        <v>0</v>
      </c>
      <c r="I104" s="12">
        <v>1011</v>
      </c>
      <c r="J104" s="12">
        <f>SUMIF(order_item!B:B,A104,order_item!E:E)</f>
        <v>1011</v>
      </c>
      <c r="K104" s="28" t="str">
        <f>_xlfn.XLOOKUP(B104,customers!A:A,customers!D:D)</f>
        <v>Regular</v>
      </c>
    </row>
    <row r="105" spans="1:11" x14ac:dyDescent="0.25">
      <c r="A105" s="5" t="s">
        <v>6950</v>
      </c>
      <c r="B105" s="5" t="s">
        <v>294</v>
      </c>
      <c r="C105" s="5" t="s">
        <v>7308</v>
      </c>
      <c r="D105" s="1">
        <v>45604</v>
      </c>
      <c r="E105" s="17">
        <v>0.65486111111111112</v>
      </c>
      <c r="F105" s="5" t="s">
        <v>7305</v>
      </c>
      <c r="G105" s="12">
        <v>474</v>
      </c>
      <c r="H105" s="12">
        <v>0</v>
      </c>
      <c r="I105" s="12">
        <v>474</v>
      </c>
      <c r="J105" s="12">
        <f>SUMIF(order_item!B:B,A105,order_item!E:E)</f>
        <v>474</v>
      </c>
      <c r="K105" s="28" t="str">
        <f>_xlfn.XLOOKUP(B105,customers!A:A,customers!D:D)</f>
        <v>Premium</v>
      </c>
    </row>
    <row r="106" spans="1:11" x14ac:dyDescent="0.25">
      <c r="A106" s="5" t="s">
        <v>6946</v>
      </c>
      <c r="B106" s="5" t="s">
        <v>259</v>
      </c>
      <c r="C106" s="5" t="s">
        <v>7309</v>
      </c>
      <c r="D106" s="1">
        <v>45634</v>
      </c>
      <c r="E106" s="17">
        <v>0.6972222222222223</v>
      </c>
      <c r="F106" s="5" t="s">
        <v>7305</v>
      </c>
      <c r="G106" s="12">
        <v>674</v>
      </c>
      <c r="H106" s="12">
        <v>0</v>
      </c>
      <c r="I106" s="12">
        <v>674</v>
      </c>
      <c r="J106" s="12">
        <f>SUMIF(order_item!B:B,A106,order_item!E:E)</f>
        <v>674</v>
      </c>
      <c r="K106" s="28" t="str">
        <f>_xlfn.XLOOKUP(B106,customers!A:A,customers!D:D)</f>
        <v>Regular</v>
      </c>
    </row>
    <row r="107" spans="1:11" x14ac:dyDescent="0.25">
      <c r="A107" s="5" t="s">
        <v>6941</v>
      </c>
      <c r="B107" s="5" t="s">
        <v>103</v>
      </c>
      <c r="C107" s="5" t="s">
        <v>7309</v>
      </c>
      <c r="D107" s="1">
        <v>45670</v>
      </c>
      <c r="E107" s="17">
        <v>0.87708333333333333</v>
      </c>
      <c r="F107" s="5" t="s">
        <v>7305</v>
      </c>
      <c r="G107" s="12">
        <v>793</v>
      </c>
      <c r="H107" s="12">
        <v>79.3</v>
      </c>
      <c r="I107" s="12">
        <v>713.7</v>
      </c>
      <c r="J107" s="12">
        <f>SUMIF(order_item!B:B,A107,order_item!E:E)</f>
        <v>793</v>
      </c>
      <c r="K107" s="28" t="str">
        <f>_xlfn.XLOOKUP(B107,customers!A:A,customers!D:D)</f>
        <v>New</v>
      </c>
    </row>
    <row r="108" spans="1:11" x14ac:dyDescent="0.25">
      <c r="A108" s="5" t="s">
        <v>6938</v>
      </c>
      <c r="B108" s="5" t="s">
        <v>265</v>
      </c>
      <c r="C108" s="5" t="s">
        <v>7306</v>
      </c>
      <c r="D108" s="1">
        <v>45654</v>
      </c>
      <c r="E108" s="17">
        <v>0.84166666666666667</v>
      </c>
      <c r="F108" s="5" t="s">
        <v>7305</v>
      </c>
      <c r="G108" s="12">
        <v>742</v>
      </c>
      <c r="H108" s="12">
        <v>37.1</v>
      </c>
      <c r="I108" s="12">
        <v>704.9</v>
      </c>
      <c r="J108" s="12">
        <f>SUMIF(order_item!B:B,A108,order_item!E:E)</f>
        <v>742</v>
      </c>
      <c r="K108" s="28" t="str">
        <f>_xlfn.XLOOKUP(B108,customers!A:A,customers!D:D)</f>
        <v>Premium</v>
      </c>
    </row>
    <row r="109" spans="1:11" x14ac:dyDescent="0.25">
      <c r="A109" s="5" t="s">
        <v>6935</v>
      </c>
      <c r="B109" s="5" t="s">
        <v>438</v>
      </c>
      <c r="C109" s="5" t="s">
        <v>7306</v>
      </c>
      <c r="D109" s="1">
        <v>45557</v>
      </c>
      <c r="E109" s="17">
        <v>0.71527777777777779</v>
      </c>
      <c r="F109" s="5" t="s">
        <v>7305</v>
      </c>
      <c r="G109" s="12">
        <v>554</v>
      </c>
      <c r="H109" s="12">
        <v>0</v>
      </c>
      <c r="I109" s="12">
        <v>554</v>
      </c>
      <c r="J109" s="12">
        <f>SUMIF(order_item!B:B,A109,order_item!E:E)</f>
        <v>554</v>
      </c>
      <c r="K109" s="28" t="str">
        <f>_xlfn.XLOOKUP(B109,customers!A:A,customers!D:D)</f>
        <v>Regular</v>
      </c>
    </row>
    <row r="110" spans="1:11" x14ac:dyDescent="0.25">
      <c r="A110" s="5" t="s">
        <v>6931</v>
      </c>
      <c r="B110" s="5" t="s">
        <v>253</v>
      </c>
      <c r="C110" s="5" t="s">
        <v>7306</v>
      </c>
      <c r="D110" s="1">
        <v>45617</v>
      </c>
      <c r="E110" s="17">
        <v>0.56319444444444444</v>
      </c>
      <c r="F110" s="5" t="s">
        <v>7305</v>
      </c>
      <c r="G110" s="12">
        <v>316</v>
      </c>
      <c r="H110" s="12">
        <v>0</v>
      </c>
      <c r="I110" s="12">
        <v>316</v>
      </c>
      <c r="J110" s="12">
        <f>SUMIF(order_item!B:B,A110,order_item!E:E)</f>
        <v>316</v>
      </c>
      <c r="K110" s="28" t="str">
        <f>_xlfn.XLOOKUP(B110,customers!A:A,customers!D:D)</f>
        <v>Premium</v>
      </c>
    </row>
    <row r="111" spans="1:11" x14ac:dyDescent="0.25">
      <c r="A111" s="5" t="s">
        <v>6926</v>
      </c>
      <c r="B111" s="5" t="s">
        <v>641</v>
      </c>
      <c r="C111" s="5" t="s">
        <v>7309</v>
      </c>
      <c r="D111" s="1">
        <v>45418</v>
      </c>
      <c r="E111" s="17">
        <v>0.73749999999999993</v>
      </c>
      <c r="F111" s="5" t="s">
        <v>7305</v>
      </c>
      <c r="G111" s="12">
        <v>645</v>
      </c>
      <c r="H111" s="12">
        <v>32.25</v>
      </c>
      <c r="I111" s="12">
        <v>612.75</v>
      </c>
      <c r="J111" s="12">
        <f>SUMIF(order_item!B:B,A111,order_item!E:E)</f>
        <v>645</v>
      </c>
      <c r="K111" s="28" t="str">
        <f>_xlfn.XLOOKUP(B111,customers!A:A,customers!D:D)</f>
        <v>Regular</v>
      </c>
    </row>
    <row r="112" spans="1:11" x14ac:dyDescent="0.25">
      <c r="A112" s="5" t="s">
        <v>6923</v>
      </c>
      <c r="B112" s="5" t="s">
        <v>116</v>
      </c>
      <c r="C112" s="5" t="s">
        <v>7306</v>
      </c>
      <c r="D112" s="1">
        <v>45732</v>
      </c>
      <c r="E112" s="17">
        <v>0.6</v>
      </c>
      <c r="F112" s="5" t="s">
        <v>7305</v>
      </c>
      <c r="G112" s="12">
        <v>635</v>
      </c>
      <c r="H112" s="12">
        <v>0</v>
      </c>
      <c r="I112" s="12">
        <v>635</v>
      </c>
      <c r="J112" s="12">
        <f>SUMIF(order_item!B:B,A112,order_item!E:E)</f>
        <v>635</v>
      </c>
      <c r="K112" s="28" t="str">
        <f>_xlfn.XLOOKUP(B112,customers!A:A,customers!D:D)</f>
        <v>Regular</v>
      </c>
    </row>
    <row r="113" spans="1:11" x14ac:dyDescent="0.25">
      <c r="A113" s="5" t="s">
        <v>6918</v>
      </c>
      <c r="B113" s="5" t="s">
        <v>381</v>
      </c>
      <c r="C113" s="5" t="s">
        <v>7309</v>
      </c>
      <c r="D113" s="1">
        <v>45583</v>
      </c>
      <c r="E113" s="17">
        <v>0.7895833333333333</v>
      </c>
      <c r="F113" s="5" t="s">
        <v>7305</v>
      </c>
      <c r="G113" s="12">
        <v>791</v>
      </c>
      <c r="H113" s="12">
        <v>0</v>
      </c>
      <c r="I113" s="12">
        <v>791</v>
      </c>
      <c r="J113" s="12">
        <f>SUMIF(order_item!B:B,A113,order_item!E:E)</f>
        <v>791</v>
      </c>
      <c r="K113" s="28" t="str">
        <f>_xlfn.XLOOKUP(B113,customers!A:A,customers!D:D)</f>
        <v>Premium</v>
      </c>
    </row>
    <row r="114" spans="1:11" x14ac:dyDescent="0.25">
      <c r="A114" s="5" t="s">
        <v>6916</v>
      </c>
      <c r="B114" s="5" t="s">
        <v>299</v>
      </c>
      <c r="C114" s="5" t="s">
        <v>7306</v>
      </c>
      <c r="D114" s="1">
        <v>45423</v>
      </c>
      <c r="E114" s="17">
        <v>0.91388888888888886</v>
      </c>
      <c r="F114" s="5" t="s">
        <v>7305</v>
      </c>
      <c r="G114" s="12">
        <v>159</v>
      </c>
      <c r="H114" s="12">
        <v>7.95</v>
      </c>
      <c r="I114" s="12">
        <v>151.05000000000001</v>
      </c>
      <c r="J114" s="12">
        <f>SUMIF(order_item!B:B,A114,order_item!E:E)</f>
        <v>159</v>
      </c>
      <c r="K114" s="28" t="str">
        <f>_xlfn.XLOOKUP(B114,customers!A:A,customers!D:D)</f>
        <v>Regular</v>
      </c>
    </row>
    <row r="115" spans="1:11" x14ac:dyDescent="0.25">
      <c r="A115" s="5" t="s">
        <v>6913</v>
      </c>
      <c r="B115" s="5" t="s">
        <v>715</v>
      </c>
      <c r="C115" s="5" t="s">
        <v>7308</v>
      </c>
      <c r="D115" s="1">
        <v>45668</v>
      </c>
      <c r="E115" s="17">
        <v>0.86944444444444446</v>
      </c>
      <c r="F115" s="5" t="s">
        <v>7305</v>
      </c>
      <c r="G115" s="12">
        <v>128</v>
      </c>
      <c r="H115" s="12">
        <v>6.4</v>
      </c>
      <c r="I115" s="12">
        <v>121.6</v>
      </c>
      <c r="J115" s="12">
        <f>SUMIF(order_item!B:B,A115,order_item!E:E)</f>
        <v>128</v>
      </c>
      <c r="K115" s="28" t="str">
        <f>_xlfn.XLOOKUP(B115,customers!A:A,customers!D:D)</f>
        <v>Premium</v>
      </c>
    </row>
    <row r="116" spans="1:11" x14ac:dyDescent="0.25">
      <c r="A116" s="5" t="s">
        <v>6908</v>
      </c>
      <c r="B116" s="5" t="s">
        <v>839</v>
      </c>
      <c r="C116" s="5" t="s">
        <v>7306</v>
      </c>
      <c r="D116" s="1">
        <v>45621</v>
      </c>
      <c r="E116" s="17">
        <v>0.90069444444444446</v>
      </c>
      <c r="F116" s="5" t="s">
        <v>7305</v>
      </c>
      <c r="G116" s="12">
        <v>683</v>
      </c>
      <c r="H116" s="12">
        <v>0</v>
      </c>
      <c r="I116" s="12">
        <v>683</v>
      </c>
      <c r="J116" s="12">
        <f>SUMIF(order_item!B:B,A116,order_item!E:E)</f>
        <v>683</v>
      </c>
      <c r="K116" s="28" t="str">
        <f>_xlfn.XLOOKUP(B116,customers!A:A,customers!D:D)</f>
        <v>Regular</v>
      </c>
    </row>
    <row r="117" spans="1:11" x14ac:dyDescent="0.25">
      <c r="A117" s="5" t="s">
        <v>6905</v>
      </c>
      <c r="B117" s="5" t="s">
        <v>246</v>
      </c>
      <c r="C117" s="5" t="s">
        <v>7306</v>
      </c>
      <c r="D117" s="1">
        <v>45590</v>
      </c>
      <c r="E117" s="17">
        <v>0.82638888888888884</v>
      </c>
      <c r="F117" s="5" t="s">
        <v>7305</v>
      </c>
      <c r="G117" s="12">
        <v>395</v>
      </c>
      <c r="H117" s="12">
        <v>0</v>
      </c>
      <c r="I117" s="12">
        <v>395</v>
      </c>
      <c r="J117" s="12">
        <f>SUMIF(order_item!B:B,A117,order_item!E:E)</f>
        <v>395</v>
      </c>
      <c r="K117" s="28" t="str">
        <f>_xlfn.XLOOKUP(B117,customers!A:A,customers!D:D)</f>
        <v>Premium</v>
      </c>
    </row>
    <row r="118" spans="1:11" x14ac:dyDescent="0.25">
      <c r="A118" s="5" t="s">
        <v>6901</v>
      </c>
      <c r="B118" s="5" t="s">
        <v>842</v>
      </c>
      <c r="C118" s="5" t="s">
        <v>7309</v>
      </c>
      <c r="D118" s="1">
        <v>45387</v>
      </c>
      <c r="E118" s="17">
        <v>0.46319444444444446</v>
      </c>
      <c r="F118" s="5" t="s">
        <v>7305</v>
      </c>
      <c r="G118" s="12">
        <v>913</v>
      </c>
      <c r="H118" s="12">
        <v>0</v>
      </c>
      <c r="I118" s="12">
        <v>913</v>
      </c>
      <c r="J118" s="12">
        <f>SUMIF(order_item!B:B,A118,order_item!E:E)</f>
        <v>913</v>
      </c>
      <c r="K118" s="28" t="str">
        <f>_xlfn.XLOOKUP(B118,customers!A:A,customers!D:D)</f>
        <v>Premium</v>
      </c>
    </row>
    <row r="119" spans="1:11" x14ac:dyDescent="0.25">
      <c r="A119" s="5" t="s">
        <v>6896</v>
      </c>
      <c r="B119" s="5" t="s">
        <v>694</v>
      </c>
      <c r="C119" s="5" t="s">
        <v>7309</v>
      </c>
      <c r="D119" s="1">
        <v>45438</v>
      </c>
      <c r="E119" s="17">
        <v>0.87013888888888891</v>
      </c>
      <c r="F119" s="5" t="s">
        <v>7305</v>
      </c>
      <c r="G119" s="12">
        <v>505</v>
      </c>
      <c r="H119" s="12">
        <v>0</v>
      </c>
      <c r="I119" s="12">
        <v>505</v>
      </c>
      <c r="J119" s="12">
        <f>SUMIF(order_item!B:B,A119,order_item!E:E)</f>
        <v>505</v>
      </c>
      <c r="K119" s="28" t="str">
        <f>_xlfn.XLOOKUP(B119,customers!A:A,customers!D:D)</f>
        <v>Regular</v>
      </c>
    </row>
    <row r="120" spans="1:11" x14ac:dyDescent="0.25">
      <c r="A120" s="5" t="s">
        <v>6894</v>
      </c>
      <c r="B120" s="5" t="s">
        <v>378</v>
      </c>
      <c r="C120" s="5" t="s">
        <v>7309</v>
      </c>
      <c r="D120" s="1">
        <v>45577</v>
      </c>
      <c r="E120" s="17">
        <v>0.73749999999999993</v>
      </c>
      <c r="F120" s="5" t="s">
        <v>7307</v>
      </c>
      <c r="G120" s="12">
        <v>178</v>
      </c>
      <c r="H120" s="12">
        <v>0</v>
      </c>
      <c r="I120" s="12">
        <v>0</v>
      </c>
      <c r="J120" s="12">
        <f>SUMIF(order_item!B:B,A120,order_item!E:E)</f>
        <v>178</v>
      </c>
      <c r="K120" s="28" t="str">
        <f>_xlfn.XLOOKUP(B120,customers!A:A,customers!D:D)</f>
        <v>Regular</v>
      </c>
    </row>
    <row r="121" spans="1:11" x14ac:dyDescent="0.25">
      <c r="A121" s="5" t="s">
        <v>6891</v>
      </c>
      <c r="B121" s="5" t="s">
        <v>453</v>
      </c>
      <c r="C121" s="5" t="s">
        <v>7309</v>
      </c>
      <c r="D121" s="1">
        <v>45627</v>
      </c>
      <c r="E121" s="17">
        <v>0.48333333333333334</v>
      </c>
      <c r="F121" s="5" t="s">
        <v>7305</v>
      </c>
      <c r="G121" s="12">
        <v>416</v>
      </c>
      <c r="H121" s="12">
        <v>0</v>
      </c>
      <c r="I121" s="12">
        <v>416</v>
      </c>
      <c r="J121" s="12">
        <f>SUMIF(order_item!B:B,A121,order_item!E:E)</f>
        <v>416</v>
      </c>
      <c r="K121" s="28" t="str">
        <f>_xlfn.XLOOKUP(B121,customers!A:A,customers!D:D)</f>
        <v>Regular</v>
      </c>
    </row>
    <row r="122" spans="1:11" x14ac:dyDescent="0.25">
      <c r="A122" s="5" t="s">
        <v>6888</v>
      </c>
      <c r="B122" s="5" t="s">
        <v>524</v>
      </c>
      <c r="C122" s="5" t="s">
        <v>7309</v>
      </c>
      <c r="D122" s="1">
        <v>45531</v>
      </c>
      <c r="E122" s="17">
        <v>0.62222222222222223</v>
      </c>
      <c r="F122" s="5" t="s">
        <v>7305</v>
      </c>
      <c r="G122" s="12">
        <v>238</v>
      </c>
      <c r="H122" s="12">
        <v>11.9</v>
      </c>
      <c r="I122" s="12">
        <v>226.1</v>
      </c>
      <c r="J122" s="12">
        <f>SUMIF(order_item!B:B,A122,order_item!E:E)</f>
        <v>238</v>
      </c>
      <c r="K122" s="28" t="str">
        <f>_xlfn.XLOOKUP(B122,customers!A:A,customers!D:D)</f>
        <v>New</v>
      </c>
    </row>
    <row r="123" spans="1:11" x14ac:dyDescent="0.25">
      <c r="A123" s="5" t="s">
        <v>6883</v>
      </c>
      <c r="B123" s="5" t="s">
        <v>401</v>
      </c>
      <c r="C123" s="5" t="s">
        <v>7309</v>
      </c>
      <c r="D123" s="1">
        <v>45706</v>
      </c>
      <c r="E123" s="17">
        <v>0.91388888888888886</v>
      </c>
      <c r="F123" s="5" t="s">
        <v>7305</v>
      </c>
      <c r="G123" s="12">
        <v>1003</v>
      </c>
      <c r="H123" s="12">
        <v>0</v>
      </c>
      <c r="I123" s="12">
        <v>1003</v>
      </c>
      <c r="J123" s="12">
        <f>SUMIF(order_item!B:B,A123,order_item!E:E)</f>
        <v>1003</v>
      </c>
      <c r="K123" s="28" t="str">
        <f>_xlfn.XLOOKUP(B123,customers!A:A,customers!D:D)</f>
        <v>Regular</v>
      </c>
    </row>
    <row r="124" spans="1:11" x14ac:dyDescent="0.25">
      <c r="A124" s="5" t="s">
        <v>6880</v>
      </c>
      <c r="B124" s="5" t="s">
        <v>147</v>
      </c>
      <c r="C124" s="5" t="s">
        <v>7306</v>
      </c>
      <c r="D124" s="1">
        <v>45625</v>
      </c>
      <c r="E124" s="17">
        <v>0.80138888888888893</v>
      </c>
      <c r="F124" s="5" t="s">
        <v>7305</v>
      </c>
      <c r="G124" s="12">
        <v>476</v>
      </c>
      <c r="H124" s="12">
        <v>0</v>
      </c>
      <c r="I124" s="12">
        <v>476</v>
      </c>
      <c r="J124" s="12">
        <f>SUMIF(order_item!B:B,A124,order_item!E:E)</f>
        <v>476</v>
      </c>
      <c r="K124" s="28" t="str">
        <f>_xlfn.XLOOKUP(B124,customers!A:A,customers!D:D)</f>
        <v>Regular</v>
      </c>
    </row>
    <row r="125" spans="1:11" x14ac:dyDescent="0.25">
      <c r="A125" s="5" t="s">
        <v>6876</v>
      </c>
      <c r="B125" s="5" t="s">
        <v>497</v>
      </c>
      <c r="C125" s="5" t="s">
        <v>7309</v>
      </c>
      <c r="D125" s="1">
        <v>45674</v>
      </c>
      <c r="E125" s="17">
        <v>0.7416666666666667</v>
      </c>
      <c r="F125" s="5" t="s">
        <v>7305</v>
      </c>
      <c r="G125" s="12">
        <v>962</v>
      </c>
      <c r="H125" s="12">
        <v>0</v>
      </c>
      <c r="I125" s="12">
        <v>962</v>
      </c>
      <c r="J125" s="12">
        <f>SUMIF(order_item!B:B,A125,order_item!E:E)</f>
        <v>962</v>
      </c>
      <c r="K125" s="28" t="str">
        <f>_xlfn.XLOOKUP(B125,customers!A:A,customers!D:D)</f>
        <v>New</v>
      </c>
    </row>
    <row r="126" spans="1:11" x14ac:dyDescent="0.25">
      <c r="A126" s="5" t="s">
        <v>6873</v>
      </c>
      <c r="B126" s="5" t="s">
        <v>367</v>
      </c>
      <c r="C126" s="5" t="s">
        <v>7309</v>
      </c>
      <c r="D126" s="1">
        <v>45478</v>
      </c>
      <c r="E126" s="17">
        <v>0.70972222222222225</v>
      </c>
      <c r="F126" s="5" t="s">
        <v>7305</v>
      </c>
      <c r="G126" s="12">
        <v>694</v>
      </c>
      <c r="H126" s="12">
        <v>0</v>
      </c>
      <c r="I126" s="12">
        <v>694</v>
      </c>
      <c r="J126" s="12">
        <f>SUMIF(order_item!B:B,A126,order_item!E:E)</f>
        <v>694</v>
      </c>
      <c r="K126" s="28" t="str">
        <f>_xlfn.XLOOKUP(B126,customers!A:A,customers!D:D)</f>
        <v>Regular</v>
      </c>
    </row>
    <row r="127" spans="1:11" x14ac:dyDescent="0.25">
      <c r="A127" s="5" t="s">
        <v>6870</v>
      </c>
      <c r="B127" s="5" t="s">
        <v>474</v>
      </c>
      <c r="C127" s="5" t="s">
        <v>7306</v>
      </c>
      <c r="D127" s="1">
        <v>45586</v>
      </c>
      <c r="E127" s="17">
        <v>0.56736111111111109</v>
      </c>
      <c r="F127" s="5" t="s">
        <v>7305</v>
      </c>
      <c r="G127" s="12">
        <v>457</v>
      </c>
      <c r="H127" s="12">
        <v>0</v>
      </c>
      <c r="I127" s="12">
        <v>457</v>
      </c>
      <c r="J127" s="12">
        <f>SUMIF(order_item!B:B,A127,order_item!E:E)</f>
        <v>457</v>
      </c>
      <c r="K127" s="28" t="str">
        <f>_xlfn.XLOOKUP(B127,customers!A:A,customers!D:D)</f>
        <v>Regular</v>
      </c>
    </row>
    <row r="128" spans="1:11" x14ac:dyDescent="0.25">
      <c r="A128" s="5" t="s">
        <v>6865</v>
      </c>
      <c r="B128" s="5" t="s">
        <v>252</v>
      </c>
      <c r="C128" s="5" t="s">
        <v>7309</v>
      </c>
      <c r="D128" s="1">
        <v>45585</v>
      </c>
      <c r="E128" s="17">
        <v>0.7715277777777777</v>
      </c>
      <c r="F128" s="5" t="s">
        <v>7305</v>
      </c>
      <c r="G128" s="12">
        <v>853</v>
      </c>
      <c r="H128" s="12">
        <v>0</v>
      </c>
      <c r="I128" s="12">
        <v>853</v>
      </c>
      <c r="J128" s="12">
        <f>SUMIF(order_item!B:B,A128,order_item!E:E)</f>
        <v>853</v>
      </c>
      <c r="K128" s="28" t="str">
        <f>_xlfn.XLOOKUP(B128,customers!A:A,customers!D:D)</f>
        <v>Regular</v>
      </c>
    </row>
    <row r="129" spans="1:11" x14ac:dyDescent="0.25">
      <c r="A129" s="5" t="s">
        <v>6862</v>
      </c>
      <c r="B129" s="5" t="s">
        <v>361</v>
      </c>
      <c r="C129" s="5" t="s">
        <v>7309</v>
      </c>
      <c r="D129" s="1">
        <v>45552</v>
      </c>
      <c r="E129" s="17">
        <v>0.6875</v>
      </c>
      <c r="F129" s="5" t="s">
        <v>7307</v>
      </c>
      <c r="G129" s="12">
        <v>357</v>
      </c>
      <c r="H129" s="12">
        <v>0</v>
      </c>
      <c r="I129" s="12">
        <v>0</v>
      </c>
      <c r="J129" s="12">
        <f>SUMIF(order_item!B:B,A129,order_item!E:E)</f>
        <v>357</v>
      </c>
      <c r="K129" s="28" t="str">
        <f>_xlfn.XLOOKUP(B129,customers!A:A,customers!D:D)</f>
        <v>Premium</v>
      </c>
    </row>
    <row r="130" spans="1:11" x14ac:dyDescent="0.25">
      <c r="A130" s="5" t="s">
        <v>6857</v>
      </c>
      <c r="B130" s="5" t="s">
        <v>834</v>
      </c>
      <c r="C130" s="5" t="s">
        <v>7309</v>
      </c>
      <c r="D130" s="1">
        <v>45618</v>
      </c>
      <c r="E130" s="17">
        <v>0.83958333333333324</v>
      </c>
      <c r="F130" s="5" t="s">
        <v>7305</v>
      </c>
      <c r="G130" s="12">
        <v>585</v>
      </c>
      <c r="H130" s="12">
        <v>58.5</v>
      </c>
      <c r="I130" s="12">
        <v>526.5</v>
      </c>
      <c r="J130" s="12">
        <f>SUMIF(order_item!B:B,A130,order_item!E:E)</f>
        <v>585</v>
      </c>
      <c r="K130" s="28" t="str">
        <f>_xlfn.XLOOKUP(B130,customers!A:A,customers!D:D)</f>
        <v>Regular</v>
      </c>
    </row>
    <row r="131" spans="1:11" x14ac:dyDescent="0.25">
      <c r="A131" s="5" t="s">
        <v>6853</v>
      </c>
      <c r="B131" s="5" t="s">
        <v>771</v>
      </c>
      <c r="C131" s="5" t="s">
        <v>7306</v>
      </c>
      <c r="D131" s="1">
        <v>45697</v>
      </c>
      <c r="E131" s="17">
        <v>0.81805555555555554</v>
      </c>
      <c r="F131" s="5" t="s">
        <v>7307</v>
      </c>
      <c r="G131" s="12">
        <v>515</v>
      </c>
      <c r="H131" s="12">
        <v>51.5</v>
      </c>
      <c r="I131" s="12">
        <v>0</v>
      </c>
      <c r="J131" s="12">
        <f>SUMIF(order_item!B:B,A131,order_item!E:E)</f>
        <v>515</v>
      </c>
      <c r="K131" s="28" t="str">
        <f>_xlfn.XLOOKUP(B131,customers!A:A,customers!D:D)</f>
        <v>Regular</v>
      </c>
    </row>
    <row r="132" spans="1:11" x14ac:dyDescent="0.25">
      <c r="A132" s="5" t="s">
        <v>6849</v>
      </c>
      <c r="B132" s="5" t="s">
        <v>124</v>
      </c>
      <c r="C132" s="5" t="s">
        <v>7306</v>
      </c>
      <c r="D132" s="1">
        <v>45434</v>
      </c>
      <c r="E132" s="17">
        <v>0.87152777777777779</v>
      </c>
      <c r="F132" s="5" t="s">
        <v>7305</v>
      </c>
      <c r="G132" s="12">
        <v>802</v>
      </c>
      <c r="H132" s="12">
        <v>40.1</v>
      </c>
      <c r="I132" s="12">
        <v>761.9</v>
      </c>
      <c r="J132" s="12">
        <f>SUMIF(order_item!B:B,A132,order_item!E:E)</f>
        <v>802</v>
      </c>
      <c r="K132" s="28" t="str">
        <f>_xlfn.XLOOKUP(B132,customers!A:A,customers!D:D)</f>
        <v>Regular</v>
      </c>
    </row>
    <row r="133" spans="1:11" x14ac:dyDescent="0.25">
      <c r="A133" s="5" t="s">
        <v>6846</v>
      </c>
      <c r="B133" s="5" t="s">
        <v>216</v>
      </c>
      <c r="C133" s="5" t="s">
        <v>7309</v>
      </c>
      <c r="D133" s="1">
        <v>45575</v>
      </c>
      <c r="E133" s="17">
        <v>0.8569444444444444</v>
      </c>
      <c r="F133" s="5" t="s">
        <v>7305</v>
      </c>
      <c r="G133" s="12">
        <v>735</v>
      </c>
      <c r="H133" s="12">
        <v>0</v>
      </c>
      <c r="I133" s="12">
        <v>735</v>
      </c>
      <c r="J133" s="12">
        <f>SUMIF(order_item!B:B,A133,order_item!E:E)</f>
        <v>735</v>
      </c>
      <c r="K133" s="28" t="str">
        <f>_xlfn.XLOOKUP(B133,customers!A:A,customers!D:D)</f>
        <v>Regular</v>
      </c>
    </row>
    <row r="134" spans="1:11" x14ac:dyDescent="0.25">
      <c r="A134" s="5" t="s">
        <v>6843</v>
      </c>
      <c r="B134" s="5" t="s">
        <v>281</v>
      </c>
      <c r="C134" s="5" t="s">
        <v>7306</v>
      </c>
      <c r="D134" s="1">
        <v>45659</v>
      </c>
      <c r="E134" s="17">
        <v>0.91527777777777775</v>
      </c>
      <c r="F134" s="5" t="s">
        <v>7305</v>
      </c>
      <c r="G134" s="12">
        <v>386</v>
      </c>
      <c r="H134" s="12">
        <v>0</v>
      </c>
      <c r="I134" s="12">
        <v>386</v>
      </c>
      <c r="J134" s="12">
        <f>SUMIF(order_item!B:B,A134,order_item!E:E)</f>
        <v>386</v>
      </c>
      <c r="K134" s="28" t="str">
        <f>_xlfn.XLOOKUP(B134,customers!A:A,customers!D:D)</f>
        <v>Regular</v>
      </c>
    </row>
    <row r="135" spans="1:11" x14ac:dyDescent="0.25">
      <c r="A135" s="5" t="s">
        <v>6840</v>
      </c>
      <c r="B135" s="5" t="s">
        <v>253</v>
      </c>
      <c r="C135" s="5" t="s">
        <v>7309</v>
      </c>
      <c r="D135" s="1">
        <v>45550</v>
      </c>
      <c r="E135" s="17">
        <v>0.90763888888888899</v>
      </c>
      <c r="F135" s="5" t="s">
        <v>7305</v>
      </c>
      <c r="G135" s="12">
        <v>356</v>
      </c>
      <c r="H135" s="12">
        <v>35.6</v>
      </c>
      <c r="I135" s="12">
        <v>320.39999999999998</v>
      </c>
      <c r="J135" s="12">
        <f>SUMIF(order_item!B:B,A135,order_item!E:E)</f>
        <v>356</v>
      </c>
      <c r="K135" s="28" t="str">
        <f>_xlfn.XLOOKUP(B135,customers!A:A,customers!D:D)</f>
        <v>Premium</v>
      </c>
    </row>
    <row r="136" spans="1:11" x14ac:dyDescent="0.25">
      <c r="A136" s="5" t="s">
        <v>6836</v>
      </c>
      <c r="B136" s="5" t="s">
        <v>454</v>
      </c>
      <c r="C136" s="5" t="s">
        <v>7309</v>
      </c>
      <c r="D136" s="1">
        <v>45625</v>
      </c>
      <c r="E136" s="17">
        <v>0.8520833333333333</v>
      </c>
      <c r="F136" s="5" t="s">
        <v>7305</v>
      </c>
      <c r="G136" s="12">
        <v>436</v>
      </c>
      <c r="H136" s="12">
        <v>0</v>
      </c>
      <c r="I136" s="12">
        <v>436</v>
      </c>
      <c r="J136" s="12">
        <f>SUMIF(order_item!B:B,A136,order_item!E:E)</f>
        <v>436</v>
      </c>
      <c r="K136" s="28" t="str">
        <f>_xlfn.XLOOKUP(B136,customers!A:A,customers!D:D)</f>
        <v>Regular</v>
      </c>
    </row>
    <row r="137" spans="1:11" x14ac:dyDescent="0.25">
      <c r="A137" s="5" t="s">
        <v>6832</v>
      </c>
      <c r="B137" s="5" t="s">
        <v>177</v>
      </c>
      <c r="C137" s="5" t="s">
        <v>7306</v>
      </c>
      <c r="D137" s="1">
        <v>45525</v>
      </c>
      <c r="E137" s="17">
        <v>0.49583333333333335</v>
      </c>
      <c r="F137" s="5" t="s">
        <v>7305</v>
      </c>
      <c r="G137" s="12">
        <v>842</v>
      </c>
      <c r="H137" s="12">
        <v>0</v>
      </c>
      <c r="I137" s="12">
        <v>842</v>
      </c>
      <c r="J137" s="12">
        <f>SUMIF(order_item!B:B,A137,order_item!E:E)</f>
        <v>842</v>
      </c>
      <c r="K137" s="28" t="str">
        <f>_xlfn.XLOOKUP(B137,customers!A:A,customers!D:D)</f>
        <v>New</v>
      </c>
    </row>
    <row r="138" spans="1:11" x14ac:dyDescent="0.25">
      <c r="A138" s="5" t="s">
        <v>6828</v>
      </c>
      <c r="B138" s="5" t="s">
        <v>240</v>
      </c>
      <c r="C138" s="5" t="s">
        <v>7309</v>
      </c>
      <c r="D138" s="1">
        <v>45403</v>
      </c>
      <c r="E138" s="17">
        <v>0.875</v>
      </c>
      <c r="F138" s="5" t="s">
        <v>7305</v>
      </c>
      <c r="G138" s="12">
        <v>793</v>
      </c>
      <c r="H138" s="12">
        <v>0</v>
      </c>
      <c r="I138" s="12">
        <v>793</v>
      </c>
      <c r="J138" s="12">
        <f>SUMIF(order_item!B:B,A138,order_item!E:E)</f>
        <v>793</v>
      </c>
      <c r="K138" s="28" t="str">
        <f>_xlfn.XLOOKUP(B138,customers!A:A,customers!D:D)</f>
        <v>New</v>
      </c>
    </row>
    <row r="139" spans="1:11" x14ac:dyDescent="0.25">
      <c r="A139" s="5" t="s">
        <v>6825</v>
      </c>
      <c r="B139" s="5" t="s">
        <v>77</v>
      </c>
      <c r="C139" s="5" t="s">
        <v>7306</v>
      </c>
      <c r="D139" s="1">
        <v>45586</v>
      </c>
      <c r="E139" s="17">
        <v>2.0833333333333333E-3</v>
      </c>
      <c r="F139" s="5" t="s">
        <v>7305</v>
      </c>
      <c r="G139" s="12">
        <v>416</v>
      </c>
      <c r="H139" s="12">
        <v>62.4</v>
      </c>
      <c r="I139" s="12">
        <v>353.6</v>
      </c>
      <c r="J139" s="12">
        <f>SUMIF(order_item!B:B,A139,order_item!E:E)</f>
        <v>416</v>
      </c>
      <c r="K139" s="28" t="str">
        <f>_xlfn.XLOOKUP(B139,customers!A:A,customers!D:D)</f>
        <v>New</v>
      </c>
    </row>
    <row r="140" spans="1:11" x14ac:dyDescent="0.25">
      <c r="A140" s="5" t="s">
        <v>6820</v>
      </c>
      <c r="B140" s="5" t="s">
        <v>361</v>
      </c>
      <c r="C140" s="5" t="s">
        <v>7309</v>
      </c>
      <c r="D140" s="1">
        <v>45583</v>
      </c>
      <c r="E140" s="17">
        <v>6.9444444444444441E-3</v>
      </c>
      <c r="F140" s="5" t="s">
        <v>7305</v>
      </c>
      <c r="G140" s="12">
        <v>545</v>
      </c>
      <c r="H140" s="12">
        <v>0</v>
      </c>
      <c r="I140" s="12">
        <v>545</v>
      </c>
      <c r="J140" s="12">
        <f>SUMIF(order_item!B:B,A140,order_item!E:E)</f>
        <v>545</v>
      </c>
      <c r="K140" s="28" t="str">
        <f>_xlfn.XLOOKUP(B140,customers!A:A,customers!D:D)</f>
        <v>Premium</v>
      </c>
    </row>
    <row r="141" spans="1:11" x14ac:dyDescent="0.25">
      <c r="A141" s="5" t="s">
        <v>6816</v>
      </c>
      <c r="B141" s="5" t="s">
        <v>440</v>
      </c>
      <c r="C141" s="5" t="s">
        <v>7309</v>
      </c>
      <c r="D141" s="1">
        <v>45595</v>
      </c>
      <c r="E141" s="17">
        <v>0.99861111111111101</v>
      </c>
      <c r="F141" s="5" t="s">
        <v>7305</v>
      </c>
      <c r="G141" s="12">
        <v>317</v>
      </c>
      <c r="H141" s="12">
        <v>15.85</v>
      </c>
      <c r="I141" s="12">
        <v>301.14999999999998</v>
      </c>
      <c r="J141" s="12">
        <f>SUMIF(order_item!B:B,A141,order_item!E:E)</f>
        <v>317</v>
      </c>
      <c r="K141" s="28" t="str">
        <f>_xlfn.XLOOKUP(B141,customers!A:A,customers!D:D)</f>
        <v>Regular</v>
      </c>
    </row>
    <row r="142" spans="1:11" x14ac:dyDescent="0.25">
      <c r="A142" s="5" t="s">
        <v>6812</v>
      </c>
      <c r="B142" s="5" t="s">
        <v>499</v>
      </c>
      <c r="C142" s="5" t="s">
        <v>7308</v>
      </c>
      <c r="D142" s="1">
        <v>45581</v>
      </c>
      <c r="E142" s="17">
        <v>0.70208333333333339</v>
      </c>
      <c r="F142" s="5" t="s">
        <v>7305</v>
      </c>
      <c r="G142" s="12">
        <v>654</v>
      </c>
      <c r="H142" s="12">
        <v>32.700000000000003</v>
      </c>
      <c r="I142" s="12">
        <v>621.29999999999995</v>
      </c>
      <c r="J142" s="12">
        <f>SUMIF(order_item!B:B,A142,order_item!E:E)</f>
        <v>654</v>
      </c>
      <c r="K142" s="28" t="str">
        <f>_xlfn.XLOOKUP(B142,customers!A:A,customers!D:D)</f>
        <v>New</v>
      </c>
    </row>
    <row r="143" spans="1:11" x14ac:dyDescent="0.25">
      <c r="A143" s="5" t="s">
        <v>6807</v>
      </c>
      <c r="B143" s="5" t="s">
        <v>337</v>
      </c>
      <c r="C143" s="5" t="s">
        <v>7309</v>
      </c>
      <c r="D143" s="1">
        <v>45489</v>
      </c>
      <c r="E143" s="17">
        <v>0.73819444444444438</v>
      </c>
      <c r="F143" s="5" t="s">
        <v>7305</v>
      </c>
      <c r="G143" s="12">
        <v>803</v>
      </c>
      <c r="H143" s="12">
        <v>0</v>
      </c>
      <c r="I143" s="12">
        <v>803</v>
      </c>
      <c r="J143" s="12">
        <f>SUMIF(order_item!B:B,A143,order_item!E:E)</f>
        <v>803</v>
      </c>
      <c r="K143" s="28" t="str">
        <f>_xlfn.XLOOKUP(B143,customers!A:A,customers!D:D)</f>
        <v>Regular</v>
      </c>
    </row>
    <row r="144" spans="1:11" x14ac:dyDescent="0.25">
      <c r="A144" s="5" t="s">
        <v>6804</v>
      </c>
      <c r="B144" s="5" t="s">
        <v>746</v>
      </c>
      <c r="C144" s="5" t="s">
        <v>7308</v>
      </c>
      <c r="D144" s="1">
        <v>45573</v>
      </c>
      <c r="E144" s="17">
        <v>0.84513888888888899</v>
      </c>
      <c r="F144" s="5" t="s">
        <v>7305</v>
      </c>
      <c r="G144" s="12">
        <v>376</v>
      </c>
      <c r="H144" s="12">
        <v>0</v>
      </c>
      <c r="I144" s="12">
        <v>376</v>
      </c>
      <c r="J144" s="12">
        <f>SUMIF(order_item!B:B,A144,order_item!E:E)</f>
        <v>376</v>
      </c>
      <c r="K144" s="28" t="str">
        <f>_xlfn.XLOOKUP(B144,customers!A:A,customers!D:D)</f>
        <v>New</v>
      </c>
    </row>
    <row r="145" spans="1:11" x14ac:dyDescent="0.25">
      <c r="A145" s="5" t="s">
        <v>6802</v>
      </c>
      <c r="B145" s="5" t="s">
        <v>818</v>
      </c>
      <c r="C145" s="5" t="s">
        <v>7306</v>
      </c>
      <c r="D145" s="1">
        <v>45529</v>
      </c>
      <c r="E145" s="17">
        <v>0.45694444444444443</v>
      </c>
      <c r="F145" s="5" t="s">
        <v>7307</v>
      </c>
      <c r="G145" s="12">
        <v>556</v>
      </c>
      <c r="H145" s="12">
        <v>0</v>
      </c>
      <c r="I145" s="12">
        <v>0</v>
      </c>
      <c r="J145" s="12">
        <f>SUMIF(order_item!B:B,A145,order_item!E:E)</f>
        <v>556</v>
      </c>
      <c r="K145" s="28" t="str">
        <f>_xlfn.XLOOKUP(B145,customers!A:A,customers!D:D)</f>
        <v>Regular</v>
      </c>
    </row>
    <row r="146" spans="1:11" x14ac:dyDescent="0.25">
      <c r="A146" s="5" t="s">
        <v>6799</v>
      </c>
      <c r="B146" s="5" t="s">
        <v>677</v>
      </c>
      <c r="C146" s="5" t="s">
        <v>7309</v>
      </c>
      <c r="D146" s="1">
        <v>45535</v>
      </c>
      <c r="E146" s="17">
        <v>0.87152777777777779</v>
      </c>
      <c r="F146" s="5" t="s">
        <v>7305</v>
      </c>
      <c r="G146" s="12">
        <v>307</v>
      </c>
      <c r="H146" s="12">
        <v>15.35</v>
      </c>
      <c r="I146" s="12">
        <v>291.64999999999998</v>
      </c>
      <c r="J146" s="12">
        <f>SUMIF(order_item!B:B,A146,order_item!E:E)</f>
        <v>307</v>
      </c>
      <c r="K146" s="28" t="str">
        <f>_xlfn.XLOOKUP(B146,customers!A:A,customers!D:D)</f>
        <v>Regular</v>
      </c>
    </row>
    <row r="147" spans="1:11" x14ac:dyDescent="0.25">
      <c r="A147" s="5" t="s">
        <v>6796</v>
      </c>
      <c r="B147" s="5" t="s">
        <v>751</v>
      </c>
      <c r="C147" s="5" t="s">
        <v>7309</v>
      </c>
      <c r="D147" s="1">
        <v>45581</v>
      </c>
      <c r="E147" s="17">
        <v>0.90902777777777777</v>
      </c>
      <c r="F147" s="5" t="s">
        <v>7305</v>
      </c>
      <c r="G147" s="12">
        <v>377</v>
      </c>
      <c r="H147" s="12">
        <v>0</v>
      </c>
      <c r="I147" s="12">
        <v>377</v>
      </c>
      <c r="J147" s="12">
        <f>SUMIF(order_item!B:B,A147,order_item!E:E)</f>
        <v>377</v>
      </c>
      <c r="K147" s="28" t="str">
        <f>_xlfn.XLOOKUP(B147,customers!A:A,customers!D:D)</f>
        <v>New</v>
      </c>
    </row>
    <row r="148" spans="1:11" x14ac:dyDescent="0.25">
      <c r="A148" s="5" t="s">
        <v>6794</v>
      </c>
      <c r="B148" s="5" t="s">
        <v>707</v>
      </c>
      <c r="C148" s="5" t="s">
        <v>7309</v>
      </c>
      <c r="D148" s="1">
        <v>45613</v>
      </c>
      <c r="E148" s="17">
        <v>0.84444444444444444</v>
      </c>
      <c r="F148" s="5" t="s">
        <v>7305</v>
      </c>
      <c r="G148" s="12">
        <v>207</v>
      </c>
      <c r="H148" s="12">
        <v>0</v>
      </c>
      <c r="I148" s="12">
        <v>207</v>
      </c>
      <c r="J148" s="12">
        <f>SUMIF(order_item!B:B,A148,order_item!E:E)</f>
        <v>207</v>
      </c>
      <c r="K148" s="28" t="str">
        <f>_xlfn.XLOOKUP(B148,customers!A:A,customers!D:D)</f>
        <v>Premium</v>
      </c>
    </row>
    <row r="149" spans="1:11" x14ac:dyDescent="0.25">
      <c r="A149" s="5" t="s">
        <v>6789</v>
      </c>
      <c r="B149" s="5" t="s">
        <v>447</v>
      </c>
      <c r="C149" s="5" t="s">
        <v>7306</v>
      </c>
      <c r="D149" s="1">
        <v>45547</v>
      </c>
      <c r="E149" s="17">
        <v>0.83888888888888891</v>
      </c>
      <c r="F149" s="5" t="s">
        <v>7305</v>
      </c>
      <c r="G149" s="12">
        <v>723</v>
      </c>
      <c r="H149" s="12">
        <v>36.15</v>
      </c>
      <c r="I149" s="12">
        <v>686.85</v>
      </c>
      <c r="J149" s="12">
        <f>SUMIF(order_item!B:B,A149,order_item!E:E)</f>
        <v>723</v>
      </c>
      <c r="K149" s="28" t="str">
        <f>_xlfn.XLOOKUP(B149,customers!A:A,customers!D:D)</f>
        <v>Regular</v>
      </c>
    </row>
    <row r="150" spans="1:11" x14ac:dyDescent="0.25">
      <c r="A150" s="5" t="s">
        <v>6786</v>
      </c>
      <c r="B150" s="5" t="s">
        <v>321</v>
      </c>
      <c r="C150" s="5" t="s">
        <v>7309</v>
      </c>
      <c r="D150" s="1">
        <v>45746</v>
      </c>
      <c r="E150" s="17">
        <v>0.9819444444444444</v>
      </c>
      <c r="F150" s="5" t="s">
        <v>7305</v>
      </c>
      <c r="G150" s="12">
        <v>238</v>
      </c>
      <c r="H150" s="12">
        <v>0</v>
      </c>
      <c r="I150" s="12">
        <v>238</v>
      </c>
      <c r="J150" s="12">
        <f>SUMIF(order_item!B:B,A150,order_item!E:E)</f>
        <v>238</v>
      </c>
      <c r="K150" s="28" t="str">
        <f>_xlfn.XLOOKUP(B150,customers!A:A,customers!D:D)</f>
        <v>Regular</v>
      </c>
    </row>
    <row r="151" spans="1:11" x14ac:dyDescent="0.25">
      <c r="A151" s="5" t="s">
        <v>6782</v>
      </c>
      <c r="B151" s="5" t="s">
        <v>296</v>
      </c>
      <c r="C151" s="5" t="s">
        <v>7309</v>
      </c>
      <c r="D151" s="1">
        <v>45487</v>
      </c>
      <c r="E151" s="17">
        <v>0.43611111111111112</v>
      </c>
      <c r="F151" s="5" t="s">
        <v>7305</v>
      </c>
      <c r="G151" s="12">
        <v>771</v>
      </c>
      <c r="H151" s="12">
        <v>0</v>
      </c>
      <c r="I151" s="12">
        <v>771</v>
      </c>
      <c r="J151" s="12">
        <f>SUMIF(order_item!B:B,A151,order_item!E:E)</f>
        <v>771</v>
      </c>
      <c r="K151" s="28" t="str">
        <f>_xlfn.XLOOKUP(B151,customers!A:A,customers!D:D)</f>
        <v>Regular</v>
      </c>
    </row>
    <row r="152" spans="1:11" x14ac:dyDescent="0.25">
      <c r="A152" s="5" t="s">
        <v>6778</v>
      </c>
      <c r="B152" s="5" t="s">
        <v>669</v>
      </c>
      <c r="C152" s="5" t="s">
        <v>7309</v>
      </c>
      <c r="D152" s="1">
        <v>45602</v>
      </c>
      <c r="E152" s="17">
        <v>0.74236111111111114</v>
      </c>
      <c r="F152" s="5" t="s">
        <v>7305</v>
      </c>
      <c r="G152" s="12">
        <v>1191</v>
      </c>
      <c r="H152" s="12">
        <v>0</v>
      </c>
      <c r="I152" s="12">
        <v>1191</v>
      </c>
      <c r="J152" s="12">
        <f>SUMIF(order_item!B:B,A152,order_item!E:E)</f>
        <v>1191</v>
      </c>
      <c r="K152" s="28" t="str">
        <f>_xlfn.XLOOKUP(B152,customers!A:A,customers!D:D)</f>
        <v>Regular</v>
      </c>
    </row>
    <row r="153" spans="1:11" x14ac:dyDescent="0.25">
      <c r="A153" s="5" t="s">
        <v>6775</v>
      </c>
      <c r="B153" s="5" t="s">
        <v>586</v>
      </c>
      <c r="C153" s="5" t="s">
        <v>7306</v>
      </c>
      <c r="D153" s="1">
        <v>45720</v>
      </c>
      <c r="E153" s="17">
        <v>0.85833333333333339</v>
      </c>
      <c r="F153" s="5" t="s">
        <v>7305</v>
      </c>
      <c r="G153" s="12">
        <v>138</v>
      </c>
      <c r="H153" s="12">
        <v>0</v>
      </c>
      <c r="I153" s="12">
        <v>138</v>
      </c>
      <c r="J153" s="12">
        <f>SUMIF(order_item!B:B,A153,order_item!E:E)</f>
        <v>138</v>
      </c>
      <c r="K153" s="28" t="str">
        <f>_xlfn.XLOOKUP(B153,customers!A:A,customers!D:D)</f>
        <v>Regular</v>
      </c>
    </row>
    <row r="154" spans="1:11" x14ac:dyDescent="0.25">
      <c r="A154" s="5" t="s">
        <v>6772</v>
      </c>
      <c r="B154" s="5" t="s">
        <v>437</v>
      </c>
      <c r="C154" s="5" t="s">
        <v>7306</v>
      </c>
      <c r="D154" s="1">
        <v>45495</v>
      </c>
      <c r="E154" s="17">
        <v>0.78263888888888899</v>
      </c>
      <c r="F154" s="5" t="s">
        <v>7305</v>
      </c>
      <c r="G154" s="12">
        <v>218</v>
      </c>
      <c r="H154" s="12">
        <v>10.9</v>
      </c>
      <c r="I154" s="12">
        <v>207.1</v>
      </c>
      <c r="J154" s="12">
        <f>SUMIF(order_item!B:B,A154,order_item!E:E)</f>
        <v>218</v>
      </c>
      <c r="K154" s="28" t="str">
        <f>_xlfn.XLOOKUP(B154,customers!A:A,customers!D:D)</f>
        <v>Regular</v>
      </c>
    </row>
    <row r="155" spans="1:11" x14ac:dyDescent="0.25">
      <c r="A155" s="5" t="s">
        <v>6768</v>
      </c>
      <c r="B155" s="5" t="s">
        <v>90</v>
      </c>
      <c r="C155" s="5" t="s">
        <v>7308</v>
      </c>
      <c r="D155" s="1">
        <v>45467</v>
      </c>
      <c r="E155" s="17">
        <v>0.6694444444444444</v>
      </c>
      <c r="F155" s="5" t="s">
        <v>7305</v>
      </c>
      <c r="G155" s="12">
        <v>563</v>
      </c>
      <c r="H155" s="12">
        <v>0</v>
      </c>
      <c r="I155" s="12">
        <v>563</v>
      </c>
      <c r="J155" s="12">
        <f>SUMIF(order_item!B:B,A155,order_item!E:E)</f>
        <v>563</v>
      </c>
      <c r="K155" s="28" t="str">
        <f>_xlfn.XLOOKUP(B155,customers!A:A,customers!D:D)</f>
        <v>New</v>
      </c>
    </row>
    <row r="156" spans="1:11" x14ac:dyDescent="0.25">
      <c r="A156" s="5" t="s">
        <v>6766</v>
      </c>
      <c r="B156" s="5" t="s">
        <v>784</v>
      </c>
      <c r="C156" s="5" t="s">
        <v>7309</v>
      </c>
      <c r="D156" s="1">
        <v>45477</v>
      </c>
      <c r="E156" s="17">
        <v>0.94444444444444453</v>
      </c>
      <c r="F156" s="5" t="s">
        <v>7305</v>
      </c>
      <c r="G156" s="12">
        <v>316</v>
      </c>
      <c r="H156" s="12">
        <v>0</v>
      </c>
      <c r="I156" s="12">
        <v>316</v>
      </c>
      <c r="J156" s="12">
        <f>SUMIF(order_item!B:B,A156,order_item!E:E)</f>
        <v>316</v>
      </c>
      <c r="K156" s="28" t="str">
        <f>_xlfn.XLOOKUP(B156,customers!A:A,customers!D:D)</f>
        <v>New</v>
      </c>
    </row>
    <row r="157" spans="1:11" x14ac:dyDescent="0.25">
      <c r="A157" s="5" t="s">
        <v>6763</v>
      </c>
      <c r="B157" s="5" t="s">
        <v>552</v>
      </c>
      <c r="C157" s="5" t="s">
        <v>7309</v>
      </c>
      <c r="D157" s="1">
        <v>45570</v>
      </c>
      <c r="E157" s="17">
        <v>0.56597222222222221</v>
      </c>
      <c r="F157" s="5" t="s">
        <v>7307</v>
      </c>
      <c r="G157" s="12">
        <v>516</v>
      </c>
      <c r="H157" s="12">
        <v>0</v>
      </c>
      <c r="I157" s="12">
        <v>0</v>
      </c>
      <c r="J157" s="12">
        <f>SUMIF(order_item!B:B,A157,order_item!E:E)</f>
        <v>516</v>
      </c>
      <c r="K157" s="28" t="str">
        <f>_xlfn.XLOOKUP(B157,customers!A:A,customers!D:D)</f>
        <v>Regular</v>
      </c>
    </row>
    <row r="158" spans="1:11" x14ac:dyDescent="0.25">
      <c r="A158" s="5" t="s">
        <v>6760</v>
      </c>
      <c r="B158" s="5" t="s">
        <v>656</v>
      </c>
      <c r="C158" s="5" t="s">
        <v>7309</v>
      </c>
      <c r="D158" s="1">
        <v>45526</v>
      </c>
      <c r="E158" s="17">
        <v>0.68611111111111101</v>
      </c>
      <c r="F158" s="5" t="s">
        <v>7305</v>
      </c>
      <c r="G158" s="12">
        <v>336</v>
      </c>
      <c r="H158" s="12">
        <v>33.6</v>
      </c>
      <c r="I158" s="12">
        <v>302.39999999999998</v>
      </c>
      <c r="J158" s="12">
        <f>SUMIF(order_item!B:B,A158,order_item!E:E)</f>
        <v>336</v>
      </c>
      <c r="K158" s="28" t="str">
        <f>_xlfn.XLOOKUP(B158,customers!A:A,customers!D:D)</f>
        <v>Regular</v>
      </c>
    </row>
    <row r="159" spans="1:11" x14ac:dyDescent="0.25">
      <c r="A159" s="5" t="s">
        <v>6756</v>
      </c>
      <c r="B159" s="5" t="s">
        <v>525</v>
      </c>
      <c r="C159" s="5" t="s">
        <v>7309</v>
      </c>
      <c r="D159" s="1">
        <v>45590</v>
      </c>
      <c r="E159" s="17">
        <v>0.95000000000000007</v>
      </c>
      <c r="F159" s="5" t="s">
        <v>7305</v>
      </c>
      <c r="G159" s="12">
        <v>584</v>
      </c>
      <c r="H159" s="12">
        <v>0</v>
      </c>
      <c r="I159" s="12">
        <v>584</v>
      </c>
      <c r="J159" s="12">
        <f>SUMIF(order_item!B:B,A159,order_item!E:E)</f>
        <v>584</v>
      </c>
      <c r="K159" s="28" t="str">
        <f>_xlfn.XLOOKUP(B159,customers!A:A,customers!D:D)</f>
        <v>Regular</v>
      </c>
    </row>
    <row r="160" spans="1:11" x14ac:dyDescent="0.25">
      <c r="A160" s="5" t="s">
        <v>6752</v>
      </c>
      <c r="B160" s="5" t="s">
        <v>818</v>
      </c>
      <c r="C160" s="5" t="s">
        <v>7309</v>
      </c>
      <c r="D160" s="1">
        <v>45623</v>
      </c>
      <c r="E160" s="17">
        <v>0.51111111111111118</v>
      </c>
      <c r="F160" s="5" t="s">
        <v>7305</v>
      </c>
      <c r="G160" s="12">
        <v>783</v>
      </c>
      <c r="H160" s="12">
        <v>0</v>
      </c>
      <c r="I160" s="12">
        <v>783</v>
      </c>
      <c r="J160" s="12">
        <f>SUMIF(order_item!B:B,A160,order_item!E:E)</f>
        <v>783</v>
      </c>
      <c r="K160" s="28" t="str">
        <f>_xlfn.XLOOKUP(B160,customers!A:A,customers!D:D)</f>
        <v>Regular</v>
      </c>
    </row>
    <row r="161" spans="1:11" x14ac:dyDescent="0.25">
      <c r="A161" s="5" t="s">
        <v>6748</v>
      </c>
      <c r="B161" s="5" t="s">
        <v>392</v>
      </c>
      <c r="C161" s="5" t="s">
        <v>7309</v>
      </c>
      <c r="D161" s="1">
        <v>45691</v>
      </c>
      <c r="E161" s="17">
        <v>0.75486111111111109</v>
      </c>
      <c r="F161" s="5" t="s">
        <v>7305</v>
      </c>
      <c r="G161" s="12">
        <v>1299</v>
      </c>
      <c r="H161" s="12">
        <v>0</v>
      </c>
      <c r="I161" s="12">
        <v>1299</v>
      </c>
      <c r="J161" s="12">
        <f>SUMIF(order_item!B:B,A161,order_item!E:E)</f>
        <v>1299</v>
      </c>
      <c r="K161" s="28" t="str">
        <f>_xlfn.XLOOKUP(B161,customers!A:A,customers!D:D)</f>
        <v>Regular</v>
      </c>
    </row>
    <row r="162" spans="1:11" x14ac:dyDescent="0.25">
      <c r="A162" s="5" t="s">
        <v>6745</v>
      </c>
      <c r="B162" s="5" t="s">
        <v>811</v>
      </c>
      <c r="C162" s="5" t="s">
        <v>7309</v>
      </c>
      <c r="D162" s="1">
        <v>45431</v>
      </c>
      <c r="E162" s="17">
        <v>0.67638888888888893</v>
      </c>
      <c r="F162" s="5" t="s">
        <v>7305</v>
      </c>
      <c r="G162" s="12">
        <v>673</v>
      </c>
      <c r="H162" s="12">
        <v>0</v>
      </c>
      <c r="I162" s="12">
        <v>673</v>
      </c>
      <c r="J162" s="12">
        <f>SUMIF(order_item!B:B,A162,order_item!E:E)</f>
        <v>673</v>
      </c>
      <c r="K162" s="28" t="str">
        <f>_xlfn.XLOOKUP(B162,customers!A:A,customers!D:D)</f>
        <v>New</v>
      </c>
    </row>
    <row r="163" spans="1:11" x14ac:dyDescent="0.25">
      <c r="A163" s="5" t="s">
        <v>6742</v>
      </c>
      <c r="B163" s="5" t="s">
        <v>683</v>
      </c>
      <c r="C163" s="5" t="s">
        <v>7306</v>
      </c>
      <c r="D163" s="1">
        <v>45520</v>
      </c>
      <c r="E163" s="17">
        <v>0.4604166666666667</v>
      </c>
      <c r="F163" s="5" t="s">
        <v>7305</v>
      </c>
      <c r="G163" s="12">
        <v>684</v>
      </c>
      <c r="H163" s="12">
        <v>102.6</v>
      </c>
      <c r="I163" s="12">
        <v>581.4</v>
      </c>
      <c r="J163" s="12">
        <f>SUMIF(order_item!B:B,A163,order_item!E:E)</f>
        <v>684</v>
      </c>
      <c r="K163" s="28" t="str">
        <f>_xlfn.XLOOKUP(B163,customers!A:A,customers!D:D)</f>
        <v>Premium</v>
      </c>
    </row>
    <row r="164" spans="1:11" x14ac:dyDescent="0.25">
      <c r="A164" s="5" t="s">
        <v>6738</v>
      </c>
      <c r="B164" s="5" t="s">
        <v>303</v>
      </c>
      <c r="C164" s="5" t="s">
        <v>7308</v>
      </c>
      <c r="D164" s="1">
        <v>45485</v>
      </c>
      <c r="E164" s="17">
        <v>0.92708333333333337</v>
      </c>
      <c r="F164" s="5" t="s">
        <v>7305</v>
      </c>
      <c r="G164" s="12">
        <v>1070</v>
      </c>
      <c r="H164" s="12">
        <v>0</v>
      </c>
      <c r="I164" s="12">
        <v>1070</v>
      </c>
      <c r="J164" s="12">
        <f>SUMIF(order_item!B:B,A164,order_item!E:E)</f>
        <v>1070</v>
      </c>
      <c r="K164" s="28" t="str">
        <f>_xlfn.XLOOKUP(B164,customers!A:A,customers!D:D)</f>
        <v>Regular</v>
      </c>
    </row>
    <row r="165" spans="1:11" x14ac:dyDescent="0.25">
      <c r="A165" s="5" t="s">
        <v>6735</v>
      </c>
      <c r="B165" s="5" t="s">
        <v>788</v>
      </c>
      <c r="C165" s="5" t="s">
        <v>7309</v>
      </c>
      <c r="D165" s="1">
        <v>45647</v>
      </c>
      <c r="E165" s="17">
        <v>0.98125000000000007</v>
      </c>
      <c r="F165" s="5" t="s">
        <v>7305</v>
      </c>
      <c r="G165" s="12">
        <v>844</v>
      </c>
      <c r="H165" s="12">
        <v>0</v>
      </c>
      <c r="I165" s="12">
        <v>844</v>
      </c>
      <c r="J165" s="12">
        <f>SUMIF(order_item!B:B,A165,order_item!E:E)</f>
        <v>844</v>
      </c>
      <c r="K165" s="28" t="str">
        <f>_xlfn.XLOOKUP(B165,customers!A:A,customers!D:D)</f>
        <v>New</v>
      </c>
    </row>
    <row r="166" spans="1:11" x14ac:dyDescent="0.25">
      <c r="A166" s="5" t="s">
        <v>6732</v>
      </c>
      <c r="B166" s="5" t="s">
        <v>594</v>
      </c>
      <c r="C166" s="5" t="s">
        <v>7306</v>
      </c>
      <c r="D166" s="1">
        <v>45389</v>
      </c>
      <c r="E166" s="17">
        <v>4.8611111111111112E-3</v>
      </c>
      <c r="F166" s="5" t="s">
        <v>7305</v>
      </c>
      <c r="G166" s="12">
        <v>546</v>
      </c>
      <c r="H166" s="12">
        <v>0</v>
      </c>
      <c r="I166" s="12">
        <v>546</v>
      </c>
      <c r="J166" s="12">
        <f>SUMIF(order_item!B:B,A166,order_item!E:E)</f>
        <v>546</v>
      </c>
      <c r="K166" s="28" t="str">
        <f>_xlfn.XLOOKUP(B166,customers!A:A,customers!D:D)</f>
        <v>Regular</v>
      </c>
    </row>
    <row r="167" spans="1:11" x14ac:dyDescent="0.25">
      <c r="A167" s="5" t="s">
        <v>6728</v>
      </c>
      <c r="B167" s="5" t="s">
        <v>830</v>
      </c>
      <c r="C167" s="5" t="s">
        <v>7309</v>
      </c>
      <c r="D167" s="1">
        <v>45634</v>
      </c>
      <c r="E167" s="17">
        <v>0.87708333333333333</v>
      </c>
      <c r="F167" s="5" t="s">
        <v>7305</v>
      </c>
      <c r="G167" s="12">
        <v>621</v>
      </c>
      <c r="H167" s="12">
        <v>0</v>
      </c>
      <c r="I167" s="12">
        <v>621</v>
      </c>
      <c r="J167" s="12">
        <f>SUMIF(order_item!B:B,A167,order_item!E:E)</f>
        <v>621</v>
      </c>
      <c r="K167" s="28" t="str">
        <f>_xlfn.XLOOKUP(B167,customers!A:A,customers!D:D)</f>
        <v>Regular</v>
      </c>
    </row>
    <row r="168" spans="1:11" x14ac:dyDescent="0.25">
      <c r="A168" s="5" t="s">
        <v>6725</v>
      </c>
      <c r="B168" s="5" t="s">
        <v>778</v>
      </c>
      <c r="C168" s="5" t="s">
        <v>7309</v>
      </c>
      <c r="D168" s="1">
        <v>45459</v>
      </c>
      <c r="E168" s="17">
        <v>0.61527777777777781</v>
      </c>
      <c r="F168" s="5" t="s">
        <v>7305</v>
      </c>
      <c r="G168" s="12">
        <v>496</v>
      </c>
      <c r="H168" s="12">
        <v>49.6</v>
      </c>
      <c r="I168" s="12">
        <v>446.4</v>
      </c>
      <c r="J168" s="12">
        <f>SUMIF(order_item!B:B,A168,order_item!E:E)</f>
        <v>496</v>
      </c>
      <c r="K168" s="28" t="str">
        <f>_xlfn.XLOOKUP(B168,customers!A:A,customers!D:D)</f>
        <v>Regular</v>
      </c>
    </row>
    <row r="169" spans="1:11" x14ac:dyDescent="0.25">
      <c r="A169" s="5" t="s">
        <v>6722</v>
      </c>
      <c r="B169" s="5" t="s">
        <v>180</v>
      </c>
      <c r="C169" s="5" t="s">
        <v>7306</v>
      </c>
      <c r="D169" s="1">
        <v>45648</v>
      </c>
      <c r="E169" s="17">
        <v>0.87361111111111101</v>
      </c>
      <c r="F169" s="5" t="s">
        <v>7305</v>
      </c>
      <c r="G169" s="12">
        <v>188</v>
      </c>
      <c r="H169" s="12">
        <v>0</v>
      </c>
      <c r="I169" s="12">
        <v>188</v>
      </c>
      <c r="J169" s="12">
        <f>SUMIF(order_item!B:B,A169,order_item!E:E)</f>
        <v>188</v>
      </c>
      <c r="K169" s="28" t="str">
        <f>_xlfn.XLOOKUP(B169,customers!A:A,customers!D:D)</f>
        <v>Regular</v>
      </c>
    </row>
    <row r="170" spans="1:11" x14ac:dyDescent="0.25">
      <c r="A170" s="5" t="s">
        <v>6718</v>
      </c>
      <c r="B170" s="5" t="s">
        <v>184</v>
      </c>
      <c r="C170" s="5" t="s">
        <v>7309</v>
      </c>
      <c r="D170" s="1">
        <v>45538</v>
      </c>
      <c r="E170" s="17">
        <v>0.69374999999999998</v>
      </c>
      <c r="F170" s="5" t="s">
        <v>7305</v>
      </c>
      <c r="G170" s="12">
        <v>674</v>
      </c>
      <c r="H170" s="12">
        <v>0</v>
      </c>
      <c r="I170" s="12">
        <v>674</v>
      </c>
      <c r="J170" s="12">
        <f>SUMIF(order_item!B:B,A170,order_item!E:E)</f>
        <v>674</v>
      </c>
      <c r="K170" s="28" t="str">
        <f>_xlfn.XLOOKUP(B170,customers!A:A,customers!D:D)</f>
        <v>Regular</v>
      </c>
    </row>
    <row r="171" spans="1:11" x14ac:dyDescent="0.25">
      <c r="A171" s="5" t="s">
        <v>6715</v>
      </c>
      <c r="B171" s="5" t="s">
        <v>490</v>
      </c>
      <c r="C171" s="5" t="s">
        <v>7306</v>
      </c>
      <c r="D171" s="1">
        <v>45516</v>
      </c>
      <c r="E171" s="17">
        <v>0.67083333333333339</v>
      </c>
      <c r="F171" s="5" t="s">
        <v>7305</v>
      </c>
      <c r="G171" s="12">
        <v>178</v>
      </c>
      <c r="H171" s="12">
        <v>0</v>
      </c>
      <c r="I171" s="12">
        <v>178</v>
      </c>
      <c r="J171" s="12">
        <f>SUMIF(order_item!B:B,A171,order_item!E:E)</f>
        <v>178</v>
      </c>
      <c r="K171" s="28" t="str">
        <f>_xlfn.XLOOKUP(B171,customers!A:A,customers!D:D)</f>
        <v>New</v>
      </c>
    </row>
    <row r="172" spans="1:11" x14ac:dyDescent="0.25">
      <c r="A172" s="5" t="s">
        <v>6711</v>
      </c>
      <c r="B172" s="5" t="s">
        <v>433</v>
      </c>
      <c r="C172" s="5" t="s">
        <v>7309</v>
      </c>
      <c r="D172" s="1">
        <v>45542</v>
      </c>
      <c r="E172" s="17">
        <v>0.86388888888888893</v>
      </c>
      <c r="F172" s="5" t="s">
        <v>7305</v>
      </c>
      <c r="G172" s="12">
        <v>713</v>
      </c>
      <c r="H172" s="12">
        <v>35.65</v>
      </c>
      <c r="I172" s="12">
        <v>677.35</v>
      </c>
      <c r="J172" s="12">
        <f>SUMIF(order_item!B:B,A172,order_item!E:E)</f>
        <v>713</v>
      </c>
      <c r="K172" s="28" t="str">
        <f>_xlfn.XLOOKUP(B172,customers!A:A,customers!D:D)</f>
        <v>New</v>
      </c>
    </row>
    <row r="173" spans="1:11" x14ac:dyDescent="0.25">
      <c r="A173" s="5" t="s">
        <v>6708</v>
      </c>
      <c r="B173" s="5" t="s">
        <v>612</v>
      </c>
      <c r="C173" s="5" t="s">
        <v>7306</v>
      </c>
      <c r="D173" s="1">
        <v>45531</v>
      </c>
      <c r="E173" s="17">
        <v>0.66111111111111109</v>
      </c>
      <c r="F173" s="5" t="s">
        <v>7307</v>
      </c>
      <c r="G173" s="12">
        <v>515</v>
      </c>
      <c r="H173" s="12">
        <v>0</v>
      </c>
      <c r="I173" s="12">
        <v>0</v>
      </c>
      <c r="J173" s="12">
        <f>SUMIF(order_item!B:B,A173,order_item!E:E)</f>
        <v>515</v>
      </c>
      <c r="K173" s="28" t="str">
        <f>_xlfn.XLOOKUP(B173,customers!A:A,customers!D:D)</f>
        <v>Regular</v>
      </c>
    </row>
    <row r="174" spans="1:11" x14ac:dyDescent="0.25">
      <c r="A174" s="5" t="s">
        <v>6704</v>
      </c>
      <c r="B174" s="5" t="s">
        <v>741</v>
      </c>
      <c r="C174" s="5" t="s">
        <v>7309</v>
      </c>
      <c r="D174" s="1">
        <v>45420</v>
      </c>
      <c r="E174" s="17">
        <v>0.97499999999999998</v>
      </c>
      <c r="F174" s="5" t="s">
        <v>7305</v>
      </c>
      <c r="G174" s="12">
        <v>456</v>
      </c>
      <c r="H174" s="12">
        <v>0</v>
      </c>
      <c r="I174" s="12">
        <v>456</v>
      </c>
      <c r="J174" s="12">
        <f>SUMIF(order_item!B:B,A174,order_item!E:E)</f>
        <v>456</v>
      </c>
      <c r="K174" s="28" t="str">
        <f>_xlfn.XLOOKUP(B174,customers!A:A,customers!D:D)</f>
        <v>Premium</v>
      </c>
    </row>
    <row r="175" spans="1:11" x14ac:dyDescent="0.25">
      <c r="A175" s="5" t="s">
        <v>6700</v>
      </c>
      <c r="B175" s="5" t="s">
        <v>748</v>
      </c>
      <c r="C175" s="5" t="s">
        <v>7306</v>
      </c>
      <c r="D175" s="1">
        <v>45628</v>
      </c>
      <c r="E175" s="17">
        <v>0.49305555555555558</v>
      </c>
      <c r="F175" s="5" t="s">
        <v>7305</v>
      </c>
      <c r="G175" s="12">
        <v>1089</v>
      </c>
      <c r="H175" s="12">
        <v>0</v>
      </c>
      <c r="I175" s="12">
        <v>1089</v>
      </c>
      <c r="J175" s="12">
        <f>SUMIF(order_item!B:B,A175,order_item!E:E)</f>
        <v>1089</v>
      </c>
      <c r="K175" s="28" t="str">
        <f>_xlfn.XLOOKUP(B175,customers!A:A,customers!D:D)</f>
        <v>Regular</v>
      </c>
    </row>
    <row r="176" spans="1:11" x14ac:dyDescent="0.25">
      <c r="A176" s="5" t="s">
        <v>6696</v>
      </c>
      <c r="B176" s="5" t="s">
        <v>418</v>
      </c>
      <c r="C176" s="5" t="s">
        <v>7309</v>
      </c>
      <c r="D176" s="1">
        <v>45551</v>
      </c>
      <c r="E176" s="17">
        <v>0.88888888888888884</v>
      </c>
      <c r="F176" s="5" t="s">
        <v>7305</v>
      </c>
      <c r="G176" s="12">
        <v>336</v>
      </c>
      <c r="H176" s="12">
        <v>0</v>
      </c>
      <c r="I176" s="12">
        <v>336</v>
      </c>
      <c r="J176" s="12">
        <f>SUMIF(order_item!B:B,A176,order_item!E:E)</f>
        <v>336</v>
      </c>
      <c r="K176" s="28" t="str">
        <f>_xlfn.XLOOKUP(B176,customers!A:A,customers!D:D)</f>
        <v>Regular</v>
      </c>
    </row>
    <row r="177" spans="1:11" x14ac:dyDescent="0.25">
      <c r="A177" s="5" t="s">
        <v>6694</v>
      </c>
      <c r="B177" s="5" t="s">
        <v>660</v>
      </c>
      <c r="C177" s="5" t="s">
        <v>7308</v>
      </c>
      <c r="D177" s="1">
        <v>45608</v>
      </c>
      <c r="E177" s="17">
        <v>0.75</v>
      </c>
      <c r="F177" s="5" t="s">
        <v>7305</v>
      </c>
      <c r="G177" s="12">
        <v>198</v>
      </c>
      <c r="H177" s="12">
        <v>0</v>
      </c>
      <c r="I177" s="12">
        <v>198</v>
      </c>
      <c r="J177" s="12">
        <f>SUMIF(order_item!B:B,A177,order_item!E:E)</f>
        <v>198</v>
      </c>
      <c r="K177" s="28" t="str">
        <f>_xlfn.XLOOKUP(B177,customers!A:A,customers!D:D)</f>
        <v>Regular</v>
      </c>
    </row>
    <row r="178" spans="1:11" x14ac:dyDescent="0.25">
      <c r="A178" s="5" t="s">
        <v>6691</v>
      </c>
      <c r="B178" s="5" t="s">
        <v>809</v>
      </c>
      <c r="C178" s="5" t="s">
        <v>7309</v>
      </c>
      <c r="D178" s="1">
        <v>45596</v>
      </c>
      <c r="E178" s="17">
        <v>0.83958333333333324</v>
      </c>
      <c r="F178" s="5" t="s">
        <v>7305</v>
      </c>
      <c r="G178" s="12">
        <v>526</v>
      </c>
      <c r="H178" s="12">
        <v>52.6</v>
      </c>
      <c r="I178" s="12">
        <v>473.4</v>
      </c>
      <c r="J178" s="12">
        <f>SUMIF(order_item!B:B,A178,order_item!E:E)</f>
        <v>526</v>
      </c>
      <c r="K178" s="28" t="str">
        <f>_xlfn.XLOOKUP(B178,customers!A:A,customers!D:D)</f>
        <v>Regular</v>
      </c>
    </row>
    <row r="179" spans="1:11" x14ac:dyDescent="0.25">
      <c r="A179" s="5" t="s">
        <v>6687</v>
      </c>
      <c r="B179" s="5" t="s">
        <v>646</v>
      </c>
      <c r="C179" s="5" t="s">
        <v>7306</v>
      </c>
      <c r="D179" s="1">
        <v>45600</v>
      </c>
      <c r="E179" s="17">
        <v>0.69861111111111107</v>
      </c>
      <c r="F179" s="5" t="s">
        <v>7305</v>
      </c>
      <c r="G179" s="12">
        <v>754</v>
      </c>
      <c r="H179" s="12">
        <v>37.700000000000003</v>
      </c>
      <c r="I179" s="12">
        <v>716.3</v>
      </c>
      <c r="J179" s="12">
        <f>SUMIF(order_item!B:B,A179,order_item!E:E)</f>
        <v>754</v>
      </c>
      <c r="K179" s="28" t="str">
        <f>_xlfn.XLOOKUP(B179,customers!A:A,customers!D:D)</f>
        <v>Regular</v>
      </c>
    </row>
    <row r="180" spans="1:11" x14ac:dyDescent="0.25">
      <c r="A180" s="5" t="s">
        <v>6683</v>
      </c>
      <c r="B180" s="5" t="s">
        <v>99</v>
      </c>
      <c r="C180" s="5" t="s">
        <v>7308</v>
      </c>
      <c r="D180" s="1">
        <v>45718</v>
      </c>
      <c r="E180" s="17">
        <v>0.80972222222222223</v>
      </c>
      <c r="F180" s="5" t="s">
        <v>7307</v>
      </c>
      <c r="G180" s="12">
        <v>516</v>
      </c>
      <c r="H180" s="12">
        <v>0</v>
      </c>
      <c r="I180" s="12">
        <v>0</v>
      </c>
      <c r="J180" s="12">
        <f>SUMIF(order_item!B:B,A180,order_item!E:E)</f>
        <v>516</v>
      </c>
      <c r="K180" s="28" t="str">
        <f>_xlfn.XLOOKUP(B180,customers!A:A,customers!D:D)</f>
        <v>New</v>
      </c>
    </row>
    <row r="181" spans="1:11" x14ac:dyDescent="0.25">
      <c r="A181" s="5" t="s">
        <v>6680</v>
      </c>
      <c r="B181" s="5" t="s">
        <v>288</v>
      </c>
      <c r="C181" s="5" t="s">
        <v>7306</v>
      </c>
      <c r="D181" s="1">
        <v>45442</v>
      </c>
      <c r="E181" s="17">
        <v>0.64444444444444449</v>
      </c>
      <c r="F181" s="5" t="s">
        <v>7305</v>
      </c>
      <c r="G181" s="12">
        <v>178</v>
      </c>
      <c r="H181" s="12">
        <v>0</v>
      </c>
      <c r="I181" s="12">
        <v>178</v>
      </c>
      <c r="J181" s="12">
        <f>SUMIF(order_item!B:B,A181,order_item!E:E)</f>
        <v>178</v>
      </c>
      <c r="K181" s="28" t="str">
        <f>_xlfn.XLOOKUP(B181,customers!A:A,customers!D:D)</f>
        <v>Regular</v>
      </c>
    </row>
    <row r="182" spans="1:11" x14ac:dyDescent="0.25">
      <c r="A182" s="5" t="s">
        <v>6677</v>
      </c>
      <c r="B182" s="5" t="s">
        <v>510</v>
      </c>
      <c r="C182" s="5" t="s">
        <v>7309</v>
      </c>
      <c r="D182" s="1">
        <v>45402</v>
      </c>
      <c r="E182" s="17">
        <v>0.68402777777777779</v>
      </c>
      <c r="F182" s="5" t="s">
        <v>7305</v>
      </c>
      <c r="G182" s="12">
        <v>356</v>
      </c>
      <c r="H182" s="12">
        <v>17.8</v>
      </c>
      <c r="I182" s="12">
        <v>338.2</v>
      </c>
      <c r="J182" s="12">
        <f>SUMIF(order_item!B:B,A182,order_item!E:E)</f>
        <v>356</v>
      </c>
      <c r="K182" s="28" t="str">
        <f>_xlfn.XLOOKUP(B182,customers!A:A,customers!D:D)</f>
        <v>Regular</v>
      </c>
    </row>
    <row r="183" spans="1:11" x14ac:dyDescent="0.25">
      <c r="A183" s="5" t="s">
        <v>6673</v>
      </c>
      <c r="B183" s="5" t="s">
        <v>352</v>
      </c>
      <c r="C183" s="5" t="s">
        <v>7308</v>
      </c>
      <c r="D183" s="1">
        <v>45482</v>
      </c>
      <c r="E183" s="17">
        <v>0.80555555555555547</v>
      </c>
      <c r="F183" s="5" t="s">
        <v>7305</v>
      </c>
      <c r="G183" s="12">
        <v>286</v>
      </c>
      <c r="H183" s="12">
        <v>0</v>
      </c>
      <c r="I183" s="12">
        <v>286</v>
      </c>
      <c r="J183" s="12">
        <f>SUMIF(order_item!B:B,A183,order_item!E:E)</f>
        <v>286</v>
      </c>
      <c r="K183" s="28" t="str">
        <f>_xlfn.XLOOKUP(B183,customers!A:A,customers!D:D)</f>
        <v>Premium</v>
      </c>
    </row>
    <row r="184" spans="1:11" x14ac:dyDescent="0.25">
      <c r="A184" s="5" t="s">
        <v>6669</v>
      </c>
      <c r="B184" s="5" t="s">
        <v>770</v>
      </c>
      <c r="C184" s="5" t="s">
        <v>7309</v>
      </c>
      <c r="D184" s="1">
        <v>45614</v>
      </c>
      <c r="E184" s="17">
        <v>0.94374999999999998</v>
      </c>
      <c r="F184" s="5" t="s">
        <v>7305</v>
      </c>
      <c r="G184" s="12">
        <v>774</v>
      </c>
      <c r="H184" s="12">
        <v>38.700000000000003</v>
      </c>
      <c r="I184" s="12">
        <v>735.3</v>
      </c>
      <c r="J184" s="12">
        <f>SUMIF(order_item!B:B,A184,order_item!E:E)</f>
        <v>774</v>
      </c>
      <c r="K184" s="28" t="str">
        <f>_xlfn.XLOOKUP(B184,customers!A:A,customers!D:D)</f>
        <v>Regular</v>
      </c>
    </row>
    <row r="185" spans="1:11" x14ac:dyDescent="0.25">
      <c r="A185" s="5" t="s">
        <v>6666</v>
      </c>
      <c r="B185" s="5" t="s">
        <v>344</v>
      </c>
      <c r="C185" s="5" t="s">
        <v>7306</v>
      </c>
      <c r="D185" s="1">
        <v>45697</v>
      </c>
      <c r="E185" s="17">
        <v>0.38958333333333334</v>
      </c>
      <c r="F185" s="5" t="s">
        <v>7305</v>
      </c>
      <c r="G185" s="12">
        <v>377</v>
      </c>
      <c r="H185" s="12">
        <v>0</v>
      </c>
      <c r="I185" s="12">
        <v>377</v>
      </c>
      <c r="J185" s="12">
        <f>SUMIF(order_item!B:B,A185,order_item!E:E)</f>
        <v>377</v>
      </c>
      <c r="K185" s="28" t="str">
        <f>_xlfn.XLOOKUP(B185,customers!A:A,customers!D:D)</f>
        <v>Regular</v>
      </c>
    </row>
    <row r="186" spans="1:11" x14ac:dyDescent="0.25">
      <c r="A186" s="5" t="s">
        <v>6661</v>
      </c>
      <c r="B186" s="5" t="s">
        <v>340</v>
      </c>
      <c r="C186" s="5" t="s">
        <v>7306</v>
      </c>
      <c r="D186" s="1">
        <v>45594</v>
      </c>
      <c r="E186" s="17">
        <v>0.73888888888888893</v>
      </c>
      <c r="F186" s="5" t="s">
        <v>7307</v>
      </c>
      <c r="G186" s="12">
        <v>871</v>
      </c>
      <c r="H186" s="12">
        <v>130.65</v>
      </c>
      <c r="I186" s="12">
        <v>0</v>
      </c>
      <c r="J186" s="12">
        <f>SUMIF(order_item!B:B,A186,order_item!E:E)</f>
        <v>871</v>
      </c>
      <c r="K186" s="28" t="str">
        <f>_xlfn.XLOOKUP(B186,customers!A:A,customers!D:D)</f>
        <v>Regular</v>
      </c>
    </row>
    <row r="187" spans="1:11" x14ac:dyDescent="0.25">
      <c r="A187" s="5" t="s">
        <v>6658</v>
      </c>
      <c r="B187" s="5" t="s">
        <v>177</v>
      </c>
      <c r="C187" s="5" t="s">
        <v>7309</v>
      </c>
      <c r="D187" s="1">
        <v>45495</v>
      </c>
      <c r="E187" s="17">
        <v>5.7638888888888885E-2</v>
      </c>
      <c r="F187" s="5" t="s">
        <v>7305</v>
      </c>
      <c r="G187" s="12">
        <v>138</v>
      </c>
      <c r="H187" s="12">
        <v>0</v>
      </c>
      <c r="I187" s="12">
        <v>138</v>
      </c>
      <c r="J187" s="12">
        <f>SUMIF(order_item!B:B,A187,order_item!E:E)</f>
        <v>138</v>
      </c>
      <c r="K187" s="28" t="str">
        <f>_xlfn.XLOOKUP(B187,customers!A:A,customers!D:D)</f>
        <v>New</v>
      </c>
    </row>
    <row r="188" spans="1:11" x14ac:dyDescent="0.25">
      <c r="A188" s="5" t="s">
        <v>6655</v>
      </c>
      <c r="B188" s="5" t="s">
        <v>457</v>
      </c>
      <c r="C188" s="5" t="s">
        <v>7308</v>
      </c>
      <c r="D188" s="1">
        <v>45590</v>
      </c>
      <c r="E188" s="17">
        <v>0.8534722222222223</v>
      </c>
      <c r="F188" s="5" t="s">
        <v>7305</v>
      </c>
      <c r="G188" s="12">
        <v>158</v>
      </c>
      <c r="H188" s="12">
        <v>0</v>
      </c>
      <c r="I188" s="12">
        <v>158</v>
      </c>
      <c r="J188" s="12">
        <f>SUMIF(order_item!B:B,A188,order_item!E:E)</f>
        <v>158</v>
      </c>
      <c r="K188" s="28" t="str">
        <f>_xlfn.XLOOKUP(B188,customers!A:A,customers!D:D)</f>
        <v>New</v>
      </c>
    </row>
    <row r="189" spans="1:11" x14ac:dyDescent="0.25">
      <c r="A189" s="5" t="s">
        <v>6650</v>
      </c>
      <c r="B189" s="5" t="s">
        <v>676</v>
      </c>
      <c r="C189" s="5" t="s">
        <v>7306</v>
      </c>
      <c r="D189" s="1">
        <v>45528</v>
      </c>
      <c r="E189" s="17">
        <v>0.73055555555555562</v>
      </c>
      <c r="F189" s="5" t="s">
        <v>7305</v>
      </c>
      <c r="G189" s="12">
        <v>762</v>
      </c>
      <c r="H189" s="12">
        <v>0</v>
      </c>
      <c r="I189" s="12">
        <v>762</v>
      </c>
      <c r="J189" s="12">
        <f>SUMIF(order_item!B:B,A189,order_item!E:E)</f>
        <v>762</v>
      </c>
      <c r="K189" s="28" t="str">
        <f>_xlfn.XLOOKUP(B189,customers!A:A,customers!D:D)</f>
        <v>New</v>
      </c>
    </row>
    <row r="190" spans="1:11" x14ac:dyDescent="0.25">
      <c r="A190" s="5" t="s">
        <v>6645</v>
      </c>
      <c r="B190" s="5" t="s">
        <v>715</v>
      </c>
      <c r="C190" s="5" t="s">
        <v>7309</v>
      </c>
      <c r="D190" s="1">
        <v>45732</v>
      </c>
      <c r="E190" s="17">
        <v>0.90486111111111101</v>
      </c>
      <c r="F190" s="5" t="s">
        <v>7305</v>
      </c>
      <c r="G190" s="12">
        <v>771</v>
      </c>
      <c r="H190" s="12">
        <v>77.099999999999994</v>
      </c>
      <c r="I190" s="12">
        <v>693.9</v>
      </c>
      <c r="J190" s="12">
        <f>SUMIF(order_item!B:B,A190,order_item!E:E)</f>
        <v>771</v>
      </c>
      <c r="K190" s="28" t="str">
        <f>_xlfn.XLOOKUP(B190,customers!A:A,customers!D:D)</f>
        <v>Premium</v>
      </c>
    </row>
    <row r="191" spans="1:11" x14ac:dyDescent="0.25">
      <c r="A191" s="5" t="s">
        <v>6640</v>
      </c>
      <c r="B191" s="5" t="s">
        <v>124</v>
      </c>
      <c r="C191" s="5" t="s">
        <v>7308</v>
      </c>
      <c r="D191" s="1">
        <v>45635</v>
      </c>
      <c r="E191" s="17">
        <v>0.4770833333333333</v>
      </c>
      <c r="F191" s="5" t="s">
        <v>7305</v>
      </c>
      <c r="G191" s="12">
        <v>691</v>
      </c>
      <c r="H191" s="12">
        <v>69.099999999999994</v>
      </c>
      <c r="I191" s="12">
        <v>621.9</v>
      </c>
      <c r="J191" s="12">
        <f>SUMIF(order_item!B:B,A191,order_item!E:E)</f>
        <v>691</v>
      </c>
      <c r="K191" s="28" t="str">
        <f>_xlfn.XLOOKUP(B191,customers!A:A,customers!D:D)</f>
        <v>Regular</v>
      </c>
    </row>
    <row r="192" spans="1:11" x14ac:dyDescent="0.25">
      <c r="A192" s="5" t="s">
        <v>6636</v>
      </c>
      <c r="B192" s="5" t="s">
        <v>222</v>
      </c>
      <c r="C192" s="5" t="s">
        <v>7308</v>
      </c>
      <c r="D192" s="1">
        <v>45732</v>
      </c>
      <c r="E192" s="17">
        <v>0.9159722222222223</v>
      </c>
      <c r="F192" s="5" t="s">
        <v>7305</v>
      </c>
      <c r="G192" s="12">
        <v>485</v>
      </c>
      <c r="H192" s="12">
        <v>0</v>
      </c>
      <c r="I192" s="12">
        <v>485</v>
      </c>
      <c r="J192" s="12">
        <f>SUMIF(order_item!B:B,A192,order_item!E:E)</f>
        <v>485</v>
      </c>
      <c r="K192" s="28" t="str">
        <f>_xlfn.XLOOKUP(B192,customers!A:A,customers!D:D)</f>
        <v>Regular</v>
      </c>
    </row>
    <row r="193" spans="1:11" x14ac:dyDescent="0.25">
      <c r="A193" s="5" t="s">
        <v>6631</v>
      </c>
      <c r="B193" s="5" t="s">
        <v>349</v>
      </c>
      <c r="C193" s="5" t="s">
        <v>7306</v>
      </c>
      <c r="D193" s="1">
        <v>45478</v>
      </c>
      <c r="E193" s="17">
        <v>0.58680555555555558</v>
      </c>
      <c r="F193" s="5" t="s">
        <v>7305</v>
      </c>
      <c r="G193" s="12">
        <v>545</v>
      </c>
      <c r="H193" s="12">
        <v>0</v>
      </c>
      <c r="I193" s="12">
        <v>545</v>
      </c>
      <c r="J193" s="12">
        <f>SUMIF(order_item!B:B,A193,order_item!E:E)</f>
        <v>545</v>
      </c>
      <c r="K193" s="28" t="str">
        <f>_xlfn.XLOOKUP(B193,customers!A:A,customers!D:D)</f>
        <v>New</v>
      </c>
    </row>
    <row r="194" spans="1:11" x14ac:dyDescent="0.25">
      <c r="A194" s="5" t="s">
        <v>6628</v>
      </c>
      <c r="B194" s="5" t="s">
        <v>365</v>
      </c>
      <c r="C194" s="5" t="s">
        <v>7308</v>
      </c>
      <c r="D194" s="1">
        <v>45719</v>
      </c>
      <c r="E194" s="17">
        <v>0.53263888888888888</v>
      </c>
      <c r="F194" s="5" t="s">
        <v>7305</v>
      </c>
      <c r="G194" s="12">
        <v>396</v>
      </c>
      <c r="H194" s="12">
        <v>0</v>
      </c>
      <c r="I194" s="12">
        <v>396</v>
      </c>
      <c r="J194" s="12">
        <f>SUMIF(order_item!B:B,A194,order_item!E:E)</f>
        <v>396</v>
      </c>
      <c r="K194" s="28" t="str">
        <f>_xlfn.XLOOKUP(B194,customers!A:A,customers!D:D)</f>
        <v>Premium</v>
      </c>
    </row>
    <row r="195" spans="1:11" x14ac:dyDescent="0.25">
      <c r="A195" s="5" t="s">
        <v>6624</v>
      </c>
      <c r="B195" s="5" t="s">
        <v>305</v>
      </c>
      <c r="C195" s="5" t="s">
        <v>7306</v>
      </c>
      <c r="D195" s="1">
        <v>45704</v>
      </c>
      <c r="E195" s="17">
        <v>0.69305555555555554</v>
      </c>
      <c r="F195" s="5" t="s">
        <v>7305</v>
      </c>
      <c r="G195" s="12">
        <v>1062</v>
      </c>
      <c r="H195" s="12">
        <v>0</v>
      </c>
      <c r="I195" s="12">
        <v>1062</v>
      </c>
      <c r="J195" s="12">
        <f>SUMIF(order_item!B:B,A195,order_item!E:E)</f>
        <v>1062</v>
      </c>
      <c r="K195" s="28" t="str">
        <f>_xlfn.XLOOKUP(B195,customers!A:A,customers!D:D)</f>
        <v>Regular</v>
      </c>
    </row>
    <row r="196" spans="1:11" x14ac:dyDescent="0.25">
      <c r="A196" s="5" t="s">
        <v>6621</v>
      </c>
      <c r="B196" s="5" t="s">
        <v>479</v>
      </c>
      <c r="C196" s="5" t="s">
        <v>7309</v>
      </c>
      <c r="D196" s="1">
        <v>45681</v>
      </c>
      <c r="E196" s="17">
        <v>0.73125000000000007</v>
      </c>
      <c r="F196" s="5" t="s">
        <v>7305</v>
      </c>
      <c r="G196" s="12">
        <v>228</v>
      </c>
      <c r="H196" s="12">
        <v>22.8</v>
      </c>
      <c r="I196" s="12">
        <v>205.2</v>
      </c>
      <c r="J196" s="12">
        <f>SUMIF(order_item!B:B,A196,order_item!E:E)</f>
        <v>228</v>
      </c>
      <c r="K196" s="28" t="str">
        <f>_xlfn.XLOOKUP(B196,customers!A:A,customers!D:D)</f>
        <v>Regular</v>
      </c>
    </row>
    <row r="197" spans="1:11" x14ac:dyDescent="0.25">
      <c r="A197" s="5" t="s">
        <v>6616</v>
      </c>
      <c r="B197" s="5" t="s">
        <v>663</v>
      </c>
      <c r="C197" s="5" t="s">
        <v>7306</v>
      </c>
      <c r="D197" s="1">
        <v>45661</v>
      </c>
      <c r="E197" s="17">
        <v>0.7270833333333333</v>
      </c>
      <c r="F197" s="5" t="s">
        <v>7305</v>
      </c>
      <c r="G197" s="12">
        <v>1251</v>
      </c>
      <c r="H197" s="12">
        <v>0</v>
      </c>
      <c r="I197" s="12">
        <v>1251</v>
      </c>
      <c r="J197" s="12">
        <f>SUMIF(order_item!B:B,A197,order_item!E:E)</f>
        <v>1251</v>
      </c>
      <c r="K197" s="28" t="str">
        <f>_xlfn.XLOOKUP(B197,customers!A:A,customers!D:D)</f>
        <v>Regular</v>
      </c>
    </row>
    <row r="198" spans="1:11" x14ac:dyDescent="0.25">
      <c r="A198" s="5" t="s">
        <v>6614</v>
      </c>
      <c r="B198" s="5" t="s">
        <v>140</v>
      </c>
      <c r="C198" s="5" t="s">
        <v>7306</v>
      </c>
      <c r="D198" s="1">
        <v>45517</v>
      </c>
      <c r="E198" s="17">
        <v>0.81736111111111109</v>
      </c>
      <c r="F198" s="5" t="s">
        <v>7305</v>
      </c>
      <c r="G198" s="12">
        <v>118</v>
      </c>
      <c r="H198" s="12">
        <v>0</v>
      </c>
      <c r="I198" s="12">
        <v>118</v>
      </c>
      <c r="J198" s="12">
        <f>SUMIF(order_item!B:B,A198,order_item!E:E)</f>
        <v>118</v>
      </c>
      <c r="K198" s="28" t="str">
        <f>_xlfn.XLOOKUP(B198,customers!A:A,customers!D:D)</f>
        <v>Regular</v>
      </c>
    </row>
    <row r="199" spans="1:11" x14ac:dyDescent="0.25">
      <c r="A199" s="5" t="s">
        <v>6610</v>
      </c>
      <c r="B199" s="5" t="s">
        <v>333</v>
      </c>
      <c r="C199" s="5" t="s">
        <v>7309</v>
      </c>
      <c r="D199" s="1">
        <v>45446</v>
      </c>
      <c r="E199" s="17">
        <v>0.42152777777777778</v>
      </c>
      <c r="F199" s="5" t="s">
        <v>7305</v>
      </c>
      <c r="G199" s="12">
        <v>634</v>
      </c>
      <c r="H199" s="12">
        <v>31.7</v>
      </c>
      <c r="I199" s="12">
        <v>602.29999999999995</v>
      </c>
      <c r="J199" s="12">
        <f>SUMIF(order_item!B:B,A199,order_item!E:E)</f>
        <v>634</v>
      </c>
      <c r="K199" s="28" t="str">
        <f>_xlfn.XLOOKUP(B199,customers!A:A,customers!D:D)</f>
        <v>Regular</v>
      </c>
    </row>
    <row r="200" spans="1:11" x14ac:dyDescent="0.25">
      <c r="A200" s="5" t="s">
        <v>6606</v>
      </c>
      <c r="B200" s="5" t="s">
        <v>768</v>
      </c>
      <c r="C200" s="5" t="s">
        <v>7309</v>
      </c>
      <c r="D200" s="1">
        <v>45714</v>
      </c>
      <c r="E200" s="17">
        <v>0.91319444444444453</v>
      </c>
      <c r="F200" s="5" t="s">
        <v>7305</v>
      </c>
      <c r="G200" s="12">
        <v>983</v>
      </c>
      <c r="H200" s="12">
        <v>0</v>
      </c>
      <c r="I200" s="12">
        <v>983</v>
      </c>
      <c r="J200" s="12">
        <f>SUMIF(order_item!B:B,A200,order_item!E:E)</f>
        <v>983</v>
      </c>
      <c r="K200" s="28" t="str">
        <f>_xlfn.XLOOKUP(B200,customers!A:A,customers!D:D)</f>
        <v>Regular</v>
      </c>
    </row>
    <row r="201" spans="1:11" x14ac:dyDescent="0.25">
      <c r="A201" s="5" t="s">
        <v>6601</v>
      </c>
      <c r="B201" s="5" t="s">
        <v>542</v>
      </c>
      <c r="C201" s="5" t="s">
        <v>7309</v>
      </c>
      <c r="D201" s="1">
        <v>45732</v>
      </c>
      <c r="E201" s="17">
        <v>0.75</v>
      </c>
      <c r="F201" s="5" t="s">
        <v>7305</v>
      </c>
      <c r="G201" s="12">
        <v>754</v>
      </c>
      <c r="H201" s="12">
        <v>0</v>
      </c>
      <c r="I201" s="12">
        <v>754</v>
      </c>
      <c r="J201" s="12">
        <f>SUMIF(order_item!B:B,A201,order_item!E:E)</f>
        <v>754</v>
      </c>
      <c r="K201" s="28" t="str">
        <f>_xlfn.XLOOKUP(B201,customers!A:A,customers!D:D)</f>
        <v>New</v>
      </c>
    </row>
    <row r="202" spans="1:11" x14ac:dyDescent="0.25">
      <c r="A202" s="5" t="s">
        <v>6598</v>
      </c>
      <c r="B202" s="5" t="s">
        <v>744</v>
      </c>
      <c r="C202" s="5" t="s">
        <v>7309</v>
      </c>
      <c r="D202" s="1">
        <v>45499</v>
      </c>
      <c r="E202" s="17">
        <v>0.7104166666666667</v>
      </c>
      <c r="F202" s="5" t="s">
        <v>7305</v>
      </c>
      <c r="G202" s="12">
        <v>397</v>
      </c>
      <c r="H202" s="12">
        <v>19.850000000000001</v>
      </c>
      <c r="I202" s="12">
        <v>377.15</v>
      </c>
      <c r="J202" s="12">
        <f>SUMIF(order_item!B:B,A202,order_item!E:E)</f>
        <v>397</v>
      </c>
      <c r="K202" s="28" t="str">
        <f>_xlfn.XLOOKUP(B202,customers!A:A,customers!D:D)</f>
        <v>New</v>
      </c>
    </row>
    <row r="203" spans="1:11" x14ac:dyDescent="0.25">
      <c r="A203" s="5" t="s">
        <v>6594</v>
      </c>
      <c r="B203" s="5" t="s">
        <v>416</v>
      </c>
      <c r="C203" s="5" t="s">
        <v>7306</v>
      </c>
      <c r="D203" s="1">
        <v>45553</v>
      </c>
      <c r="E203" s="17">
        <v>0.88750000000000007</v>
      </c>
      <c r="F203" s="5" t="s">
        <v>7305</v>
      </c>
      <c r="G203" s="12">
        <v>972</v>
      </c>
      <c r="H203" s="12">
        <v>97.2</v>
      </c>
      <c r="I203" s="12">
        <v>874.8</v>
      </c>
      <c r="J203" s="12">
        <f>SUMIF(order_item!B:B,A203,order_item!E:E)</f>
        <v>972</v>
      </c>
      <c r="K203" s="28" t="str">
        <f>_xlfn.XLOOKUP(B203,customers!A:A,customers!D:D)</f>
        <v>Regular</v>
      </c>
    </row>
    <row r="204" spans="1:11" x14ac:dyDescent="0.25">
      <c r="A204" s="5" t="s">
        <v>6590</v>
      </c>
      <c r="B204" s="5" t="s">
        <v>788</v>
      </c>
      <c r="C204" s="5" t="s">
        <v>7306</v>
      </c>
      <c r="D204" s="1">
        <v>45688</v>
      </c>
      <c r="E204" s="17">
        <v>0.79722222222222217</v>
      </c>
      <c r="F204" s="5" t="s">
        <v>7305</v>
      </c>
      <c r="G204" s="12">
        <v>715</v>
      </c>
      <c r="H204" s="12">
        <v>0</v>
      </c>
      <c r="I204" s="12">
        <v>715</v>
      </c>
      <c r="J204" s="12">
        <f>SUMIF(order_item!B:B,A204,order_item!E:E)</f>
        <v>715</v>
      </c>
      <c r="K204" s="28" t="str">
        <f>_xlfn.XLOOKUP(B204,customers!A:A,customers!D:D)</f>
        <v>New</v>
      </c>
    </row>
    <row r="205" spans="1:11" x14ac:dyDescent="0.25">
      <c r="A205" s="5" t="s">
        <v>6587</v>
      </c>
      <c r="B205" s="5" t="s">
        <v>418</v>
      </c>
      <c r="C205" s="5" t="s">
        <v>7306</v>
      </c>
      <c r="D205" s="1">
        <v>45576</v>
      </c>
      <c r="E205" s="17">
        <v>0.56041666666666667</v>
      </c>
      <c r="F205" s="5" t="s">
        <v>7305</v>
      </c>
      <c r="G205" s="12">
        <v>476</v>
      </c>
      <c r="H205" s="12">
        <v>0</v>
      </c>
      <c r="I205" s="12">
        <v>476</v>
      </c>
      <c r="J205" s="12">
        <f>SUMIF(order_item!B:B,A205,order_item!E:E)</f>
        <v>476</v>
      </c>
      <c r="K205" s="28" t="str">
        <f>_xlfn.XLOOKUP(B205,customers!A:A,customers!D:D)</f>
        <v>Regular</v>
      </c>
    </row>
    <row r="206" spans="1:11" x14ac:dyDescent="0.25">
      <c r="A206" s="5" t="s">
        <v>6585</v>
      </c>
      <c r="B206" s="5" t="s">
        <v>666</v>
      </c>
      <c r="C206" s="5" t="s">
        <v>7308</v>
      </c>
      <c r="D206" s="1">
        <v>45674</v>
      </c>
      <c r="E206" s="17">
        <v>0.53125</v>
      </c>
      <c r="F206" s="5" t="s">
        <v>7305</v>
      </c>
      <c r="G206" s="12">
        <v>159</v>
      </c>
      <c r="H206" s="12">
        <v>0</v>
      </c>
      <c r="I206" s="12">
        <v>159</v>
      </c>
      <c r="J206" s="12">
        <f>SUMIF(order_item!B:B,A206,order_item!E:E)</f>
        <v>159</v>
      </c>
      <c r="K206" s="28" t="str">
        <f>_xlfn.XLOOKUP(B206,customers!A:A,customers!D:D)</f>
        <v>New</v>
      </c>
    </row>
    <row r="207" spans="1:11" x14ac:dyDescent="0.25">
      <c r="A207" s="5" t="s">
        <v>6581</v>
      </c>
      <c r="B207" s="5" t="s">
        <v>640</v>
      </c>
      <c r="C207" s="5" t="s">
        <v>7309</v>
      </c>
      <c r="D207" s="1">
        <v>45670</v>
      </c>
      <c r="E207" s="17">
        <v>0.62638888888888888</v>
      </c>
      <c r="F207" s="5" t="s">
        <v>7305</v>
      </c>
      <c r="G207" s="12">
        <v>714</v>
      </c>
      <c r="H207" s="12">
        <v>35.700000000000003</v>
      </c>
      <c r="I207" s="12">
        <v>678.3</v>
      </c>
      <c r="J207" s="12">
        <f>SUMIF(order_item!B:B,A207,order_item!E:E)</f>
        <v>714</v>
      </c>
      <c r="K207" s="28" t="str">
        <f>_xlfn.XLOOKUP(B207,customers!A:A,customers!D:D)</f>
        <v>Regular</v>
      </c>
    </row>
    <row r="208" spans="1:11" x14ac:dyDescent="0.25">
      <c r="A208" s="5" t="s">
        <v>6578</v>
      </c>
      <c r="B208" s="5" t="s">
        <v>411</v>
      </c>
      <c r="C208" s="5" t="s">
        <v>7308</v>
      </c>
      <c r="D208" s="1">
        <v>45634</v>
      </c>
      <c r="E208" s="17">
        <v>0.9</v>
      </c>
      <c r="F208" s="5" t="s">
        <v>7305</v>
      </c>
      <c r="G208" s="12">
        <v>773</v>
      </c>
      <c r="H208" s="12">
        <v>0</v>
      </c>
      <c r="I208" s="12">
        <v>773</v>
      </c>
      <c r="J208" s="12">
        <f>SUMIF(order_item!B:B,A208,order_item!E:E)</f>
        <v>773</v>
      </c>
      <c r="K208" s="28" t="str">
        <f>_xlfn.XLOOKUP(B208,customers!A:A,customers!D:D)</f>
        <v>New</v>
      </c>
    </row>
    <row r="209" spans="1:11" x14ac:dyDescent="0.25">
      <c r="A209" s="5" t="s">
        <v>6573</v>
      </c>
      <c r="B209" s="5" t="s">
        <v>638</v>
      </c>
      <c r="C209" s="5" t="s">
        <v>7309</v>
      </c>
      <c r="D209" s="1">
        <v>45575</v>
      </c>
      <c r="E209" s="17">
        <v>0.87291666666666667</v>
      </c>
      <c r="F209" s="5" t="s">
        <v>7305</v>
      </c>
      <c r="G209" s="12">
        <v>890</v>
      </c>
      <c r="H209" s="12">
        <v>0</v>
      </c>
      <c r="I209" s="12">
        <v>890</v>
      </c>
      <c r="J209" s="12">
        <f>SUMIF(order_item!B:B,A209,order_item!E:E)</f>
        <v>890</v>
      </c>
      <c r="K209" s="28" t="str">
        <f>_xlfn.XLOOKUP(B209,customers!A:A,customers!D:D)</f>
        <v>New</v>
      </c>
    </row>
    <row r="210" spans="1:11" x14ac:dyDescent="0.25">
      <c r="A210" s="5" t="s">
        <v>6569</v>
      </c>
      <c r="B210" s="5" t="s">
        <v>606</v>
      </c>
      <c r="C210" s="5" t="s">
        <v>7306</v>
      </c>
      <c r="D210" s="1">
        <v>45736</v>
      </c>
      <c r="E210" s="17">
        <v>0.68125000000000002</v>
      </c>
      <c r="F210" s="5" t="s">
        <v>7305</v>
      </c>
      <c r="G210" s="12">
        <v>694</v>
      </c>
      <c r="H210" s="12">
        <v>0</v>
      </c>
      <c r="I210" s="12">
        <v>694</v>
      </c>
      <c r="J210" s="12">
        <f>SUMIF(order_item!B:B,A210,order_item!E:E)</f>
        <v>694</v>
      </c>
      <c r="K210" s="28" t="str">
        <f>_xlfn.XLOOKUP(B210,customers!A:A,customers!D:D)</f>
        <v>Regular</v>
      </c>
    </row>
    <row r="211" spans="1:11" x14ac:dyDescent="0.25">
      <c r="A211" s="5" t="s">
        <v>6566</v>
      </c>
      <c r="B211" s="5" t="s">
        <v>214</v>
      </c>
      <c r="C211" s="5" t="s">
        <v>7308</v>
      </c>
      <c r="D211" s="1">
        <v>45416</v>
      </c>
      <c r="E211" s="17">
        <v>0.60277777777777775</v>
      </c>
      <c r="F211" s="5" t="s">
        <v>7305</v>
      </c>
      <c r="G211" s="12">
        <v>833</v>
      </c>
      <c r="H211" s="12">
        <v>83.3</v>
      </c>
      <c r="I211" s="12">
        <v>749.7</v>
      </c>
      <c r="J211" s="12">
        <f>SUMIF(order_item!B:B,A211,order_item!E:E)</f>
        <v>833</v>
      </c>
      <c r="K211" s="28" t="str">
        <f>_xlfn.XLOOKUP(B211,customers!A:A,customers!D:D)</f>
        <v>Regular</v>
      </c>
    </row>
    <row r="212" spans="1:11" x14ac:dyDescent="0.25">
      <c r="A212" s="5" t="s">
        <v>6563</v>
      </c>
      <c r="B212" s="5" t="s">
        <v>741</v>
      </c>
      <c r="C212" s="5" t="s">
        <v>7309</v>
      </c>
      <c r="D212" s="1">
        <v>45582</v>
      </c>
      <c r="E212" s="17">
        <v>0.96458333333333324</v>
      </c>
      <c r="F212" s="5" t="s">
        <v>7305</v>
      </c>
      <c r="G212" s="12">
        <v>444</v>
      </c>
      <c r="H212" s="12">
        <v>0</v>
      </c>
      <c r="I212" s="12">
        <v>444</v>
      </c>
      <c r="J212" s="12">
        <f>SUMIF(order_item!B:B,A212,order_item!E:E)</f>
        <v>444</v>
      </c>
      <c r="K212" s="28" t="str">
        <f>_xlfn.XLOOKUP(B212,customers!A:A,customers!D:D)</f>
        <v>Premium</v>
      </c>
    </row>
    <row r="213" spans="1:11" x14ac:dyDescent="0.25">
      <c r="A213" s="5" t="s">
        <v>6561</v>
      </c>
      <c r="B213" s="5" t="s">
        <v>600</v>
      </c>
      <c r="C213" s="5" t="s">
        <v>7306</v>
      </c>
      <c r="D213" s="1">
        <v>45745</v>
      </c>
      <c r="E213" s="17">
        <v>0.68680555555555556</v>
      </c>
      <c r="F213" s="5" t="s">
        <v>7305</v>
      </c>
      <c r="G213" s="12">
        <v>158</v>
      </c>
      <c r="H213" s="12">
        <v>0</v>
      </c>
      <c r="I213" s="12">
        <v>158</v>
      </c>
      <c r="J213" s="12">
        <f>SUMIF(order_item!B:B,A213,order_item!E:E)</f>
        <v>158</v>
      </c>
      <c r="K213" s="28" t="str">
        <f>_xlfn.XLOOKUP(B213,customers!A:A,customers!D:D)</f>
        <v>Regular</v>
      </c>
    </row>
    <row r="214" spans="1:11" x14ac:dyDescent="0.25">
      <c r="A214" s="5" t="s">
        <v>6558</v>
      </c>
      <c r="B214" s="5" t="s">
        <v>492</v>
      </c>
      <c r="C214" s="5" t="s">
        <v>7306</v>
      </c>
      <c r="D214" s="1">
        <v>45416</v>
      </c>
      <c r="E214" s="17">
        <v>0.67083333333333339</v>
      </c>
      <c r="F214" s="5" t="s">
        <v>7305</v>
      </c>
      <c r="G214" s="12">
        <v>138</v>
      </c>
      <c r="H214" s="12">
        <v>0</v>
      </c>
      <c r="I214" s="12">
        <v>138</v>
      </c>
      <c r="J214" s="12">
        <f>SUMIF(order_item!B:B,A214,order_item!E:E)</f>
        <v>138</v>
      </c>
      <c r="K214" s="28" t="str">
        <f>_xlfn.XLOOKUP(B214,customers!A:A,customers!D:D)</f>
        <v>Regular</v>
      </c>
    </row>
    <row r="215" spans="1:11" x14ac:dyDescent="0.25">
      <c r="A215" s="5" t="s">
        <v>6555</v>
      </c>
      <c r="B215" s="5" t="s">
        <v>677</v>
      </c>
      <c r="C215" s="5" t="s">
        <v>7309</v>
      </c>
      <c r="D215" s="1">
        <v>45562</v>
      </c>
      <c r="E215" s="17">
        <v>0.71527777777777779</v>
      </c>
      <c r="F215" s="5" t="s">
        <v>7305</v>
      </c>
      <c r="G215" s="12">
        <v>197</v>
      </c>
      <c r="H215" s="12">
        <v>19.7</v>
      </c>
      <c r="I215" s="12">
        <v>177.3</v>
      </c>
      <c r="J215" s="12">
        <f>SUMIF(order_item!B:B,A215,order_item!E:E)</f>
        <v>197</v>
      </c>
      <c r="K215" s="28" t="str">
        <f>_xlfn.XLOOKUP(B215,customers!A:A,customers!D:D)</f>
        <v>Regular</v>
      </c>
    </row>
    <row r="216" spans="1:11" x14ac:dyDescent="0.25">
      <c r="A216" s="5" t="s">
        <v>6552</v>
      </c>
      <c r="B216" s="5" t="s">
        <v>147</v>
      </c>
      <c r="C216" s="5" t="s">
        <v>7309</v>
      </c>
      <c r="D216" s="1">
        <v>45602</v>
      </c>
      <c r="E216" s="17">
        <v>0.77708333333333324</v>
      </c>
      <c r="F216" s="5" t="s">
        <v>7305</v>
      </c>
      <c r="G216" s="12">
        <v>268</v>
      </c>
      <c r="H216" s="12">
        <v>0</v>
      </c>
      <c r="I216" s="12">
        <v>268</v>
      </c>
      <c r="J216" s="12">
        <f>SUMIF(order_item!B:B,A216,order_item!E:E)</f>
        <v>268</v>
      </c>
      <c r="K216" s="28" t="str">
        <f>_xlfn.XLOOKUP(B216,customers!A:A,customers!D:D)</f>
        <v>Regular</v>
      </c>
    </row>
    <row r="217" spans="1:11" x14ac:dyDescent="0.25">
      <c r="A217" s="5" t="s">
        <v>6549</v>
      </c>
      <c r="B217" s="5" t="s">
        <v>205</v>
      </c>
      <c r="C217" s="5" t="s">
        <v>7306</v>
      </c>
      <c r="D217" s="1">
        <v>45453</v>
      </c>
      <c r="E217" s="17">
        <v>0.86111111111111116</v>
      </c>
      <c r="F217" s="5" t="s">
        <v>7307</v>
      </c>
      <c r="G217" s="12">
        <v>444</v>
      </c>
      <c r="H217" s="12">
        <v>44.4</v>
      </c>
      <c r="I217" s="12">
        <v>0</v>
      </c>
      <c r="J217" s="12">
        <f>SUMIF(order_item!B:B,A217,order_item!E:E)</f>
        <v>444</v>
      </c>
      <c r="K217" s="28" t="str">
        <f>_xlfn.XLOOKUP(B217,customers!A:A,customers!D:D)</f>
        <v>Regular</v>
      </c>
    </row>
    <row r="218" spans="1:11" x14ac:dyDescent="0.25">
      <c r="A218" s="5" t="s">
        <v>6546</v>
      </c>
      <c r="B218" s="5" t="s">
        <v>807</v>
      </c>
      <c r="C218" s="5" t="s">
        <v>7309</v>
      </c>
      <c r="D218" s="1">
        <v>45600</v>
      </c>
      <c r="E218" s="17">
        <v>0.89513888888888893</v>
      </c>
      <c r="F218" s="5" t="s">
        <v>7305</v>
      </c>
      <c r="G218" s="12">
        <v>714</v>
      </c>
      <c r="H218" s="12">
        <v>71.400000000000006</v>
      </c>
      <c r="I218" s="12">
        <v>642.6</v>
      </c>
      <c r="J218" s="12">
        <f>SUMIF(order_item!B:B,A218,order_item!E:E)</f>
        <v>714</v>
      </c>
      <c r="K218" s="28" t="str">
        <f>_xlfn.XLOOKUP(B218,customers!A:A,customers!D:D)</f>
        <v>Regular</v>
      </c>
    </row>
    <row r="219" spans="1:11" x14ac:dyDescent="0.25">
      <c r="A219" s="5" t="s">
        <v>6544</v>
      </c>
      <c r="B219" s="5" t="s">
        <v>180</v>
      </c>
      <c r="C219" s="5" t="s">
        <v>7308</v>
      </c>
      <c r="D219" s="1">
        <v>45455</v>
      </c>
      <c r="E219" s="17">
        <v>0.61805555555555558</v>
      </c>
      <c r="F219" s="5" t="s">
        <v>7305</v>
      </c>
      <c r="G219" s="12">
        <v>149</v>
      </c>
      <c r="H219" s="12">
        <v>0</v>
      </c>
      <c r="I219" s="12">
        <v>149</v>
      </c>
      <c r="J219" s="12">
        <f>SUMIF(order_item!B:B,A219,order_item!E:E)</f>
        <v>149</v>
      </c>
      <c r="K219" s="28" t="str">
        <f>_xlfn.XLOOKUP(B219,customers!A:A,customers!D:D)</f>
        <v>Regular</v>
      </c>
    </row>
    <row r="220" spans="1:11" x14ac:dyDescent="0.25">
      <c r="A220" s="5" t="s">
        <v>6541</v>
      </c>
      <c r="B220" s="5" t="s">
        <v>782</v>
      </c>
      <c r="C220" s="5" t="s">
        <v>7306</v>
      </c>
      <c r="D220" s="1">
        <v>45450</v>
      </c>
      <c r="E220" s="17">
        <v>2.4999999999999998E-2</v>
      </c>
      <c r="F220" s="5" t="s">
        <v>7305</v>
      </c>
      <c r="G220" s="12">
        <v>357</v>
      </c>
      <c r="H220" s="12">
        <v>0</v>
      </c>
      <c r="I220" s="12">
        <v>357</v>
      </c>
      <c r="J220" s="12">
        <f>SUMIF(order_item!B:B,A220,order_item!E:E)</f>
        <v>357</v>
      </c>
      <c r="K220" s="28" t="str">
        <f>_xlfn.XLOOKUP(B220,customers!A:A,customers!D:D)</f>
        <v>Premium</v>
      </c>
    </row>
    <row r="221" spans="1:11" x14ac:dyDescent="0.25">
      <c r="A221" s="5" t="s">
        <v>6537</v>
      </c>
      <c r="B221" s="5" t="s">
        <v>827</v>
      </c>
      <c r="C221" s="5" t="s">
        <v>7309</v>
      </c>
      <c r="D221" s="1">
        <v>45615</v>
      </c>
      <c r="E221" s="17">
        <v>0.80833333333333324</v>
      </c>
      <c r="F221" s="5" t="s">
        <v>7305</v>
      </c>
      <c r="G221" s="12">
        <v>783</v>
      </c>
      <c r="H221" s="12">
        <v>0</v>
      </c>
      <c r="I221" s="12">
        <v>783</v>
      </c>
      <c r="J221" s="12">
        <f>SUMIF(order_item!B:B,A221,order_item!E:E)</f>
        <v>783</v>
      </c>
      <c r="K221" s="28" t="str">
        <f>_xlfn.XLOOKUP(B221,customers!A:A,customers!D:D)</f>
        <v>Regular</v>
      </c>
    </row>
    <row r="222" spans="1:11" x14ac:dyDescent="0.25">
      <c r="A222" s="5" t="s">
        <v>6532</v>
      </c>
      <c r="B222" s="5" t="s">
        <v>807</v>
      </c>
      <c r="C222" s="5" t="s">
        <v>7306</v>
      </c>
      <c r="D222" s="1">
        <v>45427</v>
      </c>
      <c r="E222" s="17">
        <v>0.77430555555555547</v>
      </c>
      <c r="F222" s="5" t="s">
        <v>7305</v>
      </c>
      <c r="G222" s="12">
        <v>714</v>
      </c>
      <c r="H222" s="12">
        <v>35.700000000000003</v>
      </c>
      <c r="I222" s="12">
        <v>678.3</v>
      </c>
      <c r="J222" s="12">
        <f>SUMIF(order_item!B:B,A222,order_item!E:E)</f>
        <v>714</v>
      </c>
      <c r="K222" s="28" t="str">
        <f>_xlfn.XLOOKUP(B222,customers!A:A,customers!D:D)</f>
        <v>Regular</v>
      </c>
    </row>
    <row r="223" spans="1:11" x14ac:dyDescent="0.25">
      <c r="A223" s="5" t="s">
        <v>6528</v>
      </c>
      <c r="B223" s="5" t="s">
        <v>866</v>
      </c>
      <c r="C223" s="5" t="s">
        <v>7306</v>
      </c>
      <c r="D223" s="1">
        <v>45704</v>
      </c>
      <c r="E223" s="17">
        <v>7.7083333333333337E-2</v>
      </c>
      <c r="F223" s="5" t="s">
        <v>7305</v>
      </c>
      <c r="G223" s="12">
        <v>505</v>
      </c>
      <c r="H223" s="12">
        <v>0</v>
      </c>
      <c r="I223" s="12">
        <v>505</v>
      </c>
      <c r="J223" s="12">
        <f>SUMIF(order_item!B:B,A223,order_item!E:E)</f>
        <v>505</v>
      </c>
      <c r="K223" s="28" t="str">
        <f>_xlfn.XLOOKUP(B223,customers!A:A,customers!D:D)</f>
        <v>New</v>
      </c>
    </row>
    <row r="224" spans="1:11" x14ac:dyDescent="0.25">
      <c r="A224" s="5" t="s">
        <v>6526</v>
      </c>
      <c r="B224" s="5" t="s">
        <v>116</v>
      </c>
      <c r="C224" s="5" t="s">
        <v>7309</v>
      </c>
      <c r="D224" s="1">
        <v>45509</v>
      </c>
      <c r="E224" s="17">
        <v>0.65625</v>
      </c>
      <c r="F224" s="5" t="s">
        <v>7307</v>
      </c>
      <c r="G224" s="12">
        <v>49</v>
      </c>
      <c r="H224" s="12">
        <v>4.9000000000000004</v>
      </c>
      <c r="I224" s="12">
        <v>0</v>
      </c>
      <c r="J224" s="12">
        <f>SUMIF(order_item!B:B,A224,order_item!E:E)</f>
        <v>49</v>
      </c>
      <c r="K224" s="28" t="str">
        <f>_xlfn.XLOOKUP(B224,customers!A:A,customers!D:D)</f>
        <v>Regular</v>
      </c>
    </row>
    <row r="225" spans="1:11" x14ac:dyDescent="0.25">
      <c r="A225" s="5" t="s">
        <v>6521</v>
      </c>
      <c r="B225" s="5" t="s">
        <v>335</v>
      </c>
      <c r="C225" s="5" t="s">
        <v>7306</v>
      </c>
      <c r="D225" s="1">
        <v>45407</v>
      </c>
      <c r="E225" s="17">
        <v>0.375</v>
      </c>
      <c r="F225" s="5" t="s">
        <v>7305</v>
      </c>
      <c r="G225" s="12">
        <v>625</v>
      </c>
      <c r="H225" s="12">
        <v>0</v>
      </c>
      <c r="I225" s="12">
        <v>625</v>
      </c>
      <c r="J225" s="12">
        <f>SUMIF(order_item!B:B,A225,order_item!E:E)</f>
        <v>625</v>
      </c>
      <c r="K225" s="28" t="str">
        <f>_xlfn.XLOOKUP(B225,customers!A:A,customers!D:D)</f>
        <v>Regular</v>
      </c>
    </row>
    <row r="226" spans="1:11" x14ac:dyDescent="0.25">
      <c r="A226" s="5" t="s">
        <v>6518</v>
      </c>
      <c r="B226" s="5" t="s">
        <v>106</v>
      </c>
      <c r="C226" s="5" t="s">
        <v>7309</v>
      </c>
      <c r="D226" s="1">
        <v>45573</v>
      </c>
      <c r="E226" s="17">
        <v>0.82847222222222217</v>
      </c>
      <c r="F226" s="5" t="s">
        <v>7305</v>
      </c>
      <c r="G226" s="12">
        <v>357</v>
      </c>
      <c r="H226" s="12">
        <v>17.850000000000001</v>
      </c>
      <c r="I226" s="12">
        <v>339.15</v>
      </c>
      <c r="J226" s="12">
        <f>SUMIF(order_item!B:B,A226,order_item!E:E)</f>
        <v>357</v>
      </c>
      <c r="K226" s="28" t="str">
        <f>_xlfn.XLOOKUP(B226,customers!A:A,customers!D:D)</f>
        <v>New</v>
      </c>
    </row>
    <row r="227" spans="1:11" x14ac:dyDescent="0.25">
      <c r="A227" s="5" t="s">
        <v>6513</v>
      </c>
      <c r="B227" s="5" t="s">
        <v>814</v>
      </c>
      <c r="C227" s="5" t="s">
        <v>7309</v>
      </c>
      <c r="D227" s="1">
        <v>45645</v>
      </c>
      <c r="E227" s="17">
        <v>0.79722222222222217</v>
      </c>
      <c r="F227" s="5" t="s">
        <v>7305</v>
      </c>
      <c r="G227" s="12">
        <v>824</v>
      </c>
      <c r="H227" s="12">
        <v>0</v>
      </c>
      <c r="I227" s="12">
        <v>824</v>
      </c>
      <c r="J227" s="12">
        <f>SUMIF(order_item!B:B,A227,order_item!E:E)</f>
        <v>824</v>
      </c>
      <c r="K227" s="28" t="str">
        <f>_xlfn.XLOOKUP(B227,customers!A:A,customers!D:D)</f>
        <v>Regular</v>
      </c>
    </row>
    <row r="228" spans="1:11" x14ac:dyDescent="0.25">
      <c r="A228" s="5" t="s">
        <v>6510</v>
      </c>
      <c r="B228" s="5" t="s">
        <v>328</v>
      </c>
      <c r="C228" s="5" t="s">
        <v>7306</v>
      </c>
      <c r="D228" s="1">
        <v>45386</v>
      </c>
      <c r="E228" s="17">
        <v>0.88541666666666663</v>
      </c>
      <c r="F228" s="5" t="s">
        <v>7305</v>
      </c>
      <c r="G228" s="12">
        <v>397</v>
      </c>
      <c r="H228" s="12">
        <v>0</v>
      </c>
      <c r="I228" s="12">
        <v>397</v>
      </c>
      <c r="J228" s="12">
        <f>SUMIF(order_item!B:B,A228,order_item!E:E)</f>
        <v>397</v>
      </c>
      <c r="K228" s="28" t="str">
        <f>_xlfn.XLOOKUP(B228,customers!A:A,customers!D:D)</f>
        <v>New</v>
      </c>
    </row>
    <row r="229" spans="1:11" x14ac:dyDescent="0.25">
      <c r="A229" s="5" t="s">
        <v>6508</v>
      </c>
      <c r="B229" s="5" t="s">
        <v>290</v>
      </c>
      <c r="C229" s="5" t="s">
        <v>7306</v>
      </c>
      <c r="D229" s="1">
        <v>45414</v>
      </c>
      <c r="E229" s="17">
        <v>0.99583333333333324</v>
      </c>
      <c r="F229" s="5" t="s">
        <v>7305</v>
      </c>
      <c r="G229" s="12">
        <v>79</v>
      </c>
      <c r="H229" s="12">
        <v>0</v>
      </c>
      <c r="I229" s="12">
        <v>79</v>
      </c>
      <c r="J229" s="12">
        <f>SUMIF(order_item!B:B,A229,order_item!E:E)</f>
        <v>79</v>
      </c>
      <c r="K229" s="28" t="str">
        <f>_xlfn.XLOOKUP(B229,customers!A:A,customers!D:D)</f>
        <v>New</v>
      </c>
    </row>
    <row r="230" spans="1:11" x14ac:dyDescent="0.25">
      <c r="A230" s="5" t="s">
        <v>6506</v>
      </c>
      <c r="B230" s="5" t="s">
        <v>394</v>
      </c>
      <c r="C230" s="5" t="s">
        <v>7306</v>
      </c>
      <c r="D230" s="1">
        <v>45651</v>
      </c>
      <c r="E230" s="17">
        <v>0.4465277777777778</v>
      </c>
      <c r="F230" s="5" t="s">
        <v>7307</v>
      </c>
      <c r="G230" s="12">
        <v>237</v>
      </c>
      <c r="H230" s="12">
        <v>0</v>
      </c>
      <c r="I230" s="12">
        <v>0</v>
      </c>
      <c r="J230" s="12">
        <f>SUMIF(order_item!B:B,A230,order_item!E:E)</f>
        <v>237</v>
      </c>
      <c r="K230" s="28" t="str">
        <f>_xlfn.XLOOKUP(B230,customers!A:A,customers!D:D)</f>
        <v>Regular</v>
      </c>
    </row>
    <row r="231" spans="1:11" x14ac:dyDescent="0.25">
      <c r="A231" s="5" t="s">
        <v>6503</v>
      </c>
      <c r="B231" s="5" t="s">
        <v>573</v>
      </c>
      <c r="C231" s="5" t="s">
        <v>7309</v>
      </c>
      <c r="D231" s="1">
        <v>45584</v>
      </c>
      <c r="E231" s="17">
        <v>0.88958333333333339</v>
      </c>
      <c r="F231" s="5" t="s">
        <v>7305</v>
      </c>
      <c r="G231" s="12">
        <v>596</v>
      </c>
      <c r="H231" s="12">
        <v>0</v>
      </c>
      <c r="I231" s="12">
        <v>596</v>
      </c>
      <c r="J231" s="12">
        <f>SUMIF(order_item!B:B,A231,order_item!E:E)</f>
        <v>596</v>
      </c>
      <c r="K231" s="28" t="str">
        <f>_xlfn.XLOOKUP(B231,customers!A:A,customers!D:D)</f>
        <v>Regular</v>
      </c>
    </row>
    <row r="232" spans="1:11" x14ac:dyDescent="0.25">
      <c r="A232" s="5" t="s">
        <v>6500</v>
      </c>
      <c r="B232" s="5" t="s">
        <v>376</v>
      </c>
      <c r="C232" s="5" t="s">
        <v>7308</v>
      </c>
      <c r="D232" s="1">
        <v>45618</v>
      </c>
      <c r="E232" s="17">
        <v>0.8354166666666667</v>
      </c>
      <c r="F232" s="5" t="s">
        <v>7305</v>
      </c>
      <c r="G232" s="12">
        <v>356</v>
      </c>
      <c r="H232" s="12">
        <v>0</v>
      </c>
      <c r="I232" s="12">
        <v>356</v>
      </c>
      <c r="J232" s="12">
        <f>SUMIF(order_item!B:B,A232,order_item!E:E)</f>
        <v>356</v>
      </c>
      <c r="K232" s="28" t="str">
        <f>_xlfn.XLOOKUP(B232,customers!A:A,customers!D:D)</f>
        <v>Regular</v>
      </c>
    </row>
    <row r="233" spans="1:11" x14ac:dyDescent="0.25">
      <c r="A233" s="5" t="s">
        <v>6497</v>
      </c>
      <c r="B233" s="5" t="s">
        <v>420</v>
      </c>
      <c r="C233" s="5" t="s">
        <v>7309</v>
      </c>
      <c r="D233" s="1">
        <v>45497</v>
      </c>
      <c r="E233" s="17">
        <v>0.87986111111111109</v>
      </c>
      <c r="F233" s="5" t="s">
        <v>7305</v>
      </c>
      <c r="G233" s="12">
        <v>238</v>
      </c>
      <c r="H233" s="12">
        <v>0</v>
      </c>
      <c r="I233" s="12">
        <v>238</v>
      </c>
      <c r="J233" s="12">
        <f>SUMIF(order_item!B:B,A233,order_item!E:E)</f>
        <v>238</v>
      </c>
      <c r="K233" s="28" t="str">
        <f>_xlfn.XLOOKUP(B233,customers!A:A,customers!D:D)</f>
        <v>Regular</v>
      </c>
    </row>
    <row r="234" spans="1:11" x14ac:dyDescent="0.25">
      <c r="A234" s="5" t="s">
        <v>6493</v>
      </c>
      <c r="B234" s="5" t="s">
        <v>94</v>
      </c>
      <c r="C234" s="5" t="s">
        <v>7306</v>
      </c>
      <c r="D234" s="1">
        <v>45395</v>
      </c>
      <c r="E234" s="17">
        <v>0.48472222222222222</v>
      </c>
      <c r="F234" s="5" t="s">
        <v>7305</v>
      </c>
      <c r="G234" s="12">
        <v>595</v>
      </c>
      <c r="H234" s="12">
        <v>0</v>
      </c>
      <c r="I234" s="12">
        <v>595</v>
      </c>
      <c r="J234" s="12">
        <f>SUMIF(order_item!B:B,A234,order_item!E:E)</f>
        <v>595</v>
      </c>
      <c r="K234" s="28" t="str">
        <f>_xlfn.XLOOKUP(B234,customers!A:A,customers!D:D)</f>
        <v>Premium</v>
      </c>
    </row>
    <row r="235" spans="1:11" x14ac:dyDescent="0.25">
      <c r="A235" s="5" t="s">
        <v>6490</v>
      </c>
      <c r="B235" s="5" t="s">
        <v>592</v>
      </c>
      <c r="C235" s="5" t="s">
        <v>7309</v>
      </c>
      <c r="D235" s="1">
        <v>45655</v>
      </c>
      <c r="E235" s="17">
        <v>0.7284722222222223</v>
      </c>
      <c r="F235" s="5" t="s">
        <v>7305</v>
      </c>
      <c r="G235" s="12">
        <v>327</v>
      </c>
      <c r="H235" s="12">
        <v>32.700000000000003</v>
      </c>
      <c r="I235" s="12">
        <v>294.3</v>
      </c>
      <c r="J235" s="12">
        <f>SUMIF(order_item!B:B,A235,order_item!E:E)</f>
        <v>327</v>
      </c>
      <c r="K235" s="28" t="str">
        <f>_xlfn.XLOOKUP(B235,customers!A:A,customers!D:D)</f>
        <v>New</v>
      </c>
    </row>
    <row r="236" spans="1:11" x14ac:dyDescent="0.25">
      <c r="A236" s="5" t="s">
        <v>6488</v>
      </c>
      <c r="B236" s="5" t="s">
        <v>358</v>
      </c>
      <c r="C236" s="5" t="s">
        <v>7309</v>
      </c>
      <c r="D236" s="1">
        <v>45388</v>
      </c>
      <c r="E236" s="17">
        <v>0.93333333333333324</v>
      </c>
      <c r="F236" s="5" t="s">
        <v>7305</v>
      </c>
      <c r="G236" s="12">
        <v>99</v>
      </c>
      <c r="H236" s="12">
        <v>0</v>
      </c>
      <c r="I236" s="12">
        <v>99</v>
      </c>
      <c r="J236" s="12">
        <f>SUMIF(order_item!B:B,A236,order_item!E:E)</f>
        <v>99</v>
      </c>
      <c r="K236" s="28" t="str">
        <f>_xlfn.XLOOKUP(B236,customers!A:A,customers!D:D)</f>
        <v>Premium</v>
      </c>
    </row>
    <row r="237" spans="1:11" x14ac:dyDescent="0.25">
      <c r="A237" s="5" t="s">
        <v>6485</v>
      </c>
      <c r="B237" s="5" t="s">
        <v>680</v>
      </c>
      <c r="C237" s="5" t="s">
        <v>7309</v>
      </c>
      <c r="D237" s="1">
        <v>45612</v>
      </c>
      <c r="E237" s="17">
        <v>0.55625000000000002</v>
      </c>
      <c r="F237" s="5" t="s">
        <v>7305</v>
      </c>
      <c r="G237" s="12">
        <v>625</v>
      </c>
      <c r="H237" s="12">
        <v>0</v>
      </c>
      <c r="I237" s="12">
        <v>625</v>
      </c>
      <c r="J237" s="12">
        <f>SUMIF(order_item!B:B,A237,order_item!E:E)</f>
        <v>625</v>
      </c>
      <c r="K237" s="28" t="str">
        <f>_xlfn.XLOOKUP(B237,customers!A:A,customers!D:D)</f>
        <v>New</v>
      </c>
    </row>
    <row r="238" spans="1:11" x14ac:dyDescent="0.25">
      <c r="A238" s="5" t="s">
        <v>6483</v>
      </c>
      <c r="B238" s="5" t="s">
        <v>470</v>
      </c>
      <c r="C238" s="5" t="s">
        <v>7309</v>
      </c>
      <c r="D238" s="1">
        <v>45522</v>
      </c>
      <c r="E238" s="17">
        <v>0.47222222222222227</v>
      </c>
      <c r="F238" s="5" t="s">
        <v>7305</v>
      </c>
      <c r="G238" s="12">
        <v>79</v>
      </c>
      <c r="H238" s="12">
        <v>0</v>
      </c>
      <c r="I238" s="12">
        <v>79</v>
      </c>
      <c r="J238" s="12">
        <f>SUMIF(order_item!B:B,A238,order_item!E:E)</f>
        <v>79</v>
      </c>
      <c r="K238" s="28" t="str">
        <f>_xlfn.XLOOKUP(B238,customers!A:A,customers!D:D)</f>
        <v>New</v>
      </c>
    </row>
    <row r="239" spans="1:11" x14ac:dyDescent="0.25">
      <c r="A239" s="5" t="s">
        <v>6479</v>
      </c>
      <c r="B239" s="5" t="s">
        <v>852</v>
      </c>
      <c r="C239" s="5" t="s">
        <v>7306</v>
      </c>
      <c r="D239" s="1">
        <v>45472</v>
      </c>
      <c r="E239" s="17">
        <v>0.70972222222222225</v>
      </c>
      <c r="F239" s="5" t="s">
        <v>7307</v>
      </c>
      <c r="G239" s="12">
        <v>674</v>
      </c>
      <c r="H239" s="12">
        <v>101.1</v>
      </c>
      <c r="I239" s="12">
        <v>0</v>
      </c>
      <c r="J239" s="12">
        <f>SUMIF(order_item!B:B,A239,order_item!E:E)</f>
        <v>674</v>
      </c>
      <c r="K239" s="28" t="str">
        <f>_xlfn.XLOOKUP(B239,customers!A:A,customers!D:D)</f>
        <v>Regular</v>
      </c>
    </row>
    <row r="240" spans="1:11" x14ac:dyDescent="0.25">
      <c r="A240" s="5" t="s">
        <v>6476</v>
      </c>
      <c r="B240" s="5" t="s">
        <v>797</v>
      </c>
      <c r="C240" s="5" t="s">
        <v>7306</v>
      </c>
      <c r="D240" s="1">
        <v>45657</v>
      </c>
      <c r="E240" s="17">
        <v>0.74791666666666667</v>
      </c>
      <c r="F240" s="5" t="s">
        <v>7305</v>
      </c>
      <c r="G240" s="12">
        <v>715</v>
      </c>
      <c r="H240" s="12">
        <v>0</v>
      </c>
      <c r="I240" s="12">
        <v>715</v>
      </c>
      <c r="J240" s="12">
        <f>SUMIF(order_item!B:B,A240,order_item!E:E)</f>
        <v>715</v>
      </c>
      <c r="K240" s="28" t="str">
        <f>_xlfn.XLOOKUP(B240,customers!A:A,customers!D:D)</f>
        <v>Regular</v>
      </c>
    </row>
    <row r="241" spans="1:11" x14ac:dyDescent="0.25">
      <c r="A241" s="5" t="s">
        <v>6473</v>
      </c>
      <c r="B241" s="5" t="s">
        <v>760</v>
      </c>
      <c r="C241" s="5" t="s">
        <v>7306</v>
      </c>
      <c r="D241" s="1">
        <v>45710</v>
      </c>
      <c r="E241" s="17">
        <v>0.59444444444444444</v>
      </c>
      <c r="F241" s="5" t="s">
        <v>7305</v>
      </c>
      <c r="G241" s="12">
        <v>535</v>
      </c>
      <c r="H241" s="12">
        <v>0</v>
      </c>
      <c r="I241" s="12">
        <v>535</v>
      </c>
      <c r="J241" s="12">
        <f>SUMIF(order_item!B:B,A241,order_item!E:E)</f>
        <v>535</v>
      </c>
      <c r="K241" s="28" t="str">
        <f>_xlfn.XLOOKUP(B241,customers!A:A,customers!D:D)</f>
        <v>Regular</v>
      </c>
    </row>
    <row r="242" spans="1:11" x14ac:dyDescent="0.25">
      <c r="A242" s="5" t="s">
        <v>6469</v>
      </c>
      <c r="B242" s="5" t="s">
        <v>749</v>
      </c>
      <c r="C242" s="5" t="s">
        <v>7306</v>
      </c>
      <c r="D242" s="1">
        <v>45578</v>
      </c>
      <c r="E242" s="17">
        <v>1.7361111111111112E-2</v>
      </c>
      <c r="F242" s="5" t="s">
        <v>7305</v>
      </c>
      <c r="G242" s="12">
        <v>357</v>
      </c>
      <c r="H242" s="12">
        <v>53.55</v>
      </c>
      <c r="I242" s="12">
        <v>303.45</v>
      </c>
      <c r="J242" s="12">
        <f>SUMIF(order_item!B:B,A242,order_item!E:E)</f>
        <v>357</v>
      </c>
      <c r="K242" s="28" t="str">
        <f>_xlfn.XLOOKUP(B242,customers!A:A,customers!D:D)</f>
        <v>Premium</v>
      </c>
    </row>
    <row r="243" spans="1:11" x14ac:dyDescent="0.25">
      <c r="A243" s="5" t="s">
        <v>6466</v>
      </c>
      <c r="B243" s="5" t="s">
        <v>380</v>
      </c>
      <c r="C243" s="5" t="s">
        <v>7306</v>
      </c>
      <c r="D243" s="1">
        <v>45486</v>
      </c>
      <c r="E243" s="17">
        <v>0.79791666666666661</v>
      </c>
      <c r="F243" s="5" t="s">
        <v>7305</v>
      </c>
      <c r="G243" s="12">
        <v>476</v>
      </c>
      <c r="H243" s="12">
        <v>0</v>
      </c>
      <c r="I243" s="12">
        <v>476</v>
      </c>
      <c r="J243" s="12">
        <f>SUMIF(order_item!B:B,A243,order_item!E:E)</f>
        <v>476</v>
      </c>
      <c r="K243" s="28" t="str">
        <f>_xlfn.XLOOKUP(B243,customers!A:A,customers!D:D)</f>
        <v>New</v>
      </c>
    </row>
    <row r="244" spans="1:11" x14ac:dyDescent="0.25">
      <c r="A244" s="5" t="s">
        <v>6463</v>
      </c>
      <c r="B244" s="5" t="s">
        <v>232</v>
      </c>
      <c r="C244" s="5" t="s">
        <v>7306</v>
      </c>
      <c r="D244" s="1">
        <v>45577</v>
      </c>
      <c r="E244" s="17">
        <v>0.90902777777777777</v>
      </c>
      <c r="F244" s="5" t="s">
        <v>7305</v>
      </c>
      <c r="G244" s="12">
        <v>447</v>
      </c>
      <c r="H244" s="12">
        <v>0</v>
      </c>
      <c r="I244" s="12">
        <v>447</v>
      </c>
      <c r="J244" s="12">
        <f>SUMIF(order_item!B:B,A244,order_item!E:E)</f>
        <v>447</v>
      </c>
      <c r="K244" s="28" t="str">
        <f>_xlfn.XLOOKUP(B244,customers!A:A,customers!D:D)</f>
        <v>Regular</v>
      </c>
    </row>
    <row r="245" spans="1:11" x14ac:dyDescent="0.25">
      <c r="A245" s="5" t="s">
        <v>6461</v>
      </c>
      <c r="B245" s="5" t="s">
        <v>383</v>
      </c>
      <c r="C245" s="5" t="s">
        <v>7309</v>
      </c>
      <c r="D245" s="1">
        <v>45521</v>
      </c>
      <c r="E245" s="17">
        <v>0.69444444444444453</v>
      </c>
      <c r="F245" s="5" t="s">
        <v>7305</v>
      </c>
      <c r="G245" s="12">
        <v>357</v>
      </c>
      <c r="H245" s="12">
        <v>0</v>
      </c>
      <c r="I245" s="12">
        <v>357</v>
      </c>
      <c r="J245" s="12">
        <f>SUMIF(order_item!B:B,A245,order_item!E:E)</f>
        <v>357</v>
      </c>
      <c r="K245" s="28" t="str">
        <f>_xlfn.XLOOKUP(B245,customers!A:A,customers!D:D)</f>
        <v>Premium</v>
      </c>
    </row>
    <row r="246" spans="1:11" x14ac:dyDescent="0.25">
      <c r="A246" s="5" t="s">
        <v>6457</v>
      </c>
      <c r="B246" s="5" t="s">
        <v>741</v>
      </c>
      <c r="C246" s="5" t="s">
        <v>7309</v>
      </c>
      <c r="D246" s="1">
        <v>45452</v>
      </c>
      <c r="E246" s="17">
        <v>0.8208333333333333</v>
      </c>
      <c r="F246" s="5" t="s">
        <v>7305</v>
      </c>
      <c r="G246" s="12">
        <v>515</v>
      </c>
      <c r="H246" s="12">
        <v>0</v>
      </c>
      <c r="I246" s="12">
        <v>515</v>
      </c>
      <c r="J246" s="12">
        <f>SUMIF(order_item!B:B,A246,order_item!E:E)</f>
        <v>515</v>
      </c>
      <c r="K246" s="28" t="str">
        <f>_xlfn.XLOOKUP(B246,customers!A:A,customers!D:D)</f>
        <v>Premium</v>
      </c>
    </row>
    <row r="247" spans="1:11" x14ac:dyDescent="0.25">
      <c r="A247" s="5" t="s">
        <v>6452</v>
      </c>
      <c r="B247" s="5" t="s">
        <v>477</v>
      </c>
      <c r="C247" s="5" t="s">
        <v>7306</v>
      </c>
      <c r="D247" s="1">
        <v>45607</v>
      </c>
      <c r="E247" s="17">
        <v>0.70138888888888884</v>
      </c>
      <c r="F247" s="5" t="s">
        <v>7305</v>
      </c>
      <c r="G247" s="12">
        <v>415</v>
      </c>
      <c r="H247" s="12">
        <v>0</v>
      </c>
      <c r="I247" s="12">
        <v>415</v>
      </c>
      <c r="J247" s="12">
        <f>SUMIF(order_item!B:B,A247,order_item!E:E)</f>
        <v>415</v>
      </c>
      <c r="K247" s="28" t="str">
        <f>_xlfn.XLOOKUP(B247,customers!A:A,customers!D:D)</f>
        <v>Regular</v>
      </c>
    </row>
    <row r="248" spans="1:11" x14ac:dyDescent="0.25">
      <c r="A248" s="5" t="s">
        <v>6448</v>
      </c>
      <c r="B248" s="5" t="s">
        <v>299</v>
      </c>
      <c r="C248" s="5" t="s">
        <v>7306</v>
      </c>
      <c r="D248" s="1">
        <v>45587</v>
      </c>
      <c r="E248" s="17">
        <v>0.96458333333333324</v>
      </c>
      <c r="F248" s="5" t="s">
        <v>7305</v>
      </c>
      <c r="G248" s="12">
        <v>535</v>
      </c>
      <c r="H248" s="12">
        <v>80.25</v>
      </c>
      <c r="I248" s="12">
        <v>454.75</v>
      </c>
      <c r="J248" s="12">
        <f>SUMIF(order_item!B:B,A248,order_item!E:E)</f>
        <v>535</v>
      </c>
      <c r="K248" s="28" t="str">
        <f>_xlfn.XLOOKUP(B248,customers!A:A,customers!D:D)</f>
        <v>Regular</v>
      </c>
    </row>
    <row r="249" spans="1:11" x14ac:dyDescent="0.25">
      <c r="A249" s="5" t="s">
        <v>6446</v>
      </c>
      <c r="B249" s="5" t="s">
        <v>416</v>
      </c>
      <c r="C249" s="5" t="s">
        <v>7309</v>
      </c>
      <c r="D249" s="1">
        <v>45402</v>
      </c>
      <c r="E249" s="17">
        <v>0.68680555555555556</v>
      </c>
      <c r="F249" s="5" t="s">
        <v>7305</v>
      </c>
      <c r="G249" s="12">
        <v>298</v>
      </c>
      <c r="H249" s="12">
        <v>14.9</v>
      </c>
      <c r="I249" s="12">
        <v>283.10000000000002</v>
      </c>
      <c r="J249" s="12">
        <f>SUMIF(order_item!B:B,A249,order_item!E:E)</f>
        <v>298</v>
      </c>
      <c r="K249" s="28" t="str">
        <f>_xlfn.XLOOKUP(B249,customers!A:A,customers!D:D)</f>
        <v>Regular</v>
      </c>
    </row>
    <row r="250" spans="1:11" x14ac:dyDescent="0.25">
      <c r="A250" s="5" t="s">
        <v>6441</v>
      </c>
      <c r="B250" s="5" t="s">
        <v>590</v>
      </c>
      <c r="C250" s="5" t="s">
        <v>7309</v>
      </c>
      <c r="D250" s="1">
        <v>45673</v>
      </c>
      <c r="E250" s="17">
        <v>0.90486111111111101</v>
      </c>
      <c r="F250" s="5" t="s">
        <v>7305</v>
      </c>
      <c r="G250" s="12">
        <v>515</v>
      </c>
      <c r="H250" s="12">
        <v>0</v>
      </c>
      <c r="I250" s="12">
        <v>515</v>
      </c>
      <c r="J250" s="12">
        <f>SUMIF(order_item!B:B,A250,order_item!E:E)</f>
        <v>515</v>
      </c>
      <c r="K250" s="28" t="str">
        <f>_xlfn.XLOOKUP(B250,customers!A:A,customers!D:D)</f>
        <v>Regular</v>
      </c>
    </row>
    <row r="251" spans="1:11" x14ac:dyDescent="0.25">
      <c r="A251" s="5" t="s">
        <v>6439</v>
      </c>
      <c r="B251" s="5" t="s">
        <v>803</v>
      </c>
      <c r="C251" s="5" t="s">
        <v>7306</v>
      </c>
      <c r="D251" s="1">
        <v>45562</v>
      </c>
      <c r="E251" s="17">
        <v>0.38055555555555554</v>
      </c>
      <c r="F251" s="5" t="s">
        <v>7305</v>
      </c>
      <c r="G251" s="12">
        <v>149</v>
      </c>
      <c r="H251" s="12">
        <v>0</v>
      </c>
      <c r="I251" s="12">
        <v>149</v>
      </c>
      <c r="J251" s="12">
        <f>SUMIF(order_item!B:B,A251,order_item!E:E)</f>
        <v>149</v>
      </c>
      <c r="K251" s="28" t="str">
        <f>_xlfn.XLOOKUP(B251,customers!A:A,customers!D:D)</f>
        <v>Regular</v>
      </c>
    </row>
    <row r="252" spans="1:11" x14ac:dyDescent="0.25">
      <c r="A252" s="5" t="s">
        <v>6436</v>
      </c>
      <c r="B252" s="5" t="s">
        <v>344</v>
      </c>
      <c r="C252" s="5" t="s">
        <v>7306</v>
      </c>
      <c r="D252" s="1">
        <v>45417</v>
      </c>
      <c r="E252" s="17">
        <v>0.55972222222222223</v>
      </c>
      <c r="F252" s="5" t="s">
        <v>7305</v>
      </c>
      <c r="G252" s="12">
        <v>735</v>
      </c>
      <c r="H252" s="12">
        <v>0</v>
      </c>
      <c r="I252" s="12">
        <v>735</v>
      </c>
      <c r="J252" s="12">
        <f>SUMIF(order_item!B:B,A252,order_item!E:E)</f>
        <v>735</v>
      </c>
      <c r="K252" s="28" t="str">
        <f>_xlfn.XLOOKUP(B252,customers!A:A,customers!D:D)</f>
        <v>Regular</v>
      </c>
    </row>
    <row r="253" spans="1:11" x14ac:dyDescent="0.25">
      <c r="A253" s="5" t="s">
        <v>6433</v>
      </c>
      <c r="B253" s="5" t="s">
        <v>70</v>
      </c>
      <c r="C253" s="5" t="s">
        <v>7309</v>
      </c>
      <c r="D253" s="1">
        <v>45397</v>
      </c>
      <c r="E253" s="17">
        <v>0.81874999999999998</v>
      </c>
      <c r="F253" s="5" t="s">
        <v>7305</v>
      </c>
      <c r="G253" s="12">
        <v>940</v>
      </c>
      <c r="H253" s="12">
        <v>0</v>
      </c>
      <c r="I253" s="12">
        <v>940</v>
      </c>
      <c r="J253" s="12">
        <f>SUMIF(order_item!B:B,A253,order_item!E:E)</f>
        <v>940</v>
      </c>
      <c r="K253" s="28" t="str">
        <f>_xlfn.XLOOKUP(B253,customers!A:A,customers!D:D)</f>
        <v>Regular</v>
      </c>
    </row>
    <row r="254" spans="1:11" x14ac:dyDescent="0.25">
      <c r="A254" s="5" t="s">
        <v>6431</v>
      </c>
      <c r="B254" s="5" t="s">
        <v>537</v>
      </c>
      <c r="C254" s="5" t="s">
        <v>7306</v>
      </c>
      <c r="D254" s="1">
        <v>45695</v>
      </c>
      <c r="E254" s="17">
        <v>0.96805555555555556</v>
      </c>
      <c r="F254" s="5" t="s">
        <v>7305</v>
      </c>
      <c r="G254" s="12">
        <v>79</v>
      </c>
      <c r="H254" s="12">
        <v>0</v>
      </c>
      <c r="I254" s="12">
        <v>79</v>
      </c>
      <c r="J254" s="12">
        <f>SUMIF(order_item!B:B,A254,order_item!E:E)</f>
        <v>79</v>
      </c>
      <c r="K254" s="28" t="str">
        <f>_xlfn.XLOOKUP(B254,customers!A:A,customers!D:D)</f>
        <v>New</v>
      </c>
    </row>
    <row r="255" spans="1:11" x14ac:dyDescent="0.25">
      <c r="A255" s="5" t="s">
        <v>6428</v>
      </c>
      <c r="B255" s="5" t="s">
        <v>108</v>
      </c>
      <c r="C255" s="5" t="s">
        <v>7309</v>
      </c>
      <c r="D255" s="1">
        <v>45714</v>
      </c>
      <c r="E255" s="17">
        <v>0.73749999999999993</v>
      </c>
      <c r="F255" s="5" t="s">
        <v>7305</v>
      </c>
      <c r="G255" s="12">
        <v>834</v>
      </c>
      <c r="H255" s="12">
        <v>41.7</v>
      </c>
      <c r="I255" s="12">
        <v>792.3</v>
      </c>
      <c r="J255" s="12">
        <f>SUMIF(order_item!B:B,A255,order_item!E:E)</f>
        <v>834</v>
      </c>
      <c r="K255" s="28" t="str">
        <f>_xlfn.XLOOKUP(B255,customers!A:A,customers!D:D)</f>
        <v>Premium</v>
      </c>
    </row>
    <row r="256" spans="1:11" x14ac:dyDescent="0.25">
      <c r="A256" s="5" t="s">
        <v>6424</v>
      </c>
      <c r="B256" s="5" t="s">
        <v>497</v>
      </c>
      <c r="C256" s="5" t="s">
        <v>7309</v>
      </c>
      <c r="D256" s="1">
        <v>45718</v>
      </c>
      <c r="E256" s="17">
        <v>0.68819444444444444</v>
      </c>
      <c r="F256" s="5" t="s">
        <v>7305</v>
      </c>
      <c r="G256" s="12">
        <v>595</v>
      </c>
      <c r="H256" s="12">
        <v>89.25</v>
      </c>
      <c r="I256" s="12">
        <v>505.75</v>
      </c>
      <c r="J256" s="12">
        <f>SUMIF(order_item!B:B,A256,order_item!E:E)</f>
        <v>595</v>
      </c>
      <c r="K256" s="28" t="str">
        <f>_xlfn.XLOOKUP(B256,customers!A:A,customers!D:D)</f>
        <v>New</v>
      </c>
    </row>
    <row r="257" spans="1:11" x14ac:dyDescent="0.25">
      <c r="A257" s="5" t="s">
        <v>6421</v>
      </c>
      <c r="B257" s="5" t="s">
        <v>529</v>
      </c>
      <c r="C257" s="5" t="s">
        <v>7306</v>
      </c>
      <c r="D257" s="1">
        <v>45551</v>
      </c>
      <c r="E257" s="17">
        <v>0.71111111111111114</v>
      </c>
      <c r="F257" s="5" t="s">
        <v>7305</v>
      </c>
      <c r="G257" s="12">
        <v>198</v>
      </c>
      <c r="H257" s="12">
        <v>9.9</v>
      </c>
      <c r="I257" s="12">
        <v>188.1</v>
      </c>
      <c r="J257" s="12">
        <f>SUMIF(order_item!B:B,A257,order_item!E:E)</f>
        <v>198</v>
      </c>
      <c r="K257" s="28" t="str">
        <f>_xlfn.XLOOKUP(B257,customers!A:A,customers!D:D)</f>
        <v>Regular</v>
      </c>
    </row>
    <row r="258" spans="1:11" x14ac:dyDescent="0.25">
      <c r="A258" s="5" t="s">
        <v>6418</v>
      </c>
      <c r="B258" s="5" t="s">
        <v>782</v>
      </c>
      <c r="C258" s="5" t="s">
        <v>7309</v>
      </c>
      <c r="D258" s="1">
        <v>45619</v>
      </c>
      <c r="E258" s="17">
        <v>0.51458333333333328</v>
      </c>
      <c r="F258" s="5" t="s">
        <v>7305</v>
      </c>
      <c r="G258" s="12">
        <v>258</v>
      </c>
      <c r="H258" s="12">
        <v>0</v>
      </c>
      <c r="I258" s="12">
        <v>258</v>
      </c>
      <c r="J258" s="12">
        <f>SUMIF(order_item!B:B,A258,order_item!E:E)</f>
        <v>258</v>
      </c>
      <c r="K258" s="28" t="str">
        <f>_xlfn.XLOOKUP(B258,customers!A:A,customers!D:D)</f>
        <v>Premium</v>
      </c>
    </row>
    <row r="259" spans="1:11" x14ac:dyDescent="0.25">
      <c r="A259" s="5" t="s">
        <v>6415</v>
      </c>
      <c r="B259" s="5" t="s">
        <v>129</v>
      </c>
      <c r="C259" s="5" t="s">
        <v>7309</v>
      </c>
      <c r="D259" s="1">
        <v>45611</v>
      </c>
      <c r="E259" s="17">
        <v>6.8749999999999992E-2</v>
      </c>
      <c r="F259" s="5" t="s">
        <v>7305</v>
      </c>
      <c r="G259" s="12">
        <v>377</v>
      </c>
      <c r="H259" s="12">
        <v>0</v>
      </c>
      <c r="I259" s="12">
        <v>377</v>
      </c>
      <c r="J259" s="12">
        <f>SUMIF(order_item!B:B,A259,order_item!E:E)</f>
        <v>377</v>
      </c>
      <c r="K259" s="28" t="str">
        <f>_xlfn.XLOOKUP(B259,customers!A:A,customers!D:D)</f>
        <v>New</v>
      </c>
    </row>
    <row r="260" spans="1:11" x14ac:dyDescent="0.25">
      <c r="A260" s="5" t="s">
        <v>6410</v>
      </c>
      <c r="B260" s="5" t="s">
        <v>644</v>
      </c>
      <c r="C260" s="5" t="s">
        <v>7309</v>
      </c>
      <c r="D260" s="1">
        <v>45388</v>
      </c>
      <c r="E260" s="17">
        <v>0.71875</v>
      </c>
      <c r="F260" s="5" t="s">
        <v>7307</v>
      </c>
      <c r="G260" s="12">
        <v>909</v>
      </c>
      <c r="H260" s="12">
        <v>0</v>
      </c>
      <c r="I260" s="12">
        <v>0</v>
      </c>
      <c r="J260" s="12">
        <f>SUMIF(order_item!B:B,A260,order_item!E:E)</f>
        <v>909</v>
      </c>
      <c r="K260" s="28" t="str">
        <f>_xlfn.XLOOKUP(B260,customers!A:A,customers!D:D)</f>
        <v>Regular</v>
      </c>
    </row>
    <row r="261" spans="1:11" x14ac:dyDescent="0.25">
      <c r="A261" s="5" t="s">
        <v>6405</v>
      </c>
      <c r="B261" s="5" t="s">
        <v>514</v>
      </c>
      <c r="C261" s="5" t="s">
        <v>7309</v>
      </c>
      <c r="D261" s="1">
        <v>45675</v>
      </c>
      <c r="E261" s="17">
        <v>0.43611111111111112</v>
      </c>
      <c r="F261" s="5" t="s">
        <v>7305</v>
      </c>
      <c r="G261" s="12">
        <v>782</v>
      </c>
      <c r="H261" s="12">
        <v>0</v>
      </c>
      <c r="I261" s="12">
        <v>782</v>
      </c>
      <c r="J261" s="12">
        <f>SUMIF(order_item!B:B,A261,order_item!E:E)</f>
        <v>782</v>
      </c>
      <c r="K261" s="28" t="str">
        <f>_xlfn.XLOOKUP(B261,customers!A:A,customers!D:D)</f>
        <v>Premium</v>
      </c>
    </row>
    <row r="262" spans="1:11" x14ac:dyDescent="0.25">
      <c r="A262" s="5" t="s">
        <v>6401</v>
      </c>
      <c r="B262" s="5" t="s">
        <v>335</v>
      </c>
      <c r="C262" s="5" t="s">
        <v>7309</v>
      </c>
      <c r="D262" s="1">
        <v>45392</v>
      </c>
      <c r="E262" s="17">
        <v>0.74652777777777779</v>
      </c>
      <c r="F262" s="5" t="s">
        <v>7305</v>
      </c>
      <c r="G262" s="12">
        <v>565</v>
      </c>
      <c r="H262" s="12">
        <v>0</v>
      </c>
      <c r="I262" s="12">
        <v>565</v>
      </c>
      <c r="J262" s="12">
        <f>SUMIF(order_item!B:B,A262,order_item!E:E)</f>
        <v>565</v>
      </c>
      <c r="K262" s="28" t="str">
        <f>_xlfn.XLOOKUP(B262,customers!A:A,customers!D:D)</f>
        <v>Regular</v>
      </c>
    </row>
    <row r="263" spans="1:11" x14ac:dyDescent="0.25">
      <c r="A263" s="5" t="s">
        <v>6396</v>
      </c>
      <c r="B263" s="5" t="s">
        <v>729</v>
      </c>
      <c r="C263" s="5" t="s">
        <v>7306</v>
      </c>
      <c r="D263" s="1">
        <v>45638</v>
      </c>
      <c r="E263" s="17">
        <v>0.86805555555555547</v>
      </c>
      <c r="F263" s="5" t="s">
        <v>7307</v>
      </c>
      <c r="G263" s="12">
        <v>882</v>
      </c>
      <c r="H263" s="12">
        <v>88.2</v>
      </c>
      <c r="I263" s="12">
        <v>0</v>
      </c>
      <c r="J263" s="12">
        <f>SUMIF(order_item!B:B,A263,order_item!E:E)</f>
        <v>882</v>
      </c>
      <c r="K263" s="28" t="str">
        <f>_xlfn.XLOOKUP(B263,customers!A:A,customers!D:D)</f>
        <v>Regular</v>
      </c>
    </row>
    <row r="264" spans="1:11" x14ac:dyDescent="0.25">
      <c r="A264" s="5" t="s">
        <v>6391</v>
      </c>
      <c r="B264" s="5" t="s">
        <v>457</v>
      </c>
      <c r="C264" s="5" t="s">
        <v>7306</v>
      </c>
      <c r="D264" s="1">
        <v>45534</v>
      </c>
      <c r="E264" s="17">
        <v>0.87777777777777777</v>
      </c>
      <c r="F264" s="5" t="s">
        <v>7305</v>
      </c>
      <c r="G264" s="12">
        <v>1070</v>
      </c>
      <c r="H264" s="12">
        <v>0</v>
      </c>
      <c r="I264" s="12">
        <v>1070</v>
      </c>
      <c r="J264" s="12">
        <f>SUMIF(order_item!B:B,A264,order_item!E:E)</f>
        <v>1070</v>
      </c>
      <c r="K264" s="28" t="str">
        <f>_xlfn.XLOOKUP(B264,customers!A:A,customers!D:D)</f>
        <v>New</v>
      </c>
    </row>
    <row r="265" spans="1:11" x14ac:dyDescent="0.25">
      <c r="A265" s="5" t="s">
        <v>6388</v>
      </c>
      <c r="B265" s="5" t="s">
        <v>676</v>
      </c>
      <c r="C265" s="5" t="s">
        <v>7309</v>
      </c>
      <c r="D265" s="1">
        <v>45528</v>
      </c>
      <c r="E265" s="17">
        <v>0.89374999999999993</v>
      </c>
      <c r="F265" s="5" t="s">
        <v>7305</v>
      </c>
      <c r="G265" s="12">
        <v>496</v>
      </c>
      <c r="H265" s="12">
        <v>0</v>
      </c>
      <c r="I265" s="12">
        <v>496</v>
      </c>
      <c r="J265" s="12">
        <f>SUMIF(order_item!B:B,A265,order_item!E:E)</f>
        <v>496</v>
      </c>
      <c r="K265" s="28" t="str">
        <f>_xlfn.XLOOKUP(B265,customers!A:A,customers!D:D)</f>
        <v>New</v>
      </c>
    </row>
    <row r="266" spans="1:11" x14ac:dyDescent="0.25">
      <c r="A266" s="5" t="s">
        <v>6383</v>
      </c>
      <c r="B266" s="5" t="s">
        <v>363</v>
      </c>
      <c r="C266" s="5" t="s">
        <v>7308</v>
      </c>
      <c r="D266" s="1">
        <v>45709</v>
      </c>
      <c r="E266" s="17">
        <v>0.78541666666666676</v>
      </c>
      <c r="F266" s="5" t="s">
        <v>7305</v>
      </c>
      <c r="G266" s="12">
        <v>852</v>
      </c>
      <c r="H266" s="12">
        <v>0</v>
      </c>
      <c r="I266" s="12">
        <v>852</v>
      </c>
      <c r="J266" s="12">
        <f>SUMIF(order_item!B:B,A266,order_item!E:E)</f>
        <v>852</v>
      </c>
      <c r="K266" s="28" t="str">
        <f>_xlfn.XLOOKUP(B266,customers!A:A,customers!D:D)</f>
        <v>New</v>
      </c>
    </row>
    <row r="267" spans="1:11" x14ac:dyDescent="0.25">
      <c r="A267" s="5" t="s">
        <v>6380</v>
      </c>
      <c r="B267" s="5" t="s">
        <v>663</v>
      </c>
      <c r="C267" s="5" t="s">
        <v>7309</v>
      </c>
      <c r="D267" s="1">
        <v>45700</v>
      </c>
      <c r="E267" s="17">
        <v>0.87569444444444444</v>
      </c>
      <c r="F267" s="5" t="s">
        <v>7305</v>
      </c>
      <c r="G267" s="12">
        <v>278</v>
      </c>
      <c r="H267" s="12">
        <v>0</v>
      </c>
      <c r="I267" s="12">
        <v>278</v>
      </c>
      <c r="J267" s="12">
        <f>SUMIF(order_item!B:B,A267,order_item!E:E)</f>
        <v>278</v>
      </c>
      <c r="K267" s="28" t="str">
        <f>_xlfn.XLOOKUP(B267,customers!A:A,customers!D:D)</f>
        <v>Regular</v>
      </c>
    </row>
    <row r="268" spans="1:11" x14ac:dyDescent="0.25">
      <c r="A268" s="5" t="s">
        <v>6376</v>
      </c>
      <c r="B268" s="5" t="s">
        <v>581</v>
      </c>
      <c r="C268" s="5" t="s">
        <v>7306</v>
      </c>
      <c r="D268" s="1">
        <v>45478</v>
      </c>
      <c r="E268" s="17">
        <v>5.6250000000000001E-2</v>
      </c>
      <c r="F268" s="5" t="s">
        <v>7305</v>
      </c>
      <c r="G268" s="12">
        <v>705</v>
      </c>
      <c r="H268" s="12">
        <v>0</v>
      </c>
      <c r="I268" s="12">
        <v>705</v>
      </c>
      <c r="J268" s="12">
        <f>SUMIF(order_item!B:B,A268,order_item!E:E)</f>
        <v>705</v>
      </c>
      <c r="K268" s="28" t="str">
        <f>_xlfn.XLOOKUP(B268,customers!A:A,customers!D:D)</f>
        <v>Premium</v>
      </c>
    </row>
    <row r="269" spans="1:11" x14ac:dyDescent="0.25">
      <c r="A269" s="5" t="s">
        <v>6373</v>
      </c>
      <c r="B269" s="5" t="s">
        <v>198</v>
      </c>
      <c r="C269" s="5" t="s">
        <v>7309</v>
      </c>
      <c r="D269" s="1">
        <v>45491</v>
      </c>
      <c r="E269" s="17">
        <v>0.78402777777777777</v>
      </c>
      <c r="F269" s="5" t="s">
        <v>7305</v>
      </c>
      <c r="G269" s="12">
        <v>277</v>
      </c>
      <c r="H269" s="12">
        <v>0</v>
      </c>
      <c r="I269" s="12">
        <v>277</v>
      </c>
      <c r="J269" s="12">
        <f>SUMIF(order_item!B:B,A269,order_item!E:E)</f>
        <v>277</v>
      </c>
      <c r="K269" s="28" t="str">
        <f>_xlfn.XLOOKUP(B269,customers!A:A,customers!D:D)</f>
        <v>Premium</v>
      </c>
    </row>
    <row r="270" spans="1:11" x14ac:dyDescent="0.25">
      <c r="A270" s="5" t="s">
        <v>6368</v>
      </c>
      <c r="B270" s="5" t="s">
        <v>765</v>
      </c>
      <c r="C270" s="5" t="s">
        <v>7309</v>
      </c>
      <c r="D270" s="1">
        <v>45686</v>
      </c>
      <c r="E270" s="17">
        <v>7.6388888888888895E-2</v>
      </c>
      <c r="F270" s="5" t="s">
        <v>7305</v>
      </c>
      <c r="G270" s="12">
        <v>1230</v>
      </c>
      <c r="H270" s="12">
        <v>0</v>
      </c>
      <c r="I270" s="12">
        <v>1230</v>
      </c>
      <c r="J270" s="12">
        <f>SUMIF(order_item!B:B,A270,order_item!E:E)</f>
        <v>1230</v>
      </c>
      <c r="K270" s="28" t="str">
        <f>_xlfn.XLOOKUP(B270,customers!A:A,customers!D:D)</f>
        <v>Regular</v>
      </c>
    </row>
    <row r="271" spans="1:11" x14ac:dyDescent="0.25">
      <c r="A271" s="5" t="s">
        <v>6363</v>
      </c>
      <c r="B271" s="5" t="s">
        <v>852</v>
      </c>
      <c r="C271" s="5" t="s">
        <v>7309</v>
      </c>
      <c r="D271" s="1">
        <v>45738</v>
      </c>
      <c r="E271" s="17">
        <v>0.70694444444444438</v>
      </c>
      <c r="F271" s="5" t="s">
        <v>7305</v>
      </c>
      <c r="G271" s="12">
        <v>771</v>
      </c>
      <c r="H271" s="12">
        <v>0</v>
      </c>
      <c r="I271" s="12">
        <v>771</v>
      </c>
      <c r="J271" s="12">
        <f>SUMIF(order_item!B:B,A271,order_item!E:E)</f>
        <v>771</v>
      </c>
      <c r="K271" s="28" t="str">
        <f>_xlfn.XLOOKUP(B271,customers!A:A,customers!D:D)</f>
        <v>Regular</v>
      </c>
    </row>
    <row r="272" spans="1:11" x14ac:dyDescent="0.25">
      <c r="A272" s="5" t="s">
        <v>6359</v>
      </c>
      <c r="B272" s="5" t="s">
        <v>244</v>
      </c>
      <c r="C272" s="5" t="s">
        <v>7306</v>
      </c>
      <c r="D272" s="1">
        <v>45654</v>
      </c>
      <c r="E272" s="17">
        <v>4.7916666666666663E-2</v>
      </c>
      <c r="F272" s="5" t="s">
        <v>7305</v>
      </c>
      <c r="G272" s="12">
        <v>416</v>
      </c>
      <c r="H272" s="12">
        <v>0</v>
      </c>
      <c r="I272" s="12">
        <v>416</v>
      </c>
      <c r="J272" s="12">
        <f>SUMIF(order_item!B:B,A272,order_item!E:E)</f>
        <v>416</v>
      </c>
      <c r="K272" s="28" t="str">
        <f>_xlfn.XLOOKUP(B272,customers!A:A,customers!D:D)</f>
        <v>Regular</v>
      </c>
    </row>
    <row r="273" spans="1:11" x14ac:dyDescent="0.25">
      <c r="A273" s="5" t="s">
        <v>6355</v>
      </c>
      <c r="B273" s="5" t="s">
        <v>388</v>
      </c>
      <c r="C273" s="5" t="s">
        <v>7309</v>
      </c>
      <c r="D273" s="1">
        <v>45564</v>
      </c>
      <c r="E273" s="17">
        <v>0.69305555555555554</v>
      </c>
      <c r="F273" s="5" t="s">
        <v>7305</v>
      </c>
      <c r="G273" s="12">
        <v>1101</v>
      </c>
      <c r="H273" s="12">
        <v>0</v>
      </c>
      <c r="I273" s="12">
        <v>1101</v>
      </c>
      <c r="J273" s="12">
        <f>SUMIF(order_item!B:B,A273,order_item!E:E)</f>
        <v>1101</v>
      </c>
      <c r="K273" s="28" t="str">
        <f>_xlfn.XLOOKUP(B273,customers!A:A,customers!D:D)</f>
        <v>Regular</v>
      </c>
    </row>
    <row r="274" spans="1:11" x14ac:dyDescent="0.25">
      <c r="A274" s="5" t="s">
        <v>6352</v>
      </c>
      <c r="B274" s="5" t="s">
        <v>501</v>
      </c>
      <c r="C274" s="5" t="s">
        <v>7308</v>
      </c>
      <c r="D274" s="1">
        <v>45544</v>
      </c>
      <c r="E274" s="17">
        <v>0.85972222222222217</v>
      </c>
      <c r="F274" s="5" t="s">
        <v>7305</v>
      </c>
      <c r="G274" s="12">
        <v>218</v>
      </c>
      <c r="H274" s="12">
        <v>0</v>
      </c>
      <c r="I274" s="12">
        <v>218</v>
      </c>
      <c r="J274" s="12">
        <f>SUMIF(order_item!B:B,A274,order_item!E:E)</f>
        <v>218</v>
      </c>
      <c r="K274" s="28" t="str">
        <f>_xlfn.XLOOKUP(B274,customers!A:A,customers!D:D)</f>
        <v>Premium</v>
      </c>
    </row>
    <row r="275" spans="1:11" x14ac:dyDescent="0.25">
      <c r="A275" s="5" t="s">
        <v>6349</v>
      </c>
      <c r="B275" s="5" t="s">
        <v>313</v>
      </c>
      <c r="C275" s="5" t="s">
        <v>7308</v>
      </c>
      <c r="D275" s="1">
        <v>45739</v>
      </c>
      <c r="E275" s="17">
        <v>0.42569444444444443</v>
      </c>
      <c r="F275" s="5" t="s">
        <v>7305</v>
      </c>
      <c r="G275" s="12">
        <v>415</v>
      </c>
      <c r="H275" s="12">
        <v>62.25</v>
      </c>
      <c r="I275" s="12">
        <v>352.75</v>
      </c>
      <c r="J275" s="12">
        <f>SUMIF(order_item!B:B,A275,order_item!E:E)</f>
        <v>415</v>
      </c>
      <c r="K275" s="28" t="str">
        <f>_xlfn.XLOOKUP(B275,customers!A:A,customers!D:D)</f>
        <v>Regular</v>
      </c>
    </row>
    <row r="276" spans="1:11" x14ac:dyDescent="0.25">
      <c r="A276" s="5" t="s">
        <v>6344</v>
      </c>
      <c r="B276" s="5" t="s">
        <v>173</v>
      </c>
      <c r="C276" s="5" t="s">
        <v>7306</v>
      </c>
      <c r="D276" s="1">
        <v>45609</v>
      </c>
      <c r="E276" s="17">
        <v>0.77083333333333337</v>
      </c>
      <c r="F276" s="5" t="s">
        <v>7305</v>
      </c>
      <c r="G276" s="12">
        <v>714</v>
      </c>
      <c r="H276" s="12">
        <v>0</v>
      </c>
      <c r="I276" s="12">
        <v>714</v>
      </c>
      <c r="J276" s="12">
        <f>SUMIF(order_item!B:B,A276,order_item!E:E)</f>
        <v>714</v>
      </c>
      <c r="K276" s="28" t="str">
        <f>_xlfn.XLOOKUP(B276,customers!A:A,customers!D:D)</f>
        <v>Regular</v>
      </c>
    </row>
    <row r="277" spans="1:11" x14ac:dyDescent="0.25">
      <c r="A277" s="5" t="s">
        <v>6341</v>
      </c>
      <c r="B277" s="5" t="s">
        <v>517</v>
      </c>
      <c r="C277" s="5" t="s">
        <v>7309</v>
      </c>
      <c r="D277" s="1">
        <v>45463</v>
      </c>
      <c r="E277" s="17">
        <v>0.56597222222222221</v>
      </c>
      <c r="F277" s="5" t="s">
        <v>7307</v>
      </c>
      <c r="G277" s="12">
        <v>218</v>
      </c>
      <c r="H277" s="12">
        <v>0</v>
      </c>
      <c r="I277" s="12">
        <v>0</v>
      </c>
      <c r="J277" s="12">
        <f>SUMIF(order_item!B:B,A277,order_item!E:E)</f>
        <v>218</v>
      </c>
      <c r="K277" s="28" t="str">
        <f>_xlfn.XLOOKUP(B277,customers!A:A,customers!D:D)</f>
        <v>New</v>
      </c>
    </row>
    <row r="278" spans="1:11" x14ac:dyDescent="0.25">
      <c r="A278" s="5" t="s">
        <v>6338</v>
      </c>
      <c r="B278" s="5" t="s">
        <v>380</v>
      </c>
      <c r="C278" s="5" t="s">
        <v>7306</v>
      </c>
      <c r="D278" s="1">
        <v>45731</v>
      </c>
      <c r="E278" s="17">
        <v>0.92152777777777783</v>
      </c>
      <c r="F278" s="5" t="s">
        <v>7305</v>
      </c>
      <c r="G278" s="12">
        <v>396</v>
      </c>
      <c r="H278" s="12">
        <v>0</v>
      </c>
      <c r="I278" s="12">
        <v>396</v>
      </c>
      <c r="J278" s="12">
        <f>SUMIF(order_item!B:B,A278,order_item!E:E)</f>
        <v>396</v>
      </c>
      <c r="K278" s="28" t="str">
        <f>_xlfn.XLOOKUP(B278,customers!A:A,customers!D:D)</f>
        <v>New</v>
      </c>
    </row>
    <row r="279" spans="1:11" x14ac:dyDescent="0.25">
      <c r="A279" s="5" t="s">
        <v>6333</v>
      </c>
      <c r="B279" s="5" t="s">
        <v>523</v>
      </c>
      <c r="C279" s="5" t="s">
        <v>7306</v>
      </c>
      <c r="D279" s="1">
        <v>45737</v>
      </c>
      <c r="E279" s="17">
        <v>0.77569444444444446</v>
      </c>
      <c r="F279" s="5" t="s">
        <v>7305</v>
      </c>
      <c r="G279" s="12">
        <v>684</v>
      </c>
      <c r="H279" s="12">
        <v>0</v>
      </c>
      <c r="I279" s="12">
        <v>684</v>
      </c>
      <c r="J279" s="12">
        <f>SUMIF(order_item!B:B,A279,order_item!E:E)</f>
        <v>684</v>
      </c>
      <c r="K279" s="28" t="str">
        <f>_xlfn.XLOOKUP(B279,customers!A:A,customers!D:D)</f>
        <v>Regular</v>
      </c>
    </row>
    <row r="280" spans="1:11" x14ac:dyDescent="0.25">
      <c r="A280" s="5" t="s">
        <v>6330</v>
      </c>
      <c r="B280" s="5" t="s">
        <v>393</v>
      </c>
      <c r="C280" s="5" t="s">
        <v>7308</v>
      </c>
      <c r="D280" s="1">
        <v>45530</v>
      </c>
      <c r="E280" s="17">
        <v>0.7680555555555556</v>
      </c>
      <c r="F280" s="5" t="s">
        <v>7305</v>
      </c>
      <c r="G280" s="12">
        <v>435</v>
      </c>
      <c r="H280" s="12">
        <v>0</v>
      </c>
      <c r="I280" s="12">
        <v>435</v>
      </c>
      <c r="J280" s="12">
        <f>SUMIF(order_item!B:B,A280,order_item!E:E)</f>
        <v>435</v>
      </c>
      <c r="K280" s="28" t="str">
        <f>_xlfn.XLOOKUP(B280,customers!A:A,customers!D:D)</f>
        <v>Regular</v>
      </c>
    </row>
    <row r="281" spans="1:11" x14ac:dyDescent="0.25">
      <c r="A281" s="5" t="s">
        <v>6326</v>
      </c>
      <c r="B281" s="5" t="s">
        <v>169</v>
      </c>
      <c r="C281" s="5" t="s">
        <v>7309</v>
      </c>
      <c r="D281" s="1">
        <v>45419</v>
      </c>
      <c r="E281" s="17">
        <v>0.97222222222222221</v>
      </c>
      <c r="F281" s="5" t="s">
        <v>7305</v>
      </c>
      <c r="G281" s="12">
        <v>684</v>
      </c>
      <c r="H281" s="12">
        <v>0</v>
      </c>
      <c r="I281" s="12">
        <v>684</v>
      </c>
      <c r="J281" s="12">
        <f>SUMIF(order_item!B:B,A281,order_item!E:E)</f>
        <v>684</v>
      </c>
      <c r="K281" s="28" t="str">
        <f>_xlfn.XLOOKUP(B281,customers!A:A,customers!D:D)</f>
        <v>New</v>
      </c>
    </row>
    <row r="282" spans="1:11" x14ac:dyDescent="0.25">
      <c r="A282" s="5" t="s">
        <v>6322</v>
      </c>
      <c r="B282" s="5" t="s">
        <v>723</v>
      </c>
      <c r="C282" s="5" t="s">
        <v>7309</v>
      </c>
      <c r="D282" s="1">
        <v>45576</v>
      </c>
      <c r="E282" s="17">
        <v>0.71250000000000002</v>
      </c>
      <c r="F282" s="5" t="s">
        <v>7305</v>
      </c>
      <c r="G282" s="12">
        <v>753</v>
      </c>
      <c r="H282" s="12">
        <v>0</v>
      </c>
      <c r="I282" s="12">
        <v>753</v>
      </c>
      <c r="J282" s="12">
        <f>SUMIF(order_item!B:B,A282,order_item!E:E)</f>
        <v>753</v>
      </c>
      <c r="K282" s="28" t="str">
        <f>_xlfn.XLOOKUP(B282,customers!A:A,customers!D:D)</f>
        <v>Regular</v>
      </c>
    </row>
    <row r="283" spans="1:11" x14ac:dyDescent="0.25">
      <c r="A283" s="5" t="s">
        <v>6319</v>
      </c>
      <c r="B283" s="5" t="s">
        <v>779</v>
      </c>
      <c r="C283" s="5" t="s">
        <v>7308</v>
      </c>
      <c r="D283" s="1">
        <v>45553</v>
      </c>
      <c r="E283" s="17">
        <v>0.45277777777777778</v>
      </c>
      <c r="F283" s="5" t="s">
        <v>7305</v>
      </c>
      <c r="G283" s="12">
        <v>514</v>
      </c>
      <c r="H283" s="12">
        <v>51.4</v>
      </c>
      <c r="I283" s="12">
        <v>462.6</v>
      </c>
      <c r="J283" s="12">
        <f>SUMIF(order_item!B:B,A283,order_item!E:E)</f>
        <v>514</v>
      </c>
      <c r="K283" s="28" t="str">
        <f>_xlfn.XLOOKUP(B283,customers!A:A,customers!D:D)</f>
        <v>New</v>
      </c>
    </row>
    <row r="284" spans="1:11" x14ac:dyDescent="0.25">
      <c r="A284" s="5" t="s">
        <v>6316</v>
      </c>
      <c r="B284" s="5" t="s">
        <v>790</v>
      </c>
      <c r="C284" s="5" t="s">
        <v>7309</v>
      </c>
      <c r="D284" s="1">
        <v>45450</v>
      </c>
      <c r="E284" s="17">
        <v>0.91111111111111109</v>
      </c>
      <c r="F284" s="5" t="s">
        <v>7305</v>
      </c>
      <c r="G284" s="12">
        <v>226</v>
      </c>
      <c r="H284" s="12">
        <v>11.3</v>
      </c>
      <c r="I284" s="12">
        <v>214.7</v>
      </c>
      <c r="J284" s="12">
        <f>SUMIF(order_item!B:B,A284,order_item!E:E)</f>
        <v>226</v>
      </c>
      <c r="K284" s="28" t="str">
        <f>_xlfn.XLOOKUP(B284,customers!A:A,customers!D:D)</f>
        <v>New</v>
      </c>
    </row>
    <row r="285" spans="1:11" x14ac:dyDescent="0.25">
      <c r="A285" s="5" t="s">
        <v>6314</v>
      </c>
      <c r="B285" s="5" t="s">
        <v>798</v>
      </c>
      <c r="C285" s="5" t="s">
        <v>7309</v>
      </c>
      <c r="D285" s="1">
        <v>45661</v>
      </c>
      <c r="E285" s="17">
        <v>0.3833333333333333</v>
      </c>
      <c r="F285" s="5" t="s">
        <v>7307</v>
      </c>
      <c r="G285" s="12">
        <v>79</v>
      </c>
      <c r="H285" s="12">
        <v>11.85</v>
      </c>
      <c r="I285" s="12">
        <v>0</v>
      </c>
      <c r="J285" s="12">
        <f>SUMIF(order_item!B:B,A285,order_item!E:E)</f>
        <v>79</v>
      </c>
      <c r="K285" s="28" t="str">
        <f>_xlfn.XLOOKUP(B285,customers!A:A,customers!D:D)</f>
        <v>Premium</v>
      </c>
    </row>
    <row r="286" spans="1:11" x14ac:dyDescent="0.25">
      <c r="A286" s="5" t="s">
        <v>6310</v>
      </c>
      <c r="B286" s="5" t="s">
        <v>422</v>
      </c>
      <c r="C286" s="5" t="s">
        <v>7309</v>
      </c>
      <c r="D286" s="1">
        <v>45387</v>
      </c>
      <c r="E286" s="17">
        <v>0.70694444444444438</v>
      </c>
      <c r="F286" s="5" t="s">
        <v>7305</v>
      </c>
      <c r="G286" s="12">
        <v>476</v>
      </c>
      <c r="H286" s="12">
        <v>0</v>
      </c>
      <c r="I286" s="12">
        <v>476</v>
      </c>
      <c r="J286" s="12">
        <f>SUMIF(order_item!B:B,A286,order_item!E:E)</f>
        <v>476</v>
      </c>
      <c r="K286" s="28" t="str">
        <f>_xlfn.XLOOKUP(B286,customers!A:A,customers!D:D)</f>
        <v>Regular</v>
      </c>
    </row>
    <row r="287" spans="1:11" x14ac:dyDescent="0.25">
      <c r="A287" s="5" t="s">
        <v>6307</v>
      </c>
      <c r="B287" s="5" t="s">
        <v>825</v>
      </c>
      <c r="C287" s="5" t="s">
        <v>7309</v>
      </c>
      <c r="D287" s="1">
        <v>45663</v>
      </c>
      <c r="E287" s="17">
        <v>0.85833333333333339</v>
      </c>
      <c r="F287" s="5" t="s">
        <v>7305</v>
      </c>
      <c r="G287" s="12">
        <v>534</v>
      </c>
      <c r="H287" s="12">
        <v>0</v>
      </c>
      <c r="I287" s="12">
        <v>534</v>
      </c>
      <c r="J287" s="12">
        <f>SUMIF(order_item!B:B,A287,order_item!E:E)</f>
        <v>534</v>
      </c>
      <c r="K287" s="28" t="str">
        <f>_xlfn.XLOOKUP(B287,customers!A:A,customers!D:D)</f>
        <v>New</v>
      </c>
    </row>
    <row r="288" spans="1:11" x14ac:dyDescent="0.25">
      <c r="A288" s="5" t="s">
        <v>6303</v>
      </c>
      <c r="B288" s="5" t="s">
        <v>332</v>
      </c>
      <c r="C288" s="5" t="s">
        <v>7309</v>
      </c>
      <c r="D288" s="1">
        <v>45421</v>
      </c>
      <c r="E288" s="17">
        <v>0.87083333333333324</v>
      </c>
      <c r="F288" s="5" t="s">
        <v>7305</v>
      </c>
      <c r="G288" s="12">
        <v>406</v>
      </c>
      <c r="H288" s="12">
        <v>0</v>
      </c>
      <c r="I288" s="12">
        <v>406</v>
      </c>
      <c r="J288" s="12">
        <f>SUMIF(order_item!B:B,A288,order_item!E:E)</f>
        <v>406</v>
      </c>
      <c r="K288" s="28" t="str">
        <f>_xlfn.XLOOKUP(B288,customers!A:A,customers!D:D)</f>
        <v>New</v>
      </c>
    </row>
    <row r="289" spans="1:11" x14ac:dyDescent="0.25">
      <c r="A289" s="5" t="s">
        <v>6299</v>
      </c>
      <c r="B289" s="5" t="s">
        <v>514</v>
      </c>
      <c r="C289" s="5" t="s">
        <v>7306</v>
      </c>
      <c r="D289" s="1">
        <v>45514</v>
      </c>
      <c r="E289" s="17">
        <v>0.83888888888888891</v>
      </c>
      <c r="F289" s="5" t="s">
        <v>7305</v>
      </c>
      <c r="G289" s="12">
        <v>803</v>
      </c>
      <c r="H289" s="12">
        <v>0</v>
      </c>
      <c r="I289" s="12">
        <v>803</v>
      </c>
      <c r="J289" s="12">
        <f>SUMIF(order_item!B:B,A289,order_item!E:E)</f>
        <v>803</v>
      </c>
      <c r="K289" s="28" t="str">
        <f>_xlfn.XLOOKUP(B289,customers!A:A,customers!D:D)</f>
        <v>Premium</v>
      </c>
    </row>
    <row r="290" spans="1:11" x14ac:dyDescent="0.25">
      <c r="A290" s="5" t="s">
        <v>6296</v>
      </c>
      <c r="B290" s="5" t="s">
        <v>184</v>
      </c>
      <c r="C290" s="5" t="s">
        <v>7309</v>
      </c>
      <c r="D290" s="1">
        <v>45474</v>
      </c>
      <c r="E290" s="17">
        <v>0.79999999999999993</v>
      </c>
      <c r="F290" s="5" t="s">
        <v>7305</v>
      </c>
      <c r="G290" s="12">
        <v>198</v>
      </c>
      <c r="H290" s="12">
        <v>0</v>
      </c>
      <c r="I290" s="12">
        <v>198</v>
      </c>
      <c r="J290" s="12">
        <f>SUMIF(order_item!B:B,A290,order_item!E:E)</f>
        <v>198</v>
      </c>
      <c r="K290" s="28" t="str">
        <f>_xlfn.XLOOKUP(B290,customers!A:A,customers!D:D)</f>
        <v>Regular</v>
      </c>
    </row>
    <row r="291" spans="1:11" x14ac:dyDescent="0.25">
      <c r="A291" s="5" t="s">
        <v>6294</v>
      </c>
      <c r="B291" s="5" t="s">
        <v>433</v>
      </c>
      <c r="C291" s="5" t="s">
        <v>7308</v>
      </c>
      <c r="D291" s="1">
        <v>45416</v>
      </c>
      <c r="E291" s="17">
        <v>0.8222222222222223</v>
      </c>
      <c r="F291" s="5" t="s">
        <v>7305</v>
      </c>
      <c r="G291" s="12">
        <v>267</v>
      </c>
      <c r="H291" s="12">
        <v>26.7</v>
      </c>
      <c r="I291" s="12">
        <v>240.3</v>
      </c>
      <c r="J291" s="12">
        <f>SUMIF(order_item!B:B,A291,order_item!E:E)</f>
        <v>267</v>
      </c>
      <c r="K291" s="28" t="str">
        <f>_xlfn.XLOOKUP(B291,customers!A:A,customers!D:D)</f>
        <v>New</v>
      </c>
    </row>
    <row r="292" spans="1:11" x14ac:dyDescent="0.25">
      <c r="A292" s="5" t="s">
        <v>6291</v>
      </c>
      <c r="B292" s="5" t="s">
        <v>277</v>
      </c>
      <c r="C292" s="5" t="s">
        <v>7306</v>
      </c>
      <c r="D292" s="1">
        <v>45430</v>
      </c>
      <c r="E292" s="17">
        <v>0.92847222222222225</v>
      </c>
      <c r="F292" s="5" t="s">
        <v>7305</v>
      </c>
      <c r="G292" s="12">
        <v>903</v>
      </c>
      <c r="H292" s="12">
        <v>90.3</v>
      </c>
      <c r="I292" s="12">
        <v>812.7</v>
      </c>
      <c r="J292" s="12">
        <f>SUMIF(order_item!B:B,A292,order_item!E:E)</f>
        <v>903</v>
      </c>
      <c r="K292" s="28" t="str">
        <f>_xlfn.XLOOKUP(B292,customers!A:A,customers!D:D)</f>
        <v>Regular</v>
      </c>
    </row>
    <row r="293" spans="1:11" x14ac:dyDescent="0.25">
      <c r="A293" s="5" t="s">
        <v>6287</v>
      </c>
      <c r="B293" s="5" t="s">
        <v>400</v>
      </c>
      <c r="C293" s="5" t="s">
        <v>7308</v>
      </c>
      <c r="D293" s="1">
        <v>45424</v>
      </c>
      <c r="E293" s="17">
        <v>0.80138888888888893</v>
      </c>
      <c r="F293" s="5" t="s">
        <v>7305</v>
      </c>
      <c r="G293" s="12">
        <v>426</v>
      </c>
      <c r="H293" s="12">
        <v>0</v>
      </c>
      <c r="I293" s="12">
        <v>426</v>
      </c>
      <c r="J293" s="12">
        <f>SUMIF(order_item!B:B,A293,order_item!E:E)</f>
        <v>426</v>
      </c>
      <c r="K293" s="28" t="str">
        <f>_xlfn.XLOOKUP(B293,customers!A:A,customers!D:D)</f>
        <v>New</v>
      </c>
    </row>
    <row r="294" spans="1:11" x14ac:dyDescent="0.25">
      <c r="A294" s="5" t="s">
        <v>6285</v>
      </c>
      <c r="B294" s="5" t="s">
        <v>492</v>
      </c>
      <c r="C294" s="5" t="s">
        <v>7306</v>
      </c>
      <c r="D294" s="1">
        <v>45616</v>
      </c>
      <c r="E294" s="17">
        <v>7.4999999999999997E-2</v>
      </c>
      <c r="F294" s="5" t="s">
        <v>7305</v>
      </c>
      <c r="G294" s="12">
        <v>298</v>
      </c>
      <c r="H294" s="12">
        <v>0</v>
      </c>
      <c r="I294" s="12">
        <v>298</v>
      </c>
      <c r="J294" s="12">
        <f>SUMIF(order_item!B:B,A294,order_item!E:E)</f>
        <v>298</v>
      </c>
      <c r="K294" s="28" t="str">
        <f>_xlfn.XLOOKUP(B294,customers!A:A,customers!D:D)</f>
        <v>Regular</v>
      </c>
    </row>
    <row r="295" spans="1:11" x14ac:dyDescent="0.25">
      <c r="A295" s="5" t="s">
        <v>6282</v>
      </c>
      <c r="B295" s="5" t="s">
        <v>161</v>
      </c>
      <c r="C295" s="5" t="s">
        <v>7308</v>
      </c>
      <c r="D295" s="1">
        <v>45592</v>
      </c>
      <c r="E295" s="17">
        <v>0.68541666666666667</v>
      </c>
      <c r="F295" s="5" t="s">
        <v>7305</v>
      </c>
      <c r="G295" s="12">
        <v>297</v>
      </c>
      <c r="H295" s="12">
        <v>0</v>
      </c>
      <c r="I295" s="12">
        <v>297</v>
      </c>
      <c r="J295" s="12">
        <f>SUMIF(order_item!B:B,A295,order_item!E:E)</f>
        <v>297</v>
      </c>
      <c r="K295" s="28" t="str">
        <f>_xlfn.XLOOKUP(B295,customers!A:A,customers!D:D)</f>
        <v>New</v>
      </c>
    </row>
    <row r="296" spans="1:11" x14ac:dyDescent="0.25">
      <c r="A296" s="5" t="s">
        <v>6278</v>
      </c>
      <c r="B296" s="5" t="s">
        <v>778</v>
      </c>
      <c r="C296" s="5" t="s">
        <v>7309</v>
      </c>
      <c r="D296" s="1">
        <v>45509</v>
      </c>
      <c r="E296" s="17">
        <v>0.93541666666666667</v>
      </c>
      <c r="F296" s="5" t="s">
        <v>7305</v>
      </c>
      <c r="G296" s="12">
        <v>794</v>
      </c>
      <c r="H296" s="12">
        <v>39.700000000000003</v>
      </c>
      <c r="I296" s="12">
        <v>754.3</v>
      </c>
      <c r="J296" s="12">
        <f>SUMIF(order_item!B:B,A296,order_item!E:E)</f>
        <v>794</v>
      </c>
      <c r="K296" s="28" t="str">
        <f>_xlfn.XLOOKUP(B296,customers!A:A,customers!D:D)</f>
        <v>Regular</v>
      </c>
    </row>
    <row r="297" spans="1:11" x14ac:dyDescent="0.25">
      <c r="A297" s="5" t="s">
        <v>6275</v>
      </c>
      <c r="B297" s="5" t="s">
        <v>605</v>
      </c>
      <c r="C297" s="5" t="s">
        <v>7306</v>
      </c>
      <c r="D297" s="1">
        <v>45582</v>
      </c>
      <c r="E297" s="17">
        <v>0.81736111111111109</v>
      </c>
      <c r="F297" s="5" t="s">
        <v>7305</v>
      </c>
      <c r="G297" s="12">
        <v>336</v>
      </c>
      <c r="H297" s="12">
        <v>0</v>
      </c>
      <c r="I297" s="12">
        <v>336</v>
      </c>
      <c r="J297" s="12">
        <f>SUMIF(order_item!B:B,A297,order_item!E:E)</f>
        <v>336</v>
      </c>
      <c r="K297" s="28" t="str">
        <f>_xlfn.XLOOKUP(B297,customers!A:A,customers!D:D)</f>
        <v>Premium</v>
      </c>
    </row>
    <row r="298" spans="1:11" x14ac:dyDescent="0.25">
      <c r="A298" s="5" t="s">
        <v>6272</v>
      </c>
      <c r="B298" s="5" t="s">
        <v>807</v>
      </c>
      <c r="C298" s="5" t="s">
        <v>7309</v>
      </c>
      <c r="D298" s="1">
        <v>45394</v>
      </c>
      <c r="E298" s="17">
        <v>0.6</v>
      </c>
      <c r="F298" s="5" t="s">
        <v>7305</v>
      </c>
      <c r="G298" s="12">
        <v>496</v>
      </c>
      <c r="H298" s="12">
        <v>24.8</v>
      </c>
      <c r="I298" s="12">
        <v>471.2</v>
      </c>
      <c r="J298" s="12">
        <f>SUMIF(order_item!B:B,A298,order_item!E:E)</f>
        <v>496</v>
      </c>
      <c r="K298" s="28" t="str">
        <f>_xlfn.XLOOKUP(B298,customers!A:A,customers!D:D)</f>
        <v>Regular</v>
      </c>
    </row>
    <row r="299" spans="1:11" x14ac:dyDescent="0.25">
      <c r="A299" s="5" t="s">
        <v>6268</v>
      </c>
      <c r="B299" s="5" t="s">
        <v>479</v>
      </c>
      <c r="C299" s="5" t="s">
        <v>7309</v>
      </c>
      <c r="D299" s="1">
        <v>45697</v>
      </c>
      <c r="E299" s="17">
        <v>0.7090277777777777</v>
      </c>
      <c r="F299" s="5" t="s">
        <v>7305</v>
      </c>
      <c r="G299" s="12">
        <v>872</v>
      </c>
      <c r="H299" s="12">
        <v>87.2</v>
      </c>
      <c r="I299" s="12">
        <v>784.8</v>
      </c>
      <c r="J299" s="12">
        <f>SUMIF(order_item!B:B,A299,order_item!E:E)</f>
        <v>872</v>
      </c>
      <c r="K299" s="28" t="str">
        <f>_xlfn.XLOOKUP(B299,customers!A:A,customers!D:D)</f>
        <v>Regular</v>
      </c>
    </row>
    <row r="300" spans="1:11" x14ac:dyDescent="0.25">
      <c r="A300" s="5" t="s">
        <v>6265</v>
      </c>
      <c r="B300" s="5" t="s">
        <v>347</v>
      </c>
      <c r="C300" s="5" t="s">
        <v>7306</v>
      </c>
      <c r="D300" s="1">
        <v>45516</v>
      </c>
      <c r="E300" s="17">
        <v>0.79583333333333339</v>
      </c>
      <c r="F300" s="5" t="s">
        <v>7305</v>
      </c>
      <c r="G300" s="12">
        <v>357</v>
      </c>
      <c r="H300" s="12">
        <v>0</v>
      </c>
      <c r="I300" s="12">
        <v>357</v>
      </c>
      <c r="J300" s="12">
        <f>SUMIF(order_item!B:B,A300,order_item!E:E)</f>
        <v>357</v>
      </c>
      <c r="K300" s="28" t="str">
        <f>_xlfn.XLOOKUP(B300,customers!A:A,customers!D:D)</f>
        <v>Regular</v>
      </c>
    </row>
    <row r="301" spans="1:11" x14ac:dyDescent="0.25">
      <c r="A301" s="5" t="s">
        <v>6263</v>
      </c>
      <c r="B301" s="5" t="s">
        <v>191</v>
      </c>
      <c r="C301" s="5" t="s">
        <v>7306</v>
      </c>
      <c r="D301" s="1">
        <v>45579</v>
      </c>
      <c r="E301" s="17">
        <v>0.45347222222222222</v>
      </c>
      <c r="F301" s="5" t="s">
        <v>7305</v>
      </c>
      <c r="G301" s="12">
        <v>49</v>
      </c>
      <c r="H301" s="12">
        <v>0</v>
      </c>
      <c r="I301" s="12">
        <v>49</v>
      </c>
      <c r="J301" s="12">
        <f>SUMIF(order_item!B:B,A301,order_item!E:E)</f>
        <v>49</v>
      </c>
      <c r="K301" s="28" t="str">
        <f>_xlfn.XLOOKUP(B301,customers!A:A,customers!D:D)</f>
        <v>Regular</v>
      </c>
    </row>
    <row r="302" spans="1:11" x14ac:dyDescent="0.25">
      <c r="A302" s="5" t="s">
        <v>6258</v>
      </c>
      <c r="B302" s="5" t="s">
        <v>432</v>
      </c>
      <c r="C302" s="5" t="s">
        <v>7309</v>
      </c>
      <c r="D302" s="1">
        <v>45651</v>
      </c>
      <c r="E302" s="17">
        <v>0.83750000000000002</v>
      </c>
      <c r="F302" s="5" t="s">
        <v>7305</v>
      </c>
      <c r="G302" s="12">
        <v>833</v>
      </c>
      <c r="H302" s="12">
        <v>0</v>
      </c>
      <c r="I302" s="12">
        <v>833</v>
      </c>
      <c r="J302" s="12">
        <f>SUMIF(order_item!B:B,A302,order_item!E:E)</f>
        <v>833</v>
      </c>
      <c r="K302" s="28" t="str">
        <f>_xlfn.XLOOKUP(B302,customers!A:A,customers!D:D)</f>
        <v>Regular</v>
      </c>
    </row>
    <row r="303" spans="1:11" x14ac:dyDescent="0.25">
      <c r="A303" s="5" t="s">
        <v>6253</v>
      </c>
      <c r="B303" s="5" t="s">
        <v>279</v>
      </c>
      <c r="C303" s="5" t="s">
        <v>7306</v>
      </c>
      <c r="D303" s="1">
        <v>45548</v>
      </c>
      <c r="E303" s="17">
        <v>0.8208333333333333</v>
      </c>
      <c r="F303" s="5" t="s">
        <v>7305</v>
      </c>
      <c r="G303" s="12">
        <v>1090</v>
      </c>
      <c r="H303" s="12">
        <v>109</v>
      </c>
      <c r="I303" s="12">
        <v>981</v>
      </c>
      <c r="J303" s="12">
        <f>SUMIF(order_item!B:B,A303,order_item!E:E)</f>
        <v>1090</v>
      </c>
      <c r="K303" s="28" t="str">
        <f>_xlfn.XLOOKUP(B303,customers!A:A,customers!D:D)</f>
        <v>Regular</v>
      </c>
    </row>
    <row r="304" spans="1:11" x14ac:dyDescent="0.25">
      <c r="A304" s="5" t="s">
        <v>6250</v>
      </c>
      <c r="B304" s="5" t="s">
        <v>734</v>
      </c>
      <c r="C304" s="5" t="s">
        <v>7309</v>
      </c>
      <c r="D304" s="1">
        <v>45723</v>
      </c>
      <c r="E304" s="17">
        <v>0.3979166666666667</v>
      </c>
      <c r="F304" s="5" t="s">
        <v>7305</v>
      </c>
      <c r="G304" s="12">
        <v>238</v>
      </c>
      <c r="H304" s="12">
        <v>0</v>
      </c>
      <c r="I304" s="12">
        <v>238</v>
      </c>
      <c r="J304" s="12">
        <f>SUMIF(order_item!B:B,A304,order_item!E:E)</f>
        <v>238</v>
      </c>
      <c r="K304" s="28" t="str">
        <f>_xlfn.XLOOKUP(B304,customers!A:A,customers!D:D)</f>
        <v>Regular</v>
      </c>
    </row>
    <row r="305" spans="1:11" x14ac:dyDescent="0.25">
      <c r="A305" s="5" t="s">
        <v>6247</v>
      </c>
      <c r="B305" s="5" t="s">
        <v>220</v>
      </c>
      <c r="C305" s="5" t="s">
        <v>7309</v>
      </c>
      <c r="D305" s="1">
        <v>45408</v>
      </c>
      <c r="E305" s="17">
        <v>0.80347222222222225</v>
      </c>
      <c r="F305" s="5" t="s">
        <v>7305</v>
      </c>
      <c r="G305" s="12">
        <v>376</v>
      </c>
      <c r="H305" s="12">
        <v>0</v>
      </c>
      <c r="I305" s="12">
        <v>376</v>
      </c>
      <c r="J305" s="12">
        <f>SUMIF(order_item!B:B,A305,order_item!E:E)</f>
        <v>376</v>
      </c>
      <c r="K305" s="28" t="str">
        <f>_xlfn.XLOOKUP(B305,customers!A:A,customers!D:D)</f>
        <v>Regular</v>
      </c>
    </row>
    <row r="306" spans="1:11" x14ac:dyDescent="0.25">
      <c r="A306" s="5" t="s">
        <v>6244</v>
      </c>
      <c r="B306" s="5" t="s">
        <v>129</v>
      </c>
      <c r="C306" s="5" t="s">
        <v>7309</v>
      </c>
      <c r="D306" s="1">
        <v>45576</v>
      </c>
      <c r="E306" s="17">
        <v>0.65347222222222223</v>
      </c>
      <c r="F306" s="5" t="s">
        <v>7305</v>
      </c>
      <c r="G306" s="12">
        <v>297</v>
      </c>
      <c r="H306" s="12">
        <v>0</v>
      </c>
      <c r="I306" s="12">
        <v>297</v>
      </c>
      <c r="J306" s="12">
        <f>SUMIF(order_item!B:B,A306,order_item!E:E)</f>
        <v>297</v>
      </c>
      <c r="K306" s="28" t="str">
        <f>_xlfn.XLOOKUP(B306,customers!A:A,customers!D:D)</f>
        <v>New</v>
      </c>
    </row>
    <row r="307" spans="1:11" x14ac:dyDescent="0.25">
      <c r="A307" s="5" t="s">
        <v>6241</v>
      </c>
      <c r="B307" s="5" t="s">
        <v>180</v>
      </c>
      <c r="C307" s="5" t="s">
        <v>7308</v>
      </c>
      <c r="D307" s="1">
        <v>45734</v>
      </c>
      <c r="E307" s="17">
        <v>0.66875000000000007</v>
      </c>
      <c r="F307" s="5" t="s">
        <v>7307</v>
      </c>
      <c r="G307" s="12">
        <v>634</v>
      </c>
      <c r="H307" s="12">
        <v>0</v>
      </c>
      <c r="I307" s="12">
        <v>0</v>
      </c>
      <c r="J307" s="12">
        <f>SUMIF(order_item!B:B,A307,order_item!E:E)</f>
        <v>634</v>
      </c>
      <c r="K307" s="28" t="str">
        <f>_xlfn.XLOOKUP(B307,customers!A:A,customers!D:D)</f>
        <v>Regular</v>
      </c>
    </row>
    <row r="308" spans="1:11" x14ac:dyDescent="0.25">
      <c r="A308" s="5" t="s">
        <v>6238</v>
      </c>
      <c r="B308" s="5" t="s">
        <v>795</v>
      </c>
      <c r="C308" s="5" t="s">
        <v>7306</v>
      </c>
      <c r="D308" s="1">
        <v>45545</v>
      </c>
      <c r="E308" s="17">
        <v>0.46875</v>
      </c>
      <c r="F308" s="5" t="s">
        <v>7305</v>
      </c>
      <c r="G308" s="12">
        <v>415</v>
      </c>
      <c r="H308" s="12">
        <v>20.75</v>
      </c>
      <c r="I308" s="12">
        <v>394.25</v>
      </c>
      <c r="J308" s="12">
        <f>SUMIF(order_item!B:B,A308,order_item!E:E)</f>
        <v>415</v>
      </c>
      <c r="K308" s="28" t="str">
        <f>_xlfn.XLOOKUP(B308,customers!A:A,customers!D:D)</f>
        <v>Regular</v>
      </c>
    </row>
    <row r="309" spans="1:11" x14ac:dyDescent="0.25">
      <c r="A309" s="5" t="s">
        <v>6234</v>
      </c>
      <c r="B309" s="5" t="s">
        <v>209</v>
      </c>
      <c r="C309" s="5" t="s">
        <v>7306</v>
      </c>
      <c r="D309" s="1">
        <v>45609</v>
      </c>
      <c r="E309" s="17">
        <v>0.59791666666666665</v>
      </c>
      <c r="F309" s="5" t="s">
        <v>7305</v>
      </c>
      <c r="G309" s="12">
        <v>455</v>
      </c>
      <c r="H309" s="12">
        <v>45.5</v>
      </c>
      <c r="I309" s="12">
        <v>409.5</v>
      </c>
      <c r="J309" s="12">
        <f>SUMIF(order_item!B:B,A309,order_item!E:E)</f>
        <v>455</v>
      </c>
      <c r="K309" s="28" t="str">
        <f>_xlfn.XLOOKUP(B309,customers!A:A,customers!D:D)</f>
        <v>Premium</v>
      </c>
    </row>
    <row r="310" spans="1:11" x14ac:dyDescent="0.25">
      <c r="A310" s="5" t="s">
        <v>6231</v>
      </c>
      <c r="B310" s="5" t="s">
        <v>526</v>
      </c>
      <c r="C310" s="5" t="s">
        <v>7306</v>
      </c>
      <c r="D310" s="1">
        <v>45639</v>
      </c>
      <c r="E310" s="17">
        <v>0.8520833333333333</v>
      </c>
      <c r="F310" s="5" t="s">
        <v>7305</v>
      </c>
      <c r="G310" s="12">
        <v>894</v>
      </c>
      <c r="H310" s="12">
        <v>0</v>
      </c>
      <c r="I310" s="12">
        <v>894</v>
      </c>
      <c r="J310" s="12">
        <f>SUMIF(order_item!B:B,A310,order_item!E:E)</f>
        <v>894</v>
      </c>
      <c r="K310" s="28" t="str">
        <f>_xlfn.XLOOKUP(B310,customers!A:A,customers!D:D)</f>
        <v>Regular</v>
      </c>
    </row>
    <row r="311" spans="1:11" x14ac:dyDescent="0.25">
      <c r="A311" s="5" t="s">
        <v>6227</v>
      </c>
      <c r="B311" s="5" t="s">
        <v>114</v>
      </c>
      <c r="C311" s="5" t="s">
        <v>7306</v>
      </c>
      <c r="D311" s="1">
        <v>45687</v>
      </c>
      <c r="E311" s="17">
        <v>0.4055555555555555</v>
      </c>
      <c r="F311" s="5" t="s">
        <v>7305</v>
      </c>
      <c r="G311" s="12">
        <v>583</v>
      </c>
      <c r="H311" s="12">
        <v>0</v>
      </c>
      <c r="I311" s="12">
        <v>583</v>
      </c>
      <c r="J311" s="12">
        <f>SUMIF(order_item!B:B,A311,order_item!E:E)</f>
        <v>583</v>
      </c>
      <c r="K311" s="28" t="str">
        <f>_xlfn.XLOOKUP(B311,customers!A:A,customers!D:D)</f>
        <v>New</v>
      </c>
    </row>
    <row r="312" spans="1:11" x14ac:dyDescent="0.25">
      <c r="A312" s="5" t="s">
        <v>6224</v>
      </c>
      <c r="B312" s="5" t="s">
        <v>114</v>
      </c>
      <c r="C312" s="5" t="s">
        <v>7309</v>
      </c>
      <c r="D312" s="1">
        <v>45542</v>
      </c>
      <c r="E312" s="17">
        <v>0.66597222222222219</v>
      </c>
      <c r="F312" s="5" t="s">
        <v>7305</v>
      </c>
      <c r="G312" s="12">
        <v>238</v>
      </c>
      <c r="H312" s="12">
        <v>0</v>
      </c>
      <c r="I312" s="12">
        <v>238</v>
      </c>
      <c r="J312" s="12">
        <f>SUMIF(order_item!B:B,A312,order_item!E:E)</f>
        <v>238</v>
      </c>
      <c r="K312" s="28" t="str">
        <f>_xlfn.XLOOKUP(B312,customers!A:A,customers!D:D)</f>
        <v>New</v>
      </c>
    </row>
    <row r="313" spans="1:11" x14ac:dyDescent="0.25">
      <c r="A313" s="5" t="s">
        <v>6220</v>
      </c>
      <c r="B313" s="5" t="s">
        <v>817</v>
      </c>
      <c r="C313" s="5" t="s">
        <v>7306</v>
      </c>
      <c r="D313" s="1">
        <v>45622</v>
      </c>
      <c r="E313" s="17">
        <v>0.57986111111111105</v>
      </c>
      <c r="F313" s="5" t="s">
        <v>7305</v>
      </c>
      <c r="G313" s="12">
        <v>414</v>
      </c>
      <c r="H313" s="12">
        <v>0</v>
      </c>
      <c r="I313" s="12">
        <v>414</v>
      </c>
      <c r="J313" s="12">
        <f>SUMIF(order_item!B:B,A313,order_item!E:E)</f>
        <v>414</v>
      </c>
      <c r="K313" s="28" t="str">
        <f>_xlfn.XLOOKUP(B313,customers!A:A,customers!D:D)</f>
        <v>New</v>
      </c>
    </row>
    <row r="314" spans="1:11" x14ac:dyDescent="0.25">
      <c r="A314" s="5" t="s">
        <v>6216</v>
      </c>
      <c r="B314" s="5" t="s">
        <v>470</v>
      </c>
      <c r="C314" s="5" t="s">
        <v>7306</v>
      </c>
      <c r="D314" s="1">
        <v>45409</v>
      </c>
      <c r="E314" s="17">
        <v>0.91111111111111109</v>
      </c>
      <c r="F314" s="5" t="s">
        <v>7305</v>
      </c>
      <c r="G314" s="12">
        <v>456</v>
      </c>
      <c r="H314" s="12">
        <v>0</v>
      </c>
      <c r="I314" s="12">
        <v>456</v>
      </c>
      <c r="J314" s="12">
        <f>SUMIF(order_item!B:B,A314,order_item!E:E)</f>
        <v>456</v>
      </c>
      <c r="K314" s="28" t="str">
        <f>_xlfn.XLOOKUP(B314,customers!A:A,customers!D:D)</f>
        <v>New</v>
      </c>
    </row>
    <row r="315" spans="1:11" x14ac:dyDescent="0.25">
      <c r="A315" s="5" t="s">
        <v>6212</v>
      </c>
      <c r="B315" s="5" t="s">
        <v>326</v>
      </c>
      <c r="C315" s="5" t="s">
        <v>7308</v>
      </c>
      <c r="D315" s="1">
        <v>45602</v>
      </c>
      <c r="E315" s="17">
        <v>0.73125000000000007</v>
      </c>
      <c r="F315" s="5" t="s">
        <v>7307</v>
      </c>
      <c r="G315" s="12">
        <v>654</v>
      </c>
      <c r="H315" s="12">
        <v>0</v>
      </c>
      <c r="I315" s="12">
        <v>0</v>
      </c>
      <c r="J315" s="12">
        <f>SUMIF(order_item!B:B,A315,order_item!E:E)</f>
        <v>654</v>
      </c>
      <c r="K315" s="28" t="str">
        <f>_xlfn.XLOOKUP(B315,customers!A:A,customers!D:D)</f>
        <v>New</v>
      </c>
    </row>
    <row r="316" spans="1:11" x14ac:dyDescent="0.25">
      <c r="A316" s="5" t="s">
        <v>6209</v>
      </c>
      <c r="B316" s="5" t="s">
        <v>746</v>
      </c>
      <c r="C316" s="5" t="s">
        <v>7309</v>
      </c>
      <c r="D316" s="1">
        <v>45670</v>
      </c>
      <c r="E316" s="17">
        <v>0.80763888888888891</v>
      </c>
      <c r="F316" s="5" t="s">
        <v>7305</v>
      </c>
      <c r="G316" s="12">
        <v>316</v>
      </c>
      <c r="H316" s="12">
        <v>0</v>
      </c>
      <c r="I316" s="12">
        <v>316</v>
      </c>
      <c r="J316" s="12">
        <f>SUMIF(order_item!B:B,A316,order_item!E:E)</f>
        <v>316</v>
      </c>
      <c r="K316" s="28" t="str">
        <f>_xlfn.XLOOKUP(B316,customers!A:A,customers!D:D)</f>
        <v>New</v>
      </c>
    </row>
    <row r="317" spans="1:11" x14ac:dyDescent="0.25">
      <c r="A317" s="5" t="s">
        <v>6206</v>
      </c>
      <c r="B317" s="5" t="s">
        <v>755</v>
      </c>
      <c r="C317" s="5" t="s">
        <v>7309</v>
      </c>
      <c r="D317" s="1">
        <v>45738</v>
      </c>
      <c r="E317" s="17">
        <v>0.91249999999999998</v>
      </c>
      <c r="F317" s="5" t="s">
        <v>7307</v>
      </c>
      <c r="G317" s="12">
        <v>435</v>
      </c>
      <c r="H317" s="12">
        <v>0</v>
      </c>
      <c r="I317" s="12">
        <v>0</v>
      </c>
      <c r="J317" s="12">
        <f>SUMIF(order_item!B:B,A317,order_item!E:E)</f>
        <v>435</v>
      </c>
      <c r="K317" s="28" t="str">
        <f>_xlfn.XLOOKUP(B317,customers!A:A,customers!D:D)</f>
        <v>Premium</v>
      </c>
    </row>
    <row r="318" spans="1:11" x14ac:dyDescent="0.25">
      <c r="A318" s="5" t="s">
        <v>6203</v>
      </c>
      <c r="B318" s="5" t="s">
        <v>363</v>
      </c>
      <c r="C318" s="5" t="s">
        <v>7309</v>
      </c>
      <c r="D318" s="1">
        <v>45560</v>
      </c>
      <c r="E318" s="17">
        <v>0.95277777777777783</v>
      </c>
      <c r="F318" s="5" t="s">
        <v>7305</v>
      </c>
      <c r="G318" s="12">
        <v>427</v>
      </c>
      <c r="H318" s="12">
        <v>21.35</v>
      </c>
      <c r="I318" s="12">
        <v>405.65</v>
      </c>
      <c r="J318" s="12">
        <f>SUMIF(order_item!B:B,A318,order_item!E:E)</f>
        <v>427</v>
      </c>
      <c r="K318" s="28" t="str">
        <f>_xlfn.XLOOKUP(B318,customers!A:A,customers!D:D)</f>
        <v>New</v>
      </c>
    </row>
    <row r="319" spans="1:11" x14ac:dyDescent="0.25">
      <c r="A319" s="5" t="s">
        <v>6199</v>
      </c>
      <c r="B319" s="5" t="s">
        <v>360</v>
      </c>
      <c r="C319" s="5" t="s">
        <v>7309</v>
      </c>
      <c r="D319" s="1">
        <v>45609</v>
      </c>
      <c r="E319" s="17">
        <v>0.57361111111111118</v>
      </c>
      <c r="F319" s="5" t="s">
        <v>7305</v>
      </c>
      <c r="G319" s="12">
        <v>335</v>
      </c>
      <c r="H319" s="12">
        <v>0</v>
      </c>
      <c r="I319" s="12">
        <v>335</v>
      </c>
      <c r="J319" s="12">
        <f>SUMIF(order_item!B:B,A319,order_item!E:E)</f>
        <v>335</v>
      </c>
      <c r="K319" s="28" t="str">
        <f>_xlfn.XLOOKUP(B319,customers!A:A,customers!D:D)</f>
        <v>New</v>
      </c>
    </row>
    <row r="320" spans="1:11" x14ac:dyDescent="0.25">
      <c r="A320" s="5" t="s">
        <v>6195</v>
      </c>
      <c r="B320" s="5" t="s">
        <v>593</v>
      </c>
      <c r="C320" s="5" t="s">
        <v>7306</v>
      </c>
      <c r="D320" s="1">
        <v>45416</v>
      </c>
      <c r="E320" s="17">
        <v>0.78055555555555556</v>
      </c>
      <c r="F320" s="5" t="s">
        <v>7305</v>
      </c>
      <c r="G320" s="12">
        <v>574</v>
      </c>
      <c r="H320" s="12">
        <v>0</v>
      </c>
      <c r="I320" s="12">
        <v>574</v>
      </c>
      <c r="J320" s="12">
        <f>SUMIF(order_item!B:B,A320,order_item!E:E)</f>
        <v>574</v>
      </c>
      <c r="K320" s="28" t="str">
        <f>_xlfn.XLOOKUP(B320,customers!A:A,customers!D:D)</f>
        <v>Regular</v>
      </c>
    </row>
    <row r="321" spans="1:11" x14ac:dyDescent="0.25">
      <c r="A321" s="5" t="s">
        <v>6192</v>
      </c>
      <c r="B321" s="5" t="s">
        <v>292</v>
      </c>
      <c r="C321" s="5" t="s">
        <v>7306</v>
      </c>
      <c r="D321" s="1">
        <v>45724</v>
      </c>
      <c r="E321" s="17">
        <v>3.125E-2</v>
      </c>
      <c r="F321" s="5" t="s">
        <v>7305</v>
      </c>
      <c r="G321" s="12">
        <v>187</v>
      </c>
      <c r="H321" s="12">
        <v>0</v>
      </c>
      <c r="I321" s="12">
        <v>187</v>
      </c>
      <c r="J321" s="12">
        <f>SUMIF(order_item!B:B,A321,order_item!E:E)</f>
        <v>187</v>
      </c>
      <c r="K321" s="28" t="str">
        <f>_xlfn.XLOOKUP(B321,customers!A:A,customers!D:D)</f>
        <v>Premium</v>
      </c>
    </row>
    <row r="322" spans="1:11" x14ac:dyDescent="0.25">
      <c r="A322" s="5" t="s">
        <v>6190</v>
      </c>
      <c r="B322" s="5" t="s">
        <v>516</v>
      </c>
      <c r="C322" s="5" t="s">
        <v>7308</v>
      </c>
      <c r="D322" s="1">
        <v>45399</v>
      </c>
      <c r="E322" s="17">
        <v>0.73055555555555562</v>
      </c>
      <c r="F322" s="5" t="s">
        <v>7305</v>
      </c>
      <c r="G322" s="12">
        <v>159</v>
      </c>
      <c r="H322" s="12">
        <v>0</v>
      </c>
      <c r="I322" s="12">
        <v>159</v>
      </c>
      <c r="J322" s="12">
        <f>SUMIF(order_item!B:B,A322,order_item!E:E)</f>
        <v>159</v>
      </c>
      <c r="K322" s="28" t="str">
        <f>_xlfn.XLOOKUP(B322,customers!A:A,customers!D:D)</f>
        <v>Premium</v>
      </c>
    </row>
    <row r="323" spans="1:11" x14ac:dyDescent="0.25">
      <c r="A323" s="5" t="s">
        <v>6187</v>
      </c>
      <c r="B323" s="5" t="s">
        <v>207</v>
      </c>
      <c r="C323" s="5" t="s">
        <v>7309</v>
      </c>
      <c r="D323" s="1">
        <v>45513</v>
      </c>
      <c r="E323" s="17">
        <v>0.95486111111111116</v>
      </c>
      <c r="F323" s="5" t="s">
        <v>7305</v>
      </c>
      <c r="G323" s="12">
        <v>396</v>
      </c>
      <c r="H323" s="12">
        <v>0</v>
      </c>
      <c r="I323" s="12">
        <v>396</v>
      </c>
      <c r="J323" s="12">
        <f>SUMIF(order_item!B:B,A323,order_item!E:E)</f>
        <v>396</v>
      </c>
      <c r="K323" s="28" t="str">
        <f>_xlfn.XLOOKUP(B323,customers!A:A,customers!D:D)</f>
        <v>Regular</v>
      </c>
    </row>
    <row r="324" spans="1:11" x14ac:dyDescent="0.25">
      <c r="A324" s="5" t="s">
        <v>6184</v>
      </c>
      <c r="B324" s="5" t="s">
        <v>70</v>
      </c>
      <c r="C324" s="5" t="s">
        <v>7309</v>
      </c>
      <c r="D324" s="1">
        <v>45706</v>
      </c>
      <c r="E324" s="17">
        <v>0.82500000000000007</v>
      </c>
      <c r="F324" s="5" t="s">
        <v>7305</v>
      </c>
      <c r="G324" s="12">
        <v>277</v>
      </c>
      <c r="H324" s="12">
        <v>0</v>
      </c>
      <c r="I324" s="12">
        <v>277</v>
      </c>
      <c r="J324" s="12">
        <f>SUMIF(order_item!B:B,A324,order_item!E:E)</f>
        <v>277</v>
      </c>
      <c r="K324" s="28" t="str">
        <f>_xlfn.XLOOKUP(B324,customers!A:A,customers!D:D)</f>
        <v>Regular</v>
      </c>
    </row>
    <row r="325" spans="1:11" x14ac:dyDescent="0.25">
      <c r="A325" s="5" t="s">
        <v>6182</v>
      </c>
      <c r="B325" s="5" t="s">
        <v>554</v>
      </c>
      <c r="C325" s="5" t="s">
        <v>7309</v>
      </c>
      <c r="D325" s="1">
        <v>45428</v>
      </c>
      <c r="E325" s="17">
        <v>0.91805555555555562</v>
      </c>
      <c r="F325" s="5" t="s">
        <v>7305</v>
      </c>
      <c r="G325" s="12">
        <v>139</v>
      </c>
      <c r="H325" s="12">
        <v>13.9</v>
      </c>
      <c r="I325" s="12">
        <v>125.1</v>
      </c>
      <c r="J325" s="12">
        <f>SUMIF(order_item!B:B,A325,order_item!E:E)</f>
        <v>139</v>
      </c>
      <c r="K325" s="28" t="str">
        <f>_xlfn.XLOOKUP(B325,customers!A:A,customers!D:D)</f>
        <v>Regular</v>
      </c>
    </row>
    <row r="326" spans="1:11" x14ac:dyDescent="0.25">
      <c r="A326" s="5" t="s">
        <v>6177</v>
      </c>
      <c r="B326" s="5" t="s">
        <v>678</v>
      </c>
      <c r="C326" s="5" t="s">
        <v>7306</v>
      </c>
      <c r="D326" s="1">
        <v>45454</v>
      </c>
      <c r="E326" s="17">
        <v>0.86944444444444446</v>
      </c>
      <c r="F326" s="5" t="s">
        <v>7307</v>
      </c>
      <c r="G326" s="12">
        <v>545</v>
      </c>
      <c r="H326" s="12">
        <v>0</v>
      </c>
      <c r="I326" s="12">
        <v>0</v>
      </c>
      <c r="J326" s="12">
        <f>SUMIF(order_item!B:B,A326,order_item!E:E)</f>
        <v>545</v>
      </c>
      <c r="K326" s="28" t="str">
        <f>_xlfn.XLOOKUP(B326,customers!A:A,customers!D:D)</f>
        <v>Premium</v>
      </c>
    </row>
    <row r="327" spans="1:11" x14ac:dyDescent="0.25">
      <c r="A327" s="5" t="s">
        <v>6175</v>
      </c>
      <c r="B327" s="5" t="s">
        <v>101</v>
      </c>
      <c r="C327" s="5" t="s">
        <v>7308</v>
      </c>
      <c r="D327" s="1">
        <v>45740</v>
      </c>
      <c r="E327" s="17">
        <v>0.77569444444444446</v>
      </c>
      <c r="F327" s="5" t="s">
        <v>7305</v>
      </c>
      <c r="G327" s="12">
        <v>238</v>
      </c>
      <c r="H327" s="12">
        <v>23.8</v>
      </c>
      <c r="I327" s="12">
        <v>214.2</v>
      </c>
      <c r="J327" s="12">
        <f>SUMIF(order_item!B:B,A327,order_item!E:E)</f>
        <v>238</v>
      </c>
      <c r="K327" s="28" t="str">
        <f>_xlfn.XLOOKUP(B327,customers!A:A,customers!D:D)</f>
        <v>Premium</v>
      </c>
    </row>
    <row r="328" spans="1:11" x14ac:dyDescent="0.25">
      <c r="A328" s="5" t="s">
        <v>6171</v>
      </c>
      <c r="B328" s="5" t="s">
        <v>863</v>
      </c>
      <c r="C328" s="5" t="s">
        <v>7309</v>
      </c>
      <c r="D328" s="1">
        <v>45567</v>
      </c>
      <c r="E328" s="17">
        <v>2.9166666666666664E-2</v>
      </c>
      <c r="F328" s="5" t="s">
        <v>7307</v>
      </c>
      <c r="G328" s="12">
        <v>376</v>
      </c>
      <c r="H328" s="12">
        <v>0</v>
      </c>
      <c r="I328" s="12">
        <v>0</v>
      </c>
      <c r="J328" s="12">
        <f>SUMIF(order_item!B:B,A328,order_item!E:E)</f>
        <v>376</v>
      </c>
      <c r="K328" s="28" t="str">
        <f>_xlfn.XLOOKUP(B328,customers!A:A,customers!D:D)</f>
        <v>Regular</v>
      </c>
    </row>
    <row r="329" spans="1:11" x14ac:dyDescent="0.25">
      <c r="A329" s="5" t="s">
        <v>6168</v>
      </c>
      <c r="B329" s="5" t="s">
        <v>422</v>
      </c>
      <c r="C329" s="5" t="s">
        <v>7309</v>
      </c>
      <c r="D329" s="1">
        <v>45517</v>
      </c>
      <c r="E329" s="17">
        <v>0.69097222222222221</v>
      </c>
      <c r="F329" s="5" t="s">
        <v>7305</v>
      </c>
      <c r="G329" s="12">
        <v>496</v>
      </c>
      <c r="H329" s="12">
        <v>0</v>
      </c>
      <c r="I329" s="12">
        <v>496</v>
      </c>
      <c r="J329" s="12">
        <f>SUMIF(order_item!B:B,A329,order_item!E:E)</f>
        <v>496</v>
      </c>
      <c r="K329" s="28" t="str">
        <f>_xlfn.XLOOKUP(B329,customers!A:A,customers!D:D)</f>
        <v>Regular</v>
      </c>
    </row>
    <row r="330" spans="1:11" x14ac:dyDescent="0.25">
      <c r="A330" s="5" t="s">
        <v>6164</v>
      </c>
      <c r="B330" s="5" t="s">
        <v>789</v>
      </c>
      <c r="C330" s="5" t="s">
        <v>7309</v>
      </c>
      <c r="D330" s="1">
        <v>45663</v>
      </c>
      <c r="E330" s="17">
        <v>0.88124999999999998</v>
      </c>
      <c r="F330" s="5" t="s">
        <v>7305</v>
      </c>
      <c r="G330" s="12">
        <v>307</v>
      </c>
      <c r="H330" s="12">
        <v>0</v>
      </c>
      <c r="I330" s="12">
        <v>307</v>
      </c>
      <c r="J330" s="12">
        <f>SUMIF(order_item!B:B,A330,order_item!E:E)</f>
        <v>307</v>
      </c>
      <c r="K330" s="28" t="str">
        <f>_xlfn.XLOOKUP(B330,customers!A:A,customers!D:D)</f>
        <v>New</v>
      </c>
    </row>
    <row r="331" spans="1:11" x14ac:dyDescent="0.25">
      <c r="A331" s="5" t="s">
        <v>6162</v>
      </c>
      <c r="B331" s="5" t="s">
        <v>612</v>
      </c>
      <c r="C331" s="5" t="s">
        <v>7306</v>
      </c>
      <c r="D331" s="1">
        <v>45610</v>
      </c>
      <c r="E331" s="17">
        <v>0.82708333333333339</v>
      </c>
      <c r="F331" s="5" t="s">
        <v>7305</v>
      </c>
      <c r="G331" s="12">
        <v>745</v>
      </c>
      <c r="H331" s="12">
        <v>0</v>
      </c>
      <c r="I331" s="12">
        <v>745</v>
      </c>
      <c r="J331" s="12">
        <f>SUMIF(order_item!B:B,A331,order_item!E:E)</f>
        <v>745</v>
      </c>
      <c r="K331" s="28" t="str">
        <f>_xlfn.XLOOKUP(B331,customers!A:A,customers!D:D)</f>
        <v>Regular</v>
      </c>
    </row>
    <row r="332" spans="1:11" x14ac:dyDescent="0.25">
      <c r="A332" s="5" t="s">
        <v>6159</v>
      </c>
      <c r="B332" s="5" t="s">
        <v>398</v>
      </c>
      <c r="C332" s="5" t="s">
        <v>7306</v>
      </c>
      <c r="D332" s="1">
        <v>45623</v>
      </c>
      <c r="E332" s="17">
        <v>0.93958333333333333</v>
      </c>
      <c r="F332" s="5" t="s">
        <v>7305</v>
      </c>
      <c r="G332" s="12">
        <v>614</v>
      </c>
      <c r="H332" s="12">
        <v>0</v>
      </c>
      <c r="I332" s="12">
        <v>614</v>
      </c>
      <c r="J332" s="12">
        <f>SUMIF(order_item!B:B,A332,order_item!E:E)</f>
        <v>614</v>
      </c>
      <c r="K332" s="28" t="str">
        <f>_xlfn.XLOOKUP(B332,customers!A:A,customers!D:D)</f>
        <v>New</v>
      </c>
    </row>
    <row r="333" spans="1:11" x14ac:dyDescent="0.25">
      <c r="A333" s="5" t="s">
        <v>6156</v>
      </c>
      <c r="B333" s="5" t="s">
        <v>451</v>
      </c>
      <c r="C333" s="5" t="s">
        <v>7309</v>
      </c>
      <c r="D333" s="1">
        <v>45508</v>
      </c>
      <c r="E333" s="17">
        <v>0.8041666666666667</v>
      </c>
      <c r="F333" s="5" t="s">
        <v>7305</v>
      </c>
      <c r="G333" s="12">
        <v>436</v>
      </c>
      <c r="H333" s="12">
        <v>0</v>
      </c>
      <c r="I333" s="12">
        <v>436</v>
      </c>
      <c r="J333" s="12">
        <f>SUMIF(order_item!B:B,A333,order_item!E:E)</f>
        <v>436</v>
      </c>
      <c r="K333" s="28" t="str">
        <f>_xlfn.XLOOKUP(B333,customers!A:A,customers!D:D)</f>
        <v>Regular</v>
      </c>
    </row>
    <row r="334" spans="1:11" x14ac:dyDescent="0.25">
      <c r="A334" s="5" t="s">
        <v>6152</v>
      </c>
      <c r="B334" s="5" t="s">
        <v>793</v>
      </c>
      <c r="C334" s="5" t="s">
        <v>7306</v>
      </c>
      <c r="D334" s="1">
        <v>45529</v>
      </c>
      <c r="E334" s="17">
        <v>0.8340277777777777</v>
      </c>
      <c r="F334" s="5" t="s">
        <v>7305</v>
      </c>
      <c r="G334" s="12">
        <v>515</v>
      </c>
      <c r="H334" s="12">
        <v>0</v>
      </c>
      <c r="I334" s="12">
        <v>515</v>
      </c>
      <c r="J334" s="12">
        <f>SUMIF(order_item!B:B,A334,order_item!E:E)</f>
        <v>515</v>
      </c>
      <c r="K334" s="28" t="str">
        <f>_xlfn.XLOOKUP(B334,customers!A:A,customers!D:D)</f>
        <v>Regular</v>
      </c>
    </row>
    <row r="335" spans="1:11" x14ac:dyDescent="0.25">
      <c r="A335" s="5" t="s">
        <v>6150</v>
      </c>
      <c r="B335" s="5" t="s">
        <v>169</v>
      </c>
      <c r="C335" s="5" t="s">
        <v>7306</v>
      </c>
      <c r="D335" s="1">
        <v>45565</v>
      </c>
      <c r="E335" s="17">
        <v>0.62361111111111112</v>
      </c>
      <c r="F335" s="5" t="s">
        <v>7305</v>
      </c>
      <c r="G335" s="12">
        <v>49</v>
      </c>
      <c r="H335" s="12">
        <v>0</v>
      </c>
      <c r="I335" s="12">
        <v>49</v>
      </c>
      <c r="J335" s="12">
        <f>SUMIF(order_item!B:B,A335,order_item!E:E)</f>
        <v>49</v>
      </c>
      <c r="K335" s="28" t="str">
        <f>_xlfn.XLOOKUP(B335,customers!A:A,customers!D:D)</f>
        <v>New</v>
      </c>
    </row>
    <row r="336" spans="1:11" x14ac:dyDescent="0.25">
      <c r="A336" s="5" t="s">
        <v>6146</v>
      </c>
      <c r="B336" s="5" t="s">
        <v>858</v>
      </c>
      <c r="C336" s="5" t="s">
        <v>7309</v>
      </c>
      <c r="D336" s="1">
        <v>45559</v>
      </c>
      <c r="E336" s="17">
        <v>0.79652777777777783</v>
      </c>
      <c r="F336" s="5" t="s">
        <v>7305</v>
      </c>
      <c r="G336" s="12">
        <v>1181</v>
      </c>
      <c r="H336" s="12">
        <v>0</v>
      </c>
      <c r="I336" s="12">
        <v>1181</v>
      </c>
      <c r="J336" s="12">
        <f>SUMIF(order_item!B:B,A336,order_item!E:E)</f>
        <v>1181</v>
      </c>
      <c r="K336" s="28" t="str">
        <f>_xlfn.XLOOKUP(B336,customers!A:A,customers!D:D)</f>
        <v>New</v>
      </c>
    </row>
    <row r="337" spans="1:11" x14ac:dyDescent="0.25">
      <c r="A337" s="5" t="s">
        <v>6143</v>
      </c>
      <c r="B337" s="5" t="s">
        <v>659</v>
      </c>
      <c r="C337" s="5" t="s">
        <v>7309</v>
      </c>
      <c r="D337" s="1">
        <v>45631</v>
      </c>
      <c r="E337" s="17">
        <v>0.66041666666666665</v>
      </c>
      <c r="F337" s="5" t="s">
        <v>7305</v>
      </c>
      <c r="G337" s="12">
        <v>248</v>
      </c>
      <c r="H337" s="12">
        <v>0</v>
      </c>
      <c r="I337" s="12">
        <v>248</v>
      </c>
      <c r="J337" s="12">
        <f>SUMIF(order_item!B:B,A337,order_item!E:E)</f>
        <v>248</v>
      </c>
      <c r="K337" s="28" t="str">
        <f>_xlfn.XLOOKUP(B337,customers!A:A,customers!D:D)</f>
        <v>New</v>
      </c>
    </row>
    <row r="338" spans="1:11" x14ac:dyDescent="0.25">
      <c r="A338" s="5" t="s">
        <v>6139</v>
      </c>
      <c r="B338" s="5" t="s">
        <v>253</v>
      </c>
      <c r="C338" s="5" t="s">
        <v>7306</v>
      </c>
      <c r="D338" s="1">
        <v>45438</v>
      </c>
      <c r="E338" s="17">
        <v>0.91249999999999998</v>
      </c>
      <c r="F338" s="5" t="s">
        <v>7305</v>
      </c>
      <c r="G338" s="12">
        <v>682</v>
      </c>
      <c r="H338" s="12">
        <v>0</v>
      </c>
      <c r="I338" s="12">
        <v>682</v>
      </c>
      <c r="J338" s="12">
        <f>SUMIF(order_item!B:B,A338,order_item!E:E)</f>
        <v>682</v>
      </c>
      <c r="K338" s="28" t="str">
        <f>_xlfn.XLOOKUP(B338,customers!A:A,customers!D:D)</f>
        <v>Premium</v>
      </c>
    </row>
    <row r="339" spans="1:11" x14ac:dyDescent="0.25">
      <c r="A339" s="5" t="s">
        <v>6136</v>
      </c>
      <c r="B339" s="5" t="s">
        <v>663</v>
      </c>
      <c r="C339" s="5" t="s">
        <v>7306</v>
      </c>
      <c r="D339" s="1">
        <v>45390</v>
      </c>
      <c r="E339" s="17">
        <v>0.71666666666666667</v>
      </c>
      <c r="F339" s="5" t="s">
        <v>7305</v>
      </c>
      <c r="G339" s="12">
        <v>218</v>
      </c>
      <c r="H339" s="12">
        <v>0</v>
      </c>
      <c r="I339" s="12">
        <v>218</v>
      </c>
      <c r="J339" s="12">
        <f>SUMIF(order_item!B:B,A339,order_item!E:E)</f>
        <v>218</v>
      </c>
      <c r="K339" s="28" t="str">
        <f>_xlfn.XLOOKUP(B339,customers!A:A,customers!D:D)</f>
        <v>Regular</v>
      </c>
    </row>
    <row r="340" spans="1:11" x14ac:dyDescent="0.25">
      <c r="A340" s="5" t="s">
        <v>6132</v>
      </c>
      <c r="B340" s="5" t="s">
        <v>519</v>
      </c>
      <c r="C340" s="5" t="s">
        <v>7309</v>
      </c>
      <c r="D340" s="1">
        <v>45603</v>
      </c>
      <c r="E340" s="17">
        <v>0.54305555555555551</v>
      </c>
      <c r="F340" s="5" t="s">
        <v>7307</v>
      </c>
      <c r="G340" s="12">
        <v>297</v>
      </c>
      <c r="H340" s="12">
        <v>0</v>
      </c>
      <c r="I340" s="12">
        <v>0</v>
      </c>
      <c r="J340" s="12">
        <f>SUMIF(order_item!B:B,A340,order_item!E:E)</f>
        <v>297</v>
      </c>
      <c r="K340" s="28" t="str">
        <f>_xlfn.XLOOKUP(B340,customers!A:A,customers!D:D)</f>
        <v>Regular</v>
      </c>
    </row>
    <row r="341" spans="1:11" x14ac:dyDescent="0.25">
      <c r="A341" s="5" t="s">
        <v>6127</v>
      </c>
      <c r="B341" s="5" t="s">
        <v>150</v>
      </c>
      <c r="C341" s="5" t="s">
        <v>7309</v>
      </c>
      <c r="D341" s="1">
        <v>45596</v>
      </c>
      <c r="E341" s="17">
        <v>0.8930555555555556</v>
      </c>
      <c r="F341" s="5" t="s">
        <v>7307</v>
      </c>
      <c r="G341" s="12">
        <v>396</v>
      </c>
      <c r="H341" s="12">
        <v>0</v>
      </c>
      <c r="I341" s="12">
        <v>0</v>
      </c>
      <c r="J341" s="12">
        <f>SUMIF(order_item!B:B,A341,order_item!E:E)</f>
        <v>396</v>
      </c>
      <c r="K341" s="28" t="str">
        <f>_xlfn.XLOOKUP(B341,customers!A:A,customers!D:D)</f>
        <v>Premium</v>
      </c>
    </row>
    <row r="342" spans="1:11" x14ac:dyDescent="0.25">
      <c r="A342" s="5" t="s">
        <v>6122</v>
      </c>
      <c r="B342" s="5" t="s">
        <v>533</v>
      </c>
      <c r="C342" s="5" t="s">
        <v>7309</v>
      </c>
      <c r="D342" s="1">
        <v>45523</v>
      </c>
      <c r="E342" s="17">
        <v>0.90416666666666667</v>
      </c>
      <c r="F342" s="5" t="s">
        <v>7305</v>
      </c>
      <c r="G342" s="12">
        <v>1171</v>
      </c>
      <c r="H342" s="12">
        <v>0</v>
      </c>
      <c r="I342" s="12">
        <v>1171</v>
      </c>
      <c r="J342" s="12">
        <f>SUMIF(order_item!B:B,A342,order_item!E:E)</f>
        <v>1171</v>
      </c>
      <c r="K342" s="28" t="str">
        <f>_xlfn.XLOOKUP(B342,customers!A:A,customers!D:D)</f>
        <v>Regular</v>
      </c>
    </row>
    <row r="343" spans="1:11" x14ac:dyDescent="0.25">
      <c r="A343" s="5" t="s">
        <v>6119</v>
      </c>
      <c r="B343" s="5" t="s">
        <v>419</v>
      </c>
      <c r="C343" s="5" t="s">
        <v>7309</v>
      </c>
      <c r="D343" s="1">
        <v>45629</v>
      </c>
      <c r="E343" s="17">
        <v>0.71527777777777779</v>
      </c>
      <c r="F343" s="5" t="s">
        <v>7305</v>
      </c>
      <c r="G343" s="12">
        <v>475</v>
      </c>
      <c r="H343" s="12">
        <v>0</v>
      </c>
      <c r="I343" s="12">
        <v>475</v>
      </c>
      <c r="J343" s="12">
        <f>SUMIF(order_item!B:B,A343,order_item!E:E)</f>
        <v>475</v>
      </c>
      <c r="K343" s="28" t="str">
        <f>_xlfn.XLOOKUP(B343,customers!A:A,customers!D:D)</f>
        <v>Regular</v>
      </c>
    </row>
    <row r="344" spans="1:11" x14ac:dyDescent="0.25">
      <c r="A344" s="5" t="s">
        <v>6115</v>
      </c>
      <c r="B344" s="5" t="s">
        <v>236</v>
      </c>
      <c r="C344" s="5" t="s">
        <v>7309</v>
      </c>
      <c r="D344" s="1">
        <v>45444</v>
      </c>
      <c r="E344" s="17">
        <v>0.95972222222222225</v>
      </c>
      <c r="F344" s="5" t="s">
        <v>7305</v>
      </c>
      <c r="G344" s="12">
        <v>257</v>
      </c>
      <c r="H344" s="12">
        <v>0</v>
      </c>
      <c r="I344" s="12">
        <v>257</v>
      </c>
      <c r="J344" s="12">
        <f>SUMIF(order_item!B:B,A344,order_item!E:E)</f>
        <v>257</v>
      </c>
      <c r="K344" s="28" t="str">
        <f>_xlfn.XLOOKUP(B344,customers!A:A,customers!D:D)</f>
        <v>Premium</v>
      </c>
    </row>
    <row r="345" spans="1:11" x14ac:dyDescent="0.25">
      <c r="A345" s="5" t="s">
        <v>6111</v>
      </c>
      <c r="B345" s="5" t="s">
        <v>497</v>
      </c>
      <c r="C345" s="5" t="s">
        <v>7306</v>
      </c>
      <c r="D345" s="1">
        <v>45494</v>
      </c>
      <c r="E345" s="17">
        <v>0.91319444444444453</v>
      </c>
      <c r="F345" s="5" t="s">
        <v>7305</v>
      </c>
      <c r="G345" s="12">
        <v>734</v>
      </c>
      <c r="H345" s="12">
        <v>0</v>
      </c>
      <c r="I345" s="12">
        <v>734</v>
      </c>
      <c r="J345" s="12">
        <f>SUMIF(order_item!B:B,A345,order_item!E:E)</f>
        <v>734</v>
      </c>
      <c r="K345" s="28" t="str">
        <f>_xlfn.XLOOKUP(B345,customers!A:A,customers!D:D)</f>
        <v>New</v>
      </c>
    </row>
    <row r="346" spans="1:11" x14ac:dyDescent="0.25">
      <c r="A346" s="5" t="s">
        <v>6108</v>
      </c>
      <c r="B346" s="5" t="s">
        <v>398</v>
      </c>
      <c r="C346" s="5" t="s">
        <v>7309</v>
      </c>
      <c r="D346" s="1">
        <v>45680</v>
      </c>
      <c r="E346" s="17">
        <v>0.67361111111111116</v>
      </c>
      <c r="F346" s="5" t="s">
        <v>7305</v>
      </c>
      <c r="G346" s="12">
        <v>505</v>
      </c>
      <c r="H346" s="12">
        <v>75.75</v>
      </c>
      <c r="I346" s="12">
        <v>429.25</v>
      </c>
      <c r="J346" s="12">
        <f>SUMIF(order_item!B:B,A346,order_item!E:E)</f>
        <v>505</v>
      </c>
      <c r="K346" s="28" t="str">
        <f>_xlfn.XLOOKUP(B346,customers!A:A,customers!D:D)</f>
        <v>New</v>
      </c>
    </row>
    <row r="347" spans="1:11" x14ac:dyDescent="0.25">
      <c r="A347" s="5" t="s">
        <v>6105</v>
      </c>
      <c r="B347" s="5" t="s">
        <v>733</v>
      </c>
      <c r="C347" s="5" t="s">
        <v>7309</v>
      </c>
      <c r="D347" s="1">
        <v>45533</v>
      </c>
      <c r="E347" s="17">
        <v>0.45416666666666666</v>
      </c>
      <c r="F347" s="5" t="s">
        <v>7305</v>
      </c>
      <c r="G347" s="12">
        <v>257</v>
      </c>
      <c r="H347" s="12">
        <v>0</v>
      </c>
      <c r="I347" s="12">
        <v>257</v>
      </c>
      <c r="J347" s="12">
        <f>SUMIF(order_item!B:B,A347,order_item!E:E)</f>
        <v>257</v>
      </c>
      <c r="K347" s="28" t="str">
        <f>_xlfn.XLOOKUP(B347,customers!A:A,customers!D:D)</f>
        <v>Regular</v>
      </c>
    </row>
    <row r="348" spans="1:11" x14ac:dyDescent="0.25">
      <c r="A348" s="5" t="s">
        <v>6101</v>
      </c>
      <c r="B348" s="5" t="s">
        <v>767</v>
      </c>
      <c r="C348" s="5" t="s">
        <v>7306</v>
      </c>
      <c r="D348" s="1">
        <v>45654</v>
      </c>
      <c r="E348" s="17">
        <v>0.88541666666666663</v>
      </c>
      <c r="F348" s="5" t="s">
        <v>7305</v>
      </c>
      <c r="G348" s="12">
        <v>830</v>
      </c>
      <c r="H348" s="12">
        <v>83</v>
      </c>
      <c r="I348" s="12">
        <v>747</v>
      </c>
      <c r="J348" s="12">
        <f>SUMIF(order_item!B:B,A348,order_item!E:E)</f>
        <v>830</v>
      </c>
      <c r="K348" s="28" t="str">
        <f>_xlfn.XLOOKUP(B348,customers!A:A,customers!D:D)</f>
        <v>Premium</v>
      </c>
    </row>
    <row r="349" spans="1:11" x14ac:dyDescent="0.25">
      <c r="A349" s="5" t="s">
        <v>6098</v>
      </c>
      <c r="B349" s="5" t="s">
        <v>238</v>
      </c>
      <c r="C349" s="5" t="s">
        <v>7306</v>
      </c>
      <c r="D349" s="1">
        <v>45726</v>
      </c>
      <c r="E349" s="17">
        <v>0.69791666666666663</v>
      </c>
      <c r="F349" s="5" t="s">
        <v>7305</v>
      </c>
      <c r="G349" s="12">
        <v>218</v>
      </c>
      <c r="H349" s="12">
        <v>10.9</v>
      </c>
      <c r="I349" s="12">
        <v>207.1</v>
      </c>
      <c r="J349" s="12">
        <f>SUMIF(order_item!B:B,A349,order_item!E:E)</f>
        <v>218</v>
      </c>
      <c r="K349" s="28" t="str">
        <f>_xlfn.XLOOKUP(B349,customers!A:A,customers!D:D)</f>
        <v>Regular</v>
      </c>
    </row>
    <row r="350" spans="1:11" x14ac:dyDescent="0.25">
      <c r="A350" s="5" t="s">
        <v>6095</v>
      </c>
      <c r="B350" s="5" t="s">
        <v>396</v>
      </c>
      <c r="C350" s="5" t="s">
        <v>7308</v>
      </c>
      <c r="D350" s="1">
        <v>45627</v>
      </c>
      <c r="E350" s="17">
        <v>0.8354166666666667</v>
      </c>
      <c r="F350" s="5" t="s">
        <v>7305</v>
      </c>
      <c r="G350" s="12">
        <v>555</v>
      </c>
      <c r="H350" s="12">
        <v>55.5</v>
      </c>
      <c r="I350" s="12">
        <v>499.5</v>
      </c>
      <c r="J350" s="12">
        <f>SUMIF(order_item!B:B,A350,order_item!E:E)</f>
        <v>555</v>
      </c>
      <c r="K350" s="28" t="str">
        <f>_xlfn.XLOOKUP(B350,customers!A:A,customers!D:D)</f>
        <v>New</v>
      </c>
    </row>
    <row r="351" spans="1:11" x14ac:dyDescent="0.25">
      <c r="A351" s="5" t="s">
        <v>6092</v>
      </c>
      <c r="B351" s="5" t="s">
        <v>486</v>
      </c>
      <c r="C351" s="5" t="s">
        <v>7306</v>
      </c>
      <c r="D351" s="1">
        <v>45713</v>
      </c>
      <c r="E351" s="17">
        <v>0.7895833333333333</v>
      </c>
      <c r="F351" s="5" t="s">
        <v>7305</v>
      </c>
      <c r="G351" s="12">
        <v>465</v>
      </c>
      <c r="H351" s="12">
        <v>0</v>
      </c>
      <c r="I351" s="12">
        <v>465</v>
      </c>
      <c r="J351" s="12">
        <f>SUMIF(order_item!B:B,A351,order_item!E:E)</f>
        <v>465</v>
      </c>
      <c r="K351" s="28" t="str">
        <f>_xlfn.XLOOKUP(B351,customers!A:A,customers!D:D)</f>
        <v>Premium</v>
      </c>
    </row>
    <row r="352" spans="1:11" x14ac:dyDescent="0.25">
      <c r="A352" s="5" t="s">
        <v>6088</v>
      </c>
      <c r="B352" s="5" t="s">
        <v>736</v>
      </c>
      <c r="C352" s="5" t="s">
        <v>7308</v>
      </c>
      <c r="D352" s="1">
        <v>45704</v>
      </c>
      <c r="E352" s="17">
        <v>0.65902777777777777</v>
      </c>
      <c r="F352" s="5" t="s">
        <v>7305</v>
      </c>
      <c r="G352" s="12">
        <v>495</v>
      </c>
      <c r="H352" s="12">
        <v>0</v>
      </c>
      <c r="I352" s="12">
        <v>495</v>
      </c>
      <c r="J352" s="12">
        <f>SUMIF(order_item!B:B,A352,order_item!E:E)</f>
        <v>495</v>
      </c>
      <c r="K352" s="28" t="str">
        <f>_xlfn.XLOOKUP(B352,customers!A:A,customers!D:D)</f>
        <v>New</v>
      </c>
    </row>
    <row r="353" spans="1:11" x14ac:dyDescent="0.25">
      <c r="A353" s="5" t="s">
        <v>6083</v>
      </c>
      <c r="B353" s="5" t="s">
        <v>853</v>
      </c>
      <c r="C353" s="5" t="s">
        <v>7309</v>
      </c>
      <c r="D353" s="1">
        <v>45513</v>
      </c>
      <c r="E353" s="17">
        <v>0.88194444444444453</v>
      </c>
      <c r="F353" s="5" t="s">
        <v>7305</v>
      </c>
      <c r="G353" s="12">
        <v>853</v>
      </c>
      <c r="H353" s="12">
        <v>0</v>
      </c>
      <c r="I353" s="12">
        <v>853</v>
      </c>
      <c r="J353" s="12">
        <f>SUMIF(order_item!B:B,A353,order_item!E:E)</f>
        <v>853</v>
      </c>
      <c r="K353" s="28" t="str">
        <f>_xlfn.XLOOKUP(B353,customers!A:A,customers!D:D)</f>
        <v>New</v>
      </c>
    </row>
    <row r="354" spans="1:11" x14ac:dyDescent="0.25">
      <c r="A354" s="5" t="s">
        <v>6079</v>
      </c>
      <c r="B354" s="5" t="s">
        <v>863</v>
      </c>
      <c r="C354" s="5" t="s">
        <v>7309</v>
      </c>
      <c r="D354" s="1">
        <v>45725</v>
      </c>
      <c r="E354" s="17">
        <v>0.86597222222222225</v>
      </c>
      <c r="F354" s="5" t="s">
        <v>7307</v>
      </c>
      <c r="G354" s="12">
        <v>436</v>
      </c>
      <c r="H354" s="12">
        <v>0</v>
      </c>
      <c r="I354" s="12">
        <v>0</v>
      </c>
      <c r="J354" s="12">
        <f>SUMIF(order_item!B:B,A354,order_item!E:E)</f>
        <v>436</v>
      </c>
      <c r="K354" s="28" t="str">
        <f>_xlfn.XLOOKUP(B354,customers!A:A,customers!D:D)</f>
        <v>Regular</v>
      </c>
    </row>
    <row r="355" spans="1:11" x14ac:dyDescent="0.25">
      <c r="A355" s="5" t="s">
        <v>6075</v>
      </c>
      <c r="B355" s="5" t="s">
        <v>303</v>
      </c>
      <c r="C355" s="5" t="s">
        <v>7309</v>
      </c>
      <c r="D355" s="1">
        <v>45643</v>
      </c>
      <c r="E355" s="17">
        <v>0.6479166666666667</v>
      </c>
      <c r="F355" s="5" t="s">
        <v>7305</v>
      </c>
      <c r="G355" s="12">
        <v>534</v>
      </c>
      <c r="H355" s="12">
        <v>26.7</v>
      </c>
      <c r="I355" s="12">
        <v>507.3</v>
      </c>
      <c r="J355" s="12">
        <f>SUMIF(order_item!B:B,A355,order_item!E:E)</f>
        <v>534</v>
      </c>
      <c r="K355" s="28" t="str">
        <f>_xlfn.XLOOKUP(B355,customers!A:A,customers!D:D)</f>
        <v>Regular</v>
      </c>
    </row>
    <row r="356" spans="1:11" x14ac:dyDescent="0.25">
      <c r="A356" s="5" t="s">
        <v>6070</v>
      </c>
      <c r="B356" s="5" t="s">
        <v>487</v>
      </c>
      <c r="C356" s="5" t="s">
        <v>7309</v>
      </c>
      <c r="D356" s="1">
        <v>45573</v>
      </c>
      <c r="E356" s="17">
        <v>0.77986111111111101</v>
      </c>
      <c r="F356" s="5" t="s">
        <v>7305</v>
      </c>
      <c r="G356" s="12">
        <v>1281</v>
      </c>
      <c r="H356" s="12">
        <v>64.05</v>
      </c>
      <c r="I356" s="12">
        <v>1216.95</v>
      </c>
      <c r="J356" s="12">
        <f>SUMIF(order_item!B:B,A356,order_item!E:E)</f>
        <v>1281</v>
      </c>
      <c r="K356" s="28" t="str">
        <f>_xlfn.XLOOKUP(B356,customers!A:A,customers!D:D)</f>
        <v>New</v>
      </c>
    </row>
    <row r="357" spans="1:11" x14ac:dyDescent="0.25">
      <c r="A357" s="5" t="s">
        <v>6067</v>
      </c>
      <c r="B357" s="5" t="s">
        <v>178</v>
      </c>
      <c r="C357" s="5" t="s">
        <v>7306</v>
      </c>
      <c r="D357" s="1">
        <v>45576</v>
      </c>
      <c r="E357" s="17">
        <v>0.89722222222222225</v>
      </c>
      <c r="F357" s="5" t="s">
        <v>7305</v>
      </c>
      <c r="G357" s="12">
        <v>465</v>
      </c>
      <c r="H357" s="12">
        <v>0</v>
      </c>
      <c r="I357" s="12">
        <v>465</v>
      </c>
      <c r="J357" s="12">
        <f>SUMIF(order_item!B:B,A357,order_item!E:E)</f>
        <v>465</v>
      </c>
      <c r="K357" s="28" t="str">
        <f>_xlfn.XLOOKUP(B357,customers!A:A,customers!D:D)</f>
        <v>Regular</v>
      </c>
    </row>
    <row r="358" spans="1:11" x14ac:dyDescent="0.25">
      <c r="A358" s="5" t="s">
        <v>6064</v>
      </c>
      <c r="B358" s="5" t="s">
        <v>843</v>
      </c>
      <c r="C358" s="5" t="s">
        <v>7306</v>
      </c>
      <c r="D358" s="1">
        <v>45550</v>
      </c>
      <c r="E358" s="17">
        <v>0.84583333333333333</v>
      </c>
      <c r="F358" s="5" t="s">
        <v>7305</v>
      </c>
      <c r="G358" s="12">
        <v>178</v>
      </c>
      <c r="H358" s="12">
        <v>0</v>
      </c>
      <c r="I358" s="12">
        <v>178</v>
      </c>
      <c r="J358" s="12">
        <f>SUMIF(order_item!B:B,A358,order_item!E:E)</f>
        <v>178</v>
      </c>
      <c r="K358" s="28" t="str">
        <f>_xlfn.XLOOKUP(B358,customers!A:A,customers!D:D)</f>
        <v>Regular</v>
      </c>
    </row>
    <row r="359" spans="1:11" x14ac:dyDescent="0.25">
      <c r="A359" s="5" t="s">
        <v>6061</v>
      </c>
      <c r="B359" s="5" t="s">
        <v>669</v>
      </c>
      <c r="C359" s="5" t="s">
        <v>7309</v>
      </c>
      <c r="D359" s="1">
        <v>45555</v>
      </c>
      <c r="E359" s="17">
        <v>0.5805555555555556</v>
      </c>
      <c r="F359" s="5" t="s">
        <v>7305</v>
      </c>
      <c r="G359" s="12">
        <v>357</v>
      </c>
      <c r="H359" s="12">
        <v>0</v>
      </c>
      <c r="I359" s="12">
        <v>357</v>
      </c>
      <c r="J359" s="12">
        <f>SUMIF(order_item!B:B,A359,order_item!E:E)</f>
        <v>357</v>
      </c>
      <c r="K359" s="28" t="str">
        <f>_xlfn.XLOOKUP(B359,customers!A:A,customers!D:D)</f>
        <v>Regular</v>
      </c>
    </row>
    <row r="360" spans="1:11" x14ac:dyDescent="0.25">
      <c r="A360" s="5" t="s">
        <v>6059</v>
      </c>
      <c r="B360" s="5" t="s">
        <v>321</v>
      </c>
      <c r="C360" s="5" t="s">
        <v>7306</v>
      </c>
      <c r="D360" s="1">
        <v>45710</v>
      </c>
      <c r="E360" s="17">
        <v>0.95347222222222217</v>
      </c>
      <c r="F360" s="5" t="s">
        <v>7305</v>
      </c>
      <c r="G360" s="12">
        <v>119</v>
      </c>
      <c r="H360" s="12">
        <v>0</v>
      </c>
      <c r="I360" s="12">
        <v>119</v>
      </c>
      <c r="J360" s="12">
        <f>SUMIF(order_item!B:B,A360,order_item!E:E)</f>
        <v>119</v>
      </c>
      <c r="K360" s="28" t="str">
        <f>_xlfn.XLOOKUP(B360,customers!A:A,customers!D:D)</f>
        <v>Regular</v>
      </c>
    </row>
    <row r="361" spans="1:11" x14ac:dyDescent="0.25">
      <c r="A361" s="5" t="s">
        <v>6055</v>
      </c>
      <c r="B361" s="5" t="s">
        <v>583</v>
      </c>
      <c r="C361" s="5" t="s">
        <v>7309</v>
      </c>
      <c r="D361" s="1">
        <v>45518</v>
      </c>
      <c r="E361" s="17">
        <v>6.8749999999999992E-2</v>
      </c>
      <c r="F361" s="5" t="s">
        <v>7305</v>
      </c>
      <c r="G361" s="12">
        <v>713</v>
      </c>
      <c r="H361" s="12">
        <v>0</v>
      </c>
      <c r="I361" s="12">
        <v>713</v>
      </c>
      <c r="J361" s="12">
        <f>SUMIF(order_item!B:B,A361,order_item!E:E)</f>
        <v>713</v>
      </c>
      <c r="K361" s="28" t="str">
        <f>_xlfn.XLOOKUP(B361,customers!A:A,customers!D:D)</f>
        <v>Regular</v>
      </c>
    </row>
    <row r="362" spans="1:11" x14ac:dyDescent="0.25">
      <c r="A362" s="5" t="s">
        <v>6051</v>
      </c>
      <c r="B362" s="5" t="s">
        <v>786</v>
      </c>
      <c r="C362" s="5" t="s">
        <v>7306</v>
      </c>
      <c r="D362" s="1">
        <v>45669</v>
      </c>
      <c r="E362" s="17">
        <v>0.9868055555555556</v>
      </c>
      <c r="F362" s="5" t="s">
        <v>7305</v>
      </c>
      <c r="G362" s="12">
        <v>604</v>
      </c>
      <c r="H362" s="12">
        <v>0</v>
      </c>
      <c r="I362" s="12">
        <v>604</v>
      </c>
      <c r="J362" s="12">
        <f>SUMIF(order_item!B:B,A362,order_item!E:E)</f>
        <v>604</v>
      </c>
      <c r="K362" s="28" t="str">
        <f>_xlfn.XLOOKUP(B362,customers!A:A,customers!D:D)</f>
        <v>New</v>
      </c>
    </row>
    <row r="363" spans="1:11" x14ac:dyDescent="0.25">
      <c r="A363" s="5" t="s">
        <v>6046</v>
      </c>
      <c r="B363" s="5" t="s">
        <v>731</v>
      </c>
      <c r="C363" s="5" t="s">
        <v>7309</v>
      </c>
      <c r="D363" s="1">
        <v>45590</v>
      </c>
      <c r="E363" s="17">
        <v>0.57638888888888895</v>
      </c>
      <c r="F363" s="5" t="s">
        <v>7305</v>
      </c>
      <c r="G363" s="12">
        <v>594</v>
      </c>
      <c r="H363" s="12">
        <v>0</v>
      </c>
      <c r="I363" s="12">
        <v>594</v>
      </c>
      <c r="J363" s="12">
        <f>SUMIF(order_item!B:B,A363,order_item!E:E)</f>
        <v>594</v>
      </c>
      <c r="K363" s="28" t="str">
        <f>_xlfn.XLOOKUP(B363,customers!A:A,customers!D:D)</f>
        <v>Regular</v>
      </c>
    </row>
    <row r="364" spans="1:11" x14ac:dyDescent="0.25">
      <c r="A364" s="5" t="s">
        <v>6042</v>
      </c>
      <c r="B364" s="5" t="s">
        <v>755</v>
      </c>
      <c r="C364" s="5" t="s">
        <v>7309</v>
      </c>
      <c r="D364" s="1">
        <v>45489</v>
      </c>
      <c r="E364" s="17">
        <v>0.69027777777777777</v>
      </c>
      <c r="F364" s="5" t="s">
        <v>7305</v>
      </c>
      <c r="G364" s="12">
        <v>723</v>
      </c>
      <c r="H364" s="12">
        <v>0</v>
      </c>
      <c r="I364" s="12">
        <v>723</v>
      </c>
      <c r="J364" s="12">
        <f>SUMIF(order_item!B:B,A364,order_item!E:E)</f>
        <v>723</v>
      </c>
      <c r="K364" s="28" t="str">
        <f>_xlfn.XLOOKUP(B364,customers!A:A,customers!D:D)</f>
        <v>Premium</v>
      </c>
    </row>
    <row r="365" spans="1:11" x14ac:dyDescent="0.25">
      <c r="A365" s="5" t="s">
        <v>6040</v>
      </c>
      <c r="B365" s="5" t="s">
        <v>145</v>
      </c>
      <c r="C365" s="5" t="s">
        <v>7309</v>
      </c>
      <c r="D365" s="1">
        <v>45507</v>
      </c>
      <c r="E365" s="17">
        <v>0.72638888888888886</v>
      </c>
      <c r="F365" s="5" t="s">
        <v>7305</v>
      </c>
      <c r="G365" s="12">
        <v>158</v>
      </c>
      <c r="H365" s="12">
        <v>0</v>
      </c>
      <c r="I365" s="12">
        <v>158</v>
      </c>
      <c r="J365" s="12">
        <f>SUMIF(order_item!B:B,A365,order_item!E:E)</f>
        <v>158</v>
      </c>
      <c r="K365" s="28" t="str">
        <f>_xlfn.XLOOKUP(B365,customers!A:A,customers!D:D)</f>
        <v>Premium</v>
      </c>
    </row>
    <row r="366" spans="1:11" x14ac:dyDescent="0.25">
      <c r="A366" s="5" t="s">
        <v>6037</v>
      </c>
      <c r="B366" s="5" t="s">
        <v>829</v>
      </c>
      <c r="C366" s="5" t="s">
        <v>7309</v>
      </c>
      <c r="D366" s="1">
        <v>45583</v>
      </c>
      <c r="E366" s="17">
        <v>0.67847222222222225</v>
      </c>
      <c r="F366" s="5" t="s">
        <v>7305</v>
      </c>
      <c r="G366" s="12">
        <v>385</v>
      </c>
      <c r="H366" s="12">
        <v>19.25</v>
      </c>
      <c r="I366" s="12">
        <v>365.75</v>
      </c>
      <c r="J366" s="12">
        <f>SUMIF(order_item!B:B,A366,order_item!E:E)</f>
        <v>385</v>
      </c>
      <c r="K366" s="28" t="str">
        <f>_xlfn.XLOOKUP(B366,customers!A:A,customers!D:D)</f>
        <v>Regular</v>
      </c>
    </row>
    <row r="367" spans="1:11" x14ac:dyDescent="0.25">
      <c r="A367" s="5" t="s">
        <v>6034</v>
      </c>
      <c r="B367" s="5" t="s">
        <v>453</v>
      </c>
      <c r="C367" s="5" t="s">
        <v>7309</v>
      </c>
      <c r="D367" s="1">
        <v>45485</v>
      </c>
      <c r="E367" s="17">
        <v>0.72152777777777777</v>
      </c>
      <c r="F367" s="5" t="s">
        <v>7305</v>
      </c>
      <c r="G367" s="12">
        <v>662</v>
      </c>
      <c r="H367" s="12">
        <v>0</v>
      </c>
      <c r="I367" s="12">
        <v>662</v>
      </c>
      <c r="J367" s="12">
        <f>SUMIF(order_item!B:B,A367,order_item!E:E)</f>
        <v>662</v>
      </c>
      <c r="K367" s="28" t="str">
        <f>_xlfn.XLOOKUP(B367,customers!A:A,customers!D:D)</f>
        <v>Regular</v>
      </c>
    </row>
    <row r="368" spans="1:11" x14ac:dyDescent="0.25">
      <c r="A368" s="5" t="s">
        <v>6032</v>
      </c>
      <c r="B368" s="5" t="s">
        <v>866</v>
      </c>
      <c r="C368" s="5" t="s">
        <v>7306</v>
      </c>
      <c r="D368" s="1">
        <v>45556</v>
      </c>
      <c r="E368" s="17">
        <v>0.91805555555555562</v>
      </c>
      <c r="F368" s="5" t="s">
        <v>7305</v>
      </c>
      <c r="G368" s="12">
        <v>158</v>
      </c>
      <c r="H368" s="12">
        <v>0</v>
      </c>
      <c r="I368" s="12">
        <v>158</v>
      </c>
      <c r="J368" s="12">
        <f>SUMIF(order_item!B:B,A368,order_item!E:E)</f>
        <v>158</v>
      </c>
      <c r="K368" s="28" t="str">
        <f>_xlfn.XLOOKUP(B368,customers!A:A,customers!D:D)</f>
        <v>New</v>
      </c>
    </row>
    <row r="369" spans="1:11" x14ac:dyDescent="0.25">
      <c r="A369" s="5" t="s">
        <v>6030</v>
      </c>
      <c r="B369" s="5" t="s">
        <v>396</v>
      </c>
      <c r="C369" s="5" t="s">
        <v>7309</v>
      </c>
      <c r="D369" s="1">
        <v>45686</v>
      </c>
      <c r="E369" s="17">
        <v>0.78680555555555554</v>
      </c>
      <c r="F369" s="5" t="s">
        <v>7305</v>
      </c>
      <c r="G369" s="12">
        <v>318</v>
      </c>
      <c r="H369" s="12">
        <v>31.8</v>
      </c>
      <c r="I369" s="12">
        <v>286.2</v>
      </c>
      <c r="J369" s="12">
        <f>SUMIF(order_item!B:B,A369,order_item!E:E)</f>
        <v>318</v>
      </c>
      <c r="K369" s="28" t="str">
        <f>_xlfn.XLOOKUP(B369,customers!A:A,customers!D:D)</f>
        <v>New</v>
      </c>
    </row>
    <row r="370" spans="1:11" x14ac:dyDescent="0.25">
      <c r="A370" s="5" t="s">
        <v>6026</v>
      </c>
      <c r="B370" s="5" t="s">
        <v>462</v>
      </c>
      <c r="C370" s="5" t="s">
        <v>7308</v>
      </c>
      <c r="D370" s="1">
        <v>45417</v>
      </c>
      <c r="E370" s="17">
        <v>0.49027777777777781</v>
      </c>
      <c r="F370" s="5" t="s">
        <v>7305</v>
      </c>
      <c r="G370" s="12">
        <v>405</v>
      </c>
      <c r="H370" s="12">
        <v>0</v>
      </c>
      <c r="I370" s="12">
        <v>405</v>
      </c>
      <c r="J370" s="12">
        <f>SUMIF(order_item!B:B,A370,order_item!E:E)</f>
        <v>405</v>
      </c>
      <c r="K370" s="28" t="str">
        <f>_xlfn.XLOOKUP(B370,customers!A:A,customers!D:D)</f>
        <v>Regular</v>
      </c>
    </row>
    <row r="371" spans="1:11" x14ac:dyDescent="0.25">
      <c r="A371" s="5" t="s">
        <v>6021</v>
      </c>
      <c r="B371" s="5" t="s">
        <v>540</v>
      </c>
      <c r="C371" s="5" t="s">
        <v>7308</v>
      </c>
      <c r="D371" s="1">
        <v>45484</v>
      </c>
      <c r="E371" s="17">
        <v>0.59236111111111112</v>
      </c>
      <c r="F371" s="5" t="s">
        <v>7305</v>
      </c>
      <c r="G371" s="12">
        <v>634</v>
      </c>
      <c r="H371" s="12">
        <v>0</v>
      </c>
      <c r="I371" s="12">
        <v>634</v>
      </c>
      <c r="J371" s="12">
        <f>SUMIF(order_item!B:B,A371,order_item!E:E)</f>
        <v>634</v>
      </c>
      <c r="K371" s="28" t="str">
        <f>_xlfn.XLOOKUP(B371,customers!A:A,customers!D:D)</f>
        <v>Regular</v>
      </c>
    </row>
    <row r="372" spans="1:11" x14ac:dyDescent="0.25">
      <c r="A372" s="5" t="s">
        <v>6019</v>
      </c>
      <c r="B372" s="5" t="s">
        <v>819</v>
      </c>
      <c r="C372" s="5" t="s">
        <v>7306</v>
      </c>
      <c r="D372" s="1">
        <v>45543</v>
      </c>
      <c r="E372" s="17">
        <v>0.90347222222222223</v>
      </c>
      <c r="F372" s="5" t="s">
        <v>7305</v>
      </c>
      <c r="G372" s="12">
        <v>99</v>
      </c>
      <c r="H372" s="12">
        <v>0</v>
      </c>
      <c r="I372" s="12">
        <v>99</v>
      </c>
      <c r="J372" s="12">
        <f>SUMIF(order_item!B:B,A372,order_item!E:E)</f>
        <v>99</v>
      </c>
      <c r="K372" s="28" t="str">
        <f>_xlfn.XLOOKUP(B372,customers!A:A,customers!D:D)</f>
        <v>Regular</v>
      </c>
    </row>
    <row r="373" spans="1:11" x14ac:dyDescent="0.25">
      <c r="A373" s="5" t="s">
        <v>6017</v>
      </c>
      <c r="B373" s="5" t="s">
        <v>538</v>
      </c>
      <c r="C373" s="5" t="s">
        <v>7309</v>
      </c>
      <c r="D373" s="1">
        <v>45659</v>
      </c>
      <c r="E373" s="17">
        <v>0.37986111111111115</v>
      </c>
      <c r="F373" s="5" t="s">
        <v>7305</v>
      </c>
      <c r="G373" s="12">
        <v>447</v>
      </c>
      <c r="H373" s="12">
        <v>0</v>
      </c>
      <c r="I373" s="12">
        <v>447</v>
      </c>
      <c r="J373" s="12">
        <f>SUMIF(order_item!B:B,A373,order_item!E:E)</f>
        <v>447</v>
      </c>
      <c r="K373" s="28" t="str">
        <f>_xlfn.XLOOKUP(B373,customers!A:A,customers!D:D)</f>
        <v>Regular</v>
      </c>
    </row>
    <row r="374" spans="1:11" x14ac:dyDescent="0.25">
      <c r="A374" s="5" t="s">
        <v>6012</v>
      </c>
      <c r="B374" s="5" t="s">
        <v>658</v>
      </c>
      <c r="C374" s="5" t="s">
        <v>7306</v>
      </c>
      <c r="D374" s="1">
        <v>45641</v>
      </c>
      <c r="E374" s="17">
        <v>0.86111111111111116</v>
      </c>
      <c r="F374" s="5" t="s">
        <v>7305</v>
      </c>
      <c r="G374" s="12">
        <v>1190</v>
      </c>
      <c r="H374" s="12">
        <v>119</v>
      </c>
      <c r="I374" s="12">
        <v>1071</v>
      </c>
      <c r="J374" s="12">
        <f>SUMIF(order_item!B:B,A374,order_item!E:E)</f>
        <v>1190</v>
      </c>
      <c r="K374" s="28" t="str">
        <f>_xlfn.XLOOKUP(B374,customers!A:A,customers!D:D)</f>
        <v>Premium</v>
      </c>
    </row>
    <row r="375" spans="1:11" x14ac:dyDescent="0.25">
      <c r="A375" s="5" t="s">
        <v>6008</v>
      </c>
      <c r="B375" s="5" t="s">
        <v>374</v>
      </c>
      <c r="C375" s="5" t="s">
        <v>7306</v>
      </c>
      <c r="D375" s="1">
        <v>45600</v>
      </c>
      <c r="E375" s="17">
        <v>0.84166666666666667</v>
      </c>
      <c r="F375" s="5" t="s">
        <v>7305</v>
      </c>
      <c r="G375" s="12">
        <v>991</v>
      </c>
      <c r="H375" s="12">
        <v>0</v>
      </c>
      <c r="I375" s="12">
        <v>991</v>
      </c>
      <c r="J375" s="12">
        <f>SUMIF(order_item!B:B,A375,order_item!E:E)</f>
        <v>991</v>
      </c>
      <c r="K375" s="28" t="str">
        <f>_xlfn.XLOOKUP(B375,customers!A:A,customers!D:D)</f>
        <v>New</v>
      </c>
    </row>
    <row r="376" spans="1:11" x14ac:dyDescent="0.25">
      <c r="A376" s="5" t="s">
        <v>6004</v>
      </c>
      <c r="B376" s="5" t="s">
        <v>483</v>
      </c>
      <c r="C376" s="5" t="s">
        <v>7306</v>
      </c>
      <c r="D376" s="1">
        <v>45689</v>
      </c>
      <c r="E376" s="17">
        <v>0.90486111111111101</v>
      </c>
      <c r="F376" s="5" t="s">
        <v>7305</v>
      </c>
      <c r="G376" s="12">
        <v>733</v>
      </c>
      <c r="H376" s="12">
        <v>0</v>
      </c>
      <c r="I376" s="12">
        <v>733</v>
      </c>
      <c r="J376" s="12">
        <f>SUMIF(order_item!B:B,A376,order_item!E:E)</f>
        <v>733</v>
      </c>
      <c r="K376" s="28" t="str">
        <f>_xlfn.XLOOKUP(B376,customers!A:A,customers!D:D)</f>
        <v>Regular</v>
      </c>
    </row>
    <row r="377" spans="1:11" x14ac:dyDescent="0.25">
      <c r="A377" s="5" t="s">
        <v>6001</v>
      </c>
      <c r="B377" s="5" t="s">
        <v>319</v>
      </c>
      <c r="C377" s="5" t="s">
        <v>7309</v>
      </c>
      <c r="D377" s="1">
        <v>45570</v>
      </c>
      <c r="E377" s="17">
        <v>0.7055555555555556</v>
      </c>
      <c r="F377" s="5" t="s">
        <v>7305</v>
      </c>
      <c r="G377" s="12">
        <v>503</v>
      </c>
      <c r="H377" s="12">
        <v>0</v>
      </c>
      <c r="I377" s="12">
        <v>503</v>
      </c>
      <c r="J377" s="12">
        <f>SUMIF(order_item!B:B,A377,order_item!E:E)</f>
        <v>503</v>
      </c>
      <c r="K377" s="28" t="str">
        <f>_xlfn.XLOOKUP(B377,customers!A:A,customers!D:D)</f>
        <v>Premium</v>
      </c>
    </row>
    <row r="378" spans="1:11" x14ac:dyDescent="0.25">
      <c r="A378" s="5" t="s">
        <v>5999</v>
      </c>
      <c r="B378" s="5" t="s">
        <v>698</v>
      </c>
      <c r="C378" s="5" t="s">
        <v>7309</v>
      </c>
      <c r="D378" s="1">
        <v>45474</v>
      </c>
      <c r="E378" s="17">
        <v>0.45694444444444443</v>
      </c>
      <c r="F378" s="5" t="s">
        <v>7305</v>
      </c>
      <c r="G378" s="12">
        <v>159</v>
      </c>
      <c r="H378" s="12">
        <v>0</v>
      </c>
      <c r="I378" s="12">
        <v>159</v>
      </c>
      <c r="J378" s="12">
        <f>SUMIF(order_item!B:B,A378,order_item!E:E)</f>
        <v>159</v>
      </c>
      <c r="K378" s="28" t="str">
        <f>_xlfn.XLOOKUP(B378,customers!A:A,customers!D:D)</f>
        <v>Regular</v>
      </c>
    </row>
    <row r="379" spans="1:11" x14ac:dyDescent="0.25">
      <c r="A379" s="5" t="s">
        <v>5994</v>
      </c>
      <c r="B379" s="5" t="s">
        <v>696</v>
      </c>
      <c r="C379" s="5" t="s">
        <v>7309</v>
      </c>
      <c r="D379" s="1">
        <v>45392</v>
      </c>
      <c r="E379" s="17">
        <v>0.62013888888888891</v>
      </c>
      <c r="F379" s="5" t="s">
        <v>7305</v>
      </c>
      <c r="G379" s="12">
        <v>565</v>
      </c>
      <c r="H379" s="12">
        <v>0</v>
      </c>
      <c r="I379" s="12">
        <v>565</v>
      </c>
      <c r="J379" s="12">
        <f>SUMIF(order_item!B:B,A379,order_item!E:E)</f>
        <v>565</v>
      </c>
      <c r="K379" s="28" t="str">
        <f>_xlfn.XLOOKUP(B379,customers!A:A,customers!D:D)</f>
        <v>Regular</v>
      </c>
    </row>
    <row r="380" spans="1:11" x14ac:dyDescent="0.25">
      <c r="A380" s="5" t="s">
        <v>5992</v>
      </c>
      <c r="B380" s="5" t="s">
        <v>652</v>
      </c>
      <c r="C380" s="5" t="s">
        <v>7308</v>
      </c>
      <c r="D380" s="1">
        <v>45431</v>
      </c>
      <c r="E380" s="17">
        <v>0.39166666666666666</v>
      </c>
      <c r="F380" s="5" t="s">
        <v>7305</v>
      </c>
      <c r="G380" s="12">
        <v>99</v>
      </c>
      <c r="H380" s="12">
        <v>0</v>
      </c>
      <c r="I380" s="12">
        <v>99</v>
      </c>
      <c r="J380" s="12">
        <f>SUMIF(order_item!B:B,A380,order_item!E:E)</f>
        <v>99</v>
      </c>
      <c r="K380" s="28" t="str">
        <f>_xlfn.XLOOKUP(B380,customers!A:A,customers!D:D)</f>
        <v>Premium</v>
      </c>
    </row>
    <row r="381" spans="1:11" x14ac:dyDescent="0.25">
      <c r="A381" s="5" t="s">
        <v>5990</v>
      </c>
      <c r="B381" s="5" t="s">
        <v>836</v>
      </c>
      <c r="C381" s="5" t="s">
        <v>7309</v>
      </c>
      <c r="D381" s="1">
        <v>45558</v>
      </c>
      <c r="E381" s="17">
        <v>0.69097222222222221</v>
      </c>
      <c r="F381" s="5" t="s">
        <v>7305</v>
      </c>
      <c r="G381" s="12">
        <v>149</v>
      </c>
      <c r="H381" s="12">
        <v>7.45</v>
      </c>
      <c r="I381" s="12">
        <v>141.55000000000001</v>
      </c>
      <c r="J381" s="12">
        <f>SUMIF(order_item!B:B,A381,order_item!E:E)</f>
        <v>149</v>
      </c>
      <c r="K381" s="28" t="str">
        <f>_xlfn.XLOOKUP(B381,customers!A:A,customers!D:D)</f>
        <v>Regular</v>
      </c>
    </row>
    <row r="382" spans="1:11" x14ac:dyDescent="0.25">
      <c r="A382" s="5" t="s">
        <v>5987</v>
      </c>
      <c r="B382" s="5" t="s">
        <v>407</v>
      </c>
      <c r="C382" s="5" t="s">
        <v>7306</v>
      </c>
      <c r="D382" s="1">
        <v>45567</v>
      </c>
      <c r="E382" s="17">
        <v>0.8305555555555556</v>
      </c>
      <c r="F382" s="5" t="s">
        <v>7305</v>
      </c>
      <c r="G382" s="12">
        <v>207</v>
      </c>
      <c r="H382" s="12">
        <v>10.35</v>
      </c>
      <c r="I382" s="12">
        <v>196.65</v>
      </c>
      <c r="J382" s="12">
        <f>SUMIF(order_item!B:B,A382,order_item!E:E)</f>
        <v>207</v>
      </c>
      <c r="K382" s="28" t="str">
        <f>_xlfn.XLOOKUP(B382,customers!A:A,customers!D:D)</f>
        <v>New</v>
      </c>
    </row>
    <row r="383" spans="1:11" x14ac:dyDescent="0.25">
      <c r="A383" s="5" t="s">
        <v>5984</v>
      </c>
      <c r="B383" s="5" t="s">
        <v>621</v>
      </c>
      <c r="C383" s="5" t="s">
        <v>7309</v>
      </c>
      <c r="D383" s="1">
        <v>45711</v>
      </c>
      <c r="E383" s="17">
        <v>0.84444444444444444</v>
      </c>
      <c r="F383" s="5" t="s">
        <v>7305</v>
      </c>
      <c r="G383" s="12">
        <v>218</v>
      </c>
      <c r="H383" s="12">
        <v>0</v>
      </c>
      <c r="I383" s="12">
        <v>218</v>
      </c>
      <c r="J383" s="12">
        <f>SUMIF(order_item!B:B,A383,order_item!E:E)</f>
        <v>218</v>
      </c>
      <c r="K383" s="28" t="str">
        <f>_xlfn.XLOOKUP(B383,customers!A:A,customers!D:D)</f>
        <v>New</v>
      </c>
    </row>
    <row r="384" spans="1:11" x14ac:dyDescent="0.25">
      <c r="A384" s="5" t="s">
        <v>5981</v>
      </c>
      <c r="B384" s="5" t="s">
        <v>770</v>
      </c>
      <c r="C384" s="5" t="s">
        <v>7309</v>
      </c>
      <c r="D384" s="1">
        <v>45654</v>
      </c>
      <c r="E384" s="17">
        <v>0.86736111111111114</v>
      </c>
      <c r="F384" s="5" t="s">
        <v>7307</v>
      </c>
      <c r="G384" s="12">
        <v>316</v>
      </c>
      <c r="H384" s="12">
        <v>15.8</v>
      </c>
      <c r="I384" s="12">
        <v>0</v>
      </c>
      <c r="J384" s="12">
        <f>SUMIF(order_item!B:B,A384,order_item!E:E)</f>
        <v>316</v>
      </c>
      <c r="K384" s="28" t="str">
        <f>_xlfn.XLOOKUP(B384,customers!A:A,customers!D:D)</f>
        <v>Regular</v>
      </c>
    </row>
    <row r="385" spans="1:11" x14ac:dyDescent="0.25">
      <c r="A385" s="5" t="s">
        <v>5978</v>
      </c>
      <c r="B385" s="5" t="s">
        <v>835</v>
      </c>
      <c r="C385" s="5" t="s">
        <v>7309</v>
      </c>
      <c r="D385" s="1">
        <v>45480</v>
      </c>
      <c r="E385" s="17">
        <v>0.99583333333333324</v>
      </c>
      <c r="F385" s="5" t="s">
        <v>7305</v>
      </c>
      <c r="G385" s="12">
        <v>416</v>
      </c>
      <c r="H385" s="12">
        <v>0</v>
      </c>
      <c r="I385" s="12">
        <v>416</v>
      </c>
      <c r="J385" s="12">
        <f>SUMIF(order_item!B:B,A385,order_item!E:E)</f>
        <v>416</v>
      </c>
      <c r="K385" s="28" t="str">
        <f>_xlfn.XLOOKUP(B385,customers!A:A,customers!D:D)</f>
        <v>New</v>
      </c>
    </row>
    <row r="386" spans="1:11" x14ac:dyDescent="0.25">
      <c r="A386" s="5" t="s">
        <v>5976</v>
      </c>
      <c r="B386" s="5" t="s">
        <v>411</v>
      </c>
      <c r="C386" s="5" t="s">
        <v>7309</v>
      </c>
      <c r="D386" s="1">
        <v>45636</v>
      </c>
      <c r="E386" s="17">
        <v>1.4583333333333332E-2</v>
      </c>
      <c r="F386" s="5" t="s">
        <v>7305</v>
      </c>
      <c r="G386" s="12">
        <v>556</v>
      </c>
      <c r="H386" s="12">
        <v>0</v>
      </c>
      <c r="I386" s="12">
        <v>556</v>
      </c>
      <c r="J386" s="12">
        <f>SUMIF(order_item!B:B,A386,order_item!E:E)</f>
        <v>556</v>
      </c>
      <c r="K386" s="28" t="str">
        <f>_xlfn.XLOOKUP(B386,customers!A:A,customers!D:D)</f>
        <v>New</v>
      </c>
    </row>
    <row r="387" spans="1:11" x14ac:dyDescent="0.25">
      <c r="A387" s="5" t="s">
        <v>5972</v>
      </c>
      <c r="B387" s="5" t="s">
        <v>535</v>
      </c>
      <c r="C387" s="5" t="s">
        <v>7306</v>
      </c>
      <c r="D387" s="1">
        <v>45717</v>
      </c>
      <c r="E387" s="17">
        <v>0.8847222222222223</v>
      </c>
      <c r="F387" s="5" t="s">
        <v>7305</v>
      </c>
      <c r="G387" s="12">
        <v>933</v>
      </c>
      <c r="H387" s="12">
        <v>0</v>
      </c>
      <c r="I387" s="12">
        <v>933</v>
      </c>
      <c r="J387" s="12">
        <f>SUMIF(order_item!B:B,A387,order_item!E:E)</f>
        <v>933</v>
      </c>
      <c r="K387" s="28" t="str">
        <f>_xlfn.XLOOKUP(B387,customers!A:A,customers!D:D)</f>
        <v>Regular</v>
      </c>
    </row>
    <row r="388" spans="1:11" x14ac:dyDescent="0.25">
      <c r="A388" s="5" t="s">
        <v>5967</v>
      </c>
      <c r="B388" s="5" t="s">
        <v>666</v>
      </c>
      <c r="C388" s="5" t="s">
        <v>7309</v>
      </c>
      <c r="D388" s="1">
        <v>45411</v>
      </c>
      <c r="E388" s="17">
        <v>0.67291666666666661</v>
      </c>
      <c r="F388" s="5" t="s">
        <v>7305</v>
      </c>
      <c r="G388" s="12">
        <v>514</v>
      </c>
      <c r="H388" s="12">
        <v>0</v>
      </c>
      <c r="I388" s="12">
        <v>514</v>
      </c>
      <c r="J388" s="12">
        <f>SUMIF(order_item!B:B,A388,order_item!E:E)</f>
        <v>514</v>
      </c>
      <c r="K388" s="28" t="str">
        <f>_xlfn.XLOOKUP(B388,customers!A:A,customers!D:D)</f>
        <v>New</v>
      </c>
    </row>
    <row r="389" spans="1:11" x14ac:dyDescent="0.25">
      <c r="A389" s="5" t="s">
        <v>5962</v>
      </c>
      <c r="B389" s="5" t="s">
        <v>604</v>
      </c>
      <c r="C389" s="5" t="s">
        <v>7306</v>
      </c>
      <c r="D389" s="1">
        <v>45492</v>
      </c>
      <c r="E389" s="17">
        <v>0.88055555555555554</v>
      </c>
      <c r="F389" s="5" t="s">
        <v>7305</v>
      </c>
      <c r="G389" s="12">
        <v>1912</v>
      </c>
      <c r="H389" s="12">
        <v>95.6</v>
      </c>
      <c r="I389" s="12">
        <v>1816.4</v>
      </c>
      <c r="J389" s="12">
        <f>SUMIF(order_item!B:B,A389,order_item!E:E)</f>
        <v>1912</v>
      </c>
      <c r="K389" s="28" t="str">
        <f>_xlfn.XLOOKUP(B389,customers!A:A,customers!D:D)</f>
        <v>Regular</v>
      </c>
    </row>
    <row r="390" spans="1:11" x14ac:dyDescent="0.25">
      <c r="A390" s="5" t="s">
        <v>5959</v>
      </c>
      <c r="B390" s="5" t="s">
        <v>741</v>
      </c>
      <c r="C390" s="5" t="s">
        <v>7309</v>
      </c>
      <c r="D390" s="1">
        <v>45429</v>
      </c>
      <c r="E390" s="17">
        <v>0.49305555555555558</v>
      </c>
      <c r="F390" s="5" t="s">
        <v>7305</v>
      </c>
      <c r="G390" s="12">
        <v>843</v>
      </c>
      <c r="H390" s="12">
        <v>0</v>
      </c>
      <c r="I390" s="12">
        <v>843</v>
      </c>
      <c r="J390" s="12">
        <f>SUMIF(order_item!B:B,A390,order_item!E:E)</f>
        <v>843</v>
      </c>
      <c r="K390" s="28" t="str">
        <f>_xlfn.XLOOKUP(B390,customers!A:A,customers!D:D)</f>
        <v>Premium</v>
      </c>
    </row>
    <row r="391" spans="1:11" x14ac:dyDescent="0.25">
      <c r="A391" s="5" t="s">
        <v>5954</v>
      </c>
      <c r="B391" s="5" t="s">
        <v>700</v>
      </c>
      <c r="C391" s="5" t="s">
        <v>7309</v>
      </c>
      <c r="D391" s="1">
        <v>45692</v>
      </c>
      <c r="E391" s="17">
        <v>0.72222222222222221</v>
      </c>
      <c r="F391" s="5" t="s">
        <v>7305</v>
      </c>
      <c r="G391" s="12">
        <v>593</v>
      </c>
      <c r="H391" s="12">
        <v>0</v>
      </c>
      <c r="I391" s="12">
        <v>593</v>
      </c>
      <c r="J391" s="12">
        <f>SUMIF(order_item!B:B,A391,order_item!E:E)</f>
        <v>593</v>
      </c>
      <c r="K391" s="28" t="str">
        <f>_xlfn.XLOOKUP(B391,customers!A:A,customers!D:D)</f>
        <v>Regular</v>
      </c>
    </row>
    <row r="392" spans="1:11" x14ac:dyDescent="0.25">
      <c r="A392" s="5" t="s">
        <v>5950</v>
      </c>
      <c r="B392" s="5" t="s">
        <v>537</v>
      </c>
      <c r="C392" s="5" t="s">
        <v>7309</v>
      </c>
      <c r="D392" s="1">
        <v>45622</v>
      </c>
      <c r="E392" s="17">
        <v>0.81458333333333333</v>
      </c>
      <c r="F392" s="5" t="s">
        <v>7305</v>
      </c>
      <c r="G392" s="12">
        <v>863</v>
      </c>
      <c r="H392" s="12">
        <v>43.15</v>
      </c>
      <c r="I392" s="12">
        <v>819.85</v>
      </c>
      <c r="J392" s="12">
        <f>SUMIF(order_item!B:B,A392,order_item!E:E)</f>
        <v>863</v>
      </c>
      <c r="K392" s="28" t="str">
        <f>_xlfn.XLOOKUP(B392,customers!A:A,customers!D:D)</f>
        <v>New</v>
      </c>
    </row>
    <row r="393" spans="1:11" x14ac:dyDescent="0.25">
      <c r="A393" s="5" t="s">
        <v>5947</v>
      </c>
      <c r="B393" s="5" t="s">
        <v>723</v>
      </c>
      <c r="C393" s="5" t="s">
        <v>7309</v>
      </c>
      <c r="D393" s="1">
        <v>45708</v>
      </c>
      <c r="E393" s="17">
        <v>0.72569444444444453</v>
      </c>
      <c r="F393" s="5" t="s">
        <v>7305</v>
      </c>
      <c r="G393" s="12">
        <v>436</v>
      </c>
      <c r="H393" s="12">
        <v>0</v>
      </c>
      <c r="I393" s="12">
        <v>436</v>
      </c>
      <c r="J393" s="12">
        <f>SUMIF(order_item!B:B,A393,order_item!E:E)</f>
        <v>436</v>
      </c>
      <c r="K393" s="28" t="str">
        <f>_xlfn.XLOOKUP(B393,customers!A:A,customers!D:D)</f>
        <v>Regular</v>
      </c>
    </row>
    <row r="394" spans="1:11" x14ac:dyDescent="0.25">
      <c r="A394" s="5" t="s">
        <v>5944</v>
      </c>
      <c r="B394" s="5" t="s">
        <v>499</v>
      </c>
      <c r="C394" s="5" t="s">
        <v>7306</v>
      </c>
      <c r="D394" s="1">
        <v>45585</v>
      </c>
      <c r="E394" s="17">
        <v>0.68680555555555556</v>
      </c>
      <c r="F394" s="5" t="s">
        <v>7305</v>
      </c>
      <c r="G394" s="12">
        <v>168</v>
      </c>
      <c r="H394" s="12">
        <v>0</v>
      </c>
      <c r="I394" s="12">
        <v>168</v>
      </c>
      <c r="J394" s="12">
        <f>SUMIF(order_item!B:B,A394,order_item!E:E)</f>
        <v>168</v>
      </c>
      <c r="K394" s="28" t="str">
        <f>_xlfn.XLOOKUP(B394,customers!A:A,customers!D:D)</f>
        <v>New</v>
      </c>
    </row>
    <row r="395" spans="1:11" x14ac:dyDescent="0.25">
      <c r="A395" s="5" t="s">
        <v>5940</v>
      </c>
      <c r="B395" s="5" t="s">
        <v>815</v>
      </c>
      <c r="C395" s="5" t="s">
        <v>7309</v>
      </c>
      <c r="D395" s="1">
        <v>45478</v>
      </c>
      <c r="E395" s="17">
        <v>0.7895833333333333</v>
      </c>
      <c r="F395" s="5" t="s">
        <v>7305</v>
      </c>
      <c r="G395" s="12">
        <v>396</v>
      </c>
      <c r="H395" s="12">
        <v>39.6</v>
      </c>
      <c r="I395" s="12">
        <v>356.4</v>
      </c>
      <c r="J395" s="12">
        <f>SUMIF(order_item!B:B,A395,order_item!E:E)</f>
        <v>396</v>
      </c>
      <c r="K395" s="28" t="str">
        <f>_xlfn.XLOOKUP(B395,customers!A:A,customers!D:D)</f>
        <v>Premium</v>
      </c>
    </row>
    <row r="396" spans="1:11" x14ac:dyDescent="0.25">
      <c r="A396" s="5" t="s">
        <v>5937</v>
      </c>
      <c r="B396" s="5" t="s">
        <v>228</v>
      </c>
      <c r="C396" s="5" t="s">
        <v>7306</v>
      </c>
      <c r="D396" s="1">
        <v>45461</v>
      </c>
      <c r="E396" s="17">
        <v>0.78263888888888899</v>
      </c>
      <c r="F396" s="5" t="s">
        <v>7305</v>
      </c>
      <c r="G396" s="12">
        <v>643</v>
      </c>
      <c r="H396" s="12">
        <v>64.3</v>
      </c>
      <c r="I396" s="12">
        <v>578.70000000000005</v>
      </c>
      <c r="J396" s="12">
        <f>SUMIF(order_item!B:B,A396,order_item!E:E)</f>
        <v>643</v>
      </c>
      <c r="K396" s="28" t="str">
        <f>_xlfn.XLOOKUP(B396,customers!A:A,customers!D:D)</f>
        <v>New</v>
      </c>
    </row>
    <row r="397" spans="1:11" x14ac:dyDescent="0.25">
      <c r="A397" s="5" t="s">
        <v>5933</v>
      </c>
      <c r="B397" s="5" t="s">
        <v>222</v>
      </c>
      <c r="C397" s="5" t="s">
        <v>7306</v>
      </c>
      <c r="D397" s="1">
        <v>45500</v>
      </c>
      <c r="E397" s="17">
        <v>0.80902777777777779</v>
      </c>
      <c r="F397" s="5" t="s">
        <v>7305</v>
      </c>
      <c r="G397" s="12">
        <v>406</v>
      </c>
      <c r="H397" s="12">
        <v>0</v>
      </c>
      <c r="I397" s="12">
        <v>406</v>
      </c>
      <c r="J397" s="12">
        <f>SUMIF(order_item!B:B,A397,order_item!E:E)</f>
        <v>406</v>
      </c>
      <c r="K397" s="28" t="str">
        <f>_xlfn.XLOOKUP(B397,customers!A:A,customers!D:D)</f>
        <v>Regular</v>
      </c>
    </row>
    <row r="398" spans="1:11" x14ac:dyDescent="0.25">
      <c r="A398" s="5" t="s">
        <v>5929</v>
      </c>
      <c r="B398" s="5" t="s">
        <v>230</v>
      </c>
      <c r="C398" s="5" t="s">
        <v>7309</v>
      </c>
      <c r="D398" s="1">
        <v>45605</v>
      </c>
      <c r="E398" s="17">
        <v>0.82361111111111107</v>
      </c>
      <c r="F398" s="5" t="s">
        <v>7305</v>
      </c>
      <c r="G398" s="12">
        <v>505</v>
      </c>
      <c r="H398" s="12">
        <v>25.25</v>
      </c>
      <c r="I398" s="12">
        <v>479.75</v>
      </c>
      <c r="J398" s="12">
        <f>SUMIF(order_item!B:B,A398,order_item!E:E)</f>
        <v>505</v>
      </c>
      <c r="K398" s="28" t="str">
        <f>_xlfn.XLOOKUP(B398,customers!A:A,customers!D:D)</f>
        <v>New</v>
      </c>
    </row>
    <row r="399" spans="1:11" x14ac:dyDescent="0.25">
      <c r="A399" s="5" t="s">
        <v>5926</v>
      </c>
      <c r="B399" s="5" t="s">
        <v>374</v>
      </c>
      <c r="C399" s="5" t="s">
        <v>7306</v>
      </c>
      <c r="D399" s="1">
        <v>45510</v>
      </c>
      <c r="E399" s="17">
        <v>0.95208333333333339</v>
      </c>
      <c r="F399" s="5" t="s">
        <v>7305</v>
      </c>
      <c r="G399" s="12">
        <v>585</v>
      </c>
      <c r="H399" s="12">
        <v>0</v>
      </c>
      <c r="I399" s="12">
        <v>585</v>
      </c>
      <c r="J399" s="12">
        <f>SUMIF(order_item!B:B,A399,order_item!E:E)</f>
        <v>585</v>
      </c>
      <c r="K399" s="28" t="str">
        <f>_xlfn.XLOOKUP(B399,customers!A:A,customers!D:D)</f>
        <v>New</v>
      </c>
    </row>
    <row r="400" spans="1:11" x14ac:dyDescent="0.25">
      <c r="A400" s="5" t="s">
        <v>5923</v>
      </c>
      <c r="B400" s="5" t="s">
        <v>641</v>
      </c>
      <c r="C400" s="5" t="s">
        <v>7306</v>
      </c>
      <c r="D400" s="1">
        <v>45392</v>
      </c>
      <c r="E400" s="17">
        <v>0.46458333333333335</v>
      </c>
      <c r="F400" s="5" t="s">
        <v>7305</v>
      </c>
      <c r="G400" s="12">
        <v>188</v>
      </c>
      <c r="H400" s="12">
        <v>18.8</v>
      </c>
      <c r="I400" s="12">
        <v>169.2</v>
      </c>
      <c r="J400" s="12">
        <f>SUMIF(order_item!B:B,A400,order_item!E:E)</f>
        <v>188</v>
      </c>
      <c r="K400" s="28" t="str">
        <f>_xlfn.XLOOKUP(B400,customers!A:A,customers!D:D)</f>
        <v>Regular</v>
      </c>
    </row>
    <row r="401" spans="1:11" x14ac:dyDescent="0.25">
      <c r="A401" s="5" t="s">
        <v>5920</v>
      </c>
      <c r="B401" s="5" t="s">
        <v>361</v>
      </c>
      <c r="C401" s="5" t="s">
        <v>7306</v>
      </c>
      <c r="D401" s="1">
        <v>45620</v>
      </c>
      <c r="E401" s="17">
        <v>0.71250000000000002</v>
      </c>
      <c r="F401" s="5" t="s">
        <v>7307</v>
      </c>
      <c r="G401" s="12">
        <v>564</v>
      </c>
      <c r="H401" s="12">
        <v>0</v>
      </c>
      <c r="I401" s="12">
        <v>0</v>
      </c>
      <c r="J401" s="12">
        <f>SUMIF(order_item!B:B,A401,order_item!E:E)</f>
        <v>564</v>
      </c>
      <c r="K401" s="28" t="str">
        <f>_xlfn.XLOOKUP(B401,customers!A:A,customers!D:D)</f>
        <v>Premium</v>
      </c>
    </row>
    <row r="402" spans="1:11" x14ac:dyDescent="0.25">
      <c r="A402" s="5" t="s">
        <v>5917</v>
      </c>
      <c r="B402" s="5" t="s">
        <v>494</v>
      </c>
      <c r="C402" s="5" t="s">
        <v>7309</v>
      </c>
      <c r="D402" s="1">
        <v>45627</v>
      </c>
      <c r="E402" s="17">
        <v>0.68263888888888891</v>
      </c>
      <c r="F402" s="5" t="s">
        <v>7305</v>
      </c>
      <c r="G402" s="12">
        <v>246</v>
      </c>
      <c r="H402" s="12">
        <v>0</v>
      </c>
      <c r="I402" s="12">
        <v>246</v>
      </c>
      <c r="J402" s="12">
        <f>SUMIF(order_item!B:B,A402,order_item!E:E)</f>
        <v>246</v>
      </c>
      <c r="K402" s="28" t="str">
        <f>_xlfn.XLOOKUP(B402,customers!A:A,customers!D:D)</f>
        <v>Regular</v>
      </c>
    </row>
    <row r="403" spans="1:11" x14ac:dyDescent="0.25">
      <c r="A403" s="5" t="s">
        <v>5913</v>
      </c>
      <c r="B403" s="5" t="s">
        <v>563</v>
      </c>
      <c r="C403" s="5" t="s">
        <v>7306</v>
      </c>
      <c r="D403" s="1">
        <v>45711</v>
      </c>
      <c r="E403" s="17">
        <v>0.72152777777777777</v>
      </c>
      <c r="F403" s="5" t="s">
        <v>7305</v>
      </c>
      <c r="G403" s="12">
        <v>526</v>
      </c>
      <c r="H403" s="12">
        <v>26.3</v>
      </c>
      <c r="I403" s="12">
        <v>499.7</v>
      </c>
      <c r="J403" s="12">
        <f>SUMIF(order_item!B:B,A403,order_item!E:E)</f>
        <v>526</v>
      </c>
      <c r="K403" s="28" t="str">
        <f>_xlfn.XLOOKUP(B403,customers!A:A,customers!D:D)</f>
        <v>Regular</v>
      </c>
    </row>
    <row r="404" spans="1:11" x14ac:dyDescent="0.25">
      <c r="A404" s="5" t="s">
        <v>5910</v>
      </c>
      <c r="B404" s="5" t="s">
        <v>700</v>
      </c>
      <c r="C404" s="5" t="s">
        <v>7306</v>
      </c>
      <c r="D404" s="1">
        <v>45564</v>
      </c>
      <c r="E404" s="17">
        <v>3.5416666666666666E-2</v>
      </c>
      <c r="F404" s="5" t="s">
        <v>7305</v>
      </c>
      <c r="G404" s="12">
        <v>554</v>
      </c>
      <c r="H404" s="12">
        <v>0</v>
      </c>
      <c r="I404" s="12">
        <v>554</v>
      </c>
      <c r="J404" s="12">
        <f>SUMIF(order_item!B:B,A404,order_item!E:E)</f>
        <v>554</v>
      </c>
      <c r="K404" s="28" t="str">
        <f>_xlfn.XLOOKUP(B404,customers!A:A,customers!D:D)</f>
        <v>Regular</v>
      </c>
    </row>
    <row r="405" spans="1:11" x14ac:dyDescent="0.25">
      <c r="A405" s="5" t="s">
        <v>5907</v>
      </c>
      <c r="B405" s="5" t="s">
        <v>220</v>
      </c>
      <c r="C405" s="5" t="s">
        <v>7306</v>
      </c>
      <c r="D405" s="1">
        <v>45688</v>
      </c>
      <c r="E405" s="17">
        <v>0.65208333333333335</v>
      </c>
      <c r="F405" s="5" t="s">
        <v>7305</v>
      </c>
      <c r="G405" s="12">
        <v>794</v>
      </c>
      <c r="H405" s="12">
        <v>0</v>
      </c>
      <c r="I405" s="12">
        <v>794</v>
      </c>
      <c r="J405" s="12">
        <f>SUMIF(order_item!B:B,A405,order_item!E:E)</f>
        <v>794</v>
      </c>
      <c r="K405" s="28" t="str">
        <f>_xlfn.XLOOKUP(B405,customers!A:A,customers!D:D)</f>
        <v>Regular</v>
      </c>
    </row>
    <row r="406" spans="1:11" x14ac:dyDescent="0.25">
      <c r="A406" s="5" t="s">
        <v>5904</v>
      </c>
      <c r="B406" s="5" t="s">
        <v>155</v>
      </c>
      <c r="C406" s="5" t="s">
        <v>7308</v>
      </c>
      <c r="D406" s="1">
        <v>45600</v>
      </c>
      <c r="E406" s="17">
        <v>0.67708333333333337</v>
      </c>
      <c r="F406" s="5" t="s">
        <v>7305</v>
      </c>
      <c r="G406" s="12">
        <v>317</v>
      </c>
      <c r="H406" s="12">
        <v>0</v>
      </c>
      <c r="I406" s="12">
        <v>317</v>
      </c>
      <c r="J406" s="12">
        <f>SUMIF(order_item!B:B,A406,order_item!E:E)</f>
        <v>317</v>
      </c>
      <c r="K406" s="28" t="str">
        <f>_xlfn.XLOOKUP(B406,customers!A:A,customers!D:D)</f>
        <v>Premium</v>
      </c>
    </row>
    <row r="407" spans="1:11" x14ac:dyDescent="0.25">
      <c r="A407" s="5" t="s">
        <v>5901</v>
      </c>
      <c r="B407" s="5" t="s">
        <v>286</v>
      </c>
      <c r="C407" s="5" t="s">
        <v>7309</v>
      </c>
      <c r="D407" s="1">
        <v>45745</v>
      </c>
      <c r="E407" s="17">
        <v>0.75277777777777777</v>
      </c>
      <c r="F407" s="5" t="s">
        <v>7305</v>
      </c>
      <c r="G407" s="12">
        <v>347</v>
      </c>
      <c r="H407" s="12">
        <v>0</v>
      </c>
      <c r="I407" s="12">
        <v>347</v>
      </c>
      <c r="J407" s="12">
        <f>SUMIF(order_item!B:B,A407,order_item!E:E)</f>
        <v>347</v>
      </c>
      <c r="K407" s="28" t="str">
        <f>_xlfn.XLOOKUP(B407,customers!A:A,customers!D:D)</f>
        <v>Regular</v>
      </c>
    </row>
    <row r="408" spans="1:11" x14ac:dyDescent="0.25">
      <c r="A408" s="5" t="s">
        <v>5898</v>
      </c>
      <c r="B408" s="5" t="s">
        <v>184</v>
      </c>
      <c r="C408" s="5" t="s">
        <v>7309</v>
      </c>
      <c r="D408" s="1">
        <v>45653</v>
      </c>
      <c r="E408" s="17">
        <v>0.89236111111111116</v>
      </c>
      <c r="F408" s="5" t="s">
        <v>7305</v>
      </c>
      <c r="G408" s="12">
        <v>516</v>
      </c>
      <c r="H408" s="12">
        <v>0</v>
      </c>
      <c r="I408" s="12">
        <v>516</v>
      </c>
      <c r="J408" s="12">
        <f>SUMIF(order_item!B:B,A408,order_item!E:E)</f>
        <v>516</v>
      </c>
      <c r="K408" s="28" t="str">
        <f>_xlfn.XLOOKUP(B408,customers!A:A,customers!D:D)</f>
        <v>Regular</v>
      </c>
    </row>
    <row r="409" spans="1:11" x14ac:dyDescent="0.25">
      <c r="A409" s="5" t="s">
        <v>5893</v>
      </c>
      <c r="B409" s="5" t="s">
        <v>529</v>
      </c>
      <c r="C409" s="5" t="s">
        <v>7306</v>
      </c>
      <c r="D409" s="1">
        <v>45415</v>
      </c>
      <c r="E409" s="17">
        <v>0.92222222222222217</v>
      </c>
      <c r="F409" s="5" t="s">
        <v>7305</v>
      </c>
      <c r="G409" s="12">
        <v>625</v>
      </c>
      <c r="H409" s="12">
        <v>62.5</v>
      </c>
      <c r="I409" s="12">
        <v>562.5</v>
      </c>
      <c r="J409" s="12">
        <f>SUMIF(order_item!B:B,A409,order_item!E:E)</f>
        <v>625</v>
      </c>
      <c r="K409" s="28" t="str">
        <f>_xlfn.XLOOKUP(B409,customers!A:A,customers!D:D)</f>
        <v>Regular</v>
      </c>
    </row>
    <row r="410" spans="1:11" x14ac:dyDescent="0.25">
      <c r="A410" s="5" t="s">
        <v>5888</v>
      </c>
      <c r="B410" s="5" t="s">
        <v>361</v>
      </c>
      <c r="C410" s="5" t="s">
        <v>7306</v>
      </c>
      <c r="D410" s="1">
        <v>45530</v>
      </c>
      <c r="E410" s="17">
        <v>0.70624999999999993</v>
      </c>
      <c r="F410" s="5" t="s">
        <v>7305</v>
      </c>
      <c r="G410" s="12">
        <v>496</v>
      </c>
      <c r="H410" s="12">
        <v>0</v>
      </c>
      <c r="I410" s="12">
        <v>496</v>
      </c>
      <c r="J410" s="12">
        <f>SUMIF(order_item!B:B,A410,order_item!E:E)</f>
        <v>496</v>
      </c>
      <c r="K410" s="28" t="str">
        <f>_xlfn.XLOOKUP(B410,customers!A:A,customers!D:D)</f>
        <v>Premium</v>
      </c>
    </row>
    <row r="411" spans="1:11" x14ac:dyDescent="0.25">
      <c r="A411" s="5" t="s">
        <v>5886</v>
      </c>
      <c r="B411" s="5" t="s">
        <v>705</v>
      </c>
      <c r="C411" s="5" t="s">
        <v>7309</v>
      </c>
      <c r="D411" s="1">
        <v>45658</v>
      </c>
      <c r="E411" s="17">
        <v>0.62361111111111112</v>
      </c>
      <c r="F411" s="5" t="s">
        <v>7305</v>
      </c>
      <c r="G411" s="12">
        <v>237</v>
      </c>
      <c r="H411" s="12">
        <v>11.85</v>
      </c>
      <c r="I411" s="12">
        <v>225.15</v>
      </c>
      <c r="J411" s="12">
        <f>SUMIF(order_item!B:B,A411,order_item!E:E)</f>
        <v>237</v>
      </c>
      <c r="K411" s="28" t="str">
        <f>_xlfn.XLOOKUP(B411,customers!A:A,customers!D:D)</f>
        <v>New</v>
      </c>
    </row>
    <row r="412" spans="1:11" x14ac:dyDescent="0.25">
      <c r="A412" s="5" t="s">
        <v>5884</v>
      </c>
      <c r="B412" s="5" t="s">
        <v>317</v>
      </c>
      <c r="C412" s="5" t="s">
        <v>7309</v>
      </c>
      <c r="D412" s="1">
        <v>45472</v>
      </c>
      <c r="E412" s="17">
        <v>4.8611111111111112E-2</v>
      </c>
      <c r="F412" s="5" t="s">
        <v>7305</v>
      </c>
      <c r="G412" s="12">
        <v>118</v>
      </c>
      <c r="H412" s="12">
        <v>5.9</v>
      </c>
      <c r="I412" s="12">
        <v>112.1</v>
      </c>
      <c r="J412" s="12">
        <f>SUMIF(order_item!B:B,A412,order_item!E:E)</f>
        <v>118</v>
      </c>
      <c r="K412" s="28" t="str">
        <f>_xlfn.XLOOKUP(B412,customers!A:A,customers!D:D)</f>
        <v>New</v>
      </c>
    </row>
    <row r="413" spans="1:11" x14ac:dyDescent="0.25">
      <c r="A413" s="5" t="s">
        <v>5881</v>
      </c>
      <c r="B413" s="5" t="s">
        <v>789</v>
      </c>
      <c r="C413" s="5" t="s">
        <v>7309</v>
      </c>
      <c r="D413" s="1">
        <v>45617</v>
      </c>
      <c r="E413" s="17">
        <v>0.64374999999999993</v>
      </c>
      <c r="F413" s="5" t="s">
        <v>7305</v>
      </c>
      <c r="G413" s="12">
        <v>228</v>
      </c>
      <c r="H413" s="12">
        <v>0</v>
      </c>
      <c r="I413" s="12">
        <v>228</v>
      </c>
      <c r="J413" s="12">
        <f>SUMIF(order_item!B:B,A413,order_item!E:E)</f>
        <v>228</v>
      </c>
      <c r="K413" s="28" t="str">
        <f>_xlfn.XLOOKUP(B413,customers!A:A,customers!D:D)</f>
        <v>New</v>
      </c>
    </row>
    <row r="414" spans="1:11" x14ac:dyDescent="0.25">
      <c r="A414" s="5" t="s">
        <v>5878</v>
      </c>
      <c r="B414" s="5" t="s">
        <v>841</v>
      </c>
      <c r="C414" s="5" t="s">
        <v>7309</v>
      </c>
      <c r="D414" s="1">
        <v>45626</v>
      </c>
      <c r="E414" s="17">
        <v>0.84930555555555554</v>
      </c>
      <c r="F414" s="5" t="s">
        <v>7305</v>
      </c>
      <c r="G414" s="12">
        <v>247</v>
      </c>
      <c r="H414" s="12">
        <v>12.35</v>
      </c>
      <c r="I414" s="12">
        <v>234.65</v>
      </c>
      <c r="J414" s="12">
        <f>SUMIF(order_item!B:B,A414,order_item!E:E)</f>
        <v>247</v>
      </c>
      <c r="K414" s="28" t="str">
        <f>_xlfn.XLOOKUP(B414,customers!A:A,customers!D:D)</f>
        <v>Regular</v>
      </c>
    </row>
    <row r="415" spans="1:11" x14ac:dyDescent="0.25">
      <c r="A415" s="5" t="s">
        <v>5875</v>
      </c>
      <c r="B415" s="5" t="s">
        <v>342</v>
      </c>
      <c r="C415" s="5" t="s">
        <v>7309</v>
      </c>
      <c r="D415" s="1">
        <v>45486</v>
      </c>
      <c r="E415" s="17">
        <v>0.77777777777777779</v>
      </c>
      <c r="F415" s="5" t="s">
        <v>7305</v>
      </c>
      <c r="G415" s="12">
        <v>1043</v>
      </c>
      <c r="H415" s="12">
        <v>52.15</v>
      </c>
      <c r="I415" s="12">
        <v>990.85</v>
      </c>
      <c r="J415" s="12">
        <f>SUMIF(order_item!B:B,A415,order_item!E:E)</f>
        <v>1043</v>
      </c>
      <c r="K415" s="28" t="str">
        <f>_xlfn.XLOOKUP(B415,customers!A:A,customers!D:D)</f>
        <v>Regular</v>
      </c>
    </row>
    <row r="416" spans="1:11" x14ac:dyDescent="0.25">
      <c r="A416" s="5" t="s">
        <v>5872</v>
      </c>
      <c r="B416" s="5" t="s">
        <v>390</v>
      </c>
      <c r="C416" s="5" t="s">
        <v>7306</v>
      </c>
      <c r="D416" s="1">
        <v>45612</v>
      </c>
      <c r="E416" s="17">
        <v>0.81388888888888899</v>
      </c>
      <c r="F416" s="5" t="s">
        <v>7307</v>
      </c>
      <c r="G416" s="12">
        <v>228</v>
      </c>
      <c r="H416" s="12">
        <v>0</v>
      </c>
      <c r="I416" s="12">
        <v>0</v>
      </c>
      <c r="J416" s="12">
        <f>SUMIF(order_item!B:B,A416,order_item!E:E)</f>
        <v>228</v>
      </c>
      <c r="K416" s="28" t="str">
        <f>_xlfn.XLOOKUP(B416,customers!A:A,customers!D:D)</f>
        <v>Regular</v>
      </c>
    </row>
    <row r="417" spans="1:11" x14ac:dyDescent="0.25">
      <c r="A417" s="5" t="s">
        <v>5869</v>
      </c>
      <c r="B417" s="5" t="s">
        <v>512</v>
      </c>
      <c r="C417" s="5" t="s">
        <v>7309</v>
      </c>
      <c r="D417" s="1">
        <v>45483</v>
      </c>
      <c r="E417" s="17">
        <v>0.72430555555555554</v>
      </c>
      <c r="F417" s="5" t="s">
        <v>7305</v>
      </c>
      <c r="G417" s="12">
        <v>514</v>
      </c>
      <c r="H417" s="12">
        <v>0</v>
      </c>
      <c r="I417" s="12">
        <v>514</v>
      </c>
      <c r="J417" s="12">
        <f>SUMIF(order_item!B:B,A417,order_item!E:E)</f>
        <v>514</v>
      </c>
      <c r="K417" s="28" t="str">
        <f>_xlfn.XLOOKUP(B417,customers!A:A,customers!D:D)</f>
        <v>Regular</v>
      </c>
    </row>
    <row r="418" spans="1:11" x14ac:dyDescent="0.25">
      <c r="A418" s="5" t="s">
        <v>5865</v>
      </c>
      <c r="B418" s="5" t="s">
        <v>281</v>
      </c>
      <c r="C418" s="5" t="s">
        <v>7309</v>
      </c>
      <c r="D418" s="1">
        <v>45519</v>
      </c>
      <c r="E418" s="17">
        <v>0.90972222222222221</v>
      </c>
      <c r="F418" s="5" t="s">
        <v>7305</v>
      </c>
      <c r="G418" s="12">
        <v>794</v>
      </c>
      <c r="H418" s="12">
        <v>0</v>
      </c>
      <c r="I418" s="12">
        <v>794</v>
      </c>
      <c r="J418" s="12">
        <f>SUMIF(order_item!B:B,A418,order_item!E:E)</f>
        <v>794</v>
      </c>
      <c r="K418" s="28" t="str">
        <f>_xlfn.XLOOKUP(B418,customers!A:A,customers!D:D)</f>
        <v>Regular</v>
      </c>
    </row>
    <row r="419" spans="1:11" x14ac:dyDescent="0.25">
      <c r="A419" s="5" t="s">
        <v>5862</v>
      </c>
      <c r="B419" s="5" t="s">
        <v>169</v>
      </c>
      <c r="C419" s="5" t="s">
        <v>7309</v>
      </c>
      <c r="D419" s="1">
        <v>45671</v>
      </c>
      <c r="E419" s="17">
        <v>0.52638888888888891</v>
      </c>
      <c r="F419" s="5" t="s">
        <v>7305</v>
      </c>
      <c r="G419" s="12">
        <v>218</v>
      </c>
      <c r="H419" s="12">
        <v>0</v>
      </c>
      <c r="I419" s="12">
        <v>218</v>
      </c>
      <c r="J419" s="12">
        <f>SUMIF(order_item!B:B,A419,order_item!E:E)</f>
        <v>218</v>
      </c>
      <c r="K419" s="28" t="str">
        <f>_xlfn.XLOOKUP(B419,customers!A:A,customers!D:D)</f>
        <v>New</v>
      </c>
    </row>
    <row r="420" spans="1:11" x14ac:dyDescent="0.25">
      <c r="A420" s="5" t="s">
        <v>5859</v>
      </c>
      <c r="B420" s="5" t="s">
        <v>432</v>
      </c>
      <c r="C420" s="5" t="s">
        <v>7306</v>
      </c>
      <c r="D420" s="1">
        <v>45437</v>
      </c>
      <c r="E420" s="17">
        <v>0.6743055555555556</v>
      </c>
      <c r="F420" s="5" t="s">
        <v>7305</v>
      </c>
      <c r="G420" s="12">
        <v>188</v>
      </c>
      <c r="H420" s="12">
        <v>0</v>
      </c>
      <c r="I420" s="12">
        <v>188</v>
      </c>
      <c r="J420" s="12">
        <f>SUMIF(order_item!B:B,A420,order_item!E:E)</f>
        <v>188</v>
      </c>
      <c r="K420" s="28" t="str">
        <f>_xlfn.XLOOKUP(B420,customers!A:A,customers!D:D)</f>
        <v>Regular</v>
      </c>
    </row>
    <row r="421" spans="1:11" x14ac:dyDescent="0.25">
      <c r="A421" s="5" t="s">
        <v>5854</v>
      </c>
      <c r="B421" s="5" t="s">
        <v>393</v>
      </c>
      <c r="C421" s="5" t="s">
        <v>7309</v>
      </c>
      <c r="D421" s="1">
        <v>45611</v>
      </c>
      <c r="E421" s="17">
        <v>0.85277777777777775</v>
      </c>
      <c r="F421" s="5" t="s">
        <v>7305</v>
      </c>
      <c r="G421" s="12">
        <v>702</v>
      </c>
      <c r="H421" s="12">
        <v>0</v>
      </c>
      <c r="I421" s="12">
        <v>702</v>
      </c>
      <c r="J421" s="12">
        <f>SUMIF(order_item!B:B,A421,order_item!E:E)</f>
        <v>702</v>
      </c>
      <c r="K421" s="28" t="str">
        <f>_xlfn.XLOOKUP(B421,customers!A:A,customers!D:D)</f>
        <v>Regular</v>
      </c>
    </row>
    <row r="422" spans="1:11" x14ac:dyDescent="0.25">
      <c r="A422" s="5" t="s">
        <v>5851</v>
      </c>
      <c r="B422" s="5" t="s">
        <v>127</v>
      </c>
      <c r="C422" s="5" t="s">
        <v>7308</v>
      </c>
      <c r="D422" s="1">
        <v>45656</v>
      </c>
      <c r="E422" s="17">
        <v>0.70000000000000007</v>
      </c>
      <c r="F422" s="5" t="s">
        <v>7305</v>
      </c>
      <c r="G422" s="12">
        <v>317</v>
      </c>
      <c r="H422" s="12">
        <v>15.85</v>
      </c>
      <c r="I422" s="12">
        <v>301.14999999999998</v>
      </c>
      <c r="J422" s="12">
        <f>SUMIF(order_item!B:B,A422,order_item!E:E)</f>
        <v>317</v>
      </c>
      <c r="K422" s="28" t="str">
        <f>_xlfn.XLOOKUP(B422,customers!A:A,customers!D:D)</f>
        <v>Premium</v>
      </c>
    </row>
    <row r="423" spans="1:11" x14ac:dyDescent="0.25">
      <c r="A423" s="5" t="s">
        <v>5848</v>
      </c>
      <c r="B423" s="5" t="s">
        <v>858</v>
      </c>
      <c r="C423" s="5" t="s">
        <v>7308</v>
      </c>
      <c r="D423" s="1">
        <v>45643</v>
      </c>
      <c r="E423" s="17">
        <v>0.70833333333333337</v>
      </c>
      <c r="F423" s="5" t="s">
        <v>7305</v>
      </c>
      <c r="G423" s="12">
        <v>296</v>
      </c>
      <c r="H423" s="12">
        <v>0</v>
      </c>
      <c r="I423" s="12">
        <v>296</v>
      </c>
      <c r="J423" s="12">
        <f>SUMIF(order_item!B:B,A423,order_item!E:E)</f>
        <v>296</v>
      </c>
      <c r="K423" s="28" t="str">
        <f>_xlfn.XLOOKUP(B423,customers!A:A,customers!D:D)</f>
        <v>New</v>
      </c>
    </row>
    <row r="424" spans="1:11" x14ac:dyDescent="0.25">
      <c r="A424" s="5" t="s">
        <v>5845</v>
      </c>
      <c r="B424" s="5" t="s">
        <v>786</v>
      </c>
      <c r="C424" s="5" t="s">
        <v>7309</v>
      </c>
      <c r="D424" s="1">
        <v>45743</v>
      </c>
      <c r="E424" s="17">
        <v>0.70694444444444438</v>
      </c>
      <c r="F424" s="5" t="s">
        <v>7305</v>
      </c>
      <c r="G424" s="12">
        <v>377</v>
      </c>
      <c r="H424" s="12">
        <v>0</v>
      </c>
      <c r="I424" s="12">
        <v>377</v>
      </c>
      <c r="J424" s="12">
        <f>SUMIF(order_item!B:B,A424,order_item!E:E)</f>
        <v>377</v>
      </c>
      <c r="K424" s="28" t="str">
        <f>_xlfn.XLOOKUP(B424,customers!A:A,customers!D:D)</f>
        <v>New</v>
      </c>
    </row>
    <row r="425" spans="1:11" x14ac:dyDescent="0.25">
      <c r="A425" s="5" t="s">
        <v>5843</v>
      </c>
      <c r="B425" s="5" t="s">
        <v>569</v>
      </c>
      <c r="C425" s="5" t="s">
        <v>7306</v>
      </c>
      <c r="D425" s="1">
        <v>45534</v>
      </c>
      <c r="E425" s="17">
        <v>0.83263888888888893</v>
      </c>
      <c r="F425" s="5" t="s">
        <v>7305</v>
      </c>
      <c r="G425" s="12">
        <v>198</v>
      </c>
      <c r="H425" s="12">
        <v>0</v>
      </c>
      <c r="I425" s="12">
        <v>198</v>
      </c>
      <c r="J425" s="12">
        <f>SUMIF(order_item!B:B,A425,order_item!E:E)</f>
        <v>198</v>
      </c>
      <c r="K425" s="28" t="str">
        <f>_xlfn.XLOOKUP(B425,customers!A:A,customers!D:D)</f>
        <v>Regular</v>
      </c>
    </row>
    <row r="426" spans="1:11" x14ac:dyDescent="0.25">
      <c r="A426" s="5" t="s">
        <v>5840</v>
      </c>
      <c r="B426" s="5" t="s">
        <v>543</v>
      </c>
      <c r="C426" s="5" t="s">
        <v>7308</v>
      </c>
      <c r="D426" s="1">
        <v>45638</v>
      </c>
      <c r="E426" s="17">
        <v>0.77638888888888891</v>
      </c>
      <c r="F426" s="5" t="s">
        <v>7305</v>
      </c>
      <c r="G426" s="12">
        <v>298</v>
      </c>
      <c r="H426" s="12">
        <v>14.9</v>
      </c>
      <c r="I426" s="12">
        <v>283.10000000000002</v>
      </c>
      <c r="J426" s="12">
        <f>SUMIF(order_item!B:B,A426,order_item!E:E)</f>
        <v>298</v>
      </c>
      <c r="K426" s="28" t="str">
        <f>_xlfn.XLOOKUP(B426,customers!A:A,customers!D:D)</f>
        <v>Regular</v>
      </c>
    </row>
    <row r="427" spans="1:11" x14ac:dyDescent="0.25">
      <c r="A427" s="5" t="s">
        <v>5835</v>
      </c>
      <c r="B427" s="5" t="s">
        <v>437</v>
      </c>
      <c r="C427" s="5" t="s">
        <v>7308</v>
      </c>
      <c r="D427" s="1">
        <v>45622</v>
      </c>
      <c r="E427" s="17">
        <v>0.65625</v>
      </c>
      <c r="F427" s="5" t="s">
        <v>7305</v>
      </c>
      <c r="G427" s="12">
        <v>1210</v>
      </c>
      <c r="H427" s="12">
        <v>121</v>
      </c>
      <c r="I427" s="12">
        <v>1089</v>
      </c>
      <c r="J427" s="12">
        <f>SUMIF(order_item!B:B,A427,order_item!E:E)</f>
        <v>1210</v>
      </c>
      <c r="K427" s="28" t="str">
        <f>_xlfn.XLOOKUP(B427,customers!A:A,customers!D:D)</f>
        <v>Regular</v>
      </c>
    </row>
    <row r="428" spans="1:11" x14ac:dyDescent="0.25">
      <c r="A428" s="5" t="s">
        <v>5832</v>
      </c>
      <c r="B428" s="5" t="s">
        <v>393</v>
      </c>
      <c r="C428" s="5" t="s">
        <v>7306</v>
      </c>
      <c r="D428" s="1">
        <v>45654</v>
      </c>
      <c r="E428" s="17">
        <v>0.42083333333333334</v>
      </c>
      <c r="F428" s="5" t="s">
        <v>7305</v>
      </c>
      <c r="G428" s="12">
        <v>307</v>
      </c>
      <c r="H428" s="12">
        <v>0</v>
      </c>
      <c r="I428" s="12">
        <v>307</v>
      </c>
      <c r="J428" s="12">
        <f>SUMIF(order_item!B:B,A428,order_item!E:E)</f>
        <v>307</v>
      </c>
      <c r="K428" s="28" t="str">
        <f>_xlfn.XLOOKUP(B428,customers!A:A,customers!D:D)</f>
        <v>Regular</v>
      </c>
    </row>
    <row r="429" spans="1:11" x14ac:dyDescent="0.25">
      <c r="A429" s="5" t="s">
        <v>5829</v>
      </c>
      <c r="B429" s="5" t="s">
        <v>488</v>
      </c>
      <c r="C429" s="5" t="s">
        <v>7309</v>
      </c>
      <c r="D429" s="1">
        <v>45578</v>
      </c>
      <c r="E429" s="17">
        <v>0.8930555555555556</v>
      </c>
      <c r="F429" s="5" t="s">
        <v>7305</v>
      </c>
      <c r="G429" s="12">
        <v>248</v>
      </c>
      <c r="H429" s="12">
        <v>0</v>
      </c>
      <c r="I429" s="12">
        <v>248</v>
      </c>
      <c r="J429" s="12">
        <f>SUMIF(order_item!B:B,A429,order_item!E:E)</f>
        <v>248</v>
      </c>
      <c r="K429" s="28" t="str">
        <f>_xlfn.XLOOKUP(B429,customers!A:A,customers!D:D)</f>
        <v>Regular</v>
      </c>
    </row>
    <row r="430" spans="1:11" x14ac:dyDescent="0.25">
      <c r="A430" s="5" t="s">
        <v>5824</v>
      </c>
      <c r="B430" s="5" t="s">
        <v>830</v>
      </c>
      <c r="C430" s="5" t="s">
        <v>7306</v>
      </c>
      <c r="D430" s="1">
        <v>45566</v>
      </c>
      <c r="E430" s="17">
        <v>0.46666666666666662</v>
      </c>
      <c r="F430" s="5" t="s">
        <v>7305</v>
      </c>
      <c r="G430" s="12">
        <v>535</v>
      </c>
      <c r="H430" s="12">
        <v>26.75</v>
      </c>
      <c r="I430" s="12">
        <v>508.25</v>
      </c>
      <c r="J430" s="12">
        <f>SUMIF(order_item!B:B,A430,order_item!E:E)</f>
        <v>535</v>
      </c>
      <c r="K430" s="28" t="str">
        <f>_xlfn.XLOOKUP(B430,customers!A:A,customers!D:D)</f>
        <v>Regular</v>
      </c>
    </row>
    <row r="431" spans="1:11" x14ac:dyDescent="0.25">
      <c r="A431" s="5" t="s">
        <v>5820</v>
      </c>
      <c r="B431" s="5" t="s">
        <v>803</v>
      </c>
      <c r="C431" s="5" t="s">
        <v>7309</v>
      </c>
      <c r="D431" s="1">
        <v>45605</v>
      </c>
      <c r="E431" s="17">
        <v>0.90833333333333333</v>
      </c>
      <c r="F431" s="5" t="s">
        <v>7305</v>
      </c>
      <c r="G431" s="12">
        <v>534</v>
      </c>
      <c r="H431" s="12">
        <v>0</v>
      </c>
      <c r="I431" s="12">
        <v>534</v>
      </c>
      <c r="J431" s="12">
        <f>SUMIF(order_item!B:B,A431,order_item!E:E)</f>
        <v>534</v>
      </c>
      <c r="K431" s="28" t="str">
        <f>_xlfn.XLOOKUP(B431,customers!A:A,customers!D:D)</f>
        <v>Regular</v>
      </c>
    </row>
    <row r="432" spans="1:11" x14ac:dyDescent="0.25">
      <c r="A432" s="5" t="s">
        <v>5815</v>
      </c>
      <c r="B432" s="5" t="s">
        <v>566</v>
      </c>
      <c r="C432" s="5" t="s">
        <v>7309</v>
      </c>
      <c r="D432" s="1">
        <v>45493</v>
      </c>
      <c r="E432" s="17">
        <v>0.77638888888888891</v>
      </c>
      <c r="F432" s="5" t="s">
        <v>7305</v>
      </c>
      <c r="G432" s="12">
        <v>495</v>
      </c>
      <c r="H432" s="12">
        <v>0</v>
      </c>
      <c r="I432" s="12">
        <v>495</v>
      </c>
      <c r="J432" s="12">
        <f>SUMIF(order_item!B:B,A432,order_item!E:E)</f>
        <v>495</v>
      </c>
      <c r="K432" s="28" t="str">
        <f>_xlfn.XLOOKUP(B432,customers!A:A,customers!D:D)</f>
        <v>Regular</v>
      </c>
    </row>
    <row r="433" spans="1:11" x14ac:dyDescent="0.25">
      <c r="A433" s="5" t="s">
        <v>5810</v>
      </c>
      <c r="B433" s="5" t="s">
        <v>422</v>
      </c>
      <c r="C433" s="5" t="s">
        <v>7309</v>
      </c>
      <c r="D433" s="1">
        <v>45646</v>
      </c>
      <c r="E433" s="17">
        <v>0.45902777777777781</v>
      </c>
      <c r="F433" s="5" t="s">
        <v>7305</v>
      </c>
      <c r="G433" s="12">
        <v>1052</v>
      </c>
      <c r="H433" s="12">
        <v>0</v>
      </c>
      <c r="I433" s="12">
        <v>1052</v>
      </c>
      <c r="J433" s="12">
        <f>SUMIF(order_item!B:B,A433,order_item!E:E)</f>
        <v>1052</v>
      </c>
      <c r="K433" s="28" t="str">
        <f>_xlfn.XLOOKUP(B433,customers!A:A,customers!D:D)</f>
        <v>Regular</v>
      </c>
    </row>
    <row r="434" spans="1:11" x14ac:dyDescent="0.25">
      <c r="A434" s="5" t="s">
        <v>5807</v>
      </c>
      <c r="B434" s="5" t="s">
        <v>167</v>
      </c>
      <c r="C434" s="5" t="s">
        <v>7309</v>
      </c>
      <c r="D434" s="1">
        <v>45725</v>
      </c>
      <c r="E434" s="17">
        <v>0.89097222222222217</v>
      </c>
      <c r="F434" s="5" t="s">
        <v>7305</v>
      </c>
      <c r="G434" s="12">
        <v>626</v>
      </c>
      <c r="H434" s="12">
        <v>0</v>
      </c>
      <c r="I434" s="12">
        <v>626</v>
      </c>
      <c r="J434" s="12">
        <f>SUMIF(order_item!B:B,A434,order_item!E:E)</f>
        <v>626</v>
      </c>
      <c r="K434" s="28" t="str">
        <f>_xlfn.XLOOKUP(B434,customers!A:A,customers!D:D)</f>
        <v>Regular</v>
      </c>
    </row>
    <row r="435" spans="1:11" x14ac:dyDescent="0.25">
      <c r="A435" s="5" t="s">
        <v>5804</v>
      </c>
      <c r="B435" s="5" t="s">
        <v>338</v>
      </c>
      <c r="C435" s="5" t="s">
        <v>7308</v>
      </c>
      <c r="D435" s="1">
        <v>45725</v>
      </c>
      <c r="E435" s="17">
        <v>0.91249999999999998</v>
      </c>
      <c r="F435" s="5" t="s">
        <v>7305</v>
      </c>
      <c r="G435" s="12">
        <v>735</v>
      </c>
      <c r="H435" s="12">
        <v>36.75</v>
      </c>
      <c r="I435" s="12">
        <v>698.25</v>
      </c>
      <c r="J435" s="12">
        <f>SUMIF(order_item!B:B,A435,order_item!E:E)</f>
        <v>735</v>
      </c>
      <c r="K435" s="28" t="str">
        <f>_xlfn.XLOOKUP(B435,customers!A:A,customers!D:D)</f>
        <v>Premium</v>
      </c>
    </row>
    <row r="436" spans="1:11" x14ac:dyDescent="0.25">
      <c r="A436" s="5" t="s">
        <v>5799</v>
      </c>
      <c r="B436" s="5" t="s">
        <v>363</v>
      </c>
      <c r="C436" s="5" t="s">
        <v>7308</v>
      </c>
      <c r="D436" s="1">
        <v>45432</v>
      </c>
      <c r="E436" s="17">
        <v>0.57847222222222217</v>
      </c>
      <c r="F436" s="5" t="s">
        <v>7305</v>
      </c>
      <c r="G436" s="12">
        <v>762</v>
      </c>
      <c r="H436" s="12">
        <v>0</v>
      </c>
      <c r="I436" s="12">
        <v>762</v>
      </c>
      <c r="J436" s="12">
        <f>SUMIF(order_item!B:B,A436,order_item!E:E)</f>
        <v>762</v>
      </c>
      <c r="K436" s="28" t="str">
        <f>_xlfn.XLOOKUP(B436,customers!A:A,customers!D:D)</f>
        <v>New</v>
      </c>
    </row>
    <row r="437" spans="1:11" x14ac:dyDescent="0.25">
      <c r="A437" s="5" t="s">
        <v>5796</v>
      </c>
      <c r="B437" s="5" t="s">
        <v>602</v>
      </c>
      <c r="C437" s="5" t="s">
        <v>7306</v>
      </c>
      <c r="D437" s="1">
        <v>45394</v>
      </c>
      <c r="E437" s="17">
        <v>0.62291666666666667</v>
      </c>
      <c r="F437" s="5" t="s">
        <v>7305</v>
      </c>
      <c r="G437" s="12">
        <v>614</v>
      </c>
      <c r="H437" s="12">
        <v>0</v>
      </c>
      <c r="I437" s="12">
        <v>614</v>
      </c>
      <c r="J437" s="12">
        <f>SUMIF(order_item!B:B,A437,order_item!E:E)</f>
        <v>614</v>
      </c>
      <c r="K437" s="28" t="str">
        <f>_xlfn.XLOOKUP(B437,customers!A:A,customers!D:D)</f>
        <v>Regular</v>
      </c>
    </row>
    <row r="438" spans="1:11" x14ac:dyDescent="0.25">
      <c r="A438" s="5" t="s">
        <v>5794</v>
      </c>
      <c r="B438" s="5" t="s">
        <v>447</v>
      </c>
      <c r="C438" s="5" t="s">
        <v>7306</v>
      </c>
      <c r="D438" s="1">
        <v>45669</v>
      </c>
      <c r="E438" s="17">
        <v>0.74930555555555556</v>
      </c>
      <c r="F438" s="5" t="s">
        <v>7305</v>
      </c>
      <c r="G438" s="12">
        <v>159</v>
      </c>
      <c r="H438" s="12">
        <v>15.9</v>
      </c>
      <c r="I438" s="12">
        <v>143.1</v>
      </c>
      <c r="J438" s="12">
        <f>SUMIF(order_item!B:B,A438,order_item!E:E)</f>
        <v>159</v>
      </c>
      <c r="K438" s="28" t="str">
        <f>_xlfn.XLOOKUP(B438,customers!A:A,customers!D:D)</f>
        <v>Regular</v>
      </c>
    </row>
    <row r="439" spans="1:11" x14ac:dyDescent="0.25">
      <c r="A439" s="5" t="s">
        <v>5789</v>
      </c>
      <c r="B439" s="5" t="s">
        <v>813</v>
      </c>
      <c r="C439" s="5" t="s">
        <v>7309</v>
      </c>
      <c r="D439" s="1">
        <v>45674</v>
      </c>
      <c r="E439" s="17">
        <v>0.6791666666666667</v>
      </c>
      <c r="F439" s="5" t="s">
        <v>7307</v>
      </c>
      <c r="G439" s="12">
        <v>832</v>
      </c>
      <c r="H439" s="12">
        <v>0</v>
      </c>
      <c r="I439" s="12">
        <v>0</v>
      </c>
      <c r="J439" s="12">
        <f>SUMIF(order_item!B:B,A439,order_item!E:E)</f>
        <v>832</v>
      </c>
      <c r="K439" s="28" t="str">
        <f>_xlfn.XLOOKUP(B439,customers!A:A,customers!D:D)</f>
        <v>Premium</v>
      </c>
    </row>
    <row r="440" spans="1:11" x14ac:dyDescent="0.25">
      <c r="A440" s="5" t="s">
        <v>5785</v>
      </c>
      <c r="B440" s="5" t="s">
        <v>615</v>
      </c>
      <c r="C440" s="5" t="s">
        <v>7306</v>
      </c>
      <c r="D440" s="1">
        <v>45689</v>
      </c>
      <c r="E440" s="17">
        <v>0.61736111111111114</v>
      </c>
      <c r="F440" s="5" t="s">
        <v>7305</v>
      </c>
      <c r="G440" s="12">
        <v>623</v>
      </c>
      <c r="H440" s="12">
        <v>62.3</v>
      </c>
      <c r="I440" s="12">
        <v>560.70000000000005</v>
      </c>
      <c r="J440" s="12">
        <f>SUMIF(order_item!B:B,A440,order_item!E:E)</f>
        <v>623</v>
      </c>
      <c r="K440" s="28" t="str">
        <f>_xlfn.XLOOKUP(B440,customers!A:A,customers!D:D)</f>
        <v>New</v>
      </c>
    </row>
    <row r="441" spans="1:11" x14ac:dyDescent="0.25">
      <c r="A441" s="5" t="s">
        <v>5782</v>
      </c>
      <c r="B441" s="5" t="s">
        <v>424</v>
      </c>
      <c r="C441" s="5" t="s">
        <v>7309</v>
      </c>
      <c r="D441" s="1">
        <v>45685</v>
      </c>
      <c r="E441" s="17">
        <v>0.79791666666666661</v>
      </c>
      <c r="F441" s="5" t="s">
        <v>7307</v>
      </c>
      <c r="G441" s="12">
        <v>596</v>
      </c>
      <c r="H441" s="12">
        <v>0</v>
      </c>
      <c r="I441" s="12">
        <v>0</v>
      </c>
      <c r="J441" s="12">
        <f>SUMIF(order_item!B:B,A441,order_item!E:E)</f>
        <v>596</v>
      </c>
      <c r="K441" s="28" t="str">
        <f>_xlfn.XLOOKUP(B441,customers!A:A,customers!D:D)</f>
        <v>New</v>
      </c>
    </row>
    <row r="442" spans="1:11" x14ac:dyDescent="0.25">
      <c r="A442" s="5" t="s">
        <v>5778</v>
      </c>
      <c r="B442" s="5" t="s">
        <v>606</v>
      </c>
      <c r="C442" s="5" t="s">
        <v>7309</v>
      </c>
      <c r="D442" s="1">
        <v>45618</v>
      </c>
      <c r="E442" s="17">
        <v>0.78125</v>
      </c>
      <c r="F442" s="5" t="s">
        <v>7305</v>
      </c>
      <c r="G442" s="12">
        <v>535</v>
      </c>
      <c r="H442" s="12">
        <v>0</v>
      </c>
      <c r="I442" s="12">
        <v>535</v>
      </c>
      <c r="J442" s="12">
        <f>SUMIF(order_item!B:B,A442,order_item!E:E)</f>
        <v>535</v>
      </c>
      <c r="K442" s="28" t="str">
        <f>_xlfn.XLOOKUP(B442,customers!A:A,customers!D:D)</f>
        <v>Regular</v>
      </c>
    </row>
    <row r="443" spans="1:11" x14ac:dyDescent="0.25">
      <c r="A443" s="5" t="s">
        <v>5775</v>
      </c>
      <c r="B443" s="5" t="s">
        <v>194</v>
      </c>
      <c r="C443" s="5" t="s">
        <v>7309</v>
      </c>
      <c r="D443" s="1">
        <v>45543</v>
      </c>
      <c r="E443" s="17">
        <v>8.1944444444444445E-2</v>
      </c>
      <c r="F443" s="5" t="s">
        <v>7305</v>
      </c>
      <c r="G443" s="12">
        <v>188</v>
      </c>
      <c r="H443" s="12">
        <v>28.2</v>
      </c>
      <c r="I443" s="12">
        <v>159.80000000000001</v>
      </c>
      <c r="J443" s="12">
        <f>SUMIF(order_item!B:B,A443,order_item!E:E)</f>
        <v>188</v>
      </c>
      <c r="K443" s="28" t="str">
        <f>_xlfn.XLOOKUP(B443,customers!A:A,customers!D:D)</f>
        <v>Regular</v>
      </c>
    </row>
    <row r="444" spans="1:11" x14ac:dyDescent="0.25">
      <c r="A444" s="5" t="s">
        <v>5772</v>
      </c>
      <c r="B444" s="5" t="s">
        <v>184</v>
      </c>
      <c r="C444" s="5" t="s">
        <v>7306</v>
      </c>
      <c r="D444" s="1">
        <v>45501</v>
      </c>
      <c r="E444" s="17">
        <v>0.53055555555555556</v>
      </c>
      <c r="F444" s="5" t="s">
        <v>7305</v>
      </c>
      <c r="G444" s="12">
        <v>655</v>
      </c>
      <c r="H444" s="12">
        <v>0</v>
      </c>
      <c r="I444" s="12">
        <v>655</v>
      </c>
      <c r="J444" s="12">
        <f>SUMIF(order_item!B:B,A444,order_item!E:E)</f>
        <v>655</v>
      </c>
      <c r="K444" s="28" t="str">
        <f>_xlfn.XLOOKUP(B444,customers!A:A,customers!D:D)</f>
        <v>Regular</v>
      </c>
    </row>
    <row r="445" spans="1:11" x14ac:dyDescent="0.25">
      <c r="A445" s="5" t="s">
        <v>5769</v>
      </c>
      <c r="B445" s="5" t="s">
        <v>522</v>
      </c>
      <c r="C445" s="5" t="s">
        <v>7309</v>
      </c>
      <c r="D445" s="1">
        <v>45625</v>
      </c>
      <c r="E445" s="17">
        <v>0.8222222222222223</v>
      </c>
      <c r="F445" s="5" t="s">
        <v>7305</v>
      </c>
      <c r="G445" s="12">
        <v>467</v>
      </c>
      <c r="H445" s="12">
        <v>23.35</v>
      </c>
      <c r="I445" s="12">
        <v>443.65</v>
      </c>
      <c r="J445" s="12">
        <f>SUMIF(order_item!B:B,A445,order_item!E:E)</f>
        <v>467</v>
      </c>
      <c r="K445" s="28" t="str">
        <f>_xlfn.XLOOKUP(B445,customers!A:A,customers!D:D)</f>
        <v>New</v>
      </c>
    </row>
    <row r="446" spans="1:11" x14ac:dyDescent="0.25">
      <c r="A446" s="5" t="s">
        <v>5767</v>
      </c>
      <c r="B446" s="5" t="s">
        <v>70</v>
      </c>
      <c r="C446" s="5" t="s">
        <v>7308</v>
      </c>
      <c r="D446" s="1">
        <v>45632</v>
      </c>
      <c r="E446" s="17">
        <v>0.47500000000000003</v>
      </c>
      <c r="F446" s="5" t="s">
        <v>7305</v>
      </c>
      <c r="G446" s="12">
        <v>79</v>
      </c>
      <c r="H446" s="12">
        <v>11.85</v>
      </c>
      <c r="I446" s="12">
        <v>67.150000000000006</v>
      </c>
      <c r="J446" s="12">
        <f>SUMIF(order_item!B:B,A446,order_item!E:E)</f>
        <v>79</v>
      </c>
      <c r="K446" s="28" t="str">
        <f>_xlfn.XLOOKUP(B446,customers!A:A,customers!D:D)</f>
        <v>Regular</v>
      </c>
    </row>
    <row r="447" spans="1:11" x14ac:dyDescent="0.25">
      <c r="A447" s="5" t="s">
        <v>5764</v>
      </c>
      <c r="B447" s="5" t="s">
        <v>319</v>
      </c>
      <c r="C447" s="5" t="s">
        <v>7309</v>
      </c>
      <c r="D447" s="1">
        <v>45624</v>
      </c>
      <c r="E447" s="17">
        <v>0.73611111111111116</v>
      </c>
      <c r="F447" s="5" t="s">
        <v>7305</v>
      </c>
      <c r="G447" s="12">
        <v>894</v>
      </c>
      <c r="H447" s="12">
        <v>0</v>
      </c>
      <c r="I447" s="12">
        <v>894</v>
      </c>
      <c r="J447" s="12">
        <f>SUMIF(order_item!B:B,A447,order_item!E:E)</f>
        <v>894</v>
      </c>
      <c r="K447" s="28" t="str">
        <f>_xlfn.XLOOKUP(B447,customers!A:A,customers!D:D)</f>
        <v>Premium</v>
      </c>
    </row>
    <row r="448" spans="1:11" x14ac:dyDescent="0.25">
      <c r="A448" s="5" t="s">
        <v>5760</v>
      </c>
      <c r="B448" s="5" t="s">
        <v>263</v>
      </c>
      <c r="C448" s="5" t="s">
        <v>7309</v>
      </c>
      <c r="D448" s="1">
        <v>45636</v>
      </c>
      <c r="E448" s="17">
        <v>4.5138888888888888E-2</v>
      </c>
      <c r="F448" s="5" t="s">
        <v>7305</v>
      </c>
      <c r="G448" s="12">
        <v>633</v>
      </c>
      <c r="H448" s="12">
        <v>0</v>
      </c>
      <c r="I448" s="12">
        <v>633</v>
      </c>
      <c r="J448" s="12">
        <f>SUMIF(order_item!B:B,A448,order_item!E:E)</f>
        <v>633</v>
      </c>
      <c r="K448" s="28" t="str">
        <f>_xlfn.XLOOKUP(B448,customers!A:A,customers!D:D)</f>
        <v>Regular</v>
      </c>
    </row>
    <row r="449" spans="1:11" x14ac:dyDescent="0.25">
      <c r="A449" s="5" t="s">
        <v>5757</v>
      </c>
      <c r="B449" s="5" t="s">
        <v>344</v>
      </c>
      <c r="C449" s="5" t="s">
        <v>7306</v>
      </c>
      <c r="D449" s="1">
        <v>45605</v>
      </c>
      <c r="E449" s="17">
        <v>0.92847222222222225</v>
      </c>
      <c r="F449" s="5" t="s">
        <v>7305</v>
      </c>
      <c r="G449" s="12">
        <v>397</v>
      </c>
      <c r="H449" s="12">
        <v>59.55</v>
      </c>
      <c r="I449" s="12">
        <v>337.45</v>
      </c>
      <c r="J449" s="12">
        <f>SUMIF(order_item!B:B,A449,order_item!E:E)</f>
        <v>397</v>
      </c>
      <c r="K449" s="28" t="str">
        <f>_xlfn.XLOOKUP(B449,customers!A:A,customers!D:D)</f>
        <v>Regular</v>
      </c>
    </row>
    <row r="450" spans="1:11" x14ac:dyDescent="0.25">
      <c r="A450" s="5" t="s">
        <v>5755</v>
      </c>
      <c r="B450" s="5" t="s">
        <v>462</v>
      </c>
      <c r="C450" s="5" t="s">
        <v>7306</v>
      </c>
      <c r="D450" s="1">
        <v>45456</v>
      </c>
      <c r="E450" s="17">
        <v>0.3923611111111111</v>
      </c>
      <c r="F450" s="5" t="s">
        <v>7305</v>
      </c>
      <c r="G450" s="12">
        <v>278</v>
      </c>
      <c r="H450" s="12">
        <v>0</v>
      </c>
      <c r="I450" s="12">
        <v>278</v>
      </c>
      <c r="J450" s="12">
        <f>SUMIF(order_item!B:B,A450,order_item!E:E)</f>
        <v>278</v>
      </c>
      <c r="K450" s="28" t="str">
        <f>_xlfn.XLOOKUP(B450,customers!A:A,customers!D:D)</f>
        <v>Regular</v>
      </c>
    </row>
    <row r="451" spans="1:11" x14ac:dyDescent="0.25">
      <c r="A451" s="5" t="s">
        <v>5751</v>
      </c>
      <c r="B451" s="5" t="s">
        <v>140</v>
      </c>
      <c r="C451" s="5" t="s">
        <v>7309</v>
      </c>
      <c r="D451" s="1">
        <v>45625</v>
      </c>
      <c r="E451" s="17">
        <v>0.52916666666666667</v>
      </c>
      <c r="F451" s="5" t="s">
        <v>7305</v>
      </c>
      <c r="G451" s="12">
        <v>376</v>
      </c>
      <c r="H451" s="12">
        <v>0</v>
      </c>
      <c r="I451" s="12">
        <v>376</v>
      </c>
      <c r="J451" s="12">
        <f>SUMIF(order_item!B:B,A451,order_item!E:E)</f>
        <v>376</v>
      </c>
      <c r="K451" s="28" t="str">
        <f>_xlfn.XLOOKUP(B451,customers!A:A,customers!D:D)</f>
        <v>Regular</v>
      </c>
    </row>
    <row r="452" spans="1:11" x14ac:dyDescent="0.25">
      <c r="A452" s="5" t="s">
        <v>5746</v>
      </c>
      <c r="B452" s="5" t="s">
        <v>615</v>
      </c>
      <c r="C452" s="5" t="s">
        <v>7308</v>
      </c>
      <c r="D452" s="1">
        <v>45396</v>
      </c>
      <c r="E452" s="17">
        <v>0.97152777777777777</v>
      </c>
      <c r="F452" s="5" t="s">
        <v>7305</v>
      </c>
      <c r="G452" s="12">
        <v>822</v>
      </c>
      <c r="H452" s="12">
        <v>82.2</v>
      </c>
      <c r="I452" s="12">
        <v>739.8</v>
      </c>
      <c r="J452" s="12">
        <f>SUMIF(order_item!B:B,A452,order_item!E:E)</f>
        <v>822</v>
      </c>
      <c r="K452" s="28" t="str">
        <f>_xlfn.XLOOKUP(B452,customers!A:A,customers!D:D)</f>
        <v>New</v>
      </c>
    </row>
    <row r="453" spans="1:11" x14ac:dyDescent="0.25">
      <c r="A453" s="5" t="s">
        <v>5743</v>
      </c>
      <c r="B453" s="5" t="s">
        <v>479</v>
      </c>
      <c r="C453" s="5" t="s">
        <v>7306</v>
      </c>
      <c r="D453" s="1">
        <v>45637</v>
      </c>
      <c r="E453" s="17">
        <v>0.77638888888888891</v>
      </c>
      <c r="F453" s="5" t="s">
        <v>7305</v>
      </c>
      <c r="G453" s="12">
        <v>623</v>
      </c>
      <c r="H453" s="12">
        <v>31.15</v>
      </c>
      <c r="I453" s="12">
        <v>591.85</v>
      </c>
      <c r="J453" s="12">
        <f>SUMIF(order_item!B:B,A453,order_item!E:E)</f>
        <v>623</v>
      </c>
      <c r="K453" s="28" t="str">
        <f>_xlfn.XLOOKUP(B453,customers!A:A,customers!D:D)</f>
        <v>Regular</v>
      </c>
    </row>
    <row r="454" spans="1:11" x14ac:dyDescent="0.25">
      <c r="A454" s="5" t="s">
        <v>5740</v>
      </c>
      <c r="B454" s="5" t="s">
        <v>571</v>
      </c>
      <c r="C454" s="5" t="s">
        <v>7309</v>
      </c>
      <c r="D454" s="1">
        <v>45607</v>
      </c>
      <c r="E454" s="17">
        <v>0.90208333333333324</v>
      </c>
      <c r="F454" s="5" t="s">
        <v>7305</v>
      </c>
      <c r="G454" s="12">
        <v>168</v>
      </c>
      <c r="H454" s="12">
        <v>0</v>
      </c>
      <c r="I454" s="12">
        <v>168</v>
      </c>
      <c r="J454" s="12">
        <f>SUMIF(order_item!B:B,A454,order_item!E:E)</f>
        <v>168</v>
      </c>
      <c r="K454" s="28" t="str">
        <f>_xlfn.XLOOKUP(B454,customers!A:A,customers!D:D)</f>
        <v>New</v>
      </c>
    </row>
    <row r="455" spans="1:11" x14ac:dyDescent="0.25">
      <c r="A455" s="5" t="s">
        <v>5736</v>
      </c>
      <c r="B455" s="5" t="s">
        <v>306</v>
      </c>
      <c r="C455" s="5" t="s">
        <v>7309</v>
      </c>
      <c r="D455" s="1">
        <v>45637</v>
      </c>
      <c r="E455" s="17">
        <v>0.69444444444444453</v>
      </c>
      <c r="F455" s="5" t="s">
        <v>7305</v>
      </c>
      <c r="G455" s="12">
        <v>1023</v>
      </c>
      <c r="H455" s="12">
        <v>0</v>
      </c>
      <c r="I455" s="12">
        <v>1023</v>
      </c>
      <c r="J455" s="12">
        <f>SUMIF(order_item!B:B,A455,order_item!E:E)</f>
        <v>1023</v>
      </c>
      <c r="K455" s="28" t="str">
        <f>_xlfn.XLOOKUP(B455,customers!A:A,customers!D:D)</f>
        <v>Regular</v>
      </c>
    </row>
    <row r="456" spans="1:11" x14ac:dyDescent="0.25">
      <c r="A456" s="5" t="s">
        <v>5733</v>
      </c>
      <c r="B456" s="5" t="s">
        <v>483</v>
      </c>
      <c r="C456" s="5" t="s">
        <v>7309</v>
      </c>
      <c r="D456" s="1">
        <v>45734</v>
      </c>
      <c r="E456" s="17">
        <v>0.75486111111111109</v>
      </c>
      <c r="F456" s="5" t="s">
        <v>7305</v>
      </c>
      <c r="G456" s="12">
        <v>436</v>
      </c>
      <c r="H456" s="12">
        <v>0</v>
      </c>
      <c r="I456" s="12">
        <v>436</v>
      </c>
      <c r="J456" s="12">
        <f>SUMIF(order_item!B:B,A456,order_item!E:E)</f>
        <v>436</v>
      </c>
      <c r="K456" s="28" t="str">
        <f>_xlfn.XLOOKUP(B456,customers!A:A,customers!D:D)</f>
        <v>Regular</v>
      </c>
    </row>
    <row r="457" spans="1:11" x14ac:dyDescent="0.25">
      <c r="A457" s="5" t="s">
        <v>5729</v>
      </c>
      <c r="B457" s="5" t="s">
        <v>800</v>
      </c>
      <c r="C457" s="5" t="s">
        <v>7306</v>
      </c>
      <c r="D457" s="1">
        <v>45497</v>
      </c>
      <c r="E457" s="17">
        <v>0.72499999999999998</v>
      </c>
      <c r="F457" s="5" t="s">
        <v>7305</v>
      </c>
      <c r="G457" s="12">
        <v>536</v>
      </c>
      <c r="H457" s="12">
        <v>0</v>
      </c>
      <c r="I457" s="12">
        <v>536</v>
      </c>
      <c r="J457" s="12">
        <f>SUMIF(order_item!B:B,A457,order_item!E:E)</f>
        <v>536</v>
      </c>
      <c r="K457" s="28" t="str">
        <f>_xlfn.XLOOKUP(B457,customers!A:A,customers!D:D)</f>
        <v>Regular</v>
      </c>
    </row>
    <row r="458" spans="1:11" x14ac:dyDescent="0.25">
      <c r="A458" s="5" t="s">
        <v>5726</v>
      </c>
      <c r="B458" s="5" t="s">
        <v>650</v>
      </c>
      <c r="C458" s="5" t="s">
        <v>7308</v>
      </c>
      <c r="D458" s="1">
        <v>45495</v>
      </c>
      <c r="E458" s="17">
        <v>0.67361111111111116</v>
      </c>
      <c r="F458" s="5" t="s">
        <v>7305</v>
      </c>
      <c r="G458" s="12">
        <v>476</v>
      </c>
      <c r="H458" s="12">
        <v>0</v>
      </c>
      <c r="I458" s="12">
        <v>476</v>
      </c>
      <c r="J458" s="12">
        <f>SUMIF(order_item!B:B,A458,order_item!E:E)</f>
        <v>476</v>
      </c>
      <c r="K458" s="28" t="str">
        <f>_xlfn.XLOOKUP(B458,customers!A:A,customers!D:D)</f>
        <v>Regular</v>
      </c>
    </row>
    <row r="459" spans="1:11" x14ac:dyDescent="0.25">
      <c r="A459" s="5" t="s">
        <v>5723</v>
      </c>
      <c r="B459" s="5" t="s">
        <v>499</v>
      </c>
      <c r="C459" s="5" t="s">
        <v>7306</v>
      </c>
      <c r="D459" s="1">
        <v>45573</v>
      </c>
      <c r="E459" s="17">
        <v>0.69652777777777775</v>
      </c>
      <c r="F459" s="5" t="s">
        <v>7305</v>
      </c>
      <c r="G459" s="12">
        <v>993</v>
      </c>
      <c r="H459" s="12">
        <v>0</v>
      </c>
      <c r="I459" s="12">
        <v>993</v>
      </c>
      <c r="J459" s="12">
        <f>SUMIF(order_item!B:B,A459,order_item!E:E)</f>
        <v>993</v>
      </c>
      <c r="K459" s="28" t="str">
        <f>_xlfn.XLOOKUP(B459,customers!A:A,customers!D:D)</f>
        <v>New</v>
      </c>
    </row>
    <row r="460" spans="1:11" x14ac:dyDescent="0.25">
      <c r="A460" s="5" t="s">
        <v>5720</v>
      </c>
      <c r="B460" s="5" t="s">
        <v>746</v>
      </c>
      <c r="C460" s="5" t="s">
        <v>7309</v>
      </c>
      <c r="D460" s="1">
        <v>45485</v>
      </c>
      <c r="E460" s="17">
        <v>0.89513888888888893</v>
      </c>
      <c r="F460" s="5" t="s">
        <v>7305</v>
      </c>
      <c r="G460" s="12">
        <v>672</v>
      </c>
      <c r="H460" s="12">
        <v>0</v>
      </c>
      <c r="I460" s="12">
        <v>672</v>
      </c>
      <c r="J460" s="12">
        <f>SUMIF(order_item!B:B,A460,order_item!E:E)</f>
        <v>672</v>
      </c>
      <c r="K460" s="28" t="str">
        <f>_xlfn.XLOOKUP(B460,customers!A:A,customers!D:D)</f>
        <v>New</v>
      </c>
    </row>
    <row r="461" spans="1:11" x14ac:dyDescent="0.25">
      <c r="A461" s="5" t="s">
        <v>5718</v>
      </c>
      <c r="B461" s="5" t="s">
        <v>271</v>
      </c>
      <c r="C461" s="5" t="s">
        <v>7309</v>
      </c>
      <c r="D461" s="1">
        <v>45510</v>
      </c>
      <c r="E461" s="17">
        <v>0.55972222222222223</v>
      </c>
      <c r="F461" s="5" t="s">
        <v>7305</v>
      </c>
      <c r="G461" s="12">
        <v>79</v>
      </c>
      <c r="H461" s="12">
        <v>3.95</v>
      </c>
      <c r="I461" s="12">
        <v>75.05</v>
      </c>
      <c r="J461" s="12">
        <f>SUMIF(order_item!B:B,A461,order_item!E:E)</f>
        <v>79</v>
      </c>
      <c r="K461" s="28" t="str">
        <f>_xlfn.XLOOKUP(B461,customers!A:A,customers!D:D)</f>
        <v>Regular</v>
      </c>
    </row>
    <row r="462" spans="1:11" x14ac:dyDescent="0.25">
      <c r="A462" s="5" t="s">
        <v>5714</v>
      </c>
      <c r="B462" s="5" t="s">
        <v>167</v>
      </c>
      <c r="C462" s="5" t="s">
        <v>7309</v>
      </c>
      <c r="D462" s="1">
        <v>45416</v>
      </c>
      <c r="E462" s="17">
        <v>0.82708333333333339</v>
      </c>
      <c r="F462" s="5" t="s">
        <v>7305</v>
      </c>
      <c r="G462" s="12">
        <v>496</v>
      </c>
      <c r="H462" s="12">
        <v>0</v>
      </c>
      <c r="I462" s="12">
        <v>496</v>
      </c>
      <c r="J462" s="12">
        <f>SUMIF(order_item!B:B,A462,order_item!E:E)</f>
        <v>496</v>
      </c>
      <c r="K462" s="28" t="str">
        <f>_xlfn.XLOOKUP(B462,customers!A:A,customers!D:D)</f>
        <v>Regular</v>
      </c>
    </row>
    <row r="463" spans="1:11" x14ac:dyDescent="0.25">
      <c r="A463" s="5" t="s">
        <v>5710</v>
      </c>
      <c r="B463" s="5" t="s">
        <v>482</v>
      </c>
      <c r="C463" s="5" t="s">
        <v>7306</v>
      </c>
      <c r="D463" s="1">
        <v>45683</v>
      </c>
      <c r="E463" s="17">
        <v>0.8222222222222223</v>
      </c>
      <c r="F463" s="5" t="s">
        <v>7305</v>
      </c>
      <c r="G463" s="12">
        <v>1109</v>
      </c>
      <c r="H463" s="12">
        <v>0</v>
      </c>
      <c r="I463" s="12">
        <v>1109</v>
      </c>
      <c r="J463" s="12">
        <f>SUMIF(order_item!B:B,A463,order_item!E:E)</f>
        <v>1109</v>
      </c>
      <c r="K463" s="28" t="str">
        <f>_xlfn.XLOOKUP(B463,customers!A:A,customers!D:D)</f>
        <v>Regular</v>
      </c>
    </row>
    <row r="464" spans="1:11" x14ac:dyDescent="0.25">
      <c r="A464" s="5" t="s">
        <v>5706</v>
      </c>
      <c r="B464" s="5" t="s">
        <v>571</v>
      </c>
      <c r="C464" s="5" t="s">
        <v>7309</v>
      </c>
      <c r="D464" s="1">
        <v>45534</v>
      </c>
      <c r="E464" s="17">
        <v>0.75208333333333333</v>
      </c>
      <c r="F464" s="5" t="s">
        <v>7305</v>
      </c>
      <c r="G464" s="12">
        <v>684</v>
      </c>
      <c r="H464" s="12">
        <v>0</v>
      </c>
      <c r="I464" s="12">
        <v>684</v>
      </c>
      <c r="J464" s="12">
        <f>SUMIF(order_item!B:B,A464,order_item!E:E)</f>
        <v>684</v>
      </c>
      <c r="K464" s="28" t="str">
        <f>_xlfn.XLOOKUP(B464,customers!A:A,customers!D:D)</f>
        <v>New</v>
      </c>
    </row>
    <row r="465" spans="1:11" x14ac:dyDescent="0.25">
      <c r="A465" s="5" t="s">
        <v>5701</v>
      </c>
      <c r="B465" s="5" t="s">
        <v>108</v>
      </c>
      <c r="C465" s="5" t="s">
        <v>7309</v>
      </c>
      <c r="D465" s="1">
        <v>45384</v>
      </c>
      <c r="E465" s="17">
        <v>0.80069444444444438</v>
      </c>
      <c r="F465" s="5" t="s">
        <v>7305</v>
      </c>
      <c r="G465" s="12">
        <v>475</v>
      </c>
      <c r="H465" s="12">
        <v>0</v>
      </c>
      <c r="I465" s="12">
        <v>475</v>
      </c>
      <c r="J465" s="12">
        <f>SUMIF(order_item!B:B,A465,order_item!E:E)</f>
        <v>475</v>
      </c>
      <c r="K465" s="28" t="str">
        <f>_xlfn.XLOOKUP(B465,customers!A:A,customers!D:D)</f>
        <v>Premium</v>
      </c>
    </row>
    <row r="466" spans="1:11" x14ac:dyDescent="0.25">
      <c r="A466" s="5" t="s">
        <v>5698</v>
      </c>
      <c r="B466" s="5" t="s">
        <v>736</v>
      </c>
      <c r="C466" s="5" t="s">
        <v>7309</v>
      </c>
      <c r="D466" s="1">
        <v>45548</v>
      </c>
      <c r="E466" s="17">
        <v>0.81319444444444444</v>
      </c>
      <c r="F466" s="5" t="s">
        <v>7305</v>
      </c>
      <c r="G466" s="12">
        <v>316</v>
      </c>
      <c r="H466" s="12">
        <v>0</v>
      </c>
      <c r="I466" s="12">
        <v>316</v>
      </c>
      <c r="J466" s="12">
        <f>SUMIF(order_item!B:B,A466,order_item!E:E)</f>
        <v>316</v>
      </c>
      <c r="K466" s="28" t="str">
        <f>_xlfn.XLOOKUP(B466,customers!A:A,customers!D:D)</f>
        <v>New</v>
      </c>
    </row>
    <row r="467" spans="1:11" x14ac:dyDescent="0.25">
      <c r="A467" s="5" t="s">
        <v>5695</v>
      </c>
      <c r="B467" s="5" t="s">
        <v>232</v>
      </c>
      <c r="C467" s="5" t="s">
        <v>7309</v>
      </c>
      <c r="D467" s="1">
        <v>45536</v>
      </c>
      <c r="E467" s="17">
        <v>0.7319444444444444</v>
      </c>
      <c r="F467" s="5" t="s">
        <v>7305</v>
      </c>
      <c r="G467" s="12">
        <v>436</v>
      </c>
      <c r="H467" s="12">
        <v>0</v>
      </c>
      <c r="I467" s="12">
        <v>436</v>
      </c>
      <c r="J467" s="12">
        <f>SUMIF(order_item!B:B,A467,order_item!E:E)</f>
        <v>436</v>
      </c>
      <c r="K467" s="28" t="str">
        <f>_xlfn.XLOOKUP(B467,customers!A:A,customers!D:D)</f>
        <v>Regular</v>
      </c>
    </row>
    <row r="468" spans="1:11" x14ac:dyDescent="0.25">
      <c r="A468" s="5" t="s">
        <v>5691</v>
      </c>
      <c r="B468" s="5" t="s">
        <v>297</v>
      </c>
      <c r="C468" s="5" t="s">
        <v>7309</v>
      </c>
      <c r="D468" s="1">
        <v>45458</v>
      </c>
      <c r="E468" s="17">
        <v>0.80972222222222223</v>
      </c>
      <c r="F468" s="5" t="s">
        <v>7305</v>
      </c>
      <c r="G468" s="12">
        <v>335</v>
      </c>
      <c r="H468" s="12">
        <v>0</v>
      </c>
      <c r="I468" s="12">
        <v>335</v>
      </c>
      <c r="J468" s="12">
        <f>SUMIF(order_item!B:B,A468,order_item!E:E)</f>
        <v>335</v>
      </c>
      <c r="K468" s="28" t="str">
        <f>_xlfn.XLOOKUP(B468,customers!A:A,customers!D:D)</f>
        <v>Regular</v>
      </c>
    </row>
    <row r="469" spans="1:11" x14ac:dyDescent="0.25">
      <c r="A469" s="5" t="s">
        <v>5689</v>
      </c>
      <c r="B469" s="5" t="s">
        <v>315</v>
      </c>
      <c r="C469" s="5" t="s">
        <v>7308</v>
      </c>
      <c r="D469" s="1">
        <v>45431</v>
      </c>
      <c r="E469" s="17">
        <v>0.64722222222222225</v>
      </c>
      <c r="F469" s="5" t="s">
        <v>7305</v>
      </c>
      <c r="G469" s="12">
        <v>79</v>
      </c>
      <c r="H469" s="12">
        <v>3.95</v>
      </c>
      <c r="I469" s="12">
        <v>75.05</v>
      </c>
      <c r="J469" s="12">
        <f>SUMIF(order_item!B:B,A469,order_item!E:E)</f>
        <v>79</v>
      </c>
      <c r="K469" s="28" t="str">
        <f>_xlfn.XLOOKUP(B469,customers!A:A,customers!D:D)</f>
        <v>Regular</v>
      </c>
    </row>
    <row r="470" spans="1:11" x14ac:dyDescent="0.25">
      <c r="A470" s="5" t="s">
        <v>5684</v>
      </c>
      <c r="B470" s="5" t="s">
        <v>836</v>
      </c>
      <c r="C470" s="5" t="s">
        <v>7306</v>
      </c>
      <c r="D470" s="1">
        <v>45525</v>
      </c>
      <c r="E470" s="17">
        <v>0.88541666666666663</v>
      </c>
      <c r="F470" s="5" t="s">
        <v>7305</v>
      </c>
      <c r="G470" s="12">
        <v>853</v>
      </c>
      <c r="H470" s="12">
        <v>42.65</v>
      </c>
      <c r="I470" s="12">
        <v>810.35</v>
      </c>
      <c r="J470" s="12">
        <f>SUMIF(order_item!B:B,A470,order_item!E:E)</f>
        <v>853</v>
      </c>
      <c r="K470" s="28" t="str">
        <f>_xlfn.XLOOKUP(B470,customers!A:A,customers!D:D)</f>
        <v>Regular</v>
      </c>
    </row>
    <row r="471" spans="1:11" x14ac:dyDescent="0.25">
      <c r="A471" s="5" t="s">
        <v>5681</v>
      </c>
      <c r="B471" s="5" t="s">
        <v>700</v>
      </c>
      <c r="C471" s="5" t="s">
        <v>7306</v>
      </c>
      <c r="D471" s="1">
        <v>45500</v>
      </c>
      <c r="E471" s="17">
        <v>0.78055555555555556</v>
      </c>
      <c r="F471" s="5" t="s">
        <v>7305</v>
      </c>
      <c r="G471" s="12">
        <v>535</v>
      </c>
      <c r="H471" s="12">
        <v>0</v>
      </c>
      <c r="I471" s="12">
        <v>535</v>
      </c>
      <c r="J471" s="12">
        <f>SUMIF(order_item!B:B,A471,order_item!E:E)</f>
        <v>535</v>
      </c>
      <c r="K471" s="28" t="str">
        <f>_xlfn.XLOOKUP(B471,customers!A:A,customers!D:D)</f>
        <v>Regular</v>
      </c>
    </row>
    <row r="472" spans="1:11" x14ac:dyDescent="0.25">
      <c r="A472" s="5" t="s">
        <v>5676</v>
      </c>
      <c r="B472" s="5" t="s">
        <v>789</v>
      </c>
      <c r="C472" s="5" t="s">
        <v>7309</v>
      </c>
      <c r="D472" s="1">
        <v>45692</v>
      </c>
      <c r="E472" s="17">
        <v>0.71805555555555556</v>
      </c>
      <c r="F472" s="5" t="s">
        <v>7305</v>
      </c>
      <c r="G472" s="12">
        <v>465</v>
      </c>
      <c r="H472" s="12">
        <v>0</v>
      </c>
      <c r="I472" s="12">
        <v>465</v>
      </c>
      <c r="J472" s="12">
        <f>SUMIF(order_item!B:B,A472,order_item!E:E)</f>
        <v>465</v>
      </c>
      <c r="K472" s="28" t="str">
        <f>_xlfn.XLOOKUP(B472,customers!A:A,customers!D:D)</f>
        <v>New</v>
      </c>
    </row>
    <row r="473" spans="1:11" x14ac:dyDescent="0.25">
      <c r="A473" s="5" t="s">
        <v>5673</v>
      </c>
      <c r="B473" s="5" t="s">
        <v>386</v>
      </c>
      <c r="C473" s="5" t="s">
        <v>7309</v>
      </c>
      <c r="D473" s="1">
        <v>45522</v>
      </c>
      <c r="E473" s="17">
        <v>0.8520833333333333</v>
      </c>
      <c r="F473" s="5" t="s">
        <v>7305</v>
      </c>
      <c r="G473" s="12">
        <v>475</v>
      </c>
      <c r="H473" s="12">
        <v>23.75</v>
      </c>
      <c r="I473" s="12">
        <v>451.25</v>
      </c>
      <c r="J473" s="12">
        <f>SUMIF(order_item!B:B,A473,order_item!E:E)</f>
        <v>475</v>
      </c>
      <c r="K473" s="28" t="str">
        <f>_xlfn.XLOOKUP(B473,customers!A:A,customers!D:D)</f>
        <v>Regular</v>
      </c>
    </row>
    <row r="474" spans="1:11" x14ac:dyDescent="0.25">
      <c r="A474" s="5" t="s">
        <v>5671</v>
      </c>
      <c r="B474" s="5" t="s">
        <v>727</v>
      </c>
      <c r="C474" s="5" t="s">
        <v>7309</v>
      </c>
      <c r="D474" s="1">
        <v>45399</v>
      </c>
      <c r="E474" s="17">
        <v>0.88888888888888884</v>
      </c>
      <c r="F474" s="5" t="s">
        <v>7307</v>
      </c>
      <c r="G474" s="12">
        <v>356</v>
      </c>
      <c r="H474" s="12">
        <v>35.6</v>
      </c>
      <c r="I474" s="12">
        <v>0</v>
      </c>
      <c r="J474" s="12">
        <f>SUMIF(order_item!B:B,A474,order_item!E:E)</f>
        <v>356</v>
      </c>
      <c r="K474" s="28" t="str">
        <f>_xlfn.XLOOKUP(B474,customers!A:A,customers!D:D)</f>
        <v>Regular</v>
      </c>
    </row>
    <row r="475" spans="1:11" x14ac:dyDescent="0.25">
      <c r="A475" s="5" t="s">
        <v>5668</v>
      </c>
      <c r="B475" s="5" t="s">
        <v>354</v>
      </c>
      <c r="C475" s="5" t="s">
        <v>7306</v>
      </c>
      <c r="D475" s="1">
        <v>45521</v>
      </c>
      <c r="E475" s="17">
        <v>0.875</v>
      </c>
      <c r="F475" s="5" t="s">
        <v>7305</v>
      </c>
      <c r="G475" s="12">
        <v>496</v>
      </c>
      <c r="H475" s="12">
        <v>24.8</v>
      </c>
      <c r="I475" s="12">
        <v>471.2</v>
      </c>
      <c r="J475" s="12">
        <f>SUMIF(order_item!B:B,A475,order_item!E:E)</f>
        <v>496</v>
      </c>
      <c r="K475" s="28" t="str">
        <f>_xlfn.XLOOKUP(B475,customers!A:A,customers!D:D)</f>
        <v>New</v>
      </c>
    </row>
    <row r="476" spans="1:11" x14ac:dyDescent="0.25">
      <c r="A476" s="5" t="s">
        <v>5664</v>
      </c>
      <c r="B476" s="5" t="s">
        <v>153</v>
      </c>
      <c r="C476" s="5" t="s">
        <v>7309</v>
      </c>
      <c r="D476" s="1">
        <v>45624</v>
      </c>
      <c r="E476" s="17">
        <v>0.79513888888888884</v>
      </c>
      <c r="F476" s="5" t="s">
        <v>7305</v>
      </c>
      <c r="G476" s="12">
        <v>853</v>
      </c>
      <c r="H476" s="12">
        <v>0</v>
      </c>
      <c r="I476" s="12">
        <v>853</v>
      </c>
      <c r="J476" s="12">
        <f>SUMIF(order_item!B:B,A476,order_item!E:E)</f>
        <v>853</v>
      </c>
      <c r="K476" s="28" t="str">
        <f>_xlfn.XLOOKUP(B476,customers!A:A,customers!D:D)</f>
        <v>Regular</v>
      </c>
    </row>
    <row r="477" spans="1:11" x14ac:dyDescent="0.25">
      <c r="A477" s="5" t="s">
        <v>5661</v>
      </c>
      <c r="B477" s="5" t="s">
        <v>319</v>
      </c>
      <c r="C477" s="5" t="s">
        <v>7309</v>
      </c>
      <c r="D477" s="1">
        <v>45524</v>
      </c>
      <c r="E477" s="17">
        <v>0.52361111111111114</v>
      </c>
      <c r="F477" s="5" t="s">
        <v>7305</v>
      </c>
      <c r="G477" s="12">
        <v>714</v>
      </c>
      <c r="H477" s="12">
        <v>0</v>
      </c>
      <c r="I477" s="12">
        <v>714</v>
      </c>
      <c r="J477" s="12">
        <f>SUMIF(order_item!B:B,A477,order_item!E:E)</f>
        <v>714</v>
      </c>
      <c r="K477" s="28" t="str">
        <f>_xlfn.XLOOKUP(B477,customers!A:A,customers!D:D)</f>
        <v>Premium</v>
      </c>
    </row>
    <row r="478" spans="1:11" x14ac:dyDescent="0.25">
      <c r="A478" s="5" t="s">
        <v>5658</v>
      </c>
      <c r="B478" s="5" t="s">
        <v>790</v>
      </c>
      <c r="C478" s="5" t="s">
        <v>7308</v>
      </c>
      <c r="D478" s="1">
        <v>45527</v>
      </c>
      <c r="E478" s="17">
        <v>0.90625</v>
      </c>
      <c r="F478" s="5" t="s">
        <v>7305</v>
      </c>
      <c r="G478" s="12">
        <v>307</v>
      </c>
      <c r="H478" s="12">
        <v>0</v>
      </c>
      <c r="I478" s="12">
        <v>307</v>
      </c>
      <c r="J478" s="12">
        <f>SUMIF(order_item!B:B,A478,order_item!E:E)</f>
        <v>307</v>
      </c>
      <c r="K478" s="28" t="str">
        <f>_xlfn.XLOOKUP(B478,customers!A:A,customers!D:D)</f>
        <v>New</v>
      </c>
    </row>
    <row r="479" spans="1:11" x14ac:dyDescent="0.25">
      <c r="A479" s="5" t="s">
        <v>5655</v>
      </c>
      <c r="B479" s="5" t="s">
        <v>250</v>
      </c>
      <c r="C479" s="5" t="s">
        <v>7308</v>
      </c>
      <c r="D479" s="1">
        <v>45432</v>
      </c>
      <c r="E479" s="17">
        <v>0.8354166666666667</v>
      </c>
      <c r="F479" s="5" t="s">
        <v>7305</v>
      </c>
      <c r="G479" s="12">
        <v>248</v>
      </c>
      <c r="H479" s="12">
        <v>0</v>
      </c>
      <c r="I479" s="12">
        <v>248</v>
      </c>
      <c r="J479" s="12">
        <f>SUMIF(order_item!B:B,A479,order_item!E:E)</f>
        <v>248</v>
      </c>
      <c r="K479" s="28" t="str">
        <f>_xlfn.XLOOKUP(B479,customers!A:A,customers!D:D)</f>
        <v>Regular</v>
      </c>
    </row>
    <row r="480" spans="1:11" x14ac:dyDescent="0.25">
      <c r="A480" s="5" t="s">
        <v>5652</v>
      </c>
      <c r="B480" s="5" t="s">
        <v>731</v>
      </c>
      <c r="C480" s="5" t="s">
        <v>7309</v>
      </c>
      <c r="D480" s="1">
        <v>45598</v>
      </c>
      <c r="E480" s="17">
        <v>0.84513888888888899</v>
      </c>
      <c r="F480" s="5" t="s">
        <v>7305</v>
      </c>
      <c r="G480" s="12">
        <v>535</v>
      </c>
      <c r="H480" s="12">
        <v>0</v>
      </c>
      <c r="I480" s="12">
        <v>535</v>
      </c>
      <c r="J480" s="12">
        <f>SUMIF(order_item!B:B,A480,order_item!E:E)</f>
        <v>535</v>
      </c>
      <c r="K480" s="28" t="str">
        <f>_xlfn.XLOOKUP(B480,customers!A:A,customers!D:D)</f>
        <v>Regular</v>
      </c>
    </row>
    <row r="481" spans="1:11" x14ac:dyDescent="0.25">
      <c r="A481" s="5" t="s">
        <v>5649</v>
      </c>
      <c r="B481" s="5" t="s">
        <v>332</v>
      </c>
      <c r="C481" s="5" t="s">
        <v>7309</v>
      </c>
      <c r="D481" s="1">
        <v>45587</v>
      </c>
      <c r="E481" s="17">
        <v>0.72083333333333333</v>
      </c>
      <c r="F481" s="5" t="s">
        <v>7305</v>
      </c>
      <c r="G481" s="12">
        <v>554</v>
      </c>
      <c r="H481" s="12">
        <v>0</v>
      </c>
      <c r="I481" s="12">
        <v>554</v>
      </c>
      <c r="J481" s="12">
        <f>SUMIF(order_item!B:B,A481,order_item!E:E)</f>
        <v>554</v>
      </c>
      <c r="K481" s="28" t="str">
        <f>_xlfn.XLOOKUP(B481,customers!A:A,customers!D:D)</f>
        <v>New</v>
      </c>
    </row>
    <row r="482" spans="1:11" x14ac:dyDescent="0.25">
      <c r="A482" s="5" t="s">
        <v>5647</v>
      </c>
      <c r="B482" s="5" t="s">
        <v>698</v>
      </c>
      <c r="C482" s="5" t="s">
        <v>7308</v>
      </c>
      <c r="D482" s="1">
        <v>45434</v>
      </c>
      <c r="E482" s="17">
        <v>0.40347222222222223</v>
      </c>
      <c r="F482" s="5" t="s">
        <v>7305</v>
      </c>
      <c r="G482" s="12">
        <v>318</v>
      </c>
      <c r="H482" s="12">
        <v>0</v>
      </c>
      <c r="I482" s="12">
        <v>318</v>
      </c>
      <c r="J482" s="12">
        <f>SUMIF(order_item!B:B,A482,order_item!E:E)</f>
        <v>318</v>
      </c>
      <c r="K482" s="28" t="str">
        <f>_xlfn.XLOOKUP(B482,customers!A:A,customers!D:D)</f>
        <v>Regular</v>
      </c>
    </row>
    <row r="483" spans="1:11" x14ac:dyDescent="0.25">
      <c r="A483" s="5" t="s">
        <v>5642</v>
      </c>
      <c r="B483" s="5" t="s">
        <v>319</v>
      </c>
      <c r="C483" s="5" t="s">
        <v>7309</v>
      </c>
      <c r="D483" s="1">
        <v>45517</v>
      </c>
      <c r="E483" s="17">
        <v>0.96944444444444444</v>
      </c>
      <c r="F483" s="5" t="s">
        <v>7305</v>
      </c>
      <c r="G483" s="12">
        <v>555</v>
      </c>
      <c r="H483" s="12">
        <v>0</v>
      </c>
      <c r="I483" s="12">
        <v>555</v>
      </c>
      <c r="J483" s="12">
        <f>SUMIF(order_item!B:B,A483,order_item!E:E)</f>
        <v>555</v>
      </c>
      <c r="K483" s="28" t="str">
        <f>_xlfn.XLOOKUP(B483,customers!A:A,customers!D:D)</f>
        <v>Premium</v>
      </c>
    </row>
    <row r="484" spans="1:11" x14ac:dyDescent="0.25">
      <c r="A484" s="5" t="s">
        <v>5638</v>
      </c>
      <c r="B484" s="5" t="s">
        <v>349</v>
      </c>
      <c r="C484" s="5" t="s">
        <v>7309</v>
      </c>
      <c r="D484" s="1">
        <v>45724</v>
      </c>
      <c r="E484" s="17">
        <v>0.90763888888888899</v>
      </c>
      <c r="F484" s="5" t="s">
        <v>7307</v>
      </c>
      <c r="G484" s="12">
        <v>752</v>
      </c>
      <c r="H484" s="12">
        <v>0</v>
      </c>
      <c r="I484" s="12">
        <v>0</v>
      </c>
      <c r="J484" s="12">
        <f>SUMIF(order_item!B:B,A484,order_item!E:E)</f>
        <v>752</v>
      </c>
      <c r="K484" s="28" t="str">
        <f>_xlfn.XLOOKUP(B484,customers!A:A,customers!D:D)</f>
        <v>New</v>
      </c>
    </row>
    <row r="485" spans="1:11" x14ac:dyDescent="0.25">
      <c r="A485" s="5" t="s">
        <v>5635</v>
      </c>
      <c r="B485" s="5" t="s">
        <v>135</v>
      </c>
      <c r="C485" s="5" t="s">
        <v>7309</v>
      </c>
      <c r="D485" s="1">
        <v>45478</v>
      </c>
      <c r="E485" s="17">
        <v>0.58958333333333335</v>
      </c>
      <c r="F485" s="5" t="s">
        <v>7305</v>
      </c>
      <c r="G485" s="12">
        <v>574</v>
      </c>
      <c r="H485" s="12">
        <v>0</v>
      </c>
      <c r="I485" s="12">
        <v>574</v>
      </c>
      <c r="J485" s="12">
        <f>SUMIF(order_item!B:B,A485,order_item!E:E)</f>
        <v>574</v>
      </c>
      <c r="K485" s="28" t="str">
        <f>_xlfn.XLOOKUP(B485,customers!A:A,customers!D:D)</f>
        <v>Regular</v>
      </c>
    </row>
    <row r="486" spans="1:11" x14ac:dyDescent="0.25">
      <c r="A486" s="5" t="s">
        <v>5632</v>
      </c>
      <c r="B486" s="5" t="s">
        <v>595</v>
      </c>
      <c r="C486" s="5" t="s">
        <v>7306</v>
      </c>
      <c r="D486" s="1">
        <v>45500</v>
      </c>
      <c r="E486" s="17">
        <v>0.74444444444444446</v>
      </c>
      <c r="F486" s="5" t="s">
        <v>7305</v>
      </c>
      <c r="G486" s="12">
        <v>307</v>
      </c>
      <c r="H486" s="12">
        <v>0</v>
      </c>
      <c r="I486" s="12">
        <v>307</v>
      </c>
      <c r="J486" s="12">
        <f>SUMIF(order_item!B:B,A486,order_item!E:E)</f>
        <v>307</v>
      </c>
      <c r="K486" s="28" t="str">
        <f>_xlfn.XLOOKUP(B486,customers!A:A,customers!D:D)</f>
        <v>Regular</v>
      </c>
    </row>
    <row r="487" spans="1:11" x14ac:dyDescent="0.25">
      <c r="A487" s="5" t="s">
        <v>5627</v>
      </c>
      <c r="B487" s="5" t="s">
        <v>803</v>
      </c>
      <c r="C487" s="5" t="s">
        <v>7309</v>
      </c>
      <c r="D487" s="1">
        <v>45436</v>
      </c>
      <c r="E487" s="17">
        <v>0.40138888888888885</v>
      </c>
      <c r="F487" s="5" t="s">
        <v>7305</v>
      </c>
      <c r="G487" s="12">
        <v>665</v>
      </c>
      <c r="H487" s="12">
        <v>0</v>
      </c>
      <c r="I487" s="12">
        <v>665</v>
      </c>
      <c r="J487" s="12">
        <f>SUMIF(order_item!B:B,A487,order_item!E:E)</f>
        <v>665</v>
      </c>
      <c r="K487" s="28" t="str">
        <f>_xlfn.XLOOKUP(B487,customers!A:A,customers!D:D)</f>
        <v>Regular</v>
      </c>
    </row>
    <row r="488" spans="1:11" x14ac:dyDescent="0.25">
      <c r="A488" s="5" t="s">
        <v>5624</v>
      </c>
      <c r="B488" s="5" t="s">
        <v>634</v>
      </c>
      <c r="C488" s="5" t="s">
        <v>7308</v>
      </c>
      <c r="D488" s="1">
        <v>45731</v>
      </c>
      <c r="E488" s="17">
        <v>0.91111111111111109</v>
      </c>
      <c r="F488" s="5" t="s">
        <v>7305</v>
      </c>
      <c r="G488" s="12">
        <v>386</v>
      </c>
      <c r="H488" s="12">
        <v>0</v>
      </c>
      <c r="I488" s="12">
        <v>386</v>
      </c>
      <c r="J488" s="12">
        <f>SUMIF(order_item!B:B,A488,order_item!E:E)</f>
        <v>386</v>
      </c>
      <c r="K488" s="28" t="str">
        <f>_xlfn.XLOOKUP(B488,customers!A:A,customers!D:D)</f>
        <v>Regular</v>
      </c>
    </row>
    <row r="489" spans="1:11" x14ac:dyDescent="0.25">
      <c r="A489" s="5" t="s">
        <v>5620</v>
      </c>
      <c r="B489" s="5" t="s">
        <v>474</v>
      </c>
      <c r="C489" s="5" t="s">
        <v>7309</v>
      </c>
      <c r="D489" s="1">
        <v>45483</v>
      </c>
      <c r="E489" s="17">
        <v>0.77777777777777779</v>
      </c>
      <c r="F489" s="5" t="s">
        <v>7305</v>
      </c>
      <c r="G489" s="12">
        <v>227</v>
      </c>
      <c r="H489" s="12">
        <v>0</v>
      </c>
      <c r="I489" s="12">
        <v>227</v>
      </c>
      <c r="J489" s="12">
        <f>SUMIF(order_item!B:B,A489,order_item!E:E)</f>
        <v>227</v>
      </c>
      <c r="K489" s="28" t="str">
        <f>_xlfn.XLOOKUP(B489,customers!A:A,customers!D:D)</f>
        <v>Regular</v>
      </c>
    </row>
    <row r="490" spans="1:11" x14ac:dyDescent="0.25">
      <c r="A490" s="5" t="s">
        <v>5618</v>
      </c>
      <c r="B490" s="5" t="s">
        <v>351</v>
      </c>
      <c r="C490" s="5" t="s">
        <v>7308</v>
      </c>
      <c r="D490" s="1">
        <v>45528</v>
      </c>
      <c r="E490" s="17">
        <v>0.89166666666666661</v>
      </c>
      <c r="F490" s="5" t="s">
        <v>7305</v>
      </c>
      <c r="G490" s="12">
        <v>316</v>
      </c>
      <c r="H490" s="12">
        <v>31.6</v>
      </c>
      <c r="I490" s="12">
        <v>284.39999999999998</v>
      </c>
      <c r="J490" s="12">
        <f>SUMIF(order_item!B:B,A490,order_item!E:E)</f>
        <v>316</v>
      </c>
      <c r="K490" s="28" t="str">
        <f>_xlfn.XLOOKUP(B490,customers!A:A,customers!D:D)</f>
        <v>New</v>
      </c>
    </row>
    <row r="491" spans="1:11" x14ac:dyDescent="0.25">
      <c r="A491" s="5" t="s">
        <v>5615</v>
      </c>
      <c r="B491" s="5" t="s">
        <v>106</v>
      </c>
      <c r="C491" s="5" t="s">
        <v>7308</v>
      </c>
      <c r="D491" s="1">
        <v>45412</v>
      </c>
      <c r="E491" s="17">
        <v>0.7909722222222223</v>
      </c>
      <c r="F491" s="5" t="s">
        <v>7307</v>
      </c>
      <c r="G491" s="12">
        <v>128</v>
      </c>
      <c r="H491" s="12">
        <v>12.8</v>
      </c>
      <c r="I491" s="12">
        <v>0</v>
      </c>
      <c r="J491" s="12">
        <f>SUMIF(order_item!B:B,A491,order_item!E:E)</f>
        <v>128</v>
      </c>
      <c r="K491" s="28" t="str">
        <f>_xlfn.XLOOKUP(B491,customers!A:A,customers!D:D)</f>
        <v>New</v>
      </c>
    </row>
    <row r="492" spans="1:11" x14ac:dyDescent="0.25">
      <c r="A492" s="5" t="s">
        <v>5610</v>
      </c>
      <c r="B492" s="5" t="s">
        <v>114</v>
      </c>
      <c r="C492" s="5" t="s">
        <v>7309</v>
      </c>
      <c r="D492" s="1">
        <v>45617</v>
      </c>
      <c r="E492" s="17">
        <v>0.67847222222222225</v>
      </c>
      <c r="F492" s="5" t="s">
        <v>7305</v>
      </c>
      <c r="G492" s="12">
        <v>555</v>
      </c>
      <c r="H492" s="12">
        <v>0</v>
      </c>
      <c r="I492" s="12">
        <v>555</v>
      </c>
      <c r="J492" s="12">
        <f>SUMIF(order_item!B:B,A492,order_item!E:E)</f>
        <v>555</v>
      </c>
      <c r="K492" s="28" t="str">
        <f>_xlfn.XLOOKUP(B492,customers!A:A,customers!D:D)</f>
        <v>New</v>
      </c>
    </row>
    <row r="493" spans="1:11" x14ac:dyDescent="0.25">
      <c r="A493" s="5" t="s">
        <v>5608</v>
      </c>
      <c r="B493" s="5" t="s">
        <v>445</v>
      </c>
      <c r="C493" s="5" t="s">
        <v>7309</v>
      </c>
      <c r="D493" s="1">
        <v>45665</v>
      </c>
      <c r="E493" s="17">
        <v>0.67152777777777783</v>
      </c>
      <c r="F493" s="5" t="s">
        <v>7305</v>
      </c>
      <c r="G493" s="12">
        <v>49</v>
      </c>
      <c r="H493" s="12">
        <v>0</v>
      </c>
      <c r="I493" s="12">
        <v>49</v>
      </c>
      <c r="J493" s="12">
        <f>SUMIF(order_item!B:B,A493,order_item!E:E)</f>
        <v>49</v>
      </c>
      <c r="K493" s="28" t="str">
        <f>_xlfn.XLOOKUP(B493,customers!A:A,customers!D:D)</f>
        <v>Regular</v>
      </c>
    </row>
    <row r="494" spans="1:11" x14ac:dyDescent="0.25">
      <c r="A494" s="5" t="s">
        <v>5603</v>
      </c>
      <c r="B494" s="5" t="s">
        <v>422</v>
      </c>
      <c r="C494" s="5" t="s">
        <v>7306</v>
      </c>
      <c r="D494" s="1">
        <v>45515</v>
      </c>
      <c r="E494" s="17">
        <v>0.8930555555555556</v>
      </c>
      <c r="F494" s="5" t="s">
        <v>7305</v>
      </c>
      <c r="G494" s="12">
        <v>962</v>
      </c>
      <c r="H494" s="12">
        <v>0</v>
      </c>
      <c r="I494" s="12">
        <v>962</v>
      </c>
      <c r="J494" s="12">
        <f>SUMIF(order_item!B:B,A494,order_item!E:E)</f>
        <v>962</v>
      </c>
      <c r="K494" s="28" t="str">
        <f>_xlfn.XLOOKUP(B494,customers!A:A,customers!D:D)</f>
        <v>Regular</v>
      </c>
    </row>
    <row r="495" spans="1:11" x14ac:dyDescent="0.25">
      <c r="A495" s="5" t="s">
        <v>5600</v>
      </c>
      <c r="B495" s="5" t="s">
        <v>292</v>
      </c>
      <c r="C495" s="5" t="s">
        <v>7309</v>
      </c>
      <c r="D495" s="1">
        <v>45555</v>
      </c>
      <c r="E495" s="17">
        <v>0.91041666666666676</v>
      </c>
      <c r="F495" s="5" t="s">
        <v>7305</v>
      </c>
      <c r="G495" s="12">
        <v>367</v>
      </c>
      <c r="H495" s="12">
        <v>18.350000000000001</v>
      </c>
      <c r="I495" s="12">
        <v>348.65</v>
      </c>
      <c r="J495" s="12">
        <f>SUMIF(order_item!B:B,A495,order_item!E:E)</f>
        <v>367</v>
      </c>
      <c r="K495" s="28" t="str">
        <f>_xlfn.XLOOKUP(B495,customers!A:A,customers!D:D)</f>
        <v>Premium</v>
      </c>
    </row>
    <row r="496" spans="1:11" x14ac:dyDescent="0.25">
      <c r="A496" s="5" t="s">
        <v>5597</v>
      </c>
      <c r="B496" s="5" t="s">
        <v>540</v>
      </c>
      <c r="C496" s="5" t="s">
        <v>7309</v>
      </c>
      <c r="D496" s="1">
        <v>45406</v>
      </c>
      <c r="E496" s="17">
        <v>0.72083333333333333</v>
      </c>
      <c r="F496" s="5" t="s">
        <v>7305</v>
      </c>
      <c r="G496" s="12">
        <v>377</v>
      </c>
      <c r="H496" s="12">
        <v>56.55</v>
      </c>
      <c r="I496" s="12">
        <v>320.45</v>
      </c>
      <c r="J496" s="12">
        <f>SUMIF(order_item!B:B,A496,order_item!E:E)</f>
        <v>377</v>
      </c>
      <c r="K496" s="28" t="str">
        <f>_xlfn.XLOOKUP(B496,customers!A:A,customers!D:D)</f>
        <v>Regular</v>
      </c>
    </row>
    <row r="497" spans="1:11" x14ac:dyDescent="0.25">
      <c r="A497" s="5" t="s">
        <v>5592</v>
      </c>
      <c r="B497" s="5" t="s">
        <v>337</v>
      </c>
      <c r="C497" s="5" t="s">
        <v>7309</v>
      </c>
      <c r="D497" s="1">
        <v>45393</v>
      </c>
      <c r="E497" s="17">
        <v>0.5854166666666667</v>
      </c>
      <c r="F497" s="5" t="s">
        <v>7305</v>
      </c>
      <c r="G497" s="12">
        <v>833</v>
      </c>
      <c r="H497" s="12">
        <v>0</v>
      </c>
      <c r="I497" s="12">
        <v>833</v>
      </c>
      <c r="J497" s="12">
        <f>SUMIF(order_item!B:B,A497,order_item!E:E)</f>
        <v>833</v>
      </c>
      <c r="K497" s="28" t="str">
        <f>_xlfn.XLOOKUP(B497,customers!A:A,customers!D:D)</f>
        <v>Regular</v>
      </c>
    </row>
    <row r="498" spans="1:11" x14ac:dyDescent="0.25">
      <c r="A498" s="5" t="s">
        <v>5589</v>
      </c>
      <c r="B498" s="5" t="s">
        <v>581</v>
      </c>
      <c r="C498" s="5" t="s">
        <v>7306</v>
      </c>
      <c r="D498" s="1">
        <v>45651</v>
      </c>
      <c r="E498" s="17">
        <v>0.5625</v>
      </c>
      <c r="F498" s="5" t="s">
        <v>7305</v>
      </c>
      <c r="G498" s="12">
        <v>376</v>
      </c>
      <c r="H498" s="12">
        <v>0</v>
      </c>
      <c r="I498" s="12">
        <v>376</v>
      </c>
      <c r="J498" s="12">
        <f>SUMIF(order_item!B:B,A498,order_item!E:E)</f>
        <v>376</v>
      </c>
      <c r="K498" s="28" t="str">
        <f>_xlfn.XLOOKUP(B498,customers!A:A,customers!D:D)</f>
        <v>Premium</v>
      </c>
    </row>
    <row r="499" spans="1:11" x14ac:dyDescent="0.25">
      <c r="A499" s="5" t="s">
        <v>5586</v>
      </c>
      <c r="B499" s="5" t="s">
        <v>545</v>
      </c>
      <c r="C499" s="5" t="s">
        <v>7306</v>
      </c>
      <c r="D499" s="1">
        <v>45387</v>
      </c>
      <c r="E499" s="17">
        <v>8.0555555555555561E-2</v>
      </c>
      <c r="F499" s="5" t="s">
        <v>7305</v>
      </c>
      <c r="G499" s="12">
        <v>864</v>
      </c>
      <c r="H499" s="12">
        <v>0</v>
      </c>
      <c r="I499" s="12">
        <v>864</v>
      </c>
      <c r="J499" s="12">
        <f>SUMIF(order_item!B:B,A499,order_item!E:E)</f>
        <v>864</v>
      </c>
      <c r="K499" s="28" t="str">
        <f>_xlfn.XLOOKUP(B499,customers!A:A,customers!D:D)</f>
        <v>New</v>
      </c>
    </row>
    <row r="500" spans="1:11" x14ac:dyDescent="0.25">
      <c r="A500" s="5" t="s">
        <v>5581</v>
      </c>
      <c r="B500" s="5" t="s">
        <v>409</v>
      </c>
      <c r="C500" s="5" t="s">
        <v>7309</v>
      </c>
      <c r="D500" s="1">
        <v>45739</v>
      </c>
      <c r="E500" s="17">
        <v>0.72569444444444453</v>
      </c>
      <c r="F500" s="5" t="s">
        <v>7305</v>
      </c>
      <c r="G500" s="12">
        <v>734</v>
      </c>
      <c r="H500" s="12">
        <v>73.400000000000006</v>
      </c>
      <c r="I500" s="12">
        <v>660.6</v>
      </c>
      <c r="J500" s="12">
        <f>SUMIF(order_item!B:B,A500,order_item!E:E)</f>
        <v>734</v>
      </c>
      <c r="K500" s="28" t="str">
        <f>_xlfn.XLOOKUP(B500,customers!A:A,customers!D:D)</f>
        <v>Regular</v>
      </c>
    </row>
    <row r="501" spans="1:11" x14ac:dyDescent="0.25">
      <c r="A501" s="5" t="s">
        <v>5578</v>
      </c>
      <c r="B501" s="5" t="s">
        <v>819</v>
      </c>
      <c r="C501" s="5" t="s">
        <v>7309</v>
      </c>
      <c r="D501" s="1">
        <v>45623</v>
      </c>
      <c r="E501" s="17">
        <v>0.67083333333333339</v>
      </c>
      <c r="F501" s="5" t="s">
        <v>7305</v>
      </c>
      <c r="G501" s="12">
        <v>178</v>
      </c>
      <c r="H501" s="12">
        <v>0</v>
      </c>
      <c r="I501" s="12">
        <v>178</v>
      </c>
      <c r="J501" s="12">
        <f>SUMIF(order_item!B:B,A501,order_item!E:E)</f>
        <v>178</v>
      </c>
      <c r="K501" s="28" t="str">
        <f>_xlfn.XLOOKUP(B501,customers!A:A,customers!D:D)</f>
        <v>Regular</v>
      </c>
    </row>
    <row r="502" spans="1:11" x14ac:dyDescent="0.25">
      <c r="A502" s="5" t="s">
        <v>5573</v>
      </c>
      <c r="B502" s="5" t="s">
        <v>682</v>
      </c>
      <c r="C502" s="5" t="s">
        <v>7309</v>
      </c>
      <c r="D502" s="1">
        <v>45457</v>
      </c>
      <c r="E502" s="17">
        <v>0.67708333333333337</v>
      </c>
      <c r="F502" s="5" t="s">
        <v>7305</v>
      </c>
      <c r="G502" s="12">
        <v>1356</v>
      </c>
      <c r="H502" s="12">
        <v>0</v>
      </c>
      <c r="I502" s="12">
        <v>1356</v>
      </c>
      <c r="J502" s="12">
        <f>SUMIF(order_item!B:B,A502,order_item!E:E)</f>
        <v>1356</v>
      </c>
      <c r="K502" s="28" t="str">
        <f>_xlfn.XLOOKUP(B502,customers!A:A,customers!D:D)</f>
        <v>Premium</v>
      </c>
    </row>
    <row r="503" spans="1:11" x14ac:dyDescent="0.25">
      <c r="A503" s="5" t="s">
        <v>5571</v>
      </c>
      <c r="B503" s="5" t="s">
        <v>361</v>
      </c>
      <c r="C503" s="5" t="s">
        <v>7309</v>
      </c>
      <c r="D503" s="1">
        <v>45543</v>
      </c>
      <c r="E503" s="17">
        <v>0.73888888888888893</v>
      </c>
      <c r="F503" s="5" t="s">
        <v>7305</v>
      </c>
      <c r="G503" s="12">
        <v>99</v>
      </c>
      <c r="H503" s="12">
        <v>0</v>
      </c>
      <c r="I503" s="12">
        <v>99</v>
      </c>
      <c r="J503" s="12">
        <f>SUMIF(order_item!B:B,A503,order_item!E:E)</f>
        <v>99</v>
      </c>
      <c r="K503" s="28" t="str">
        <f>_xlfn.XLOOKUP(B503,customers!A:A,customers!D:D)</f>
        <v>Premium</v>
      </c>
    </row>
    <row r="504" spans="1:11" x14ac:dyDescent="0.25">
      <c r="A504" s="5" t="s">
        <v>5566</v>
      </c>
      <c r="B504" s="5" t="s">
        <v>760</v>
      </c>
      <c r="C504" s="5" t="s">
        <v>7309</v>
      </c>
      <c r="D504" s="1">
        <v>45540</v>
      </c>
      <c r="E504" s="17">
        <v>0.6791666666666667</v>
      </c>
      <c r="F504" s="5" t="s">
        <v>7305</v>
      </c>
      <c r="G504" s="12">
        <v>1289</v>
      </c>
      <c r="H504" s="12">
        <v>0</v>
      </c>
      <c r="I504" s="12">
        <v>1289</v>
      </c>
      <c r="J504" s="12">
        <f>SUMIF(order_item!B:B,A504,order_item!E:E)</f>
        <v>1289</v>
      </c>
      <c r="K504" s="28" t="str">
        <f>_xlfn.XLOOKUP(B504,customers!A:A,customers!D:D)</f>
        <v>Regular</v>
      </c>
    </row>
    <row r="505" spans="1:11" x14ac:dyDescent="0.25">
      <c r="A505" s="5" t="s">
        <v>5562</v>
      </c>
      <c r="B505" s="5" t="s">
        <v>257</v>
      </c>
      <c r="C505" s="5" t="s">
        <v>7309</v>
      </c>
      <c r="D505" s="1">
        <v>45647</v>
      </c>
      <c r="E505" s="17">
        <v>0.60277777777777775</v>
      </c>
      <c r="F505" s="5" t="s">
        <v>7305</v>
      </c>
      <c r="G505" s="12">
        <v>812</v>
      </c>
      <c r="H505" s="12">
        <v>40.6</v>
      </c>
      <c r="I505" s="12">
        <v>771.4</v>
      </c>
      <c r="J505" s="12">
        <f>SUMIF(order_item!B:B,A505,order_item!E:E)</f>
        <v>812</v>
      </c>
      <c r="K505" s="28" t="str">
        <f>_xlfn.XLOOKUP(B505,customers!A:A,customers!D:D)</f>
        <v>Regular</v>
      </c>
    </row>
    <row r="506" spans="1:11" x14ac:dyDescent="0.25">
      <c r="A506" s="5" t="s">
        <v>5557</v>
      </c>
      <c r="B506" s="5" t="s">
        <v>238</v>
      </c>
      <c r="C506" s="5" t="s">
        <v>7309</v>
      </c>
      <c r="D506" s="1">
        <v>45731</v>
      </c>
      <c r="E506" s="17">
        <v>0.79583333333333339</v>
      </c>
      <c r="F506" s="5" t="s">
        <v>7305</v>
      </c>
      <c r="G506" s="12">
        <v>595</v>
      </c>
      <c r="H506" s="12">
        <v>59.5</v>
      </c>
      <c r="I506" s="12">
        <v>535.5</v>
      </c>
      <c r="J506" s="12">
        <f>SUMIF(order_item!B:B,A506,order_item!E:E)</f>
        <v>595</v>
      </c>
      <c r="K506" s="28" t="str">
        <f>_xlfn.XLOOKUP(B506,customers!A:A,customers!D:D)</f>
        <v>Regular</v>
      </c>
    </row>
    <row r="507" spans="1:11" x14ac:dyDescent="0.25">
      <c r="A507" s="5" t="s">
        <v>5552</v>
      </c>
      <c r="B507" s="5" t="s">
        <v>527</v>
      </c>
      <c r="C507" s="5" t="s">
        <v>7308</v>
      </c>
      <c r="D507" s="1">
        <v>45417</v>
      </c>
      <c r="E507" s="17">
        <v>0.8027777777777777</v>
      </c>
      <c r="F507" s="5" t="s">
        <v>7305</v>
      </c>
      <c r="G507" s="12">
        <v>564</v>
      </c>
      <c r="H507" s="12">
        <v>0</v>
      </c>
      <c r="I507" s="12">
        <v>564</v>
      </c>
      <c r="J507" s="12">
        <f>SUMIF(order_item!B:B,A507,order_item!E:E)</f>
        <v>564</v>
      </c>
      <c r="K507" s="28" t="str">
        <f>_xlfn.XLOOKUP(B507,customers!A:A,customers!D:D)</f>
        <v>New</v>
      </c>
    </row>
    <row r="508" spans="1:11" x14ac:dyDescent="0.25">
      <c r="A508" s="5" t="s">
        <v>5548</v>
      </c>
      <c r="B508" s="5" t="s">
        <v>580</v>
      </c>
      <c r="C508" s="5" t="s">
        <v>7306</v>
      </c>
      <c r="D508" s="1">
        <v>45617</v>
      </c>
      <c r="E508" s="17">
        <v>0.69652777777777775</v>
      </c>
      <c r="F508" s="5" t="s">
        <v>7305</v>
      </c>
      <c r="G508" s="12">
        <v>1053</v>
      </c>
      <c r="H508" s="12">
        <v>0</v>
      </c>
      <c r="I508" s="12">
        <v>1053</v>
      </c>
      <c r="J508" s="12">
        <f>SUMIF(order_item!B:B,A508,order_item!E:E)</f>
        <v>1053</v>
      </c>
      <c r="K508" s="28" t="str">
        <f>_xlfn.XLOOKUP(B508,customers!A:A,customers!D:D)</f>
        <v>Regular</v>
      </c>
    </row>
    <row r="509" spans="1:11" x14ac:dyDescent="0.25">
      <c r="A509" s="5" t="s">
        <v>5545</v>
      </c>
      <c r="B509" s="5" t="s">
        <v>600</v>
      </c>
      <c r="C509" s="5" t="s">
        <v>7308</v>
      </c>
      <c r="D509" s="1">
        <v>45444</v>
      </c>
      <c r="E509" s="17">
        <v>0.67638888888888893</v>
      </c>
      <c r="F509" s="5" t="s">
        <v>7305</v>
      </c>
      <c r="G509" s="12">
        <v>317</v>
      </c>
      <c r="H509" s="12">
        <v>0</v>
      </c>
      <c r="I509" s="12">
        <v>317</v>
      </c>
      <c r="J509" s="12">
        <f>SUMIF(order_item!B:B,A509,order_item!E:E)</f>
        <v>317</v>
      </c>
      <c r="K509" s="28" t="str">
        <f>_xlfn.XLOOKUP(B509,customers!A:A,customers!D:D)</f>
        <v>Regular</v>
      </c>
    </row>
    <row r="510" spans="1:11" x14ac:dyDescent="0.25">
      <c r="A510" s="5" t="s">
        <v>5541</v>
      </c>
      <c r="B510" s="5" t="s">
        <v>590</v>
      </c>
      <c r="C510" s="5" t="s">
        <v>7309</v>
      </c>
      <c r="D510" s="1">
        <v>45716</v>
      </c>
      <c r="E510" s="17">
        <v>0.6333333333333333</v>
      </c>
      <c r="F510" s="5" t="s">
        <v>7305</v>
      </c>
      <c r="G510" s="12">
        <v>546</v>
      </c>
      <c r="H510" s="12">
        <v>0</v>
      </c>
      <c r="I510" s="12">
        <v>546</v>
      </c>
      <c r="J510" s="12">
        <f>SUMIF(order_item!B:B,A510,order_item!E:E)</f>
        <v>546</v>
      </c>
      <c r="K510" s="28" t="str">
        <f>_xlfn.XLOOKUP(B510,customers!A:A,customers!D:D)</f>
        <v>Regular</v>
      </c>
    </row>
    <row r="511" spans="1:11" x14ac:dyDescent="0.25">
      <c r="A511" s="5" t="s">
        <v>5537</v>
      </c>
      <c r="B511" s="5" t="s">
        <v>604</v>
      </c>
      <c r="C511" s="5" t="s">
        <v>7309</v>
      </c>
      <c r="D511" s="1">
        <v>45515</v>
      </c>
      <c r="E511" s="17">
        <v>0.86736111111111114</v>
      </c>
      <c r="F511" s="5" t="s">
        <v>7305</v>
      </c>
      <c r="G511" s="12">
        <v>307</v>
      </c>
      <c r="H511" s="12">
        <v>15.35</v>
      </c>
      <c r="I511" s="12">
        <v>291.64999999999998</v>
      </c>
      <c r="J511" s="12">
        <f>SUMIF(order_item!B:B,A511,order_item!E:E)</f>
        <v>307</v>
      </c>
      <c r="K511" s="28" t="str">
        <f>_xlfn.XLOOKUP(B511,customers!A:A,customers!D:D)</f>
        <v>Regular</v>
      </c>
    </row>
    <row r="512" spans="1:11" x14ac:dyDescent="0.25">
      <c r="A512" s="5" t="s">
        <v>5534</v>
      </c>
      <c r="B512" s="5" t="s">
        <v>328</v>
      </c>
      <c r="C512" s="5" t="s">
        <v>7309</v>
      </c>
      <c r="D512" s="1">
        <v>45409</v>
      </c>
      <c r="E512" s="17">
        <v>0.78819444444444453</v>
      </c>
      <c r="F512" s="5" t="s">
        <v>7305</v>
      </c>
      <c r="G512" s="12">
        <v>405</v>
      </c>
      <c r="H512" s="12">
        <v>0</v>
      </c>
      <c r="I512" s="12">
        <v>405</v>
      </c>
      <c r="J512" s="12">
        <f>SUMIF(order_item!B:B,A512,order_item!E:E)</f>
        <v>405</v>
      </c>
      <c r="K512" s="28" t="str">
        <f>_xlfn.XLOOKUP(B512,customers!A:A,customers!D:D)</f>
        <v>New</v>
      </c>
    </row>
    <row r="513" spans="1:11" x14ac:dyDescent="0.25">
      <c r="A513" s="5" t="s">
        <v>5530</v>
      </c>
      <c r="B513" s="5" t="s">
        <v>83</v>
      </c>
      <c r="C513" s="5" t="s">
        <v>7309</v>
      </c>
      <c r="D513" s="1">
        <v>45733</v>
      </c>
      <c r="E513" s="17">
        <v>0.72361111111111109</v>
      </c>
      <c r="F513" s="5" t="s">
        <v>7305</v>
      </c>
      <c r="G513" s="12">
        <v>406</v>
      </c>
      <c r="H513" s="12">
        <v>0</v>
      </c>
      <c r="I513" s="12">
        <v>406</v>
      </c>
      <c r="J513" s="12">
        <f>SUMIF(order_item!B:B,A513,order_item!E:E)</f>
        <v>406</v>
      </c>
      <c r="K513" s="28" t="str">
        <f>_xlfn.XLOOKUP(B513,customers!A:A,customers!D:D)</f>
        <v>Regular</v>
      </c>
    </row>
    <row r="514" spans="1:11" x14ac:dyDescent="0.25">
      <c r="A514" s="5" t="s">
        <v>5527</v>
      </c>
      <c r="B514" s="5" t="s">
        <v>411</v>
      </c>
      <c r="C514" s="5" t="s">
        <v>7309</v>
      </c>
      <c r="D514" s="1">
        <v>45608</v>
      </c>
      <c r="E514" s="17">
        <v>0.90069444444444446</v>
      </c>
      <c r="F514" s="5" t="s">
        <v>7305</v>
      </c>
      <c r="G514" s="12">
        <v>456</v>
      </c>
      <c r="H514" s="12">
        <v>0</v>
      </c>
      <c r="I514" s="12">
        <v>456</v>
      </c>
      <c r="J514" s="12">
        <f>SUMIF(order_item!B:B,A514,order_item!E:E)</f>
        <v>456</v>
      </c>
      <c r="K514" s="28" t="str">
        <f>_xlfn.XLOOKUP(B514,customers!A:A,customers!D:D)</f>
        <v>New</v>
      </c>
    </row>
    <row r="515" spans="1:11" x14ac:dyDescent="0.25">
      <c r="A515" s="5" t="s">
        <v>5523</v>
      </c>
      <c r="B515" s="5" t="s">
        <v>83</v>
      </c>
      <c r="C515" s="5" t="s">
        <v>7306</v>
      </c>
      <c r="D515" s="1">
        <v>45549</v>
      </c>
      <c r="E515" s="17">
        <v>0.68611111111111101</v>
      </c>
      <c r="F515" s="5" t="s">
        <v>7305</v>
      </c>
      <c r="G515" s="12">
        <v>744</v>
      </c>
      <c r="H515" s="12">
        <v>0</v>
      </c>
      <c r="I515" s="12">
        <v>744</v>
      </c>
      <c r="J515" s="12">
        <f>SUMIF(order_item!B:B,A515,order_item!E:E)</f>
        <v>744</v>
      </c>
      <c r="K515" s="28" t="str">
        <f>_xlfn.XLOOKUP(B515,customers!A:A,customers!D:D)</f>
        <v>Regular</v>
      </c>
    </row>
    <row r="516" spans="1:11" x14ac:dyDescent="0.25">
      <c r="A516" s="5" t="s">
        <v>5521</v>
      </c>
      <c r="B516" s="5" t="s">
        <v>445</v>
      </c>
      <c r="C516" s="5" t="s">
        <v>7308</v>
      </c>
      <c r="D516" s="1">
        <v>45471</v>
      </c>
      <c r="E516" s="17">
        <v>0.73819444444444438</v>
      </c>
      <c r="F516" s="5" t="s">
        <v>7305</v>
      </c>
      <c r="G516" s="12">
        <v>158</v>
      </c>
      <c r="H516" s="12">
        <v>0</v>
      </c>
      <c r="I516" s="12">
        <v>158</v>
      </c>
      <c r="J516" s="12">
        <f>SUMIF(order_item!B:B,A516,order_item!E:E)</f>
        <v>158</v>
      </c>
      <c r="K516" s="28" t="str">
        <f>_xlfn.XLOOKUP(B516,customers!A:A,customers!D:D)</f>
        <v>Regular</v>
      </c>
    </row>
    <row r="517" spans="1:11" x14ac:dyDescent="0.25">
      <c r="A517" s="5" t="s">
        <v>5516</v>
      </c>
      <c r="B517" s="5" t="s">
        <v>581</v>
      </c>
      <c r="C517" s="5" t="s">
        <v>7309</v>
      </c>
      <c r="D517" s="1">
        <v>45639</v>
      </c>
      <c r="E517" s="17">
        <v>0.80972222222222223</v>
      </c>
      <c r="F517" s="5" t="s">
        <v>7305</v>
      </c>
      <c r="G517" s="12">
        <v>465</v>
      </c>
      <c r="H517" s="12">
        <v>0</v>
      </c>
      <c r="I517" s="12">
        <v>465</v>
      </c>
      <c r="J517" s="12">
        <f>SUMIF(order_item!B:B,A517,order_item!E:E)</f>
        <v>465</v>
      </c>
      <c r="K517" s="28" t="str">
        <f>_xlfn.XLOOKUP(B517,customers!A:A,customers!D:D)</f>
        <v>Premium</v>
      </c>
    </row>
    <row r="518" spans="1:11" x14ac:dyDescent="0.25">
      <c r="A518" s="5" t="s">
        <v>5512</v>
      </c>
      <c r="B518" s="5" t="s">
        <v>88</v>
      </c>
      <c r="C518" s="5" t="s">
        <v>7308</v>
      </c>
      <c r="D518" s="1">
        <v>45633</v>
      </c>
      <c r="E518" s="17">
        <v>0.90208333333333324</v>
      </c>
      <c r="F518" s="5" t="s">
        <v>7305</v>
      </c>
      <c r="G518" s="12">
        <v>911</v>
      </c>
      <c r="H518" s="12">
        <v>91.1</v>
      </c>
      <c r="I518" s="12">
        <v>819.9</v>
      </c>
      <c r="J518" s="12">
        <f>SUMIF(order_item!B:B,A518,order_item!E:E)</f>
        <v>911</v>
      </c>
      <c r="K518" s="28" t="str">
        <f>_xlfn.XLOOKUP(B518,customers!A:A,customers!D:D)</f>
        <v>Regular</v>
      </c>
    </row>
    <row r="519" spans="1:11" x14ac:dyDescent="0.25">
      <c r="A519" s="5" t="s">
        <v>5508</v>
      </c>
      <c r="B519" s="5" t="s">
        <v>189</v>
      </c>
      <c r="C519" s="5" t="s">
        <v>7309</v>
      </c>
      <c r="D519" s="1">
        <v>45581</v>
      </c>
      <c r="E519" s="17">
        <v>5.4166666666666669E-2</v>
      </c>
      <c r="F519" s="5" t="s">
        <v>7305</v>
      </c>
      <c r="G519" s="12">
        <v>594</v>
      </c>
      <c r="H519" s="12">
        <v>59.4</v>
      </c>
      <c r="I519" s="12">
        <v>534.6</v>
      </c>
      <c r="J519" s="12">
        <f>SUMIF(order_item!B:B,A519,order_item!E:E)</f>
        <v>594</v>
      </c>
      <c r="K519" s="28" t="str">
        <f>_xlfn.XLOOKUP(B519,customers!A:A,customers!D:D)</f>
        <v>New</v>
      </c>
    </row>
    <row r="520" spans="1:11" x14ac:dyDescent="0.25">
      <c r="A520" s="5" t="s">
        <v>5503</v>
      </c>
      <c r="B520" s="5" t="s">
        <v>669</v>
      </c>
      <c r="C520" s="5" t="s">
        <v>7309</v>
      </c>
      <c r="D520" s="1">
        <v>45386</v>
      </c>
      <c r="E520" s="17">
        <v>0.73055555555555562</v>
      </c>
      <c r="F520" s="5" t="s">
        <v>7305</v>
      </c>
      <c r="G520" s="12">
        <v>326</v>
      </c>
      <c r="H520" s="12">
        <v>0</v>
      </c>
      <c r="I520" s="12">
        <v>326</v>
      </c>
      <c r="J520" s="12">
        <f>SUMIF(order_item!B:B,A520,order_item!E:E)</f>
        <v>326</v>
      </c>
      <c r="K520" s="28" t="str">
        <f>_xlfn.XLOOKUP(B520,customers!A:A,customers!D:D)</f>
        <v>Regular</v>
      </c>
    </row>
    <row r="521" spans="1:11" x14ac:dyDescent="0.25">
      <c r="A521" s="5" t="s">
        <v>5499</v>
      </c>
      <c r="B521" s="5" t="s">
        <v>450</v>
      </c>
      <c r="C521" s="5" t="s">
        <v>7308</v>
      </c>
      <c r="D521" s="1">
        <v>45679</v>
      </c>
      <c r="E521" s="17">
        <v>0.75694444444444453</v>
      </c>
      <c r="F521" s="5" t="s">
        <v>7305</v>
      </c>
      <c r="G521" s="12">
        <v>595</v>
      </c>
      <c r="H521" s="12">
        <v>0</v>
      </c>
      <c r="I521" s="12">
        <v>595</v>
      </c>
      <c r="J521" s="12">
        <f>SUMIF(order_item!B:B,A521,order_item!E:E)</f>
        <v>595</v>
      </c>
      <c r="K521" s="28" t="str">
        <f>_xlfn.XLOOKUP(B521,customers!A:A,customers!D:D)</f>
        <v>Regular</v>
      </c>
    </row>
    <row r="522" spans="1:11" x14ac:dyDescent="0.25">
      <c r="A522" s="5" t="s">
        <v>5497</v>
      </c>
      <c r="B522" s="5" t="s">
        <v>559</v>
      </c>
      <c r="C522" s="5" t="s">
        <v>7309</v>
      </c>
      <c r="D522" s="1">
        <v>45451</v>
      </c>
      <c r="E522" s="17">
        <v>0.96527777777777779</v>
      </c>
      <c r="F522" s="5" t="s">
        <v>7305</v>
      </c>
      <c r="G522" s="12">
        <v>149</v>
      </c>
      <c r="H522" s="12">
        <v>0</v>
      </c>
      <c r="I522" s="12">
        <v>149</v>
      </c>
      <c r="J522" s="12">
        <f>SUMIF(order_item!B:B,A522,order_item!E:E)</f>
        <v>149</v>
      </c>
      <c r="K522" s="28" t="str">
        <f>_xlfn.XLOOKUP(B522,customers!A:A,customers!D:D)</f>
        <v>Premium</v>
      </c>
    </row>
    <row r="523" spans="1:11" x14ac:dyDescent="0.25">
      <c r="A523" s="5" t="s">
        <v>5495</v>
      </c>
      <c r="B523" s="5" t="s">
        <v>732</v>
      </c>
      <c r="C523" s="5" t="s">
        <v>7309</v>
      </c>
      <c r="D523" s="1">
        <v>45716</v>
      </c>
      <c r="E523" s="17">
        <v>0.47222222222222227</v>
      </c>
      <c r="F523" s="5" t="s">
        <v>7305</v>
      </c>
      <c r="G523" s="12">
        <v>149</v>
      </c>
      <c r="H523" s="12">
        <v>0</v>
      </c>
      <c r="I523" s="12">
        <v>149</v>
      </c>
      <c r="J523" s="12">
        <f>SUMIF(order_item!B:B,A523,order_item!E:E)</f>
        <v>149</v>
      </c>
      <c r="K523" s="28" t="str">
        <f>_xlfn.XLOOKUP(B523,customers!A:A,customers!D:D)</f>
        <v>Regular</v>
      </c>
    </row>
    <row r="524" spans="1:11" x14ac:dyDescent="0.25">
      <c r="A524" s="5" t="s">
        <v>5491</v>
      </c>
      <c r="B524" s="5" t="s">
        <v>852</v>
      </c>
      <c r="C524" s="5" t="s">
        <v>7306</v>
      </c>
      <c r="D524" s="1">
        <v>45593</v>
      </c>
      <c r="E524" s="17">
        <v>1.6666666666666666E-2</v>
      </c>
      <c r="F524" s="5" t="s">
        <v>7305</v>
      </c>
      <c r="G524" s="12">
        <v>715</v>
      </c>
      <c r="H524" s="12">
        <v>0</v>
      </c>
      <c r="I524" s="12">
        <v>715</v>
      </c>
      <c r="J524" s="12">
        <f>SUMIF(order_item!B:B,A524,order_item!E:E)</f>
        <v>715</v>
      </c>
      <c r="K524" s="28" t="str">
        <f>_xlfn.XLOOKUP(B524,customers!A:A,customers!D:D)</f>
        <v>Regular</v>
      </c>
    </row>
    <row r="525" spans="1:11" x14ac:dyDescent="0.25">
      <c r="A525" s="5" t="s">
        <v>5487</v>
      </c>
      <c r="B525" s="5" t="s">
        <v>836</v>
      </c>
      <c r="C525" s="5" t="s">
        <v>7309</v>
      </c>
      <c r="D525" s="1">
        <v>45674</v>
      </c>
      <c r="E525" s="17">
        <v>0.77916666666666667</v>
      </c>
      <c r="F525" s="5" t="s">
        <v>7305</v>
      </c>
      <c r="G525" s="12">
        <v>426</v>
      </c>
      <c r="H525" s="12">
        <v>21.3</v>
      </c>
      <c r="I525" s="12">
        <v>404.7</v>
      </c>
      <c r="J525" s="12">
        <f>SUMIF(order_item!B:B,A525,order_item!E:E)</f>
        <v>426</v>
      </c>
      <c r="K525" s="28" t="str">
        <f>_xlfn.XLOOKUP(B525,customers!A:A,customers!D:D)</f>
        <v>Regular</v>
      </c>
    </row>
    <row r="526" spans="1:11" x14ac:dyDescent="0.25">
      <c r="A526" s="5" t="s">
        <v>5483</v>
      </c>
      <c r="B526" s="5" t="s">
        <v>203</v>
      </c>
      <c r="C526" s="5" t="s">
        <v>7309</v>
      </c>
      <c r="D526" s="1">
        <v>45418</v>
      </c>
      <c r="E526" s="17">
        <v>0.79027777777777775</v>
      </c>
      <c r="F526" s="5" t="s">
        <v>7305</v>
      </c>
      <c r="G526" s="12">
        <v>824</v>
      </c>
      <c r="H526" s="12">
        <v>0</v>
      </c>
      <c r="I526" s="12">
        <v>824</v>
      </c>
      <c r="J526" s="12">
        <f>SUMIF(order_item!B:B,A526,order_item!E:E)</f>
        <v>824</v>
      </c>
      <c r="K526" s="28" t="str">
        <f>_xlfn.XLOOKUP(B526,customers!A:A,customers!D:D)</f>
        <v>New</v>
      </c>
    </row>
    <row r="527" spans="1:11" x14ac:dyDescent="0.25">
      <c r="A527" s="5" t="s">
        <v>5478</v>
      </c>
      <c r="B527" s="5" t="s">
        <v>132</v>
      </c>
      <c r="C527" s="5" t="s">
        <v>7309</v>
      </c>
      <c r="D527" s="1">
        <v>45566</v>
      </c>
      <c r="E527" s="17">
        <v>0.75</v>
      </c>
      <c r="F527" s="5" t="s">
        <v>7305</v>
      </c>
      <c r="G527" s="12">
        <v>921</v>
      </c>
      <c r="H527" s="12">
        <v>46.05</v>
      </c>
      <c r="I527" s="12">
        <v>874.95</v>
      </c>
      <c r="J527" s="12">
        <f>SUMIF(order_item!B:B,A527,order_item!E:E)</f>
        <v>921</v>
      </c>
      <c r="K527" s="28" t="str">
        <f>_xlfn.XLOOKUP(B527,customers!A:A,customers!D:D)</f>
        <v>New</v>
      </c>
    </row>
    <row r="528" spans="1:11" x14ac:dyDescent="0.25">
      <c r="A528" s="5" t="s">
        <v>5475</v>
      </c>
      <c r="B528" s="5" t="s">
        <v>615</v>
      </c>
      <c r="C528" s="5" t="s">
        <v>7309</v>
      </c>
      <c r="D528" s="1">
        <v>45585</v>
      </c>
      <c r="E528" s="17">
        <v>0.53819444444444442</v>
      </c>
      <c r="F528" s="5" t="s">
        <v>7305</v>
      </c>
      <c r="G528" s="12">
        <v>475</v>
      </c>
      <c r="H528" s="12">
        <v>47.5</v>
      </c>
      <c r="I528" s="12">
        <v>427.5</v>
      </c>
      <c r="J528" s="12">
        <f>SUMIF(order_item!B:B,A528,order_item!E:E)</f>
        <v>475</v>
      </c>
      <c r="K528" s="28" t="str">
        <f>_xlfn.XLOOKUP(B528,customers!A:A,customers!D:D)</f>
        <v>New</v>
      </c>
    </row>
    <row r="529" spans="1:11" x14ac:dyDescent="0.25">
      <c r="A529" s="5" t="s">
        <v>5472</v>
      </c>
      <c r="B529" s="5" t="s">
        <v>381</v>
      </c>
      <c r="C529" s="5" t="s">
        <v>7309</v>
      </c>
      <c r="D529" s="1">
        <v>45463</v>
      </c>
      <c r="E529" s="17">
        <v>0.89930555555555547</v>
      </c>
      <c r="F529" s="5" t="s">
        <v>7305</v>
      </c>
      <c r="G529" s="12">
        <v>267</v>
      </c>
      <c r="H529" s="12">
        <v>0</v>
      </c>
      <c r="I529" s="12">
        <v>267</v>
      </c>
      <c r="J529" s="12">
        <f>SUMIF(order_item!B:B,A529,order_item!E:E)</f>
        <v>267</v>
      </c>
      <c r="K529" s="28" t="str">
        <f>_xlfn.XLOOKUP(B529,customers!A:A,customers!D:D)</f>
        <v>Premium</v>
      </c>
    </row>
    <row r="530" spans="1:11" x14ac:dyDescent="0.25">
      <c r="A530" s="5" t="s">
        <v>5467</v>
      </c>
      <c r="B530" s="5" t="s">
        <v>275</v>
      </c>
      <c r="C530" s="5" t="s">
        <v>7306</v>
      </c>
      <c r="D530" s="1">
        <v>45500</v>
      </c>
      <c r="E530" s="17">
        <v>0.86805555555555547</v>
      </c>
      <c r="F530" s="5" t="s">
        <v>7305</v>
      </c>
      <c r="G530" s="12">
        <v>822</v>
      </c>
      <c r="H530" s="12">
        <v>0</v>
      </c>
      <c r="I530" s="12">
        <v>822</v>
      </c>
      <c r="J530" s="12">
        <f>SUMIF(order_item!B:B,A530,order_item!E:E)</f>
        <v>822</v>
      </c>
      <c r="K530" s="28" t="str">
        <f>_xlfn.XLOOKUP(B530,customers!A:A,customers!D:D)</f>
        <v>Regular</v>
      </c>
    </row>
    <row r="531" spans="1:11" x14ac:dyDescent="0.25">
      <c r="A531" s="5" t="s">
        <v>5463</v>
      </c>
      <c r="B531" s="5" t="s">
        <v>757</v>
      </c>
      <c r="C531" s="5" t="s">
        <v>7308</v>
      </c>
      <c r="D531" s="1">
        <v>45536</v>
      </c>
      <c r="E531" s="17">
        <v>0.68611111111111101</v>
      </c>
      <c r="F531" s="5" t="s">
        <v>7305</v>
      </c>
      <c r="G531" s="12">
        <v>743</v>
      </c>
      <c r="H531" s="12">
        <v>0</v>
      </c>
      <c r="I531" s="12">
        <v>743</v>
      </c>
      <c r="J531" s="12">
        <f>SUMIF(order_item!B:B,A531,order_item!E:E)</f>
        <v>743</v>
      </c>
      <c r="K531" s="28" t="str">
        <f>_xlfn.XLOOKUP(B531,customers!A:A,customers!D:D)</f>
        <v>New</v>
      </c>
    </row>
    <row r="532" spans="1:11" x14ac:dyDescent="0.25">
      <c r="A532" s="5" t="s">
        <v>5460</v>
      </c>
      <c r="B532" s="5" t="s">
        <v>821</v>
      </c>
      <c r="C532" s="5" t="s">
        <v>7309</v>
      </c>
      <c r="D532" s="1">
        <v>45516</v>
      </c>
      <c r="E532" s="17">
        <v>0.59375</v>
      </c>
      <c r="F532" s="5" t="s">
        <v>7305</v>
      </c>
      <c r="G532" s="12">
        <v>276</v>
      </c>
      <c r="H532" s="12">
        <v>0</v>
      </c>
      <c r="I532" s="12">
        <v>276</v>
      </c>
      <c r="J532" s="12">
        <f>SUMIF(order_item!B:B,A532,order_item!E:E)</f>
        <v>276</v>
      </c>
      <c r="K532" s="28" t="str">
        <f>_xlfn.XLOOKUP(B532,customers!A:A,customers!D:D)</f>
        <v>Premium</v>
      </c>
    </row>
    <row r="533" spans="1:11" x14ac:dyDescent="0.25">
      <c r="A533" s="5" t="s">
        <v>5457</v>
      </c>
      <c r="B533" s="5" t="s">
        <v>827</v>
      </c>
      <c r="C533" s="5" t="s">
        <v>7309</v>
      </c>
      <c r="D533" s="1">
        <v>45600</v>
      </c>
      <c r="E533" s="17">
        <v>0.73263888888888884</v>
      </c>
      <c r="F533" s="5" t="s">
        <v>7305</v>
      </c>
      <c r="G533" s="12">
        <v>873</v>
      </c>
      <c r="H533" s="12">
        <v>0</v>
      </c>
      <c r="I533" s="12">
        <v>873</v>
      </c>
      <c r="J533" s="12">
        <f>SUMIF(order_item!B:B,A533,order_item!E:E)</f>
        <v>873</v>
      </c>
      <c r="K533" s="28" t="str">
        <f>_xlfn.XLOOKUP(B533,customers!A:A,customers!D:D)</f>
        <v>Regular</v>
      </c>
    </row>
    <row r="534" spans="1:11" x14ac:dyDescent="0.25">
      <c r="A534" s="5" t="s">
        <v>5454</v>
      </c>
      <c r="B534" s="5" t="s">
        <v>561</v>
      </c>
      <c r="C534" s="5" t="s">
        <v>7309</v>
      </c>
      <c r="D534" s="1">
        <v>45602</v>
      </c>
      <c r="E534" s="17">
        <v>0.90833333333333333</v>
      </c>
      <c r="F534" s="5" t="s">
        <v>7305</v>
      </c>
      <c r="G534" s="12">
        <v>644</v>
      </c>
      <c r="H534" s="12">
        <v>32.200000000000003</v>
      </c>
      <c r="I534" s="12">
        <v>611.79999999999995</v>
      </c>
      <c r="J534" s="12">
        <f>SUMIF(order_item!B:B,A534,order_item!E:E)</f>
        <v>644</v>
      </c>
      <c r="K534" s="28" t="str">
        <f>_xlfn.XLOOKUP(B534,customers!A:A,customers!D:D)</f>
        <v>Regular</v>
      </c>
    </row>
    <row r="535" spans="1:11" x14ac:dyDescent="0.25">
      <c r="A535" s="5" t="s">
        <v>5451</v>
      </c>
      <c r="B535" s="5" t="s">
        <v>854</v>
      </c>
      <c r="C535" s="5" t="s">
        <v>7309</v>
      </c>
      <c r="D535" s="1">
        <v>45610</v>
      </c>
      <c r="E535" s="17">
        <v>0.73333333333333339</v>
      </c>
      <c r="F535" s="5" t="s">
        <v>7305</v>
      </c>
      <c r="G535" s="12">
        <v>832</v>
      </c>
      <c r="H535" s="12">
        <v>124.8</v>
      </c>
      <c r="I535" s="12">
        <v>707.2</v>
      </c>
      <c r="J535" s="12">
        <f>SUMIF(order_item!B:B,A535,order_item!E:E)</f>
        <v>832</v>
      </c>
      <c r="K535" s="28" t="str">
        <f>_xlfn.XLOOKUP(B535,customers!A:A,customers!D:D)</f>
        <v>New</v>
      </c>
    </row>
    <row r="536" spans="1:11" x14ac:dyDescent="0.25">
      <c r="A536" s="5" t="s">
        <v>5449</v>
      </c>
      <c r="B536" s="5" t="s">
        <v>659</v>
      </c>
      <c r="C536" s="5" t="s">
        <v>7309</v>
      </c>
      <c r="D536" s="1">
        <v>45389</v>
      </c>
      <c r="E536" s="17">
        <v>0.82361111111111107</v>
      </c>
      <c r="F536" s="5" t="s">
        <v>7305</v>
      </c>
      <c r="G536" s="12">
        <v>298</v>
      </c>
      <c r="H536" s="12">
        <v>29.8</v>
      </c>
      <c r="I536" s="12">
        <v>268.2</v>
      </c>
      <c r="J536" s="12">
        <f>SUMIF(order_item!B:B,A536,order_item!E:E)</f>
        <v>298</v>
      </c>
      <c r="K536" s="28" t="str">
        <f>_xlfn.XLOOKUP(B536,customers!A:A,customers!D:D)</f>
        <v>New</v>
      </c>
    </row>
    <row r="537" spans="1:11" x14ac:dyDescent="0.25">
      <c r="A537" s="5" t="s">
        <v>5446</v>
      </c>
      <c r="B537" s="5" t="s">
        <v>788</v>
      </c>
      <c r="C537" s="5" t="s">
        <v>7306</v>
      </c>
      <c r="D537" s="1">
        <v>45638</v>
      </c>
      <c r="E537" s="17">
        <v>0.91527777777777775</v>
      </c>
      <c r="F537" s="5" t="s">
        <v>7305</v>
      </c>
      <c r="G537" s="12">
        <v>792</v>
      </c>
      <c r="H537" s="12">
        <v>0</v>
      </c>
      <c r="I537" s="12">
        <v>792</v>
      </c>
      <c r="J537" s="12">
        <f>SUMIF(order_item!B:B,A537,order_item!E:E)</f>
        <v>792</v>
      </c>
      <c r="K537" s="28" t="str">
        <f>_xlfn.XLOOKUP(B537,customers!A:A,customers!D:D)</f>
        <v>New</v>
      </c>
    </row>
    <row r="538" spans="1:11" x14ac:dyDescent="0.25">
      <c r="A538" s="5" t="s">
        <v>5443</v>
      </c>
      <c r="B538" s="5" t="s">
        <v>232</v>
      </c>
      <c r="C538" s="5" t="s">
        <v>7309</v>
      </c>
      <c r="D538" s="1">
        <v>45475</v>
      </c>
      <c r="E538" s="17">
        <v>0.9145833333333333</v>
      </c>
      <c r="F538" s="5" t="s">
        <v>7305</v>
      </c>
      <c r="G538" s="12">
        <v>465</v>
      </c>
      <c r="H538" s="12">
        <v>0</v>
      </c>
      <c r="I538" s="12">
        <v>465</v>
      </c>
      <c r="J538" s="12">
        <f>SUMIF(order_item!B:B,A538,order_item!E:E)</f>
        <v>465</v>
      </c>
      <c r="K538" s="28" t="str">
        <f>_xlfn.XLOOKUP(B538,customers!A:A,customers!D:D)</f>
        <v>Regular</v>
      </c>
    </row>
    <row r="539" spans="1:11" x14ac:dyDescent="0.25">
      <c r="A539" s="5" t="s">
        <v>5440</v>
      </c>
      <c r="B539" s="5" t="s">
        <v>753</v>
      </c>
      <c r="C539" s="5" t="s">
        <v>7308</v>
      </c>
      <c r="D539" s="1">
        <v>45613</v>
      </c>
      <c r="E539" s="17">
        <v>0.57222222222222219</v>
      </c>
      <c r="F539" s="5" t="s">
        <v>7305</v>
      </c>
      <c r="G539" s="12">
        <v>1291</v>
      </c>
      <c r="H539" s="12">
        <v>0</v>
      </c>
      <c r="I539" s="12">
        <v>1291</v>
      </c>
      <c r="J539" s="12">
        <f>SUMIF(order_item!B:B,A539,order_item!E:E)</f>
        <v>1291</v>
      </c>
      <c r="K539" s="28" t="str">
        <f>_xlfn.XLOOKUP(B539,customers!A:A,customers!D:D)</f>
        <v>Regular</v>
      </c>
    </row>
    <row r="540" spans="1:11" x14ac:dyDescent="0.25">
      <c r="A540" s="5" t="s">
        <v>5437</v>
      </c>
      <c r="B540" s="5" t="s">
        <v>445</v>
      </c>
      <c r="C540" s="5" t="s">
        <v>7309</v>
      </c>
      <c r="D540" s="1">
        <v>45564</v>
      </c>
      <c r="E540" s="17">
        <v>0.84375</v>
      </c>
      <c r="F540" s="5" t="s">
        <v>7305</v>
      </c>
      <c r="G540" s="12">
        <v>238</v>
      </c>
      <c r="H540" s="12">
        <v>35.700000000000003</v>
      </c>
      <c r="I540" s="12">
        <v>202.3</v>
      </c>
      <c r="J540" s="12">
        <f>SUMIF(order_item!B:B,A540,order_item!E:E)</f>
        <v>238</v>
      </c>
      <c r="K540" s="28" t="str">
        <f>_xlfn.XLOOKUP(B540,customers!A:A,customers!D:D)</f>
        <v>Regular</v>
      </c>
    </row>
    <row r="541" spans="1:11" x14ac:dyDescent="0.25">
      <c r="A541" s="5" t="s">
        <v>5432</v>
      </c>
      <c r="B541" s="5" t="s">
        <v>184</v>
      </c>
      <c r="C541" s="5" t="s">
        <v>7309</v>
      </c>
      <c r="D541" s="1">
        <v>45684</v>
      </c>
      <c r="E541" s="17">
        <v>0.90763888888888899</v>
      </c>
      <c r="F541" s="5" t="s">
        <v>7305</v>
      </c>
      <c r="G541" s="12">
        <v>475</v>
      </c>
      <c r="H541" s="12">
        <v>0</v>
      </c>
      <c r="I541" s="12">
        <v>475</v>
      </c>
      <c r="J541" s="12">
        <f>SUMIF(order_item!B:B,A541,order_item!E:E)</f>
        <v>475</v>
      </c>
      <c r="K541" s="28" t="str">
        <f>_xlfn.XLOOKUP(B541,customers!A:A,customers!D:D)</f>
        <v>Regular</v>
      </c>
    </row>
    <row r="542" spans="1:11" x14ac:dyDescent="0.25">
      <c r="A542" s="5" t="s">
        <v>5427</v>
      </c>
      <c r="B542" s="5" t="s">
        <v>545</v>
      </c>
      <c r="C542" s="5" t="s">
        <v>7306</v>
      </c>
      <c r="D542" s="1">
        <v>45694</v>
      </c>
      <c r="E542" s="17">
        <v>0.57291666666666663</v>
      </c>
      <c r="F542" s="5" t="s">
        <v>7305</v>
      </c>
      <c r="G542" s="12">
        <v>613</v>
      </c>
      <c r="H542" s="12">
        <v>0</v>
      </c>
      <c r="I542" s="12">
        <v>613</v>
      </c>
      <c r="J542" s="12">
        <f>SUMIF(order_item!B:B,A542,order_item!E:E)</f>
        <v>613</v>
      </c>
      <c r="K542" s="28" t="str">
        <f>_xlfn.XLOOKUP(B542,customers!A:A,customers!D:D)</f>
        <v>New</v>
      </c>
    </row>
    <row r="543" spans="1:11" x14ac:dyDescent="0.25">
      <c r="A543" s="5" t="s">
        <v>5424</v>
      </c>
      <c r="B543" s="5" t="s">
        <v>769</v>
      </c>
      <c r="C543" s="5" t="s">
        <v>7309</v>
      </c>
      <c r="D543" s="1">
        <v>45511</v>
      </c>
      <c r="E543" s="17">
        <v>4.5833333333333337E-2</v>
      </c>
      <c r="F543" s="5" t="s">
        <v>7305</v>
      </c>
      <c r="G543" s="12">
        <v>247</v>
      </c>
      <c r="H543" s="12">
        <v>0</v>
      </c>
      <c r="I543" s="12">
        <v>247</v>
      </c>
      <c r="J543" s="12">
        <f>SUMIF(order_item!B:B,A543,order_item!E:E)</f>
        <v>247</v>
      </c>
      <c r="K543" s="28" t="str">
        <f>_xlfn.XLOOKUP(B543,customers!A:A,customers!D:D)</f>
        <v>Regular</v>
      </c>
    </row>
    <row r="544" spans="1:11" x14ac:dyDescent="0.25">
      <c r="A544" s="5" t="s">
        <v>5421</v>
      </c>
      <c r="B544" s="5" t="s">
        <v>564</v>
      </c>
      <c r="C544" s="5" t="s">
        <v>7309</v>
      </c>
      <c r="D544" s="1">
        <v>45493</v>
      </c>
      <c r="E544" s="17">
        <v>0.43194444444444446</v>
      </c>
      <c r="F544" s="5" t="s">
        <v>7305</v>
      </c>
      <c r="G544" s="12">
        <v>178</v>
      </c>
      <c r="H544" s="12">
        <v>0</v>
      </c>
      <c r="I544" s="12">
        <v>178</v>
      </c>
      <c r="J544" s="12">
        <f>SUMIF(order_item!B:B,A544,order_item!E:E)</f>
        <v>178</v>
      </c>
      <c r="K544" s="28" t="str">
        <f>_xlfn.XLOOKUP(B544,customers!A:A,customers!D:D)</f>
        <v>Regular</v>
      </c>
    </row>
    <row r="545" spans="1:11" x14ac:dyDescent="0.25">
      <c r="A545" s="5" t="s">
        <v>5418</v>
      </c>
      <c r="B545" s="5" t="s">
        <v>750</v>
      </c>
      <c r="C545" s="5" t="s">
        <v>7306</v>
      </c>
      <c r="D545" s="1">
        <v>45720</v>
      </c>
      <c r="E545" s="17">
        <v>0.72569444444444453</v>
      </c>
      <c r="F545" s="5" t="s">
        <v>7307</v>
      </c>
      <c r="G545" s="12">
        <v>834</v>
      </c>
      <c r="H545" s="12">
        <v>0</v>
      </c>
      <c r="I545" s="12">
        <v>0</v>
      </c>
      <c r="J545" s="12">
        <f>SUMIF(order_item!B:B,A545,order_item!E:E)</f>
        <v>834</v>
      </c>
      <c r="K545" s="28" t="str">
        <f>_xlfn.XLOOKUP(B545,customers!A:A,customers!D:D)</f>
        <v>Premium</v>
      </c>
    </row>
    <row r="546" spans="1:11" x14ac:dyDescent="0.25">
      <c r="A546" s="5" t="s">
        <v>5413</v>
      </c>
      <c r="B546" s="5" t="s">
        <v>827</v>
      </c>
      <c r="C546" s="5" t="s">
        <v>7306</v>
      </c>
      <c r="D546" s="1">
        <v>45403</v>
      </c>
      <c r="E546" s="17">
        <v>0.76041666666666663</v>
      </c>
      <c r="F546" s="5" t="s">
        <v>7305</v>
      </c>
      <c r="G546" s="12">
        <v>712</v>
      </c>
      <c r="H546" s="12">
        <v>0</v>
      </c>
      <c r="I546" s="12">
        <v>712</v>
      </c>
      <c r="J546" s="12">
        <f>SUMIF(order_item!B:B,A546,order_item!E:E)</f>
        <v>712</v>
      </c>
      <c r="K546" s="28" t="str">
        <f>_xlfn.XLOOKUP(B546,customers!A:A,customers!D:D)</f>
        <v>Regular</v>
      </c>
    </row>
    <row r="547" spans="1:11" x14ac:dyDescent="0.25">
      <c r="A547" s="5" t="s">
        <v>5410</v>
      </c>
      <c r="B547" s="5" t="s">
        <v>865</v>
      </c>
      <c r="C547" s="5" t="s">
        <v>7309</v>
      </c>
      <c r="D547" s="1">
        <v>45620</v>
      </c>
      <c r="E547" s="17">
        <v>0.57361111111111118</v>
      </c>
      <c r="F547" s="5" t="s">
        <v>7307</v>
      </c>
      <c r="G547" s="12">
        <v>168</v>
      </c>
      <c r="H547" s="12">
        <v>8.4</v>
      </c>
      <c r="I547" s="12">
        <v>0</v>
      </c>
      <c r="J547" s="12">
        <f>SUMIF(order_item!B:B,A547,order_item!E:E)</f>
        <v>168</v>
      </c>
      <c r="K547" s="28" t="str">
        <f>_xlfn.XLOOKUP(B547,customers!A:A,customers!D:D)</f>
        <v>New</v>
      </c>
    </row>
    <row r="548" spans="1:11" x14ac:dyDescent="0.25">
      <c r="A548" s="5" t="s">
        <v>5405</v>
      </c>
      <c r="B548" s="5" t="s">
        <v>527</v>
      </c>
      <c r="C548" s="5" t="s">
        <v>7309</v>
      </c>
      <c r="D548" s="1">
        <v>45520</v>
      </c>
      <c r="E548" s="17">
        <v>0.6958333333333333</v>
      </c>
      <c r="F548" s="5" t="s">
        <v>7305</v>
      </c>
      <c r="G548" s="12">
        <v>633</v>
      </c>
      <c r="H548" s="12">
        <v>0</v>
      </c>
      <c r="I548" s="12">
        <v>633</v>
      </c>
      <c r="J548" s="12">
        <f>SUMIF(order_item!B:B,A548,order_item!E:E)</f>
        <v>633</v>
      </c>
      <c r="K548" s="28" t="str">
        <f>_xlfn.XLOOKUP(B548,customers!A:A,customers!D:D)</f>
        <v>New</v>
      </c>
    </row>
    <row r="549" spans="1:11" x14ac:dyDescent="0.25">
      <c r="A549" s="5" t="s">
        <v>5401</v>
      </c>
      <c r="B549" s="5" t="s">
        <v>207</v>
      </c>
      <c r="C549" s="5" t="s">
        <v>7309</v>
      </c>
      <c r="D549" s="1">
        <v>45401</v>
      </c>
      <c r="E549" s="17">
        <v>0.88750000000000007</v>
      </c>
      <c r="F549" s="5" t="s">
        <v>7305</v>
      </c>
      <c r="G549" s="12">
        <v>426</v>
      </c>
      <c r="H549" s="12">
        <v>0</v>
      </c>
      <c r="I549" s="12">
        <v>426</v>
      </c>
      <c r="J549" s="12">
        <f>SUMIF(order_item!B:B,A549,order_item!E:E)</f>
        <v>426</v>
      </c>
      <c r="K549" s="28" t="str">
        <f>_xlfn.XLOOKUP(B549,customers!A:A,customers!D:D)</f>
        <v>Regular</v>
      </c>
    </row>
    <row r="550" spans="1:11" x14ac:dyDescent="0.25">
      <c r="A550" s="5" t="s">
        <v>5397</v>
      </c>
      <c r="B550" s="5" t="s">
        <v>216</v>
      </c>
      <c r="C550" s="5" t="s">
        <v>7309</v>
      </c>
      <c r="D550" s="1">
        <v>45627</v>
      </c>
      <c r="E550" s="17">
        <v>0.79166666666666663</v>
      </c>
      <c r="F550" s="5" t="s">
        <v>7305</v>
      </c>
      <c r="G550" s="12">
        <v>595</v>
      </c>
      <c r="H550" s="12">
        <v>59.5</v>
      </c>
      <c r="I550" s="12">
        <v>535.5</v>
      </c>
      <c r="J550" s="12">
        <f>SUMIF(order_item!B:B,A550,order_item!E:E)</f>
        <v>595</v>
      </c>
      <c r="K550" s="28" t="str">
        <f>_xlfn.XLOOKUP(B550,customers!A:A,customers!D:D)</f>
        <v>Regular</v>
      </c>
    </row>
    <row r="551" spans="1:11" x14ac:dyDescent="0.25">
      <c r="A551" s="5" t="s">
        <v>5394</v>
      </c>
      <c r="B551" s="5" t="s">
        <v>513</v>
      </c>
      <c r="C551" s="5" t="s">
        <v>7309</v>
      </c>
      <c r="D551" s="1">
        <v>45692</v>
      </c>
      <c r="E551" s="17">
        <v>0.47361111111111115</v>
      </c>
      <c r="F551" s="5" t="s">
        <v>7305</v>
      </c>
      <c r="G551" s="12">
        <v>158</v>
      </c>
      <c r="H551" s="12">
        <v>0</v>
      </c>
      <c r="I551" s="12">
        <v>158</v>
      </c>
      <c r="J551" s="12">
        <f>SUMIF(order_item!B:B,A551,order_item!E:E)</f>
        <v>158</v>
      </c>
      <c r="K551" s="28" t="str">
        <f>_xlfn.XLOOKUP(B551,customers!A:A,customers!D:D)</f>
        <v>Regular</v>
      </c>
    </row>
    <row r="552" spans="1:11" x14ac:dyDescent="0.25">
      <c r="A552" s="5" t="s">
        <v>5391</v>
      </c>
      <c r="B552" s="5" t="s">
        <v>487</v>
      </c>
      <c r="C552" s="5" t="s">
        <v>7309</v>
      </c>
      <c r="D552" s="1">
        <v>45617</v>
      </c>
      <c r="E552" s="17">
        <v>0.8305555555555556</v>
      </c>
      <c r="F552" s="5" t="s">
        <v>7305</v>
      </c>
      <c r="G552" s="12">
        <v>118</v>
      </c>
      <c r="H552" s="12">
        <v>11.8</v>
      </c>
      <c r="I552" s="12">
        <v>106.2</v>
      </c>
      <c r="J552" s="12">
        <f>SUMIF(order_item!B:B,A552,order_item!E:E)</f>
        <v>118</v>
      </c>
      <c r="K552" s="28" t="str">
        <f>_xlfn.XLOOKUP(B552,customers!A:A,customers!D:D)</f>
        <v>New</v>
      </c>
    </row>
    <row r="553" spans="1:11" x14ac:dyDescent="0.25">
      <c r="A553" s="5" t="s">
        <v>5386</v>
      </c>
      <c r="B553" s="5" t="s">
        <v>252</v>
      </c>
      <c r="C553" s="5" t="s">
        <v>7306</v>
      </c>
      <c r="D553" s="1">
        <v>45684</v>
      </c>
      <c r="E553" s="17">
        <v>0.81666666666666676</v>
      </c>
      <c r="F553" s="5" t="s">
        <v>7305</v>
      </c>
      <c r="G553" s="12">
        <v>1240</v>
      </c>
      <c r="H553" s="12">
        <v>0</v>
      </c>
      <c r="I553" s="12">
        <v>1240</v>
      </c>
      <c r="J553" s="12">
        <f>SUMIF(order_item!B:B,A553,order_item!E:E)</f>
        <v>1240</v>
      </c>
      <c r="K553" s="28" t="str">
        <f>_xlfn.XLOOKUP(B553,customers!A:A,customers!D:D)</f>
        <v>Regular</v>
      </c>
    </row>
    <row r="554" spans="1:11" x14ac:dyDescent="0.25">
      <c r="A554" s="5" t="s">
        <v>5383</v>
      </c>
      <c r="B554" s="5" t="s">
        <v>671</v>
      </c>
      <c r="C554" s="5" t="s">
        <v>7306</v>
      </c>
      <c r="D554" s="1">
        <v>45671</v>
      </c>
      <c r="E554" s="17">
        <v>0.67569444444444438</v>
      </c>
      <c r="F554" s="5" t="s">
        <v>7305</v>
      </c>
      <c r="G554" s="12">
        <v>316</v>
      </c>
      <c r="H554" s="12">
        <v>31.6</v>
      </c>
      <c r="I554" s="12">
        <v>284.39999999999998</v>
      </c>
      <c r="J554" s="12">
        <f>SUMIF(order_item!B:B,A554,order_item!E:E)</f>
        <v>316</v>
      </c>
      <c r="K554" s="28" t="str">
        <f>_xlfn.XLOOKUP(B554,customers!A:A,customers!D:D)</f>
        <v>Regular</v>
      </c>
    </row>
    <row r="555" spans="1:11" x14ac:dyDescent="0.25">
      <c r="A555" s="5" t="s">
        <v>5380</v>
      </c>
      <c r="B555" s="5" t="s">
        <v>813</v>
      </c>
      <c r="C555" s="5" t="s">
        <v>7306</v>
      </c>
      <c r="D555" s="1">
        <v>45665</v>
      </c>
      <c r="E555" s="17">
        <v>0.83958333333333324</v>
      </c>
      <c r="F555" s="5" t="s">
        <v>7305</v>
      </c>
      <c r="G555" s="12">
        <v>435</v>
      </c>
      <c r="H555" s="12">
        <v>0</v>
      </c>
      <c r="I555" s="12">
        <v>435</v>
      </c>
      <c r="J555" s="12">
        <f>SUMIF(order_item!B:B,A555,order_item!E:E)</f>
        <v>435</v>
      </c>
      <c r="K555" s="28" t="str">
        <f>_xlfn.XLOOKUP(B555,customers!A:A,customers!D:D)</f>
        <v>Premium</v>
      </c>
    </row>
    <row r="556" spans="1:11" x14ac:dyDescent="0.25">
      <c r="A556" s="5" t="s">
        <v>5377</v>
      </c>
      <c r="B556" s="5" t="s">
        <v>805</v>
      </c>
      <c r="C556" s="5" t="s">
        <v>7308</v>
      </c>
      <c r="D556" s="1">
        <v>45632</v>
      </c>
      <c r="E556" s="17">
        <v>0.83124999999999993</v>
      </c>
      <c r="F556" s="5" t="s">
        <v>7307</v>
      </c>
      <c r="G556" s="12">
        <v>397</v>
      </c>
      <c r="H556" s="12">
        <v>19.850000000000001</v>
      </c>
      <c r="I556" s="12">
        <v>0</v>
      </c>
      <c r="J556" s="12">
        <f>SUMIF(order_item!B:B,A556,order_item!E:E)</f>
        <v>397</v>
      </c>
      <c r="K556" s="28" t="str">
        <f>_xlfn.XLOOKUP(B556,customers!A:A,customers!D:D)</f>
        <v>Regular</v>
      </c>
    </row>
    <row r="557" spans="1:11" x14ac:dyDescent="0.25">
      <c r="A557" s="5" t="s">
        <v>5374</v>
      </c>
      <c r="B557" s="5" t="s">
        <v>657</v>
      </c>
      <c r="C557" s="5" t="s">
        <v>7309</v>
      </c>
      <c r="D557" s="1">
        <v>45486</v>
      </c>
      <c r="E557" s="17">
        <v>0.72152777777777777</v>
      </c>
      <c r="F557" s="5" t="s">
        <v>7305</v>
      </c>
      <c r="G557" s="12">
        <v>427</v>
      </c>
      <c r="H557" s="12">
        <v>0</v>
      </c>
      <c r="I557" s="12">
        <v>427</v>
      </c>
      <c r="J557" s="12">
        <f>SUMIF(order_item!B:B,A557,order_item!E:E)</f>
        <v>427</v>
      </c>
      <c r="K557" s="28" t="str">
        <f>_xlfn.XLOOKUP(B557,customers!A:A,customers!D:D)</f>
        <v>Regular</v>
      </c>
    </row>
    <row r="558" spans="1:11" x14ac:dyDescent="0.25">
      <c r="A558" s="5" t="s">
        <v>5371</v>
      </c>
      <c r="B558" s="5" t="s">
        <v>621</v>
      </c>
      <c r="C558" s="5" t="s">
        <v>7309</v>
      </c>
      <c r="D558" s="1">
        <v>45581</v>
      </c>
      <c r="E558" s="17">
        <v>0.60347222222222219</v>
      </c>
      <c r="F558" s="5" t="s">
        <v>7305</v>
      </c>
      <c r="G558" s="12">
        <v>316</v>
      </c>
      <c r="H558" s="12">
        <v>31.6</v>
      </c>
      <c r="I558" s="12">
        <v>284.39999999999998</v>
      </c>
      <c r="J558" s="12">
        <f>SUMIF(order_item!B:B,A558,order_item!E:E)</f>
        <v>316</v>
      </c>
      <c r="K558" s="28" t="str">
        <f>_xlfn.XLOOKUP(B558,customers!A:A,customers!D:D)</f>
        <v>New</v>
      </c>
    </row>
    <row r="559" spans="1:11" x14ac:dyDescent="0.25">
      <c r="A559" s="5" t="s">
        <v>5367</v>
      </c>
      <c r="B559" s="5" t="s">
        <v>407</v>
      </c>
      <c r="C559" s="5" t="s">
        <v>7306</v>
      </c>
      <c r="D559" s="1">
        <v>45666</v>
      </c>
      <c r="E559" s="17">
        <v>0.75555555555555554</v>
      </c>
      <c r="F559" s="5" t="s">
        <v>7305</v>
      </c>
      <c r="G559" s="12">
        <v>622</v>
      </c>
      <c r="H559" s="12">
        <v>31.1</v>
      </c>
      <c r="I559" s="12">
        <v>590.9</v>
      </c>
      <c r="J559" s="12">
        <f>SUMIF(order_item!B:B,A559,order_item!E:E)</f>
        <v>622</v>
      </c>
      <c r="K559" s="28" t="str">
        <f>_xlfn.XLOOKUP(B559,customers!A:A,customers!D:D)</f>
        <v>New</v>
      </c>
    </row>
    <row r="560" spans="1:11" x14ac:dyDescent="0.25">
      <c r="A560" s="5" t="s">
        <v>5364</v>
      </c>
      <c r="B560" s="5" t="s">
        <v>430</v>
      </c>
      <c r="C560" s="5" t="s">
        <v>7309</v>
      </c>
      <c r="D560" s="1">
        <v>45494</v>
      </c>
      <c r="E560" s="17">
        <v>0.43124999999999997</v>
      </c>
      <c r="F560" s="5" t="s">
        <v>7305</v>
      </c>
      <c r="G560" s="12">
        <v>475</v>
      </c>
      <c r="H560" s="12">
        <v>0</v>
      </c>
      <c r="I560" s="12">
        <v>475</v>
      </c>
      <c r="J560" s="12">
        <f>SUMIF(order_item!B:B,A560,order_item!E:E)</f>
        <v>475</v>
      </c>
      <c r="K560" s="28" t="str">
        <f>_xlfn.XLOOKUP(B560,customers!A:A,customers!D:D)</f>
        <v>Regular</v>
      </c>
    </row>
    <row r="561" spans="1:11" x14ac:dyDescent="0.25">
      <c r="A561" s="5" t="s">
        <v>5360</v>
      </c>
      <c r="B561" s="5" t="s">
        <v>299</v>
      </c>
      <c r="C561" s="5" t="s">
        <v>7308</v>
      </c>
      <c r="D561" s="1">
        <v>45403</v>
      </c>
      <c r="E561" s="17">
        <v>0.73263888888888884</v>
      </c>
      <c r="F561" s="5" t="s">
        <v>7305</v>
      </c>
      <c r="G561" s="12">
        <v>1251</v>
      </c>
      <c r="H561" s="12">
        <v>0</v>
      </c>
      <c r="I561" s="12">
        <v>1251</v>
      </c>
      <c r="J561" s="12">
        <f>SUMIF(order_item!B:B,A561,order_item!E:E)</f>
        <v>1251</v>
      </c>
      <c r="K561" s="28" t="str">
        <f>_xlfn.XLOOKUP(B561,customers!A:A,customers!D:D)</f>
        <v>Regular</v>
      </c>
    </row>
    <row r="562" spans="1:11" x14ac:dyDescent="0.25">
      <c r="A562" s="5" t="s">
        <v>5358</v>
      </c>
      <c r="B562" s="5" t="s">
        <v>807</v>
      </c>
      <c r="C562" s="5" t="s">
        <v>7309</v>
      </c>
      <c r="D562" s="1">
        <v>45409</v>
      </c>
      <c r="E562" s="17">
        <v>0.68958333333333333</v>
      </c>
      <c r="F562" s="5" t="s">
        <v>7305</v>
      </c>
      <c r="G562" s="12">
        <v>149</v>
      </c>
      <c r="H562" s="12">
        <v>7.45</v>
      </c>
      <c r="I562" s="12">
        <v>141.55000000000001</v>
      </c>
      <c r="J562" s="12">
        <f>SUMIF(order_item!B:B,A562,order_item!E:E)</f>
        <v>149</v>
      </c>
      <c r="K562" s="28" t="str">
        <f>_xlfn.XLOOKUP(B562,customers!A:A,customers!D:D)</f>
        <v>Regular</v>
      </c>
    </row>
    <row r="563" spans="1:11" x14ac:dyDescent="0.25">
      <c r="A563" s="5" t="s">
        <v>5354</v>
      </c>
      <c r="B563" s="5" t="s">
        <v>709</v>
      </c>
      <c r="C563" s="5" t="s">
        <v>7306</v>
      </c>
      <c r="D563" s="1">
        <v>45508</v>
      </c>
      <c r="E563" s="17">
        <v>0.74444444444444446</v>
      </c>
      <c r="F563" s="5" t="s">
        <v>7307</v>
      </c>
      <c r="G563" s="12">
        <v>854</v>
      </c>
      <c r="H563" s="12">
        <v>0</v>
      </c>
      <c r="I563" s="12">
        <v>0</v>
      </c>
      <c r="J563" s="12">
        <f>SUMIF(order_item!B:B,A563,order_item!E:E)</f>
        <v>854</v>
      </c>
      <c r="K563" s="28" t="str">
        <f>_xlfn.XLOOKUP(B563,customers!A:A,customers!D:D)</f>
        <v>Regular</v>
      </c>
    </row>
    <row r="564" spans="1:11" x14ac:dyDescent="0.25">
      <c r="A564" s="5" t="s">
        <v>5350</v>
      </c>
      <c r="B564" s="5" t="s">
        <v>526</v>
      </c>
      <c r="C564" s="5" t="s">
        <v>7309</v>
      </c>
      <c r="D564" s="1">
        <v>45450</v>
      </c>
      <c r="E564" s="17">
        <v>0.96666666666666667</v>
      </c>
      <c r="F564" s="5" t="s">
        <v>7305</v>
      </c>
      <c r="G564" s="12">
        <v>387</v>
      </c>
      <c r="H564" s="12">
        <v>38.700000000000003</v>
      </c>
      <c r="I564" s="12">
        <v>348.3</v>
      </c>
      <c r="J564" s="12">
        <f>SUMIF(order_item!B:B,A564,order_item!E:E)</f>
        <v>387</v>
      </c>
      <c r="K564" s="28" t="str">
        <f>_xlfn.XLOOKUP(B564,customers!A:A,customers!D:D)</f>
        <v>Regular</v>
      </c>
    </row>
    <row r="565" spans="1:11" x14ac:dyDescent="0.25">
      <c r="A565" s="5" t="s">
        <v>5345</v>
      </c>
      <c r="B565" s="5" t="s">
        <v>846</v>
      </c>
      <c r="C565" s="5" t="s">
        <v>7306</v>
      </c>
      <c r="D565" s="1">
        <v>45429</v>
      </c>
      <c r="E565" s="17">
        <v>0.84652777777777777</v>
      </c>
      <c r="F565" s="5" t="s">
        <v>7305</v>
      </c>
      <c r="G565" s="12">
        <v>693</v>
      </c>
      <c r="H565" s="12">
        <v>0</v>
      </c>
      <c r="I565" s="12">
        <v>693</v>
      </c>
      <c r="J565" s="12">
        <f>SUMIF(order_item!B:B,A565,order_item!E:E)</f>
        <v>693</v>
      </c>
      <c r="K565" s="28" t="str">
        <f>_xlfn.XLOOKUP(B565,customers!A:A,customers!D:D)</f>
        <v>Regular</v>
      </c>
    </row>
    <row r="566" spans="1:11" x14ac:dyDescent="0.25">
      <c r="A566" s="5" t="s">
        <v>5342</v>
      </c>
      <c r="B566" s="5" t="s">
        <v>751</v>
      </c>
      <c r="C566" s="5" t="s">
        <v>7306</v>
      </c>
      <c r="D566" s="1">
        <v>45710</v>
      </c>
      <c r="E566" s="17">
        <v>0.83611111111111114</v>
      </c>
      <c r="F566" s="5" t="s">
        <v>7305</v>
      </c>
      <c r="G566" s="12">
        <v>626</v>
      </c>
      <c r="H566" s="12">
        <v>0</v>
      </c>
      <c r="I566" s="12">
        <v>626</v>
      </c>
      <c r="J566" s="12">
        <f>SUMIF(order_item!B:B,A566,order_item!E:E)</f>
        <v>626</v>
      </c>
      <c r="K566" s="28" t="str">
        <f>_xlfn.XLOOKUP(B566,customers!A:A,customers!D:D)</f>
        <v>New</v>
      </c>
    </row>
    <row r="567" spans="1:11" x14ac:dyDescent="0.25">
      <c r="A567" s="5" t="s">
        <v>5338</v>
      </c>
      <c r="B567" s="5" t="s">
        <v>606</v>
      </c>
      <c r="C567" s="5" t="s">
        <v>7308</v>
      </c>
      <c r="D567" s="1">
        <v>45544</v>
      </c>
      <c r="E567" s="17">
        <v>6.25E-2</v>
      </c>
      <c r="F567" s="5" t="s">
        <v>7305</v>
      </c>
      <c r="G567" s="12">
        <v>794</v>
      </c>
      <c r="H567" s="12">
        <v>0</v>
      </c>
      <c r="I567" s="12">
        <v>794</v>
      </c>
      <c r="J567" s="12">
        <f>SUMIF(order_item!B:B,A567,order_item!E:E)</f>
        <v>794</v>
      </c>
      <c r="K567" s="28" t="str">
        <f>_xlfn.XLOOKUP(B567,customers!A:A,customers!D:D)</f>
        <v>Regular</v>
      </c>
    </row>
    <row r="568" spans="1:11" x14ac:dyDescent="0.25">
      <c r="A568" s="5" t="s">
        <v>5335</v>
      </c>
      <c r="B568" s="5" t="s">
        <v>306</v>
      </c>
      <c r="C568" s="5" t="s">
        <v>7309</v>
      </c>
      <c r="D568" s="1">
        <v>45682</v>
      </c>
      <c r="E568" s="17">
        <v>0.70416666666666661</v>
      </c>
      <c r="F568" s="5" t="s">
        <v>7305</v>
      </c>
      <c r="G568" s="12">
        <v>326</v>
      </c>
      <c r="H568" s="12">
        <v>0</v>
      </c>
      <c r="I568" s="12">
        <v>326</v>
      </c>
      <c r="J568" s="12">
        <f>SUMIF(order_item!B:B,A568,order_item!E:E)</f>
        <v>326</v>
      </c>
      <c r="K568" s="28" t="str">
        <f>_xlfn.XLOOKUP(B568,customers!A:A,customers!D:D)</f>
        <v>Regular</v>
      </c>
    </row>
    <row r="569" spans="1:11" x14ac:dyDescent="0.25">
      <c r="A569" s="5" t="s">
        <v>5333</v>
      </c>
      <c r="B569" s="5" t="s">
        <v>147</v>
      </c>
      <c r="C569" s="5" t="s">
        <v>7309</v>
      </c>
      <c r="D569" s="1">
        <v>45669</v>
      </c>
      <c r="E569" s="17">
        <v>0.7402777777777777</v>
      </c>
      <c r="F569" s="5" t="s">
        <v>7305</v>
      </c>
      <c r="G569" s="12">
        <v>99</v>
      </c>
      <c r="H569" s="12">
        <v>0</v>
      </c>
      <c r="I569" s="12">
        <v>99</v>
      </c>
      <c r="J569" s="12">
        <f>SUMIF(order_item!B:B,A569,order_item!E:E)</f>
        <v>99</v>
      </c>
      <c r="K569" s="28" t="str">
        <f>_xlfn.XLOOKUP(B569,customers!A:A,customers!D:D)</f>
        <v>Regular</v>
      </c>
    </row>
    <row r="570" spans="1:11" x14ac:dyDescent="0.25">
      <c r="A570" s="5" t="s">
        <v>5329</v>
      </c>
      <c r="B570" s="5" t="s">
        <v>848</v>
      </c>
      <c r="C570" s="5" t="s">
        <v>7308</v>
      </c>
      <c r="D570" s="1">
        <v>45562</v>
      </c>
      <c r="E570" s="17">
        <v>0.91180555555555554</v>
      </c>
      <c r="F570" s="5" t="s">
        <v>7305</v>
      </c>
      <c r="G570" s="12">
        <v>287</v>
      </c>
      <c r="H570" s="12">
        <v>0</v>
      </c>
      <c r="I570" s="12">
        <v>287</v>
      </c>
      <c r="J570" s="12">
        <f>SUMIF(order_item!B:B,A570,order_item!E:E)</f>
        <v>287</v>
      </c>
      <c r="K570" s="28" t="str">
        <f>_xlfn.XLOOKUP(B570,customers!A:A,customers!D:D)</f>
        <v>Regular</v>
      </c>
    </row>
    <row r="571" spans="1:11" x14ac:dyDescent="0.25">
      <c r="A571" s="5" t="s">
        <v>5326</v>
      </c>
      <c r="B571" s="5" t="s">
        <v>253</v>
      </c>
      <c r="C571" s="5" t="s">
        <v>7309</v>
      </c>
      <c r="D571" s="1">
        <v>45464</v>
      </c>
      <c r="E571" s="17">
        <v>0.86875000000000002</v>
      </c>
      <c r="F571" s="5" t="s">
        <v>7305</v>
      </c>
      <c r="G571" s="12">
        <v>178</v>
      </c>
      <c r="H571" s="12">
        <v>0</v>
      </c>
      <c r="I571" s="12">
        <v>178</v>
      </c>
      <c r="J571" s="12">
        <f>SUMIF(order_item!B:B,A571,order_item!E:E)</f>
        <v>178</v>
      </c>
      <c r="K571" s="28" t="str">
        <f>_xlfn.XLOOKUP(B571,customers!A:A,customers!D:D)</f>
        <v>Premium</v>
      </c>
    </row>
    <row r="572" spans="1:11" x14ac:dyDescent="0.25">
      <c r="A572" s="5" t="s">
        <v>5321</v>
      </c>
      <c r="B572" s="5" t="s">
        <v>313</v>
      </c>
      <c r="C572" s="5" t="s">
        <v>7306</v>
      </c>
      <c r="D572" s="1">
        <v>45410</v>
      </c>
      <c r="E572" s="17">
        <v>0.91527777777777775</v>
      </c>
      <c r="F572" s="5" t="s">
        <v>7305</v>
      </c>
      <c r="G572" s="12">
        <v>585</v>
      </c>
      <c r="H572" s="12">
        <v>0</v>
      </c>
      <c r="I572" s="12">
        <v>585</v>
      </c>
      <c r="J572" s="12">
        <f>SUMIF(order_item!B:B,A572,order_item!E:E)</f>
        <v>585</v>
      </c>
      <c r="K572" s="28" t="str">
        <f>_xlfn.XLOOKUP(B572,customers!A:A,customers!D:D)</f>
        <v>Regular</v>
      </c>
    </row>
    <row r="573" spans="1:11" x14ac:dyDescent="0.25">
      <c r="A573" s="5" t="s">
        <v>5317</v>
      </c>
      <c r="B573" s="5" t="s">
        <v>803</v>
      </c>
      <c r="C573" s="5" t="s">
        <v>7309</v>
      </c>
      <c r="D573" s="1">
        <v>45410</v>
      </c>
      <c r="E573" s="17">
        <v>0.84652777777777777</v>
      </c>
      <c r="F573" s="5" t="s">
        <v>7305</v>
      </c>
      <c r="G573" s="12">
        <v>533</v>
      </c>
      <c r="H573" s="12">
        <v>26.65</v>
      </c>
      <c r="I573" s="12">
        <v>506.35</v>
      </c>
      <c r="J573" s="12">
        <f>SUMIF(order_item!B:B,A573,order_item!E:E)</f>
        <v>533</v>
      </c>
      <c r="K573" s="28" t="str">
        <f>_xlfn.XLOOKUP(B573,customers!A:A,customers!D:D)</f>
        <v>Regular</v>
      </c>
    </row>
    <row r="574" spans="1:11" x14ac:dyDescent="0.25">
      <c r="A574" s="5" t="s">
        <v>5314</v>
      </c>
      <c r="B574" s="5" t="s">
        <v>189</v>
      </c>
      <c r="C574" s="5" t="s">
        <v>7306</v>
      </c>
      <c r="D574" s="1">
        <v>45736</v>
      </c>
      <c r="E574" s="17">
        <v>0.84375</v>
      </c>
      <c r="F574" s="5" t="s">
        <v>7305</v>
      </c>
      <c r="G574" s="12">
        <v>347</v>
      </c>
      <c r="H574" s="12">
        <v>34.700000000000003</v>
      </c>
      <c r="I574" s="12">
        <v>312.3</v>
      </c>
      <c r="J574" s="12">
        <f>SUMIF(order_item!B:B,A574,order_item!E:E)</f>
        <v>347</v>
      </c>
      <c r="K574" s="28" t="str">
        <f>_xlfn.XLOOKUP(B574,customers!A:A,customers!D:D)</f>
        <v>New</v>
      </c>
    </row>
    <row r="575" spans="1:11" x14ac:dyDescent="0.25">
      <c r="A575" s="5" t="s">
        <v>5311</v>
      </c>
      <c r="B575" s="5" t="s">
        <v>734</v>
      </c>
      <c r="C575" s="5" t="s">
        <v>7309</v>
      </c>
      <c r="D575" s="1">
        <v>45625</v>
      </c>
      <c r="E575" s="17">
        <v>0.8027777777777777</v>
      </c>
      <c r="F575" s="5" t="s">
        <v>7305</v>
      </c>
      <c r="G575" s="12">
        <v>533</v>
      </c>
      <c r="H575" s="12">
        <v>53.3</v>
      </c>
      <c r="I575" s="12">
        <v>479.7</v>
      </c>
      <c r="J575" s="12">
        <f>SUMIF(order_item!B:B,A575,order_item!E:E)</f>
        <v>533</v>
      </c>
      <c r="K575" s="28" t="str">
        <f>_xlfn.XLOOKUP(B575,customers!A:A,customers!D:D)</f>
        <v>Regular</v>
      </c>
    </row>
    <row r="576" spans="1:11" x14ac:dyDescent="0.25">
      <c r="A576" s="5" t="s">
        <v>5306</v>
      </c>
      <c r="B576" s="5" t="s">
        <v>207</v>
      </c>
      <c r="C576" s="5" t="s">
        <v>7306</v>
      </c>
      <c r="D576" s="1">
        <v>45411</v>
      </c>
      <c r="E576" s="17">
        <v>3.0555555555555555E-2</v>
      </c>
      <c r="F576" s="5" t="s">
        <v>7305</v>
      </c>
      <c r="G576" s="12">
        <v>1102</v>
      </c>
      <c r="H576" s="12">
        <v>165.3</v>
      </c>
      <c r="I576" s="12">
        <v>936.7</v>
      </c>
      <c r="J576" s="12">
        <f>SUMIF(order_item!B:B,A576,order_item!E:E)</f>
        <v>1102</v>
      </c>
      <c r="K576" s="28" t="str">
        <f>_xlfn.XLOOKUP(B576,customers!A:A,customers!D:D)</f>
        <v>Regular</v>
      </c>
    </row>
    <row r="577" spans="1:11" x14ac:dyDescent="0.25">
      <c r="A577" s="5" t="s">
        <v>5301</v>
      </c>
      <c r="B577" s="5" t="s">
        <v>260</v>
      </c>
      <c r="C577" s="5" t="s">
        <v>7306</v>
      </c>
      <c r="D577" s="1">
        <v>45474</v>
      </c>
      <c r="E577" s="17">
        <v>0.80486111111111114</v>
      </c>
      <c r="F577" s="5" t="s">
        <v>7305</v>
      </c>
      <c r="G577" s="12">
        <v>704</v>
      </c>
      <c r="H577" s="12">
        <v>0</v>
      </c>
      <c r="I577" s="12">
        <v>704</v>
      </c>
      <c r="J577" s="12">
        <f>SUMIF(order_item!B:B,A577,order_item!E:E)</f>
        <v>704</v>
      </c>
      <c r="K577" s="28" t="str">
        <f>_xlfn.XLOOKUP(B577,customers!A:A,customers!D:D)</f>
        <v>Premium</v>
      </c>
    </row>
    <row r="578" spans="1:11" x14ac:dyDescent="0.25">
      <c r="A578" s="5" t="s">
        <v>5296</v>
      </c>
      <c r="B578" s="5" t="s">
        <v>468</v>
      </c>
      <c r="C578" s="5" t="s">
        <v>7309</v>
      </c>
      <c r="D578" s="1">
        <v>45537</v>
      </c>
      <c r="E578" s="17">
        <v>0.89374999999999993</v>
      </c>
      <c r="F578" s="5" t="s">
        <v>7305</v>
      </c>
      <c r="G578" s="12">
        <v>385</v>
      </c>
      <c r="H578" s="12">
        <v>0</v>
      </c>
      <c r="I578" s="12">
        <v>385</v>
      </c>
      <c r="J578" s="12">
        <f>SUMIF(order_item!B:B,A578,order_item!E:E)</f>
        <v>385</v>
      </c>
      <c r="K578" s="28" t="str">
        <f>_xlfn.XLOOKUP(B578,customers!A:A,customers!D:D)</f>
        <v>Regular</v>
      </c>
    </row>
    <row r="579" spans="1:11" x14ac:dyDescent="0.25">
      <c r="A579" s="5" t="s">
        <v>5294</v>
      </c>
      <c r="B579" s="5" t="s">
        <v>242</v>
      </c>
      <c r="C579" s="5" t="s">
        <v>7309</v>
      </c>
      <c r="D579" s="1">
        <v>45704</v>
      </c>
      <c r="E579" s="17">
        <v>1.3888888888888889E-3</v>
      </c>
      <c r="F579" s="5" t="s">
        <v>7305</v>
      </c>
      <c r="G579" s="12">
        <v>79</v>
      </c>
      <c r="H579" s="12">
        <v>7.9</v>
      </c>
      <c r="I579" s="12">
        <v>71.099999999999994</v>
      </c>
      <c r="J579" s="12">
        <f>SUMIF(order_item!B:B,A579,order_item!E:E)</f>
        <v>79</v>
      </c>
      <c r="K579" s="28" t="str">
        <f>_xlfn.XLOOKUP(B579,customers!A:A,customers!D:D)</f>
        <v>Regular</v>
      </c>
    </row>
    <row r="580" spans="1:11" x14ac:dyDescent="0.25">
      <c r="A580" s="5" t="s">
        <v>5292</v>
      </c>
      <c r="B580" s="5" t="s">
        <v>419</v>
      </c>
      <c r="C580" s="5" t="s">
        <v>7309</v>
      </c>
      <c r="D580" s="1">
        <v>45610</v>
      </c>
      <c r="E580" s="17">
        <v>0.54722222222222217</v>
      </c>
      <c r="F580" s="5" t="s">
        <v>7305</v>
      </c>
      <c r="G580" s="12">
        <v>79</v>
      </c>
      <c r="H580" s="12">
        <v>0</v>
      </c>
      <c r="I580" s="12">
        <v>79</v>
      </c>
      <c r="J580" s="12">
        <f>SUMIF(order_item!B:B,A580,order_item!E:E)</f>
        <v>79</v>
      </c>
      <c r="K580" s="28" t="str">
        <f>_xlfn.XLOOKUP(B580,customers!A:A,customers!D:D)</f>
        <v>Regular</v>
      </c>
    </row>
    <row r="581" spans="1:11" x14ac:dyDescent="0.25">
      <c r="A581" s="5" t="s">
        <v>5289</v>
      </c>
      <c r="B581" s="5" t="s">
        <v>326</v>
      </c>
      <c r="C581" s="5" t="s">
        <v>7309</v>
      </c>
      <c r="D581" s="1">
        <v>45676</v>
      </c>
      <c r="E581" s="17">
        <v>0.51944444444444449</v>
      </c>
      <c r="F581" s="5" t="s">
        <v>7305</v>
      </c>
      <c r="G581" s="12">
        <v>397</v>
      </c>
      <c r="H581" s="12">
        <v>0</v>
      </c>
      <c r="I581" s="12">
        <v>397</v>
      </c>
      <c r="J581" s="12">
        <f>SUMIF(order_item!B:B,A581,order_item!E:E)</f>
        <v>397</v>
      </c>
      <c r="K581" s="28" t="str">
        <f>_xlfn.XLOOKUP(B581,customers!A:A,customers!D:D)</f>
        <v>New</v>
      </c>
    </row>
    <row r="582" spans="1:11" x14ac:dyDescent="0.25">
      <c r="A582" s="5" t="s">
        <v>5286</v>
      </c>
      <c r="B582" s="5" t="s">
        <v>673</v>
      </c>
      <c r="C582" s="5" t="s">
        <v>7309</v>
      </c>
      <c r="D582" s="1">
        <v>45403</v>
      </c>
      <c r="E582" s="17">
        <v>2.1527777777777781E-2</v>
      </c>
      <c r="F582" s="5" t="s">
        <v>7305</v>
      </c>
      <c r="G582" s="12">
        <v>556</v>
      </c>
      <c r="H582" s="12">
        <v>27.8</v>
      </c>
      <c r="I582" s="12">
        <v>528.20000000000005</v>
      </c>
      <c r="J582" s="12">
        <f>SUMIF(order_item!B:B,A582,order_item!E:E)</f>
        <v>556</v>
      </c>
      <c r="K582" s="28" t="str">
        <f>_xlfn.XLOOKUP(B582,customers!A:A,customers!D:D)</f>
        <v>Regular</v>
      </c>
    </row>
    <row r="583" spans="1:11" x14ac:dyDescent="0.25">
      <c r="A583" s="5" t="s">
        <v>5283</v>
      </c>
      <c r="B583" s="5" t="s">
        <v>854</v>
      </c>
      <c r="C583" s="5" t="s">
        <v>7309</v>
      </c>
      <c r="D583" s="1">
        <v>45638</v>
      </c>
      <c r="E583" s="17">
        <v>0.79652777777777783</v>
      </c>
      <c r="F583" s="5" t="s">
        <v>7305</v>
      </c>
      <c r="G583" s="12">
        <v>188</v>
      </c>
      <c r="H583" s="12">
        <v>0</v>
      </c>
      <c r="I583" s="12">
        <v>188</v>
      </c>
      <c r="J583" s="12">
        <f>SUMIF(order_item!B:B,A583,order_item!E:E)</f>
        <v>188</v>
      </c>
      <c r="K583" s="28" t="str">
        <f>_xlfn.XLOOKUP(B583,customers!A:A,customers!D:D)</f>
        <v>New</v>
      </c>
    </row>
    <row r="584" spans="1:11" x14ac:dyDescent="0.25">
      <c r="A584" s="5" t="s">
        <v>5279</v>
      </c>
      <c r="B584" s="5" t="s">
        <v>841</v>
      </c>
      <c r="C584" s="5" t="s">
        <v>7309</v>
      </c>
      <c r="D584" s="1">
        <v>45578</v>
      </c>
      <c r="E584" s="17">
        <v>0.64444444444444449</v>
      </c>
      <c r="F584" s="5" t="s">
        <v>7305</v>
      </c>
      <c r="G584" s="12">
        <v>1289</v>
      </c>
      <c r="H584" s="12">
        <v>128.9</v>
      </c>
      <c r="I584" s="12">
        <v>1160.0999999999999</v>
      </c>
      <c r="J584" s="12">
        <f>SUMIF(order_item!B:B,A584,order_item!E:E)</f>
        <v>1289</v>
      </c>
      <c r="K584" s="28" t="str">
        <f>_xlfn.XLOOKUP(B584,customers!A:A,customers!D:D)</f>
        <v>Regular</v>
      </c>
    </row>
    <row r="585" spans="1:11" x14ac:dyDescent="0.25">
      <c r="A585" s="5" t="s">
        <v>5275</v>
      </c>
      <c r="B585" s="5" t="s">
        <v>284</v>
      </c>
      <c r="C585" s="5" t="s">
        <v>7309</v>
      </c>
      <c r="D585" s="1">
        <v>45718</v>
      </c>
      <c r="E585" s="17">
        <v>9.0277777777777787E-3</v>
      </c>
      <c r="F585" s="5" t="s">
        <v>7305</v>
      </c>
      <c r="G585" s="12">
        <v>1110</v>
      </c>
      <c r="H585" s="12">
        <v>111</v>
      </c>
      <c r="I585" s="12">
        <v>999</v>
      </c>
      <c r="J585" s="12">
        <f>SUMIF(order_item!B:B,A585,order_item!E:E)</f>
        <v>1110</v>
      </c>
      <c r="K585" s="28" t="str">
        <f>_xlfn.XLOOKUP(B585,customers!A:A,customers!D:D)</f>
        <v>New</v>
      </c>
    </row>
    <row r="586" spans="1:11" x14ac:dyDescent="0.25">
      <c r="A586" s="5" t="s">
        <v>5272</v>
      </c>
      <c r="B586" s="5" t="s">
        <v>449</v>
      </c>
      <c r="C586" s="5" t="s">
        <v>7306</v>
      </c>
      <c r="D586" s="1">
        <v>45694</v>
      </c>
      <c r="E586" s="17">
        <v>0.93541666666666667</v>
      </c>
      <c r="F586" s="5" t="s">
        <v>7305</v>
      </c>
      <c r="G586" s="12">
        <v>685</v>
      </c>
      <c r="H586" s="12">
        <v>102.75</v>
      </c>
      <c r="I586" s="12">
        <v>582.25</v>
      </c>
      <c r="J586" s="12">
        <f>SUMIF(order_item!B:B,A586,order_item!E:E)</f>
        <v>685</v>
      </c>
      <c r="K586" s="28" t="str">
        <f>_xlfn.XLOOKUP(B586,customers!A:A,customers!D:D)</f>
        <v>Regular</v>
      </c>
    </row>
    <row r="587" spans="1:11" x14ac:dyDescent="0.25">
      <c r="A587" s="5" t="s">
        <v>5268</v>
      </c>
      <c r="B587" s="5" t="s">
        <v>476</v>
      </c>
      <c r="C587" s="5" t="s">
        <v>7309</v>
      </c>
      <c r="D587" s="1">
        <v>45729</v>
      </c>
      <c r="E587" s="17">
        <v>0.74236111111111114</v>
      </c>
      <c r="F587" s="5" t="s">
        <v>7305</v>
      </c>
      <c r="G587" s="12">
        <v>684</v>
      </c>
      <c r="H587" s="12">
        <v>68.400000000000006</v>
      </c>
      <c r="I587" s="12">
        <v>615.6</v>
      </c>
      <c r="J587" s="12">
        <f>SUMIF(order_item!B:B,A587,order_item!E:E)</f>
        <v>684</v>
      </c>
      <c r="K587" s="28" t="str">
        <f>_xlfn.XLOOKUP(B587,customers!A:A,customers!D:D)</f>
        <v>Regular</v>
      </c>
    </row>
    <row r="588" spans="1:11" x14ac:dyDescent="0.25">
      <c r="A588" s="5" t="s">
        <v>5263</v>
      </c>
      <c r="B588" s="5" t="s">
        <v>856</v>
      </c>
      <c r="C588" s="5" t="s">
        <v>7309</v>
      </c>
      <c r="D588" s="1">
        <v>45684</v>
      </c>
      <c r="E588" s="17">
        <v>0.93680555555555556</v>
      </c>
      <c r="F588" s="5" t="s">
        <v>7305</v>
      </c>
      <c r="G588" s="12">
        <v>802</v>
      </c>
      <c r="H588" s="12">
        <v>40.1</v>
      </c>
      <c r="I588" s="12">
        <v>761.9</v>
      </c>
      <c r="J588" s="12">
        <f>SUMIF(order_item!B:B,A588,order_item!E:E)</f>
        <v>802</v>
      </c>
      <c r="K588" s="28" t="str">
        <f>_xlfn.XLOOKUP(B588,customers!A:A,customers!D:D)</f>
        <v>Regular</v>
      </c>
    </row>
    <row r="589" spans="1:11" x14ac:dyDescent="0.25">
      <c r="A589" s="5" t="s">
        <v>5259</v>
      </c>
      <c r="B589" s="5" t="s">
        <v>514</v>
      </c>
      <c r="C589" s="5" t="s">
        <v>7309</v>
      </c>
      <c r="D589" s="1">
        <v>45489</v>
      </c>
      <c r="E589" s="17">
        <v>0.57986111111111105</v>
      </c>
      <c r="F589" s="5" t="s">
        <v>7305</v>
      </c>
      <c r="G589" s="12">
        <v>396</v>
      </c>
      <c r="H589" s="12">
        <v>0</v>
      </c>
      <c r="I589" s="12">
        <v>396</v>
      </c>
      <c r="J589" s="12">
        <f>SUMIF(order_item!B:B,A589,order_item!E:E)</f>
        <v>396</v>
      </c>
      <c r="K589" s="28" t="str">
        <f>_xlfn.XLOOKUP(B589,customers!A:A,customers!D:D)</f>
        <v>Premium</v>
      </c>
    </row>
    <row r="590" spans="1:11" x14ac:dyDescent="0.25">
      <c r="A590" s="5" t="s">
        <v>5255</v>
      </c>
      <c r="B590" s="5" t="s">
        <v>856</v>
      </c>
      <c r="C590" s="5" t="s">
        <v>7306</v>
      </c>
      <c r="D590" s="1">
        <v>45476</v>
      </c>
      <c r="E590" s="17">
        <v>0.55277777777777781</v>
      </c>
      <c r="F590" s="5" t="s">
        <v>7305</v>
      </c>
      <c r="G590" s="12">
        <v>466</v>
      </c>
      <c r="H590" s="12">
        <v>0</v>
      </c>
      <c r="I590" s="12">
        <v>466</v>
      </c>
      <c r="J590" s="12">
        <f>SUMIF(order_item!B:B,A590,order_item!E:E)</f>
        <v>466</v>
      </c>
      <c r="K590" s="28" t="str">
        <f>_xlfn.XLOOKUP(B590,customers!A:A,customers!D:D)</f>
        <v>Regular</v>
      </c>
    </row>
    <row r="591" spans="1:11" x14ac:dyDescent="0.25">
      <c r="A591" s="5" t="s">
        <v>5253</v>
      </c>
      <c r="B591" s="5" t="s">
        <v>388</v>
      </c>
      <c r="C591" s="5" t="s">
        <v>7309</v>
      </c>
      <c r="D591" s="1">
        <v>45535</v>
      </c>
      <c r="E591" s="17">
        <v>0.62777777777777777</v>
      </c>
      <c r="F591" s="5" t="s">
        <v>7305</v>
      </c>
      <c r="G591" s="12">
        <v>149</v>
      </c>
      <c r="H591" s="12">
        <v>0</v>
      </c>
      <c r="I591" s="12">
        <v>149</v>
      </c>
      <c r="J591" s="12">
        <f>SUMIF(order_item!B:B,A591,order_item!E:E)</f>
        <v>149</v>
      </c>
      <c r="K591" s="28" t="str">
        <f>_xlfn.XLOOKUP(B591,customers!A:A,customers!D:D)</f>
        <v>Regular</v>
      </c>
    </row>
    <row r="592" spans="1:11" x14ac:dyDescent="0.25">
      <c r="A592" s="5" t="s">
        <v>5248</v>
      </c>
      <c r="B592" s="5" t="s">
        <v>848</v>
      </c>
      <c r="C592" s="5" t="s">
        <v>7309</v>
      </c>
      <c r="D592" s="1">
        <v>45709</v>
      </c>
      <c r="E592" s="17">
        <v>0.77708333333333324</v>
      </c>
      <c r="F592" s="5" t="s">
        <v>7305</v>
      </c>
      <c r="G592" s="12">
        <v>931</v>
      </c>
      <c r="H592" s="12">
        <v>0</v>
      </c>
      <c r="I592" s="12">
        <v>931</v>
      </c>
      <c r="J592" s="12">
        <f>SUMIF(order_item!B:B,A592,order_item!E:E)</f>
        <v>931</v>
      </c>
      <c r="K592" s="28" t="str">
        <f>_xlfn.XLOOKUP(B592,customers!A:A,customers!D:D)</f>
        <v>Regular</v>
      </c>
    </row>
    <row r="593" spans="1:11" x14ac:dyDescent="0.25">
      <c r="A593" s="5" t="s">
        <v>5244</v>
      </c>
      <c r="B593" s="5" t="s">
        <v>315</v>
      </c>
      <c r="C593" s="5" t="s">
        <v>7309</v>
      </c>
      <c r="D593" s="1">
        <v>45470</v>
      </c>
      <c r="E593" s="17">
        <v>0.40416666666666662</v>
      </c>
      <c r="F593" s="5" t="s">
        <v>7305</v>
      </c>
      <c r="G593" s="12">
        <v>824</v>
      </c>
      <c r="H593" s="12">
        <v>41.2</v>
      </c>
      <c r="I593" s="12">
        <v>782.8</v>
      </c>
      <c r="J593" s="12">
        <f>SUMIF(order_item!B:B,A593,order_item!E:E)</f>
        <v>824</v>
      </c>
      <c r="K593" s="28" t="str">
        <f>_xlfn.XLOOKUP(B593,customers!A:A,customers!D:D)</f>
        <v>Regular</v>
      </c>
    </row>
    <row r="594" spans="1:11" x14ac:dyDescent="0.25">
      <c r="A594" s="5" t="s">
        <v>5241</v>
      </c>
      <c r="B594" s="5" t="s">
        <v>650</v>
      </c>
      <c r="C594" s="5" t="s">
        <v>7309</v>
      </c>
      <c r="D594" s="1">
        <v>45611</v>
      </c>
      <c r="E594" s="17">
        <v>0.97777777777777775</v>
      </c>
      <c r="F594" s="5" t="s">
        <v>7305</v>
      </c>
      <c r="G594" s="12">
        <v>148</v>
      </c>
      <c r="H594" s="12">
        <v>0</v>
      </c>
      <c r="I594" s="12">
        <v>148</v>
      </c>
      <c r="J594" s="12">
        <f>SUMIF(order_item!B:B,A594,order_item!E:E)</f>
        <v>148</v>
      </c>
      <c r="K594" s="28" t="str">
        <f>_xlfn.XLOOKUP(B594,customers!A:A,customers!D:D)</f>
        <v>Regular</v>
      </c>
    </row>
    <row r="595" spans="1:11" x14ac:dyDescent="0.25">
      <c r="A595" s="5" t="s">
        <v>5236</v>
      </c>
      <c r="B595" s="5" t="s">
        <v>818</v>
      </c>
      <c r="C595" s="5" t="s">
        <v>7309</v>
      </c>
      <c r="D595" s="1">
        <v>45636</v>
      </c>
      <c r="E595" s="17">
        <v>0.80763888888888891</v>
      </c>
      <c r="F595" s="5" t="s">
        <v>7305</v>
      </c>
      <c r="G595" s="12">
        <v>1002</v>
      </c>
      <c r="H595" s="12">
        <v>0</v>
      </c>
      <c r="I595" s="12">
        <v>1002</v>
      </c>
      <c r="J595" s="12">
        <f>SUMIF(order_item!B:B,A595,order_item!E:E)</f>
        <v>1002</v>
      </c>
      <c r="K595" s="28" t="str">
        <f>_xlfn.XLOOKUP(B595,customers!A:A,customers!D:D)</f>
        <v>Regular</v>
      </c>
    </row>
    <row r="596" spans="1:11" x14ac:dyDescent="0.25">
      <c r="A596" s="5" t="s">
        <v>5234</v>
      </c>
      <c r="B596" s="5" t="s">
        <v>688</v>
      </c>
      <c r="C596" s="5" t="s">
        <v>7306</v>
      </c>
      <c r="D596" s="1">
        <v>45549</v>
      </c>
      <c r="E596" s="17">
        <v>0.73472222222222217</v>
      </c>
      <c r="F596" s="5" t="s">
        <v>7305</v>
      </c>
      <c r="G596" s="12">
        <v>138</v>
      </c>
      <c r="H596" s="12">
        <v>6.9</v>
      </c>
      <c r="I596" s="12">
        <v>131.1</v>
      </c>
      <c r="J596" s="12">
        <f>SUMIF(order_item!B:B,A596,order_item!E:E)</f>
        <v>138</v>
      </c>
      <c r="K596" s="28" t="str">
        <f>_xlfn.XLOOKUP(B596,customers!A:A,customers!D:D)</f>
        <v>Regular</v>
      </c>
    </row>
    <row r="597" spans="1:11" x14ac:dyDescent="0.25">
      <c r="A597" s="5" t="s">
        <v>5231</v>
      </c>
      <c r="B597" s="5" t="s">
        <v>748</v>
      </c>
      <c r="C597" s="5" t="s">
        <v>7308</v>
      </c>
      <c r="D597" s="1">
        <v>45602</v>
      </c>
      <c r="E597" s="17">
        <v>0.74791666666666667</v>
      </c>
      <c r="F597" s="5" t="s">
        <v>7305</v>
      </c>
      <c r="G597" s="12">
        <v>693</v>
      </c>
      <c r="H597" s="12">
        <v>34.65</v>
      </c>
      <c r="I597" s="12">
        <v>658.35</v>
      </c>
      <c r="J597" s="12">
        <f>SUMIF(order_item!B:B,A597,order_item!E:E)</f>
        <v>693</v>
      </c>
      <c r="K597" s="28" t="str">
        <f>_xlfn.XLOOKUP(B597,customers!A:A,customers!D:D)</f>
        <v>Regular</v>
      </c>
    </row>
    <row r="598" spans="1:11" x14ac:dyDescent="0.25">
      <c r="A598" s="5" t="s">
        <v>5226</v>
      </c>
      <c r="B598" s="5" t="s">
        <v>779</v>
      </c>
      <c r="C598" s="5" t="s">
        <v>7306</v>
      </c>
      <c r="D598" s="1">
        <v>45683</v>
      </c>
      <c r="E598" s="17">
        <v>0.71111111111111114</v>
      </c>
      <c r="F598" s="5" t="s">
        <v>7305</v>
      </c>
      <c r="G598" s="12">
        <v>1189</v>
      </c>
      <c r="H598" s="12">
        <v>59.45</v>
      </c>
      <c r="I598" s="12">
        <v>1129.55</v>
      </c>
      <c r="J598" s="12">
        <f>SUMIF(order_item!B:B,A598,order_item!E:E)</f>
        <v>1189</v>
      </c>
      <c r="K598" s="28" t="str">
        <f>_xlfn.XLOOKUP(B598,customers!A:A,customers!D:D)</f>
        <v>New</v>
      </c>
    </row>
    <row r="599" spans="1:11" x14ac:dyDescent="0.25">
      <c r="A599" s="5" t="s">
        <v>5222</v>
      </c>
      <c r="B599" s="5" t="s">
        <v>621</v>
      </c>
      <c r="C599" s="5" t="s">
        <v>7308</v>
      </c>
      <c r="D599" s="1">
        <v>45745</v>
      </c>
      <c r="E599" s="17">
        <v>0.91527777777777775</v>
      </c>
      <c r="F599" s="5" t="s">
        <v>7305</v>
      </c>
      <c r="G599" s="12">
        <v>1003</v>
      </c>
      <c r="H599" s="12">
        <v>0</v>
      </c>
      <c r="I599" s="12">
        <v>1003</v>
      </c>
      <c r="J599" s="12">
        <f>SUMIF(order_item!B:B,A599,order_item!E:E)</f>
        <v>1003</v>
      </c>
      <c r="K599" s="28" t="str">
        <f>_xlfn.XLOOKUP(B599,customers!A:A,customers!D:D)</f>
        <v>New</v>
      </c>
    </row>
    <row r="600" spans="1:11" x14ac:dyDescent="0.25">
      <c r="A600" s="5" t="s">
        <v>5219</v>
      </c>
      <c r="B600" s="5" t="s">
        <v>432</v>
      </c>
      <c r="C600" s="5" t="s">
        <v>7309</v>
      </c>
      <c r="D600" s="1">
        <v>45583</v>
      </c>
      <c r="E600" s="17">
        <v>0.69236111111111109</v>
      </c>
      <c r="F600" s="5" t="s">
        <v>7305</v>
      </c>
      <c r="G600" s="12">
        <v>566</v>
      </c>
      <c r="H600" s="12">
        <v>0</v>
      </c>
      <c r="I600" s="12">
        <v>566</v>
      </c>
      <c r="J600" s="12">
        <f>SUMIF(order_item!B:B,A600,order_item!E:E)</f>
        <v>566</v>
      </c>
      <c r="K600" s="28" t="str">
        <f>_xlfn.XLOOKUP(B600,customers!A:A,customers!D:D)</f>
        <v>Regular</v>
      </c>
    </row>
    <row r="601" spans="1:11" x14ac:dyDescent="0.25">
      <c r="A601" s="5" t="s">
        <v>5216</v>
      </c>
      <c r="B601" s="5" t="s">
        <v>488</v>
      </c>
      <c r="C601" s="5" t="s">
        <v>7306</v>
      </c>
      <c r="D601" s="1">
        <v>45578</v>
      </c>
      <c r="E601" s="17">
        <v>0.87291666666666667</v>
      </c>
      <c r="F601" s="5" t="s">
        <v>7305</v>
      </c>
      <c r="G601" s="12">
        <v>266</v>
      </c>
      <c r="H601" s="12">
        <v>0</v>
      </c>
      <c r="I601" s="12">
        <v>266</v>
      </c>
      <c r="J601" s="12">
        <f>SUMIF(order_item!B:B,A601,order_item!E:E)</f>
        <v>266</v>
      </c>
      <c r="K601" s="28" t="str">
        <f>_xlfn.XLOOKUP(B601,customers!A:A,customers!D:D)</f>
        <v>Regular</v>
      </c>
    </row>
    <row r="602" spans="1:11" x14ac:dyDescent="0.25">
      <c r="A602" s="5" t="s">
        <v>5213</v>
      </c>
      <c r="B602" s="5" t="s">
        <v>447</v>
      </c>
      <c r="C602" s="5" t="s">
        <v>7308</v>
      </c>
      <c r="D602" s="1">
        <v>45744</v>
      </c>
      <c r="E602" s="17">
        <v>0.84513888888888899</v>
      </c>
      <c r="F602" s="5" t="s">
        <v>7305</v>
      </c>
      <c r="G602" s="12">
        <v>287</v>
      </c>
      <c r="H602" s="12">
        <v>14.35</v>
      </c>
      <c r="I602" s="12">
        <v>272.64999999999998</v>
      </c>
      <c r="J602" s="12">
        <f>SUMIF(order_item!B:B,A602,order_item!E:E)</f>
        <v>287</v>
      </c>
      <c r="K602" s="28" t="str">
        <f>_xlfn.XLOOKUP(B602,customers!A:A,customers!D:D)</f>
        <v>Regular</v>
      </c>
    </row>
    <row r="603" spans="1:11" x14ac:dyDescent="0.25">
      <c r="A603" s="5" t="s">
        <v>5211</v>
      </c>
      <c r="B603" s="5" t="s">
        <v>799</v>
      </c>
      <c r="C603" s="5" t="s">
        <v>7308</v>
      </c>
      <c r="D603" s="1">
        <v>45503</v>
      </c>
      <c r="E603" s="17">
        <v>3.3333333333333333E-2</v>
      </c>
      <c r="F603" s="5" t="s">
        <v>7305</v>
      </c>
      <c r="G603" s="12">
        <v>198</v>
      </c>
      <c r="H603" s="12">
        <v>0</v>
      </c>
      <c r="I603" s="12">
        <v>198</v>
      </c>
      <c r="J603" s="12">
        <f>SUMIF(order_item!B:B,A603,order_item!E:E)</f>
        <v>198</v>
      </c>
      <c r="K603" s="28" t="str">
        <f>_xlfn.XLOOKUP(B603,customers!A:A,customers!D:D)</f>
        <v>New</v>
      </c>
    </row>
    <row r="604" spans="1:11" x14ac:dyDescent="0.25">
      <c r="A604" s="5" t="s">
        <v>5208</v>
      </c>
      <c r="B604" s="5" t="s">
        <v>244</v>
      </c>
      <c r="C604" s="5" t="s">
        <v>7309</v>
      </c>
      <c r="D604" s="1">
        <v>45609</v>
      </c>
      <c r="E604" s="17">
        <v>0.8569444444444444</v>
      </c>
      <c r="F604" s="5" t="s">
        <v>7305</v>
      </c>
      <c r="G604" s="12">
        <v>168</v>
      </c>
      <c r="H604" s="12">
        <v>16.8</v>
      </c>
      <c r="I604" s="12">
        <v>151.19999999999999</v>
      </c>
      <c r="J604" s="12">
        <f>SUMIF(order_item!B:B,A604,order_item!E:E)</f>
        <v>168</v>
      </c>
      <c r="K604" s="28" t="str">
        <f>_xlfn.XLOOKUP(B604,customers!A:A,customers!D:D)</f>
        <v>Regular</v>
      </c>
    </row>
    <row r="605" spans="1:11" x14ac:dyDescent="0.25">
      <c r="A605" s="5" t="s">
        <v>5205</v>
      </c>
      <c r="B605" s="5" t="s">
        <v>198</v>
      </c>
      <c r="C605" s="5" t="s">
        <v>7309</v>
      </c>
      <c r="D605" s="1">
        <v>45506</v>
      </c>
      <c r="E605" s="17">
        <v>0.91527777777777775</v>
      </c>
      <c r="F605" s="5" t="s">
        <v>7305</v>
      </c>
      <c r="G605" s="12">
        <v>466</v>
      </c>
      <c r="H605" s="12">
        <v>0</v>
      </c>
      <c r="I605" s="12">
        <v>466</v>
      </c>
      <c r="J605" s="12">
        <f>SUMIF(order_item!B:B,A605,order_item!E:E)</f>
        <v>466</v>
      </c>
      <c r="K605" s="28" t="str">
        <f>_xlfn.XLOOKUP(B605,customers!A:A,customers!D:D)</f>
        <v>Premium</v>
      </c>
    </row>
    <row r="606" spans="1:11" x14ac:dyDescent="0.25">
      <c r="A606" s="5" t="s">
        <v>5201</v>
      </c>
      <c r="B606" s="5" t="s">
        <v>762</v>
      </c>
      <c r="C606" s="5" t="s">
        <v>7306</v>
      </c>
      <c r="D606" s="1">
        <v>45414</v>
      </c>
      <c r="E606" s="17">
        <v>0.43055555555555558</v>
      </c>
      <c r="F606" s="5" t="s">
        <v>7305</v>
      </c>
      <c r="G606" s="12">
        <v>904</v>
      </c>
      <c r="H606" s="12">
        <v>0</v>
      </c>
      <c r="I606" s="12">
        <v>904</v>
      </c>
      <c r="J606" s="12">
        <f>SUMIF(order_item!B:B,A606,order_item!E:E)</f>
        <v>904</v>
      </c>
      <c r="K606" s="28" t="str">
        <f>_xlfn.XLOOKUP(B606,customers!A:A,customers!D:D)</f>
        <v>Regular</v>
      </c>
    </row>
    <row r="607" spans="1:11" x14ac:dyDescent="0.25">
      <c r="A607" s="5" t="s">
        <v>5198</v>
      </c>
      <c r="B607" s="5" t="s">
        <v>205</v>
      </c>
      <c r="C607" s="5" t="s">
        <v>7308</v>
      </c>
      <c r="D607" s="1">
        <v>45668</v>
      </c>
      <c r="E607" s="17">
        <v>0.86249999999999993</v>
      </c>
      <c r="F607" s="5" t="s">
        <v>7305</v>
      </c>
      <c r="G607" s="12">
        <v>288</v>
      </c>
      <c r="H607" s="12">
        <v>0</v>
      </c>
      <c r="I607" s="12">
        <v>288</v>
      </c>
      <c r="J607" s="12">
        <f>SUMIF(order_item!B:B,A607,order_item!E:E)</f>
        <v>288</v>
      </c>
      <c r="K607" s="28" t="str">
        <f>_xlfn.XLOOKUP(B607,customers!A:A,customers!D:D)</f>
        <v>Regular</v>
      </c>
    </row>
    <row r="608" spans="1:11" x14ac:dyDescent="0.25">
      <c r="A608" s="5" t="s">
        <v>5193</v>
      </c>
      <c r="B608" s="5" t="s">
        <v>779</v>
      </c>
      <c r="C608" s="5" t="s">
        <v>7309</v>
      </c>
      <c r="D608" s="1">
        <v>45576</v>
      </c>
      <c r="E608" s="17">
        <v>0.8041666666666667</v>
      </c>
      <c r="F608" s="5" t="s">
        <v>7305</v>
      </c>
      <c r="G608" s="12">
        <v>446</v>
      </c>
      <c r="H608" s="12">
        <v>44.6</v>
      </c>
      <c r="I608" s="12">
        <v>401.4</v>
      </c>
      <c r="J608" s="12">
        <f>SUMIF(order_item!B:B,A608,order_item!E:E)</f>
        <v>446</v>
      </c>
      <c r="K608" s="28" t="str">
        <f>_xlfn.XLOOKUP(B608,customers!A:A,customers!D:D)</f>
        <v>New</v>
      </c>
    </row>
    <row r="609" spans="1:11" x14ac:dyDescent="0.25">
      <c r="A609" s="5" t="s">
        <v>5188</v>
      </c>
      <c r="B609" s="5" t="s">
        <v>484</v>
      </c>
      <c r="C609" s="5" t="s">
        <v>7306</v>
      </c>
      <c r="D609" s="1">
        <v>45618</v>
      </c>
      <c r="E609" s="17">
        <v>0.77083333333333337</v>
      </c>
      <c r="F609" s="5" t="s">
        <v>7305</v>
      </c>
      <c r="G609" s="12">
        <v>884</v>
      </c>
      <c r="H609" s="12">
        <v>0</v>
      </c>
      <c r="I609" s="12">
        <v>884</v>
      </c>
      <c r="J609" s="12">
        <f>SUMIF(order_item!B:B,A609,order_item!E:E)</f>
        <v>884</v>
      </c>
      <c r="K609" s="28" t="str">
        <f>_xlfn.XLOOKUP(B609,customers!A:A,customers!D:D)</f>
        <v>Regular</v>
      </c>
    </row>
    <row r="610" spans="1:11" x14ac:dyDescent="0.25">
      <c r="A610" s="5" t="s">
        <v>5185</v>
      </c>
      <c r="B610" s="5" t="s">
        <v>646</v>
      </c>
      <c r="C610" s="5" t="s">
        <v>7309</v>
      </c>
      <c r="D610" s="1">
        <v>45708</v>
      </c>
      <c r="E610" s="17">
        <v>0.64444444444444449</v>
      </c>
      <c r="F610" s="5" t="s">
        <v>7305</v>
      </c>
      <c r="G610" s="12">
        <v>228</v>
      </c>
      <c r="H610" s="12">
        <v>22.8</v>
      </c>
      <c r="I610" s="12">
        <v>205.2</v>
      </c>
      <c r="J610" s="12">
        <f>SUMIF(order_item!B:B,A610,order_item!E:E)</f>
        <v>228</v>
      </c>
      <c r="K610" s="28" t="str">
        <f>_xlfn.XLOOKUP(B610,customers!A:A,customers!D:D)</f>
        <v>Regular</v>
      </c>
    </row>
    <row r="611" spans="1:11" x14ac:dyDescent="0.25">
      <c r="A611" s="5" t="s">
        <v>5182</v>
      </c>
      <c r="B611" s="5" t="s">
        <v>351</v>
      </c>
      <c r="C611" s="5" t="s">
        <v>7309</v>
      </c>
      <c r="D611" s="1">
        <v>45686</v>
      </c>
      <c r="E611" s="17">
        <v>1.8055555555555557E-2</v>
      </c>
      <c r="F611" s="5" t="s">
        <v>7305</v>
      </c>
      <c r="G611" s="12">
        <v>526</v>
      </c>
      <c r="H611" s="12">
        <v>52.6</v>
      </c>
      <c r="I611" s="12">
        <v>473.4</v>
      </c>
      <c r="J611" s="12">
        <f>SUMIF(order_item!B:B,A611,order_item!E:E)</f>
        <v>526</v>
      </c>
      <c r="K611" s="28" t="str">
        <f>_xlfn.XLOOKUP(B611,customers!A:A,customers!D:D)</f>
        <v>New</v>
      </c>
    </row>
    <row r="612" spans="1:11" x14ac:dyDescent="0.25">
      <c r="A612" s="5" t="s">
        <v>5179</v>
      </c>
      <c r="B612" s="5" t="s">
        <v>592</v>
      </c>
      <c r="C612" s="5" t="s">
        <v>7309</v>
      </c>
      <c r="D612" s="1">
        <v>45631</v>
      </c>
      <c r="E612" s="17">
        <v>0.81041666666666667</v>
      </c>
      <c r="F612" s="5" t="s">
        <v>7305</v>
      </c>
      <c r="G612" s="12">
        <v>238</v>
      </c>
      <c r="H612" s="12">
        <v>11.9</v>
      </c>
      <c r="I612" s="12">
        <v>226.1</v>
      </c>
      <c r="J612" s="12">
        <f>SUMIF(order_item!B:B,A612,order_item!E:E)</f>
        <v>238</v>
      </c>
      <c r="K612" s="28" t="str">
        <f>_xlfn.XLOOKUP(B612,customers!A:A,customers!D:D)</f>
        <v>New</v>
      </c>
    </row>
    <row r="613" spans="1:11" x14ac:dyDescent="0.25">
      <c r="A613" s="5" t="s">
        <v>5175</v>
      </c>
      <c r="B613" s="5" t="s">
        <v>401</v>
      </c>
      <c r="C613" s="5" t="s">
        <v>7309</v>
      </c>
      <c r="D613" s="1">
        <v>45601</v>
      </c>
      <c r="E613" s="17">
        <v>0.74236111111111114</v>
      </c>
      <c r="F613" s="5" t="s">
        <v>7305</v>
      </c>
      <c r="G613" s="12">
        <v>913</v>
      </c>
      <c r="H613" s="12">
        <v>0</v>
      </c>
      <c r="I613" s="12">
        <v>913</v>
      </c>
      <c r="J613" s="12">
        <f>SUMIF(order_item!B:B,A613,order_item!E:E)</f>
        <v>913</v>
      </c>
      <c r="K613" s="28" t="str">
        <f>_xlfn.XLOOKUP(B613,customers!A:A,customers!D:D)</f>
        <v>Regular</v>
      </c>
    </row>
    <row r="614" spans="1:11" x14ac:dyDescent="0.25">
      <c r="A614" s="5" t="s">
        <v>5172</v>
      </c>
      <c r="B614" s="5" t="s">
        <v>616</v>
      </c>
      <c r="C614" s="5" t="s">
        <v>7306</v>
      </c>
      <c r="D614" s="1">
        <v>45596</v>
      </c>
      <c r="E614" s="17">
        <v>0.96736111111111101</v>
      </c>
      <c r="F614" s="5" t="s">
        <v>7305</v>
      </c>
      <c r="G614" s="12">
        <v>248</v>
      </c>
      <c r="H614" s="12">
        <v>0</v>
      </c>
      <c r="I614" s="12">
        <v>248</v>
      </c>
      <c r="J614" s="12">
        <f>SUMIF(order_item!B:B,A614,order_item!E:E)</f>
        <v>248</v>
      </c>
      <c r="K614" s="28" t="str">
        <f>_xlfn.XLOOKUP(B614,customers!A:A,customers!D:D)</f>
        <v>Regular</v>
      </c>
    </row>
    <row r="615" spans="1:11" x14ac:dyDescent="0.25">
      <c r="A615" s="5" t="s">
        <v>5169</v>
      </c>
      <c r="B615" s="5" t="s">
        <v>198</v>
      </c>
      <c r="C615" s="5" t="s">
        <v>7309</v>
      </c>
      <c r="D615" s="1">
        <v>45596</v>
      </c>
      <c r="E615" s="17">
        <v>0.66805555555555562</v>
      </c>
      <c r="F615" s="5" t="s">
        <v>7305</v>
      </c>
      <c r="G615" s="12">
        <v>198</v>
      </c>
      <c r="H615" s="12">
        <v>0</v>
      </c>
      <c r="I615" s="12">
        <v>198</v>
      </c>
      <c r="J615" s="12">
        <f>SUMIF(order_item!B:B,A615,order_item!E:E)</f>
        <v>198</v>
      </c>
      <c r="K615" s="28" t="str">
        <f>_xlfn.XLOOKUP(B615,customers!A:A,customers!D:D)</f>
        <v>Premium</v>
      </c>
    </row>
    <row r="616" spans="1:11" x14ac:dyDescent="0.25">
      <c r="A616" s="5" t="s">
        <v>5164</v>
      </c>
      <c r="B616" s="5" t="s">
        <v>230</v>
      </c>
      <c r="C616" s="5" t="s">
        <v>7306</v>
      </c>
      <c r="D616" s="1">
        <v>45635</v>
      </c>
      <c r="E616" s="17">
        <v>0.87986111111111109</v>
      </c>
      <c r="F616" s="5" t="s">
        <v>7305</v>
      </c>
      <c r="G616" s="12">
        <v>1141</v>
      </c>
      <c r="H616" s="12">
        <v>57.05</v>
      </c>
      <c r="I616" s="12">
        <v>1083.95</v>
      </c>
      <c r="J616" s="12">
        <f>SUMIF(order_item!B:B,A616,order_item!E:E)</f>
        <v>1141</v>
      </c>
      <c r="K616" s="28" t="str">
        <f>_xlfn.XLOOKUP(B616,customers!A:A,customers!D:D)</f>
        <v>New</v>
      </c>
    </row>
    <row r="617" spans="1:11" x14ac:dyDescent="0.25">
      <c r="A617" s="5" t="s">
        <v>5161</v>
      </c>
      <c r="B617" s="5" t="s">
        <v>211</v>
      </c>
      <c r="C617" s="5" t="s">
        <v>7306</v>
      </c>
      <c r="D617" s="1">
        <v>45420</v>
      </c>
      <c r="E617" s="17">
        <v>0.79999999999999993</v>
      </c>
      <c r="F617" s="5" t="s">
        <v>7305</v>
      </c>
      <c r="G617" s="12">
        <v>387</v>
      </c>
      <c r="H617" s="12">
        <v>38.700000000000003</v>
      </c>
      <c r="I617" s="12">
        <v>348.3</v>
      </c>
      <c r="J617" s="12">
        <f>SUMIF(order_item!B:B,A617,order_item!E:E)</f>
        <v>387</v>
      </c>
      <c r="K617" s="28" t="str">
        <f>_xlfn.XLOOKUP(B617,customers!A:A,customers!D:D)</f>
        <v>Regular</v>
      </c>
    </row>
    <row r="618" spans="1:11" x14ac:dyDescent="0.25">
      <c r="A618" s="5" t="s">
        <v>5158</v>
      </c>
      <c r="B618" s="5" t="s">
        <v>457</v>
      </c>
      <c r="C618" s="5" t="s">
        <v>7309</v>
      </c>
      <c r="D618" s="1">
        <v>45537</v>
      </c>
      <c r="E618" s="17">
        <v>0.72638888888888886</v>
      </c>
      <c r="F618" s="5" t="s">
        <v>7305</v>
      </c>
      <c r="G618" s="12">
        <v>454</v>
      </c>
      <c r="H618" s="12">
        <v>0</v>
      </c>
      <c r="I618" s="12">
        <v>454</v>
      </c>
      <c r="J618" s="12">
        <f>SUMIF(order_item!B:B,A618,order_item!E:E)</f>
        <v>454</v>
      </c>
      <c r="K618" s="28" t="str">
        <f>_xlfn.XLOOKUP(B618,customers!A:A,customers!D:D)</f>
        <v>New</v>
      </c>
    </row>
    <row r="619" spans="1:11" x14ac:dyDescent="0.25">
      <c r="A619" s="5" t="s">
        <v>5155</v>
      </c>
      <c r="B619" s="5" t="s">
        <v>593</v>
      </c>
      <c r="C619" s="5" t="s">
        <v>7306</v>
      </c>
      <c r="D619" s="1">
        <v>45643</v>
      </c>
      <c r="E619" s="17">
        <v>0.8340277777777777</v>
      </c>
      <c r="F619" s="5" t="s">
        <v>7305</v>
      </c>
      <c r="G619" s="12">
        <v>257</v>
      </c>
      <c r="H619" s="12">
        <v>38.549999999999997</v>
      </c>
      <c r="I619" s="12">
        <v>218.45</v>
      </c>
      <c r="J619" s="12">
        <f>SUMIF(order_item!B:B,A619,order_item!E:E)</f>
        <v>257</v>
      </c>
      <c r="K619" s="28" t="str">
        <f>_xlfn.XLOOKUP(B619,customers!A:A,customers!D:D)</f>
        <v>Regular</v>
      </c>
    </row>
    <row r="620" spans="1:11" x14ac:dyDescent="0.25">
      <c r="A620" s="5" t="s">
        <v>5150</v>
      </c>
      <c r="B620" s="5" t="s">
        <v>698</v>
      </c>
      <c r="C620" s="5" t="s">
        <v>7309</v>
      </c>
      <c r="D620" s="1">
        <v>45449</v>
      </c>
      <c r="E620" s="17">
        <v>0.94236111111111109</v>
      </c>
      <c r="F620" s="5" t="s">
        <v>7307</v>
      </c>
      <c r="G620" s="12">
        <v>1061</v>
      </c>
      <c r="H620" s="12">
        <v>159.15</v>
      </c>
      <c r="I620" s="12">
        <v>0</v>
      </c>
      <c r="J620" s="12">
        <f>SUMIF(order_item!B:B,A620,order_item!E:E)</f>
        <v>1061</v>
      </c>
      <c r="K620" s="28" t="str">
        <f>_xlfn.XLOOKUP(B620,customers!A:A,customers!D:D)</f>
        <v>Regular</v>
      </c>
    </row>
    <row r="621" spans="1:11" x14ac:dyDescent="0.25">
      <c r="A621" s="5" t="s">
        <v>5147</v>
      </c>
      <c r="B621" s="5" t="s">
        <v>347</v>
      </c>
      <c r="C621" s="5" t="s">
        <v>7309</v>
      </c>
      <c r="D621" s="1">
        <v>45599</v>
      </c>
      <c r="E621" s="17">
        <v>0.67847222222222225</v>
      </c>
      <c r="F621" s="5" t="s">
        <v>7305</v>
      </c>
      <c r="G621" s="12">
        <v>316</v>
      </c>
      <c r="H621" s="12">
        <v>0</v>
      </c>
      <c r="I621" s="12">
        <v>316</v>
      </c>
      <c r="J621" s="12">
        <f>SUMIF(order_item!B:B,A621,order_item!E:E)</f>
        <v>316</v>
      </c>
      <c r="K621" s="28" t="str">
        <f>_xlfn.XLOOKUP(B621,customers!A:A,customers!D:D)</f>
        <v>Regular</v>
      </c>
    </row>
    <row r="622" spans="1:11" x14ac:dyDescent="0.25">
      <c r="A622" s="5" t="s">
        <v>5144</v>
      </c>
      <c r="B622" s="5" t="s">
        <v>338</v>
      </c>
      <c r="C622" s="5" t="s">
        <v>7309</v>
      </c>
      <c r="D622" s="1">
        <v>45650</v>
      </c>
      <c r="E622" s="17">
        <v>0.43541666666666662</v>
      </c>
      <c r="F622" s="5" t="s">
        <v>7305</v>
      </c>
      <c r="G622" s="12">
        <v>644</v>
      </c>
      <c r="H622" s="12">
        <v>32.200000000000003</v>
      </c>
      <c r="I622" s="12">
        <v>611.79999999999995</v>
      </c>
      <c r="J622" s="12">
        <f>SUMIF(order_item!B:B,A622,order_item!E:E)</f>
        <v>644</v>
      </c>
      <c r="K622" s="28" t="str">
        <f>_xlfn.XLOOKUP(B622,customers!A:A,customers!D:D)</f>
        <v>Premium</v>
      </c>
    </row>
    <row r="623" spans="1:11" x14ac:dyDescent="0.25">
      <c r="A623" s="5" t="s">
        <v>5142</v>
      </c>
      <c r="B623" s="5" t="s">
        <v>488</v>
      </c>
      <c r="C623" s="5" t="s">
        <v>7309</v>
      </c>
      <c r="D623" s="1">
        <v>45704</v>
      </c>
      <c r="E623" s="17">
        <v>0.91041666666666676</v>
      </c>
      <c r="F623" s="5" t="s">
        <v>7305</v>
      </c>
      <c r="G623" s="12">
        <v>395</v>
      </c>
      <c r="H623" s="12">
        <v>0</v>
      </c>
      <c r="I623" s="12">
        <v>395</v>
      </c>
      <c r="J623" s="12">
        <f>SUMIF(order_item!B:B,A623,order_item!E:E)</f>
        <v>395</v>
      </c>
      <c r="K623" s="28" t="str">
        <f>_xlfn.XLOOKUP(B623,customers!A:A,customers!D:D)</f>
        <v>Regular</v>
      </c>
    </row>
    <row r="624" spans="1:11" x14ac:dyDescent="0.25">
      <c r="A624" s="5" t="s">
        <v>5139</v>
      </c>
      <c r="B624" s="5" t="s">
        <v>150</v>
      </c>
      <c r="C624" s="5" t="s">
        <v>7309</v>
      </c>
      <c r="D624" s="1">
        <v>45702</v>
      </c>
      <c r="E624" s="17">
        <v>0.77708333333333324</v>
      </c>
      <c r="F624" s="5" t="s">
        <v>7305</v>
      </c>
      <c r="G624" s="12">
        <v>545</v>
      </c>
      <c r="H624" s="12">
        <v>0</v>
      </c>
      <c r="I624" s="12">
        <v>545</v>
      </c>
      <c r="J624" s="12">
        <f>SUMIF(order_item!B:B,A624,order_item!E:E)</f>
        <v>545</v>
      </c>
      <c r="K624" s="28" t="str">
        <f>_xlfn.XLOOKUP(B624,customers!A:A,customers!D:D)</f>
        <v>Premium</v>
      </c>
    </row>
    <row r="625" spans="1:11" x14ac:dyDescent="0.25">
      <c r="A625" s="5" t="s">
        <v>5135</v>
      </c>
      <c r="B625" s="5" t="s">
        <v>294</v>
      </c>
      <c r="C625" s="5" t="s">
        <v>7306</v>
      </c>
      <c r="D625" s="1">
        <v>45572</v>
      </c>
      <c r="E625" s="17">
        <v>0.7909722222222223</v>
      </c>
      <c r="F625" s="5" t="s">
        <v>7305</v>
      </c>
      <c r="G625" s="12">
        <v>523</v>
      </c>
      <c r="H625" s="12">
        <v>0</v>
      </c>
      <c r="I625" s="12">
        <v>523</v>
      </c>
      <c r="J625" s="12">
        <f>SUMIF(order_item!B:B,A625,order_item!E:E)</f>
        <v>523</v>
      </c>
      <c r="K625" s="28" t="str">
        <f>_xlfn.XLOOKUP(B625,customers!A:A,customers!D:D)</f>
        <v>Premium</v>
      </c>
    </row>
    <row r="626" spans="1:11" x14ac:dyDescent="0.25">
      <c r="A626" s="5" t="s">
        <v>5132</v>
      </c>
      <c r="B626" s="5" t="s">
        <v>641</v>
      </c>
      <c r="C626" s="5" t="s">
        <v>7309</v>
      </c>
      <c r="D626" s="1">
        <v>45457</v>
      </c>
      <c r="E626" s="17">
        <v>0.9784722222222223</v>
      </c>
      <c r="F626" s="5" t="s">
        <v>7307</v>
      </c>
      <c r="G626" s="12">
        <v>277</v>
      </c>
      <c r="H626" s="12">
        <v>13.85</v>
      </c>
      <c r="I626" s="12">
        <v>0</v>
      </c>
      <c r="J626" s="12">
        <f>SUMIF(order_item!B:B,A626,order_item!E:E)</f>
        <v>277</v>
      </c>
      <c r="K626" s="28" t="str">
        <f>_xlfn.XLOOKUP(B626,customers!A:A,customers!D:D)</f>
        <v>Regular</v>
      </c>
    </row>
    <row r="627" spans="1:11" x14ac:dyDescent="0.25">
      <c r="A627" s="5" t="s">
        <v>5128</v>
      </c>
      <c r="B627" s="5" t="s">
        <v>311</v>
      </c>
      <c r="C627" s="5" t="s">
        <v>7309</v>
      </c>
      <c r="D627" s="1">
        <v>45497</v>
      </c>
      <c r="E627" s="17">
        <v>0.65069444444444446</v>
      </c>
      <c r="F627" s="5" t="s">
        <v>7305</v>
      </c>
      <c r="G627" s="12">
        <v>397</v>
      </c>
      <c r="H627" s="12">
        <v>0</v>
      </c>
      <c r="I627" s="12">
        <v>397</v>
      </c>
      <c r="J627" s="12">
        <f>SUMIF(order_item!B:B,A627,order_item!E:E)</f>
        <v>397</v>
      </c>
      <c r="K627" s="28" t="str">
        <f>_xlfn.XLOOKUP(B627,customers!A:A,customers!D:D)</f>
        <v>New</v>
      </c>
    </row>
    <row r="628" spans="1:11" x14ac:dyDescent="0.25">
      <c r="A628" s="5" t="s">
        <v>5124</v>
      </c>
      <c r="B628" s="5" t="s">
        <v>602</v>
      </c>
      <c r="C628" s="5" t="s">
        <v>7309</v>
      </c>
      <c r="D628" s="1">
        <v>45431</v>
      </c>
      <c r="E628" s="17">
        <v>0.90902777777777777</v>
      </c>
      <c r="F628" s="5" t="s">
        <v>7307</v>
      </c>
      <c r="G628" s="12">
        <v>1161</v>
      </c>
      <c r="H628" s="12">
        <v>58.05</v>
      </c>
      <c r="I628" s="12">
        <v>0</v>
      </c>
      <c r="J628" s="12">
        <f>SUMIF(order_item!B:B,A628,order_item!E:E)</f>
        <v>1161</v>
      </c>
      <c r="K628" s="28" t="str">
        <f>_xlfn.XLOOKUP(B628,customers!A:A,customers!D:D)</f>
        <v>Regular</v>
      </c>
    </row>
    <row r="629" spans="1:11" x14ac:dyDescent="0.25">
      <c r="A629" s="5" t="s">
        <v>5120</v>
      </c>
      <c r="B629" s="5" t="s">
        <v>836</v>
      </c>
      <c r="C629" s="5" t="s">
        <v>7309</v>
      </c>
      <c r="D629" s="1">
        <v>45573</v>
      </c>
      <c r="E629" s="17">
        <v>0.70624999999999993</v>
      </c>
      <c r="F629" s="5" t="s">
        <v>7305</v>
      </c>
      <c r="G629" s="12">
        <v>366</v>
      </c>
      <c r="H629" s="12">
        <v>36.6</v>
      </c>
      <c r="I629" s="12">
        <v>329.4</v>
      </c>
      <c r="J629" s="12">
        <f>SUMIF(order_item!B:B,A629,order_item!E:E)</f>
        <v>366</v>
      </c>
      <c r="K629" s="28" t="str">
        <f>_xlfn.XLOOKUP(B629,customers!A:A,customers!D:D)</f>
        <v>Regular</v>
      </c>
    </row>
    <row r="630" spans="1:11" x14ac:dyDescent="0.25">
      <c r="A630" s="5" t="s">
        <v>5116</v>
      </c>
      <c r="B630" s="5" t="s">
        <v>818</v>
      </c>
      <c r="C630" s="5" t="s">
        <v>7308</v>
      </c>
      <c r="D630" s="1">
        <v>45529</v>
      </c>
      <c r="E630" s="17">
        <v>0.60625000000000007</v>
      </c>
      <c r="F630" s="5" t="s">
        <v>7305</v>
      </c>
      <c r="G630" s="12">
        <v>933</v>
      </c>
      <c r="H630" s="12">
        <v>0</v>
      </c>
      <c r="I630" s="12">
        <v>933</v>
      </c>
      <c r="J630" s="12">
        <f>SUMIF(order_item!B:B,A630,order_item!E:E)</f>
        <v>933</v>
      </c>
      <c r="K630" s="28" t="str">
        <f>_xlfn.XLOOKUP(B630,customers!A:A,customers!D:D)</f>
        <v>Regular</v>
      </c>
    </row>
    <row r="631" spans="1:11" x14ac:dyDescent="0.25">
      <c r="A631" s="5" t="s">
        <v>5113</v>
      </c>
      <c r="B631" s="5" t="s">
        <v>614</v>
      </c>
      <c r="C631" s="5" t="s">
        <v>7308</v>
      </c>
      <c r="D631" s="1">
        <v>45560</v>
      </c>
      <c r="E631" s="17">
        <v>0.70486111111111116</v>
      </c>
      <c r="F631" s="5" t="s">
        <v>7305</v>
      </c>
      <c r="G631" s="12">
        <v>445</v>
      </c>
      <c r="H631" s="12">
        <v>0</v>
      </c>
      <c r="I631" s="12">
        <v>445</v>
      </c>
      <c r="J631" s="12">
        <f>SUMIF(order_item!B:B,A631,order_item!E:E)</f>
        <v>445</v>
      </c>
      <c r="K631" s="28" t="str">
        <f>_xlfn.XLOOKUP(B631,customers!A:A,customers!D:D)</f>
        <v>Regular</v>
      </c>
    </row>
    <row r="632" spans="1:11" x14ac:dyDescent="0.25">
      <c r="A632" s="5" t="s">
        <v>5111</v>
      </c>
      <c r="B632" s="5" t="s">
        <v>487</v>
      </c>
      <c r="C632" s="5" t="s">
        <v>7309</v>
      </c>
      <c r="D632" s="1">
        <v>45653</v>
      </c>
      <c r="E632" s="17">
        <v>0.80763888888888891</v>
      </c>
      <c r="F632" s="5" t="s">
        <v>7305</v>
      </c>
      <c r="G632" s="12">
        <v>79</v>
      </c>
      <c r="H632" s="12">
        <v>3.95</v>
      </c>
      <c r="I632" s="12">
        <v>75.05</v>
      </c>
      <c r="J632" s="12">
        <f>SUMIF(order_item!B:B,A632,order_item!E:E)</f>
        <v>79</v>
      </c>
      <c r="K632" s="28" t="str">
        <f>_xlfn.XLOOKUP(B632,customers!A:A,customers!D:D)</f>
        <v>New</v>
      </c>
    </row>
    <row r="633" spans="1:11" x14ac:dyDescent="0.25">
      <c r="A633" s="5" t="s">
        <v>5107</v>
      </c>
      <c r="B633" s="5" t="s">
        <v>524</v>
      </c>
      <c r="C633" s="5" t="s">
        <v>7309</v>
      </c>
      <c r="D633" s="1">
        <v>45611</v>
      </c>
      <c r="E633" s="17">
        <v>0.77847222222222223</v>
      </c>
      <c r="F633" s="5" t="s">
        <v>7305</v>
      </c>
      <c r="G633" s="12">
        <v>1209</v>
      </c>
      <c r="H633" s="12">
        <v>120.9</v>
      </c>
      <c r="I633" s="12">
        <v>1088.0999999999999</v>
      </c>
      <c r="J633" s="12">
        <f>SUMIF(order_item!B:B,A633,order_item!E:E)</f>
        <v>1209</v>
      </c>
      <c r="K633" s="28" t="str">
        <f>_xlfn.XLOOKUP(B633,customers!A:A,customers!D:D)</f>
        <v>New</v>
      </c>
    </row>
    <row r="634" spans="1:11" x14ac:dyDescent="0.25">
      <c r="A634" s="5" t="s">
        <v>5105</v>
      </c>
      <c r="B634" s="5" t="s">
        <v>472</v>
      </c>
      <c r="C634" s="5" t="s">
        <v>7306</v>
      </c>
      <c r="D634" s="1">
        <v>45451</v>
      </c>
      <c r="E634" s="17">
        <v>7.4999999999999997E-2</v>
      </c>
      <c r="F634" s="5" t="s">
        <v>7305</v>
      </c>
      <c r="G634" s="12">
        <v>79</v>
      </c>
      <c r="H634" s="12">
        <v>0</v>
      </c>
      <c r="I634" s="12">
        <v>79</v>
      </c>
      <c r="J634" s="12">
        <f>SUMIF(order_item!B:B,A634,order_item!E:E)</f>
        <v>79</v>
      </c>
      <c r="K634" s="28" t="str">
        <f>_xlfn.XLOOKUP(B634,customers!A:A,customers!D:D)</f>
        <v>Premium</v>
      </c>
    </row>
    <row r="635" spans="1:11" x14ac:dyDescent="0.25">
      <c r="A635" s="5" t="s">
        <v>5102</v>
      </c>
      <c r="B635" s="5" t="s">
        <v>196</v>
      </c>
      <c r="C635" s="5" t="s">
        <v>7309</v>
      </c>
      <c r="D635" s="1">
        <v>45698</v>
      </c>
      <c r="E635" s="17">
        <v>0.82847222222222217</v>
      </c>
      <c r="F635" s="5" t="s">
        <v>7305</v>
      </c>
      <c r="G635" s="12">
        <v>595</v>
      </c>
      <c r="H635" s="12">
        <v>0</v>
      </c>
      <c r="I635" s="12">
        <v>595</v>
      </c>
      <c r="J635" s="12">
        <f>SUMIF(order_item!B:B,A635,order_item!E:E)</f>
        <v>595</v>
      </c>
      <c r="K635" s="28" t="str">
        <f>_xlfn.XLOOKUP(B635,customers!A:A,customers!D:D)</f>
        <v>Regular</v>
      </c>
    </row>
    <row r="636" spans="1:11" x14ac:dyDescent="0.25">
      <c r="A636" s="5" t="s">
        <v>5100</v>
      </c>
      <c r="B636" s="5" t="s">
        <v>330</v>
      </c>
      <c r="C636" s="5" t="s">
        <v>7309</v>
      </c>
      <c r="D636" s="1">
        <v>45521</v>
      </c>
      <c r="E636" s="17">
        <v>0.62291666666666667</v>
      </c>
      <c r="F636" s="5" t="s">
        <v>7305</v>
      </c>
      <c r="G636" s="12">
        <v>149</v>
      </c>
      <c r="H636" s="12">
        <v>0</v>
      </c>
      <c r="I636" s="12">
        <v>149</v>
      </c>
      <c r="J636" s="12">
        <f>SUMIF(order_item!B:B,A636,order_item!E:E)</f>
        <v>149</v>
      </c>
      <c r="K636" s="28" t="str">
        <f>_xlfn.XLOOKUP(B636,customers!A:A,customers!D:D)</f>
        <v>Premium</v>
      </c>
    </row>
    <row r="637" spans="1:11" x14ac:dyDescent="0.25">
      <c r="A637" s="5" t="s">
        <v>5098</v>
      </c>
      <c r="B637" s="5" t="s">
        <v>311</v>
      </c>
      <c r="C637" s="5" t="s">
        <v>7309</v>
      </c>
      <c r="D637" s="1">
        <v>45407</v>
      </c>
      <c r="E637" s="17">
        <v>0.83958333333333324</v>
      </c>
      <c r="F637" s="5" t="s">
        <v>7305</v>
      </c>
      <c r="G637" s="12">
        <v>298</v>
      </c>
      <c r="H637" s="12">
        <v>0</v>
      </c>
      <c r="I637" s="12">
        <v>298</v>
      </c>
      <c r="J637" s="12">
        <f>SUMIF(order_item!B:B,A637,order_item!E:E)</f>
        <v>298</v>
      </c>
      <c r="K637" s="28" t="str">
        <f>_xlfn.XLOOKUP(B637,customers!A:A,customers!D:D)</f>
        <v>New</v>
      </c>
    </row>
    <row r="638" spans="1:11" x14ac:dyDescent="0.25">
      <c r="A638" s="5" t="s">
        <v>5095</v>
      </c>
      <c r="B638" s="5" t="s">
        <v>677</v>
      </c>
      <c r="C638" s="5" t="s">
        <v>7306</v>
      </c>
      <c r="D638" s="1">
        <v>45619</v>
      </c>
      <c r="E638" s="17">
        <v>0.38819444444444445</v>
      </c>
      <c r="F638" s="5" t="s">
        <v>7305</v>
      </c>
      <c r="G638" s="12">
        <v>615</v>
      </c>
      <c r="H638" s="12">
        <v>30.75</v>
      </c>
      <c r="I638" s="12">
        <v>584.25</v>
      </c>
      <c r="J638" s="12">
        <f>SUMIF(order_item!B:B,A638,order_item!E:E)</f>
        <v>615</v>
      </c>
      <c r="K638" s="28" t="str">
        <f>_xlfn.XLOOKUP(B638,customers!A:A,customers!D:D)</f>
        <v>Regular</v>
      </c>
    </row>
    <row r="639" spans="1:11" x14ac:dyDescent="0.25">
      <c r="A639" s="5" t="s">
        <v>5092</v>
      </c>
      <c r="B639" s="5" t="s">
        <v>401</v>
      </c>
      <c r="C639" s="5" t="s">
        <v>7308</v>
      </c>
      <c r="D639" s="1">
        <v>45455</v>
      </c>
      <c r="E639" s="17">
        <v>0.77569444444444446</v>
      </c>
      <c r="F639" s="5" t="s">
        <v>7305</v>
      </c>
      <c r="G639" s="12">
        <v>327</v>
      </c>
      <c r="H639" s="12">
        <v>0</v>
      </c>
      <c r="I639" s="12">
        <v>327</v>
      </c>
      <c r="J639" s="12">
        <f>SUMIF(order_item!B:B,A639,order_item!E:E)</f>
        <v>327</v>
      </c>
      <c r="K639" s="28" t="str">
        <f>_xlfn.XLOOKUP(B639,customers!A:A,customers!D:D)</f>
        <v>Regular</v>
      </c>
    </row>
    <row r="640" spans="1:11" x14ac:dyDescent="0.25">
      <c r="A640" s="5" t="s">
        <v>5090</v>
      </c>
      <c r="B640" s="5" t="s">
        <v>286</v>
      </c>
      <c r="C640" s="5" t="s">
        <v>7306</v>
      </c>
      <c r="D640" s="1">
        <v>45621</v>
      </c>
      <c r="E640" s="17">
        <v>0.53263888888888888</v>
      </c>
      <c r="F640" s="5" t="s">
        <v>7305</v>
      </c>
      <c r="G640" s="12">
        <v>178</v>
      </c>
      <c r="H640" s="12">
        <v>0</v>
      </c>
      <c r="I640" s="12">
        <v>178</v>
      </c>
      <c r="J640" s="12">
        <f>SUMIF(order_item!B:B,A640,order_item!E:E)</f>
        <v>178</v>
      </c>
      <c r="K640" s="28" t="str">
        <f>_xlfn.XLOOKUP(B640,customers!A:A,customers!D:D)</f>
        <v>Regular</v>
      </c>
    </row>
    <row r="641" spans="1:11" x14ac:dyDescent="0.25">
      <c r="A641" s="5" t="s">
        <v>5088</v>
      </c>
      <c r="B641" s="5" t="s">
        <v>662</v>
      </c>
      <c r="C641" s="5" t="s">
        <v>7309</v>
      </c>
      <c r="D641" s="1">
        <v>45684</v>
      </c>
      <c r="E641" s="17">
        <v>0.71597222222222223</v>
      </c>
      <c r="F641" s="5" t="s">
        <v>7305</v>
      </c>
      <c r="G641" s="12">
        <v>79</v>
      </c>
      <c r="H641" s="12">
        <v>0</v>
      </c>
      <c r="I641" s="12">
        <v>79</v>
      </c>
      <c r="J641" s="12">
        <f>SUMIF(order_item!B:B,A641,order_item!E:E)</f>
        <v>79</v>
      </c>
      <c r="K641" s="28" t="str">
        <f>_xlfn.XLOOKUP(B641,customers!A:A,customers!D:D)</f>
        <v>Regular</v>
      </c>
    </row>
    <row r="642" spans="1:11" x14ac:dyDescent="0.25">
      <c r="A642" s="5" t="s">
        <v>5084</v>
      </c>
      <c r="B642" s="5" t="s">
        <v>753</v>
      </c>
      <c r="C642" s="5" t="s">
        <v>7309</v>
      </c>
      <c r="D642" s="1">
        <v>45587</v>
      </c>
      <c r="E642" s="17">
        <v>7.8472222222222221E-2</v>
      </c>
      <c r="F642" s="5" t="s">
        <v>7305</v>
      </c>
      <c r="G642" s="12">
        <v>633</v>
      </c>
      <c r="H642" s="12">
        <v>0</v>
      </c>
      <c r="I642" s="12">
        <v>633</v>
      </c>
      <c r="J642" s="12">
        <f>SUMIF(order_item!B:B,A642,order_item!E:E)</f>
        <v>633</v>
      </c>
      <c r="K642" s="28" t="str">
        <f>_xlfn.XLOOKUP(B642,customers!A:A,customers!D:D)</f>
        <v>Regular</v>
      </c>
    </row>
    <row r="643" spans="1:11" x14ac:dyDescent="0.25">
      <c r="A643" s="5" t="s">
        <v>5081</v>
      </c>
      <c r="B643" s="5" t="s">
        <v>499</v>
      </c>
      <c r="C643" s="5" t="s">
        <v>7306</v>
      </c>
      <c r="D643" s="1">
        <v>45581</v>
      </c>
      <c r="E643" s="17">
        <v>0.54513888888888895</v>
      </c>
      <c r="F643" s="5" t="s">
        <v>7305</v>
      </c>
      <c r="G643" s="12">
        <v>257</v>
      </c>
      <c r="H643" s="12">
        <v>38.549999999999997</v>
      </c>
      <c r="I643" s="12">
        <v>218.45</v>
      </c>
      <c r="J643" s="12">
        <f>SUMIF(order_item!B:B,A643,order_item!E:E)</f>
        <v>257</v>
      </c>
      <c r="K643" s="28" t="str">
        <f>_xlfn.XLOOKUP(B643,customers!A:A,customers!D:D)</f>
        <v>New</v>
      </c>
    </row>
    <row r="644" spans="1:11" x14ac:dyDescent="0.25">
      <c r="A644" s="5" t="s">
        <v>5076</v>
      </c>
      <c r="B644" s="5" t="s">
        <v>135</v>
      </c>
      <c r="C644" s="5" t="s">
        <v>7309</v>
      </c>
      <c r="D644" s="1">
        <v>45517</v>
      </c>
      <c r="E644" s="17">
        <v>0.90069444444444446</v>
      </c>
      <c r="F644" s="5" t="s">
        <v>7305</v>
      </c>
      <c r="G644" s="12">
        <v>902</v>
      </c>
      <c r="H644" s="12">
        <v>0</v>
      </c>
      <c r="I644" s="12">
        <v>902</v>
      </c>
      <c r="J644" s="12">
        <f>SUMIF(order_item!B:B,A644,order_item!E:E)</f>
        <v>902</v>
      </c>
      <c r="K644" s="28" t="str">
        <f>_xlfn.XLOOKUP(B644,customers!A:A,customers!D:D)</f>
        <v>Regular</v>
      </c>
    </row>
    <row r="645" spans="1:11" x14ac:dyDescent="0.25">
      <c r="A645" s="5" t="s">
        <v>5071</v>
      </c>
      <c r="B645" s="5" t="s">
        <v>447</v>
      </c>
      <c r="C645" s="5" t="s">
        <v>7306</v>
      </c>
      <c r="D645" s="1">
        <v>45391</v>
      </c>
      <c r="E645" s="17">
        <v>0.94236111111111109</v>
      </c>
      <c r="F645" s="5" t="s">
        <v>7305</v>
      </c>
      <c r="G645" s="12">
        <v>1368</v>
      </c>
      <c r="H645" s="12">
        <v>68.400000000000006</v>
      </c>
      <c r="I645" s="12">
        <v>1299.5999999999999</v>
      </c>
      <c r="J645" s="12">
        <f>SUMIF(order_item!B:B,A645,order_item!E:E)</f>
        <v>1368</v>
      </c>
      <c r="K645" s="28" t="str">
        <f>_xlfn.XLOOKUP(B645,customers!A:A,customers!D:D)</f>
        <v>Regular</v>
      </c>
    </row>
    <row r="646" spans="1:11" x14ac:dyDescent="0.25">
      <c r="A646" s="5" t="s">
        <v>5066</v>
      </c>
      <c r="B646" s="5" t="s">
        <v>432</v>
      </c>
      <c r="C646" s="5" t="s">
        <v>7309</v>
      </c>
      <c r="D646" s="1">
        <v>45555</v>
      </c>
      <c r="E646" s="17">
        <v>1.7361111111111112E-2</v>
      </c>
      <c r="F646" s="5" t="s">
        <v>7305</v>
      </c>
      <c r="G646" s="12">
        <v>840</v>
      </c>
      <c r="H646" s="12">
        <v>0</v>
      </c>
      <c r="I646" s="12">
        <v>840</v>
      </c>
      <c r="J646" s="12">
        <f>SUMIF(order_item!B:B,A646,order_item!E:E)</f>
        <v>840</v>
      </c>
      <c r="K646" s="28" t="str">
        <f>_xlfn.XLOOKUP(B646,customers!A:A,customers!D:D)</f>
        <v>Regular</v>
      </c>
    </row>
    <row r="647" spans="1:11" x14ac:dyDescent="0.25">
      <c r="A647" s="5" t="s">
        <v>5064</v>
      </c>
      <c r="B647" s="5" t="s">
        <v>628</v>
      </c>
      <c r="C647" s="5" t="s">
        <v>7309</v>
      </c>
      <c r="D647" s="1">
        <v>45737</v>
      </c>
      <c r="E647" s="17">
        <v>0.74375000000000002</v>
      </c>
      <c r="F647" s="5" t="s">
        <v>7305</v>
      </c>
      <c r="G647" s="12">
        <v>396</v>
      </c>
      <c r="H647" s="12">
        <v>39.6</v>
      </c>
      <c r="I647" s="12">
        <v>356.4</v>
      </c>
      <c r="J647" s="12">
        <f>SUMIF(order_item!B:B,A647,order_item!E:E)</f>
        <v>396</v>
      </c>
      <c r="K647" s="28" t="str">
        <f>_xlfn.XLOOKUP(B647,customers!A:A,customers!D:D)</f>
        <v>Regular</v>
      </c>
    </row>
    <row r="648" spans="1:11" x14ac:dyDescent="0.25">
      <c r="A648" s="5" t="s">
        <v>5059</v>
      </c>
      <c r="B648" s="5" t="s">
        <v>811</v>
      </c>
      <c r="C648" s="5" t="s">
        <v>7306</v>
      </c>
      <c r="D648" s="1">
        <v>45511</v>
      </c>
      <c r="E648" s="17">
        <v>0.7270833333333333</v>
      </c>
      <c r="F648" s="5" t="s">
        <v>7305</v>
      </c>
      <c r="G648" s="12">
        <v>1050</v>
      </c>
      <c r="H648" s="12">
        <v>0</v>
      </c>
      <c r="I648" s="12">
        <v>1050</v>
      </c>
      <c r="J648" s="12">
        <f>SUMIF(order_item!B:B,A648,order_item!E:E)</f>
        <v>1050</v>
      </c>
      <c r="K648" s="28" t="str">
        <f>_xlfn.XLOOKUP(B648,customers!A:A,customers!D:D)</f>
        <v>New</v>
      </c>
    </row>
    <row r="649" spans="1:11" x14ac:dyDescent="0.25">
      <c r="A649" s="5" t="s">
        <v>5055</v>
      </c>
      <c r="B649" s="5" t="s">
        <v>782</v>
      </c>
      <c r="C649" s="5" t="s">
        <v>7309</v>
      </c>
      <c r="D649" s="1">
        <v>45640</v>
      </c>
      <c r="E649" s="17">
        <v>0.43333333333333335</v>
      </c>
      <c r="F649" s="5" t="s">
        <v>7305</v>
      </c>
      <c r="G649" s="12">
        <v>337</v>
      </c>
      <c r="H649" s="12">
        <v>0</v>
      </c>
      <c r="I649" s="12">
        <v>337</v>
      </c>
      <c r="J649" s="12">
        <f>SUMIF(order_item!B:B,A649,order_item!E:E)</f>
        <v>337</v>
      </c>
      <c r="K649" s="28" t="str">
        <f>_xlfn.XLOOKUP(B649,customers!A:A,customers!D:D)</f>
        <v>Premium</v>
      </c>
    </row>
    <row r="650" spans="1:11" x14ac:dyDescent="0.25">
      <c r="A650" s="5" t="s">
        <v>5052</v>
      </c>
      <c r="B650" s="5" t="s">
        <v>418</v>
      </c>
      <c r="C650" s="5" t="s">
        <v>7309</v>
      </c>
      <c r="D650" s="1">
        <v>45650</v>
      </c>
      <c r="E650" s="17">
        <v>0.74722222222222223</v>
      </c>
      <c r="F650" s="5" t="s">
        <v>7305</v>
      </c>
      <c r="G650" s="12">
        <v>307</v>
      </c>
      <c r="H650" s="12">
        <v>15.35</v>
      </c>
      <c r="I650" s="12">
        <v>291.64999999999998</v>
      </c>
      <c r="J650" s="12">
        <f>SUMIF(order_item!B:B,A650,order_item!E:E)</f>
        <v>307</v>
      </c>
      <c r="K650" s="28" t="str">
        <f>_xlfn.XLOOKUP(B650,customers!A:A,customers!D:D)</f>
        <v>Regular</v>
      </c>
    </row>
    <row r="651" spans="1:11" x14ac:dyDescent="0.25">
      <c r="A651" s="5" t="s">
        <v>5049</v>
      </c>
      <c r="B651" s="5" t="s">
        <v>561</v>
      </c>
      <c r="C651" s="5" t="s">
        <v>7309</v>
      </c>
      <c r="D651" s="1">
        <v>45436</v>
      </c>
      <c r="E651" s="17">
        <v>0.72152777777777777</v>
      </c>
      <c r="F651" s="5" t="s">
        <v>7305</v>
      </c>
      <c r="G651" s="12">
        <v>356</v>
      </c>
      <c r="H651" s="12">
        <v>0</v>
      </c>
      <c r="I651" s="12">
        <v>356</v>
      </c>
      <c r="J651" s="12">
        <f>SUMIF(order_item!B:B,A651,order_item!E:E)</f>
        <v>356</v>
      </c>
      <c r="K651" s="28" t="str">
        <f>_xlfn.XLOOKUP(B651,customers!A:A,customers!D:D)</f>
        <v>Regular</v>
      </c>
    </row>
    <row r="652" spans="1:11" x14ac:dyDescent="0.25">
      <c r="A652" s="5" t="s">
        <v>5045</v>
      </c>
      <c r="B652" s="5" t="s">
        <v>207</v>
      </c>
      <c r="C652" s="5" t="s">
        <v>7309</v>
      </c>
      <c r="D652" s="1">
        <v>45555</v>
      </c>
      <c r="E652" s="17">
        <v>0.8979166666666667</v>
      </c>
      <c r="F652" s="5" t="s">
        <v>7305</v>
      </c>
      <c r="G652" s="12">
        <v>456</v>
      </c>
      <c r="H652" s="12">
        <v>0</v>
      </c>
      <c r="I652" s="12">
        <v>456</v>
      </c>
      <c r="J652" s="12">
        <f>SUMIF(order_item!B:B,A652,order_item!E:E)</f>
        <v>456</v>
      </c>
      <c r="K652" s="28" t="str">
        <f>_xlfn.XLOOKUP(B652,customers!A:A,customers!D:D)</f>
        <v>Regular</v>
      </c>
    </row>
    <row r="653" spans="1:11" x14ac:dyDescent="0.25">
      <c r="A653" s="5" t="s">
        <v>5042</v>
      </c>
      <c r="B653" s="5" t="s">
        <v>571</v>
      </c>
      <c r="C653" s="5" t="s">
        <v>7306</v>
      </c>
      <c r="D653" s="1">
        <v>45567</v>
      </c>
      <c r="E653" s="17">
        <v>0.89236111111111116</v>
      </c>
      <c r="F653" s="5" t="s">
        <v>7305</v>
      </c>
      <c r="G653" s="12">
        <v>775</v>
      </c>
      <c r="H653" s="12">
        <v>0</v>
      </c>
      <c r="I653" s="12">
        <v>775</v>
      </c>
      <c r="J653" s="12">
        <f>SUMIF(order_item!B:B,A653,order_item!E:E)</f>
        <v>775</v>
      </c>
      <c r="K653" s="28" t="str">
        <f>_xlfn.XLOOKUP(B653,customers!A:A,customers!D:D)</f>
        <v>New</v>
      </c>
    </row>
    <row r="654" spans="1:11" x14ac:dyDescent="0.25">
      <c r="A654" s="5" t="s">
        <v>5038</v>
      </c>
      <c r="B654" s="5" t="s">
        <v>795</v>
      </c>
      <c r="C654" s="5" t="s">
        <v>7306</v>
      </c>
      <c r="D654" s="1">
        <v>45572</v>
      </c>
      <c r="E654" s="17">
        <v>0.84930555555555554</v>
      </c>
      <c r="F654" s="5" t="s">
        <v>7305</v>
      </c>
      <c r="G654" s="12">
        <v>693</v>
      </c>
      <c r="H654" s="12">
        <v>69.3</v>
      </c>
      <c r="I654" s="12">
        <v>623.70000000000005</v>
      </c>
      <c r="J654" s="12">
        <f>SUMIF(order_item!B:B,A654,order_item!E:E)</f>
        <v>693</v>
      </c>
      <c r="K654" s="28" t="str">
        <f>_xlfn.XLOOKUP(B654,customers!A:A,customers!D:D)</f>
        <v>Regular</v>
      </c>
    </row>
    <row r="655" spans="1:11" x14ac:dyDescent="0.25">
      <c r="A655" s="5" t="s">
        <v>5033</v>
      </c>
      <c r="B655" s="5" t="s">
        <v>173</v>
      </c>
      <c r="C655" s="5" t="s">
        <v>7309</v>
      </c>
      <c r="D655" s="1">
        <v>45560</v>
      </c>
      <c r="E655" s="17">
        <v>0.67152777777777783</v>
      </c>
      <c r="F655" s="5" t="s">
        <v>7305</v>
      </c>
      <c r="G655" s="12">
        <v>793</v>
      </c>
      <c r="H655" s="12">
        <v>79.3</v>
      </c>
      <c r="I655" s="12">
        <v>713.7</v>
      </c>
      <c r="J655" s="12">
        <f>SUMIF(order_item!B:B,A655,order_item!E:E)</f>
        <v>793</v>
      </c>
      <c r="K655" s="28" t="str">
        <f>_xlfn.XLOOKUP(B655,customers!A:A,customers!D:D)</f>
        <v>Regular</v>
      </c>
    </row>
    <row r="656" spans="1:11" x14ac:dyDescent="0.25">
      <c r="A656" s="5" t="s">
        <v>5030</v>
      </c>
      <c r="B656" s="5" t="s">
        <v>309</v>
      </c>
      <c r="C656" s="5" t="s">
        <v>7309</v>
      </c>
      <c r="D656" s="1">
        <v>45507</v>
      </c>
      <c r="E656" s="17">
        <v>0.68194444444444446</v>
      </c>
      <c r="F656" s="5" t="s">
        <v>7305</v>
      </c>
      <c r="G656" s="12">
        <v>257</v>
      </c>
      <c r="H656" s="12">
        <v>25.7</v>
      </c>
      <c r="I656" s="12">
        <v>231.3</v>
      </c>
      <c r="J656" s="12">
        <f>SUMIF(order_item!B:B,A656,order_item!E:E)</f>
        <v>257</v>
      </c>
      <c r="K656" s="28" t="str">
        <f>_xlfn.XLOOKUP(B656,customers!A:A,customers!D:D)</f>
        <v>New</v>
      </c>
    </row>
    <row r="657" spans="1:11" x14ac:dyDescent="0.25">
      <c r="A657" s="5" t="s">
        <v>5027</v>
      </c>
      <c r="B657" s="5" t="s">
        <v>112</v>
      </c>
      <c r="C657" s="5" t="s">
        <v>7306</v>
      </c>
      <c r="D657" s="1">
        <v>45526</v>
      </c>
      <c r="E657" s="17">
        <v>0.84375</v>
      </c>
      <c r="F657" s="5" t="s">
        <v>7305</v>
      </c>
      <c r="G657" s="12">
        <v>564</v>
      </c>
      <c r="H657" s="12">
        <v>0</v>
      </c>
      <c r="I657" s="12">
        <v>564</v>
      </c>
      <c r="J657" s="12">
        <f>SUMIF(order_item!B:B,A657,order_item!E:E)</f>
        <v>564</v>
      </c>
      <c r="K657" s="28" t="str">
        <f>_xlfn.XLOOKUP(B657,customers!A:A,customers!D:D)</f>
        <v>Regular</v>
      </c>
    </row>
    <row r="658" spans="1:11" x14ac:dyDescent="0.25">
      <c r="A658" s="5" t="s">
        <v>5024</v>
      </c>
      <c r="B658" s="5" t="s">
        <v>636</v>
      </c>
      <c r="C658" s="5" t="s">
        <v>7308</v>
      </c>
      <c r="D658" s="1">
        <v>45703</v>
      </c>
      <c r="E658" s="17">
        <v>0.87847222222222221</v>
      </c>
      <c r="F658" s="5" t="s">
        <v>7305</v>
      </c>
      <c r="G658" s="12">
        <v>625</v>
      </c>
      <c r="H658" s="12">
        <v>62.5</v>
      </c>
      <c r="I658" s="12">
        <v>562.5</v>
      </c>
      <c r="J658" s="12">
        <f>SUMIF(order_item!B:B,A658,order_item!E:E)</f>
        <v>625</v>
      </c>
      <c r="K658" s="28" t="str">
        <f>_xlfn.XLOOKUP(B658,customers!A:A,customers!D:D)</f>
        <v>New</v>
      </c>
    </row>
    <row r="659" spans="1:11" x14ac:dyDescent="0.25">
      <c r="A659" s="5" t="s">
        <v>5021</v>
      </c>
      <c r="B659" s="5" t="s">
        <v>658</v>
      </c>
      <c r="C659" s="5" t="s">
        <v>7306</v>
      </c>
      <c r="D659" s="1">
        <v>45734</v>
      </c>
      <c r="E659" s="17">
        <v>1.1111111111111112E-2</v>
      </c>
      <c r="F659" s="5" t="s">
        <v>7305</v>
      </c>
      <c r="G659" s="12">
        <v>506</v>
      </c>
      <c r="H659" s="12">
        <v>0</v>
      </c>
      <c r="I659" s="12">
        <v>506</v>
      </c>
      <c r="J659" s="12">
        <f>SUMIF(order_item!B:B,A659,order_item!E:E)</f>
        <v>506</v>
      </c>
      <c r="K659" s="28" t="str">
        <f>_xlfn.XLOOKUP(B659,customers!A:A,customers!D:D)</f>
        <v>Premium</v>
      </c>
    </row>
    <row r="660" spans="1:11" x14ac:dyDescent="0.25">
      <c r="A660" s="5" t="s">
        <v>5019</v>
      </c>
      <c r="B660" s="5" t="s">
        <v>124</v>
      </c>
      <c r="C660" s="5" t="s">
        <v>7309</v>
      </c>
      <c r="D660" s="1">
        <v>45498</v>
      </c>
      <c r="E660" s="17">
        <v>1.7361111111111112E-2</v>
      </c>
      <c r="F660" s="5" t="s">
        <v>7305</v>
      </c>
      <c r="G660" s="12">
        <v>267</v>
      </c>
      <c r="H660" s="12">
        <v>13.35</v>
      </c>
      <c r="I660" s="12">
        <v>253.65</v>
      </c>
      <c r="J660" s="12">
        <f>SUMIF(order_item!B:B,A660,order_item!E:E)</f>
        <v>267</v>
      </c>
      <c r="K660" s="28" t="str">
        <f>_xlfn.XLOOKUP(B660,customers!A:A,customers!D:D)</f>
        <v>Regular</v>
      </c>
    </row>
    <row r="661" spans="1:11" x14ac:dyDescent="0.25">
      <c r="A661" s="5" t="s">
        <v>5016</v>
      </c>
      <c r="B661" s="5" t="s">
        <v>807</v>
      </c>
      <c r="C661" s="5" t="s">
        <v>7309</v>
      </c>
      <c r="D661" s="1">
        <v>45497</v>
      </c>
      <c r="E661" s="17">
        <v>0.88888888888888884</v>
      </c>
      <c r="F661" s="5" t="s">
        <v>7305</v>
      </c>
      <c r="G661" s="12">
        <v>636</v>
      </c>
      <c r="H661" s="12">
        <v>63.6</v>
      </c>
      <c r="I661" s="12">
        <v>572.4</v>
      </c>
      <c r="J661" s="12">
        <f>SUMIF(order_item!B:B,A661,order_item!E:E)</f>
        <v>636</v>
      </c>
      <c r="K661" s="28" t="str">
        <f>_xlfn.XLOOKUP(B661,customers!A:A,customers!D:D)</f>
        <v>Regular</v>
      </c>
    </row>
    <row r="662" spans="1:11" x14ac:dyDescent="0.25">
      <c r="A662" s="5" t="s">
        <v>5013</v>
      </c>
      <c r="B662" s="5" t="s">
        <v>99</v>
      </c>
      <c r="C662" s="5" t="s">
        <v>7306</v>
      </c>
      <c r="D662" s="1">
        <v>45619</v>
      </c>
      <c r="E662" s="17">
        <v>0.8125</v>
      </c>
      <c r="F662" s="5" t="s">
        <v>7305</v>
      </c>
      <c r="G662" s="12">
        <v>495</v>
      </c>
      <c r="H662" s="12">
        <v>0</v>
      </c>
      <c r="I662" s="12">
        <v>495</v>
      </c>
      <c r="J662" s="12">
        <f>SUMIF(order_item!B:B,A662,order_item!E:E)</f>
        <v>495</v>
      </c>
      <c r="K662" s="28" t="str">
        <f>_xlfn.XLOOKUP(B662,customers!A:A,customers!D:D)</f>
        <v>New</v>
      </c>
    </row>
    <row r="663" spans="1:11" x14ac:dyDescent="0.25">
      <c r="A663" s="5" t="s">
        <v>5009</v>
      </c>
      <c r="B663" s="5" t="s">
        <v>373</v>
      </c>
      <c r="C663" s="5" t="s">
        <v>7308</v>
      </c>
      <c r="D663" s="1">
        <v>45450</v>
      </c>
      <c r="E663" s="17">
        <v>0.79305555555555562</v>
      </c>
      <c r="F663" s="5" t="s">
        <v>7305</v>
      </c>
      <c r="G663" s="12">
        <v>217</v>
      </c>
      <c r="H663" s="12">
        <v>0</v>
      </c>
      <c r="I663" s="12">
        <v>217</v>
      </c>
      <c r="J663" s="12">
        <f>SUMIF(order_item!B:B,A663,order_item!E:E)</f>
        <v>217</v>
      </c>
      <c r="K663" s="28" t="str">
        <f>_xlfn.XLOOKUP(B663,customers!A:A,customers!D:D)</f>
        <v>New</v>
      </c>
    </row>
    <row r="664" spans="1:11" x14ac:dyDescent="0.25">
      <c r="A664" s="5" t="s">
        <v>5005</v>
      </c>
      <c r="B664" s="5" t="s">
        <v>623</v>
      </c>
      <c r="C664" s="5" t="s">
        <v>7306</v>
      </c>
      <c r="D664" s="1">
        <v>45394</v>
      </c>
      <c r="E664" s="17">
        <v>0.73541666666666661</v>
      </c>
      <c r="F664" s="5" t="s">
        <v>7305</v>
      </c>
      <c r="G664" s="12">
        <v>336</v>
      </c>
      <c r="H664" s="12">
        <v>16.8</v>
      </c>
      <c r="I664" s="12">
        <v>319.2</v>
      </c>
      <c r="J664" s="12">
        <f>SUMIF(order_item!B:B,A664,order_item!E:E)</f>
        <v>336</v>
      </c>
      <c r="K664" s="28" t="str">
        <f>_xlfn.XLOOKUP(B664,customers!A:A,customers!D:D)</f>
        <v>Regular</v>
      </c>
    </row>
    <row r="665" spans="1:11" x14ac:dyDescent="0.25">
      <c r="A665" s="5" t="s">
        <v>5001</v>
      </c>
      <c r="B665" s="5" t="s">
        <v>666</v>
      </c>
      <c r="C665" s="5" t="s">
        <v>7309</v>
      </c>
      <c r="D665" s="1">
        <v>45420</v>
      </c>
      <c r="E665" s="17">
        <v>0.69166666666666676</v>
      </c>
      <c r="F665" s="5" t="s">
        <v>7305</v>
      </c>
      <c r="G665" s="12">
        <v>474</v>
      </c>
      <c r="H665" s="12">
        <v>0</v>
      </c>
      <c r="I665" s="12">
        <v>474</v>
      </c>
      <c r="J665" s="12">
        <f>SUMIF(order_item!B:B,A665,order_item!E:E)</f>
        <v>474</v>
      </c>
      <c r="K665" s="28" t="str">
        <f>_xlfn.XLOOKUP(B665,customers!A:A,customers!D:D)</f>
        <v>New</v>
      </c>
    </row>
    <row r="666" spans="1:11" x14ac:dyDescent="0.25">
      <c r="A666" s="5" t="s">
        <v>4997</v>
      </c>
      <c r="B666" s="5" t="s">
        <v>509</v>
      </c>
      <c r="C666" s="5" t="s">
        <v>7306</v>
      </c>
      <c r="D666" s="1">
        <v>45634</v>
      </c>
      <c r="E666" s="17">
        <v>0.88888888888888884</v>
      </c>
      <c r="F666" s="5" t="s">
        <v>7305</v>
      </c>
      <c r="G666" s="12">
        <v>664</v>
      </c>
      <c r="H666" s="12">
        <v>0</v>
      </c>
      <c r="I666" s="12">
        <v>664</v>
      </c>
      <c r="J666" s="12">
        <f>SUMIF(order_item!B:B,A666,order_item!E:E)</f>
        <v>664</v>
      </c>
      <c r="K666" s="28" t="str">
        <f>_xlfn.XLOOKUP(B666,customers!A:A,customers!D:D)</f>
        <v>Regular</v>
      </c>
    </row>
    <row r="667" spans="1:11" x14ac:dyDescent="0.25">
      <c r="A667" s="5" t="s">
        <v>4995</v>
      </c>
      <c r="B667" s="5" t="s">
        <v>127</v>
      </c>
      <c r="C667" s="5" t="s">
        <v>7309</v>
      </c>
      <c r="D667" s="1">
        <v>45521</v>
      </c>
      <c r="E667" s="17">
        <v>0.73819444444444438</v>
      </c>
      <c r="F667" s="5" t="s">
        <v>7305</v>
      </c>
      <c r="G667" s="12">
        <v>159</v>
      </c>
      <c r="H667" s="12">
        <v>0</v>
      </c>
      <c r="I667" s="12">
        <v>159</v>
      </c>
      <c r="J667" s="12">
        <f>SUMIF(order_item!B:B,A667,order_item!E:E)</f>
        <v>159</v>
      </c>
      <c r="K667" s="28" t="str">
        <f>_xlfn.XLOOKUP(B667,customers!A:A,customers!D:D)</f>
        <v>Premium</v>
      </c>
    </row>
    <row r="668" spans="1:11" x14ac:dyDescent="0.25">
      <c r="A668" s="5" t="s">
        <v>4991</v>
      </c>
      <c r="B668" s="5" t="s">
        <v>77</v>
      </c>
      <c r="C668" s="5" t="s">
        <v>7309</v>
      </c>
      <c r="D668" s="1">
        <v>45747</v>
      </c>
      <c r="E668" s="17">
        <v>0.8930555555555556</v>
      </c>
      <c r="F668" s="5" t="s">
        <v>7305</v>
      </c>
      <c r="G668" s="12">
        <v>871</v>
      </c>
      <c r="H668" s="12">
        <v>0</v>
      </c>
      <c r="I668" s="12">
        <v>871</v>
      </c>
      <c r="J668" s="12">
        <f>SUMIF(order_item!B:B,A668,order_item!E:E)</f>
        <v>871</v>
      </c>
      <c r="K668" s="28" t="str">
        <f>_xlfn.XLOOKUP(B668,customers!A:A,customers!D:D)</f>
        <v>New</v>
      </c>
    </row>
    <row r="669" spans="1:11" x14ac:dyDescent="0.25">
      <c r="A669" s="5" t="s">
        <v>4988</v>
      </c>
      <c r="B669" s="5" t="s">
        <v>612</v>
      </c>
      <c r="C669" s="5" t="s">
        <v>7306</v>
      </c>
      <c r="D669" s="1">
        <v>45695</v>
      </c>
      <c r="E669" s="17">
        <v>0.47847222222222219</v>
      </c>
      <c r="F669" s="5" t="s">
        <v>7305</v>
      </c>
      <c r="G669" s="12">
        <v>248</v>
      </c>
      <c r="H669" s="12">
        <v>37.200000000000003</v>
      </c>
      <c r="I669" s="12">
        <v>210.8</v>
      </c>
      <c r="J669" s="12">
        <f>SUMIF(order_item!B:B,A669,order_item!E:E)</f>
        <v>248</v>
      </c>
      <c r="K669" s="28" t="str">
        <f>_xlfn.XLOOKUP(B669,customers!A:A,customers!D:D)</f>
        <v>Regular</v>
      </c>
    </row>
    <row r="670" spans="1:11" x14ac:dyDescent="0.25">
      <c r="A670" s="5" t="s">
        <v>4985</v>
      </c>
      <c r="B670" s="5" t="s">
        <v>703</v>
      </c>
      <c r="C670" s="5" t="s">
        <v>7306</v>
      </c>
      <c r="D670" s="1">
        <v>45569</v>
      </c>
      <c r="E670" s="17">
        <v>0.85277777777777775</v>
      </c>
      <c r="F670" s="5" t="s">
        <v>7305</v>
      </c>
      <c r="G670" s="12">
        <v>535</v>
      </c>
      <c r="H670" s="12">
        <v>0</v>
      </c>
      <c r="I670" s="12">
        <v>535</v>
      </c>
      <c r="J670" s="12">
        <f>SUMIF(order_item!B:B,A670,order_item!E:E)</f>
        <v>535</v>
      </c>
      <c r="K670" s="28" t="str">
        <f>_xlfn.XLOOKUP(B670,customers!A:A,customers!D:D)</f>
        <v>New</v>
      </c>
    </row>
    <row r="671" spans="1:11" x14ac:dyDescent="0.25">
      <c r="A671" s="5" t="s">
        <v>4983</v>
      </c>
      <c r="B671" s="5" t="s">
        <v>584</v>
      </c>
      <c r="C671" s="5" t="s">
        <v>7308</v>
      </c>
      <c r="D671" s="1">
        <v>45410</v>
      </c>
      <c r="E671" s="17">
        <v>7.1527777777777787E-2</v>
      </c>
      <c r="F671" s="5" t="s">
        <v>7305</v>
      </c>
      <c r="G671" s="12">
        <v>69</v>
      </c>
      <c r="H671" s="12">
        <v>0</v>
      </c>
      <c r="I671" s="12">
        <v>69</v>
      </c>
      <c r="J671" s="12">
        <f>SUMIF(order_item!B:B,A671,order_item!E:E)</f>
        <v>69</v>
      </c>
      <c r="K671" s="28" t="str">
        <f>_xlfn.XLOOKUP(B671,customers!A:A,customers!D:D)</f>
        <v>Regular</v>
      </c>
    </row>
    <row r="672" spans="1:11" x14ac:dyDescent="0.25">
      <c r="A672" s="5" t="s">
        <v>4980</v>
      </c>
      <c r="B672" s="5" t="s">
        <v>326</v>
      </c>
      <c r="C672" s="5" t="s">
        <v>7309</v>
      </c>
      <c r="D672" s="1">
        <v>45430</v>
      </c>
      <c r="E672" s="17">
        <v>6.5277777777777782E-2</v>
      </c>
      <c r="F672" s="5" t="s">
        <v>7305</v>
      </c>
      <c r="G672" s="12">
        <v>386</v>
      </c>
      <c r="H672" s="12">
        <v>0</v>
      </c>
      <c r="I672" s="12">
        <v>386</v>
      </c>
      <c r="J672" s="12">
        <f>SUMIF(order_item!B:B,A672,order_item!E:E)</f>
        <v>386</v>
      </c>
      <c r="K672" s="28" t="str">
        <f>_xlfn.XLOOKUP(B672,customers!A:A,customers!D:D)</f>
        <v>New</v>
      </c>
    </row>
    <row r="673" spans="1:11" x14ac:dyDescent="0.25">
      <c r="A673" s="5" t="s">
        <v>4976</v>
      </c>
      <c r="B673" s="5" t="s">
        <v>786</v>
      </c>
      <c r="C673" s="5" t="s">
        <v>7309</v>
      </c>
      <c r="D673" s="1">
        <v>45584</v>
      </c>
      <c r="E673" s="17">
        <v>0.82638888888888884</v>
      </c>
      <c r="F673" s="5" t="s">
        <v>7307</v>
      </c>
      <c r="G673" s="12">
        <v>622</v>
      </c>
      <c r="H673" s="12">
        <v>0</v>
      </c>
      <c r="I673" s="12">
        <v>0</v>
      </c>
      <c r="J673" s="12">
        <f>SUMIF(order_item!B:B,A673,order_item!E:E)</f>
        <v>622</v>
      </c>
      <c r="K673" s="28" t="str">
        <f>_xlfn.XLOOKUP(B673,customers!A:A,customers!D:D)</f>
        <v>New</v>
      </c>
    </row>
    <row r="674" spans="1:11" x14ac:dyDescent="0.25">
      <c r="A674" s="5" t="s">
        <v>4973</v>
      </c>
      <c r="B674" s="5" t="s">
        <v>138</v>
      </c>
      <c r="C674" s="5" t="s">
        <v>7306</v>
      </c>
      <c r="D674" s="1">
        <v>45420</v>
      </c>
      <c r="E674" s="17">
        <v>0.68680555555555556</v>
      </c>
      <c r="F674" s="5" t="s">
        <v>7305</v>
      </c>
      <c r="G674" s="12">
        <v>357</v>
      </c>
      <c r="H674" s="12">
        <v>0</v>
      </c>
      <c r="I674" s="12">
        <v>357</v>
      </c>
      <c r="J674" s="12">
        <f>SUMIF(order_item!B:B,A674,order_item!E:E)</f>
        <v>357</v>
      </c>
      <c r="K674" s="28" t="str">
        <f>_xlfn.XLOOKUP(B674,customers!A:A,customers!D:D)</f>
        <v>Regular</v>
      </c>
    </row>
    <row r="675" spans="1:11" x14ac:dyDescent="0.25">
      <c r="A675" s="5" t="s">
        <v>4970</v>
      </c>
      <c r="B675" s="5" t="s">
        <v>850</v>
      </c>
      <c r="C675" s="5" t="s">
        <v>7309</v>
      </c>
      <c r="D675" s="1">
        <v>45396</v>
      </c>
      <c r="E675" s="17">
        <v>0.84583333333333333</v>
      </c>
      <c r="F675" s="5" t="s">
        <v>7305</v>
      </c>
      <c r="G675" s="12">
        <v>257</v>
      </c>
      <c r="H675" s="12">
        <v>0</v>
      </c>
      <c r="I675" s="12">
        <v>257</v>
      </c>
      <c r="J675" s="12">
        <f>SUMIF(order_item!B:B,A675,order_item!E:E)</f>
        <v>257</v>
      </c>
      <c r="K675" s="28" t="str">
        <f>_xlfn.XLOOKUP(B675,customers!A:A,customers!D:D)</f>
        <v>New</v>
      </c>
    </row>
    <row r="676" spans="1:11" x14ac:dyDescent="0.25">
      <c r="A676" s="5" t="s">
        <v>4967</v>
      </c>
      <c r="B676" s="5" t="s">
        <v>344</v>
      </c>
      <c r="C676" s="5" t="s">
        <v>7309</v>
      </c>
      <c r="D676" s="1">
        <v>45562</v>
      </c>
      <c r="E676" s="17">
        <v>0.91041666666666676</v>
      </c>
      <c r="F676" s="5" t="s">
        <v>7305</v>
      </c>
      <c r="G676" s="12">
        <v>297</v>
      </c>
      <c r="H676" s="12">
        <v>29.7</v>
      </c>
      <c r="I676" s="12">
        <v>267.3</v>
      </c>
      <c r="J676" s="12">
        <f>SUMIF(order_item!B:B,A676,order_item!E:E)</f>
        <v>297</v>
      </c>
      <c r="K676" s="28" t="str">
        <f>_xlfn.XLOOKUP(B676,customers!A:A,customers!D:D)</f>
        <v>Regular</v>
      </c>
    </row>
    <row r="677" spans="1:11" x14ac:dyDescent="0.25">
      <c r="A677" s="5" t="s">
        <v>4963</v>
      </c>
      <c r="B677" s="5" t="s">
        <v>525</v>
      </c>
      <c r="C677" s="5" t="s">
        <v>7306</v>
      </c>
      <c r="D677" s="1">
        <v>45645</v>
      </c>
      <c r="E677" s="17">
        <v>0.97569444444444453</v>
      </c>
      <c r="F677" s="5" t="s">
        <v>7305</v>
      </c>
      <c r="G677" s="12">
        <v>993</v>
      </c>
      <c r="H677" s="12">
        <v>0</v>
      </c>
      <c r="I677" s="12">
        <v>993</v>
      </c>
      <c r="J677" s="12">
        <f>SUMIF(order_item!B:B,A677,order_item!E:E)</f>
        <v>993</v>
      </c>
      <c r="K677" s="28" t="str">
        <f>_xlfn.XLOOKUP(B677,customers!A:A,customers!D:D)</f>
        <v>Regular</v>
      </c>
    </row>
    <row r="678" spans="1:11" x14ac:dyDescent="0.25">
      <c r="A678" s="5" t="s">
        <v>4960</v>
      </c>
      <c r="B678" s="5" t="s">
        <v>367</v>
      </c>
      <c r="C678" s="5" t="s">
        <v>7308</v>
      </c>
      <c r="D678" s="1">
        <v>45575</v>
      </c>
      <c r="E678" s="17">
        <v>0.79166666666666663</v>
      </c>
      <c r="F678" s="5" t="s">
        <v>7305</v>
      </c>
      <c r="G678" s="12">
        <v>504</v>
      </c>
      <c r="H678" s="12">
        <v>0</v>
      </c>
      <c r="I678" s="12">
        <v>504</v>
      </c>
      <c r="J678" s="12">
        <f>SUMIF(order_item!B:B,A678,order_item!E:E)</f>
        <v>504</v>
      </c>
      <c r="K678" s="28" t="str">
        <f>_xlfn.XLOOKUP(B678,customers!A:A,customers!D:D)</f>
        <v>Regular</v>
      </c>
    </row>
    <row r="679" spans="1:11" x14ac:dyDescent="0.25">
      <c r="A679" s="5" t="s">
        <v>4956</v>
      </c>
      <c r="B679" s="5" t="s">
        <v>858</v>
      </c>
      <c r="C679" s="5" t="s">
        <v>7306</v>
      </c>
      <c r="D679" s="1">
        <v>45529</v>
      </c>
      <c r="E679" s="17">
        <v>0.91527777777777775</v>
      </c>
      <c r="F679" s="5" t="s">
        <v>7305</v>
      </c>
      <c r="G679" s="12">
        <v>733</v>
      </c>
      <c r="H679" s="12">
        <v>0</v>
      </c>
      <c r="I679" s="12">
        <v>733</v>
      </c>
      <c r="J679" s="12">
        <f>SUMIF(order_item!B:B,A679,order_item!E:E)</f>
        <v>733</v>
      </c>
      <c r="K679" s="28" t="str">
        <f>_xlfn.XLOOKUP(B679,customers!A:A,customers!D:D)</f>
        <v>New</v>
      </c>
    </row>
    <row r="680" spans="1:11" x14ac:dyDescent="0.25">
      <c r="A680" s="5" t="s">
        <v>4953</v>
      </c>
      <c r="B680" s="5" t="s">
        <v>834</v>
      </c>
      <c r="C680" s="5" t="s">
        <v>7309</v>
      </c>
      <c r="D680" s="1">
        <v>45689</v>
      </c>
      <c r="E680" s="17">
        <v>0.70208333333333339</v>
      </c>
      <c r="F680" s="5" t="s">
        <v>7305</v>
      </c>
      <c r="G680" s="12">
        <v>653</v>
      </c>
      <c r="H680" s="12">
        <v>32.65</v>
      </c>
      <c r="I680" s="12">
        <v>620.35</v>
      </c>
      <c r="J680" s="12">
        <f>SUMIF(order_item!B:B,A680,order_item!E:E)</f>
        <v>653</v>
      </c>
      <c r="K680" s="28" t="str">
        <f>_xlfn.XLOOKUP(B680,customers!A:A,customers!D:D)</f>
        <v>Regular</v>
      </c>
    </row>
    <row r="681" spans="1:11" x14ac:dyDescent="0.25">
      <c r="A681" s="5" t="s">
        <v>4950</v>
      </c>
      <c r="B681" s="5" t="s">
        <v>683</v>
      </c>
      <c r="C681" s="5" t="s">
        <v>7306</v>
      </c>
      <c r="D681" s="1">
        <v>45635</v>
      </c>
      <c r="E681" s="17">
        <v>0.69305555555555554</v>
      </c>
      <c r="F681" s="5" t="s">
        <v>7305</v>
      </c>
      <c r="G681" s="12">
        <v>178</v>
      </c>
      <c r="H681" s="12">
        <v>0</v>
      </c>
      <c r="I681" s="12">
        <v>178</v>
      </c>
      <c r="J681" s="12">
        <f>SUMIF(order_item!B:B,A681,order_item!E:E)</f>
        <v>178</v>
      </c>
      <c r="K681" s="28" t="str">
        <f>_xlfn.XLOOKUP(B681,customers!A:A,customers!D:D)</f>
        <v>Premium</v>
      </c>
    </row>
    <row r="682" spans="1:11" x14ac:dyDescent="0.25">
      <c r="A682" s="5" t="s">
        <v>4947</v>
      </c>
      <c r="B682" s="5" t="s">
        <v>159</v>
      </c>
      <c r="C682" s="5" t="s">
        <v>7306</v>
      </c>
      <c r="D682" s="1">
        <v>45656</v>
      </c>
      <c r="E682" s="17">
        <v>0.69027777777777777</v>
      </c>
      <c r="F682" s="5" t="s">
        <v>7305</v>
      </c>
      <c r="G682" s="12">
        <v>317</v>
      </c>
      <c r="H682" s="12">
        <v>0</v>
      </c>
      <c r="I682" s="12">
        <v>317</v>
      </c>
      <c r="J682" s="12">
        <f>SUMIF(order_item!B:B,A682,order_item!E:E)</f>
        <v>317</v>
      </c>
      <c r="K682" s="28" t="str">
        <f>_xlfn.XLOOKUP(B682,customers!A:A,customers!D:D)</f>
        <v>New</v>
      </c>
    </row>
    <row r="683" spans="1:11" x14ac:dyDescent="0.25">
      <c r="A683" s="5" t="s">
        <v>4943</v>
      </c>
      <c r="B683" s="5" t="s">
        <v>180</v>
      </c>
      <c r="C683" s="5" t="s">
        <v>7308</v>
      </c>
      <c r="D683" s="1">
        <v>45577</v>
      </c>
      <c r="E683" s="17">
        <v>0.8520833333333333</v>
      </c>
      <c r="F683" s="5" t="s">
        <v>7305</v>
      </c>
      <c r="G683" s="12">
        <v>357</v>
      </c>
      <c r="H683" s="12">
        <v>0</v>
      </c>
      <c r="I683" s="12">
        <v>357</v>
      </c>
      <c r="J683" s="12">
        <f>SUMIF(order_item!B:B,A683,order_item!E:E)</f>
        <v>357</v>
      </c>
      <c r="K683" s="28" t="str">
        <f>_xlfn.XLOOKUP(B683,customers!A:A,customers!D:D)</f>
        <v>Regular</v>
      </c>
    </row>
    <row r="684" spans="1:11" x14ac:dyDescent="0.25">
      <c r="A684" s="5" t="s">
        <v>4940</v>
      </c>
      <c r="B684" s="5" t="s">
        <v>660</v>
      </c>
      <c r="C684" s="5" t="s">
        <v>7309</v>
      </c>
      <c r="D684" s="1">
        <v>45519</v>
      </c>
      <c r="E684" s="17">
        <v>0.77847222222222223</v>
      </c>
      <c r="F684" s="5" t="s">
        <v>7305</v>
      </c>
      <c r="G684" s="12">
        <v>447</v>
      </c>
      <c r="H684" s="12">
        <v>0</v>
      </c>
      <c r="I684" s="12">
        <v>447</v>
      </c>
      <c r="J684" s="12">
        <f>SUMIF(order_item!B:B,A684,order_item!E:E)</f>
        <v>447</v>
      </c>
      <c r="K684" s="28" t="str">
        <f>_xlfn.XLOOKUP(B684,customers!A:A,customers!D:D)</f>
        <v>Regular</v>
      </c>
    </row>
    <row r="685" spans="1:11" x14ac:dyDescent="0.25">
      <c r="A685" s="5" t="s">
        <v>4936</v>
      </c>
      <c r="B685" s="5" t="s">
        <v>514</v>
      </c>
      <c r="C685" s="5" t="s">
        <v>7309</v>
      </c>
      <c r="D685" s="1">
        <v>45455</v>
      </c>
      <c r="E685" s="17">
        <v>0.85416666666666663</v>
      </c>
      <c r="F685" s="5" t="s">
        <v>7305</v>
      </c>
      <c r="G685" s="12">
        <v>654</v>
      </c>
      <c r="H685" s="12">
        <v>32.700000000000003</v>
      </c>
      <c r="I685" s="12">
        <v>621.29999999999995</v>
      </c>
      <c r="J685" s="12">
        <f>SUMIF(order_item!B:B,A685,order_item!E:E)</f>
        <v>654</v>
      </c>
      <c r="K685" s="28" t="str">
        <f>_xlfn.XLOOKUP(B685,customers!A:A,customers!D:D)</f>
        <v>Premium</v>
      </c>
    </row>
    <row r="686" spans="1:11" x14ac:dyDescent="0.25">
      <c r="A686" s="5" t="s">
        <v>4933</v>
      </c>
      <c r="B686" s="5" t="s">
        <v>484</v>
      </c>
      <c r="C686" s="5" t="s">
        <v>7309</v>
      </c>
      <c r="D686" s="1">
        <v>45469</v>
      </c>
      <c r="E686" s="17">
        <v>0.78402777777777777</v>
      </c>
      <c r="F686" s="5" t="s">
        <v>7307</v>
      </c>
      <c r="G686" s="12">
        <v>208</v>
      </c>
      <c r="H686" s="12">
        <v>0</v>
      </c>
      <c r="I686" s="12">
        <v>0</v>
      </c>
      <c r="J686" s="12">
        <f>SUMIF(order_item!B:B,A686,order_item!E:E)</f>
        <v>208</v>
      </c>
      <c r="K686" s="28" t="str">
        <f>_xlfn.XLOOKUP(B686,customers!A:A,customers!D:D)</f>
        <v>Regular</v>
      </c>
    </row>
    <row r="687" spans="1:11" x14ac:dyDescent="0.25">
      <c r="A687" s="5" t="s">
        <v>4930</v>
      </c>
      <c r="B687" s="5" t="s">
        <v>527</v>
      </c>
      <c r="C687" s="5" t="s">
        <v>7306</v>
      </c>
      <c r="D687" s="1">
        <v>45444</v>
      </c>
      <c r="E687" s="17">
        <v>0.60625000000000007</v>
      </c>
      <c r="F687" s="5" t="s">
        <v>7305</v>
      </c>
      <c r="G687" s="12">
        <v>376</v>
      </c>
      <c r="H687" s="12">
        <v>0</v>
      </c>
      <c r="I687" s="12">
        <v>376</v>
      </c>
      <c r="J687" s="12">
        <f>SUMIF(order_item!B:B,A687,order_item!E:E)</f>
        <v>376</v>
      </c>
      <c r="K687" s="28" t="str">
        <f>_xlfn.XLOOKUP(B687,customers!A:A,customers!D:D)</f>
        <v>New</v>
      </c>
    </row>
    <row r="688" spans="1:11" x14ac:dyDescent="0.25">
      <c r="A688" s="5" t="s">
        <v>4928</v>
      </c>
      <c r="B688" s="5" t="s">
        <v>656</v>
      </c>
      <c r="C688" s="5" t="s">
        <v>7309</v>
      </c>
      <c r="D688" s="1">
        <v>45646</v>
      </c>
      <c r="E688" s="17">
        <v>0.60277777777777775</v>
      </c>
      <c r="F688" s="5" t="s">
        <v>7305</v>
      </c>
      <c r="G688" s="12">
        <v>79</v>
      </c>
      <c r="H688" s="12">
        <v>7.9</v>
      </c>
      <c r="I688" s="12">
        <v>71.099999999999994</v>
      </c>
      <c r="J688" s="12">
        <f>SUMIF(order_item!B:B,A688,order_item!E:E)</f>
        <v>79</v>
      </c>
      <c r="K688" s="28" t="str">
        <f>_xlfn.XLOOKUP(B688,customers!A:A,customers!D:D)</f>
        <v>Regular</v>
      </c>
    </row>
    <row r="689" spans="1:11" x14ac:dyDescent="0.25">
      <c r="A689" s="5" t="s">
        <v>4924</v>
      </c>
      <c r="B689" s="5" t="s">
        <v>677</v>
      </c>
      <c r="C689" s="5" t="s">
        <v>7309</v>
      </c>
      <c r="D689" s="1">
        <v>45528</v>
      </c>
      <c r="E689" s="17">
        <v>0.9506944444444444</v>
      </c>
      <c r="F689" s="5" t="s">
        <v>7305</v>
      </c>
      <c r="G689" s="12">
        <v>416</v>
      </c>
      <c r="H689" s="12">
        <v>20.8</v>
      </c>
      <c r="I689" s="12">
        <v>395.2</v>
      </c>
      <c r="J689" s="12">
        <f>SUMIF(order_item!B:B,A689,order_item!E:E)</f>
        <v>416</v>
      </c>
      <c r="K689" s="28" t="str">
        <f>_xlfn.XLOOKUP(B689,customers!A:A,customers!D:D)</f>
        <v>Regular</v>
      </c>
    </row>
    <row r="690" spans="1:11" x14ac:dyDescent="0.25">
      <c r="A690" s="5" t="s">
        <v>4921</v>
      </c>
      <c r="B690" s="5" t="s">
        <v>677</v>
      </c>
      <c r="C690" s="5" t="s">
        <v>7309</v>
      </c>
      <c r="D690" s="1">
        <v>45669</v>
      </c>
      <c r="E690" s="17">
        <v>0.82916666666666661</v>
      </c>
      <c r="F690" s="5" t="s">
        <v>7305</v>
      </c>
      <c r="G690" s="12">
        <v>1063</v>
      </c>
      <c r="H690" s="12">
        <v>53.15</v>
      </c>
      <c r="I690" s="12">
        <v>1009.85</v>
      </c>
      <c r="J690" s="12">
        <f>SUMIF(order_item!B:B,A690,order_item!E:E)</f>
        <v>1063</v>
      </c>
      <c r="K690" s="28" t="str">
        <f>_xlfn.XLOOKUP(B690,customers!A:A,customers!D:D)</f>
        <v>Regular</v>
      </c>
    </row>
    <row r="691" spans="1:11" x14ac:dyDescent="0.25">
      <c r="A691" s="5" t="s">
        <v>4919</v>
      </c>
      <c r="B691" s="5" t="s">
        <v>698</v>
      </c>
      <c r="C691" s="5" t="s">
        <v>7309</v>
      </c>
      <c r="D691" s="1">
        <v>45663</v>
      </c>
      <c r="E691" s="17">
        <v>0.8965277777777777</v>
      </c>
      <c r="F691" s="5" t="s">
        <v>7305</v>
      </c>
      <c r="G691" s="12">
        <v>159</v>
      </c>
      <c r="H691" s="12">
        <v>0</v>
      </c>
      <c r="I691" s="12">
        <v>159</v>
      </c>
      <c r="J691" s="12">
        <f>SUMIF(order_item!B:B,A691,order_item!E:E)</f>
        <v>159</v>
      </c>
      <c r="K691" s="28" t="str">
        <f>_xlfn.XLOOKUP(B691,customers!A:A,customers!D:D)</f>
        <v>Regular</v>
      </c>
    </row>
    <row r="692" spans="1:11" x14ac:dyDescent="0.25">
      <c r="A692" s="5" t="s">
        <v>4915</v>
      </c>
      <c r="B692" s="5" t="s">
        <v>292</v>
      </c>
      <c r="C692" s="5" t="s">
        <v>7309</v>
      </c>
      <c r="D692" s="1">
        <v>45718</v>
      </c>
      <c r="E692" s="17">
        <v>0.74722222222222223</v>
      </c>
      <c r="F692" s="5" t="s">
        <v>7305</v>
      </c>
      <c r="G692" s="12">
        <v>635</v>
      </c>
      <c r="H692" s="12">
        <v>0</v>
      </c>
      <c r="I692" s="12">
        <v>635</v>
      </c>
      <c r="J692" s="12">
        <f>SUMIF(order_item!B:B,A692,order_item!E:E)</f>
        <v>635</v>
      </c>
      <c r="K692" s="28" t="str">
        <f>_xlfn.XLOOKUP(B692,customers!A:A,customers!D:D)</f>
        <v>Premium</v>
      </c>
    </row>
    <row r="693" spans="1:11" x14ac:dyDescent="0.25">
      <c r="A693" s="5" t="s">
        <v>4911</v>
      </c>
      <c r="B693" s="5" t="s">
        <v>271</v>
      </c>
      <c r="C693" s="5" t="s">
        <v>7309</v>
      </c>
      <c r="D693" s="1">
        <v>45677</v>
      </c>
      <c r="E693" s="17">
        <v>0.49236111111111108</v>
      </c>
      <c r="F693" s="5" t="s">
        <v>7305</v>
      </c>
      <c r="G693" s="12">
        <v>495</v>
      </c>
      <c r="H693" s="12">
        <v>49.5</v>
      </c>
      <c r="I693" s="12">
        <v>445.5</v>
      </c>
      <c r="J693" s="12">
        <f>SUMIF(order_item!B:B,A693,order_item!E:E)</f>
        <v>495</v>
      </c>
      <c r="K693" s="28" t="str">
        <f>_xlfn.XLOOKUP(B693,customers!A:A,customers!D:D)</f>
        <v>Regular</v>
      </c>
    </row>
    <row r="694" spans="1:11" x14ac:dyDescent="0.25">
      <c r="A694" s="5" t="s">
        <v>4907</v>
      </c>
      <c r="B694" s="5" t="s">
        <v>789</v>
      </c>
      <c r="C694" s="5" t="s">
        <v>7306</v>
      </c>
      <c r="D694" s="1">
        <v>45488</v>
      </c>
      <c r="E694" s="17">
        <v>0.38055555555555554</v>
      </c>
      <c r="F694" s="5" t="s">
        <v>7305</v>
      </c>
      <c r="G694" s="12">
        <v>582</v>
      </c>
      <c r="H694" s="12">
        <v>0</v>
      </c>
      <c r="I694" s="12">
        <v>582</v>
      </c>
      <c r="J694" s="12">
        <f>SUMIF(order_item!B:B,A694,order_item!E:E)</f>
        <v>582</v>
      </c>
      <c r="K694" s="28" t="str">
        <f>_xlfn.XLOOKUP(B694,customers!A:A,customers!D:D)</f>
        <v>New</v>
      </c>
    </row>
    <row r="695" spans="1:11" x14ac:dyDescent="0.25">
      <c r="A695" s="5" t="s">
        <v>4903</v>
      </c>
      <c r="B695" s="5" t="s">
        <v>671</v>
      </c>
      <c r="C695" s="5" t="s">
        <v>7306</v>
      </c>
      <c r="D695" s="1">
        <v>45699</v>
      </c>
      <c r="E695" s="17">
        <v>0.85486111111111107</v>
      </c>
      <c r="F695" s="5" t="s">
        <v>7305</v>
      </c>
      <c r="G695" s="12">
        <v>683</v>
      </c>
      <c r="H695" s="12">
        <v>0</v>
      </c>
      <c r="I695" s="12">
        <v>683</v>
      </c>
      <c r="J695" s="12">
        <f>SUMIF(order_item!B:B,A695,order_item!E:E)</f>
        <v>683</v>
      </c>
      <c r="K695" s="28" t="str">
        <f>_xlfn.XLOOKUP(B695,customers!A:A,customers!D:D)</f>
        <v>Regular</v>
      </c>
    </row>
    <row r="696" spans="1:11" x14ac:dyDescent="0.25">
      <c r="A696" s="5" t="s">
        <v>4900</v>
      </c>
      <c r="B696" s="5" t="s">
        <v>352</v>
      </c>
      <c r="C696" s="5" t="s">
        <v>7309</v>
      </c>
      <c r="D696" s="1">
        <v>45612</v>
      </c>
      <c r="E696" s="17">
        <v>0.45069444444444445</v>
      </c>
      <c r="F696" s="5" t="s">
        <v>7305</v>
      </c>
      <c r="G696" s="12">
        <v>317</v>
      </c>
      <c r="H696" s="12">
        <v>0</v>
      </c>
      <c r="I696" s="12">
        <v>317</v>
      </c>
      <c r="J696" s="12">
        <f>SUMIF(order_item!B:B,A696,order_item!E:E)</f>
        <v>317</v>
      </c>
      <c r="K696" s="28" t="str">
        <f>_xlfn.XLOOKUP(B696,customers!A:A,customers!D:D)</f>
        <v>Premium</v>
      </c>
    </row>
    <row r="697" spans="1:11" x14ac:dyDescent="0.25">
      <c r="A697" s="5" t="s">
        <v>4897</v>
      </c>
      <c r="B697" s="5" t="s">
        <v>224</v>
      </c>
      <c r="C697" s="5" t="s">
        <v>7308</v>
      </c>
      <c r="D697" s="1">
        <v>45523</v>
      </c>
      <c r="E697" s="17">
        <v>0.90763888888888899</v>
      </c>
      <c r="F697" s="5" t="s">
        <v>7305</v>
      </c>
      <c r="G697" s="12">
        <v>178</v>
      </c>
      <c r="H697" s="12">
        <v>0</v>
      </c>
      <c r="I697" s="12">
        <v>178</v>
      </c>
      <c r="J697" s="12">
        <f>SUMIF(order_item!B:B,A697,order_item!E:E)</f>
        <v>178</v>
      </c>
      <c r="K697" s="28" t="str">
        <f>_xlfn.XLOOKUP(B697,customers!A:A,customers!D:D)</f>
        <v>New</v>
      </c>
    </row>
    <row r="698" spans="1:11" x14ac:dyDescent="0.25">
      <c r="A698" s="5" t="s">
        <v>4892</v>
      </c>
      <c r="B698" s="5" t="s">
        <v>542</v>
      </c>
      <c r="C698" s="5" t="s">
        <v>7306</v>
      </c>
      <c r="D698" s="1">
        <v>45473</v>
      </c>
      <c r="E698" s="17">
        <v>0.6069444444444444</v>
      </c>
      <c r="F698" s="5" t="s">
        <v>7305</v>
      </c>
      <c r="G698" s="12">
        <v>635</v>
      </c>
      <c r="H698" s="12">
        <v>0</v>
      </c>
      <c r="I698" s="12">
        <v>635</v>
      </c>
      <c r="J698" s="12">
        <f>SUMIF(order_item!B:B,A698,order_item!E:E)</f>
        <v>635</v>
      </c>
      <c r="K698" s="28" t="str">
        <f>_xlfn.XLOOKUP(B698,customers!A:A,customers!D:D)</f>
        <v>New</v>
      </c>
    </row>
    <row r="699" spans="1:11" x14ac:dyDescent="0.25">
      <c r="A699" s="5" t="s">
        <v>4889</v>
      </c>
      <c r="B699" s="5" t="s">
        <v>644</v>
      </c>
      <c r="C699" s="5" t="s">
        <v>7308</v>
      </c>
      <c r="D699" s="1">
        <v>45398</v>
      </c>
      <c r="E699" s="17">
        <v>0.75277777777777777</v>
      </c>
      <c r="F699" s="5" t="s">
        <v>7305</v>
      </c>
      <c r="G699" s="12">
        <v>295</v>
      </c>
      <c r="H699" s="12">
        <v>0</v>
      </c>
      <c r="I699" s="12">
        <v>295</v>
      </c>
      <c r="J699" s="12">
        <f>SUMIF(order_item!B:B,A699,order_item!E:E)</f>
        <v>295</v>
      </c>
      <c r="K699" s="28" t="str">
        <f>_xlfn.XLOOKUP(B699,customers!A:A,customers!D:D)</f>
        <v>Regular</v>
      </c>
    </row>
    <row r="700" spans="1:11" x14ac:dyDescent="0.25">
      <c r="A700" s="5" t="s">
        <v>4884</v>
      </c>
      <c r="B700" s="5" t="s">
        <v>207</v>
      </c>
      <c r="C700" s="5" t="s">
        <v>7308</v>
      </c>
      <c r="D700" s="1">
        <v>45394</v>
      </c>
      <c r="E700" s="17">
        <v>0.92152777777777783</v>
      </c>
      <c r="F700" s="5" t="s">
        <v>7305</v>
      </c>
      <c r="G700" s="12">
        <v>833</v>
      </c>
      <c r="H700" s="12">
        <v>0</v>
      </c>
      <c r="I700" s="12">
        <v>833</v>
      </c>
      <c r="J700" s="12">
        <f>SUMIF(order_item!B:B,A700,order_item!E:E)</f>
        <v>833</v>
      </c>
      <c r="K700" s="28" t="str">
        <f>_xlfn.XLOOKUP(B700,customers!A:A,customers!D:D)</f>
        <v>Regular</v>
      </c>
    </row>
    <row r="701" spans="1:11" x14ac:dyDescent="0.25">
      <c r="A701" s="5" t="s">
        <v>4880</v>
      </c>
      <c r="B701" s="5" t="s">
        <v>759</v>
      </c>
      <c r="C701" s="5" t="s">
        <v>7306</v>
      </c>
      <c r="D701" s="1">
        <v>45582</v>
      </c>
      <c r="E701" s="17">
        <v>0.83819444444444446</v>
      </c>
      <c r="F701" s="5" t="s">
        <v>7305</v>
      </c>
      <c r="G701" s="12">
        <v>266</v>
      </c>
      <c r="H701" s="12">
        <v>0</v>
      </c>
      <c r="I701" s="12">
        <v>266</v>
      </c>
      <c r="J701" s="12">
        <f>SUMIF(order_item!B:B,A701,order_item!E:E)</f>
        <v>266</v>
      </c>
      <c r="K701" s="28" t="str">
        <f>_xlfn.XLOOKUP(B701,customers!A:A,customers!D:D)</f>
        <v>Regular</v>
      </c>
    </row>
    <row r="702" spans="1:11" x14ac:dyDescent="0.25">
      <c r="A702" s="5" t="s">
        <v>4877</v>
      </c>
      <c r="B702" s="5" t="s">
        <v>604</v>
      </c>
      <c r="C702" s="5" t="s">
        <v>7306</v>
      </c>
      <c r="D702" s="1">
        <v>45583</v>
      </c>
      <c r="E702" s="17">
        <v>0.375</v>
      </c>
      <c r="F702" s="5" t="s">
        <v>7305</v>
      </c>
      <c r="G702" s="12">
        <v>376</v>
      </c>
      <c r="H702" s="12">
        <v>37.6</v>
      </c>
      <c r="I702" s="12">
        <v>338.4</v>
      </c>
      <c r="J702" s="12">
        <f>SUMIF(order_item!B:B,A702,order_item!E:E)</f>
        <v>376</v>
      </c>
      <c r="K702" s="28" t="str">
        <f>_xlfn.XLOOKUP(B702,customers!A:A,customers!D:D)</f>
        <v>Regular</v>
      </c>
    </row>
    <row r="703" spans="1:11" x14ac:dyDescent="0.25">
      <c r="A703" s="5" t="s">
        <v>4872</v>
      </c>
      <c r="B703" s="5" t="s">
        <v>234</v>
      </c>
      <c r="C703" s="5" t="s">
        <v>7309</v>
      </c>
      <c r="D703" s="1">
        <v>45477</v>
      </c>
      <c r="E703" s="17">
        <v>7.013888888888889E-2</v>
      </c>
      <c r="F703" s="5" t="s">
        <v>7305</v>
      </c>
      <c r="G703" s="12">
        <v>515</v>
      </c>
      <c r="H703" s="12">
        <v>0</v>
      </c>
      <c r="I703" s="12">
        <v>515</v>
      </c>
      <c r="J703" s="12">
        <f>SUMIF(order_item!B:B,A703,order_item!E:E)</f>
        <v>515</v>
      </c>
      <c r="K703" s="28" t="str">
        <f>_xlfn.XLOOKUP(B703,customers!A:A,customers!D:D)</f>
        <v>Regular</v>
      </c>
    </row>
    <row r="704" spans="1:11" x14ac:dyDescent="0.25">
      <c r="A704" s="5" t="s">
        <v>4869</v>
      </c>
      <c r="B704" s="5" t="s">
        <v>301</v>
      </c>
      <c r="C704" s="5" t="s">
        <v>7306</v>
      </c>
      <c r="D704" s="1">
        <v>45656</v>
      </c>
      <c r="E704" s="17">
        <v>0.74652777777777779</v>
      </c>
      <c r="F704" s="5" t="s">
        <v>7307</v>
      </c>
      <c r="G704" s="12">
        <v>851</v>
      </c>
      <c r="H704" s="12">
        <v>42.55</v>
      </c>
      <c r="I704" s="12">
        <v>0</v>
      </c>
      <c r="J704" s="12">
        <f>SUMIF(order_item!B:B,A704,order_item!E:E)</f>
        <v>851</v>
      </c>
      <c r="K704" s="28" t="str">
        <f>_xlfn.XLOOKUP(B704,customers!A:A,customers!D:D)</f>
        <v>Regular</v>
      </c>
    </row>
    <row r="705" spans="1:11" x14ac:dyDescent="0.25">
      <c r="A705" s="5" t="s">
        <v>4865</v>
      </c>
      <c r="B705" s="5" t="s">
        <v>513</v>
      </c>
      <c r="C705" s="5" t="s">
        <v>7309</v>
      </c>
      <c r="D705" s="1">
        <v>45533</v>
      </c>
      <c r="E705" s="17">
        <v>0.45902777777777781</v>
      </c>
      <c r="F705" s="5" t="s">
        <v>7305</v>
      </c>
      <c r="G705" s="12">
        <v>872</v>
      </c>
      <c r="H705" s="12">
        <v>0</v>
      </c>
      <c r="I705" s="12">
        <v>872</v>
      </c>
      <c r="J705" s="12">
        <f>SUMIF(order_item!B:B,A705,order_item!E:E)</f>
        <v>872</v>
      </c>
      <c r="K705" s="28" t="str">
        <f>_xlfn.XLOOKUP(B705,customers!A:A,customers!D:D)</f>
        <v>Regular</v>
      </c>
    </row>
    <row r="706" spans="1:11" x14ac:dyDescent="0.25">
      <c r="A706" s="5" t="s">
        <v>4862</v>
      </c>
      <c r="B706" s="5" t="s">
        <v>488</v>
      </c>
      <c r="C706" s="5" t="s">
        <v>7309</v>
      </c>
      <c r="D706" s="1">
        <v>45401</v>
      </c>
      <c r="E706" s="17">
        <v>0.8652777777777777</v>
      </c>
      <c r="F706" s="5" t="s">
        <v>7305</v>
      </c>
      <c r="G706" s="12">
        <v>424</v>
      </c>
      <c r="H706" s="12">
        <v>0</v>
      </c>
      <c r="I706" s="12">
        <v>424</v>
      </c>
      <c r="J706" s="12">
        <f>SUMIF(order_item!B:B,A706,order_item!E:E)</f>
        <v>424</v>
      </c>
      <c r="K706" s="28" t="str">
        <f>_xlfn.XLOOKUP(B706,customers!A:A,customers!D:D)</f>
        <v>Regular</v>
      </c>
    </row>
    <row r="707" spans="1:11" x14ac:dyDescent="0.25">
      <c r="A707" s="5" t="s">
        <v>4859</v>
      </c>
      <c r="B707" s="5" t="s">
        <v>184</v>
      </c>
      <c r="C707" s="5" t="s">
        <v>7306</v>
      </c>
      <c r="D707" s="1">
        <v>45552</v>
      </c>
      <c r="E707" s="17">
        <v>0.92222222222222217</v>
      </c>
      <c r="F707" s="5" t="s">
        <v>7305</v>
      </c>
      <c r="G707" s="12">
        <v>277</v>
      </c>
      <c r="H707" s="12">
        <v>0</v>
      </c>
      <c r="I707" s="12">
        <v>277</v>
      </c>
      <c r="J707" s="12">
        <f>SUMIF(order_item!B:B,A707,order_item!E:E)</f>
        <v>277</v>
      </c>
      <c r="K707" s="28" t="str">
        <f>_xlfn.XLOOKUP(B707,customers!A:A,customers!D:D)</f>
        <v>Regular</v>
      </c>
    </row>
    <row r="708" spans="1:11" x14ac:dyDescent="0.25">
      <c r="A708" s="5" t="s">
        <v>4856</v>
      </c>
      <c r="B708" s="5" t="s">
        <v>211</v>
      </c>
      <c r="C708" s="5" t="s">
        <v>7308</v>
      </c>
      <c r="D708" s="1">
        <v>45629</v>
      </c>
      <c r="E708" s="17">
        <v>0.82430555555555562</v>
      </c>
      <c r="F708" s="5" t="s">
        <v>7305</v>
      </c>
      <c r="G708" s="12">
        <v>178</v>
      </c>
      <c r="H708" s="12">
        <v>8.9</v>
      </c>
      <c r="I708" s="12">
        <v>169.1</v>
      </c>
      <c r="J708" s="12">
        <f>SUMIF(order_item!B:B,A708,order_item!E:E)</f>
        <v>178</v>
      </c>
      <c r="K708" s="28" t="str">
        <f>_xlfn.XLOOKUP(B708,customers!A:A,customers!D:D)</f>
        <v>Regular</v>
      </c>
    </row>
    <row r="709" spans="1:11" x14ac:dyDescent="0.25">
      <c r="A709" s="5" t="s">
        <v>4853</v>
      </c>
      <c r="B709" s="5" t="s">
        <v>698</v>
      </c>
      <c r="C709" s="5" t="s">
        <v>7309</v>
      </c>
      <c r="D709" s="1">
        <v>45643</v>
      </c>
      <c r="E709" s="17">
        <v>0.83750000000000002</v>
      </c>
      <c r="F709" s="5" t="s">
        <v>7305</v>
      </c>
      <c r="G709" s="12">
        <v>456</v>
      </c>
      <c r="H709" s="12">
        <v>0</v>
      </c>
      <c r="I709" s="12">
        <v>456</v>
      </c>
      <c r="J709" s="12">
        <f>SUMIF(order_item!B:B,A709,order_item!E:E)</f>
        <v>456</v>
      </c>
      <c r="K709" s="28" t="str">
        <f>_xlfn.XLOOKUP(B709,customers!A:A,customers!D:D)</f>
        <v>Regular</v>
      </c>
    </row>
    <row r="710" spans="1:11" x14ac:dyDescent="0.25">
      <c r="A710" s="5" t="s">
        <v>4849</v>
      </c>
      <c r="B710" s="5" t="s">
        <v>373</v>
      </c>
      <c r="C710" s="5" t="s">
        <v>7309</v>
      </c>
      <c r="D710" s="1">
        <v>45656</v>
      </c>
      <c r="E710" s="17">
        <v>0.80763888888888891</v>
      </c>
      <c r="F710" s="5" t="s">
        <v>7305</v>
      </c>
      <c r="G710" s="12">
        <v>504</v>
      </c>
      <c r="H710" s="12">
        <v>0</v>
      </c>
      <c r="I710" s="12">
        <v>504</v>
      </c>
      <c r="J710" s="12">
        <f>SUMIF(order_item!B:B,A710,order_item!E:E)</f>
        <v>504</v>
      </c>
      <c r="K710" s="28" t="str">
        <f>_xlfn.XLOOKUP(B710,customers!A:A,customers!D:D)</f>
        <v>New</v>
      </c>
    </row>
    <row r="711" spans="1:11" x14ac:dyDescent="0.25">
      <c r="A711" s="5" t="s">
        <v>4845</v>
      </c>
      <c r="B711" s="5" t="s">
        <v>400</v>
      </c>
      <c r="C711" s="5" t="s">
        <v>7308</v>
      </c>
      <c r="D711" s="1">
        <v>45388</v>
      </c>
      <c r="E711" s="17">
        <v>0.7583333333333333</v>
      </c>
      <c r="F711" s="5" t="s">
        <v>7305</v>
      </c>
      <c r="G711" s="12">
        <v>635</v>
      </c>
      <c r="H711" s="12">
        <v>0</v>
      </c>
      <c r="I711" s="12">
        <v>635</v>
      </c>
      <c r="J711" s="12">
        <f>SUMIF(order_item!B:B,A711,order_item!E:E)</f>
        <v>635</v>
      </c>
      <c r="K711" s="28" t="str">
        <f>_xlfn.XLOOKUP(B711,customers!A:A,customers!D:D)</f>
        <v>New</v>
      </c>
    </row>
    <row r="712" spans="1:11" x14ac:dyDescent="0.25">
      <c r="A712" s="5" t="s">
        <v>4841</v>
      </c>
      <c r="B712" s="5" t="s">
        <v>468</v>
      </c>
      <c r="C712" s="5" t="s">
        <v>7309</v>
      </c>
      <c r="D712" s="1">
        <v>45457</v>
      </c>
      <c r="E712" s="17">
        <v>0.8256944444444444</v>
      </c>
      <c r="F712" s="5" t="s">
        <v>7305</v>
      </c>
      <c r="G712" s="12">
        <v>416</v>
      </c>
      <c r="H712" s="12">
        <v>0</v>
      </c>
      <c r="I712" s="12">
        <v>416</v>
      </c>
      <c r="J712" s="12">
        <f>SUMIF(order_item!B:B,A712,order_item!E:E)</f>
        <v>416</v>
      </c>
      <c r="K712" s="28" t="str">
        <f>_xlfn.XLOOKUP(B712,customers!A:A,customers!D:D)</f>
        <v>Regular</v>
      </c>
    </row>
    <row r="713" spans="1:11" x14ac:dyDescent="0.25">
      <c r="A713" s="5" t="s">
        <v>4838</v>
      </c>
      <c r="B713" s="5" t="s">
        <v>784</v>
      </c>
      <c r="C713" s="5" t="s">
        <v>7308</v>
      </c>
      <c r="D713" s="1">
        <v>45682</v>
      </c>
      <c r="E713" s="17">
        <v>0.88750000000000007</v>
      </c>
      <c r="F713" s="5" t="s">
        <v>7305</v>
      </c>
      <c r="G713" s="12">
        <v>455</v>
      </c>
      <c r="H713" s="12">
        <v>0</v>
      </c>
      <c r="I713" s="12">
        <v>455</v>
      </c>
      <c r="J713" s="12">
        <f>SUMIF(order_item!B:B,A713,order_item!E:E)</f>
        <v>455</v>
      </c>
      <c r="K713" s="28" t="str">
        <f>_xlfn.XLOOKUP(B713,customers!A:A,customers!D:D)</f>
        <v>New</v>
      </c>
    </row>
    <row r="714" spans="1:11" x14ac:dyDescent="0.25">
      <c r="A714" s="5" t="s">
        <v>4834</v>
      </c>
      <c r="B714" s="5" t="s">
        <v>202</v>
      </c>
      <c r="C714" s="5" t="s">
        <v>7306</v>
      </c>
      <c r="D714" s="1">
        <v>45725</v>
      </c>
      <c r="E714" s="17">
        <v>0.50624999999999998</v>
      </c>
      <c r="F714" s="5" t="s">
        <v>7305</v>
      </c>
      <c r="G714" s="12">
        <v>882</v>
      </c>
      <c r="H714" s="12">
        <v>0</v>
      </c>
      <c r="I714" s="12">
        <v>882</v>
      </c>
      <c r="J714" s="12">
        <f>SUMIF(order_item!B:B,A714,order_item!E:E)</f>
        <v>882</v>
      </c>
      <c r="K714" s="28" t="str">
        <f>_xlfn.XLOOKUP(B714,customers!A:A,customers!D:D)</f>
        <v>Regular</v>
      </c>
    </row>
    <row r="715" spans="1:11" x14ac:dyDescent="0.25">
      <c r="A715" s="5" t="s">
        <v>4831</v>
      </c>
      <c r="B715" s="5" t="s">
        <v>608</v>
      </c>
      <c r="C715" s="5" t="s">
        <v>7309</v>
      </c>
      <c r="D715" s="1">
        <v>45477</v>
      </c>
      <c r="E715" s="17">
        <v>0.96527777777777779</v>
      </c>
      <c r="F715" s="5" t="s">
        <v>7307</v>
      </c>
      <c r="G715" s="12">
        <v>634</v>
      </c>
      <c r="H715" s="12">
        <v>63.4</v>
      </c>
      <c r="I715" s="12">
        <v>0</v>
      </c>
      <c r="J715" s="12">
        <f>SUMIF(order_item!B:B,A715,order_item!E:E)</f>
        <v>634</v>
      </c>
      <c r="K715" s="28" t="str">
        <f>_xlfn.XLOOKUP(B715,customers!A:A,customers!D:D)</f>
        <v>Regular</v>
      </c>
    </row>
    <row r="716" spans="1:11" x14ac:dyDescent="0.25">
      <c r="A716" s="5" t="s">
        <v>4828</v>
      </c>
      <c r="B716" s="5" t="s">
        <v>599</v>
      </c>
      <c r="C716" s="5" t="s">
        <v>7308</v>
      </c>
      <c r="D716" s="1">
        <v>45693</v>
      </c>
      <c r="E716" s="17">
        <v>0.8041666666666667</v>
      </c>
      <c r="F716" s="5" t="s">
        <v>7305</v>
      </c>
      <c r="G716" s="12">
        <v>178</v>
      </c>
      <c r="H716" s="12">
        <v>0</v>
      </c>
      <c r="I716" s="12">
        <v>178</v>
      </c>
      <c r="J716" s="12">
        <f>SUMIF(order_item!B:B,A716,order_item!E:E)</f>
        <v>178</v>
      </c>
      <c r="K716" s="28" t="str">
        <f>_xlfn.XLOOKUP(B716,customers!A:A,customers!D:D)</f>
        <v>Regular</v>
      </c>
    </row>
    <row r="717" spans="1:11" x14ac:dyDescent="0.25">
      <c r="A717" s="5" t="s">
        <v>4825</v>
      </c>
      <c r="B717" s="5" t="s">
        <v>825</v>
      </c>
      <c r="C717" s="5" t="s">
        <v>7309</v>
      </c>
      <c r="D717" s="1">
        <v>45513</v>
      </c>
      <c r="E717" s="17">
        <v>2.6388888888888889E-2</v>
      </c>
      <c r="F717" s="5" t="s">
        <v>7305</v>
      </c>
      <c r="G717" s="12">
        <v>893</v>
      </c>
      <c r="H717" s="12">
        <v>0</v>
      </c>
      <c r="I717" s="12">
        <v>893</v>
      </c>
      <c r="J717" s="12">
        <f>SUMIF(order_item!B:B,A717,order_item!E:E)</f>
        <v>893</v>
      </c>
      <c r="K717" s="28" t="str">
        <f>_xlfn.XLOOKUP(B717,customers!A:A,customers!D:D)</f>
        <v>New</v>
      </c>
    </row>
    <row r="718" spans="1:11" x14ac:dyDescent="0.25">
      <c r="A718" s="5" t="s">
        <v>4822</v>
      </c>
      <c r="B718" s="5" t="s">
        <v>738</v>
      </c>
      <c r="C718" s="5" t="s">
        <v>7309</v>
      </c>
      <c r="D718" s="1">
        <v>45666</v>
      </c>
      <c r="E718" s="17">
        <v>0.81736111111111109</v>
      </c>
      <c r="F718" s="5" t="s">
        <v>7305</v>
      </c>
      <c r="G718" s="12">
        <v>257</v>
      </c>
      <c r="H718" s="12">
        <v>0</v>
      </c>
      <c r="I718" s="12">
        <v>257</v>
      </c>
      <c r="J718" s="12">
        <f>SUMIF(order_item!B:B,A718,order_item!E:E)</f>
        <v>257</v>
      </c>
      <c r="K718" s="28" t="str">
        <f>_xlfn.XLOOKUP(B718,customers!A:A,customers!D:D)</f>
        <v>Premium</v>
      </c>
    </row>
    <row r="719" spans="1:11" x14ac:dyDescent="0.25">
      <c r="A719" s="5" t="s">
        <v>4818</v>
      </c>
      <c r="B719" s="5" t="s">
        <v>676</v>
      </c>
      <c r="C719" s="5" t="s">
        <v>7306</v>
      </c>
      <c r="D719" s="1">
        <v>45631</v>
      </c>
      <c r="E719" s="17">
        <v>0.73819444444444438</v>
      </c>
      <c r="F719" s="5" t="s">
        <v>7305</v>
      </c>
      <c r="G719" s="12">
        <v>695</v>
      </c>
      <c r="H719" s="12">
        <v>0</v>
      </c>
      <c r="I719" s="12">
        <v>695</v>
      </c>
      <c r="J719" s="12">
        <f>SUMIF(order_item!B:B,A719,order_item!E:E)</f>
        <v>695</v>
      </c>
      <c r="K719" s="28" t="str">
        <f>_xlfn.XLOOKUP(B719,customers!A:A,customers!D:D)</f>
        <v>New</v>
      </c>
    </row>
    <row r="720" spans="1:11" x14ac:dyDescent="0.25">
      <c r="A720" s="5" t="s">
        <v>4813</v>
      </c>
      <c r="B720" s="5" t="s">
        <v>165</v>
      </c>
      <c r="C720" s="5" t="s">
        <v>7309</v>
      </c>
      <c r="D720" s="1">
        <v>45612</v>
      </c>
      <c r="E720" s="17">
        <v>0.88958333333333339</v>
      </c>
      <c r="F720" s="5" t="s">
        <v>7305</v>
      </c>
      <c r="G720" s="12">
        <v>922</v>
      </c>
      <c r="H720" s="12">
        <v>46.1</v>
      </c>
      <c r="I720" s="12">
        <v>875.9</v>
      </c>
      <c r="J720" s="12">
        <f>SUMIF(order_item!B:B,A720,order_item!E:E)</f>
        <v>922</v>
      </c>
      <c r="K720" s="28" t="str">
        <f>_xlfn.XLOOKUP(B720,customers!A:A,customers!D:D)</f>
        <v>Regular</v>
      </c>
    </row>
    <row r="721" spans="1:11" x14ac:dyDescent="0.25">
      <c r="A721" s="5" t="s">
        <v>4810</v>
      </c>
      <c r="B721" s="5" t="s">
        <v>616</v>
      </c>
      <c r="C721" s="5" t="s">
        <v>7309</v>
      </c>
      <c r="D721" s="1">
        <v>45417</v>
      </c>
      <c r="E721" s="17">
        <v>3.8194444444444441E-2</v>
      </c>
      <c r="F721" s="5" t="s">
        <v>7305</v>
      </c>
      <c r="G721" s="12">
        <v>437</v>
      </c>
      <c r="H721" s="12">
        <v>0</v>
      </c>
      <c r="I721" s="12">
        <v>437</v>
      </c>
      <c r="J721" s="12">
        <f>SUMIF(order_item!B:B,A721,order_item!E:E)</f>
        <v>437</v>
      </c>
      <c r="K721" s="28" t="str">
        <f>_xlfn.XLOOKUP(B721,customers!A:A,customers!D:D)</f>
        <v>Regular</v>
      </c>
    </row>
    <row r="722" spans="1:11" x14ac:dyDescent="0.25">
      <c r="A722" s="5" t="s">
        <v>4808</v>
      </c>
      <c r="B722" s="5" t="s">
        <v>205</v>
      </c>
      <c r="C722" s="5" t="s">
        <v>7309</v>
      </c>
      <c r="D722" s="1">
        <v>45486</v>
      </c>
      <c r="E722" s="17">
        <v>0.8208333333333333</v>
      </c>
      <c r="F722" s="5" t="s">
        <v>7305</v>
      </c>
      <c r="G722" s="12">
        <v>318</v>
      </c>
      <c r="H722" s="12">
        <v>0</v>
      </c>
      <c r="I722" s="12">
        <v>318</v>
      </c>
      <c r="J722" s="12">
        <f>SUMIF(order_item!B:B,A722,order_item!E:E)</f>
        <v>318</v>
      </c>
      <c r="K722" s="28" t="str">
        <f>_xlfn.XLOOKUP(B722,customers!A:A,customers!D:D)</f>
        <v>Regular</v>
      </c>
    </row>
    <row r="723" spans="1:11" x14ac:dyDescent="0.25">
      <c r="A723" s="5" t="s">
        <v>4805</v>
      </c>
      <c r="B723" s="5" t="s">
        <v>261</v>
      </c>
      <c r="C723" s="5" t="s">
        <v>7306</v>
      </c>
      <c r="D723" s="1">
        <v>45472</v>
      </c>
      <c r="E723" s="17">
        <v>0.75416666666666676</v>
      </c>
      <c r="F723" s="5" t="s">
        <v>7305</v>
      </c>
      <c r="G723" s="12">
        <v>427</v>
      </c>
      <c r="H723" s="12">
        <v>64.05</v>
      </c>
      <c r="I723" s="12">
        <v>362.95</v>
      </c>
      <c r="J723" s="12">
        <f>SUMIF(order_item!B:B,A723,order_item!E:E)</f>
        <v>427</v>
      </c>
      <c r="K723" s="28" t="str">
        <f>_xlfn.XLOOKUP(B723,customers!A:A,customers!D:D)</f>
        <v>Regular</v>
      </c>
    </row>
    <row r="724" spans="1:11" x14ac:dyDescent="0.25">
      <c r="A724" s="5" t="s">
        <v>4801</v>
      </c>
      <c r="B724" s="5" t="s">
        <v>705</v>
      </c>
      <c r="C724" s="5" t="s">
        <v>7309</v>
      </c>
      <c r="D724" s="1">
        <v>45730</v>
      </c>
      <c r="E724" s="17">
        <v>0.70000000000000007</v>
      </c>
      <c r="F724" s="5" t="s">
        <v>7305</v>
      </c>
      <c r="G724" s="12">
        <v>814</v>
      </c>
      <c r="H724" s="12">
        <v>81.400000000000006</v>
      </c>
      <c r="I724" s="12">
        <v>732.6</v>
      </c>
      <c r="J724" s="12">
        <f>SUMIF(order_item!B:B,A724,order_item!E:E)</f>
        <v>814</v>
      </c>
      <c r="K724" s="28" t="str">
        <f>_xlfn.XLOOKUP(B724,customers!A:A,customers!D:D)</f>
        <v>New</v>
      </c>
    </row>
    <row r="725" spans="1:11" x14ac:dyDescent="0.25">
      <c r="A725" s="5" t="s">
        <v>4797</v>
      </c>
      <c r="B725" s="5" t="s">
        <v>127</v>
      </c>
      <c r="C725" s="5" t="s">
        <v>7309</v>
      </c>
      <c r="D725" s="1">
        <v>45676</v>
      </c>
      <c r="E725" s="17">
        <v>0.8208333333333333</v>
      </c>
      <c r="F725" s="5" t="s">
        <v>7305</v>
      </c>
      <c r="G725" s="12">
        <v>543</v>
      </c>
      <c r="H725" s="12">
        <v>0</v>
      </c>
      <c r="I725" s="12">
        <v>543</v>
      </c>
      <c r="J725" s="12">
        <f>SUMIF(order_item!B:B,A725,order_item!E:E)</f>
        <v>543</v>
      </c>
      <c r="K725" s="28" t="str">
        <f>_xlfn.XLOOKUP(B725,customers!A:A,customers!D:D)</f>
        <v>Premium</v>
      </c>
    </row>
    <row r="726" spans="1:11" x14ac:dyDescent="0.25">
      <c r="A726" s="5" t="s">
        <v>4793</v>
      </c>
      <c r="B726" s="5" t="s">
        <v>551</v>
      </c>
      <c r="C726" s="5" t="s">
        <v>7306</v>
      </c>
      <c r="D726" s="1">
        <v>45633</v>
      </c>
      <c r="E726" s="17">
        <v>0.72013888888888899</v>
      </c>
      <c r="F726" s="5" t="s">
        <v>7305</v>
      </c>
      <c r="G726" s="12">
        <v>973</v>
      </c>
      <c r="H726" s="12">
        <v>0</v>
      </c>
      <c r="I726" s="12">
        <v>973</v>
      </c>
      <c r="J726" s="12">
        <f>SUMIF(order_item!B:B,A726,order_item!E:E)</f>
        <v>973</v>
      </c>
      <c r="K726" s="28" t="str">
        <f>_xlfn.XLOOKUP(B726,customers!A:A,customers!D:D)</f>
        <v>Regular</v>
      </c>
    </row>
    <row r="727" spans="1:11" x14ac:dyDescent="0.25">
      <c r="A727" s="5" t="s">
        <v>4789</v>
      </c>
      <c r="B727" s="5" t="s">
        <v>512</v>
      </c>
      <c r="C727" s="5" t="s">
        <v>7308</v>
      </c>
      <c r="D727" s="1">
        <v>45654</v>
      </c>
      <c r="E727" s="17">
        <v>0.49583333333333335</v>
      </c>
      <c r="F727" s="5" t="s">
        <v>7305</v>
      </c>
      <c r="G727" s="12">
        <v>694</v>
      </c>
      <c r="H727" s="12">
        <v>0</v>
      </c>
      <c r="I727" s="12">
        <v>694</v>
      </c>
      <c r="J727" s="12">
        <f>SUMIF(order_item!B:B,A727,order_item!E:E)</f>
        <v>694</v>
      </c>
      <c r="K727" s="28" t="str">
        <f>_xlfn.XLOOKUP(B727,customers!A:A,customers!D:D)</f>
        <v>Regular</v>
      </c>
    </row>
    <row r="728" spans="1:11" x14ac:dyDescent="0.25">
      <c r="A728" s="5" t="s">
        <v>4786</v>
      </c>
      <c r="B728" s="5" t="s">
        <v>603</v>
      </c>
      <c r="C728" s="5" t="s">
        <v>7309</v>
      </c>
      <c r="D728" s="1">
        <v>45513</v>
      </c>
      <c r="E728" s="17">
        <v>0.7416666666666667</v>
      </c>
      <c r="F728" s="5" t="s">
        <v>7305</v>
      </c>
      <c r="G728" s="12">
        <v>198</v>
      </c>
      <c r="H728" s="12">
        <v>9.9</v>
      </c>
      <c r="I728" s="12">
        <v>188.1</v>
      </c>
      <c r="J728" s="12">
        <f>SUMIF(order_item!B:B,A728,order_item!E:E)</f>
        <v>198</v>
      </c>
      <c r="K728" s="28" t="str">
        <f>_xlfn.XLOOKUP(B728,customers!A:A,customers!D:D)</f>
        <v>Regular</v>
      </c>
    </row>
    <row r="729" spans="1:11" x14ac:dyDescent="0.25">
      <c r="A729" s="5" t="s">
        <v>4782</v>
      </c>
      <c r="B729" s="5" t="s">
        <v>388</v>
      </c>
      <c r="C729" s="5" t="s">
        <v>7306</v>
      </c>
      <c r="D729" s="1">
        <v>45426</v>
      </c>
      <c r="E729" s="17">
        <v>0.86388888888888893</v>
      </c>
      <c r="F729" s="5" t="s">
        <v>7305</v>
      </c>
      <c r="G729" s="12">
        <v>1031</v>
      </c>
      <c r="H729" s="12">
        <v>103.1</v>
      </c>
      <c r="I729" s="12">
        <v>927.9</v>
      </c>
      <c r="J729" s="12">
        <f>SUMIF(order_item!B:B,A729,order_item!E:E)</f>
        <v>1031</v>
      </c>
      <c r="K729" s="28" t="str">
        <f>_xlfn.XLOOKUP(B729,customers!A:A,customers!D:D)</f>
        <v>Regular</v>
      </c>
    </row>
    <row r="730" spans="1:11" x14ac:dyDescent="0.25">
      <c r="A730" s="5" t="s">
        <v>4778</v>
      </c>
      <c r="B730" s="5" t="s">
        <v>198</v>
      </c>
      <c r="C730" s="5" t="s">
        <v>7308</v>
      </c>
      <c r="D730" s="1">
        <v>45590</v>
      </c>
      <c r="E730" s="17">
        <v>0.79583333333333339</v>
      </c>
      <c r="F730" s="5" t="s">
        <v>7307</v>
      </c>
      <c r="G730" s="12">
        <v>455</v>
      </c>
      <c r="H730" s="12">
        <v>0</v>
      </c>
      <c r="I730" s="12">
        <v>0</v>
      </c>
      <c r="J730" s="12">
        <f>SUMIF(order_item!B:B,A730,order_item!E:E)</f>
        <v>455</v>
      </c>
      <c r="K730" s="28" t="str">
        <f>_xlfn.XLOOKUP(B730,customers!A:A,customers!D:D)</f>
        <v>Premium</v>
      </c>
    </row>
    <row r="731" spans="1:11" x14ac:dyDescent="0.25">
      <c r="A731" s="5" t="s">
        <v>4776</v>
      </c>
      <c r="B731" s="5" t="s">
        <v>165</v>
      </c>
      <c r="C731" s="5" t="s">
        <v>7309</v>
      </c>
      <c r="D731" s="1">
        <v>45578</v>
      </c>
      <c r="E731" s="17">
        <v>0.51041666666666663</v>
      </c>
      <c r="F731" s="5" t="s">
        <v>7305</v>
      </c>
      <c r="G731" s="12">
        <v>99</v>
      </c>
      <c r="H731" s="12">
        <v>9.9</v>
      </c>
      <c r="I731" s="12">
        <v>89.1</v>
      </c>
      <c r="J731" s="12">
        <f>SUMIF(order_item!B:B,A731,order_item!E:E)</f>
        <v>99</v>
      </c>
      <c r="K731" s="28" t="str">
        <f>_xlfn.XLOOKUP(B731,customers!A:A,customers!D:D)</f>
        <v>Regular</v>
      </c>
    </row>
    <row r="732" spans="1:11" x14ac:dyDescent="0.25">
      <c r="A732" s="5" t="s">
        <v>4773</v>
      </c>
      <c r="B732" s="5" t="s">
        <v>740</v>
      </c>
      <c r="C732" s="5" t="s">
        <v>7309</v>
      </c>
      <c r="D732" s="1">
        <v>45685</v>
      </c>
      <c r="E732" s="17">
        <v>0.85833333333333339</v>
      </c>
      <c r="F732" s="5" t="s">
        <v>7307</v>
      </c>
      <c r="G732" s="12">
        <v>228</v>
      </c>
      <c r="H732" s="12">
        <v>22.8</v>
      </c>
      <c r="I732" s="12">
        <v>0</v>
      </c>
      <c r="J732" s="12">
        <f>SUMIF(order_item!B:B,A732,order_item!E:E)</f>
        <v>228</v>
      </c>
      <c r="K732" s="28" t="str">
        <f>_xlfn.XLOOKUP(B732,customers!A:A,customers!D:D)</f>
        <v>Premium</v>
      </c>
    </row>
    <row r="733" spans="1:11" x14ac:dyDescent="0.25">
      <c r="A733" s="5" t="s">
        <v>4769</v>
      </c>
      <c r="B733" s="5" t="s">
        <v>138</v>
      </c>
      <c r="C733" s="5" t="s">
        <v>7308</v>
      </c>
      <c r="D733" s="1">
        <v>45672</v>
      </c>
      <c r="E733" s="17">
        <v>0.76597222222222217</v>
      </c>
      <c r="F733" s="5" t="s">
        <v>7305</v>
      </c>
      <c r="G733" s="12">
        <v>832</v>
      </c>
      <c r="H733" s="12">
        <v>0</v>
      </c>
      <c r="I733" s="12">
        <v>832</v>
      </c>
      <c r="J733" s="12">
        <f>SUMIF(order_item!B:B,A733,order_item!E:E)</f>
        <v>832</v>
      </c>
      <c r="K733" s="28" t="str">
        <f>_xlfn.XLOOKUP(B733,customers!A:A,customers!D:D)</f>
        <v>Regular</v>
      </c>
    </row>
    <row r="734" spans="1:11" x14ac:dyDescent="0.25">
      <c r="A734" s="5" t="s">
        <v>4766</v>
      </c>
      <c r="B734" s="5" t="s">
        <v>526</v>
      </c>
      <c r="C734" s="5" t="s">
        <v>7306</v>
      </c>
      <c r="D734" s="1">
        <v>45420</v>
      </c>
      <c r="E734" s="17">
        <v>0.98958333333333337</v>
      </c>
      <c r="F734" s="5" t="s">
        <v>7307</v>
      </c>
      <c r="G734" s="12">
        <v>872</v>
      </c>
      <c r="H734" s="12">
        <v>0</v>
      </c>
      <c r="I734" s="12">
        <v>0</v>
      </c>
      <c r="J734" s="12">
        <f>SUMIF(order_item!B:B,A734,order_item!E:E)</f>
        <v>872</v>
      </c>
      <c r="K734" s="28" t="str">
        <f>_xlfn.XLOOKUP(B734,customers!A:A,customers!D:D)</f>
        <v>Regular</v>
      </c>
    </row>
    <row r="735" spans="1:11" x14ac:dyDescent="0.25">
      <c r="A735" s="5" t="s">
        <v>4762</v>
      </c>
      <c r="B735" s="5" t="s">
        <v>558</v>
      </c>
      <c r="C735" s="5" t="s">
        <v>7309</v>
      </c>
      <c r="D735" s="1">
        <v>45494</v>
      </c>
      <c r="E735" s="17">
        <v>0.94374999999999998</v>
      </c>
      <c r="F735" s="5" t="s">
        <v>7305</v>
      </c>
      <c r="G735" s="12">
        <v>485</v>
      </c>
      <c r="H735" s="12">
        <v>0</v>
      </c>
      <c r="I735" s="12">
        <v>485</v>
      </c>
      <c r="J735" s="12">
        <f>SUMIF(order_item!B:B,A735,order_item!E:E)</f>
        <v>485</v>
      </c>
      <c r="K735" s="28" t="str">
        <f>_xlfn.XLOOKUP(B735,customers!A:A,customers!D:D)</f>
        <v>Regular</v>
      </c>
    </row>
    <row r="736" spans="1:11" x14ac:dyDescent="0.25">
      <c r="A736" s="5" t="s">
        <v>4759</v>
      </c>
      <c r="B736" s="5" t="s">
        <v>73</v>
      </c>
      <c r="C736" s="5" t="s">
        <v>7308</v>
      </c>
      <c r="D736" s="1">
        <v>45408</v>
      </c>
      <c r="E736" s="17">
        <v>1.1111111111111112E-2</v>
      </c>
      <c r="F736" s="5" t="s">
        <v>7307</v>
      </c>
      <c r="G736" s="12">
        <v>554</v>
      </c>
      <c r="H736" s="12">
        <v>0</v>
      </c>
      <c r="I736" s="12">
        <v>0</v>
      </c>
      <c r="J736" s="12">
        <f>SUMIF(order_item!B:B,A736,order_item!E:E)</f>
        <v>554</v>
      </c>
      <c r="K736" s="28" t="str">
        <f>_xlfn.XLOOKUP(B736,customers!A:A,customers!D:D)</f>
        <v>Regular</v>
      </c>
    </row>
    <row r="737" spans="1:11" x14ac:dyDescent="0.25">
      <c r="A737" s="5" t="s">
        <v>4756</v>
      </c>
      <c r="B737" s="5" t="s">
        <v>451</v>
      </c>
      <c r="C737" s="5" t="s">
        <v>7306</v>
      </c>
      <c r="D737" s="1">
        <v>45591</v>
      </c>
      <c r="E737" s="17">
        <v>0.59305555555555556</v>
      </c>
      <c r="F737" s="5" t="s">
        <v>7305</v>
      </c>
      <c r="G737" s="12">
        <v>248</v>
      </c>
      <c r="H737" s="12">
        <v>0</v>
      </c>
      <c r="I737" s="12">
        <v>248</v>
      </c>
      <c r="J737" s="12">
        <f>SUMIF(order_item!B:B,A737,order_item!E:E)</f>
        <v>248</v>
      </c>
      <c r="K737" s="28" t="str">
        <f>_xlfn.XLOOKUP(B737,customers!A:A,customers!D:D)</f>
        <v>Regular</v>
      </c>
    </row>
    <row r="738" spans="1:11" x14ac:dyDescent="0.25">
      <c r="A738" s="5" t="s">
        <v>4752</v>
      </c>
      <c r="B738" s="5" t="s">
        <v>822</v>
      </c>
      <c r="C738" s="5" t="s">
        <v>7306</v>
      </c>
      <c r="D738" s="1">
        <v>45642</v>
      </c>
      <c r="E738" s="17">
        <v>0.7006944444444444</v>
      </c>
      <c r="F738" s="5" t="s">
        <v>7305</v>
      </c>
      <c r="G738" s="12">
        <v>705</v>
      </c>
      <c r="H738" s="12">
        <v>0</v>
      </c>
      <c r="I738" s="12">
        <v>705</v>
      </c>
      <c r="J738" s="12">
        <f>SUMIF(order_item!B:B,A738,order_item!E:E)</f>
        <v>705</v>
      </c>
      <c r="K738" s="28" t="str">
        <f>_xlfn.XLOOKUP(B738,customers!A:A,customers!D:D)</f>
        <v>Regular</v>
      </c>
    </row>
    <row r="739" spans="1:11" x14ac:dyDescent="0.25">
      <c r="A739" s="5" t="s">
        <v>4749</v>
      </c>
      <c r="B739" s="5" t="s">
        <v>77</v>
      </c>
      <c r="C739" s="5" t="s">
        <v>7309</v>
      </c>
      <c r="D739" s="1">
        <v>45578</v>
      </c>
      <c r="E739" s="17">
        <v>0.67083333333333339</v>
      </c>
      <c r="F739" s="5" t="s">
        <v>7305</v>
      </c>
      <c r="G739" s="12">
        <v>258</v>
      </c>
      <c r="H739" s="12">
        <v>0</v>
      </c>
      <c r="I739" s="12">
        <v>258</v>
      </c>
      <c r="J739" s="12">
        <f>SUMIF(order_item!B:B,A739,order_item!E:E)</f>
        <v>258</v>
      </c>
      <c r="K739" s="28" t="str">
        <f>_xlfn.XLOOKUP(B739,customers!A:A,customers!D:D)</f>
        <v>New</v>
      </c>
    </row>
    <row r="740" spans="1:11" x14ac:dyDescent="0.25">
      <c r="A740" s="5" t="s">
        <v>4744</v>
      </c>
      <c r="B740" s="5" t="s">
        <v>688</v>
      </c>
      <c r="C740" s="5" t="s">
        <v>7309</v>
      </c>
      <c r="D740" s="1">
        <v>45558</v>
      </c>
      <c r="E740" s="17">
        <v>0.6743055555555556</v>
      </c>
      <c r="F740" s="5" t="s">
        <v>7305</v>
      </c>
      <c r="G740" s="12">
        <v>1251</v>
      </c>
      <c r="H740" s="12">
        <v>125.1</v>
      </c>
      <c r="I740" s="12">
        <v>1125.9000000000001</v>
      </c>
      <c r="J740" s="12">
        <f>SUMIF(order_item!B:B,A740,order_item!E:E)</f>
        <v>1251</v>
      </c>
      <c r="K740" s="28" t="str">
        <f>_xlfn.XLOOKUP(B740,customers!A:A,customers!D:D)</f>
        <v>Regular</v>
      </c>
    </row>
    <row r="741" spans="1:11" x14ac:dyDescent="0.25">
      <c r="A741" s="5" t="s">
        <v>4739</v>
      </c>
      <c r="B741" s="5" t="s">
        <v>863</v>
      </c>
      <c r="C741" s="5" t="s">
        <v>7309</v>
      </c>
      <c r="D741" s="1">
        <v>45420</v>
      </c>
      <c r="E741" s="17">
        <v>0.83333333333333337</v>
      </c>
      <c r="F741" s="5" t="s">
        <v>7305</v>
      </c>
      <c r="G741" s="12">
        <v>1159</v>
      </c>
      <c r="H741" s="12">
        <v>173.85</v>
      </c>
      <c r="I741" s="12">
        <v>985.15</v>
      </c>
      <c r="J741" s="12">
        <f>SUMIF(order_item!B:B,A741,order_item!E:E)</f>
        <v>1159</v>
      </c>
      <c r="K741" s="28" t="str">
        <f>_xlfn.XLOOKUP(B741,customers!A:A,customers!D:D)</f>
        <v>Regular</v>
      </c>
    </row>
    <row r="742" spans="1:11" x14ac:dyDescent="0.25">
      <c r="A742" s="5" t="s">
        <v>4736</v>
      </c>
      <c r="B742" s="5" t="s">
        <v>147</v>
      </c>
      <c r="C742" s="5" t="s">
        <v>7309</v>
      </c>
      <c r="D742" s="1">
        <v>45714</v>
      </c>
      <c r="E742" s="17">
        <v>0.84097222222222223</v>
      </c>
      <c r="F742" s="5" t="s">
        <v>7305</v>
      </c>
      <c r="G742" s="12">
        <v>297</v>
      </c>
      <c r="H742" s="12">
        <v>0</v>
      </c>
      <c r="I742" s="12">
        <v>297</v>
      </c>
      <c r="J742" s="12">
        <f>SUMIF(order_item!B:B,A742,order_item!E:E)</f>
        <v>297</v>
      </c>
      <c r="K742" s="28" t="str">
        <f>_xlfn.XLOOKUP(B742,customers!A:A,customers!D:D)</f>
        <v>Regular</v>
      </c>
    </row>
    <row r="743" spans="1:11" x14ac:dyDescent="0.25">
      <c r="A743" s="5" t="s">
        <v>4733</v>
      </c>
      <c r="B743" s="5" t="s">
        <v>665</v>
      </c>
      <c r="C743" s="5" t="s">
        <v>7309</v>
      </c>
      <c r="D743" s="1">
        <v>45725</v>
      </c>
      <c r="E743" s="17">
        <v>0.58263888888888882</v>
      </c>
      <c r="F743" s="5" t="s">
        <v>7307</v>
      </c>
      <c r="G743" s="12">
        <v>903</v>
      </c>
      <c r="H743" s="12">
        <v>0</v>
      </c>
      <c r="I743" s="12">
        <v>0</v>
      </c>
      <c r="J743" s="12">
        <f>SUMIF(order_item!B:B,A743,order_item!E:E)</f>
        <v>903</v>
      </c>
      <c r="K743" s="28" t="str">
        <f>_xlfn.XLOOKUP(B743,customers!A:A,customers!D:D)</f>
        <v>Regular</v>
      </c>
    </row>
    <row r="744" spans="1:11" x14ac:dyDescent="0.25">
      <c r="A744" s="5" t="s">
        <v>4731</v>
      </c>
      <c r="B744" s="5" t="s">
        <v>599</v>
      </c>
      <c r="C744" s="5" t="s">
        <v>7306</v>
      </c>
      <c r="D744" s="1">
        <v>45724</v>
      </c>
      <c r="E744" s="17">
        <v>0.99513888888888891</v>
      </c>
      <c r="F744" s="5" t="s">
        <v>7305</v>
      </c>
      <c r="G744" s="12">
        <v>99</v>
      </c>
      <c r="H744" s="12">
        <v>0</v>
      </c>
      <c r="I744" s="12">
        <v>99</v>
      </c>
      <c r="J744" s="12">
        <f>SUMIF(order_item!B:B,A744,order_item!E:E)</f>
        <v>99</v>
      </c>
      <c r="K744" s="28" t="str">
        <f>_xlfn.XLOOKUP(B744,customers!A:A,customers!D:D)</f>
        <v>Regular</v>
      </c>
    </row>
    <row r="745" spans="1:11" x14ac:dyDescent="0.25">
      <c r="A745" s="5" t="s">
        <v>4729</v>
      </c>
      <c r="B745" s="5" t="s">
        <v>830</v>
      </c>
      <c r="C745" s="5" t="s">
        <v>7308</v>
      </c>
      <c r="D745" s="1">
        <v>45577</v>
      </c>
      <c r="E745" s="17">
        <v>0.39027777777777778</v>
      </c>
      <c r="F745" s="5" t="s">
        <v>7307</v>
      </c>
      <c r="G745" s="12">
        <v>198</v>
      </c>
      <c r="H745" s="12">
        <v>0</v>
      </c>
      <c r="I745" s="12">
        <v>0</v>
      </c>
      <c r="J745" s="12">
        <f>SUMIF(order_item!B:B,A745,order_item!E:E)</f>
        <v>198</v>
      </c>
      <c r="K745" s="28" t="str">
        <f>_xlfn.XLOOKUP(B745,customers!A:A,customers!D:D)</f>
        <v>Regular</v>
      </c>
    </row>
    <row r="746" spans="1:11" x14ac:dyDescent="0.25">
      <c r="A746" s="5" t="s">
        <v>4726</v>
      </c>
      <c r="B746" s="5" t="s">
        <v>595</v>
      </c>
      <c r="C746" s="5" t="s">
        <v>7306</v>
      </c>
      <c r="D746" s="1">
        <v>45588</v>
      </c>
      <c r="E746" s="17">
        <v>0.85625000000000007</v>
      </c>
      <c r="F746" s="5" t="s">
        <v>7305</v>
      </c>
      <c r="G746" s="12">
        <v>475</v>
      </c>
      <c r="H746" s="12">
        <v>0</v>
      </c>
      <c r="I746" s="12">
        <v>475</v>
      </c>
      <c r="J746" s="12">
        <f>SUMIF(order_item!B:B,A746,order_item!E:E)</f>
        <v>475</v>
      </c>
      <c r="K746" s="28" t="str">
        <f>_xlfn.XLOOKUP(B746,customers!A:A,customers!D:D)</f>
        <v>Regular</v>
      </c>
    </row>
    <row r="747" spans="1:11" x14ac:dyDescent="0.25">
      <c r="A747" s="5" t="s">
        <v>4723</v>
      </c>
      <c r="B747" s="5" t="s">
        <v>457</v>
      </c>
      <c r="C747" s="5" t="s">
        <v>7309</v>
      </c>
      <c r="D747" s="1">
        <v>45415</v>
      </c>
      <c r="E747" s="17">
        <v>0.68055555555555547</v>
      </c>
      <c r="F747" s="5" t="s">
        <v>7305</v>
      </c>
      <c r="G747" s="12">
        <v>387</v>
      </c>
      <c r="H747" s="12">
        <v>0</v>
      </c>
      <c r="I747" s="12">
        <v>387</v>
      </c>
      <c r="J747" s="12">
        <f>SUMIF(order_item!B:B,A747,order_item!E:E)</f>
        <v>387</v>
      </c>
      <c r="K747" s="28" t="str">
        <f>_xlfn.XLOOKUP(B747,customers!A:A,customers!D:D)</f>
        <v>New</v>
      </c>
    </row>
    <row r="748" spans="1:11" x14ac:dyDescent="0.25">
      <c r="A748" s="5" t="s">
        <v>4719</v>
      </c>
      <c r="B748" s="5" t="s">
        <v>138</v>
      </c>
      <c r="C748" s="5" t="s">
        <v>7306</v>
      </c>
      <c r="D748" s="1">
        <v>45458</v>
      </c>
      <c r="E748" s="17">
        <v>0.86597222222222225</v>
      </c>
      <c r="F748" s="5" t="s">
        <v>7305</v>
      </c>
      <c r="G748" s="12">
        <v>683</v>
      </c>
      <c r="H748" s="12">
        <v>0</v>
      </c>
      <c r="I748" s="12">
        <v>683</v>
      </c>
      <c r="J748" s="12">
        <f>SUMIF(order_item!B:B,A748,order_item!E:E)</f>
        <v>683</v>
      </c>
      <c r="K748" s="28" t="str">
        <f>_xlfn.XLOOKUP(B748,customers!A:A,customers!D:D)</f>
        <v>Regular</v>
      </c>
    </row>
    <row r="749" spans="1:11" x14ac:dyDescent="0.25">
      <c r="A749" s="5" t="s">
        <v>4717</v>
      </c>
      <c r="B749" s="5" t="s">
        <v>749</v>
      </c>
      <c r="C749" s="5" t="s">
        <v>7306</v>
      </c>
      <c r="D749" s="1">
        <v>45699</v>
      </c>
      <c r="E749" s="17">
        <v>0.99583333333333324</v>
      </c>
      <c r="F749" s="5" t="s">
        <v>7305</v>
      </c>
      <c r="G749" s="12">
        <v>316</v>
      </c>
      <c r="H749" s="12">
        <v>0</v>
      </c>
      <c r="I749" s="12">
        <v>316</v>
      </c>
      <c r="J749" s="12">
        <f>SUMIF(order_item!B:B,A749,order_item!E:E)</f>
        <v>316</v>
      </c>
      <c r="K749" s="28" t="str">
        <f>_xlfn.XLOOKUP(B749,customers!A:A,customers!D:D)</f>
        <v>Premium</v>
      </c>
    </row>
    <row r="750" spans="1:11" x14ac:dyDescent="0.25">
      <c r="A750" s="5" t="s">
        <v>4714</v>
      </c>
      <c r="B750" s="5" t="s">
        <v>390</v>
      </c>
      <c r="C750" s="5" t="s">
        <v>7306</v>
      </c>
      <c r="D750" s="1">
        <v>45411</v>
      </c>
      <c r="E750" s="17">
        <v>0.73333333333333339</v>
      </c>
      <c r="F750" s="5" t="s">
        <v>7305</v>
      </c>
      <c r="G750" s="12">
        <v>228</v>
      </c>
      <c r="H750" s="12">
        <v>0</v>
      </c>
      <c r="I750" s="12">
        <v>228</v>
      </c>
      <c r="J750" s="12">
        <f>SUMIF(order_item!B:B,A750,order_item!E:E)</f>
        <v>228</v>
      </c>
      <c r="K750" s="28" t="str">
        <f>_xlfn.XLOOKUP(B750,customers!A:A,customers!D:D)</f>
        <v>Regular</v>
      </c>
    </row>
    <row r="751" spans="1:11" x14ac:dyDescent="0.25">
      <c r="A751" s="5" t="s">
        <v>4711</v>
      </c>
      <c r="B751" s="5" t="s">
        <v>715</v>
      </c>
      <c r="C751" s="5" t="s">
        <v>7309</v>
      </c>
      <c r="D751" s="1">
        <v>45683</v>
      </c>
      <c r="E751" s="17">
        <v>0.66111111111111109</v>
      </c>
      <c r="F751" s="5" t="s">
        <v>7305</v>
      </c>
      <c r="G751" s="12">
        <v>755</v>
      </c>
      <c r="H751" s="12">
        <v>75.5</v>
      </c>
      <c r="I751" s="12">
        <v>679.5</v>
      </c>
      <c r="J751" s="12">
        <f>SUMIF(order_item!B:B,A751,order_item!E:E)</f>
        <v>755</v>
      </c>
      <c r="K751" s="28" t="str">
        <f>_xlfn.XLOOKUP(B751,customers!A:A,customers!D:D)</f>
        <v>Premium</v>
      </c>
    </row>
    <row r="752" spans="1:11" x14ac:dyDescent="0.25">
      <c r="A752" s="5" t="s">
        <v>4708</v>
      </c>
      <c r="B752" s="5" t="s">
        <v>347</v>
      </c>
      <c r="C752" s="5" t="s">
        <v>7309</v>
      </c>
      <c r="D752" s="1">
        <v>45465</v>
      </c>
      <c r="E752" s="17">
        <v>0.55972222222222223</v>
      </c>
      <c r="F752" s="5" t="s">
        <v>7305</v>
      </c>
      <c r="G752" s="12">
        <v>356</v>
      </c>
      <c r="H752" s="12">
        <v>0</v>
      </c>
      <c r="I752" s="12">
        <v>356</v>
      </c>
      <c r="J752" s="12">
        <f>SUMIF(order_item!B:B,A752,order_item!E:E)</f>
        <v>356</v>
      </c>
      <c r="K752" s="28" t="str">
        <f>_xlfn.XLOOKUP(B752,customers!A:A,customers!D:D)</f>
        <v>Regular</v>
      </c>
    </row>
    <row r="753" spans="1:11" x14ac:dyDescent="0.25">
      <c r="A753" s="5" t="s">
        <v>4706</v>
      </c>
      <c r="B753" s="5" t="s">
        <v>371</v>
      </c>
      <c r="C753" s="5" t="s">
        <v>7306</v>
      </c>
      <c r="D753" s="1">
        <v>45544</v>
      </c>
      <c r="E753" s="17">
        <v>0.92222222222222217</v>
      </c>
      <c r="F753" s="5" t="s">
        <v>7305</v>
      </c>
      <c r="G753" s="12">
        <v>158</v>
      </c>
      <c r="H753" s="12">
        <v>0</v>
      </c>
      <c r="I753" s="12">
        <v>158</v>
      </c>
      <c r="J753" s="12">
        <f>SUMIF(order_item!B:B,A753,order_item!E:E)</f>
        <v>158</v>
      </c>
      <c r="K753" s="28" t="str">
        <f>_xlfn.XLOOKUP(B753,customers!A:A,customers!D:D)</f>
        <v>Regular</v>
      </c>
    </row>
    <row r="754" spans="1:11" x14ac:dyDescent="0.25">
      <c r="A754" s="5" t="s">
        <v>4702</v>
      </c>
      <c r="B754" s="5" t="s">
        <v>324</v>
      </c>
      <c r="C754" s="5" t="s">
        <v>7308</v>
      </c>
      <c r="D754" s="1">
        <v>45519</v>
      </c>
      <c r="E754" s="17">
        <v>0.57152777777777775</v>
      </c>
      <c r="F754" s="5" t="s">
        <v>7305</v>
      </c>
      <c r="G754" s="12">
        <v>882</v>
      </c>
      <c r="H754" s="12">
        <v>0</v>
      </c>
      <c r="I754" s="12">
        <v>882</v>
      </c>
      <c r="J754" s="12">
        <f>SUMIF(order_item!B:B,A754,order_item!E:E)</f>
        <v>882</v>
      </c>
      <c r="K754" s="28" t="str">
        <f>_xlfn.XLOOKUP(B754,customers!A:A,customers!D:D)</f>
        <v>Regular</v>
      </c>
    </row>
    <row r="755" spans="1:11" x14ac:dyDescent="0.25">
      <c r="A755" s="5" t="s">
        <v>4699</v>
      </c>
      <c r="B755" s="5" t="s">
        <v>845</v>
      </c>
      <c r="C755" s="5" t="s">
        <v>7309</v>
      </c>
      <c r="D755" s="1">
        <v>45596</v>
      </c>
      <c r="E755" s="17">
        <v>0.73125000000000007</v>
      </c>
      <c r="F755" s="5" t="s">
        <v>7305</v>
      </c>
      <c r="G755" s="12">
        <v>684</v>
      </c>
      <c r="H755" s="12">
        <v>0</v>
      </c>
      <c r="I755" s="12">
        <v>684</v>
      </c>
      <c r="J755" s="12">
        <f>SUMIF(order_item!B:B,A755,order_item!E:E)</f>
        <v>684</v>
      </c>
      <c r="K755" s="28" t="str">
        <f>_xlfn.XLOOKUP(B755,customers!A:A,customers!D:D)</f>
        <v>Regular</v>
      </c>
    </row>
    <row r="756" spans="1:11" x14ac:dyDescent="0.25">
      <c r="A756" s="5" t="s">
        <v>4695</v>
      </c>
      <c r="B756" s="5" t="s">
        <v>428</v>
      </c>
      <c r="C756" s="5" t="s">
        <v>7306</v>
      </c>
      <c r="D756" s="1">
        <v>45613</v>
      </c>
      <c r="E756" s="17">
        <v>0.72777777777777775</v>
      </c>
      <c r="F756" s="5" t="s">
        <v>7305</v>
      </c>
      <c r="G756" s="12">
        <v>535</v>
      </c>
      <c r="H756" s="12">
        <v>0</v>
      </c>
      <c r="I756" s="12">
        <v>535</v>
      </c>
      <c r="J756" s="12">
        <f>SUMIF(order_item!B:B,A756,order_item!E:E)</f>
        <v>535</v>
      </c>
      <c r="K756" s="28" t="str">
        <f>_xlfn.XLOOKUP(B756,customers!A:A,customers!D:D)</f>
        <v>Regular</v>
      </c>
    </row>
    <row r="757" spans="1:11" x14ac:dyDescent="0.25">
      <c r="A757" s="5" t="s">
        <v>4693</v>
      </c>
      <c r="B757" s="5" t="s">
        <v>604</v>
      </c>
      <c r="C757" s="5" t="s">
        <v>7309</v>
      </c>
      <c r="D757" s="1">
        <v>45569</v>
      </c>
      <c r="E757" s="17">
        <v>0.3923611111111111</v>
      </c>
      <c r="F757" s="5" t="s">
        <v>7305</v>
      </c>
      <c r="G757" s="12">
        <v>89</v>
      </c>
      <c r="H757" s="12">
        <v>8.9</v>
      </c>
      <c r="I757" s="12">
        <v>80.099999999999994</v>
      </c>
      <c r="J757" s="12">
        <f>SUMIF(order_item!B:B,A757,order_item!E:E)</f>
        <v>89</v>
      </c>
      <c r="K757" s="28" t="str">
        <f>_xlfn.XLOOKUP(B757,customers!A:A,customers!D:D)</f>
        <v>Regular</v>
      </c>
    </row>
    <row r="758" spans="1:11" x14ac:dyDescent="0.25">
      <c r="A758" s="5" t="s">
        <v>4689</v>
      </c>
      <c r="B758" s="5" t="s">
        <v>486</v>
      </c>
      <c r="C758" s="5" t="s">
        <v>7309</v>
      </c>
      <c r="D758" s="1">
        <v>45393</v>
      </c>
      <c r="E758" s="17">
        <v>0.73472222222222217</v>
      </c>
      <c r="F758" s="5" t="s">
        <v>7305</v>
      </c>
      <c r="G758" s="12">
        <v>395</v>
      </c>
      <c r="H758" s="12">
        <v>0</v>
      </c>
      <c r="I758" s="12">
        <v>395</v>
      </c>
      <c r="J758" s="12">
        <f>SUMIF(order_item!B:B,A758,order_item!E:E)</f>
        <v>395</v>
      </c>
      <c r="K758" s="28" t="str">
        <f>_xlfn.XLOOKUP(B758,customers!A:A,customers!D:D)</f>
        <v>Premium</v>
      </c>
    </row>
    <row r="759" spans="1:11" x14ac:dyDescent="0.25">
      <c r="A759" s="5" t="s">
        <v>4687</v>
      </c>
      <c r="B759" s="5" t="s">
        <v>710</v>
      </c>
      <c r="C759" s="5" t="s">
        <v>7309</v>
      </c>
      <c r="D759" s="1">
        <v>45516</v>
      </c>
      <c r="E759" s="17">
        <v>0.69652777777777775</v>
      </c>
      <c r="F759" s="5" t="s">
        <v>7305</v>
      </c>
      <c r="G759" s="12">
        <v>178</v>
      </c>
      <c r="H759" s="12">
        <v>0</v>
      </c>
      <c r="I759" s="12">
        <v>178</v>
      </c>
      <c r="J759" s="12">
        <f>SUMIF(order_item!B:B,A759,order_item!E:E)</f>
        <v>178</v>
      </c>
      <c r="K759" s="28" t="str">
        <f>_xlfn.XLOOKUP(B759,customers!A:A,customers!D:D)</f>
        <v>Regular</v>
      </c>
    </row>
    <row r="760" spans="1:11" x14ac:dyDescent="0.25">
      <c r="A760" s="5" t="s">
        <v>4683</v>
      </c>
      <c r="B760" s="5" t="s">
        <v>854</v>
      </c>
      <c r="C760" s="5" t="s">
        <v>7306</v>
      </c>
      <c r="D760" s="1">
        <v>45656</v>
      </c>
      <c r="E760" s="17">
        <v>0.83611111111111114</v>
      </c>
      <c r="F760" s="5" t="s">
        <v>7305</v>
      </c>
      <c r="G760" s="12">
        <v>853</v>
      </c>
      <c r="H760" s="12">
        <v>0</v>
      </c>
      <c r="I760" s="12">
        <v>853</v>
      </c>
      <c r="J760" s="12">
        <f>SUMIF(order_item!B:B,A760,order_item!E:E)</f>
        <v>853</v>
      </c>
      <c r="K760" s="28" t="str">
        <f>_xlfn.XLOOKUP(B760,customers!A:A,customers!D:D)</f>
        <v>New</v>
      </c>
    </row>
    <row r="761" spans="1:11" x14ac:dyDescent="0.25">
      <c r="A761" s="5" t="s">
        <v>4680</v>
      </c>
      <c r="B761" s="5" t="s">
        <v>480</v>
      </c>
      <c r="C761" s="5" t="s">
        <v>7308</v>
      </c>
      <c r="D761" s="1">
        <v>45743</v>
      </c>
      <c r="E761" s="17">
        <v>0.7284722222222223</v>
      </c>
      <c r="F761" s="5" t="s">
        <v>7305</v>
      </c>
      <c r="G761" s="12">
        <v>238</v>
      </c>
      <c r="H761" s="12">
        <v>0</v>
      </c>
      <c r="I761" s="12">
        <v>238</v>
      </c>
      <c r="J761" s="12">
        <f>SUMIF(order_item!B:B,A761,order_item!E:E)</f>
        <v>238</v>
      </c>
      <c r="K761" s="28" t="str">
        <f>_xlfn.XLOOKUP(B761,customers!A:A,customers!D:D)</f>
        <v>New</v>
      </c>
    </row>
    <row r="762" spans="1:11" x14ac:dyDescent="0.25">
      <c r="A762" s="5" t="s">
        <v>4677</v>
      </c>
      <c r="B762" s="5" t="s">
        <v>842</v>
      </c>
      <c r="C762" s="5" t="s">
        <v>7309</v>
      </c>
      <c r="D762" s="1">
        <v>45650</v>
      </c>
      <c r="E762" s="17">
        <v>0.75624999999999998</v>
      </c>
      <c r="F762" s="5" t="s">
        <v>7305</v>
      </c>
      <c r="G762" s="12">
        <v>715</v>
      </c>
      <c r="H762" s="12">
        <v>0</v>
      </c>
      <c r="I762" s="12">
        <v>715</v>
      </c>
      <c r="J762" s="12">
        <f>SUMIF(order_item!B:B,A762,order_item!E:E)</f>
        <v>715</v>
      </c>
      <c r="K762" s="28" t="str">
        <f>_xlfn.XLOOKUP(B762,customers!A:A,customers!D:D)</f>
        <v>Premium</v>
      </c>
    </row>
    <row r="763" spans="1:11" x14ac:dyDescent="0.25">
      <c r="A763" s="5" t="s">
        <v>4674</v>
      </c>
      <c r="B763" s="5" t="s">
        <v>636</v>
      </c>
      <c r="C763" s="5" t="s">
        <v>7309</v>
      </c>
      <c r="D763" s="1">
        <v>45566</v>
      </c>
      <c r="E763" s="17">
        <v>0.93263888888888891</v>
      </c>
      <c r="F763" s="5" t="s">
        <v>7305</v>
      </c>
      <c r="G763" s="12">
        <v>326</v>
      </c>
      <c r="H763" s="12">
        <v>0</v>
      </c>
      <c r="I763" s="12">
        <v>326</v>
      </c>
      <c r="J763" s="12">
        <f>SUMIF(order_item!B:B,A763,order_item!E:E)</f>
        <v>326</v>
      </c>
      <c r="K763" s="28" t="str">
        <f>_xlfn.XLOOKUP(B763,customers!A:A,customers!D:D)</f>
        <v>New</v>
      </c>
    </row>
    <row r="764" spans="1:11" x14ac:dyDescent="0.25">
      <c r="A764" s="5" t="s">
        <v>4671</v>
      </c>
      <c r="B764" s="5" t="s">
        <v>277</v>
      </c>
      <c r="C764" s="5" t="s">
        <v>7306</v>
      </c>
      <c r="D764" s="1">
        <v>45615</v>
      </c>
      <c r="E764" s="17">
        <v>0.99652777777777779</v>
      </c>
      <c r="F764" s="5" t="s">
        <v>7305</v>
      </c>
      <c r="G764" s="12">
        <v>257</v>
      </c>
      <c r="H764" s="12">
        <v>0</v>
      </c>
      <c r="I764" s="12">
        <v>257</v>
      </c>
      <c r="J764" s="12">
        <f>SUMIF(order_item!B:B,A764,order_item!E:E)</f>
        <v>257</v>
      </c>
      <c r="K764" s="28" t="str">
        <f>_xlfn.XLOOKUP(B764,customers!A:A,customers!D:D)</f>
        <v>Regular</v>
      </c>
    </row>
    <row r="765" spans="1:11" x14ac:dyDescent="0.25">
      <c r="A765" s="5" t="s">
        <v>4666</v>
      </c>
      <c r="B765" s="5" t="s">
        <v>723</v>
      </c>
      <c r="C765" s="5" t="s">
        <v>7309</v>
      </c>
      <c r="D765" s="1">
        <v>45661</v>
      </c>
      <c r="E765" s="17">
        <v>0.67499999999999993</v>
      </c>
      <c r="F765" s="5" t="s">
        <v>7305</v>
      </c>
      <c r="G765" s="12">
        <v>880</v>
      </c>
      <c r="H765" s="12">
        <v>0</v>
      </c>
      <c r="I765" s="12">
        <v>880</v>
      </c>
      <c r="J765" s="12">
        <f>SUMIF(order_item!B:B,A765,order_item!E:E)</f>
        <v>880</v>
      </c>
      <c r="K765" s="28" t="str">
        <f>_xlfn.XLOOKUP(B765,customers!A:A,customers!D:D)</f>
        <v>Regular</v>
      </c>
    </row>
    <row r="766" spans="1:11" x14ac:dyDescent="0.25">
      <c r="A766" s="5" t="s">
        <v>4662</v>
      </c>
      <c r="B766" s="5" t="s">
        <v>581</v>
      </c>
      <c r="C766" s="5" t="s">
        <v>7309</v>
      </c>
      <c r="D766" s="1">
        <v>45621</v>
      </c>
      <c r="E766" s="17">
        <v>0.71458333333333324</v>
      </c>
      <c r="F766" s="5" t="s">
        <v>7305</v>
      </c>
      <c r="G766" s="12">
        <v>765</v>
      </c>
      <c r="H766" s="12">
        <v>38.25</v>
      </c>
      <c r="I766" s="12">
        <v>726.75</v>
      </c>
      <c r="J766" s="12">
        <f>SUMIF(order_item!B:B,A766,order_item!E:E)</f>
        <v>765</v>
      </c>
      <c r="K766" s="28" t="str">
        <f>_xlfn.XLOOKUP(B766,customers!A:A,customers!D:D)</f>
        <v>Premium</v>
      </c>
    </row>
    <row r="767" spans="1:11" x14ac:dyDescent="0.25">
      <c r="A767" s="5" t="s">
        <v>4658</v>
      </c>
      <c r="B767" s="5" t="s">
        <v>189</v>
      </c>
      <c r="C767" s="5" t="s">
        <v>7309</v>
      </c>
      <c r="D767" s="1">
        <v>45416</v>
      </c>
      <c r="E767" s="17">
        <v>0.68125000000000002</v>
      </c>
      <c r="F767" s="5" t="s">
        <v>7305</v>
      </c>
      <c r="G767" s="12">
        <v>633</v>
      </c>
      <c r="H767" s="12">
        <v>63.3</v>
      </c>
      <c r="I767" s="12">
        <v>569.70000000000005</v>
      </c>
      <c r="J767" s="12">
        <f>SUMIF(order_item!B:B,A767,order_item!E:E)</f>
        <v>633</v>
      </c>
      <c r="K767" s="28" t="str">
        <f>_xlfn.XLOOKUP(B767,customers!A:A,customers!D:D)</f>
        <v>New</v>
      </c>
    </row>
    <row r="768" spans="1:11" x14ac:dyDescent="0.25">
      <c r="A768" s="5" t="s">
        <v>4655</v>
      </c>
      <c r="B768" s="5" t="s">
        <v>803</v>
      </c>
      <c r="C768" s="5" t="s">
        <v>7306</v>
      </c>
      <c r="D768" s="1">
        <v>45573</v>
      </c>
      <c r="E768" s="17">
        <v>0.55486111111111114</v>
      </c>
      <c r="F768" s="5" t="s">
        <v>7305</v>
      </c>
      <c r="G768" s="12">
        <v>237</v>
      </c>
      <c r="H768" s="12">
        <v>0</v>
      </c>
      <c r="I768" s="12">
        <v>237</v>
      </c>
      <c r="J768" s="12">
        <f>SUMIF(order_item!B:B,A768,order_item!E:E)</f>
        <v>237</v>
      </c>
      <c r="K768" s="28" t="str">
        <f>_xlfn.XLOOKUP(B768,customers!A:A,customers!D:D)</f>
        <v>Regular</v>
      </c>
    </row>
    <row r="769" spans="1:11" x14ac:dyDescent="0.25">
      <c r="A769" s="5" t="s">
        <v>4652</v>
      </c>
      <c r="B769" s="5" t="s">
        <v>371</v>
      </c>
      <c r="C769" s="5" t="s">
        <v>7308</v>
      </c>
      <c r="D769" s="1">
        <v>45639</v>
      </c>
      <c r="E769" s="17">
        <v>0.71319444444444446</v>
      </c>
      <c r="F769" s="5" t="s">
        <v>7305</v>
      </c>
      <c r="G769" s="12">
        <v>188</v>
      </c>
      <c r="H769" s="12">
        <v>0</v>
      </c>
      <c r="I769" s="12">
        <v>188</v>
      </c>
      <c r="J769" s="12">
        <f>SUMIF(order_item!B:B,A769,order_item!E:E)</f>
        <v>188</v>
      </c>
      <c r="K769" s="28" t="str">
        <f>_xlfn.XLOOKUP(B769,customers!A:A,customers!D:D)</f>
        <v>Regular</v>
      </c>
    </row>
    <row r="770" spans="1:11" x14ac:dyDescent="0.25">
      <c r="A770" s="5" t="s">
        <v>4648</v>
      </c>
      <c r="B770" s="5" t="s">
        <v>746</v>
      </c>
      <c r="C770" s="5" t="s">
        <v>7309</v>
      </c>
      <c r="D770" s="1">
        <v>45678</v>
      </c>
      <c r="E770" s="17">
        <v>2.4999999999999998E-2</v>
      </c>
      <c r="F770" s="5" t="s">
        <v>7305</v>
      </c>
      <c r="G770" s="12">
        <v>277</v>
      </c>
      <c r="H770" s="12">
        <v>0</v>
      </c>
      <c r="I770" s="12">
        <v>277</v>
      </c>
      <c r="J770" s="12">
        <f>SUMIF(order_item!B:B,A770,order_item!E:E)</f>
        <v>277</v>
      </c>
      <c r="K770" s="28" t="str">
        <f>_xlfn.XLOOKUP(B770,customers!A:A,customers!D:D)</f>
        <v>New</v>
      </c>
    </row>
    <row r="771" spans="1:11" x14ac:dyDescent="0.25">
      <c r="A771" s="5" t="s">
        <v>4644</v>
      </c>
      <c r="B771" s="5" t="s">
        <v>394</v>
      </c>
      <c r="C771" s="5" t="s">
        <v>7309</v>
      </c>
      <c r="D771" s="1">
        <v>45440</v>
      </c>
      <c r="E771" s="17">
        <v>4.9999999999999996E-2</v>
      </c>
      <c r="F771" s="5" t="s">
        <v>7305</v>
      </c>
      <c r="G771" s="12">
        <v>415</v>
      </c>
      <c r="H771" s="12">
        <v>0</v>
      </c>
      <c r="I771" s="12">
        <v>415</v>
      </c>
      <c r="J771" s="12">
        <f>SUMIF(order_item!B:B,A771,order_item!E:E)</f>
        <v>415</v>
      </c>
      <c r="K771" s="28" t="str">
        <f>_xlfn.XLOOKUP(B771,customers!A:A,customers!D:D)</f>
        <v>Regular</v>
      </c>
    </row>
    <row r="772" spans="1:11" x14ac:dyDescent="0.25">
      <c r="A772" s="5" t="s">
        <v>4640</v>
      </c>
      <c r="B772" s="5" t="s">
        <v>649</v>
      </c>
      <c r="C772" s="5" t="s">
        <v>7308</v>
      </c>
      <c r="D772" s="1">
        <v>45500</v>
      </c>
      <c r="E772" s="17">
        <v>0.68819444444444444</v>
      </c>
      <c r="F772" s="5" t="s">
        <v>7305</v>
      </c>
      <c r="G772" s="12">
        <v>652</v>
      </c>
      <c r="H772" s="12">
        <v>32.6</v>
      </c>
      <c r="I772" s="12">
        <v>619.4</v>
      </c>
      <c r="J772" s="12">
        <f>SUMIF(order_item!B:B,A772,order_item!E:E)</f>
        <v>652</v>
      </c>
      <c r="K772" s="28" t="str">
        <f>_xlfn.XLOOKUP(B772,customers!A:A,customers!D:D)</f>
        <v>Regular</v>
      </c>
    </row>
    <row r="773" spans="1:11" x14ac:dyDescent="0.25">
      <c r="A773" s="5" t="s">
        <v>4637</v>
      </c>
      <c r="B773" s="5" t="s">
        <v>305</v>
      </c>
      <c r="C773" s="5" t="s">
        <v>7306</v>
      </c>
      <c r="D773" s="1">
        <v>45521</v>
      </c>
      <c r="E773" s="17">
        <v>0.83333333333333337</v>
      </c>
      <c r="F773" s="5" t="s">
        <v>7305</v>
      </c>
      <c r="G773" s="12">
        <v>327</v>
      </c>
      <c r="H773" s="12">
        <v>0</v>
      </c>
      <c r="I773" s="12">
        <v>327</v>
      </c>
      <c r="J773" s="12">
        <f>SUMIF(order_item!B:B,A773,order_item!E:E)</f>
        <v>327</v>
      </c>
      <c r="K773" s="28" t="str">
        <f>_xlfn.XLOOKUP(B773,customers!A:A,customers!D:D)</f>
        <v>Regular</v>
      </c>
    </row>
    <row r="774" spans="1:11" x14ac:dyDescent="0.25">
      <c r="A774" s="5" t="s">
        <v>4633</v>
      </c>
      <c r="B774" s="5" t="s">
        <v>332</v>
      </c>
      <c r="C774" s="5" t="s">
        <v>7309</v>
      </c>
      <c r="D774" s="1">
        <v>45534</v>
      </c>
      <c r="E774" s="17">
        <v>0.80972222222222223</v>
      </c>
      <c r="F774" s="5" t="s">
        <v>7305</v>
      </c>
      <c r="G774" s="12">
        <v>773</v>
      </c>
      <c r="H774" s="12">
        <v>0</v>
      </c>
      <c r="I774" s="12">
        <v>773</v>
      </c>
      <c r="J774" s="12">
        <f>SUMIF(order_item!B:B,A774,order_item!E:E)</f>
        <v>773</v>
      </c>
      <c r="K774" s="28" t="str">
        <f>_xlfn.XLOOKUP(B774,customers!A:A,customers!D:D)</f>
        <v>New</v>
      </c>
    </row>
    <row r="775" spans="1:11" x14ac:dyDescent="0.25">
      <c r="A775" s="5" t="s">
        <v>4630</v>
      </c>
      <c r="B775" s="5" t="s">
        <v>279</v>
      </c>
      <c r="C775" s="5" t="s">
        <v>7309</v>
      </c>
      <c r="D775" s="1">
        <v>45583</v>
      </c>
      <c r="E775" s="17">
        <v>0.74375000000000002</v>
      </c>
      <c r="F775" s="5" t="s">
        <v>7305</v>
      </c>
      <c r="G775" s="12">
        <v>594</v>
      </c>
      <c r="H775" s="12">
        <v>29.7</v>
      </c>
      <c r="I775" s="12">
        <v>564.29999999999995</v>
      </c>
      <c r="J775" s="12">
        <f>SUMIF(order_item!B:B,A775,order_item!E:E)</f>
        <v>594</v>
      </c>
      <c r="K775" s="28" t="str">
        <f>_xlfn.XLOOKUP(B775,customers!A:A,customers!D:D)</f>
        <v>Regular</v>
      </c>
    </row>
    <row r="776" spans="1:11" x14ac:dyDescent="0.25">
      <c r="A776" s="5" t="s">
        <v>4627</v>
      </c>
      <c r="B776" s="5" t="s">
        <v>124</v>
      </c>
      <c r="C776" s="5" t="s">
        <v>7306</v>
      </c>
      <c r="D776" s="1">
        <v>45646</v>
      </c>
      <c r="E776" s="17">
        <v>0.62152777777777779</v>
      </c>
      <c r="F776" s="5" t="s">
        <v>7307</v>
      </c>
      <c r="G776" s="12">
        <v>496</v>
      </c>
      <c r="H776" s="12">
        <v>24.8</v>
      </c>
      <c r="I776" s="12">
        <v>0</v>
      </c>
      <c r="J776" s="12">
        <f>SUMIF(order_item!B:B,A776,order_item!E:E)</f>
        <v>496</v>
      </c>
      <c r="K776" s="28" t="str">
        <f>_xlfn.XLOOKUP(B776,customers!A:A,customers!D:D)</f>
        <v>Regular</v>
      </c>
    </row>
    <row r="777" spans="1:11" x14ac:dyDescent="0.25">
      <c r="A777" s="5" t="s">
        <v>4624</v>
      </c>
      <c r="B777" s="5" t="s">
        <v>817</v>
      </c>
      <c r="C777" s="5" t="s">
        <v>7309</v>
      </c>
      <c r="D777" s="1">
        <v>45404</v>
      </c>
      <c r="E777" s="17">
        <v>0.9159722222222223</v>
      </c>
      <c r="F777" s="5" t="s">
        <v>7305</v>
      </c>
      <c r="G777" s="12">
        <v>307</v>
      </c>
      <c r="H777" s="12">
        <v>0</v>
      </c>
      <c r="I777" s="12">
        <v>307</v>
      </c>
      <c r="J777" s="12">
        <f>SUMIF(order_item!B:B,A777,order_item!E:E)</f>
        <v>307</v>
      </c>
      <c r="K777" s="28" t="str">
        <f>_xlfn.XLOOKUP(B777,customers!A:A,customers!D:D)</f>
        <v>New</v>
      </c>
    </row>
    <row r="778" spans="1:11" x14ac:dyDescent="0.25">
      <c r="A778" s="5" t="s">
        <v>4620</v>
      </c>
      <c r="B778" s="5" t="s">
        <v>333</v>
      </c>
      <c r="C778" s="5" t="s">
        <v>7309</v>
      </c>
      <c r="D778" s="1">
        <v>45459</v>
      </c>
      <c r="E778" s="17">
        <v>0.94305555555555554</v>
      </c>
      <c r="F778" s="5" t="s">
        <v>7307</v>
      </c>
      <c r="G778" s="12">
        <v>366</v>
      </c>
      <c r="H778" s="12">
        <v>18.3</v>
      </c>
      <c r="I778" s="12">
        <v>0</v>
      </c>
      <c r="J778" s="12">
        <f>SUMIF(order_item!B:B,A778,order_item!E:E)</f>
        <v>366</v>
      </c>
      <c r="K778" s="28" t="str">
        <f>_xlfn.XLOOKUP(B778,customers!A:A,customers!D:D)</f>
        <v>Regular</v>
      </c>
    </row>
    <row r="779" spans="1:11" x14ac:dyDescent="0.25">
      <c r="A779" s="5" t="s">
        <v>4617</v>
      </c>
      <c r="B779" s="5" t="s">
        <v>743</v>
      </c>
      <c r="C779" s="5" t="s">
        <v>7306</v>
      </c>
      <c r="D779" s="1">
        <v>45639</v>
      </c>
      <c r="E779" s="17">
        <v>0.42499999999999999</v>
      </c>
      <c r="F779" s="5" t="s">
        <v>7305</v>
      </c>
      <c r="G779" s="12">
        <v>317</v>
      </c>
      <c r="H779" s="12">
        <v>0</v>
      </c>
      <c r="I779" s="12">
        <v>317</v>
      </c>
      <c r="J779" s="12">
        <f>SUMIF(order_item!B:B,A779,order_item!E:E)</f>
        <v>317</v>
      </c>
      <c r="K779" s="28" t="str">
        <f>_xlfn.XLOOKUP(B779,customers!A:A,customers!D:D)</f>
        <v>Premium</v>
      </c>
    </row>
    <row r="780" spans="1:11" x14ac:dyDescent="0.25">
      <c r="A780" s="5" t="s">
        <v>4614</v>
      </c>
      <c r="B780" s="5" t="s">
        <v>862</v>
      </c>
      <c r="C780" s="5" t="s">
        <v>7306</v>
      </c>
      <c r="D780" s="1">
        <v>45486</v>
      </c>
      <c r="E780" s="17">
        <v>0.73125000000000007</v>
      </c>
      <c r="F780" s="5" t="s">
        <v>7305</v>
      </c>
      <c r="G780" s="12">
        <v>475</v>
      </c>
      <c r="H780" s="12">
        <v>0</v>
      </c>
      <c r="I780" s="12">
        <v>475</v>
      </c>
      <c r="J780" s="12">
        <f>SUMIF(order_item!B:B,A780,order_item!E:E)</f>
        <v>475</v>
      </c>
      <c r="K780" s="28" t="str">
        <f>_xlfn.XLOOKUP(B780,customers!A:A,customers!D:D)</f>
        <v>Regular</v>
      </c>
    </row>
    <row r="781" spans="1:11" x14ac:dyDescent="0.25">
      <c r="A781" s="5" t="s">
        <v>4610</v>
      </c>
      <c r="B781" s="5" t="s">
        <v>296</v>
      </c>
      <c r="C781" s="5" t="s">
        <v>7306</v>
      </c>
      <c r="D781" s="1">
        <v>45414</v>
      </c>
      <c r="E781" s="17">
        <v>0.91666666666666663</v>
      </c>
      <c r="F781" s="5" t="s">
        <v>7307</v>
      </c>
      <c r="G781" s="12">
        <v>1072</v>
      </c>
      <c r="H781" s="12">
        <v>0</v>
      </c>
      <c r="I781" s="12">
        <v>0</v>
      </c>
      <c r="J781" s="12">
        <f>SUMIF(order_item!B:B,A781,order_item!E:E)</f>
        <v>1072</v>
      </c>
      <c r="K781" s="28" t="str">
        <f>_xlfn.XLOOKUP(B781,customers!A:A,customers!D:D)</f>
        <v>Regular</v>
      </c>
    </row>
    <row r="782" spans="1:11" x14ac:dyDescent="0.25">
      <c r="A782" s="5" t="s">
        <v>4605</v>
      </c>
      <c r="B782" s="5" t="s">
        <v>660</v>
      </c>
      <c r="C782" s="5" t="s">
        <v>7306</v>
      </c>
      <c r="D782" s="1">
        <v>45530</v>
      </c>
      <c r="E782" s="17">
        <v>0.60486111111111118</v>
      </c>
      <c r="F782" s="5" t="s">
        <v>7305</v>
      </c>
      <c r="G782" s="12">
        <v>1109</v>
      </c>
      <c r="H782" s="12">
        <v>0</v>
      </c>
      <c r="I782" s="12">
        <v>1109</v>
      </c>
      <c r="J782" s="12">
        <f>SUMIF(order_item!B:B,A782,order_item!E:E)</f>
        <v>1109</v>
      </c>
      <c r="K782" s="28" t="str">
        <f>_xlfn.XLOOKUP(B782,customers!A:A,customers!D:D)</f>
        <v>Regular</v>
      </c>
    </row>
    <row r="783" spans="1:11" x14ac:dyDescent="0.25">
      <c r="A783" s="5" t="s">
        <v>4601</v>
      </c>
      <c r="B783" s="5" t="s">
        <v>773</v>
      </c>
      <c r="C783" s="5" t="s">
        <v>7306</v>
      </c>
      <c r="D783" s="1">
        <v>45570</v>
      </c>
      <c r="E783" s="17">
        <v>0.92291666666666661</v>
      </c>
      <c r="F783" s="5" t="s">
        <v>7305</v>
      </c>
      <c r="G783" s="12">
        <v>327</v>
      </c>
      <c r="H783" s="12">
        <v>0</v>
      </c>
      <c r="I783" s="12">
        <v>327</v>
      </c>
      <c r="J783" s="12">
        <f>SUMIF(order_item!B:B,A783,order_item!E:E)</f>
        <v>327</v>
      </c>
      <c r="K783" s="28" t="str">
        <f>_xlfn.XLOOKUP(B783,customers!A:A,customers!D:D)</f>
        <v>New</v>
      </c>
    </row>
    <row r="784" spans="1:11" x14ac:dyDescent="0.25">
      <c r="A784" s="5" t="s">
        <v>4598</v>
      </c>
      <c r="B784" s="5" t="s">
        <v>809</v>
      </c>
      <c r="C784" s="5" t="s">
        <v>7309</v>
      </c>
      <c r="D784" s="1">
        <v>45711</v>
      </c>
      <c r="E784" s="17">
        <v>0.71736111111111101</v>
      </c>
      <c r="F784" s="5" t="s">
        <v>7305</v>
      </c>
      <c r="G784" s="12">
        <v>536</v>
      </c>
      <c r="H784" s="12">
        <v>0</v>
      </c>
      <c r="I784" s="12">
        <v>536</v>
      </c>
      <c r="J784" s="12">
        <f>SUMIF(order_item!B:B,A784,order_item!E:E)</f>
        <v>536</v>
      </c>
      <c r="K784" s="28" t="str">
        <f>_xlfn.XLOOKUP(B784,customers!A:A,customers!D:D)</f>
        <v>Regular</v>
      </c>
    </row>
    <row r="785" spans="1:11" x14ac:dyDescent="0.25">
      <c r="A785" s="5" t="s">
        <v>4594</v>
      </c>
      <c r="B785" s="5" t="s">
        <v>512</v>
      </c>
      <c r="C785" s="5" t="s">
        <v>7309</v>
      </c>
      <c r="D785" s="1">
        <v>45499</v>
      </c>
      <c r="E785" s="17">
        <v>0.8652777777777777</v>
      </c>
      <c r="F785" s="5" t="s">
        <v>7305</v>
      </c>
      <c r="G785" s="12">
        <v>376</v>
      </c>
      <c r="H785" s="12">
        <v>0</v>
      </c>
      <c r="I785" s="12">
        <v>376</v>
      </c>
      <c r="J785" s="12">
        <f>SUMIF(order_item!B:B,A785,order_item!E:E)</f>
        <v>376</v>
      </c>
      <c r="K785" s="28" t="str">
        <f>_xlfn.XLOOKUP(B785,customers!A:A,customers!D:D)</f>
        <v>Regular</v>
      </c>
    </row>
    <row r="786" spans="1:11" x14ac:dyDescent="0.25">
      <c r="A786" s="5" t="s">
        <v>4591</v>
      </c>
      <c r="B786" s="5" t="s">
        <v>396</v>
      </c>
      <c r="C786" s="5" t="s">
        <v>7309</v>
      </c>
      <c r="D786" s="1">
        <v>45672</v>
      </c>
      <c r="E786" s="17">
        <v>0.67986111111111114</v>
      </c>
      <c r="F786" s="5" t="s">
        <v>7307</v>
      </c>
      <c r="G786" s="12">
        <v>277</v>
      </c>
      <c r="H786" s="12">
        <v>13.85</v>
      </c>
      <c r="I786" s="12">
        <v>0</v>
      </c>
      <c r="J786" s="12">
        <f>SUMIF(order_item!B:B,A786,order_item!E:E)</f>
        <v>277</v>
      </c>
      <c r="K786" s="28" t="str">
        <f>_xlfn.XLOOKUP(B786,customers!A:A,customers!D:D)</f>
        <v>New</v>
      </c>
    </row>
    <row r="787" spans="1:11" x14ac:dyDescent="0.25">
      <c r="A787" s="5" t="s">
        <v>4587</v>
      </c>
      <c r="B787" s="5" t="s">
        <v>551</v>
      </c>
      <c r="C787" s="5" t="s">
        <v>7309</v>
      </c>
      <c r="D787" s="1">
        <v>45535</v>
      </c>
      <c r="E787" s="17">
        <v>0.41736111111111113</v>
      </c>
      <c r="F787" s="5" t="s">
        <v>7305</v>
      </c>
      <c r="G787" s="12">
        <v>1013</v>
      </c>
      <c r="H787" s="12">
        <v>0</v>
      </c>
      <c r="I787" s="12">
        <v>1013</v>
      </c>
      <c r="J787" s="12">
        <f>SUMIF(order_item!B:B,A787,order_item!E:E)</f>
        <v>1013</v>
      </c>
      <c r="K787" s="28" t="str">
        <f>_xlfn.XLOOKUP(B787,customers!A:A,customers!D:D)</f>
        <v>Regular</v>
      </c>
    </row>
    <row r="788" spans="1:11" x14ac:dyDescent="0.25">
      <c r="A788" s="5" t="s">
        <v>4583</v>
      </c>
      <c r="B788" s="5" t="s">
        <v>260</v>
      </c>
      <c r="C788" s="5" t="s">
        <v>7306</v>
      </c>
      <c r="D788" s="1">
        <v>45668</v>
      </c>
      <c r="E788" s="17">
        <v>0.47222222222222227</v>
      </c>
      <c r="F788" s="5" t="s">
        <v>7307</v>
      </c>
      <c r="G788" s="12">
        <v>891</v>
      </c>
      <c r="H788" s="12">
        <v>0</v>
      </c>
      <c r="I788" s="12">
        <v>0</v>
      </c>
      <c r="J788" s="12">
        <f>SUMIF(order_item!B:B,A788,order_item!E:E)</f>
        <v>891</v>
      </c>
      <c r="K788" s="28" t="str">
        <f>_xlfn.XLOOKUP(B788,customers!A:A,customers!D:D)</f>
        <v>Premium</v>
      </c>
    </row>
    <row r="789" spans="1:11" x14ac:dyDescent="0.25">
      <c r="A789" s="5" t="s">
        <v>4580</v>
      </c>
      <c r="B789" s="5" t="s">
        <v>538</v>
      </c>
      <c r="C789" s="5" t="s">
        <v>7306</v>
      </c>
      <c r="D789" s="1">
        <v>45440</v>
      </c>
      <c r="E789" s="17">
        <v>0.85486111111111107</v>
      </c>
      <c r="F789" s="5" t="s">
        <v>7305</v>
      </c>
      <c r="G789" s="12">
        <v>248</v>
      </c>
      <c r="H789" s="12">
        <v>0</v>
      </c>
      <c r="I789" s="12">
        <v>248</v>
      </c>
      <c r="J789" s="12">
        <f>SUMIF(order_item!B:B,A789,order_item!E:E)</f>
        <v>248</v>
      </c>
      <c r="K789" s="28" t="str">
        <f>_xlfn.XLOOKUP(B789,customers!A:A,customers!D:D)</f>
        <v>Regular</v>
      </c>
    </row>
    <row r="790" spans="1:11" x14ac:dyDescent="0.25">
      <c r="A790" s="5" t="s">
        <v>4577</v>
      </c>
      <c r="B790" s="5" t="s">
        <v>644</v>
      </c>
      <c r="C790" s="5" t="s">
        <v>7309</v>
      </c>
      <c r="D790" s="1">
        <v>45406</v>
      </c>
      <c r="E790" s="17">
        <v>0.875</v>
      </c>
      <c r="F790" s="5" t="s">
        <v>7305</v>
      </c>
      <c r="G790" s="12">
        <v>613</v>
      </c>
      <c r="H790" s="12">
        <v>0</v>
      </c>
      <c r="I790" s="12">
        <v>613</v>
      </c>
      <c r="J790" s="12">
        <f>SUMIF(order_item!B:B,A790,order_item!E:E)</f>
        <v>613</v>
      </c>
      <c r="K790" s="28" t="str">
        <f>_xlfn.XLOOKUP(B790,customers!A:A,customers!D:D)</f>
        <v>Regular</v>
      </c>
    </row>
    <row r="791" spans="1:11" x14ac:dyDescent="0.25">
      <c r="A791" s="5" t="s">
        <v>4573</v>
      </c>
      <c r="B791" s="5" t="s">
        <v>789</v>
      </c>
      <c r="C791" s="5" t="s">
        <v>7309</v>
      </c>
      <c r="D791" s="1">
        <v>45681</v>
      </c>
      <c r="E791" s="17">
        <v>0.85972222222222217</v>
      </c>
      <c r="F791" s="5" t="s">
        <v>7305</v>
      </c>
      <c r="G791" s="12">
        <v>614</v>
      </c>
      <c r="H791" s="12">
        <v>0</v>
      </c>
      <c r="I791" s="12">
        <v>614</v>
      </c>
      <c r="J791" s="12">
        <f>SUMIF(order_item!B:B,A791,order_item!E:E)</f>
        <v>614</v>
      </c>
      <c r="K791" s="28" t="str">
        <f>_xlfn.XLOOKUP(B791,customers!A:A,customers!D:D)</f>
        <v>New</v>
      </c>
    </row>
    <row r="792" spans="1:11" x14ac:dyDescent="0.25">
      <c r="A792" s="5" t="s">
        <v>4570</v>
      </c>
      <c r="B792" s="5" t="s">
        <v>573</v>
      </c>
      <c r="C792" s="5" t="s">
        <v>7309</v>
      </c>
      <c r="D792" s="1">
        <v>45507</v>
      </c>
      <c r="E792" s="17">
        <v>0.90833333333333333</v>
      </c>
      <c r="F792" s="5" t="s">
        <v>7305</v>
      </c>
      <c r="G792" s="12">
        <v>188</v>
      </c>
      <c r="H792" s="12">
        <v>0</v>
      </c>
      <c r="I792" s="12">
        <v>188</v>
      </c>
      <c r="J792" s="12">
        <f>SUMIF(order_item!B:B,A792,order_item!E:E)</f>
        <v>188</v>
      </c>
      <c r="K792" s="28" t="str">
        <f>_xlfn.XLOOKUP(B792,customers!A:A,customers!D:D)</f>
        <v>Regular</v>
      </c>
    </row>
    <row r="793" spans="1:11" x14ac:dyDescent="0.25">
      <c r="A793" s="5" t="s">
        <v>4565</v>
      </c>
      <c r="B793" s="5" t="s">
        <v>669</v>
      </c>
      <c r="C793" s="5" t="s">
        <v>7309</v>
      </c>
      <c r="D793" s="1">
        <v>45567</v>
      </c>
      <c r="E793" s="17">
        <v>0.8534722222222223</v>
      </c>
      <c r="F793" s="5" t="s">
        <v>7305</v>
      </c>
      <c r="G793" s="12">
        <v>713</v>
      </c>
      <c r="H793" s="12">
        <v>0</v>
      </c>
      <c r="I793" s="12">
        <v>713</v>
      </c>
      <c r="J793" s="12">
        <f>SUMIF(order_item!B:B,A793,order_item!E:E)</f>
        <v>713</v>
      </c>
      <c r="K793" s="28" t="str">
        <f>_xlfn.XLOOKUP(B793,customers!A:A,customers!D:D)</f>
        <v>Regular</v>
      </c>
    </row>
    <row r="794" spans="1:11" x14ac:dyDescent="0.25">
      <c r="A794" s="5" t="s">
        <v>4563</v>
      </c>
      <c r="B794" s="5" t="s">
        <v>671</v>
      </c>
      <c r="C794" s="5" t="s">
        <v>7309</v>
      </c>
      <c r="D794" s="1">
        <v>45544</v>
      </c>
      <c r="E794" s="17">
        <v>0.69513888888888886</v>
      </c>
      <c r="F794" s="5" t="s">
        <v>7305</v>
      </c>
      <c r="G794" s="12">
        <v>159</v>
      </c>
      <c r="H794" s="12">
        <v>7.95</v>
      </c>
      <c r="I794" s="12">
        <v>151.05000000000001</v>
      </c>
      <c r="J794" s="12">
        <f>SUMIF(order_item!B:B,A794,order_item!E:E)</f>
        <v>159</v>
      </c>
      <c r="K794" s="28" t="str">
        <f>_xlfn.XLOOKUP(B794,customers!A:A,customers!D:D)</f>
        <v>Regular</v>
      </c>
    </row>
    <row r="795" spans="1:11" x14ac:dyDescent="0.25">
      <c r="A795" s="5" t="s">
        <v>4560</v>
      </c>
      <c r="B795" s="5" t="s">
        <v>709</v>
      </c>
      <c r="C795" s="5" t="s">
        <v>7309</v>
      </c>
      <c r="D795" s="1">
        <v>45437</v>
      </c>
      <c r="E795" s="17">
        <v>0.73958333333333337</v>
      </c>
      <c r="F795" s="5" t="s">
        <v>7305</v>
      </c>
      <c r="G795" s="12">
        <v>436</v>
      </c>
      <c r="H795" s="12">
        <v>0</v>
      </c>
      <c r="I795" s="12">
        <v>436</v>
      </c>
      <c r="J795" s="12">
        <f>SUMIF(order_item!B:B,A795,order_item!E:E)</f>
        <v>436</v>
      </c>
      <c r="K795" s="28" t="str">
        <f>_xlfn.XLOOKUP(B795,customers!A:A,customers!D:D)</f>
        <v>Regular</v>
      </c>
    </row>
    <row r="796" spans="1:11" x14ac:dyDescent="0.25">
      <c r="A796" s="5" t="s">
        <v>4557</v>
      </c>
      <c r="B796" s="5" t="s">
        <v>220</v>
      </c>
      <c r="C796" s="5" t="s">
        <v>7309</v>
      </c>
      <c r="D796" s="1">
        <v>45621</v>
      </c>
      <c r="E796" s="17">
        <v>0.73263888888888884</v>
      </c>
      <c r="F796" s="5" t="s">
        <v>7305</v>
      </c>
      <c r="G796" s="12">
        <v>288</v>
      </c>
      <c r="H796" s="12">
        <v>0</v>
      </c>
      <c r="I796" s="12">
        <v>288</v>
      </c>
      <c r="J796" s="12">
        <f>SUMIF(order_item!B:B,A796,order_item!E:E)</f>
        <v>288</v>
      </c>
      <c r="K796" s="28" t="str">
        <f>_xlfn.XLOOKUP(B796,customers!A:A,customers!D:D)</f>
        <v>Regular</v>
      </c>
    </row>
    <row r="797" spans="1:11" x14ac:dyDescent="0.25">
      <c r="A797" s="5" t="s">
        <v>4552</v>
      </c>
      <c r="B797" s="5" t="s">
        <v>524</v>
      </c>
      <c r="C797" s="5" t="s">
        <v>7309</v>
      </c>
      <c r="D797" s="1">
        <v>45392</v>
      </c>
      <c r="E797" s="17">
        <v>0.8847222222222223</v>
      </c>
      <c r="F797" s="5" t="s">
        <v>7305</v>
      </c>
      <c r="G797" s="12">
        <v>464</v>
      </c>
      <c r="H797" s="12">
        <v>23.2</v>
      </c>
      <c r="I797" s="12">
        <v>440.8</v>
      </c>
      <c r="J797" s="12">
        <f>SUMIF(order_item!B:B,A797,order_item!E:E)</f>
        <v>464</v>
      </c>
      <c r="K797" s="28" t="str">
        <f>_xlfn.XLOOKUP(B797,customers!A:A,customers!D:D)</f>
        <v>New</v>
      </c>
    </row>
    <row r="798" spans="1:11" x14ac:dyDescent="0.25">
      <c r="A798" s="5" t="s">
        <v>4549</v>
      </c>
      <c r="B798" s="5" t="s">
        <v>843</v>
      </c>
      <c r="C798" s="5" t="s">
        <v>7309</v>
      </c>
      <c r="D798" s="1">
        <v>45630</v>
      </c>
      <c r="E798" s="17">
        <v>0.96111111111111114</v>
      </c>
      <c r="F798" s="5" t="s">
        <v>7305</v>
      </c>
      <c r="G798" s="12">
        <v>675</v>
      </c>
      <c r="H798" s="12">
        <v>0</v>
      </c>
      <c r="I798" s="12">
        <v>675</v>
      </c>
      <c r="J798" s="12">
        <f>SUMIF(order_item!B:B,A798,order_item!E:E)</f>
        <v>675</v>
      </c>
      <c r="K798" s="28" t="str">
        <f>_xlfn.XLOOKUP(B798,customers!A:A,customers!D:D)</f>
        <v>Regular</v>
      </c>
    </row>
    <row r="799" spans="1:11" x14ac:dyDescent="0.25">
      <c r="A799" s="5" t="s">
        <v>4545</v>
      </c>
      <c r="B799" s="5" t="s">
        <v>862</v>
      </c>
      <c r="C799" s="5" t="s">
        <v>7308</v>
      </c>
      <c r="D799" s="1">
        <v>45682</v>
      </c>
      <c r="E799" s="17">
        <v>0.7319444444444444</v>
      </c>
      <c r="F799" s="5" t="s">
        <v>7305</v>
      </c>
      <c r="G799" s="12">
        <v>426</v>
      </c>
      <c r="H799" s="12">
        <v>0</v>
      </c>
      <c r="I799" s="12">
        <v>426</v>
      </c>
      <c r="J799" s="12">
        <f>SUMIF(order_item!B:B,A799,order_item!E:E)</f>
        <v>426</v>
      </c>
      <c r="K799" s="28" t="str">
        <f>_xlfn.XLOOKUP(B799,customers!A:A,customers!D:D)</f>
        <v>Regular</v>
      </c>
    </row>
    <row r="800" spans="1:11" x14ac:dyDescent="0.25">
      <c r="A800" s="5" t="s">
        <v>4542</v>
      </c>
      <c r="B800" s="5" t="s">
        <v>422</v>
      </c>
      <c r="C800" s="5" t="s">
        <v>7308</v>
      </c>
      <c r="D800" s="1">
        <v>45429</v>
      </c>
      <c r="E800" s="17">
        <v>0.68611111111111101</v>
      </c>
      <c r="F800" s="5" t="s">
        <v>7305</v>
      </c>
      <c r="G800" s="12">
        <v>435</v>
      </c>
      <c r="H800" s="12">
        <v>0</v>
      </c>
      <c r="I800" s="12">
        <v>435</v>
      </c>
      <c r="J800" s="12">
        <f>SUMIF(order_item!B:B,A800,order_item!E:E)</f>
        <v>435</v>
      </c>
      <c r="K800" s="28" t="str">
        <f>_xlfn.XLOOKUP(B800,customers!A:A,customers!D:D)</f>
        <v>Regular</v>
      </c>
    </row>
    <row r="801" spans="1:11" x14ac:dyDescent="0.25">
      <c r="A801" s="5" t="s">
        <v>4539</v>
      </c>
      <c r="B801" s="5" t="s">
        <v>347</v>
      </c>
      <c r="C801" s="5" t="s">
        <v>7306</v>
      </c>
      <c r="D801" s="1">
        <v>45656</v>
      </c>
      <c r="E801" s="17">
        <v>0.57847222222222217</v>
      </c>
      <c r="F801" s="5" t="s">
        <v>7305</v>
      </c>
      <c r="G801" s="12">
        <v>793</v>
      </c>
      <c r="H801" s="12">
        <v>0</v>
      </c>
      <c r="I801" s="12">
        <v>793</v>
      </c>
      <c r="J801" s="12">
        <f>SUMIF(order_item!B:B,A801,order_item!E:E)</f>
        <v>793</v>
      </c>
      <c r="K801" s="28" t="str">
        <f>_xlfn.XLOOKUP(B801,customers!A:A,customers!D:D)</f>
        <v>Regular</v>
      </c>
    </row>
    <row r="802" spans="1:11" x14ac:dyDescent="0.25">
      <c r="A802" s="5" t="s">
        <v>4536</v>
      </c>
      <c r="B802" s="5" t="s">
        <v>640</v>
      </c>
      <c r="C802" s="5" t="s">
        <v>7309</v>
      </c>
      <c r="D802" s="1">
        <v>45392</v>
      </c>
      <c r="E802" s="17">
        <v>0.74652777777777779</v>
      </c>
      <c r="F802" s="5" t="s">
        <v>7305</v>
      </c>
      <c r="G802" s="12">
        <v>774</v>
      </c>
      <c r="H802" s="12">
        <v>77.400000000000006</v>
      </c>
      <c r="I802" s="12">
        <v>696.6</v>
      </c>
      <c r="J802" s="12">
        <f>SUMIF(order_item!B:B,A802,order_item!E:E)</f>
        <v>774</v>
      </c>
      <c r="K802" s="28" t="str">
        <f>_xlfn.XLOOKUP(B802,customers!A:A,customers!D:D)</f>
        <v>Regular</v>
      </c>
    </row>
    <row r="803" spans="1:11" x14ac:dyDescent="0.25">
      <c r="A803" s="5" t="s">
        <v>4533</v>
      </c>
      <c r="B803" s="5" t="s">
        <v>411</v>
      </c>
      <c r="C803" s="5" t="s">
        <v>7309</v>
      </c>
      <c r="D803" s="1">
        <v>45669</v>
      </c>
      <c r="E803" s="17">
        <v>0.50277777777777777</v>
      </c>
      <c r="F803" s="5" t="s">
        <v>7305</v>
      </c>
      <c r="G803" s="12">
        <v>218</v>
      </c>
      <c r="H803" s="12">
        <v>0</v>
      </c>
      <c r="I803" s="12">
        <v>218</v>
      </c>
      <c r="J803" s="12">
        <f>SUMIF(order_item!B:B,A803,order_item!E:E)</f>
        <v>218</v>
      </c>
      <c r="K803" s="28" t="str">
        <f>_xlfn.XLOOKUP(B803,customers!A:A,customers!D:D)</f>
        <v>New</v>
      </c>
    </row>
    <row r="804" spans="1:11" x14ac:dyDescent="0.25">
      <c r="A804" s="5" t="s">
        <v>4530</v>
      </c>
      <c r="B804" s="5" t="s">
        <v>741</v>
      </c>
      <c r="C804" s="5" t="s">
        <v>7308</v>
      </c>
      <c r="D804" s="1">
        <v>45444</v>
      </c>
      <c r="E804" s="17">
        <v>0.7368055555555556</v>
      </c>
      <c r="F804" s="5" t="s">
        <v>7305</v>
      </c>
      <c r="G804" s="12">
        <v>238</v>
      </c>
      <c r="H804" s="12">
        <v>23.8</v>
      </c>
      <c r="I804" s="12">
        <v>214.2</v>
      </c>
      <c r="J804" s="12">
        <f>SUMIF(order_item!B:B,A804,order_item!E:E)</f>
        <v>238</v>
      </c>
      <c r="K804" s="28" t="str">
        <f>_xlfn.XLOOKUP(B804,customers!A:A,customers!D:D)</f>
        <v>Premium</v>
      </c>
    </row>
    <row r="805" spans="1:11" x14ac:dyDescent="0.25">
      <c r="A805" s="5" t="s">
        <v>4527</v>
      </c>
      <c r="B805" s="5" t="s">
        <v>112</v>
      </c>
      <c r="C805" s="5" t="s">
        <v>7306</v>
      </c>
      <c r="D805" s="1">
        <v>45721</v>
      </c>
      <c r="E805" s="17">
        <v>0.50486111111111109</v>
      </c>
      <c r="F805" s="5" t="s">
        <v>7305</v>
      </c>
      <c r="G805" s="12">
        <v>794</v>
      </c>
      <c r="H805" s="12">
        <v>0</v>
      </c>
      <c r="I805" s="12">
        <v>794</v>
      </c>
      <c r="J805" s="12">
        <f>SUMIF(order_item!B:B,A805,order_item!E:E)</f>
        <v>794</v>
      </c>
      <c r="K805" s="28" t="str">
        <f>_xlfn.XLOOKUP(B805,customers!A:A,customers!D:D)</f>
        <v>Regular</v>
      </c>
    </row>
    <row r="806" spans="1:11" x14ac:dyDescent="0.25">
      <c r="A806" s="5" t="s">
        <v>4525</v>
      </c>
      <c r="B806" s="5" t="s">
        <v>828</v>
      </c>
      <c r="C806" s="5" t="s">
        <v>7306</v>
      </c>
      <c r="D806" s="1">
        <v>45496</v>
      </c>
      <c r="E806" s="17">
        <v>0.85416666666666663</v>
      </c>
      <c r="F806" s="5" t="s">
        <v>7305</v>
      </c>
      <c r="G806" s="12">
        <v>149</v>
      </c>
      <c r="H806" s="12">
        <v>14.9</v>
      </c>
      <c r="I806" s="12">
        <v>134.1</v>
      </c>
      <c r="J806" s="12">
        <f>SUMIF(order_item!B:B,A806,order_item!E:E)</f>
        <v>149</v>
      </c>
      <c r="K806" s="28" t="str">
        <f>_xlfn.XLOOKUP(B806,customers!A:A,customers!D:D)</f>
        <v>Regular</v>
      </c>
    </row>
    <row r="807" spans="1:11" x14ac:dyDescent="0.25">
      <c r="A807" s="5" t="s">
        <v>4521</v>
      </c>
      <c r="B807" s="5" t="s">
        <v>445</v>
      </c>
      <c r="C807" s="5" t="s">
        <v>7308</v>
      </c>
      <c r="D807" s="1">
        <v>45559</v>
      </c>
      <c r="E807" s="17">
        <v>0.70833333333333337</v>
      </c>
      <c r="F807" s="5" t="s">
        <v>7305</v>
      </c>
      <c r="G807" s="12">
        <v>832</v>
      </c>
      <c r="H807" s="12">
        <v>0</v>
      </c>
      <c r="I807" s="12">
        <v>832</v>
      </c>
      <c r="J807" s="12">
        <f>SUMIF(order_item!B:B,A807,order_item!E:E)</f>
        <v>832</v>
      </c>
      <c r="K807" s="28" t="str">
        <f>_xlfn.XLOOKUP(B807,customers!A:A,customers!D:D)</f>
        <v>Regular</v>
      </c>
    </row>
    <row r="808" spans="1:11" x14ac:dyDescent="0.25">
      <c r="A808" s="5" t="s">
        <v>4516</v>
      </c>
      <c r="B808" s="5" t="s">
        <v>455</v>
      </c>
      <c r="C808" s="5" t="s">
        <v>7306</v>
      </c>
      <c r="D808" s="1">
        <v>45675</v>
      </c>
      <c r="E808" s="17">
        <v>0.41319444444444442</v>
      </c>
      <c r="F808" s="5" t="s">
        <v>7305</v>
      </c>
      <c r="G808" s="12">
        <v>853</v>
      </c>
      <c r="H808" s="12">
        <v>0</v>
      </c>
      <c r="I808" s="12">
        <v>853</v>
      </c>
      <c r="J808" s="12">
        <f>SUMIF(order_item!B:B,A808,order_item!E:E)</f>
        <v>853</v>
      </c>
      <c r="K808" s="28" t="str">
        <f>_xlfn.XLOOKUP(B808,customers!A:A,customers!D:D)</f>
        <v>Regular</v>
      </c>
    </row>
    <row r="809" spans="1:11" x14ac:dyDescent="0.25">
      <c r="A809" s="5" t="s">
        <v>4513</v>
      </c>
      <c r="B809" s="5" t="s">
        <v>770</v>
      </c>
      <c r="C809" s="5" t="s">
        <v>7309</v>
      </c>
      <c r="D809" s="1">
        <v>45626</v>
      </c>
      <c r="E809" s="17">
        <v>0.8569444444444444</v>
      </c>
      <c r="F809" s="5" t="s">
        <v>7305</v>
      </c>
      <c r="G809" s="12">
        <v>188</v>
      </c>
      <c r="H809" s="12">
        <v>18.8</v>
      </c>
      <c r="I809" s="12">
        <v>169.2</v>
      </c>
      <c r="J809" s="12">
        <f>SUMIF(order_item!B:B,A809,order_item!E:E)</f>
        <v>188</v>
      </c>
      <c r="K809" s="28" t="str">
        <f>_xlfn.XLOOKUP(B809,customers!A:A,customers!D:D)</f>
        <v>Regular</v>
      </c>
    </row>
    <row r="810" spans="1:11" x14ac:dyDescent="0.25">
      <c r="A810" s="5" t="s">
        <v>4508</v>
      </c>
      <c r="B810" s="5" t="s">
        <v>422</v>
      </c>
      <c r="C810" s="5" t="s">
        <v>7309</v>
      </c>
      <c r="D810" s="1">
        <v>45632</v>
      </c>
      <c r="E810" s="17">
        <v>0.79513888888888884</v>
      </c>
      <c r="F810" s="5" t="s">
        <v>7305</v>
      </c>
      <c r="G810" s="12">
        <v>1726</v>
      </c>
      <c r="H810" s="12">
        <v>172.6</v>
      </c>
      <c r="I810" s="12">
        <v>1553.4</v>
      </c>
      <c r="J810" s="12">
        <f>SUMIF(order_item!B:B,A810,order_item!E:E)</f>
        <v>1726</v>
      </c>
      <c r="K810" s="28" t="str">
        <f>_xlfn.XLOOKUP(B810,customers!A:A,customers!D:D)</f>
        <v>Regular</v>
      </c>
    </row>
    <row r="811" spans="1:11" x14ac:dyDescent="0.25">
      <c r="A811" s="5" t="s">
        <v>4506</v>
      </c>
      <c r="B811" s="5" t="s">
        <v>246</v>
      </c>
      <c r="C811" s="5" t="s">
        <v>7306</v>
      </c>
      <c r="D811" s="1">
        <v>45592</v>
      </c>
      <c r="E811" s="17">
        <v>0.49583333333333335</v>
      </c>
      <c r="F811" s="5" t="s">
        <v>7305</v>
      </c>
      <c r="G811" s="12">
        <v>69</v>
      </c>
      <c r="H811" s="12">
        <v>0</v>
      </c>
      <c r="I811" s="12">
        <v>69</v>
      </c>
      <c r="J811" s="12">
        <f>SUMIF(order_item!B:B,A811,order_item!E:E)</f>
        <v>69</v>
      </c>
      <c r="K811" s="28" t="str">
        <f>_xlfn.XLOOKUP(B811,customers!A:A,customers!D:D)</f>
        <v>Premium</v>
      </c>
    </row>
    <row r="812" spans="1:11" x14ac:dyDescent="0.25">
      <c r="A812" s="5" t="s">
        <v>4502</v>
      </c>
      <c r="B812" s="5" t="s">
        <v>94</v>
      </c>
      <c r="C812" s="5" t="s">
        <v>7306</v>
      </c>
      <c r="D812" s="1">
        <v>45399</v>
      </c>
      <c r="E812" s="17">
        <v>0.6777777777777777</v>
      </c>
      <c r="F812" s="5" t="s">
        <v>7305</v>
      </c>
      <c r="G812" s="12">
        <v>952</v>
      </c>
      <c r="H812" s="12">
        <v>0</v>
      </c>
      <c r="I812" s="12">
        <v>952</v>
      </c>
      <c r="J812" s="12">
        <f>SUMIF(order_item!B:B,A812,order_item!E:E)</f>
        <v>952</v>
      </c>
      <c r="K812" s="28" t="str">
        <f>_xlfn.XLOOKUP(B812,customers!A:A,customers!D:D)</f>
        <v>Premium</v>
      </c>
    </row>
    <row r="813" spans="1:11" x14ac:dyDescent="0.25">
      <c r="A813" s="5" t="s">
        <v>4498</v>
      </c>
      <c r="B813" s="5" t="s">
        <v>584</v>
      </c>
      <c r="C813" s="5" t="s">
        <v>7306</v>
      </c>
      <c r="D813" s="1">
        <v>45678</v>
      </c>
      <c r="E813" s="17">
        <v>0.78263888888888899</v>
      </c>
      <c r="F813" s="5" t="s">
        <v>7305</v>
      </c>
      <c r="G813" s="12">
        <v>615</v>
      </c>
      <c r="H813" s="12">
        <v>0</v>
      </c>
      <c r="I813" s="12">
        <v>615</v>
      </c>
      <c r="J813" s="12">
        <f>SUMIF(order_item!B:B,A813,order_item!E:E)</f>
        <v>615</v>
      </c>
      <c r="K813" s="28" t="str">
        <f>_xlfn.XLOOKUP(B813,customers!A:A,customers!D:D)</f>
        <v>Regular</v>
      </c>
    </row>
    <row r="814" spans="1:11" x14ac:dyDescent="0.25">
      <c r="A814" s="5" t="s">
        <v>4493</v>
      </c>
      <c r="B814" s="5" t="s">
        <v>70</v>
      </c>
      <c r="C814" s="5" t="s">
        <v>7309</v>
      </c>
      <c r="D814" s="1">
        <v>45424</v>
      </c>
      <c r="E814" s="17">
        <v>0.6972222222222223</v>
      </c>
      <c r="F814" s="5" t="s">
        <v>7305</v>
      </c>
      <c r="G814" s="12">
        <v>514</v>
      </c>
      <c r="H814" s="12">
        <v>51.4</v>
      </c>
      <c r="I814" s="12">
        <v>462.6</v>
      </c>
      <c r="J814" s="12">
        <f>SUMIF(order_item!B:B,A814,order_item!E:E)</f>
        <v>514</v>
      </c>
      <c r="K814" s="28" t="str">
        <f>_xlfn.XLOOKUP(B814,customers!A:A,customers!D:D)</f>
        <v>Regular</v>
      </c>
    </row>
    <row r="815" spans="1:11" x14ac:dyDescent="0.25">
      <c r="A815" s="5" t="s">
        <v>4490</v>
      </c>
      <c r="B815" s="5" t="s">
        <v>588</v>
      </c>
      <c r="C815" s="5" t="s">
        <v>7309</v>
      </c>
      <c r="D815" s="1">
        <v>45566</v>
      </c>
      <c r="E815" s="17">
        <v>0.77916666666666667</v>
      </c>
      <c r="F815" s="5" t="s">
        <v>7305</v>
      </c>
      <c r="G815" s="12">
        <v>296</v>
      </c>
      <c r="H815" s="12">
        <v>0</v>
      </c>
      <c r="I815" s="12">
        <v>296</v>
      </c>
      <c r="J815" s="12">
        <f>SUMIF(order_item!B:B,A815,order_item!E:E)</f>
        <v>296</v>
      </c>
      <c r="K815" s="28" t="str">
        <f>_xlfn.XLOOKUP(B815,customers!A:A,customers!D:D)</f>
        <v>Premium</v>
      </c>
    </row>
    <row r="816" spans="1:11" x14ac:dyDescent="0.25">
      <c r="A816" s="5" t="s">
        <v>4485</v>
      </c>
      <c r="B816" s="5" t="s">
        <v>649</v>
      </c>
      <c r="C816" s="5" t="s">
        <v>7309</v>
      </c>
      <c r="D816" s="1">
        <v>45399</v>
      </c>
      <c r="E816" s="17">
        <v>0.68819444444444444</v>
      </c>
      <c r="F816" s="5" t="s">
        <v>7305</v>
      </c>
      <c r="G816" s="12">
        <v>950</v>
      </c>
      <c r="H816" s="12">
        <v>47.5</v>
      </c>
      <c r="I816" s="12">
        <v>902.5</v>
      </c>
      <c r="J816" s="12">
        <f>SUMIF(order_item!B:B,A816,order_item!E:E)</f>
        <v>950</v>
      </c>
      <c r="K816" s="28" t="str">
        <f>_xlfn.XLOOKUP(B816,customers!A:A,customers!D:D)</f>
        <v>Regular</v>
      </c>
    </row>
    <row r="817" spans="1:11" x14ac:dyDescent="0.25">
      <c r="A817" s="5" t="s">
        <v>4481</v>
      </c>
      <c r="B817" s="5" t="s">
        <v>694</v>
      </c>
      <c r="C817" s="5" t="s">
        <v>7306</v>
      </c>
      <c r="D817" s="1">
        <v>45539</v>
      </c>
      <c r="E817" s="17">
        <v>0.4375</v>
      </c>
      <c r="F817" s="5" t="s">
        <v>7305</v>
      </c>
      <c r="G817" s="12">
        <v>1231</v>
      </c>
      <c r="H817" s="12">
        <v>123.1</v>
      </c>
      <c r="I817" s="12">
        <v>1107.9000000000001</v>
      </c>
      <c r="J817" s="12">
        <f>SUMIF(order_item!B:B,A817,order_item!E:E)</f>
        <v>1231</v>
      </c>
      <c r="K817" s="28" t="str">
        <f>_xlfn.XLOOKUP(B817,customers!A:A,customers!D:D)</f>
        <v>Regular</v>
      </c>
    </row>
    <row r="818" spans="1:11" x14ac:dyDescent="0.25">
      <c r="A818" s="5" t="s">
        <v>4477</v>
      </c>
      <c r="B818" s="5" t="s">
        <v>412</v>
      </c>
      <c r="C818" s="5" t="s">
        <v>7309</v>
      </c>
      <c r="D818" s="1">
        <v>45596</v>
      </c>
      <c r="E818" s="17">
        <v>0.92569444444444438</v>
      </c>
      <c r="F818" s="5" t="s">
        <v>7305</v>
      </c>
      <c r="G818" s="12">
        <v>377</v>
      </c>
      <c r="H818" s="12">
        <v>0</v>
      </c>
      <c r="I818" s="12">
        <v>377</v>
      </c>
      <c r="J818" s="12">
        <f>SUMIF(order_item!B:B,A818,order_item!E:E)</f>
        <v>377</v>
      </c>
      <c r="K818" s="28" t="str">
        <f>_xlfn.XLOOKUP(B818,customers!A:A,customers!D:D)</f>
        <v>Regular</v>
      </c>
    </row>
    <row r="819" spans="1:11" x14ac:dyDescent="0.25">
      <c r="A819" s="5" t="s">
        <v>4474</v>
      </c>
      <c r="B819" s="5" t="s">
        <v>694</v>
      </c>
      <c r="C819" s="5" t="s">
        <v>7306</v>
      </c>
      <c r="D819" s="1">
        <v>45671</v>
      </c>
      <c r="E819" s="17">
        <v>0.87708333333333333</v>
      </c>
      <c r="F819" s="5" t="s">
        <v>7305</v>
      </c>
      <c r="G819" s="12">
        <v>397</v>
      </c>
      <c r="H819" s="12">
        <v>0</v>
      </c>
      <c r="I819" s="12">
        <v>397</v>
      </c>
      <c r="J819" s="12">
        <f>SUMIF(order_item!B:B,A819,order_item!E:E)</f>
        <v>397</v>
      </c>
      <c r="K819" s="28" t="str">
        <f>_xlfn.XLOOKUP(B819,customers!A:A,customers!D:D)</f>
        <v>Regular</v>
      </c>
    </row>
    <row r="820" spans="1:11" x14ac:dyDescent="0.25">
      <c r="A820" s="5" t="s">
        <v>4470</v>
      </c>
      <c r="B820" s="5" t="s">
        <v>523</v>
      </c>
      <c r="C820" s="5" t="s">
        <v>7309</v>
      </c>
      <c r="D820" s="1">
        <v>45634</v>
      </c>
      <c r="E820" s="17">
        <v>0.42499999999999999</v>
      </c>
      <c r="F820" s="5" t="s">
        <v>7305</v>
      </c>
      <c r="G820" s="12">
        <v>327</v>
      </c>
      <c r="H820" s="12">
        <v>0</v>
      </c>
      <c r="I820" s="12">
        <v>327</v>
      </c>
      <c r="J820" s="12">
        <f>SUMIF(order_item!B:B,A820,order_item!E:E)</f>
        <v>327</v>
      </c>
      <c r="K820" s="28" t="str">
        <f>_xlfn.XLOOKUP(B820,customers!A:A,customers!D:D)</f>
        <v>Regular</v>
      </c>
    </row>
    <row r="821" spans="1:11" x14ac:dyDescent="0.25">
      <c r="A821" s="5" t="s">
        <v>4467</v>
      </c>
      <c r="B821" s="5" t="s">
        <v>338</v>
      </c>
      <c r="C821" s="5" t="s">
        <v>7308</v>
      </c>
      <c r="D821" s="1">
        <v>45688</v>
      </c>
      <c r="E821" s="17">
        <v>0.82708333333333339</v>
      </c>
      <c r="F821" s="5" t="s">
        <v>7305</v>
      </c>
      <c r="G821" s="12">
        <v>247</v>
      </c>
      <c r="H821" s="12">
        <v>24.7</v>
      </c>
      <c r="I821" s="12">
        <v>222.3</v>
      </c>
      <c r="J821" s="12">
        <f>SUMIF(order_item!B:B,A821,order_item!E:E)</f>
        <v>247</v>
      </c>
      <c r="K821" s="28" t="str">
        <f>_xlfn.XLOOKUP(B821,customers!A:A,customers!D:D)</f>
        <v>Premium</v>
      </c>
    </row>
    <row r="822" spans="1:11" x14ac:dyDescent="0.25">
      <c r="A822" s="5" t="s">
        <v>4465</v>
      </c>
      <c r="B822" s="5" t="s">
        <v>488</v>
      </c>
      <c r="C822" s="5" t="s">
        <v>7308</v>
      </c>
      <c r="D822" s="1">
        <v>45534</v>
      </c>
      <c r="E822" s="17">
        <v>0.40625</v>
      </c>
      <c r="F822" s="5" t="s">
        <v>7305</v>
      </c>
      <c r="G822" s="12">
        <v>119</v>
      </c>
      <c r="H822" s="12">
        <v>0</v>
      </c>
      <c r="I822" s="12">
        <v>119</v>
      </c>
      <c r="J822" s="12">
        <f>SUMIF(order_item!B:B,A822,order_item!E:E)</f>
        <v>119</v>
      </c>
      <c r="K822" s="28" t="str">
        <f>_xlfn.XLOOKUP(B822,customers!A:A,customers!D:D)</f>
        <v>Regular</v>
      </c>
    </row>
    <row r="823" spans="1:11" x14ac:dyDescent="0.25">
      <c r="A823" s="5" t="s">
        <v>4462</v>
      </c>
      <c r="B823" s="5" t="s">
        <v>73</v>
      </c>
      <c r="C823" s="5" t="s">
        <v>7306</v>
      </c>
      <c r="D823" s="1">
        <v>45555</v>
      </c>
      <c r="E823" s="17">
        <v>0.78888888888888886</v>
      </c>
      <c r="F823" s="5" t="s">
        <v>7305</v>
      </c>
      <c r="G823" s="12">
        <v>178</v>
      </c>
      <c r="H823" s="12">
        <v>8.9</v>
      </c>
      <c r="I823" s="12">
        <v>169.1</v>
      </c>
      <c r="J823" s="12">
        <f>SUMIF(order_item!B:B,A823,order_item!E:E)</f>
        <v>178</v>
      </c>
      <c r="K823" s="28" t="str">
        <f>_xlfn.XLOOKUP(B823,customers!A:A,customers!D:D)</f>
        <v>Regular</v>
      </c>
    </row>
    <row r="824" spans="1:11" x14ac:dyDescent="0.25">
      <c r="A824" s="5" t="s">
        <v>4458</v>
      </c>
      <c r="B824" s="5" t="s">
        <v>460</v>
      </c>
      <c r="C824" s="5" t="s">
        <v>7309</v>
      </c>
      <c r="D824" s="1">
        <v>45628</v>
      </c>
      <c r="E824" s="17">
        <v>0.84930555555555554</v>
      </c>
      <c r="F824" s="5" t="s">
        <v>7305</v>
      </c>
      <c r="G824" s="12">
        <v>465</v>
      </c>
      <c r="H824" s="12">
        <v>0</v>
      </c>
      <c r="I824" s="12">
        <v>465</v>
      </c>
      <c r="J824" s="12">
        <f>SUMIF(order_item!B:B,A824,order_item!E:E)</f>
        <v>465</v>
      </c>
      <c r="K824" s="28" t="str">
        <f>_xlfn.XLOOKUP(B824,customers!A:A,customers!D:D)</f>
        <v>Regular</v>
      </c>
    </row>
    <row r="825" spans="1:11" x14ac:dyDescent="0.25">
      <c r="A825" s="5" t="s">
        <v>4453</v>
      </c>
      <c r="B825" s="5" t="s">
        <v>683</v>
      </c>
      <c r="C825" s="5" t="s">
        <v>7306</v>
      </c>
      <c r="D825" s="1">
        <v>45583</v>
      </c>
      <c r="E825" s="17">
        <v>0.86249999999999993</v>
      </c>
      <c r="F825" s="5" t="s">
        <v>7305</v>
      </c>
      <c r="G825" s="12">
        <v>654</v>
      </c>
      <c r="H825" s="12">
        <v>0</v>
      </c>
      <c r="I825" s="12">
        <v>654</v>
      </c>
      <c r="J825" s="12">
        <f>SUMIF(order_item!B:B,A825,order_item!E:E)</f>
        <v>654</v>
      </c>
      <c r="K825" s="28" t="str">
        <f>_xlfn.XLOOKUP(B825,customers!A:A,customers!D:D)</f>
        <v>Premium</v>
      </c>
    </row>
    <row r="826" spans="1:11" x14ac:dyDescent="0.25">
      <c r="A826" s="5" t="s">
        <v>4448</v>
      </c>
      <c r="B826" s="5" t="s">
        <v>369</v>
      </c>
      <c r="C826" s="5" t="s">
        <v>7309</v>
      </c>
      <c r="D826" s="1">
        <v>45619</v>
      </c>
      <c r="E826" s="17">
        <v>0.67291666666666661</v>
      </c>
      <c r="F826" s="5" t="s">
        <v>7305</v>
      </c>
      <c r="G826" s="12">
        <v>862</v>
      </c>
      <c r="H826" s="12">
        <v>0</v>
      </c>
      <c r="I826" s="12">
        <v>862</v>
      </c>
      <c r="J826" s="12">
        <f>SUMIF(order_item!B:B,A826,order_item!E:E)</f>
        <v>862</v>
      </c>
      <c r="K826" s="28" t="str">
        <f>_xlfn.XLOOKUP(B826,customers!A:A,customers!D:D)</f>
        <v>Premium</v>
      </c>
    </row>
    <row r="827" spans="1:11" x14ac:dyDescent="0.25">
      <c r="A827" s="5" t="s">
        <v>4445</v>
      </c>
      <c r="B827" s="5" t="s">
        <v>171</v>
      </c>
      <c r="C827" s="5" t="s">
        <v>7309</v>
      </c>
      <c r="D827" s="1">
        <v>45492</v>
      </c>
      <c r="E827" s="17">
        <v>0.79305555555555562</v>
      </c>
      <c r="F827" s="5" t="s">
        <v>7305</v>
      </c>
      <c r="G827" s="12">
        <v>566</v>
      </c>
      <c r="H827" s="12">
        <v>0</v>
      </c>
      <c r="I827" s="12">
        <v>566</v>
      </c>
      <c r="J827" s="12">
        <f>SUMIF(order_item!B:B,A827,order_item!E:E)</f>
        <v>566</v>
      </c>
      <c r="K827" s="28" t="str">
        <f>_xlfn.XLOOKUP(B827,customers!A:A,customers!D:D)</f>
        <v>New</v>
      </c>
    </row>
    <row r="828" spans="1:11" x14ac:dyDescent="0.25">
      <c r="A828" s="5" t="s">
        <v>4441</v>
      </c>
      <c r="B828" s="5" t="s">
        <v>584</v>
      </c>
      <c r="C828" s="5" t="s">
        <v>7306</v>
      </c>
      <c r="D828" s="1">
        <v>45712</v>
      </c>
      <c r="E828" s="17">
        <v>0.87222222222222223</v>
      </c>
      <c r="F828" s="5" t="s">
        <v>7305</v>
      </c>
      <c r="G828" s="12">
        <v>357</v>
      </c>
      <c r="H828" s="12">
        <v>0</v>
      </c>
      <c r="I828" s="12">
        <v>357</v>
      </c>
      <c r="J828" s="12">
        <f>SUMIF(order_item!B:B,A828,order_item!E:E)</f>
        <v>357</v>
      </c>
      <c r="K828" s="28" t="str">
        <f>_xlfn.XLOOKUP(B828,customers!A:A,customers!D:D)</f>
        <v>Regular</v>
      </c>
    </row>
    <row r="829" spans="1:11" x14ac:dyDescent="0.25">
      <c r="A829" s="5" t="s">
        <v>4436</v>
      </c>
      <c r="B829" s="5" t="s">
        <v>595</v>
      </c>
      <c r="C829" s="5" t="s">
        <v>7309</v>
      </c>
      <c r="D829" s="1">
        <v>45438</v>
      </c>
      <c r="E829" s="17">
        <v>0.76180555555555562</v>
      </c>
      <c r="F829" s="5" t="s">
        <v>7305</v>
      </c>
      <c r="G829" s="12">
        <v>1260</v>
      </c>
      <c r="H829" s="12">
        <v>0</v>
      </c>
      <c r="I829" s="12">
        <v>1260</v>
      </c>
      <c r="J829" s="12">
        <f>SUMIF(order_item!B:B,A829,order_item!E:E)</f>
        <v>1260</v>
      </c>
      <c r="K829" s="28" t="str">
        <f>_xlfn.XLOOKUP(B829,customers!A:A,customers!D:D)</f>
        <v>Regular</v>
      </c>
    </row>
    <row r="830" spans="1:11" x14ac:dyDescent="0.25">
      <c r="A830" s="5" t="s">
        <v>4433</v>
      </c>
      <c r="B830" s="5" t="s">
        <v>531</v>
      </c>
      <c r="C830" s="5" t="s">
        <v>7309</v>
      </c>
      <c r="D830" s="1">
        <v>45633</v>
      </c>
      <c r="E830" s="17">
        <v>0.83888888888888891</v>
      </c>
      <c r="F830" s="5" t="s">
        <v>7305</v>
      </c>
      <c r="G830" s="12">
        <v>953</v>
      </c>
      <c r="H830" s="12">
        <v>0</v>
      </c>
      <c r="I830" s="12">
        <v>953</v>
      </c>
      <c r="J830" s="12">
        <f>SUMIF(order_item!B:B,A830,order_item!E:E)</f>
        <v>953</v>
      </c>
      <c r="K830" s="28" t="str">
        <f>_xlfn.XLOOKUP(B830,customers!A:A,customers!D:D)</f>
        <v>Premium</v>
      </c>
    </row>
    <row r="831" spans="1:11" x14ac:dyDescent="0.25">
      <c r="A831" s="5" t="s">
        <v>4430</v>
      </c>
      <c r="B831" s="5" t="s">
        <v>705</v>
      </c>
      <c r="C831" s="5" t="s">
        <v>7306</v>
      </c>
      <c r="D831" s="1">
        <v>45476</v>
      </c>
      <c r="E831" s="17">
        <v>0.62361111111111112</v>
      </c>
      <c r="F831" s="5" t="s">
        <v>7305</v>
      </c>
      <c r="G831" s="12">
        <v>267</v>
      </c>
      <c r="H831" s="12">
        <v>13.35</v>
      </c>
      <c r="I831" s="12">
        <v>253.65</v>
      </c>
      <c r="J831" s="12">
        <f>SUMIF(order_item!B:B,A831,order_item!E:E)</f>
        <v>267</v>
      </c>
      <c r="K831" s="28" t="str">
        <f>_xlfn.XLOOKUP(B831,customers!A:A,customers!D:D)</f>
        <v>New</v>
      </c>
    </row>
    <row r="832" spans="1:11" x14ac:dyDescent="0.25">
      <c r="A832" s="5" t="s">
        <v>4426</v>
      </c>
      <c r="B832" s="5" t="s">
        <v>271</v>
      </c>
      <c r="C832" s="5" t="s">
        <v>7306</v>
      </c>
      <c r="D832" s="1">
        <v>45659</v>
      </c>
      <c r="E832" s="17">
        <v>0.49374999999999997</v>
      </c>
      <c r="F832" s="5" t="s">
        <v>7305</v>
      </c>
      <c r="G832" s="12">
        <v>495</v>
      </c>
      <c r="H832" s="12">
        <v>49.5</v>
      </c>
      <c r="I832" s="12">
        <v>445.5</v>
      </c>
      <c r="J832" s="12">
        <f>SUMIF(order_item!B:B,A832,order_item!E:E)</f>
        <v>495</v>
      </c>
      <c r="K832" s="28" t="str">
        <f>_xlfn.XLOOKUP(B832,customers!A:A,customers!D:D)</f>
        <v>Regular</v>
      </c>
    </row>
    <row r="833" spans="1:11" x14ac:dyDescent="0.25">
      <c r="A833" s="5" t="s">
        <v>4423</v>
      </c>
      <c r="B833" s="5" t="s">
        <v>636</v>
      </c>
      <c r="C833" s="5" t="s">
        <v>7309</v>
      </c>
      <c r="D833" s="1">
        <v>45620</v>
      </c>
      <c r="E833" s="17">
        <v>0.91180555555555554</v>
      </c>
      <c r="F833" s="5" t="s">
        <v>7305</v>
      </c>
      <c r="G833" s="12">
        <v>496</v>
      </c>
      <c r="H833" s="12">
        <v>74.400000000000006</v>
      </c>
      <c r="I833" s="12">
        <v>421.6</v>
      </c>
      <c r="J833" s="12">
        <f>SUMIF(order_item!B:B,A833,order_item!E:E)</f>
        <v>496</v>
      </c>
      <c r="K833" s="28" t="str">
        <f>_xlfn.XLOOKUP(B833,customers!A:A,customers!D:D)</f>
        <v>New</v>
      </c>
    </row>
    <row r="834" spans="1:11" x14ac:dyDescent="0.25">
      <c r="A834" s="5" t="s">
        <v>4421</v>
      </c>
      <c r="B834" s="5" t="s">
        <v>468</v>
      </c>
      <c r="C834" s="5" t="s">
        <v>7308</v>
      </c>
      <c r="D834" s="1">
        <v>45410</v>
      </c>
      <c r="E834" s="17">
        <v>0.82777777777777783</v>
      </c>
      <c r="F834" s="5" t="s">
        <v>7305</v>
      </c>
      <c r="G834" s="12">
        <v>158</v>
      </c>
      <c r="H834" s="12">
        <v>0</v>
      </c>
      <c r="I834" s="12">
        <v>158</v>
      </c>
      <c r="J834" s="12">
        <f>SUMIF(order_item!B:B,A834,order_item!E:E)</f>
        <v>158</v>
      </c>
      <c r="K834" s="28" t="str">
        <f>_xlfn.XLOOKUP(B834,customers!A:A,customers!D:D)</f>
        <v>Regular</v>
      </c>
    </row>
    <row r="835" spans="1:11" x14ac:dyDescent="0.25">
      <c r="A835" s="5" t="s">
        <v>4417</v>
      </c>
      <c r="B835" s="5" t="s">
        <v>736</v>
      </c>
      <c r="C835" s="5" t="s">
        <v>7309</v>
      </c>
      <c r="D835" s="1">
        <v>45605</v>
      </c>
      <c r="E835" s="17">
        <v>0.85138888888888886</v>
      </c>
      <c r="F835" s="5" t="s">
        <v>7305</v>
      </c>
      <c r="G835" s="12">
        <v>615</v>
      </c>
      <c r="H835" s="12">
        <v>30.75</v>
      </c>
      <c r="I835" s="12">
        <v>584.25</v>
      </c>
      <c r="J835" s="12">
        <f>SUMIF(order_item!B:B,A835,order_item!E:E)</f>
        <v>615</v>
      </c>
      <c r="K835" s="28" t="str">
        <f>_xlfn.XLOOKUP(B835,customers!A:A,customers!D:D)</f>
        <v>New</v>
      </c>
    </row>
    <row r="836" spans="1:11" x14ac:dyDescent="0.25">
      <c r="A836" s="5" t="s">
        <v>4415</v>
      </c>
      <c r="B836" s="5" t="s">
        <v>259</v>
      </c>
      <c r="C836" s="5" t="s">
        <v>7309</v>
      </c>
      <c r="D836" s="1">
        <v>45499</v>
      </c>
      <c r="E836" s="17">
        <v>0.75555555555555554</v>
      </c>
      <c r="F836" s="5" t="s">
        <v>7305</v>
      </c>
      <c r="G836" s="12">
        <v>149</v>
      </c>
      <c r="H836" s="12">
        <v>22.35</v>
      </c>
      <c r="I836" s="12">
        <v>126.65</v>
      </c>
      <c r="J836" s="12">
        <f>SUMIF(order_item!B:B,A836,order_item!E:E)</f>
        <v>149</v>
      </c>
      <c r="K836" s="28" t="str">
        <f>_xlfn.XLOOKUP(B836,customers!A:A,customers!D:D)</f>
        <v>Regular</v>
      </c>
    </row>
    <row r="837" spans="1:11" x14ac:dyDescent="0.25">
      <c r="A837" s="5" t="s">
        <v>4412</v>
      </c>
      <c r="B837" s="5" t="s">
        <v>722</v>
      </c>
      <c r="C837" s="5" t="s">
        <v>7306</v>
      </c>
      <c r="D837" s="1">
        <v>45644</v>
      </c>
      <c r="E837" s="17">
        <v>0.71805555555555556</v>
      </c>
      <c r="F837" s="5" t="s">
        <v>7305</v>
      </c>
      <c r="G837" s="12">
        <v>395</v>
      </c>
      <c r="H837" s="12">
        <v>0</v>
      </c>
      <c r="I837" s="12">
        <v>395</v>
      </c>
      <c r="J837" s="12">
        <f>SUMIF(order_item!B:B,A837,order_item!E:E)</f>
        <v>395</v>
      </c>
      <c r="K837" s="28" t="str">
        <f>_xlfn.XLOOKUP(B837,customers!A:A,customers!D:D)</f>
        <v>Premium</v>
      </c>
    </row>
    <row r="838" spans="1:11" x14ac:dyDescent="0.25">
      <c r="A838" s="5" t="s">
        <v>4408</v>
      </c>
      <c r="B838" s="5" t="s">
        <v>856</v>
      </c>
      <c r="C838" s="5" t="s">
        <v>7308</v>
      </c>
      <c r="D838" s="1">
        <v>45735</v>
      </c>
      <c r="E838" s="17">
        <v>0.86041666666666661</v>
      </c>
      <c r="F838" s="5" t="s">
        <v>7305</v>
      </c>
      <c r="G838" s="12">
        <v>395</v>
      </c>
      <c r="H838" s="12">
        <v>0</v>
      </c>
      <c r="I838" s="12">
        <v>395</v>
      </c>
      <c r="J838" s="12">
        <f>SUMIF(order_item!B:B,A838,order_item!E:E)</f>
        <v>395</v>
      </c>
      <c r="K838" s="28" t="str">
        <f>_xlfn.XLOOKUP(B838,customers!A:A,customers!D:D)</f>
        <v>Regular</v>
      </c>
    </row>
    <row r="839" spans="1:11" x14ac:dyDescent="0.25">
      <c r="A839" s="5" t="s">
        <v>4404</v>
      </c>
      <c r="B839" s="5" t="s">
        <v>799</v>
      </c>
      <c r="C839" s="5" t="s">
        <v>7309</v>
      </c>
      <c r="D839" s="1">
        <v>45447</v>
      </c>
      <c r="E839" s="17">
        <v>0.72013888888888899</v>
      </c>
      <c r="F839" s="5" t="s">
        <v>7305</v>
      </c>
      <c r="G839" s="12">
        <v>406</v>
      </c>
      <c r="H839" s="12">
        <v>0</v>
      </c>
      <c r="I839" s="12">
        <v>406</v>
      </c>
      <c r="J839" s="12">
        <f>SUMIF(order_item!B:B,A839,order_item!E:E)</f>
        <v>406</v>
      </c>
      <c r="K839" s="28" t="str">
        <f>_xlfn.XLOOKUP(B839,customers!A:A,customers!D:D)</f>
        <v>New</v>
      </c>
    </row>
    <row r="840" spans="1:11" x14ac:dyDescent="0.25">
      <c r="A840" s="5" t="s">
        <v>4399</v>
      </c>
      <c r="B840" s="5" t="s">
        <v>604</v>
      </c>
      <c r="C840" s="5" t="s">
        <v>7309</v>
      </c>
      <c r="D840" s="1">
        <v>45650</v>
      </c>
      <c r="E840" s="17">
        <v>0.8666666666666667</v>
      </c>
      <c r="F840" s="5" t="s">
        <v>7305</v>
      </c>
      <c r="G840" s="12">
        <v>871</v>
      </c>
      <c r="H840" s="12">
        <v>87.1</v>
      </c>
      <c r="I840" s="12">
        <v>783.9</v>
      </c>
      <c r="J840" s="12">
        <f>SUMIF(order_item!B:B,A840,order_item!E:E)</f>
        <v>871</v>
      </c>
      <c r="K840" s="28" t="str">
        <f>_xlfn.XLOOKUP(B840,customers!A:A,customers!D:D)</f>
        <v>Regular</v>
      </c>
    </row>
    <row r="841" spans="1:11" x14ac:dyDescent="0.25">
      <c r="A841" s="5" t="s">
        <v>4396</v>
      </c>
      <c r="B841" s="5" t="s">
        <v>605</v>
      </c>
      <c r="C841" s="5" t="s">
        <v>7309</v>
      </c>
      <c r="D841" s="1">
        <v>45438</v>
      </c>
      <c r="E841" s="17">
        <v>0.90486111111111101</v>
      </c>
      <c r="F841" s="5" t="s">
        <v>7305</v>
      </c>
      <c r="G841" s="12">
        <v>554</v>
      </c>
      <c r="H841" s="12">
        <v>0</v>
      </c>
      <c r="I841" s="12">
        <v>554</v>
      </c>
      <c r="J841" s="12">
        <f>SUMIF(order_item!B:B,A841,order_item!E:E)</f>
        <v>554</v>
      </c>
      <c r="K841" s="28" t="str">
        <f>_xlfn.XLOOKUP(B841,customers!A:A,customers!D:D)</f>
        <v>Premium</v>
      </c>
    </row>
    <row r="842" spans="1:11" x14ac:dyDescent="0.25">
      <c r="A842" s="5" t="s">
        <v>4392</v>
      </c>
      <c r="B842" s="5" t="s">
        <v>455</v>
      </c>
      <c r="C842" s="5" t="s">
        <v>7309</v>
      </c>
      <c r="D842" s="1">
        <v>45701</v>
      </c>
      <c r="E842" s="17">
        <v>8.2638888888888887E-2</v>
      </c>
      <c r="F842" s="5" t="s">
        <v>7305</v>
      </c>
      <c r="G842" s="12">
        <v>307</v>
      </c>
      <c r="H842" s="12">
        <v>0</v>
      </c>
      <c r="I842" s="12">
        <v>307</v>
      </c>
      <c r="J842" s="12">
        <f>SUMIF(order_item!B:B,A842,order_item!E:E)</f>
        <v>307</v>
      </c>
      <c r="K842" s="28" t="str">
        <f>_xlfn.XLOOKUP(B842,customers!A:A,customers!D:D)</f>
        <v>Regular</v>
      </c>
    </row>
    <row r="843" spans="1:11" x14ac:dyDescent="0.25">
      <c r="A843" s="5" t="s">
        <v>4389</v>
      </c>
      <c r="B843" s="5" t="s">
        <v>122</v>
      </c>
      <c r="C843" s="5" t="s">
        <v>7308</v>
      </c>
      <c r="D843" s="1">
        <v>45561</v>
      </c>
      <c r="E843" s="17">
        <v>0.76597222222222217</v>
      </c>
      <c r="F843" s="5" t="s">
        <v>7305</v>
      </c>
      <c r="G843" s="12">
        <v>755</v>
      </c>
      <c r="H843" s="12">
        <v>0</v>
      </c>
      <c r="I843" s="12">
        <v>755</v>
      </c>
      <c r="J843" s="12">
        <f>SUMIF(order_item!B:B,A843,order_item!E:E)</f>
        <v>755</v>
      </c>
      <c r="K843" s="28" t="str">
        <f>_xlfn.XLOOKUP(B843,customers!A:A,customers!D:D)</f>
        <v>Regular</v>
      </c>
    </row>
    <row r="844" spans="1:11" x14ac:dyDescent="0.25">
      <c r="A844" s="5" t="s">
        <v>4385</v>
      </c>
      <c r="B844" s="5" t="s">
        <v>332</v>
      </c>
      <c r="C844" s="5" t="s">
        <v>7308</v>
      </c>
      <c r="D844" s="1">
        <v>45739</v>
      </c>
      <c r="E844" s="17">
        <v>0.71180555555555547</v>
      </c>
      <c r="F844" s="5" t="s">
        <v>7307</v>
      </c>
      <c r="G844" s="12">
        <v>574</v>
      </c>
      <c r="H844" s="12">
        <v>0</v>
      </c>
      <c r="I844" s="12">
        <v>0</v>
      </c>
      <c r="J844" s="12">
        <f>SUMIF(order_item!B:B,A844,order_item!E:E)</f>
        <v>574</v>
      </c>
      <c r="K844" s="28" t="str">
        <f>_xlfn.XLOOKUP(B844,customers!A:A,customers!D:D)</f>
        <v>New</v>
      </c>
    </row>
    <row r="845" spans="1:11" x14ac:dyDescent="0.25">
      <c r="A845" s="5" t="s">
        <v>4383</v>
      </c>
      <c r="B845" s="5" t="s">
        <v>492</v>
      </c>
      <c r="C845" s="5" t="s">
        <v>7309</v>
      </c>
      <c r="D845" s="1">
        <v>45716</v>
      </c>
      <c r="E845" s="17">
        <v>0.75694444444444453</v>
      </c>
      <c r="F845" s="5" t="s">
        <v>7307</v>
      </c>
      <c r="G845" s="12">
        <v>447</v>
      </c>
      <c r="H845" s="12">
        <v>0</v>
      </c>
      <c r="I845" s="12">
        <v>0</v>
      </c>
      <c r="J845" s="12">
        <f>SUMIF(order_item!B:B,A845,order_item!E:E)</f>
        <v>447</v>
      </c>
      <c r="K845" s="28" t="str">
        <f>_xlfn.XLOOKUP(B845,customers!A:A,customers!D:D)</f>
        <v>Regular</v>
      </c>
    </row>
    <row r="846" spans="1:11" x14ac:dyDescent="0.25">
      <c r="A846" s="5" t="s">
        <v>4381</v>
      </c>
      <c r="B846" s="5" t="s">
        <v>83</v>
      </c>
      <c r="C846" s="5" t="s">
        <v>7309</v>
      </c>
      <c r="D846" s="1">
        <v>45725</v>
      </c>
      <c r="E846" s="17">
        <v>0.85416666666666663</v>
      </c>
      <c r="F846" s="5" t="s">
        <v>7305</v>
      </c>
      <c r="G846" s="12">
        <v>158</v>
      </c>
      <c r="H846" s="12">
        <v>7.9</v>
      </c>
      <c r="I846" s="12">
        <v>150.1</v>
      </c>
      <c r="J846" s="12">
        <f>SUMIF(order_item!B:B,A846,order_item!E:E)</f>
        <v>158</v>
      </c>
      <c r="K846" s="28" t="str">
        <f>_xlfn.XLOOKUP(B846,customers!A:A,customers!D:D)</f>
        <v>Regular</v>
      </c>
    </row>
    <row r="847" spans="1:11" x14ac:dyDescent="0.25">
      <c r="A847" s="5" t="s">
        <v>4378</v>
      </c>
      <c r="B847" s="5" t="s">
        <v>263</v>
      </c>
      <c r="C847" s="5" t="s">
        <v>7309</v>
      </c>
      <c r="D847" s="1">
        <v>45494</v>
      </c>
      <c r="E847" s="17">
        <v>0.96319444444444446</v>
      </c>
      <c r="F847" s="5" t="s">
        <v>7305</v>
      </c>
      <c r="G847" s="12">
        <v>336</v>
      </c>
      <c r="H847" s="12">
        <v>0</v>
      </c>
      <c r="I847" s="12">
        <v>336</v>
      </c>
      <c r="J847" s="12">
        <f>SUMIF(order_item!B:B,A847,order_item!E:E)</f>
        <v>336</v>
      </c>
      <c r="K847" s="28" t="str">
        <f>_xlfn.XLOOKUP(B847,customers!A:A,customers!D:D)</f>
        <v>Regular</v>
      </c>
    </row>
    <row r="848" spans="1:11" x14ac:dyDescent="0.25">
      <c r="A848" s="5" t="s">
        <v>4375</v>
      </c>
      <c r="B848" s="5" t="s">
        <v>832</v>
      </c>
      <c r="C848" s="5" t="s">
        <v>7309</v>
      </c>
      <c r="D848" s="1">
        <v>45584</v>
      </c>
      <c r="E848" s="17">
        <v>0.87291666666666667</v>
      </c>
      <c r="F848" s="5" t="s">
        <v>7305</v>
      </c>
      <c r="G848" s="12">
        <v>297</v>
      </c>
      <c r="H848" s="12">
        <v>29.7</v>
      </c>
      <c r="I848" s="12">
        <v>267.3</v>
      </c>
      <c r="J848" s="12">
        <f>SUMIF(order_item!B:B,A848,order_item!E:E)</f>
        <v>297</v>
      </c>
      <c r="K848" s="28" t="str">
        <f>_xlfn.XLOOKUP(B848,customers!A:A,customers!D:D)</f>
        <v>Regular</v>
      </c>
    </row>
    <row r="849" spans="1:11" x14ac:dyDescent="0.25">
      <c r="A849" s="5" t="s">
        <v>4370</v>
      </c>
      <c r="B849" s="5" t="s">
        <v>326</v>
      </c>
      <c r="C849" s="5" t="s">
        <v>7309</v>
      </c>
      <c r="D849" s="1">
        <v>45569</v>
      </c>
      <c r="E849" s="17">
        <v>0.87986111111111109</v>
      </c>
      <c r="F849" s="5" t="s">
        <v>7305</v>
      </c>
      <c r="G849" s="12">
        <v>1149</v>
      </c>
      <c r="H849" s="12">
        <v>0</v>
      </c>
      <c r="I849" s="12">
        <v>1149</v>
      </c>
      <c r="J849" s="12">
        <f>SUMIF(order_item!B:B,A849,order_item!E:E)</f>
        <v>1149</v>
      </c>
      <c r="K849" s="28" t="str">
        <f>_xlfn.XLOOKUP(B849,customers!A:A,customers!D:D)</f>
        <v>New</v>
      </c>
    </row>
    <row r="850" spans="1:11" x14ac:dyDescent="0.25">
      <c r="A850" s="5" t="s">
        <v>4367</v>
      </c>
      <c r="B850" s="5" t="s">
        <v>323</v>
      </c>
      <c r="C850" s="5" t="s">
        <v>7306</v>
      </c>
      <c r="D850" s="1">
        <v>45623</v>
      </c>
      <c r="E850" s="17">
        <v>0.85833333333333339</v>
      </c>
      <c r="F850" s="5" t="s">
        <v>7305</v>
      </c>
      <c r="G850" s="12">
        <v>356</v>
      </c>
      <c r="H850" s="12">
        <v>0</v>
      </c>
      <c r="I850" s="12">
        <v>356</v>
      </c>
      <c r="J850" s="12">
        <f>SUMIF(order_item!B:B,A850,order_item!E:E)</f>
        <v>356</v>
      </c>
      <c r="K850" s="28" t="str">
        <f>_xlfn.XLOOKUP(B850,customers!A:A,customers!D:D)</f>
        <v>Regular</v>
      </c>
    </row>
    <row r="851" spans="1:11" x14ac:dyDescent="0.25">
      <c r="A851" s="5" t="s">
        <v>4365</v>
      </c>
      <c r="B851" s="5" t="s">
        <v>580</v>
      </c>
      <c r="C851" s="5" t="s">
        <v>7309</v>
      </c>
      <c r="D851" s="1">
        <v>45534</v>
      </c>
      <c r="E851" s="17">
        <v>0.87291666666666667</v>
      </c>
      <c r="F851" s="5" t="s">
        <v>7305</v>
      </c>
      <c r="G851" s="12">
        <v>447</v>
      </c>
      <c r="H851" s="12">
        <v>0</v>
      </c>
      <c r="I851" s="12">
        <v>447</v>
      </c>
      <c r="J851" s="12">
        <f>SUMIF(order_item!B:B,A851,order_item!E:E)</f>
        <v>447</v>
      </c>
      <c r="K851" s="28" t="str">
        <f>_xlfn.XLOOKUP(B851,customers!A:A,customers!D:D)</f>
        <v>Regular</v>
      </c>
    </row>
    <row r="852" spans="1:11" x14ac:dyDescent="0.25">
      <c r="A852" s="5" t="s">
        <v>4362</v>
      </c>
      <c r="B852" s="5" t="s">
        <v>433</v>
      </c>
      <c r="C852" s="5" t="s">
        <v>7306</v>
      </c>
      <c r="D852" s="1">
        <v>45661</v>
      </c>
      <c r="E852" s="17">
        <v>0.95486111111111116</v>
      </c>
      <c r="F852" s="5" t="s">
        <v>7305</v>
      </c>
      <c r="G852" s="12">
        <v>415</v>
      </c>
      <c r="H852" s="12">
        <v>41.5</v>
      </c>
      <c r="I852" s="12">
        <v>373.5</v>
      </c>
      <c r="J852" s="12">
        <f>SUMIF(order_item!B:B,A852,order_item!E:E)</f>
        <v>415</v>
      </c>
      <c r="K852" s="28" t="str">
        <f>_xlfn.XLOOKUP(B852,customers!A:A,customers!D:D)</f>
        <v>New</v>
      </c>
    </row>
    <row r="853" spans="1:11" x14ac:dyDescent="0.25">
      <c r="A853" s="5" t="s">
        <v>4357</v>
      </c>
      <c r="B853" s="5" t="s">
        <v>781</v>
      </c>
      <c r="C853" s="5" t="s">
        <v>7309</v>
      </c>
      <c r="D853" s="1">
        <v>45570</v>
      </c>
      <c r="E853" s="17">
        <v>0.7284722222222223</v>
      </c>
      <c r="F853" s="5" t="s">
        <v>7305</v>
      </c>
      <c r="G853" s="12">
        <v>504</v>
      </c>
      <c r="H853" s="12">
        <v>0</v>
      </c>
      <c r="I853" s="12">
        <v>504</v>
      </c>
      <c r="J853" s="12">
        <f>SUMIF(order_item!B:B,A853,order_item!E:E)</f>
        <v>504</v>
      </c>
      <c r="K853" s="28" t="str">
        <f>_xlfn.XLOOKUP(B853,customers!A:A,customers!D:D)</f>
        <v>Regular</v>
      </c>
    </row>
    <row r="854" spans="1:11" x14ac:dyDescent="0.25">
      <c r="A854" s="5" t="s">
        <v>4354</v>
      </c>
      <c r="B854" s="5" t="s">
        <v>94</v>
      </c>
      <c r="C854" s="5" t="s">
        <v>7308</v>
      </c>
      <c r="D854" s="1">
        <v>45529</v>
      </c>
      <c r="E854" s="17">
        <v>0.79305555555555562</v>
      </c>
      <c r="F854" s="5" t="s">
        <v>7305</v>
      </c>
      <c r="G854" s="12">
        <v>484</v>
      </c>
      <c r="H854" s="12">
        <v>72.599999999999994</v>
      </c>
      <c r="I854" s="12">
        <v>411.4</v>
      </c>
      <c r="J854" s="12">
        <f>SUMIF(order_item!B:B,A854,order_item!E:E)</f>
        <v>484</v>
      </c>
      <c r="K854" s="28" t="str">
        <f>_xlfn.XLOOKUP(B854,customers!A:A,customers!D:D)</f>
        <v>Premium</v>
      </c>
    </row>
    <row r="855" spans="1:11" x14ac:dyDescent="0.25">
      <c r="A855" s="5" t="s">
        <v>4351</v>
      </c>
      <c r="B855" s="5" t="s">
        <v>398</v>
      </c>
      <c r="C855" s="5" t="s">
        <v>7306</v>
      </c>
      <c r="D855" s="1">
        <v>45598</v>
      </c>
      <c r="E855" s="17">
        <v>0.84236111111111101</v>
      </c>
      <c r="F855" s="5" t="s">
        <v>7305</v>
      </c>
      <c r="G855" s="12">
        <v>317</v>
      </c>
      <c r="H855" s="12">
        <v>47.55</v>
      </c>
      <c r="I855" s="12">
        <v>269.45</v>
      </c>
      <c r="J855" s="12">
        <f>SUMIF(order_item!B:B,A855,order_item!E:E)</f>
        <v>317</v>
      </c>
      <c r="K855" s="28" t="str">
        <f>_xlfn.XLOOKUP(B855,customers!A:A,customers!D:D)</f>
        <v>New</v>
      </c>
    </row>
    <row r="856" spans="1:11" x14ac:dyDescent="0.25">
      <c r="A856" s="5" t="s">
        <v>4346</v>
      </c>
      <c r="B856" s="5" t="s">
        <v>279</v>
      </c>
      <c r="C856" s="5" t="s">
        <v>7306</v>
      </c>
      <c r="D856" s="1">
        <v>45605</v>
      </c>
      <c r="E856" s="17">
        <v>0.93541666666666667</v>
      </c>
      <c r="F856" s="5" t="s">
        <v>7305</v>
      </c>
      <c r="G856" s="12">
        <v>1031</v>
      </c>
      <c r="H856" s="12">
        <v>51.55</v>
      </c>
      <c r="I856" s="12">
        <v>979.45</v>
      </c>
      <c r="J856" s="12">
        <f>SUMIF(order_item!B:B,A856,order_item!E:E)</f>
        <v>1031</v>
      </c>
      <c r="K856" s="28" t="str">
        <f>_xlfn.XLOOKUP(B856,customers!A:A,customers!D:D)</f>
        <v>Regular</v>
      </c>
    </row>
    <row r="857" spans="1:11" x14ac:dyDescent="0.25">
      <c r="A857" s="5" t="s">
        <v>4343</v>
      </c>
      <c r="B857" s="5" t="s">
        <v>842</v>
      </c>
      <c r="C857" s="5" t="s">
        <v>7309</v>
      </c>
      <c r="D857" s="1">
        <v>45419</v>
      </c>
      <c r="E857" s="17">
        <v>0.80138888888888893</v>
      </c>
      <c r="F857" s="5" t="s">
        <v>7305</v>
      </c>
      <c r="G857" s="12">
        <v>516</v>
      </c>
      <c r="H857" s="12">
        <v>0</v>
      </c>
      <c r="I857" s="12">
        <v>516</v>
      </c>
      <c r="J857" s="12">
        <f>SUMIF(order_item!B:B,A857,order_item!E:E)</f>
        <v>516</v>
      </c>
      <c r="K857" s="28" t="str">
        <f>_xlfn.XLOOKUP(B857,customers!A:A,customers!D:D)</f>
        <v>Premium</v>
      </c>
    </row>
    <row r="858" spans="1:11" x14ac:dyDescent="0.25">
      <c r="A858" s="5" t="s">
        <v>4339</v>
      </c>
      <c r="B858" s="5" t="s">
        <v>759</v>
      </c>
      <c r="C858" s="5" t="s">
        <v>7308</v>
      </c>
      <c r="D858" s="1">
        <v>45488</v>
      </c>
      <c r="E858" s="17">
        <v>0.37777777777777777</v>
      </c>
      <c r="F858" s="5" t="s">
        <v>7305</v>
      </c>
      <c r="G858" s="12">
        <v>415</v>
      </c>
      <c r="H858" s="12">
        <v>0</v>
      </c>
      <c r="I858" s="12">
        <v>415</v>
      </c>
      <c r="J858" s="12">
        <f>SUMIF(order_item!B:B,A858,order_item!E:E)</f>
        <v>415</v>
      </c>
      <c r="K858" s="28" t="str">
        <f>_xlfn.XLOOKUP(B858,customers!A:A,customers!D:D)</f>
        <v>Regular</v>
      </c>
    </row>
    <row r="859" spans="1:11" x14ac:dyDescent="0.25">
      <c r="A859" s="5" t="s">
        <v>4335</v>
      </c>
      <c r="B859" s="5" t="s">
        <v>531</v>
      </c>
      <c r="C859" s="5" t="s">
        <v>7308</v>
      </c>
      <c r="D859" s="1">
        <v>45524</v>
      </c>
      <c r="E859" s="17">
        <v>0.62083333333333335</v>
      </c>
      <c r="F859" s="5" t="s">
        <v>7305</v>
      </c>
      <c r="G859" s="12">
        <v>474</v>
      </c>
      <c r="H859" s="12">
        <v>0</v>
      </c>
      <c r="I859" s="12">
        <v>474</v>
      </c>
      <c r="J859" s="12">
        <f>SUMIF(order_item!B:B,A859,order_item!E:E)</f>
        <v>474</v>
      </c>
      <c r="K859" s="28" t="str">
        <f>_xlfn.XLOOKUP(B859,customers!A:A,customers!D:D)</f>
        <v>Premium</v>
      </c>
    </row>
    <row r="860" spans="1:11" x14ac:dyDescent="0.25">
      <c r="A860" s="5" t="s">
        <v>4332</v>
      </c>
      <c r="B860" s="5" t="s">
        <v>140</v>
      </c>
      <c r="C860" s="5" t="s">
        <v>7309</v>
      </c>
      <c r="D860" s="1">
        <v>45606</v>
      </c>
      <c r="E860" s="17">
        <v>3.4027777777777775E-2</v>
      </c>
      <c r="F860" s="5" t="s">
        <v>7305</v>
      </c>
      <c r="G860" s="12">
        <v>416</v>
      </c>
      <c r="H860" s="12">
        <v>0</v>
      </c>
      <c r="I860" s="12">
        <v>416</v>
      </c>
      <c r="J860" s="12">
        <f>SUMIF(order_item!B:B,A860,order_item!E:E)</f>
        <v>416</v>
      </c>
      <c r="K860" s="28" t="str">
        <f>_xlfn.XLOOKUP(B860,customers!A:A,customers!D:D)</f>
        <v>Regular</v>
      </c>
    </row>
    <row r="861" spans="1:11" x14ac:dyDescent="0.25">
      <c r="A861" s="5" t="s">
        <v>4327</v>
      </c>
      <c r="B861" s="5" t="s">
        <v>220</v>
      </c>
      <c r="C861" s="5" t="s">
        <v>7309</v>
      </c>
      <c r="D861" s="1">
        <v>45730</v>
      </c>
      <c r="E861" s="17">
        <v>0.75416666666666676</v>
      </c>
      <c r="F861" s="5" t="s">
        <v>7305</v>
      </c>
      <c r="G861" s="12">
        <v>634</v>
      </c>
      <c r="H861" s="12">
        <v>0</v>
      </c>
      <c r="I861" s="12">
        <v>634</v>
      </c>
      <c r="J861" s="12">
        <f>SUMIF(order_item!B:B,A861,order_item!E:E)</f>
        <v>634</v>
      </c>
      <c r="K861" s="28" t="str">
        <f>_xlfn.XLOOKUP(B861,customers!A:A,customers!D:D)</f>
        <v>Regular</v>
      </c>
    </row>
    <row r="862" spans="1:11" x14ac:dyDescent="0.25">
      <c r="A862" s="5" t="s">
        <v>4324</v>
      </c>
      <c r="B862" s="5" t="s">
        <v>267</v>
      </c>
      <c r="C862" s="5" t="s">
        <v>7309</v>
      </c>
      <c r="D862" s="1">
        <v>45482</v>
      </c>
      <c r="E862" s="17">
        <v>0.87777777777777777</v>
      </c>
      <c r="F862" s="5" t="s">
        <v>7305</v>
      </c>
      <c r="G862" s="12">
        <v>664</v>
      </c>
      <c r="H862" s="12">
        <v>66.400000000000006</v>
      </c>
      <c r="I862" s="12">
        <v>597.6</v>
      </c>
      <c r="J862" s="12">
        <f>SUMIF(order_item!B:B,A862,order_item!E:E)</f>
        <v>664</v>
      </c>
      <c r="K862" s="28" t="str">
        <f>_xlfn.XLOOKUP(B862,customers!A:A,customers!D:D)</f>
        <v>Regular</v>
      </c>
    </row>
    <row r="863" spans="1:11" x14ac:dyDescent="0.25">
      <c r="A863" s="5" t="s">
        <v>4320</v>
      </c>
      <c r="B863" s="5" t="s">
        <v>594</v>
      </c>
      <c r="C863" s="5" t="s">
        <v>7306</v>
      </c>
      <c r="D863" s="1">
        <v>45429</v>
      </c>
      <c r="E863" s="17">
        <v>0.83263888888888893</v>
      </c>
      <c r="F863" s="5" t="s">
        <v>7305</v>
      </c>
      <c r="G863" s="12">
        <v>347</v>
      </c>
      <c r="H863" s="12">
        <v>52.05</v>
      </c>
      <c r="I863" s="12">
        <v>294.95</v>
      </c>
      <c r="J863" s="12">
        <f>SUMIF(order_item!B:B,A863,order_item!E:E)</f>
        <v>347</v>
      </c>
      <c r="K863" s="28" t="str">
        <f>_xlfn.XLOOKUP(B863,customers!A:A,customers!D:D)</f>
        <v>Regular</v>
      </c>
    </row>
    <row r="864" spans="1:11" x14ac:dyDescent="0.25">
      <c r="A864" s="5" t="s">
        <v>4318</v>
      </c>
      <c r="B864" s="5" t="s">
        <v>810</v>
      </c>
      <c r="C864" s="5" t="s">
        <v>7308</v>
      </c>
      <c r="D864" s="1">
        <v>45387</v>
      </c>
      <c r="E864" s="17">
        <v>0.83124999999999993</v>
      </c>
      <c r="F864" s="5" t="s">
        <v>7305</v>
      </c>
      <c r="G864" s="12">
        <v>89</v>
      </c>
      <c r="H864" s="12">
        <v>0</v>
      </c>
      <c r="I864" s="12">
        <v>89</v>
      </c>
      <c r="J864" s="12">
        <f>SUMIF(order_item!B:B,A864,order_item!E:E)</f>
        <v>89</v>
      </c>
      <c r="K864" s="28" t="str">
        <f>_xlfn.XLOOKUP(B864,customers!A:A,customers!D:D)</f>
        <v>New</v>
      </c>
    </row>
    <row r="865" spans="1:11" x14ac:dyDescent="0.25">
      <c r="A865" s="5" t="s">
        <v>4315</v>
      </c>
      <c r="B865" s="5" t="s">
        <v>450</v>
      </c>
      <c r="C865" s="5" t="s">
        <v>7309</v>
      </c>
      <c r="D865" s="1">
        <v>45534</v>
      </c>
      <c r="E865" s="17">
        <v>0.61249999999999993</v>
      </c>
      <c r="F865" s="5" t="s">
        <v>7305</v>
      </c>
      <c r="G865" s="12">
        <v>943</v>
      </c>
      <c r="H865" s="12">
        <v>0</v>
      </c>
      <c r="I865" s="12">
        <v>943</v>
      </c>
      <c r="J865" s="12">
        <f>SUMIF(order_item!B:B,A865,order_item!E:E)</f>
        <v>943</v>
      </c>
      <c r="K865" s="28" t="str">
        <f>_xlfn.XLOOKUP(B865,customers!A:A,customers!D:D)</f>
        <v>Regular</v>
      </c>
    </row>
    <row r="866" spans="1:11" x14ac:dyDescent="0.25">
      <c r="A866" s="5" t="s">
        <v>4310</v>
      </c>
      <c r="B866" s="5" t="s">
        <v>517</v>
      </c>
      <c r="C866" s="5" t="s">
        <v>7309</v>
      </c>
      <c r="D866" s="1">
        <v>45459</v>
      </c>
      <c r="E866" s="17">
        <v>0.82777777777777783</v>
      </c>
      <c r="F866" s="5" t="s">
        <v>7307</v>
      </c>
      <c r="G866" s="12">
        <v>1151</v>
      </c>
      <c r="H866" s="12">
        <v>0</v>
      </c>
      <c r="I866" s="12">
        <v>0</v>
      </c>
      <c r="J866" s="12">
        <f>SUMIF(order_item!B:B,A866,order_item!E:E)</f>
        <v>1151</v>
      </c>
      <c r="K866" s="28" t="str">
        <f>_xlfn.XLOOKUP(B866,customers!A:A,customers!D:D)</f>
        <v>New</v>
      </c>
    </row>
    <row r="867" spans="1:11" x14ac:dyDescent="0.25">
      <c r="A867" s="5" t="s">
        <v>4307</v>
      </c>
      <c r="B867" s="5" t="s">
        <v>634</v>
      </c>
      <c r="C867" s="5" t="s">
        <v>7306</v>
      </c>
      <c r="D867" s="1">
        <v>45473</v>
      </c>
      <c r="E867" s="17">
        <v>0.82916666666666661</v>
      </c>
      <c r="F867" s="5" t="s">
        <v>7305</v>
      </c>
      <c r="G867" s="12">
        <v>327</v>
      </c>
      <c r="H867" s="12">
        <v>0</v>
      </c>
      <c r="I867" s="12">
        <v>327</v>
      </c>
      <c r="J867" s="12">
        <f>SUMIF(order_item!B:B,A867,order_item!E:E)</f>
        <v>327</v>
      </c>
      <c r="K867" s="28" t="str">
        <f>_xlfn.XLOOKUP(B867,customers!A:A,customers!D:D)</f>
        <v>Regular</v>
      </c>
    </row>
    <row r="868" spans="1:11" x14ac:dyDescent="0.25">
      <c r="A868" s="5" t="s">
        <v>4304</v>
      </c>
      <c r="B868" s="5" t="s">
        <v>644</v>
      </c>
      <c r="C868" s="5" t="s">
        <v>7309</v>
      </c>
      <c r="D868" s="1">
        <v>45479</v>
      </c>
      <c r="E868" s="17">
        <v>0.5708333333333333</v>
      </c>
      <c r="F868" s="5" t="s">
        <v>7305</v>
      </c>
      <c r="G868" s="12">
        <v>634</v>
      </c>
      <c r="H868" s="12">
        <v>95.1</v>
      </c>
      <c r="I868" s="12">
        <v>538.9</v>
      </c>
      <c r="J868" s="12">
        <f>SUMIF(order_item!B:B,A868,order_item!E:E)</f>
        <v>634</v>
      </c>
      <c r="K868" s="28" t="str">
        <f>_xlfn.XLOOKUP(B868,customers!A:A,customers!D:D)</f>
        <v>Regular</v>
      </c>
    </row>
    <row r="869" spans="1:11" x14ac:dyDescent="0.25">
      <c r="A869" s="5" t="s">
        <v>4301</v>
      </c>
      <c r="B869" s="5" t="s">
        <v>705</v>
      </c>
      <c r="C869" s="5" t="s">
        <v>7306</v>
      </c>
      <c r="D869" s="1">
        <v>45411</v>
      </c>
      <c r="E869" s="17">
        <v>0.60902777777777783</v>
      </c>
      <c r="F869" s="5" t="s">
        <v>7305</v>
      </c>
      <c r="G869" s="12">
        <v>476</v>
      </c>
      <c r="H869" s="12">
        <v>23.8</v>
      </c>
      <c r="I869" s="12">
        <v>452.2</v>
      </c>
      <c r="J869" s="12">
        <f>SUMIF(order_item!B:B,A869,order_item!E:E)</f>
        <v>476</v>
      </c>
      <c r="K869" s="28" t="str">
        <f>_xlfn.XLOOKUP(B869,customers!A:A,customers!D:D)</f>
        <v>New</v>
      </c>
    </row>
    <row r="870" spans="1:11" x14ac:dyDescent="0.25">
      <c r="A870" s="5" t="s">
        <v>4299</v>
      </c>
      <c r="B870" s="5" t="s">
        <v>597</v>
      </c>
      <c r="C870" s="5" t="s">
        <v>7309</v>
      </c>
      <c r="D870" s="1">
        <v>45708</v>
      </c>
      <c r="E870" s="17">
        <v>0.59027777777777779</v>
      </c>
      <c r="F870" s="5" t="s">
        <v>7305</v>
      </c>
      <c r="G870" s="12">
        <v>139</v>
      </c>
      <c r="H870" s="12">
        <v>0</v>
      </c>
      <c r="I870" s="12">
        <v>139</v>
      </c>
      <c r="J870" s="12">
        <f>SUMIF(order_item!B:B,A870,order_item!E:E)</f>
        <v>139</v>
      </c>
      <c r="K870" s="28" t="str">
        <f>_xlfn.XLOOKUP(B870,customers!A:A,customers!D:D)</f>
        <v>Regular</v>
      </c>
    </row>
    <row r="871" spans="1:11" x14ac:dyDescent="0.25">
      <c r="A871" s="5" t="s">
        <v>4294</v>
      </c>
      <c r="B871" s="5" t="s">
        <v>330</v>
      </c>
      <c r="C871" s="5" t="s">
        <v>7308</v>
      </c>
      <c r="D871" s="1">
        <v>45579</v>
      </c>
      <c r="E871" s="17">
        <v>0.65972222222222221</v>
      </c>
      <c r="F871" s="5" t="s">
        <v>7305</v>
      </c>
      <c r="G871" s="12">
        <v>1310</v>
      </c>
      <c r="H871" s="12">
        <v>0</v>
      </c>
      <c r="I871" s="12">
        <v>1310</v>
      </c>
      <c r="J871" s="12">
        <f>SUMIF(order_item!B:B,A871,order_item!E:E)</f>
        <v>1310</v>
      </c>
      <c r="K871" s="28" t="str">
        <f>_xlfn.XLOOKUP(B871,customers!A:A,customers!D:D)</f>
        <v>Premium</v>
      </c>
    </row>
    <row r="872" spans="1:11" x14ac:dyDescent="0.25">
      <c r="A872" s="5" t="s">
        <v>4290</v>
      </c>
      <c r="B872" s="5" t="s">
        <v>842</v>
      </c>
      <c r="C872" s="5" t="s">
        <v>7308</v>
      </c>
      <c r="D872" s="1">
        <v>45486</v>
      </c>
      <c r="E872" s="17">
        <v>0.75624999999999998</v>
      </c>
      <c r="F872" s="5" t="s">
        <v>7305</v>
      </c>
      <c r="G872" s="12">
        <v>634</v>
      </c>
      <c r="H872" s="12">
        <v>0</v>
      </c>
      <c r="I872" s="12">
        <v>634</v>
      </c>
      <c r="J872" s="12">
        <f>SUMIF(order_item!B:B,A872,order_item!E:E)</f>
        <v>634</v>
      </c>
      <c r="K872" s="28" t="str">
        <f>_xlfn.XLOOKUP(B872,customers!A:A,customers!D:D)</f>
        <v>Premium</v>
      </c>
    </row>
    <row r="873" spans="1:11" x14ac:dyDescent="0.25">
      <c r="A873" s="5" t="s">
        <v>4287</v>
      </c>
      <c r="B873" s="5" t="s">
        <v>522</v>
      </c>
      <c r="C873" s="5" t="s">
        <v>7306</v>
      </c>
      <c r="D873" s="1">
        <v>45671</v>
      </c>
      <c r="E873" s="17">
        <v>0.67083333333333339</v>
      </c>
      <c r="F873" s="5" t="s">
        <v>7305</v>
      </c>
      <c r="G873" s="12">
        <v>565</v>
      </c>
      <c r="H873" s="12">
        <v>56.5</v>
      </c>
      <c r="I873" s="12">
        <v>508.5</v>
      </c>
      <c r="J873" s="12">
        <f>SUMIF(order_item!B:B,A873,order_item!E:E)</f>
        <v>565</v>
      </c>
      <c r="K873" s="28" t="str">
        <f>_xlfn.XLOOKUP(B873,customers!A:A,customers!D:D)</f>
        <v>New</v>
      </c>
    </row>
    <row r="874" spans="1:11" x14ac:dyDescent="0.25">
      <c r="A874" s="5" t="s">
        <v>4282</v>
      </c>
      <c r="B874" s="5" t="s">
        <v>414</v>
      </c>
      <c r="C874" s="5" t="s">
        <v>7309</v>
      </c>
      <c r="D874" s="1">
        <v>45705</v>
      </c>
      <c r="E874" s="17">
        <v>4.0972222222222222E-2</v>
      </c>
      <c r="F874" s="5" t="s">
        <v>7305</v>
      </c>
      <c r="G874" s="12">
        <v>811</v>
      </c>
      <c r="H874" s="12">
        <v>40.549999999999997</v>
      </c>
      <c r="I874" s="12">
        <v>770.45</v>
      </c>
      <c r="J874" s="12">
        <f>SUMIF(order_item!B:B,A874,order_item!E:E)</f>
        <v>811</v>
      </c>
      <c r="K874" s="28" t="str">
        <f>_xlfn.XLOOKUP(B874,customers!A:A,customers!D:D)</f>
        <v>New</v>
      </c>
    </row>
    <row r="875" spans="1:11" x14ac:dyDescent="0.25">
      <c r="A875" s="5" t="s">
        <v>4277</v>
      </c>
      <c r="B875" s="5" t="s">
        <v>157</v>
      </c>
      <c r="C875" s="5" t="s">
        <v>7306</v>
      </c>
      <c r="D875" s="1">
        <v>45573</v>
      </c>
      <c r="E875" s="17">
        <v>0.95694444444444438</v>
      </c>
      <c r="F875" s="5" t="s">
        <v>7305</v>
      </c>
      <c r="G875" s="12">
        <v>772</v>
      </c>
      <c r="H875" s="12">
        <v>38.6</v>
      </c>
      <c r="I875" s="12">
        <v>733.4</v>
      </c>
      <c r="J875" s="12">
        <f>SUMIF(order_item!B:B,A875,order_item!E:E)</f>
        <v>772</v>
      </c>
      <c r="K875" s="28" t="str">
        <f>_xlfn.XLOOKUP(B875,customers!A:A,customers!D:D)</f>
        <v>Premium</v>
      </c>
    </row>
    <row r="876" spans="1:11" x14ac:dyDescent="0.25">
      <c r="A876" s="5" t="s">
        <v>4272</v>
      </c>
      <c r="B876" s="5" t="s">
        <v>593</v>
      </c>
      <c r="C876" s="5" t="s">
        <v>7309</v>
      </c>
      <c r="D876" s="1">
        <v>45398</v>
      </c>
      <c r="E876" s="17">
        <v>0.92708333333333337</v>
      </c>
      <c r="F876" s="5" t="s">
        <v>7305</v>
      </c>
      <c r="G876" s="12">
        <v>1029</v>
      </c>
      <c r="H876" s="12">
        <v>0</v>
      </c>
      <c r="I876" s="12">
        <v>1029</v>
      </c>
      <c r="J876" s="12">
        <f>SUMIF(order_item!B:B,A876,order_item!E:E)</f>
        <v>1029</v>
      </c>
      <c r="K876" s="28" t="str">
        <f>_xlfn.XLOOKUP(B876,customers!A:A,customers!D:D)</f>
        <v>Regular</v>
      </c>
    </row>
    <row r="877" spans="1:11" x14ac:dyDescent="0.25">
      <c r="A877" s="5" t="s">
        <v>4267</v>
      </c>
      <c r="B877" s="5" t="s">
        <v>482</v>
      </c>
      <c r="C877" s="5" t="s">
        <v>7306</v>
      </c>
      <c r="D877" s="1">
        <v>45610</v>
      </c>
      <c r="E877" s="17">
        <v>0.84236111111111101</v>
      </c>
      <c r="F877" s="5" t="s">
        <v>7305</v>
      </c>
      <c r="G877" s="12">
        <v>575</v>
      </c>
      <c r="H877" s="12">
        <v>0</v>
      </c>
      <c r="I877" s="12">
        <v>575</v>
      </c>
      <c r="J877" s="12">
        <f>SUMIF(order_item!B:B,A877,order_item!E:E)</f>
        <v>575</v>
      </c>
      <c r="K877" s="28" t="str">
        <f>_xlfn.XLOOKUP(B877,customers!A:A,customers!D:D)</f>
        <v>Regular</v>
      </c>
    </row>
    <row r="878" spans="1:11" x14ac:dyDescent="0.25">
      <c r="A878" s="5" t="s">
        <v>4264</v>
      </c>
      <c r="B878" s="5" t="s">
        <v>689</v>
      </c>
      <c r="C878" s="5" t="s">
        <v>7309</v>
      </c>
      <c r="D878" s="1">
        <v>45574</v>
      </c>
      <c r="E878" s="17">
        <v>0.90694444444444444</v>
      </c>
      <c r="F878" s="5" t="s">
        <v>7305</v>
      </c>
      <c r="G878" s="12">
        <v>168</v>
      </c>
      <c r="H878" s="12">
        <v>0</v>
      </c>
      <c r="I878" s="12">
        <v>168</v>
      </c>
      <c r="J878" s="12">
        <f>SUMIF(order_item!B:B,A878,order_item!E:E)</f>
        <v>168</v>
      </c>
      <c r="K878" s="28" t="str">
        <f>_xlfn.XLOOKUP(B878,customers!A:A,customers!D:D)</f>
        <v>New</v>
      </c>
    </row>
    <row r="879" spans="1:11" x14ac:dyDescent="0.25">
      <c r="A879" s="5" t="s">
        <v>4259</v>
      </c>
      <c r="B879" s="5" t="s">
        <v>823</v>
      </c>
      <c r="C879" s="5" t="s">
        <v>7309</v>
      </c>
      <c r="D879" s="1">
        <v>45512</v>
      </c>
      <c r="E879" s="17">
        <v>0.86111111111111116</v>
      </c>
      <c r="F879" s="5" t="s">
        <v>7305</v>
      </c>
      <c r="G879" s="12">
        <v>1338</v>
      </c>
      <c r="H879" s="12">
        <v>200.7</v>
      </c>
      <c r="I879" s="12">
        <v>1137.3</v>
      </c>
      <c r="J879" s="12">
        <f>SUMIF(order_item!B:B,A879,order_item!E:E)</f>
        <v>1338</v>
      </c>
      <c r="K879" s="28" t="str">
        <f>_xlfn.XLOOKUP(B879,customers!A:A,customers!D:D)</f>
        <v>New</v>
      </c>
    </row>
    <row r="880" spans="1:11" x14ac:dyDescent="0.25">
      <c r="A880" s="5" t="s">
        <v>4256</v>
      </c>
      <c r="B880" s="5" t="s">
        <v>675</v>
      </c>
      <c r="C880" s="5" t="s">
        <v>7306</v>
      </c>
      <c r="D880" s="1">
        <v>45570</v>
      </c>
      <c r="E880" s="17">
        <v>0.90208333333333324</v>
      </c>
      <c r="F880" s="5" t="s">
        <v>7305</v>
      </c>
      <c r="G880" s="12">
        <v>534</v>
      </c>
      <c r="H880" s="12">
        <v>0</v>
      </c>
      <c r="I880" s="12">
        <v>534</v>
      </c>
      <c r="J880" s="12">
        <f>SUMIF(order_item!B:B,A880,order_item!E:E)</f>
        <v>534</v>
      </c>
      <c r="K880" s="28" t="str">
        <f>_xlfn.XLOOKUP(B880,customers!A:A,customers!D:D)</f>
        <v>New</v>
      </c>
    </row>
    <row r="881" spans="1:11" x14ac:dyDescent="0.25">
      <c r="A881" s="5" t="s">
        <v>4251</v>
      </c>
      <c r="B881" s="5" t="s">
        <v>759</v>
      </c>
      <c r="C881" s="5" t="s">
        <v>7309</v>
      </c>
      <c r="D881" s="1">
        <v>45615</v>
      </c>
      <c r="E881" s="17">
        <v>0.41944444444444445</v>
      </c>
      <c r="F881" s="5" t="s">
        <v>7305</v>
      </c>
      <c r="G881" s="12">
        <v>962</v>
      </c>
      <c r="H881" s="12">
        <v>0</v>
      </c>
      <c r="I881" s="12">
        <v>962</v>
      </c>
      <c r="J881" s="12">
        <f>SUMIF(order_item!B:B,A881,order_item!E:E)</f>
        <v>962</v>
      </c>
      <c r="K881" s="28" t="str">
        <f>_xlfn.XLOOKUP(B881,customers!A:A,customers!D:D)</f>
        <v>Regular</v>
      </c>
    </row>
    <row r="882" spans="1:11" x14ac:dyDescent="0.25">
      <c r="A882" s="5" t="s">
        <v>4246</v>
      </c>
      <c r="B882" s="5" t="s">
        <v>407</v>
      </c>
      <c r="C882" s="5" t="s">
        <v>7306</v>
      </c>
      <c r="D882" s="1">
        <v>45661</v>
      </c>
      <c r="E882" s="17">
        <v>0.71666666666666667</v>
      </c>
      <c r="F882" s="5" t="s">
        <v>7305</v>
      </c>
      <c r="G882" s="12">
        <v>803</v>
      </c>
      <c r="H882" s="12">
        <v>0</v>
      </c>
      <c r="I882" s="12">
        <v>803</v>
      </c>
      <c r="J882" s="12">
        <f>SUMIF(order_item!B:B,A882,order_item!E:E)</f>
        <v>803</v>
      </c>
      <c r="K882" s="28" t="str">
        <f>_xlfn.XLOOKUP(B882,customers!A:A,customers!D:D)</f>
        <v>New</v>
      </c>
    </row>
    <row r="883" spans="1:11" x14ac:dyDescent="0.25">
      <c r="A883" s="5" t="s">
        <v>4242</v>
      </c>
      <c r="B883" s="5" t="s">
        <v>609</v>
      </c>
      <c r="C883" s="5" t="s">
        <v>7306</v>
      </c>
      <c r="D883" s="1">
        <v>45601</v>
      </c>
      <c r="E883" s="17">
        <v>0.9159722222222223</v>
      </c>
      <c r="F883" s="5" t="s">
        <v>7305</v>
      </c>
      <c r="G883" s="12">
        <v>526</v>
      </c>
      <c r="H883" s="12">
        <v>0</v>
      </c>
      <c r="I883" s="12">
        <v>526</v>
      </c>
      <c r="J883" s="12">
        <f>SUMIF(order_item!B:B,A883,order_item!E:E)</f>
        <v>526</v>
      </c>
      <c r="K883" s="28" t="str">
        <f>_xlfn.XLOOKUP(B883,customers!A:A,customers!D:D)</f>
        <v>Regular</v>
      </c>
    </row>
    <row r="884" spans="1:11" x14ac:dyDescent="0.25">
      <c r="A884" s="5" t="s">
        <v>4239</v>
      </c>
      <c r="B884" s="5" t="s">
        <v>403</v>
      </c>
      <c r="C884" s="5" t="s">
        <v>7306</v>
      </c>
      <c r="D884" s="1">
        <v>45746</v>
      </c>
      <c r="E884" s="17">
        <v>0.58819444444444446</v>
      </c>
      <c r="F884" s="5" t="s">
        <v>7305</v>
      </c>
      <c r="G884" s="12">
        <v>386</v>
      </c>
      <c r="H884" s="12">
        <v>0</v>
      </c>
      <c r="I884" s="12">
        <v>386</v>
      </c>
      <c r="J884" s="12">
        <f>SUMIF(order_item!B:B,A884,order_item!E:E)</f>
        <v>386</v>
      </c>
      <c r="K884" s="28" t="str">
        <f>_xlfn.XLOOKUP(B884,customers!A:A,customers!D:D)</f>
        <v>Premium</v>
      </c>
    </row>
    <row r="885" spans="1:11" x14ac:dyDescent="0.25">
      <c r="A885" s="5" t="s">
        <v>4234</v>
      </c>
      <c r="B885" s="5" t="s">
        <v>604</v>
      </c>
      <c r="C885" s="5" t="s">
        <v>7308</v>
      </c>
      <c r="D885" s="1">
        <v>45734</v>
      </c>
      <c r="E885" s="17">
        <v>0.78611111111111109</v>
      </c>
      <c r="F885" s="5" t="s">
        <v>7305</v>
      </c>
      <c r="G885" s="12">
        <v>514</v>
      </c>
      <c r="H885" s="12">
        <v>25.7</v>
      </c>
      <c r="I885" s="12">
        <v>488.3</v>
      </c>
      <c r="J885" s="12">
        <f>SUMIF(order_item!B:B,A885,order_item!E:E)</f>
        <v>514</v>
      </c>
      <c r="K885" s="28" t="str">
        <f>_xlfn.XLOOKUP(B885,customers!A:A,customers!D:D)</f>
        <v>Regular</v>
      </c>
    </row>
    <row r="886" spans="1:11" x14ac:dyDescent="0.25">
      <c r="A886" s="5" t="s">
        <v>4232</v>
      </c>
      <c r="B886" s="5" t="s">
        <v>426</v>
      </c>
      <c r="C886" s="5" t="s">
        <v>7308</v>
      </c>
      <c r="D886" s="1">
        <v>45642</v>
      </c>
      <c r="E886" s="17">
        <v>0.98472222222222217</v>
      </c>
      <c r="F886" s="5" t="s">
        <v>7305</v>
      </c>
      <c r="G886" s="12">
        <v>99</v>
      </c>
      <c r="H886" s="12">
        <v>0</v>
      </c>
      <c r="I886" s="12">
        <v>99</v>
      </c>
      <c r="J886" s="12">
        <f>SUMIF(order_item!B:B,A886,order_item!E:E)</f>
        <v>99</v>
      </c>
      <c r="K886" s="28" t="str">
        <f>_xlfn.XLOOKUP(B886,customers!A:A,customers!D:D)</f>
        <v>Regular</v>
      </c>
    </row>
    <row r="887" spans="1:11" x14ac:dyDescent="0.25">
      <c r="A887" s="5" t="s">
        <v>4227</v>
      </c>
      <c r="B887" s="5" t="s">
        <v>837</v>
      </c>
      <c r="C887" s="5" t="s">
        <v>7309</v>
      </c>
      <c r="D887" s="1">
        <v>45455</v>
      </c>
      <c r="E887" s="17">
        <v>0.67638888888888893</v>
      </c>
      <c r="F887" s="5" t="s">
        <v>7305</v>
      </c>
      <c r="G887" s="12">
        <v>913</v>
      </c>
      <c r="H887" s="12">
        <v>0</v>
      </c>
      <c r="I887" s="12">
        <v>913</v>
      </c>
      <c r="J887" s="12">
        <f>SUMIF(order_item!B:B,A887,order_item!E:E)</f>
        <v>913</v>
      </c>
      <c r="K887" s="28" t="str">
        <f>_xlfn.XLOOKUP(B887,customers!A:A,customers!D:D)</f>
        <v>New</v>
      </c>
    </row>
    <row r="888" spans="1:11" x14ac:dyDescent="0.25">
      <c r="A888" s="5" t="s">
        <v>4222</v>
      </c>
      <c r="B888" s="5" t="s">
        <v>776</v>
      </c>
      <c r="C888" s="5" t="s">
        <v>7309</v>
      </c>
      <c r="D888" s="1">
        <v>45418</v>
      </c>
      <c r="E888" s="17">
        <v>0.87708333333333333</v>
      </c>
      <c r="F888" s="5" t="s">
        <v>7305</v>
      </c>
      <c r="G888" s="12">
        <v>940</v>
      </c>
      <c r="H888" s="12">
        <v>0</v>
      </c>
      <c r="I888" s="12">
        <v>940</v>
      </c>
      <c r="J888" s="12">
        <f>SUMIF(order_item!B:B,A888,order_item!E:E)</f>
        <v>940</v>
      </c>
      <c r="K888" s="28" t="str">
        <f>_xlfn.XLOOKUP(B888,customers!A:A,customers!D:D)</f>
        <v>New</v>
      </c>
    </row>
    <row r="889" spans="1:11" x14ac:dyDescent="0.25">
      <c r="A889" s="5" t="s">
        <v>4219</v>
      </c>
      <c r="B889" s="5" t="s">
        <v>232</v>
      </c>
      <c r="C889" s="5" t="s">
        <v>7309</v>
      </c>
      <c r="D889" s="1">
        <v>45457</v>
      </c>
      <c r="E889" s="17">
        <v>0.44444444444444442</v>
      </c>
      <c r="F889" s="5" t="s">
        <v>7305</v>
      </c>
      <c r="G889" s="12">
        <v>853</v>
      </c>
      <c r="H889" s="12">
        <v>127.95</v>
      </c>
      <c r="I889" s="12">
        <v>725.05</v>
      </c>
      <c r="J889" s="12">
        <f>SUMIF(order_item!B:B,A889,order_item!E:E)</f>
        <v>853</v>
      </c>
      <c r="K889" s="28" t="str">
        <f>_xlfn.XLOOKUP(B889,customers!A:A,customers!D:D)</f>
        <v>Regular</v>
      </c>
    </row>
    <row r="890" spans="1:11" x14ac:dyDescent="0.25">
      <c r="A890" s="5" t="s">
        <v>4216</v>
      </c>
      <c r="B890" s="5" t="s">
        <v>200</v>
      </c>
      <c r="C890" s="5" t="s">
        <v>7309</v>
      </c>
      <c r="D890" s="1">
        <v>45700</v>
      </c>
      <c r="E890" s="17">
        <v>0.90902777777777777</v>
      </c>
      <c r="F890" s="5" t="s">
        <v>7305</v>
      </c>
      <c r="G890" s="12">
        <v>566</v>
      </c>
      <c r="H890" s="12">
        <v>84.9</v>
      </c>
      <c r="I890" s="12">
        <v>481.1</v>
      </c>
      <c r="J890" s="12">
        <f>SUMIF(order_item!B:B,A890,order_item!E:E)</f>
        <v>566</v>
      </c>
      <c r="K890" s="28" t="str">
        <f>_xlfn.XLOOKUP(B890,customers!A:A,customers!D:D)</f>
        <v>New</v>
      </c>
    </row>
    <row r="891" spans="1:11" x14ac:dyDescent="0.25">
      <c r="A891" s="5" t="s">
        <v>4213</v>
      </c>
      <c r="B891" s="5" t="s">
        <v>411</v>
      </c>
      <c r="C891" s="5" t="s">
        <v>7308</v>
      </c>
      <c r="D891" s="1">
        <v>45550</v>
      </c>
      <c r="E891" s="17">
        <v>0.76041666666666663</v>
      </c>
      <c r="F891" s="5" t="s">
        <v>7305</v>
      </c>
      <c r="G891" s="12">
        <v>377</v>
      </c>
      <c r="H891" s="12">
        <v>0</v>
      </c>
      <c r="I891" s="12">
        <v>377</v>
      </c>
      <c r="J891" s="12">
        <f>SUMIF(order_item!B:B,A891,order_item!E:E)</f>
        <v>377</v>
      </c>
      <c r="K891" s="28" t="str">
        <f>_xlfn.XLOOKUP(B891,customers!A:A,customers!D:D)</f>
        <v>New</v>
      </c>
    </row>
    <row r="892" spans="1:11" x14ac:dyDescent="0.25">
      <c r="A892" s="5" t="s">
        <v>4209</v>
      </c>
      <c r="B892" s="5" t="s">
        <v>789</v>
      </c>
      <c r="C892" s="5" t="s">
        <v>7308</v>
      </c>
      <c r="D892" s="1">
        <v>45636</v>
      </c>
      <c r="E892" s="17">
        <v>0.90069444444444446</v>
      </c>
      <c r="F892" s="5" t="s">
        <v>7305</v>
      </c>
      <c r="G892" s="12">
        <v>673</v>
      </c>
      <c r="H892" s="12">
        <v>0</v>
      </c>
      <c r="I892" s="12">
        <v>673</v>
      </c>
      <c r="J892" s="12">
        <f>SUMIF(order_item!B:B,A892,order_item!E:E)</f>
        <v>673</v>
      </c>
      <c r="K892" s="28" t="str">
        <f>_xlfn.XLOOKUP(B892,customers!A:A,customers!D:D)</f>
        <v>New</v>
      </c>
    </row>
    <row r="893" spans="1:11" x14ac:dyDescent="0.25">
      <c r="A893" s="5" t="s">
        <v>4207</v>
      </c>
      <c r="B893" s="5" t="s">
        <v>797</v>
      </c>
      <c r="C893" s="5" t="s">
        <v>7306</v>
      </c>
      <c r="D893" s="1">
        <v>45426</v>
      </c>
      <c r="E893" s="17">
        <v>0.73958333333333337</v>
      </c>
      <c r="F893" s="5" t="s">
        <v>7305</v>
      </c>
      <c r="G893" s="12">
        <v>89</v>
      </c>
      <c r="H893" s="12">
        <v>0</v>
      </c>
      <c r="I893" s="12">
        <v>89</v>
      </c>
      <c r="J893" s="12">
        <f>SUMIF(order_item!B:B,A893,order_item!E:E)</f>
        <v>89</v>
      </c>
      <c r="K893" s="28" t="str">
        <f>_xlfn.XLOOKUP(B893,customers!A:A,customers!D:D)</f>
        <v>Regular</v>
      </c>
    </row>
    <row r="894" spans="1:11" x14ac:dyDescent="0.25">
      <c r="A894" s="5" t="s">
        <v>4203</v>
      </c>
      <c r="B894" s="5" t="s">
        <v>605</v>
      </c>
      <c r="C894" s="5" t="s">
        <v>7306</v>
      </c>
      <c r="D894" s="1">
        <v>45666</v>
      </c>
      <c r="E894" s="17">
        <v>0.60138888888888886</v>
      </c>
      <c r="F894" s="5" t="s">
        <v>7305</v>
      </c>
      <c r="G894" s="12">
        <v>693</v>
      </c>
      <c r="H894" s="12">
        <v>0</v>
      </c>
      <c r="I894" s="12">
        <v>693</v>
      </c>
      <c r="J894" s="12">
        <f>SUMIF(order_item!B:B,A894,order_item!E:E)</f>
        <v>693</v>
      </c>
      <c r="K894" s="28" t="str">
        <f>_xlfn.XLOOKUP(B894,customers!A:A,customers!D:D)</f>
        <v>Premium</v>
      </c>
    </row>
    <row r="895" spans="1:11" x14ac:dyDescent="0.25">
      <c r="A895" s="5" t="s">
        <v>4199</v>
      </c>
      <c r="B895" s="5" t="s">
        <v>865</v>
      </c>
      <c r="C895" s="5" t="s">
        <v>7309</v>
      </c>
      <c r="D895" s="1">
        <v>45577</v>
      </c>
      <c r="E895" s="17">
        <v>0.6777777777777777</v>
      </c>
      <c r="F895" s="5" t="s">
        <v>7305</v>
      </c>
      <c r="G895" s="12">
        <v>387</v>
      </c>
      <c r="H895" s="12">
        <v>0</v>
      </c>
      <c r="I895" s="12">
        <v>387</v>
      </c>
      <c r="J895" s="12">
        <f>SUMIF(order_item!B:B,A895,order_item!E:E)</f>
        <v>387</v>
      </c>
      <c r="K895" s="28" t="str">
        <f>_xlfn.XLOOKUP(B895,customers!A:A,customers!D:D)</f>
        <v>New</v>
      </c>
    </row>
    <row r="896" spans="1:11" x14ac:dyDescent="0.25">
      <c r="A896" s="5" t="s">
        <v>4196</v>
      </c>
      <c r="B896" s="5" t="s">
        <v>279</v>
      </c>
      <c r="C896" s="5" t="s">
        <v>7306</v>
      </c>
      <c r="D896" s="1">
        <v>45452</v>
      </c>
      <c r="E896" s="17">
        <v>0.95138888888888884</v>
      </c>
      <c r="F896" s="5" t="s">
        <v>7305</v>
      </c>
      <c r="G896" s="12">
        <v>504</v>
      </c>
      <c r="H896" s="12">
        <v>50.4</v>
      </c>
      <c r="I896" s="12">
        <v>453.6</v>
      </c>
      <c r="J896" s="12">
        <f>SUMIF(order_item!B:B,A896,order_item!E:E)</f>
        <v>504</v>
      </c>
      <c r="K896" s="28" t="str">
        <f>_xlfn.XLOOKUP(B896,customers!A:A,customers!D:D)</f>
        <v>Regular</v>
      </c>
    </row>
    <row r="897" spans="1:11" x14ac:dyDescent="0.25">
      <c r="A897" s="5" t="s">
        <v>4193</v>
      </c>
      <c r="B897" s="5" t="s">
        <v>778</v>
      </c>
      <c r="C897" s="5" t="s">
        <v>7309</v>
      </c>
      <c r="D897" s="1">
        <v>45494</v>
      </c>
      <c r="E897" s="17">
        <v>0.83124999999999993</v>
      </c>
      <c r="F897" s="5" t="s">
        <v>7305</v>
      </c>
      <c r="G897" s="12">
        <v>247</v>
      </c>
      <c r="H897" s="12">
        <v>24.7</v>
      </c>
      <c r="I897" s="12">
        <v>222.3</v>
      </c>
      <c r="J897" s="12">
        <f>SUMIF(order_item!B:B,A897,order_item!E:E)</f>
        <v>247</v>
      </c>
      <c r="K897" s="28" t="str">
        <f>_xlfn.XLOOKUP(B897,customers!A:A,customers!D:D)</f>
        <v>Regular</v>
      </c>
    </row>
    <row r="898" spans="1:11" x14ac:dyDescent="0.25">
      <c r="A898" s="5" t="s">
        <v>4189</v>
      </c>
      <c r="B898" s="5" t="s">
        <v>678</v>
      </c>
      <c r="C898" s="5" t="s">
        <v>7308</v>
      </c>
      <c r="D898" s="1">
        <v>45645</v>
      </c>
      <c r="E898" s="17">
        <v>0.87916666666666676</v>
      </c>
      <c r="F898" s="5" t="s">
        <v>7305</v>
      </c>
      <c r="G898" s="12">
        <v>605</v>
      </c>
      <c r="H898" s="12">
        <v>0</v>
      </c>
      <c r="I898" s="12">
        <v>605</v>
      </c>
      <c r="J898" s="12">
        <f>SUMIF(order_item!B:B,A898,order_item!E:E)</f>
        <v>605</v>
      </c>
      <c r="K898" s="28" t="str">
        <f>_xlfn.XLOOKUP(B898,customers!A:A,customers!D:D)</f>
        <v>Premium</v>
      </c>
    </row>
    <row r="899" spans="1:11" x14ac:dyDescent="0.25">
      <c r="A899" s="5" t="s">
        <v>4184</v>
      </c>
      <c r="B899" s="5" t="s">
        <v>244</v>
      </c>
      <c r="C899" s="5" t="s">
        <v>7308</v>
      </c>
      <c r="D899" s="1">
        <v>45629</v>
      </c>
      <c r="E899" s="17">
        <v>0.85833333333333339</v>
      </c>
      <c r="F899" s="5" t="s">
        <v>7305</v>
      </c>
      <c r="G899" s="12">
        <v>524</v>
      </c>
      <c r="H899" s="12">
        <v>52.4</v>
      </c>
      <c r="I899" s="12">
        <v>471.6</v>
      </c>
      <c r="J899" s="12">
        <f>SUMIF(order_item!B:B,A899,order_item!E:E)</f>
        <v>524</v>
      </c>
      <c r="K899" s="28" t="str">
        <f>_xlfn.XLOOKUP(B899,customers!A:A,customers!D:D)</f>
        <v>Regular</v>
      </c>
    </row>
    <row r="900" spans="1:11" x14ac:dyDescent="0.25">
      <c r="A900" s="5" t="s">
        <v>4180</v>
      </c>
      <c r="B900" s="5" t="s">
        <v>678</v>
      </c>
      <c r="C900" s="5" t="s">
        <v>7306</v>
      </c>
      <c r="D900" s="1">
        <v>45645</v>
      </c>
      <c r="E900" s="17">
        <v>0.91041666666666676</v>
      </c>
      <c r="F900" s="5" t="s">
        <v>7307</v>
      </c>
      <c r="G900" s="12">
        <v>742</v>
      </c>
      <c r="H900" s="12">
        <v>0</v>
      </c>
      <c r="I900" s="12">
        <v>0</v>
      </c>
      <c r="J900" s="12">
        <f>SUMIF(order_item!B:B,A900,order_item!E:E)</f>
        <v>742</v>
      </c>
      <c r="K900" s="28" t="str">
        <f>_xlfn.XLOOKUP(B900,customers!A:A,customers!D:D)</f>
        <v>Premium</v>
      </c>
    </row>
    <row r="901" spans="1:11" x14ac:dyDescent="0.25">
      <c r="A901" s="5" t="s">
        <v>4178</v>
      </c>
      <c r="B901" s="5" t="s">
        <v>564</v>
      </c>
      <c r="C901" s="5" t="s">
        <v>7308</v>
      </c>
      <c r="D901" s="1">
        <v>45655</v>
      </c>
      <c r="E901" s="17">
        <v>0.80138888888888893</v>
      </c>
      <c r="F901" s="5" t="s">
        <v>7305</v>
      </c>
      <c r="G901" s="12">
        <v>79</v>
      </c>
      <c r="H901" s="12">
        <v>0</v>
      </c>
      <c r="I901" s="12">
        <v>79</v>
      </c>
      <c r="J901" s="12">
        <f>SUMIF(order_item!B:B,A901,order_item!E:E)</f>
        <v>79</v>
      </c>
      <c r="K901" s="28" t="str">
        <f>_xlfn.XLOOKUP(B901,customers!A:A,customers!D:D)</f>
        <v>Regular</v>
      </c>
    </row>
    <row r="902" spans="1:11" x14ac:dyDescent="0.25">
      <c r="A902" s="5" t="s">
        <v>4175</v>
      </c>
      <c r="B902" s="5" t="s">
        <v>801</v>
      </c>
      <c r="C902" s="5" t="s">
        <v>7306</v>
      </c>
      <c r="D902" s="1">
        <v>45465</v>
      </c>
      <c r="E902" s="17">
        <v>0.87777777777777777</v>
      </c>
      <c r="F902" s="5" t="s">
        <v>7305</v>
      </c>
      <c r="G902" s="12">
        <v>158</v>
      </c>
      <c r="H902" s="12">
        <v>0</v>
      </c>
      <c r="I902" s="12">
        <v>158</v>
      </c>
      <c r="J902" s="12">
        <f>SUMIF(order_item!B:B,A902,order_item!E:E)</f>
        <v>158</v>
      </c>
      <c r="K902" s="28" t="str">
        <f>_xlfn.XLOOKUP(B902,customers!A:A,customers!D:D)</f>
        <v>Regular</v>
      </c>
    </row>
    <row r="903" spans="1:11" x14ac:dyDescent="0.25">
      <c r="A903" s="5" t="s">
        <v>4170</v>
      </c>
      <c r="B903" s="5" t="s">
        <v>549</v>
      </c>
      <c r="C903" s="5" t="s">
        <v>7308</v>
      </c>
      <c r="D903" s="1">
        <v>45429</v>
      </c>
      <c r="E903" s="17">
        <v>0.87222222222222223</v>
      </c>
      <c r="F903" s="5" t="s">
        <v>7305</v>
      </c>
      <c r="G903" s="12">
        <v>1220</v>
      </c>
      <c r="H903" s="12">
        <v>0</v>
      </c>
      <c r="I903" s="12">
        <v>1220</v>
      </c>
      <c r="J903" s="12">
        <f>SUMIF(order_item!B:B,A903,order_item!E:E)</f>
        <v>1220</v>
      </c>
      <c r="K903" s="28" t="str">
        <f>_xlfn.XLOOKUP(B903,customers!A:A,customers!D:D)</f>
        <v>New</v>
      </c>
    </row>
    <row r="904" spans="1:11" x14ac:dyDescent="0.25">
      <c r="A904" s="5" t="s">
        <v>4165</v>
      </c>
      <c r="B904" s="5" t="s">
        <v>200</v>
      </c>
      <c r="C904" s="5" t="s">
        <v>7309</v>
      </c>
      <c r="D904" s="1">
        <v>45448</v>
      </c>
      <c r="E904" s="17">
        <v>0.41597222222222219</v>
      </c>
      <c r="F904" s="5" t="s">
        <v>7305</v>
      </c>
      <c r="G904" s="12">
        <v>1280</v>
      </c>
      <c r="H904" s="12">
        <v>0</v>
      </c>
      <c r="I904" s="12">
        <v>1280</v>
      </c>
      <c r="J904" s="12">
        <f>SUMIF(order_item!B:B,A904,order_item!E:E)</f>
        <v>1280</v>
      </c>
      <c r="K904" s="28" t="str">
        <f>_xlfn.XLOOKUP(B904,customers!A:A,customers!D:D)</f>
        <v>New</v>
      </c>
    </row>
    <row r="905" spans="1:11" x14ac:dyDescent="0.25">
      <c r="A905" s="5" t="s">
        <v>4160</v>
      </c>
      <c r="B905" s="5" t="s">
        <v>854</v>
      </c>
      <c r="C905" s="5" t="s">
        <v>7306</v>
      </c>
      <c r="D905" s="1">
        <v>45446</v>
      </c>
      <c r="E905" s="17">
        <v>6.6666666666666666E-2</v>
      </c>
      <c r="F905" s="5" t="s">
        <v>7305</v>
      </c>
      <c r="G905" s="12">
        <v>366</v>
      </c>
      <c r="H905" s="12">
        <v>0</v>
      </c>
      <c r="I905" s="12">
        <v>366</v>
      </c>
      <c r="J905" s="12">
        <f>SUMIF(order_item!B:B,A905,order_item!E:E)</f>
        <v>366</v>
      </c>
      <c r="K905" s="28" t="str">
        <f>_xlfn.XLOOKUP(B905,customers!A:A,customers!D:D)</f>
        <v>New</v>
      </c>
    </row>
    <row r="906" spans="1:11" x14ac:dyDescent="0.25">
      <c r="A906" s="5" t="s">
        <v>4157</v>
      </c>
      <c r="B906" s="5" t="s">
        <v>400</v>
      </c>
      <c r="C906" s="5" t="s">
        <v>7306</v>
      </c>
      <c r="D906" s="1">
        <v>45395</v>
      </c>
      <c r="E906" s="17">
        <v>0.51597222222222217</v>
      </c>
      <c r="F906" s="5" t="s">
        <v>7305</v>
      </c>
      <c r="G906" s="12">
        <v>317</v>
      </c>
      <c r="H906" s="12">
        <v>0</v>
      </c>
      <c r="I906" s="12">
        <v>317</v>
      </c>
      <c r="J906" s="12">
        <f>SUMIF(order_item!B:B,A906,order_item!E:E)</f>
        <v>317</v>
      </c>
      <c r="K906" s="28" t="str">
        <f>_xlfn.XLOOKUP(B906,customers!A:A,customers!D:D)</f>
        <v>New</v>
      </c>
    </row>
    <row r="907" spans="1:11" x14ac:dyDescent="0.25">
      <c r="A907" s="5" t="s">
        <v>4154</v>
      </c>
      <c r="B907" s="5" t="s">
        <v>814</v>
      </c>
      <c r="C907" s="5" t="s">
        <v>7306</v>
      </c>
      <c r="D907" s="1">
        <v>45590</v>
      </c>
      <c r="E907" s="17">
        <v>0.62916666666666665</v>
      </c>
      <c r="F907" s="5" t="s">
        <v>7305</v>
      </c>
      <c r="G907" s="12">
        <v>316</v>
      </c>
      <c r="H907" s="12">
        <v>0</v>
      </c>
      <c r="I907" s="12">
        <v>316</v>
      </c>
      <c r="J907" s="12">
        <f>SUMIF(order_item!B:B,A907,order_item!E:E)</f>
        <v>316</v>
      </c>
      <c r="K907" s="28" t="str">
        <f>_xlfn.XLOOKUP(B907,customers!A:A,customers!D:D)</f>
        <v>Regular</v>
      </c>
    </row>
    <row r="908" spans="1:11" x14ac:dyDescent="0.25">
      <c r="A908" s="5" t="s">
        <v>4151</v>
      </c>
      <c r="B908" s="5" t="s">
        <v>114</v>
      </c>
      <c r="C908" s="5" t="s">
        <v>7306</v>
      </c>
      <c r="D908" s="1">
        <v>45596</v>
      </c>
      <c r="E908" s="17">
        <v>3.9583333333333331E-2</v>
      </c>
      <c r="F908" s="5" t="s">
        <v>7305</v>
      </c>
      <c r="G908" s="12">
        <v>394</v>
      </c>
      <c r="H908" s="12">
        <v>0</v>
      </c>
      <c r="I908" s="12">
        <v>394</v>
      </c>
      <c r="J908" s="12">
        <f>SUMIF(order_item!B:B,A908,order_item!E:E)</f>
        <v>394</v>
      </c>
      <c r="K908" s="28" t="str">
        <f>_xlfn.XLOOKUP(B908,customers!A:A,customers!D:D)</f>
        <v>New</v>
      </c>
    </row>
    <row r="909" spans="1:11" x14ac:dyDescent="0.25">
      <c r="A909" s="5" t="s">
        <v>4148</v>
      </c>
      <c r="B909" s="5" t="s">
        <v>688</v>
      </c>
      <c r="C909" s="5" t="s">
        <v>7306</v>
      </c>
      <c r="D909" s="1">
        <v>45612</v>
      </c>
      <c r="E909" s="17">
        <v>0.55555555555555558</v>
      </c>
      <c r="F909" s="5" t="s">
        <v>7305</v>
      </c>
      <c r="G909" s="12">
        <v>663</v>
      </c>
      <c r="H909" s="12">
        <v>33.15</v>
      </c>
      <c r="I909" s="12">
        <v>629.85</v>
      </c>
      <c r="J909" s="12">
        <f>SUMIF(order_item!B:B,A909,order_item!E:E)</f>
        <v>663</v>
      </c>
      <c r="K909" s="28" t="str">
        <f>_xlfn.XLOOKUP(B909,customers!A:A,customers!D:D)</f>
        <v>Regular</v>
      </c>
    </row>
    <row r="910" spans="1:11" x14ac:dyDescent="0.25">
      <c r="A910" s="5" t="s">
        <v>4145</v>
      </c>
      <c r="B910" s="5" t="s">
        <v>303</v>
      </c>
      <c r="C910" s="5" t="s">
        <v>7306</v>
      </c>
      <c r="D910" s="1">
        <v>45669</v>
      </c>
      <c r="E910" s="17">
        <v>0.67638888888888893</v>
      </c>
      <c r="F910" s="5" t="s">
        <v>7305</v>
      </c>
      <c r="G910" s="12">
        <v>526</v>
      </c>
      <c r="H910" s="12">
        <v>0</v>
      </c>
      <c r="I910" s="12">
        <v>526</v>
      </c>
      <c r="J910" s="12">
        <f>SUMIF(order_item!B:B,A910,order_item!E:E)</f>
        <v>526</v>
      </c>
      <c r="K910" s="28" t="str">
        <f>_xlfn.XLOOKUP(B910,customers!A:A,customers!D:D)</f>
        <v>Regular</v>
      </c>
    </row>
    <row r="911" spans="1:11" x14ac:dyDescent="0.25">
      <c r="A911" s="5" t="s">
        <v>4141</v>
      </c>
      <c r="B911" s="5" t="s">
        <v>127</v>
      </c>
      <c r="C911" s="5" t="s">
        <v>7309</v>
      </c>
      <c r="D911" s="1">
        <v>45591</v>
      </c>
      <c r="E911" s="17">
        <v>0.71875</v>
      </c>
      <c r="F911" s="5" t="s">
        <v>7305</v>
      </c>
      <c r="G911" s="12">
        <v>574</v>
      </c>
      <c r="H911" s="12">
        <v>57.4</v>
      </c>
      <c r="I911" s="12">
        <v>516.6</v>
      </c>
      <c r="J911" s="12">
        <f>SUMIF(order_item!B:B,A911,order_item!E:E)</f>
        <v>574</v>
      </c>
      <c r="K911" s="28" t="str">
        <f>_xlfn.XLOOKUP(B911,customers!A:A,customers!D:D)</f>
        <v>Premium</v>
      </c>
    </row>
    <row r="912" spans="1:11" x14ac:dyDescent="0.25">
      <c r="A912" s="5" t="s">
        <v>4138</v>
      </c>
      <c r="B912" s="5" t="s">
        <v>393</v>
      </c>
      <c r="C912" s="5" t="s">
        <v>7309</v>
      </c>
      <c r="D912" s="1">
        <v>45690</v>
      </c>
      <c r="E912" s="17">
        <v>0.73888888888888893</v>
      </c>
      <c r="F912" s="5" t="s">
        <v>7307</v>
      </c>
      <c r="G912" s="12">
        <v>366</v>
      </c>
      <c r="H912" s="12">
        <v>0</v>
      </c>
      <c r="I912" s="12">
        <v>0</v>
      </c>
      <c r="J912" s="12">
        <f>SUMIF(order_item!B:B,A912,order_item!E:E)</f>
        <v>366</v>
      </c>
      <c r="K912" s="28" t="str">
        <f>_xlfn.XLOOKUP(B912,customers!A:A,customers!D:D)</f>
        <v>Regular</v>
      </c>
    </row>
    <row r="913" spans="1:11" x14ac:dyDescent="0.25">
      <c r="A913" s="5" t="s">
        <v>4134</v>
      </c>
      <c r="B913" s="5" t="s">
        <v>847</v>
      </c>
      <c r="C913" s="5" t="s">
        <v>7306</v>
      </c>
      <c r="D913" s="1">
        <v>45633</v>
      </c>
      <c r="E913" s="17">
        <v>0.58402777777777781</v>
      </c>
      <c r="F913" s="5" t="s">
        <v>7305</v>
      </c>
      <c r="G913" s="12">
        <v>655</v>
      </c>
      <c r="H913" s="12">
        <v>0</v>
      </c>
      <c r="I913" s="12">
        <v>655</v>
      </c>
      <c r="J913" s="12">
        <f>SUMIF(order_item!B:B,A913,order_item!E:E)</f>
        <v>655</v>
      </c>
      <c r="K913" s="28" t="str">
        <f>_xlfn.XLOOKUP(B913,customers!A:A,customers!D:D)</f>
        <v>Regular</v>
      </c>
    </row>
    <row r="914" spans="1:11" x14ac:dyDescent="0.25">
      <c r="A914" s="5" t="s">
        <v>4129</v>
      </c>
      <c r="B914" s="5" t="s">
        <v>609</v>
      </c>
      <c r="C914" s="5" t="s">
        <v>7309</v>
      </c>
      <c r="D914" s="1">
        <v>45673</v>
      </c>
      <c r="E914" s="17">
        <v>0.8618055555555556</v>
      </c>
      <c r="F914" s="5" t="s">
        <v>7305</v>
      </c>
      <c r="G914" s="12">
        <v>605</v>
      </c>
      <c r="H914" s="12">
        <v>90.75</v>
      </c>
      <c r="I914" s="12">
        <v>514.25</v>
      </c>
      <c r="J914" s="12">
        <f>SUMIF(order_item!B:B,A914,order_item!E:E)</f>
        <v>605</v>
      </c>
      <c r="K914" s="28" t="str">
        <f>_xlfn.XLOOKUP(B914,customers!A:A,customers!D:D)</f>
        <v>Regular</v>
      </c>
    </row>
    <row r="915" spans="1:11" x14ac:dyDescent="0.25">
      <c r="A915" s="5" t="s">
        <v>4124</v>
      </c>
      <c r="B915" s="5" t="s">
        <v>122</v>
      </c>
      <c r="C915" s="5" t="s">
        <v>7306</v>
      </c>
      <c r="D915" s="1">
        <v>45603</v>
      </c>
      <c r="E915" s="17">
        <v>0.81458333333333333</v>
      </c>
      <c r="F915" s="5" t="s">
        <v>7305</v>
      </c>
      <c r="G915" s="12">
        <v>525</v>
      </c>
      <c r="H915" s="12">
        <v>52.5</v>
      </c>
      <c r="I915" s="12">
        <v>472.5</v>
      </c>
      <c r="J915" s="12">
        <f>SUMIF(order_item!B:B,A915,order_item!E:E)</f>
        <v>525</v>
      </c>
      <c r="K915" s="28" t="str">
        <f>_xlfn.XLOOKUP(B915,customers!A:A,customers!D:D)</f>
        <v>Regular</v>
      </c>
    </row>
    <row r="916" spans="1:11" x14ac:dyDescent="0.25">
      <c r="A916" s="5" t="s">
        <v>4120</v>
      </c>
      <c r="B916" s="5" t="s">
        <v>812</v>
      </c>
      <c r="C916" s="5" t="s">
        <v>7309</v>
      </c>
      <c r="D916" s="1">
        <v>45704</v>
      </c>
      <c r="E916" s="17">
        <v>0.88958333333333339</v>
      </c>
      <c r="F916" s="5" t="s">
        <v>7305</v>
      </c>
      <c r="G916" s="12">
        <v>247</v>
      </c>
      <c r="H916" s="12">
        <v>0</v>
      </c>
      <c r="I916" s="12">
        <v>247</v>
      </c>
      <c r="J916" s="12">
        <f>SUMIF(order_item!B:B,A916,order_item!E:E)</f>
        <v>247</v>
      </c>
      <c r="K916" s="28" t="str">
        <f>_xlfn.XLOOKUP(B916,customers!A:A,customers!D:D)</f>
        <v>Regular</v>
      </c>
    </row>
    <row r="917" spans="1:11" x14ac:dyDescent="0.25">
      <c r="A917" s="5" t="s">
        <v>4116</v>
      </c>
      <c r="B917" s="5" t="s">
        <v>445</v>
      </c>
      <c r="C917" s="5" t="s">
        <v>7309</v>
      </c>
      <c r="D917" s="1">
        <v>45627</v>
      </c>
      <c r="E917" s="17">
        <v>0.74305555555555547</v>
      </c>
      <c r="F917" s="5" t="s">
        <v>7305</v>
      </c>
      <c r="G917" s="12">
        <v>764</v>
      </c>
      <c r="H917" s="12">
        <v>0</v>
      </c>
      <c r="I917" s="12">
        <v>764</v>
      </c>
      <c r="J917" s="12">
        <f>SUMIF(order_item!B:B,A917,order_item!E:E)</f>
        <v>764</v>
      </c>
      <c r="K917" s="28" t="str">
        <f>_xlfn.XLOOKUP(B917,customers!A:A,customers!D:D)</f>
        <v>Regular</v>
      </c>
    </row>
    <row r="918" spans="1:11" x14ac:dyDescent="0.25">
      <c r="A918" s="5" t="s">
        <v>4113</v>
      </c>
      <c r="B918" s="5" t="s">
        <v>393</v>
      </c>
      <c r="C918" s="5" t="s">
        <v>7308</v>
      </c>
      <c r="D918" s="1">
        <v>45666</v>
      </c>
      <c r="E918" s="17">
        <v>0.86736111111111114</v>
      </c>
      <c r="F918" s="5" t="s">
        <v>7305</v>
      </c>
      <c r="G918" s="12">
        <v>773</v>
      </c>
      <c r="H918" s="12">
        <v>0</v>
      </c>
      <c r="I918" s="12">
        <v>773</v>
      </c>
      <c r="J918" s="12">
        <f>SUMIF(order_item!B:B,A918,order_item!E:E)</f>
        <v>773</v>
      </c>
      <c r="K918" s="28" t="str">
        <f>_xlfn.XLOOKUP(B918,customers!A:A,customers!D:D)</f>
        <v>Regular</v>
      </c>
    </row>
    <row r="919" spans="1:11" x14ac:dyDescent="0.25">
      <c r="A919" s="5" t="s">
        <v>4109</v>
      </c>
      <c r="B919" s="5" t="s">
        <v>863</v>
      </c>
      <c r="C919" s="5" t="s">
        <v>7309</v>
      </c>
      <c r="D919" s="1">
        <v>45589</v>
      </c>
      <c r="E919" s="17">
        <v>0.99097222222222225</v>
      </c>
      <c r="F919" s="5" t="s">
        <v>7305</v>
      </c>
      <c r="G919" s="12">
        <v>416</v>
      </c>
      <c r="H919" s="12">
        <v>0</v>
      </c>
      <c r="I919" s="12">
        <v>416</v>
      </c>
      <c r="J919" s="12">
        <f>SUMIF(order_item!B:B,A919,order_item!E:E)</f>
        <v>416</v>
      </c>
      <c r="K919" s="28" t="str">
        <f>_xlfn.XLOOKUP(B919,customers!A:A,customers!D:D)</f>
        <v>Regular</v>
      </c>
    </row>
    <row r="920" spans="1:11" x14ac:dyDescent="0.25">
      <c r="A920" s="5" t="s">
        <v>4105</v>
      </c>
      <c r="B920" s="5" t="s">
        <v>773</v>
      </c>
      <c r="C920" s="5" t="s">
        <v>7306</v>
      </c>
      <c r="D920" s="1">
        <v>45546</v>
      </c>
      <c r="E920" s="17">
        <v>0.87777777777777777</v>
      </c>
      <c r="F920" s="5" t="s">
        <v>7305</v>
      </c>
      <c r="G920" s="12">
        <v>575</v>
      </c>
      <c r="H920" s="12">
        <v>0</v>
      </c>
      <c r="I920" s="12">
        <v>575</v>
      </c>
      <c r="J920" s="12">
        <f>SUMIF(order_item!B:B,A920,order_item!E:E)</f>
        <v>575</v>
      </c>
      <c r="K920" s="28" t="str">
        <f>_xlfn.XLOOKUP(B920,customers!A:A,customers!D:D)</f>
        <v>New</v>
      </c>
    </row>
    <row r="921" spans="1:11" x14ac:dyDescent="0.25">
      <c r="A921" s="5" t="s">
        <v>4102</v>
      </c>
      <c r="B921" s="5" t="s">
        <v>726</v>
      </c>
      <c r="C921" s="5" t="s">
        <v>7309</v>
      </c>
      <c r="D921" s="1">
        <v>45433</v>
      </c>
      <c r="E921" s="17">
        <v>0.9770833333333333</v>
      </c>
      <c r="F921" s="5" t="s">
        <v>7305</v>
      </c>
      <c r="G921" s="12">
        <v>574</v>
      </c>
      <c r="H921" s="12">
        <v>0</v>
      </c>
      <c r="I921" s="12">
        <v>574</v>
      </c>
      <c r="J921" s="12">
        <f>SUMIF(order_item!B:B,A921,order_item!E:E)</f>
        <v>574</v>
      </c>
      <c r="K921" s="28" t="str">
        <f>_xlfn.XLOOKUP(B921,customers!A:A,customers!D:D)</f>
        <v>Regular</v>
      </c>
    </row>
    <row r="922" spans="1:11" x14ac:dyDescent="0.25">
      <c r="A922" s="5" t="s">
        <v>4098</v>
      </c>
      <c r="B922" s="5" t="s">
        <v>167</v>
      </c>
      <c r="C922" s="5" t="s">
        <v>7309</v>
      </c>
      <c r="D922" s="1">
        <v>45727</v>
      </c>
      <c r="E922" s="17">
        <v>0.78819444444444453</v>
      </c>
      <c r="F922" s="5" t="s">
        <v>7305</v>
      </c>
      <c r="G922" s="12">
        <v>554</v>
      </c>
      <c r="H922" s="12">
        <v>0</v>
      </c>
      <c r="I922" s="12">
        <v>554</v>
      </c>
      <c r="J922" s="12">
        <f>SUMIF(order_item!B:B,A922,order_item!E:E)</f>
        <v>554</v>
      </c>
      <c r="K922" s="28" t="str">
        <f>_xlfn.XLOOKUP(B922,customers!A:A,customers!D:D)</f>
        <v>Regular</v>
      </c>
    </row>
    <row r="923" spans="1:11" x14ac:dyDescent="0.25">
      <c r="A923" s="5" t="s">
        <v>4094</v>
      </c>
      <c r="B923" s="5" t="s">
        <v>666</v>
      </c>
      <c r="C923" s="5" t="s">
        <v>7306</v>
      </c>
      <c r="D923" s="1">
        <v>45571</v>
      </c>
      <c r="E923" s="17">
        <v>0.78819444444444453</v>
      </c>
      <c r="F923" s="5" t="s">
        <v>7305</v>
      </c>
      <c r="G923" s="12">
        <v>553</v>
      </c>
      <c r="H923" s="12">
        <v>0</v>
      </c>
      <c r="I923" s="12">
        <v>553</v>
      </c>
      <c r="J923" s="12">
        <f>SUMIF(order_item!B:B,A923,order_item!E:E)</f>
        <v>553</v>
      </c>
      <c r="K923" s="28" t="str">
        <f>_xlfn.XLOOKUP(B923,customers!A:A,customers!D:D)</f>
        <v>New</v>
      </c>
    </row>
    <row r="924" spans="1:11" x14ac:dyDescent="0.25">
      <c r="A924" s="5" t="s">
        <v>4091</v>
      </c>
      <c r="B924" s="5" t="s">
        <v>342</v>
      </c>
      <c r="C924" s="5" t="s">
        <v>7309</v>
      </c>
      <c r="D924" s="1">
        <v>45646</v>
      </c>
      <c r="E924" s="17">
        <v>0.87013888888888891</v>
      </c>
      <c r="F924" s="5" t="s">
        <v>7305</v>
      </c>
      <c r="G924" s="12">
        <v>208</v>
      </c>
      <c r="H924" s="12">
        <v>0</v>
      </c>
      <c r="I924" s="12">
        <v>208</v>
      </c>
      <c r="J924" s="12">
        <f>SUMIF(order_item!B:B,A924,order_item!E:E)</f>
        <v>208</v>
      </c>
      <c r="K924" s="28" t="str">
        <f>_xlfn.XLOOKUP(B924,customers!A:A,customers!D:D)</f>
        <v>Regular</v>
      </c>
    </row>
    <row r="925" spans="1:11" x14ac:dyDescent="0.25">
      <c r="A925" s="5" t="s">
        <v>4088</v>
      </c>
      <c r="B925" s="5" t="s">
        <v>487</v>
      </c>
      <c r="C925" s="5" t="s">
        <v>7309</v>
      </c>
      <c r="D925" s="1">
        <v>45736</v>
      </c>
      <c r="E925" s="17">
        <v>0.53680555555555554</v>
      </c>
      <c r="F925" s="5" t="s">
        <v>7305</v>
      </c>
      <c r="G925" s="12">
        <v>178</v>
      </c>
      <c r="H925" s="12">
        <v>17.8</v>
      </c>
      <c r="I925" s="12">
        <v>160.19999999999999</v>
      </c>
      <c r="J925" s="12">
        <f>SUMIF(order_item!B:B,A925,order_item!E:E)</f>
        <v>178</v>
      </c>
      <c r="K925" s="28" t="str">
        <f>_xlfn.XLOOKUP(B925,customers!A:A,customers!D:D)</f>
        <v>New</v>
      </c>
    </row>
    <row r="926" spans="1:11" x14ac:dyDescent="0.25">
      <c r="A926" s="5" t="s">
        <v>4084</v>
      </c>
      <c r="B926" s="5" t="s">
        <v>838</v>
      </c>
      <c r="C926" s="5" t="s">
        <v>7306</v>
      </c>
      <c r="D926" s="1">
        <v>45588</v>
      </c>
      <c r="E926" s="17">
        <v>0.44027777777777777</v>
      </c>
      <c r="F926" s="5" t="s">
        <v>7305</v>
      </c>
      <c r="G926" s="12">
        <v>327</v>
      </c>
      <c r="H926" s="12">
        <v>0</v>
      </c>
      <c r="I926" s="12">
        <v>327</v>
      </c>
      <c r="J926" s="12">
        <f>SUMIF(order_item!B:B,A926,order_item!E:E)</f>
        <v>327</v>
      </c>
      <c r="K926" s="28" t="str">
        <f>_xlfn.XLOOKUP(B926,customers!A:A,customers!D:D)</f>
        <v>Regular</v>
      </c>
    </row>
    <row r="927" spans="1:11" x14ac:dyDescent="0.25">
      <c r="A927" s="5" t="s">
        <v>4080</v>
      </c>
      <c r="B927" s="5" t="s">
        <v>290</v>
      </c>
      <c r="C927" s="5" t="s">
        <v>7306</v>
      </c>
      <c r="D927" s="1">
        <v>45692</v>
      </c>
      <c r="E927" s="17">
        <v>0.45694444444444443</v>
      </c>
      <c r="F927" s="5" t="s">
        <v>7305</v>
      </c>
      <c r="G927" s="12">
        <v>475</v>
      </c>
      <c r="H927" s="12">
        <v>0</v>
      </c>
      <c r="I927" s="12">
        <v>475</v>
      </c>
      <c r="J927" s="12">
        <f>SUMIF(order_item!B:B,A927,order_item!E:E)</f>
        <v>475</v>
      </c>
      <c r="K927" s="28" t="str">
        <f>_xlfn.XLOOKUP(B927,customers!A:A,customers!D:D)</f>
        <v>New</v>
      </c>
    </row>
    <row r="928" spans="1:11" x14ac:dyDescent="0.25">
      <c r="A928" s="5" t="s">
        <v>4078</v>
      </c>
      <c r="B928" s="5" t="s">
        <v>222</v>
      </c>
      <c r="C928" s="5" t="s">
        <v>7309</v>
      </c>
      <c r="D928" s="1">
        <v>45706</v>
      </c>
      <c r="E928" s="17">
        <v>0.71736111111111101</v>
      </c>
      <c r="F928" s="5" t="s">
        <v>7307</v>
      </c>
      <c r="G928" s="12">
        <v>149</v>
      </c>
      <c r="H928" s="12">
        <v>22.35</v>
      </c>
      <c r="I928" s="12">
        <v>0</v>
      </c>
      <c r="J928" s="12">
        <f>SUMIF(order_item!B:B,A928,order_item!E:E)</f>
        <v>149</v>
      </c>
      <c r="K928" s="28" t="str">
        <f>_xlfn.XLOOKUP(B928,customers!A:A,customers!D:D)</f>
        <v>Regular</v>
      </c>
    </row>
    <row r="929" spans="1:11" x14ac:dyDescent="0.25">
      <c r="A929" s="5" t="s">
        <v>4074</v>
      </c>
      <c r="B929" s="5" t="s">
        <v>640</v>
      </c>
      <c r="C929" s="5" t="s">
        <v>7309</v>
      </c>
      <c r="D929" s="1">
        <v>45587</v>
      </c>
      <c r="E929" s="17">
        <v>0.89166666666666661</v>
      </c>
      <c r="F929" s="5" t="s">
        <v>7305</v>
      </c>
      <c r="G929" s="12">
        <v>1308</v>
      </c>
      <c r="H929" s="12">
        <v>65.400000000000006</v>
      </c>
      <c r="I929" s="12">
        <v>1242.5999999999999</v>
      </c>
      <c r="J929" s="12">
        <f>SUMIF(order_item!B:B,A929,order_item!E:E)</f>
        <v>1308</v>
      </c>
      <c r="K929" s="28" t="str">
        <f>_xlfn.XLOOKUP(B929,customers!A:A,customers!D:D)</f>
        <v>Regular</v>
      </c>
    </row>
    <row r="930" spans="1:11" x14ac:dyDescent="0.25">
      <c r="A930" s="5" t="s">
        <v>4072</v>
      </c>
      <c r="B930" s="5" t="s">
        <v>155</v>
      </c>
      <c r="C930" s="5" t="s">
        <v>7309</v>
      </c>
      <c r="D930" s="1">
        <v>45543</v>
      </c>
      <c r="E930" s="17">
        <v>0.75555555555555554</v>
      </c>
      <c r="F930" s="5" t="s">
        <v>7307</v>
      </c>
      <c r="G930" s="12">
        <v>158</v>
      </c>
      <c r="H930" s="12">
        <v>0</v>
      </c>
      <c r="I930" s="12">
        <v>0</v>
      </c>
      <c r="J930" s="12">
        <f>SUMIF(order_item!B:B,A930,order_item!E:E)</f>
        <v>158</v>
      </c>
      <c r="K930" s="28" t="str">
        <f>_xlfn.XLOOKUP(B930,customers!A:A,customers!D:D)</f>
        <v>Premium</v>
      </c>
    </row>
    <row r="931" spans="1:11" x14ac:dyDescent="0.25">
      <c r="A931" s="5" t="s">
        <v>4068</v>
      </c>
      <c r="B931" s="5" t="s">
        <v>593</v>
      </c>
      <c r="C931" s="5" t="s">
        <v>7306</v>
      </c>
      <c r="D931" s="1">
        <v>45502</v>
      </c>
      <c r="E931" s="17">
        <v>0.71805555555555556</v>
      </c>
      <c r="F931" s="5" t="s">
        <v>7305</v>
      </c>
      <c r="G931" s="12">
        <v>912</v>
      </c>
      <c r="H931" s="12">
        <v>0</v>
      </c>
      <c r="I931" s="12">
        <v>912</v>
      </c>
      <c r="J931" s="12">
        <f>SUMIF(order_item!B:B,A931,order_item!E:E)</f>
        <v>912</v>
      </c>
      <c r="K931" s="28" t="str">
        <f>_xlfn.XLOOKUP(B931,customers!A:A,customers!D:D)</f>
        <v>Regular</v>
      </c>
    </row>
    <row r="932" spans="1:11" x14ac:dyDescent="0.25">
      <c r="A932" s="5" t="s">
        <v>4064</v>
      </c>
      <c r="B932" s="5" t="s">
        <v>575</v>
      </c>
      <c r="C932" s="5" t="s">
        <v>7309</v>
      </c>
      <c r="D932" s="1">
        <v>45411</v>
      </c>
      <c r="E932" s="17">
        <v>0.76458333333333339</v>
      </c>
      <c r="F932" s="5" t="s">
        <v>7305</v>
      </c>
      <c r="G932" s="12">
        <v>853</v>
      </c>
      <c r="H932" s="12">
        <v>0</v>
      </c>
      <c r="I932" s="12">
        <v>853</v>
      </c>
      <c r="J932" s="12">
        <f>SUMIF(order_item!B:B,A932,order_item!E:E)</f>
        <v>853</v>
      </c>
      <c r="K932" s="28" t="str">
        <f>_xlfn.XLOOKUP(B932,customers!A:A,customers!D:D)</f>
        <v>Regular</v>
      </c>
    </row>
    <row r="933" spans="1:11" x14ac:dyDescent="0.25">
      <c r="A933" s="5" t="s">
        <v>4060</v>
      </c>
      <c r="B933" s="5" t="s">
        <v>594</v>
      </c>
      <c r="C933" s="5" t="s">
        <v>7309</v>
      </c>
      <c r="D933" s="1">
        <v>45662</v>
      </c>
      <c r="E933" s="17">
        <v>0.83263888888888893</v>
      </c>
      <c r="F933" s="5" t="s">
        <v>7305</v>
      </c>
      <c r="G933" s="12">
        <v>327</v>
      </c>
      <c r="H933" s="12">
        <v>0</v>
      </c>
      <c r="I933" s="12">
        <v>327</v>
      </c>
      <c r="J933" s="12">
        <f>SUMIF(order_item!B:B,A933,order_item!E:E)</f>
        <v>327</v>
      </c>
      <c r="K933" s="28" t="str">
        <f>_xlfn.XLOOKUP(B933,customers!A:A,customers!D:D)</f>
        <v>Regular</v>
      </c>
    </row>
    <row r="934" spans="1:11" x14ac:dyDescent="0.25">
      <c r="A934" s="5" t="s">
        <v>4057</v>
      </c>
      <c r="B934" s="5" t="s">
        <v>157</v>
      </c>
      <c r="C934" s="5" t="s">
        <v>7306</v>
      </c>
      <c r="D934" s="1">
        <v>45586</v>
      </c>
      <c r="E934" s="17">
        <v>0.80902777777777779</v>
      </c>
      <c r="F934" s="5" t="s">
        <v>7305</v>
      </c>
      <c r="G934" s="12">
        <v>416</v>
      </c>
      <c r="H934" s="12">
        <v>0</v>
      </c>
      <c r="I934" s="12">
        <v>416</v>
      </c>
      <c r="J934" s="12">
        <f>SUMIF(order_item!B:B,A934,order_item!E:E)</f>
        <v>416</v>
      </c>
      <c r="K934" s="28" t="str">
        <f>_xlfn.XLOOKUP(B934,customers!A:A,customers!D:D)</f>
        <v>Premium</v>
      </c>
    </row>
    <row r="935" spans="1:11" x14ac:dyDescent="0.25">
      <c r="A935" s="5" t="s">
        <v>4053</v>
      </c>
      <c r="B935" s="5" t="s">
        <v>226</v>
      </c>
      <c r="C935" s="5" t="s">
        <v>7309</v>
      </c>
      <c r="D935" s="1">
        <v>45472</v>
      </c>
      <c r="E935" s="17">
        <v>0.5854166666666667</v>
      </c>
      <c r="F935" s="5" t="s">
        <v>7305</v>
      </c>
      <c r="G935" s="12">
        <v>852</v>
      </c>
      <c r="H935" s="12">
        <v>0</v>
      </c>
      <c r="I935" s="12">
        <v>852</v>
      </c>
      <c r="J935" s="12">
        <f>SUMIF(order_item!B:B,A935,order_item!E:E)</f>
        <v>852</v>
      </c>
      <c r="K935" s="28" t="str">
        <f>_xlfn.XLOOKUP(B935,customers!A:A,customers!D:D)</f>
        <v>New</v>
      </c>
    </row>
    <row r="936" spans="1:11" x14ac:dyDescent="0.25">
      <c r="A936" s="5" t="s">
        <v>4048</v>
      </c>
      <c r="B936" s="5" t="s">
        <v>703</v>
      </c>
      <c r="C936" s="5" t="s">
        <v>7309</v>
      </c>
      <c r="D936" s="1">
        <v>45683</v>
      </c>
      <c r="E936" s="17">
        <v>0.67152777777777783</v>
      </c>
      <c r="F936" s="5" t="s">
        <v>7305</v>
      </c>
      <c r="G936" s="12">
        <v>1060</v>
      </c>
      <c r="H936" s="12">
        <v>0</v>
      </c>
      <c r="I936" s="12">
        <v>1060</v>
      </c>
      <c r="J936" s="12">
        <f>SUMIF(order_item!B:B,A936,order_item!E:E)</f>
        <v>1060</v>
      </c>
      <c r="K936" s="28" t="str">
        <f>_xlfn.XLOOKUP(B936,customers!A:A,customers!D:D)</f>
        <v>New</v>
      </c>
    </row>
    <row r="937" spans="1:11" x14ac:dyDescent="0.25">
      <c r="A937" s="5" t="s">
        <v>4044</v>
      </c>
      <c r="B937" s="5" t="s">
        <v>801</v>
      </c>
      <c r="C937" s="5" t="s">
        <v>7306</v>
      </c>
      <c r="D937" s="1">
        <v>45622</v>
      </c>
      <c r="E937" s="17">
        <v>0.66875000000000007</v>
      </c>
      <c r="F937" s="5" t="s">
        <v>7305</v>
      </c>
      <c r="G937" s="12">
        <v>704</v>
      </c>
      <c r="H937" s="12">
        <v>0</v>
      </c>
      <c r="I937" s="12">
        <v>704</v>
      </c>
      <c r="J937" s="12">
        <f>SUMIF(order_item!B:B,A937,order_item!E:E)</f>
        <v>704</v>
      </c>
      <c r="K937" s="28" t="str">
        <f>_xlfn.XLOOKUP(B937,customers!A:A,customers!D:D)</f>
        <v>Regular</v>
      </c>
    </row>
    <row r="938" spans="1:11" x14ac:dyDescent="0.25">
      <c r="A938" s="5" t="s">
        <v>4040</v>
      </c>
      <c r="B938" s="5" t="s">
        <v>236</v>
      </c>
      <c r="C938" s="5" t="s">
        <v>7309</v>
      </c>
      <c r="D938" s="1">
        <v>45389</v>
      </c>
      <c r="E938" s="17">
        <v>0.56736111111111109</v>
      </c>
      <c r="F938" s="5" t="s">
        <v>7307</v>
      </c>
      <c r="G938" s="12">
        <v>654</v>
      </c>
      <c r="H938" s="12">
        <v>0</v>
      </c>
      <c r="I938" s="12">
        <v>0</v>
      </c>
      <c r="J938" s="12">
        <f>SUMIF(order_item!B:B,A938,order_item!E:E)</f>
        <v>654</v>
      </c>
      <c r="K938" s="28" t="str">
        <f>_xlfn.XLOOKUP(B938,customers!A:A,customers!D:D)</f>
        <v>Premium</v>
      </c>
    </row>
    <row r="939" spans="1:11" x14ac:dyDescent="0.25">
      <c r="A939" s="5" t="s">
        <v>4037</v>
      </c>
      <c r="B939" s="5" t="s">
        <v>150</v>
      </c>
      <c r="C939" s="5" t="s">
        <v>7306</v>
      </c>
      <c r="D939" s="1">
        <v>45632</v>
      </c>
      <c r="E939" s="17">
        <v>0.92013888888888884</v>
      </c>
      <c r="F939" s="5" t="s">
        <v>7305</v>
      </c>
      <c r="G939" s="12">
        <v>457</v>
      </c>
      <c r="H939" s="12">
        <v>0</v>
      </c>
      <c r="I939" s="12">
        <v>457</v>
      </c>
      <c r="J939" s="12">
        <f>SUMIF(order_item!B:B,A939,order_item!E:E)</f>
        <v>457</v>
      </c>
      <c r="K939" s="28" t="str">
        <f>_xlfn.XLOOKUP(B939,customers!A:A,customers!D:D)</f>
        <v>Premium</v>
      </c>
    </row>
    <row r="940" spans="1:11" x14ac:dyDescent="0.25">
      <c r="A940" s="5" t="s">
        <v>4032</v>
      </c>
      <c r="B940" s="5" t="s">
        <v>252</v>
      </c>
      <c r="C940" s="5" t="s">
        <v>7308</v>
      </c>
      <c r="D940" s="1">
        <v>45660</v>
      </c>
      <c r="E940" s="17">
        <v>2.7083333333333334E-2</v>
      </c>
      <c r="F940" s="5" t="s">
        <v>7305</v>
      </c>
      <c r="G940" s="12">
        <v>831</v>
      </c>
      <c r="H940" s="12">
        <v>0</v>
      </c>
      <c r="I940" s="12">
        <v>831</v>
      </c>
      <c r="J940" s="12">
        <f>SUMIF(order_item!B:B,A940,order_item!E:E)</f>
        <v>831</v>
      </c>
      <c r="K940" s="28" t="str">
        <f>_xlfn.XLOOKUP(B940,customers!A:A,customers!D:D)</f>
        <v>Regular</v>
      </c>
    </row>
    <row r="941" spans="1:11" x14ac:dyDescent="0.25">
      <c r="A941" s="5" t="s">
        <v>4028</v>
      </c>
      <c r="B941" s="5" t="s">
        <v>527</v>
      </c>
      <c r="C941" s="5" t="s">
        <v>7309</v>
      </c>
      <c r="D941" s="1">
        <v>45404</v>
      </c>
      <c r="E941" s="17">
        <v>0.69097222222222221</v>
      </c>
      <c r="F941" s="5" t="s">
        <v>7305</v>
      </c>
      <c r="G941" s="12">
        <v>752</v>
      </c>
      <c r="H941" s="12">
        <v>0</v>
      </c>
      <c r="I941" s="12">
        <v>752</v>
      </c>
      <c r="J941" s="12">
        <f>SUMIF(order_item!B:B,A941,order_item!E:E)</f>
        <v>752</v>
      </c>
      <c r="K941" s="28" t="str">
        <f>_xlfn.XLOOKUP(B941,customers!A:A,customers!D:D)</f>
        <v>New</v>
      </c>
    </row>
    <row r="942" spans="1:11" x14ac:dyDescent="0.25">
      <c r="A942" s="5" t="s">
        <v>4025</v>
      </c>
      <c r="B942" s="5" t="s">
        <v>422</v>
      </c>
      <c r="C942" s="5" t="s">
        <v>7308</v>
      </c>
      <c r="D942" s="1">
        <v>45586</v>
      </c>
      <c r="E942" s="17">
        <v>0.90416666666666667</v>
      </c>
      <c r="F942" s="5" t="s">
        <v>7305</v>
      </c>
      <c r="G942" s="12">
        <v>982</v>
      </c>
      <c r="H942" s="12">
        <v>0</v>
      </c>
      <c r="I942" s="12">
        <v>982</v>
      </c>
      <c r="J942" s="12">
        <f>SUMIF(order_item!B:B,A942,order_item!E:E)</f>
        <v>982</v>
      </c>
      <c r="K942" s="28" t="str">
        <f>_xlfn.XLOOKUP(B942,customers!A:A,customers!D:D)</f>
        <v>Regular</v>
      </c>
    </row>
    <row r="943" spans="1:11" x14ac:dyDescent="0.25">
      <c r="A943" s="5" t="s">
        <v>4023</v>
      </c>
      <c r="B943" s="5" t="s">
        <v>773</v>
      </c>
      <c r="C943" s="5" t="s">
        <v>7308</v>
      </c>
      <c r="D943" s="1">
        <v>45709</v>
      </c>
      <c r="E943" s="17">
        <v>4.6527777777777779E-2</v>
      </c>
      <c r="F943" s="5" t="s">
        <v>7305</v>
      </c>
      <c r="G943" s="12">
        <v>297</v>
      </c>
      <c r="H943" s="12">
        <v>0</v>
      </c>
      <c r="I943" s="12">
        <v>297</v>
      </c>
      <c r="J943" s="12">
        <f>SUMIF(order_item!B:B,A943,order_item!E:E)</f>
        <v>297</v>
      </c>
      <c r="K943" s="28" t="str">
        <f>_xlfn.XLOOKUP(B943,customers!A:A,customers!D:D)</f>
        <v>New</v>
      </c>
    </row>
    <row r="944" spans="1:11" x14ac:dyDescent="0.25">
      <c r="A944" s="5" t="s">
        <v>4020</v>
      </c>
      <c r="B944" s="5" t="s">
        <v>373</v>
      </c>
      <c r="C944" s="5" t="s">
        <v>7309</v>
      </c>
      <c r="D944" s="1">
        <v>45657</v>
      </c>
      <c r="E944" s="17">
        <v>0.7270833333333333</v>
      </c>
      <c r="F944" s="5" t="s">
        <v>7305</v>
      </c>
      <c r="G944" s="12">
        <v>426</v>
      </c>
      <c r="H944" s="12">
        <v>0</v>
      </c>
      <c r="I944" s="12">
        <v>426</v>
      </c>
      <c r="J944" s="12">
        <f>SUMIF(order_item!B:B,A944,order_item!E:E)</f>
        <v>426</v>
      </c>
      <c r="K944" s="28" t="str">
        <f>_xlfn.XLOOKUP(B944,customers!A:A,customers!D:D)</f>
        <v>New</v>
      </c>
    </row>
    <row r="945" spans="1:11" x14ac:dyDescent="0.25">
      <c r="A945" s="5" t="s">
        <v>4016</v>
      </c>
      <c r="B945" s="5" t="s">
        <v>770</v>
      </c>
      <c r="C945" s="5" t="s">
        <v>7306</v>
      </c>
      <c r="D945" s="1">
        <v>45556</v>
      </c>
      <c r="E945" s="17">
        <v>8.0555555555555561E-2</v>
      </c>
      <c r="F945" s="5" t="s">
        <v>7305</v>
      </c>
      <c r="G945" s="12">
        <v>346</v>
      </c>
      <c r="H945" s="12">
        <v>17.3</v>
      </c>
      <c r="I945" s="12">
        <v>328.7</v>
      </c>
      <c r="J945" s="12">
        <f>SUMIF(order_item!B:B,A945,order_item!E:E)</f>
        <v>346</v>
      </c>
      <c r="K945" s="28" t="str">
        <f>_xlfn.XLOOKUP(B945,customers!A:A,customers!D:D)</f>
        <v>Regular</v>
      </c>
    </row>
    <row r="946" spans="1:11" x14ac:dyDescent="0.25">
      <c r="A946" s="5" t="s">
        <v>4013</v>
      </c>
      <c r="B946" s="5" t="s">
        <v>401</v>
      </c>
      <c r="C946" s="5" t="s">
        <v>7308</v>
      </c>
      <c r="D946" s="1">
        <v>45606</v>
      </c>
      <c r="E946" s="17">
        <v>0.97013888888888899</v>
      </c>
      <c r="F946" s="5" t="s">
        <v>7305</v>
      </c>
      <c r="G946" s="12">
        <v>316</v>
      </c>
      <c r="H946" s="12">
        <v>0</v>
      </c>
      <c r="I946" s="12">
        <v>316</v>
      </c>
      <c r="J946" s="12">
        <f>SUMIF(order_item!B:B,A946,order_item!E:E)</f>
        <v>316</v>
      </c>
      <c r="K946" s="28" t="str">
        <f>_xlfn.XLOOKUP(B946,customers!A:A,customers!D:D)</f>
        <v>Regular</v>
      </c>
    </row>
    <row r="947" spans="1:11" x14ac:dyDescent="0.25">
      <c r="A947" s="5" t="s">
        <v>4010</v>
      </c>
      <c r="B947" s="5" t="s">
        <v>209</v>
      </c>
      <c r="C947" s="5" t="s">
        <v>7308</v>
      </c>
      <c r="D947" s="1">
        <v>45703</v>
      </c>
      <c r="E947" s="17">
        <v>0.67152777777777783</v>
      </c>
      <c r="F947" s="5" t="s">
        <v>7305</v>
      </c>
      <c r="G947" s="12">
        <v>535</v>
      </c>
      <c r="H947" s="12">
        <v>26.75</v>
      </c>
      <c r="I947" s="12">
        <v>508.25</v>
      </c>
      <c r="J947" s="12">
        <f>SUMIF(order_item!B:B,A947,order_item!E:E)</f>
        <v>535</v>
      </c>
      <c r="K947" s="28" t="str">
        <f>_xlfn.XLOOKUP(B947,customers!A:A,customers!D:D)</f>
        <v>Premium</v>
      </c>
    </row>
    <row r="948" spans="1:11" x14ac:dyDescent="0.25">
      <c r="A948" s="5" t="s">
        <v>4006</v>
      </c>
      <c r="B948" s="5" t="s">
        <v>414</v>
      </c>
      <c r="C948" s="5" t="s">
        <v>7306</v>
      </c>
      <c r="D948" s="1">
        <v>45401</v>
      </c>
      <c r="E948" s="17">
        <v>0.8354166666666667</v>
      </c>
      <c r="F948" s="5" t="s">
        <v>7305</v>
      </c>
      <c r="G948" s="12">
        <v>536</v>
      </c>
      <c r="H948" s="12">
        <v>26.8</v>
      </c>
      <c r="I948" s="12">
        <v>509.2</v>
      </c>
      <c r="J948" s="12">
        <f>SUMIF(order_item!B:B,A948,order_item!E:E)</f>
        <v>536</v>
      </c>
      <c r="K948" s="28" t="str">
        <f>_xlfn.XLOOKUP(B948,customers!A:A,customers!D:D)</f>
        <v>New</v>
      </c>
    </row>
    <row r="949" spans="1:11" x14ac:dyDescent="0.25">
      <c r="A949" s="5" t="s">
        <v>4002</v>
      </c>
      <c r="B949" s="5" t="s">
        <v>400</v>
      </c>
      <c r="C949" s="5" t="s">
        <v>7309</v>
      </c>
      <c r="D949" s="1">
        <v>45698</v>
      </c>
      <c r="E949" s="17">
        <v>5.9722222222222225E-2</v>
      </c>
      <c r="F949" s="5" t="s">
        <v>7305</v>
      </c>
      <c r="G949" s="12">
        <v>376</v>
      </c>
      <c r="H949" s="12">
        <v>0</v>
      </c>
      <c r="I949" s="12">
        <v>376</v>
      </c>
      <c r="J949" s="12">
        <f>SUMIF(order_item!B:B,A949,order_item!E:E)</f>
        <v>376</v>
      </c>
      <c r="K949" s="28" t="str">
        <f>_xlfn.XLOOKUP(B949,customers!A:A,customers!D:D)</f>
        <v>New</v>
      </c>
    </row>
    <row r="950" spans="1:11" x14ac:dyDescent="0.25">
      <c r="A950" s="5" t="s">
        <v>3998</v>
      </c>
      <c r="B950" s="5" t="s">
        <v>781</v>
      </c>
      <c r="C950" s="5" t="s">
        <v>7306</v>
      </c>
      <c r="D950" s="1">
        <v>45704</v>
      </c>
      <c r="E950" s="17">
        <v>0.65416666666666667</v>
      </c>
      <c r="F950" s="5" t="s">
        <v>7305</v>
      </c>
      <c r="G950" s="12">
        <v>1429</v>
      </c>
      <c r="H950" s="12">
        <v>0</v>
      </c>
      <c r="I950" s="12">
        <v>1429</v>
      </c>
      <c r="J950" s="12">
        <f>SUMIF(order_item!B:B,A950,order_item!E:E)</f>
        <v>1429</v>
      </c>
      <c r="K950" s="28" t="str">
        <f>_xlfn.XLOOKUP(B950,customers!A:A,customers!D:D)</f>
        <v>Regular</v>
      </c>
    </row>
    <row r="951" spans="1:11" x14ac:dyDescent="0.25">
      <c r="A951" s="5" t="s">
        <v>3994</v>
      </c>
      <c r="B951" s="5" t="s">
        <v>263</v>
      </c>
      <c r="C951" s="5" t="s">
        <v>7309</v>
      </c>
      <c r="D951" s="1">
        <v>45599</v>
      </c>
      <c r="E951" s="17">
        <v>0.45069444444444445</v>
      </c>
      <c r="F951" s="5" t="s">
        <v>7305</v>
      </c>
      <c r="G951" s="12">
        <v>356</v>
      </c>
      <c r="H951" s="12">
        <v>0</v>
      </c>
      <c r="I951" s="12">
        <v>356</v>
      </c>
      <c r="J951" s="12">
        <f>SUMIF(order_item!B:B,A951,order_item!E:E)</f>
        <v>356</v>
      </c>
      <c r="K951" s="28" t="str">
        <f>_xlfn.XLOOKUP(B951,customers!A:A,customers!D:D)</f>
        <v>Regular</v>
      </c>
    </row>
    <row r="952" spans="1:11" x14ac:dyDescent="0.25">
      <c r="A952" s="5" t="s">
        <v>3990</v>
      </c>
      <c r="B952" s="5" t="s">
        <v>116</v>
      </c>
      <c r="C952" s="5" t="s">
        <v>7308</v>
      </c>
      <c r="D952" s="1">
        <v>45530</v>
      </c>
      <c r="E952" s="17">
        <v>0.51527777777777783</v>
      </c>
      <c r="F952" s="5" t="s">
        <v>7305</v>
      </c>
      <c r="G952" s="12">
        <v>574</v>
      </c>
      <c r="H952" s="12">
        <v>0</v>
      </c>
      <c r="I952" s="12">
        <v>574</v>
      </c>
      <c r="J952" s="12">
        <f>SUMIF(order_item!B:B,A952,order_item!E:E)</f>
        <v>574</v>
      </c>
      <c r="K952" s="28" t="str">
        <f>_xlfn.XLOOKUP(B952,customers!A:A,customers!D:D)</f>
        <v>Regular</v>
      </c>
    </row>
    <row r="953" spans="1:11" x14ac:dyDescent="0.25">
      <c r="A953" s="5" t="s">
        <v>3987</v>
      </c>
      <c r="B953" s="5" t="s">
        <v>218</v>
      </c>
      <c r="C953" s="5" t="s">
        <v>7306</v>
      </c>
      <c r="D953" s="1">
        <v>45383</v>
      </c>
      <c r="E953" s="17">
        <v>0.80208333333333337</v>
      </c>
      <c r="F953" s="5" t="s">
        <v>7305</v>
      </c>
      <c r="G953" s="12">
        <v>148</v>
      </c>
      <c r="H953" s="12">
        <v>0</v>
      </c>
      <c r="I953" s="12">
        <v>148</v>
      </c>
      <c r="J953" s="12">
        <f>SUMIF(order_item!B:B,A953,order_item!E:E)</f>
        <v>148</v>
      </c>
      <c r="K953" s="28" t="str">
        <f>_xlfn.XLOOKUP(B953,customers!A:A,customers!D:D)</f>
        <v>Regular</v>
      </c>
    </row>
    <row r="954" spans="1:11" x14ac:dyDescent="0.25">
      <c r="A954" s="5" t="s">
        <v>3984</v>
      </c>
      <c r="B954" s="5" t="s">
        <v>432</v>
      </c>
      <c r="C954" s="5" t="s">
        <v>7309</v>
      </c>
      <c r="D954" s="1">
        <v>45706</v>
      </c>
      <c r="E954" s="17">
        <v>0.76111111111111107</v>
      </c>
      <c r="F954" s="5" t="s">
        <v>7307</v>
      </c>
      <c r="G954" s="12">
        <v>643</v>
      </c>
      <c r="H954" s="12">
        <v>64.3</v>
      </c>
      <c r="I954" s="12">
        <v>0</v>
      </c>
      <c r="J954" s="12">
        <f>SUMIF(order_item!B:B,A954,order_item!E:E)</f>
        <v>643</v>
      </c>
      <c r="K954" s="28" t="str">
        <f>_xlfn.XLOOKUP(B954,customers!A:A,customers!D:D)</f>
        <v>Regular</v>
      </c>
    </row>
    <row r="955" spans="1:11" x14ac:dyDescent="0.25">
      <c r="A955" s="5" t="s">
        <v>3981</v>
      </c>
      <c r="B955" s="5" t="s">
        <v>354</v>
      </c>
      <c r="C955" s="5" t="s">
        <v>7309</v>
      </c>
      <c r="D955" s="1">
        <v>45501</v>
      </c>
      <c r="E955" s="17">
        <v>0.80069444444444438</v>
      </c>
      <c r="F955" s="5" t="s">
        <v>7305</v>
      </c>
      <c r="G955" s="12">
        <v>455</v>
      </c>
      <c r="H955" s="12">
        <v>22.75</v>
      </c>
      <c r="I955" s="12">
        <v>432.25</v>
      </c>
      <c r="J955" s="12">
        <f>SUMIF(order_item!B:B,A955,order_item!E:E)</f>
        <v>455</v>
      </c>
      <c r="K955" s="28" t="str">
        <f>_xlfn.XLOOKUP(B955,customers!A:A,customers!D:D)</f>
        <v>New</v>
      </c>
    </row>
    <row r="956" spans="1:11" x14ac:dyDescent="0.25">
      <c r="A956" s="5" t="s">
        <v>3979</v>
      </c>
      <c r="B956" s="5" t="s">
        <v>810</v>
      </c>
      <c r="C956" s="5" t="s">
        <v>7308</v>
      </c>
      <c r="D956" s="1">
        <v>45716</v>
      </c>
      <c r="E956" s="17">
        <v>0.73611111111111116</v>
      </c>
      <c r="F956" s="5" t="s">
        <v>7305</v>
      </c>
      <c r="G956" s="12">
        <v>178</v>
      </c>
      <c r="H956" s="12">
        <v>0</v>
      </c>
      <c r="I956" s="12">
        <v>178</v>
      </c>
      <c r="J956" s="12">
        <f>SUMIF(order_item!B:B,A956,order_item!E:E)</f>
        <v>178</v>
      </c>
      <c r="K956" s="28" t="str">
        <f>_xlfn.XLOOKUP(B956,customers!A:A,customers!D:D)</f>
        <v>New</v>
      </c>
    </row>
    <row r="957" spans="1:11" x14ac:dyDescent="0.25">
      <c r="A957" s="5" t="s">
        <v>3975</v>
      </c>
      <c r="B957" s="5" t="s">
        <v>517</v>
      </c>
      <c r="C957" s="5" t="s">
        <v>7306</v>
      </c>
      <c r="D957" s="1">
        <v>45450</v>
      </c>
      <c r="E957" s="17">
        <v>0.91180555555555554</v>
      </c>
      <c r="F957" s="5" t="s">
        <v>7305</v>
      </c>
      <c r="G957" s="12">
        <v>456</v>
      </c>
      <c r="H957" s="12">
        <v>0</v>
      </c>
      <c r="I957" s="12">
        <v>456</v>
      </c>
      <c r="J957" s="12">
        <f>SUMIF(order_item!B:B,A957,order_item!E:E)</f>
        <v>456</v>
      </c>
      <c r="K957" s="28" t="str">
        <f>_xlfn.XLOOKUP(B957,customers!A:A,customers!D:D)</f>
        <v>New</v>
      </c>
    </row>
    <row r="958" spans="1:11" x14ac:dyDescent="0.25">
      <c r="A958" s="5" t="s">
        <v>3971</v>
      </c>
      <c r="B958" s="5" t="s">
        <v>449</v>
      </c>
      <c r="C958" s="5" t="s">
        <v>7306</v>
      </c>
      <c r="D958" s="1">
        <v>45746</v>
      </c>
      <c r="E958" s="17">
        <v>0.7597222222222223</v>
      </c>
      <c r="F958" s="5" t="s">
        <v>7305</v>
      </c>
      <c r="G958" s="12">
        <v>961</v>
      </c>
      <c r="H958" s="12">
        <v>0</v>
      </c>
      <c r="I958" s="12">
        <v>961</v>
      </c>
      <c r="J958" s="12">
        <f>SUMIF(order_item!B:B,A958,order_item!E:E)</f>
        <v>961</v>
      </c>
      <c r="K958" s="28" t="str">
        <f>_xlfn.XLOOKUP(B958,customers!A:A,customers!D:D)</f>
        <v>Regular</v>
      </c>
    </row>
    <row r="959" spans="1:11" x14ac:dyDescent="0.25">
      <c r="A959" s="5" t="s">
        <v>3968</v>
      </c>
      <c r="B959" s="5" t="s">
        <v>586</v>
      </c>
      <c r="C959" s="5" t="s">
        <v>7306</v>
      </c>
      <c r="D959" s="1">
        <v>45548</v>
      </c>
      <c r="E959" s="17">
        <v>0.5395833333333333</v>
      </c>
      <c r="F959" s="5" t="s">
        <v>7305</v>
      </c>
      <c r="G959" s="12">
        <v>376</v>
      </c>
      <c r="H959" s="12">
        <v>0</v>
      </c>
      <c r="I959" s="12">
        <v>376</v>
      </c>
      <c r="J959" s="12">
        <f>SUMIF(order_item!B:B,A959,order_item!E:E)</f>
        <v>376</v>
      </c>
      <c r="K959" s="28" t="str">
        <f>_xlfn.XLOOKUP(B959,customers!A:A,customers!D:D)</f>
        <v>Regular</v>
      </c>
    </row>
    <row r="960" spans="1:11" x14ac:dyDescent="0.25">
      <c r="A960" s="5" t="s">
        <v>3964</v>
      </c>
      <c r="B960" s="5" t="s">
        <v>595</v>
      </c>
      <c r="C960" s="5" t="s">
        <v>7306</v>
      </c>
      <c r="D960" s="1">
        <v>45618</v>
      </c>
      <c r="E960" s="17">
        <v>0.71180555555555547</v>
      </c>
      <c r="F960" s="5" t="s">
        <v>7305</v>
      </c>
      <c r="G960" s="12">
        <v>574</v>
      </c>
      <c r="H960" s="12">
        <v>0</v>
      </c>
      <c r="I960" s="12">
        <v>574</v>
      </c>
      <c r="J960" s="12">
        <f>SUMIF(order_item!B:B,A960,order_item!E:E)</f>
        <v>574</v>
      </c>
      <c r="K960" s="28" t="str">
        <f>_xlfn.XLOOKUP(B960,customers!A:A,customers!D:D)</f>
        <v>Regular</v>
      </c>
    </row>
    <row r="961" spans="1:11" x14ac:dyDescent="0.25">
      <c r="A961" s="5" t="s">
        <v>3960</v>
      </c>
      <c r="B961" s="5" t="s">
        <v>644</v>
      </c>
      <c r="C961" s="5" t="s">
        <v>7306</v>
      </c>
      <c r="D961" s="1">
        <v>45660</v>
      </c>
      <c r="E961" s="17">
        <v>0.83888888888888891</v>
      </c>
      <c r="F961" s="5" t="s">
        <v>7307</v>
      </c>
      <c r="G961" s="12">
        <v>803</v>
      </c>
      <c r="H961" s="12">
        <v>0</v>
      </c>
      <c r="I961" s="12">
        <v>0</v>
      </c>
      <c r="J961" s="12">
        <f>SUMIF(order_item!B:B,A961,order_item!E:E)</f>
        <v>803</v>
      </c>
      <c r="K961" s="28" t="str">
        <f>_xlfn.XLOOKUP(B961,customers!A:A,customers!D:D)</f>
        <v>Regular</v>
      </c>
    </row>
    <row r="962" spans="1:11" x14ac:dyDescent="0.25">
      <c r="A962" s="5" t="s">
        <v>3958</v>
      </c>
      <c r="B962" s="5" t="s">
        <v>641</v>
      </c>
      <c r="C962" s="5" t="s">
        <v>7306</v>
      </c>
      <c r="D962" s="1">
        <v>45730</v>
      </c>
      <c r="E962" s="17">
        <v>0.70416666666666661</v>
      </c>
      <c r="F962" s="5" t="s">
        <v>7305</v>
      </c>
      <c r="G962" s="12">
        <v>159</v>
      </c>
      <c r="H962" s="12">
        <v>15.9</v>
      </c>
      <c r="I962" s="12">
        <v>143.1</v>
      </c>
      <c r="J962" s="12">
        <f>SUMIF(order_item!B:B,A962,order_item!E:E)</f>
        <v>159</v>
      </c>
      <c r="K962" s="28" t="str">
        <f>_xlfn.XLOOKUP(B962,customers!A:A,customers!D:D)</f>
        <v>Regular</v>
      </c>
    </row>
    <row r="963" spans="1:11" x14ac:dyDescent="0.25">
      <c r="A963" s="5" t="s">
        <v>3954</v>
      </c>
      <c r="B963" s="5" t="s">
        <v>196</v>
      </c>
      <c r="C963" s="5" t="s">
        <v>7306</v>
      </c>
      <c r="D963" s="1">
        <v>45624</v>
      </c>
      <c r="E963" s="17">
        <v>0.84791666666666676</v>
      </c>
      <c r="F963" s="5" t="s">
        <v>7305</v>
      </c>
      <c r="G963" s="12">
        <v>823</v>
      </c>
      <c r="H963" s="12">
        <v>0</v>
      </c>
      <c r="I963" s="12">
        <v>823</v>
      </c>
      <c r="J963" s="12">
        <f>SUMIF(order_item!B:B,A963,order_item!E:E)</f>
        <v>823</v>
      </c>
      <c r="K963" s="28" t="str">
        <f>_xlfn.XLOOKUP(B963,customers!A:A,customers!D:D)</f>
        <v>Regular</v>
      </c>
    </row>
    <row r="964" spans="1:11" x14ac:dyDescent="0.25">
      <c r="A964" s="5" t="s">
        <v>3951</v>
      </c>
      <c r="B964" s="5" t="s">
        <v>749</v>
      </c>
      <c r="C964" s="5" t="s">
        <v>7309</v>
      </c>
      <c r="D964" s="1">
        <v>45637</v>
      </c>
      <c r="E964" s="17">
        <v>0.7909722222222223</v>
      </c>
      <c r="F964" s="5" t="s">
        <v>7305</v>
      </c>
      <c r="G964" s="12">
        <v>327</v>
      </c>
      <c r="H964" s="12">
        <v>0</v>
      </c>
      <c r="I964" s="12">
        <v>327</v>
      </c>
      <c r="J964" s="12">
        <f>SUMIF(order_item!B:B,A964,order_item!E:E)</f>
        <v>327</v>
      </c>
      <c r="K964" s="28" t="str">
        <f>_xlfn.XLOOKUP(B964,customers!A:A,customers!D:D)</f>
        <v>Premium</v>
      </c>
    </row>
    <row r="965" spans="1:11" x14ac:dyDescent="0.25">
      <c r="A965" s="5" t="s">
        <v>3947</v>
      </c>
      <c r="B965" s="5" t="s">
        <v>321</v>
      </c>
      <c r="C965" s="5" t="s">
        <v>7306</v>
      </c>
      <c r="D965" s="1">
        <v>45497</v>
      </c>
      <c r="E965" s="17">
        <v>2.7777777777777779E-3</v>
      </c>
      <c r="F965" s="5" t="s">
        <v>7305</v>
      </c>
      <c r="G965" s="12">
        <v>635</v>
      </c>
      <c r="H965" s="12">
        <v>0</v>
      </c>
      <c r="I965" s="12">
        <v>635</v>
      </c>
      <c r="J965" s="12">
        <f>SUMIF(order_item!B:B,A965,order_item!E:E)</f>
        <v>635</v>
      </c>
      <c r="K965" s="28" t="str">
        <f>_xlfn.XLOOKUP(B965,customers!A:A,customers!D:D)</f>
        <v>Regular</v>
      </c>
    </row>
    <row r="966" spans="1:11" x14ac:dyDescent="0.25">
      <c r="A966" s="5" t="s">
        <v>3944</v>
      </c>
      <c r="B966" s="5" t="s">
        <v>737</v>
      </c>
      <c r="C966" s="5" t="s">
        <v>7309</v>
      </c>
      <c r="D966" s="1">
        <v>45685</v>
      </c>
      <c r="E966" s="17">
        <v>0.85833333333333339</v>
      </c>
      <c r="F966" s="5" t="s">
        <v>7305</v>
      </c>
      <c r="G966" s="12">
        <v>277</v>
      </c>
      <c r="H966" s="12">
        <v>0</v>
      </c>
      <c r="I966" s="12">
        <v>277</v>
      </c>
      <c r="J966" s="12">
        <f>SUMIF(order_item!B:B,A966,order_item!E:E)</f>
        <v>277</v>
      </c>
      <c r="K966" s="28" t="str">
        <f>_xlfn.XLOOKUP(B966,customers!A:A,customers!D:D)</f>
        <v>Regular</v>
      </c>
    </row>
    <row r="967" spans="1:11" x14ac:dyDescent="0.25">
      <c r="A967" s="5" t="s">
        <v>3940</v>
      </c>
      <c r="B967" s="5" t="s">
        <v>143</v>
      </c>
      <c r="C967" s="5" t="s">
        <v>7308</v>
      </c>
      <c r="D967" s="1">
        <v>45403</v>
      </c>
      <c r="E967" s="17">
        <v>0.6958333333333333</v>
      </c>
      <c r="F967" s="5" t="s">
        <v>7305</v>
      </c>
      <c r="G967" s="12">
        <v>573</v>
      </c>
      <c r="H967" s="12">
        <v>0</v>
      </c>
      <c r="I967" s="12">
        <v>573</v>
      </c>
      <c r="J967" s="12">
        <f>SUMIF(order_item!B:B,A967,order_item!E:E)</f>
        <v>573</v>
      </c>
      <c r="K967" s="28" t="str">
        <f>_xlfn.XLOOKUP(B967,customers!A:A,customers!D:D)</f>
        <v>New</v>
      </c>
    </row>
    <row r="968" spans="1:11" x14ac:dyDescent="0.25">
      <c r="A968" s="5" t="s">
        <v>3936</v>
      </c>
      <c r="B968" s="5" t="s">
        <v>746</v>
      </c>
      <c r="C968" s="5" t="s">
        <v>7308</v>
      </c>
      <c r="D968" s="1">
        <v>45652</v>
      </c>
      <c r="E968" s="17">
        <v>0.55277777777777781</v>
      </c>
      <c r="F968" s="5" t="s">
        <v>7305</v>
      </c>
      <c r="G968" s="12">
        <v>445</v>
      </c>
      <c r="H968" s="12">
        <v>66.75</v>
      </c>
      <c r="I968" s="12">
        <v>378.25</v>
      </c>
      <c r="J968" s="12">
        <f>SUMIF(order_item!B:B,A968,order_item!E:E)</f>
        <v>445</v>
      </c>
      <c r="K968" s="28" t="str">
        <f>_xlfn.XLOOKUP(B968,customers!A:A,customers!D:D)</f>
        <v>New</v>
      </c>
    </row>
    <row r="969" spans="1:11" x14ac:dyDescent="0.25">
      <c r="A969" s="5" t="s">
        <v>3931</v>
      </c>
      <c r="B969" s="5" t="s">
        <v>175</v>
      </c>
      <c r="C969" s="5" t="s">
        <v>7309</v>
      </c>
      <c r="D969" s="1">
        <v>45650</v>
      </c>
      <c r="E969" s="17">
        <v>0.66180555555555554</v>
      </c>
      <c r="F969" s="5" t="s">
        <v>7305</v>
      </c>
      <c r="G969" s="12">
        <v>494</v>
      </c>
      <c r="H969" s="12">
        <v>0</v>
      </c>
      <c r="I969" s="12">
        <v>494</v>
      </c>
      <c r="J969" s="12">
        <f>SUMIF(order_item!B:B,A969,order_item!E:E)</f>
        <v>494</v>
      </c>
      <c r="K969" s="28" t="str">
        <f>_xlfn.XLOOKUP(B969,customers!A:A,customers!D:D)</f>
        <v>Premium</v>
      </c>
    </row>
    <row r="970" spans="1:11" x14ac:dyDescent="0.25">
      <c r="A970" s="5" t="s">
        <v>3926</v>
      </c>
      <c r="B970" s="5" t="s">
        <v>757</v>
      </c>
      <c r="C970" s="5" t="s">
        <v>7308</v>
      </c>
      <c r="D970" s="1">
        <v>45744</v>
      </c>
      <c r="E970" s="17">
        <v>0.76666666666666661</v>
      </c>
      <c r="F970" s="5" t="s">
        <v>7305</v>
      </c>
      <c r="G970" s="12">
        <v>1070</v>
      </c>
      <c r="H970" s="12">
        <v>160.5</v>
      </c>
      <c r="I970" s="12">
        <v>909.5</v>
      </c>
      <c r="J970" s="12">
        <f>SUMIF(order_item!B:B,A970,order_item!E:E)</f>
        <v>1070</v>
      </c>
      <c r="K970" s="28" t="str">
        <f>_xlfn.XLOOKUP(B970,customers!A:A,customers!D:D)</f>
        <v>New</v>
      </c>
    </row>
    <row r="971" spans="1:11" x14ac:dyDescent="0.25">
      <c r="A971" s="5" t="s">
        <v>3923</v>
      </c>
      <c r="B971" s="5" t="s">
        <v>494</v>
      </c>
      <c r="C971" s="5" t="s">
        <v>7309</v>
      </c>
      <c r="D971" s="1">
        <v>45543</v>
      </c>
      <c r="E971" s="17">
        <v>0.8965277777777777</v>
      </c>
      <c r="F971" s="5" t="s">
        <v>7305</v>
      </c>
      <c r="G971" s="12">
        <v>606</v>
      </c>
      <c r="H971" s="12">
        <v>0</v>
      </c>
      <c r="I971" s="12">
        <v>606</v>
      </c>
      <c r="J971" s="12">
        <f>SUMIF(order_item!B:B,A971,order_item!E:E)</f>
        <v>606</v>
      </c>
      <c r="K971" s="28" t="str">
        <f>_xlfn.XLOOKUP(B971,customers!A:A,customers!D:D)</f>
        <v>Regular</v>
      </c>
    </row>
    <row r="972" spans="1:11" x14ac:dyDescent="0.25">
      <c r="A972" s="5" t="s">
        <v>3921</v>
      </c>
      <c r="B972" s="5" t="s">
        <v>163</v>
      </c>
      <c r="C972" s="5" t="s">
        <v>7306</v>
      </c>
      <c r="D972" s="1">
        <v>45386</v>
      </c>
      <c r="E972" s="17">
        <v>0.83819444444444446</v>
      </c>
      <c r="F972" s="5" t="s">
        <v>7305</v>
      </c>
      <c r="G972" s="12">
        <v>556</v>
      </c>
      <c r="H972" s="12">
        <v>0</v>
      </c>
      <c r="I972" s="12">
        <v>556</v>
      </c>
      <c r="J972" s="12">
        <f>SUMIF(order_item!B:B,A972,order_item!E:E)</f>
        <v>556</v>
      </c>
      <c r="K972" s="28" t="str">
        <f>_xlfn.XLOOKUP(B972,customers!A:A,customers!D:D)</f>
        <v>Regular</v>
      </c>
    </row>
    <row r="973" spans="1:11" x14ac:dyDescent="0.25">
      <c r="A973" s="5" t="s">
        <v>3916</v>
      </c>
      <c r="B973" s="5" t="s">
        <v>442</v>
      </c>
      <c r="C973" s="5" t="s">
        <v>7309</v>
      </c>
      <c r="D973" s="1">
        <v>45447</v>
      </c>
      <c r="E973" s="17">
        <v>0.88958333333333339</v>
      </c>
      <c r="F973" s="5" t="s">
        <v>7305</v>
      </c>
      <c r="G973" s="12">
        <v>435</v>
      </c>
      <c r="H973" s="12">
        <v>0</v>
      </c>
      <c r="I973" s="12">
        <v>435</v>
      </c>
      <c r="J973" s="12">
        <f>SUMIF(order_item!B:B,A973,order_item!E:E)</f>
        <v>435</v>
      </c>
      <c r="K973" s="28" t="str">
        <f>_xlfn.XLOOKUP(B973,customers!A:A,customers!D:D)</f>
        <v>Regular</v>
      </c>
    </row>
    <row r="974" spans="1:11" x14ac:dyDescent="0.25">
      <c r="A974" s="5" t="s">
        <v>3912</v>
      </c>
      <c r="B974" s="5" t="s">
        <v>196</v>
      </c>
      <c r="C974" s="5" t="s">
        <v>7308</v>
      </c>
      <c r="D974" s="1">
        <v>45704</v>
      </c>
      <c r="E974" s="17">
        <v>0.94861111111111107</v>
      </c>
      <c r="F974" s="5" t="s">
        <v>7305</v>
      </c>
      <c r="G974" s="12">
        <v>693</v>
      </c>
      <c r="H974" s="12">
        <v>0</v>
      </c>
      <c r="I974" s="12">
        <v>693</v>
      </c>
      <c r="J974" s="12">
        <f>SUMIF(order_item!B:B,A974,order_item!E:E)</f>
        <v>693</v>
      </c>
      <c r="K974" s="28" t="str">
        <f>_xlfn.XLOOKUP(B974,customers!A:A,customers!D:D)</f>
        <v>Regular</v>
      </c>
    </row>
    <row r="975" spans="1:11" x14ac:dyDescent="0.25">
      <c r="A975" s="5" t="s">
        <v>3908</v>
      </c>
      <c r="B975" s="5" t="s">
        <v>265</v>
      </c>
      <c r="C975" s="5" t="s">
        <v>7309</v>
      </c>
      <c r="D975" s="1">
        <v>45672</v>
      </c>
      <c r="E975" s="17">
        <v>0.66805555555555562</v>
      </c>
      <c r="F975" s="5" t="s">
        <v>7305</v>
      </c>
      <c r="G975" s="12">
        <v>544</v>
      </c>
      <c r="H975" s="12">
        <v>54.4</v>
      </c>
      <c r="I975" s="12">
        <v>489.6</v>
      </c>
      <c r="J975" s="12">
        <f>SUMIF(order_item!B:B,A975,order_item!E:E)</f>
        <v>544</v>
      </c>
      <c r="K975" s="28" t="str">
        <f>_xlfn.XLOOKUP(B975,customers!A:A,customers!D:D)</f>
        <v>Premium</v>
      </c>
    </row>
    <row r="976" spans="1:11" x14ac:dyDescent="0.25">
      <c r="A976" s="5" t="s">
        <v>3905</v>
      </c>
      <c r="B976" s="5" t="s">
        <v>497</v>
      </c>
      <c r="C976" s="5" t="s">
        <v>7306</v>
      </c>
      <c r="D976" s="1">
        <v>45386</v>
      </c>
      <c r="E976" s="17">
        <v>0.74583333333333324</v>
      </c>
      <c r="F976" s="5" t="s">
        <v>7305</v>
      </c>
      <c r="G976" s="12">
        <v>474</v>
      </c>
      <c r="H976" s="12">
        <v>0</v>
      </c>
      <c r="I976" s="12">
        <v>474</v>
      </c>
      <c r="J976" s="12">
        <f>SUMIF(order_item!B:B,A976,order_item!E:E)</f>
        <v>474</v>
      </c>
      <c r="K976" s="28" t="str">
        <f>_xlfn.XLOOKUP(B976,customers!A:A,customers!D:D)</f>
        <v>New</v>
      </c>
    </row>
    <row r="977" spans="1:11" x14ac:dyDescent="0.25">
      <c r="A977" s="5" t="s">
        <v>3902</v>
      </c>
      <c r="B977" s="5" t="s">
        <v>578</v>
      </c>
      <c r="C977" s="5" t="s">
        <v>7306</v>
      </c>
      <c r="D977" s="1">
        <v>45405</v>
      </c>
      <c r="E977" s="17">
        <v>0.85555555555555562</v>
      </c>
      <c r="F977" s="5" t="s">
        <v>7305</v>
      </c>
      <c r="G977" s="12">
        <v>287</v>
      </c>
      <c r="H977" s="12">
        <v>0</v>
      </c>
      <c r="I977" s="12">
        <v>287</v>
      </c>
      <c r="J977" s="12">
        <f>SUMIF(order_item!B:B,A977,order_item!E:E)</f>
        <v>287</v>
      </c>
      <c r="K977" s="28" t="str">
        <f>_xlfn.XLOOKUP(B977,customers!A:A,customers!D:D)</f>
        <v>Premium</v>
      </c>
    </row>
    <row r="978" spans="1:11" x14ac:dyDescent="0.25">
      <c r="A978" s="5" t="s">
        <v>3898</v>
      </c>
      <c r="B978" s="5" t="s">
        <v>634</v>
      </c>
      <c r="C978" s="5" t="s">
        <v>7306</v>
      </c>
      <c r="D978" s="1">
        <v>45650</v>
      </c>
      <c r="E978" s="17">
        <v>0.98611111111111116</v>
      </c>
      <c r="F978" s="5" t="s">
        <v>7305</v>
      </c>
      <c r="G978" s="12">
        <v>854</v>
      </c>
      <c r="H978" s="12">
        <v>0</v>
      </c>
      <c r="I978" s="12">
        <v>854</v>
      </c>
      <c r="J978" s="12">
        <f>SUMIF(order_item!B:B,A978,order_item!E:E)</f>
        <v>854</v>
      </c>
      <c r="K978" s="28" t="str">
        <f>_xlfn.XLOOKUP(B978,customers!A:A,customers!D:D)</f>
        <v>Regular</v>
      </c>
    </row>
    <row r="979" spans="1:11" x14ac:dyDescent="0.25">
      <c r="A979" s="5" t="s">
        <v>3896</v>
      </c>
      <c r="B979" s="5" t="s">
        <v>850</v>
      </c>
      <c r="C979" s="5" t="s">
        <v>7309</v>
      </c>
      <c r="D979" s="1">
        <v>45735</v>
      </c>
      <c r="E979" s="17">
        <v>0.63958333333333328</v>
      </c>
      <c r="F979" s="5" t="s">
        <v>7305</v>
      </c>
      <c r="G979" s="12">
        <v>99</v>
      </c>
      <c r="H979" s="12">
        <v>0</v>
      </c>
      <c r="I979" s="12">
        <v>99</v>
      </c>
      <c r="J979" s="12">
        <f>SUMIF(order_item!B:B,A979,order_item!E:E)</f>
        <v>99</v>
      </c>
      <c r="K979" s="28" t="str">
        <f>_xlfn.XLOOKUP(B979,customers!A:A,customers!D:D)</f>
        <v>New</v>
      </c>
    </row>
    <row r="980" spans="1:11" x14ac:dyDescent="0.25">
      <c r="A980" s="5" t="s">
        <v>3891</v>
      </c>
      <c r="B980" s="5" t="s">
        <v>386</v>
      </c>
      <c r="C980" s="5" t="s">
        <v>7308</v>
      </c>
      <c r="D980" s="1">
        <v>45623</v>
      </c>
      <c r="E980" s="17">
        <v>0.71388888888888891</v>
      </c>
      <c r="F980" s="5" t="s">
        <v>7305</v>
      </c>
      <c r="G980" s="12">
        <v>574</v>
      </c>
      <c r="H980" s="12">
        <v>28.7</v>
      </c>
      <c r="I980" s="12">
        <v>545.29999999999995</v>
      </c>
      <c r="J980" s="12">
        <f>SUMIF(order_item!B:B,A980,order_item!E:E)</f>
        <v>574</v>
      </c>
      <c r="K980" s="28" t="str">
        <f>_xlfn.XLOOKUP(B980,customers!A:A,customers!D:D)</f>
        <v>Regular</v>
      </c>
    </row>
    <row r="981" spans="1:11" x14ac:dyDescent="0.25">
      <c r="A981" s="5" t="s">
        <v>3888</v>
      </c>
      <c r="B981" s="5" t="s">
        <v>411</v>
      </c>
      <c r="C981" s="5" t="s">
        <v>7309</v>
      </c>
      <c r="D981" s="1">
        <v>45501</v>
      </c>
      <c r="E981" s="17">
        <v>0.85625000000000007</v>
      </c>
      <c r="F981" s="5" t="s">
        <v>7305</v>
      </c>
      <c r="G981" s="12">
        <v>188</v>
      </c>
      <c r="H981" s="12">
        <v>0</v>
      </c>
      <c r="I981" s="12">
        <v>188</v>
      </c>
      <c r="J981" s="12">
        <f>SUMIF(order_item!B:B,A981,order_item!E:E)</f>
        <v>188</v>
      </c>
      <c r="K981" s="28" t="str">
        <f>_xlfn.XLOOKUP(B981,customers!A:A,customers!D:D)</f>
        <v>New</v>
      </c>
    </row>
    <row r="982" spans="1:11" x14ac:dyDescent="0.25">
      <c r="A982" s="5" t="s">
        <v>3883</v>
      </c>
      <c r="B982" s="5" t="s">
        <v>768</v>
      </c>
      <c r="C982" s="5" t="s">
        <v>7306</v>
      </c>
      <c r="D982" s="1">
        <v>45562</v>
      </c>
      <c r="E982" s="17">
        <v>5.9722222222222225E-2</v>
      </c>
      <c r="F982" s="5" t="s">
        <v>7305</v>
      </c>
      <c r="G982" s="12">
        <v>961</v>
      </c>
      <c r="H982" s="12">
        <v>0</v>
      </c>
      <c r="I982" s="12">
        <v>961</v>
      </c>
      <c r="J982" s="12">
        <f>SUMIF(order_item!B:B,A982,order_item!E:E)</f>
        <v>961</v>
      </c>
      <c r="K982" s="28" t="str">
        <f>_xlfn.XLOOKUP(B982,customers!A:A,customers!D:D)</f>
        <v>Regular</v>
      </c>
    </row>
    <row r="983" spans="1:11" x14ac:dyDescent="0.25">
      <c r="A983" s="5" t="s">
        <v>3880</v>
      </c>
      <c r="B983" s="5" t="s">
        <v>205</v>
      </c>
      <c r="C983" s="5" t="s">
        <v>7309</v>
      </c>
      <c r="D983" s="1">
        <v>45674</v>
      </c>
      <c r="E983" s="17">
        <v>0.71666666666666667</v>
      </c>
      <c r="F983" s="5" t="s">
        <v>7307</v>
      </c>
      <c r="G983" s="12">
        <v>218</v>
      </c>
      <c r="H983" s="12">
        <v>0</v>
      </c>
      <c r="I983" s="12">
        <v>0</v>
      </c>
      <c r="J983" s="12">
        <f>SUMIF(order_item!B:B,A983,order_item!E:E)</f>
        <v>218</v>
      </c>
      <c r="K983" s="28" t="str">
        <f>_xlfn.XLOOKUP(B983,customers!A:A,customers!D:D)</f>
        <v>Regular</v>
      </c>
    </row>
    <row r="984" spans="1:11" x14ac:dyDescent="0.25">
      <c r="A984" s="5" t="s">
        <v>3877</v>
      </c>
      <c r="B984" s="5" t="s">
        <v>686</v>
      </c>
      <c r="C984" s="5" t="s">
        <v>7309</v>
      </c>
      <c r="D984" s="1">
        <v>45386</v>
      </c>
      <c r="E984" s="17">
        <v>0.72638888888888886</v>
      </c>
      <c r="F984" s="5" t="s">
        <v>7305</v>
      </c>
      <c r="G984" s="12">
        <v>356</v>
      </c>
      <c r="H984" s="12">
        <v>35.6</v>
      </c>
      <c r="I984" s="12">
        <v>320.39999999999998</v>
      </c>
      <c r="J984" s="12">
        <f>SUMIF(order_item!B:B,A984,order_item!E:E)</f>
        <v>356</v>
      </c>
      <c r="K984" s="28" t="str">
        <f>_xlfn.XLOOKUP(B984,customers!A:A,customers!D:D)</f>
        <v>Regular</v>
      </c>
    </row>
    <row r="985" spans="1:11" x14ac:dyDescent="0.25">
      <c r="A985" s="5" t="s">
        <v>3873</v>
      </c>
      <c r="B985" s="5" t="s">
        <v>537</v>
      </c>
      <c r="C985" s="5" t="s">
        <v>7309</v>
      </c>
      <c r="D985" s="1">
        <v>45452</v>
      </c>
      <c r="E985" s="17">
        <v>0.77083333333333337</v>
      </c>
      <c r="F985" s="5" t="s">
        <v>7305</v>
      </c>
      <c r="G985" s="12">
        <v>943</v>
      </c>
      <c r="H985" s="12">
        <v>0</v>
      </c>
      <c r="I985" s="12">
        <v>943</v>
      </c>
      <c r="J985" s="12">
        <f>SUMIF(order_item!B:B,A985,order_item!E:E)</f>
        <v>943</v>
      </c>
      <c r="K985" s="28" t="str">
        <f>_xlfn.XLOOKUP(B985,customers!A:A,customers!D:D)</f>
        <v>New</v>
      </c>
    </row>
    <row r="986" spans="1:11" x14ac:dyDescent="0.25">
      <c r="A986" s="5" t="s">
        <v>3870</v>
      </c>
      <c r="B986" s="5" t="s">
        <v>138</v>
      </c>
      <c r="C986" s="5" t="s">
        <v>7306</v>
      </c>
      <c r="D986" s="1">
        <v>45661</v>
      </c>
      <c r="E986" s="17">
        <v>0.93333333333333324</v>
      </c>
      <c r="F986" s="5" t="s">
        <v>7305</v>
      </c>
      <c r="G986" s="12">
        <v>188</v>
      </c>
      <c r="H986" s="12">
        <v>0</v>
      </c>
      <c r="I986" s="12">
        <v>188</v>
      </c>
      <c r="J986" s="12">
        <f>SUMIF(order_item!B:B,A986,order_item!E:E)</f>
        <v>188</v>
      </c>
      <c r="K986" s="28" t="str">
        <f>_xlfn.XLOOKUP(B986,customers!A:A,customers!D:D)</f>
        <v>Regular</v>
      </c>
    </row>
    <row r="987" spans="1:11" x14ac:dyDescent="0.25">
      <c r="A987" s="5" t="s">
        <v>3867</v>
      </c>
      <c r="B987" s="5" t="s">
        <v>255</v>
      </c>
      <c r="C987" s="5" t="s">
        <v>7306</v>
      </c>
      <c r="D987" s="1">
        <v>45408</v>
      </c>
      <c r="E987" s="17">
        <v>0.51944444444444449</v>
      </c>
      <c r="F987" s="5" t="s">
        <v>7305</v>
      </c>
      <c r="G987" s="12">
        <v>158</v>
      </c>
      <c r="H987" s="12">
        <v>0</v>
      </c>
      <c r="I987" s="12">
        <v>158</v>
      </c>
      <c r="J987" s="12">
        <f>SUMIF(order_item!B:B,A987,order_item!E:E)</f>
        <v>158</v>
      </c>
      <c r="K987" s="28" t="str">
        <f>_xlfn.XLOOKUP(B987,customers!A:A,customers!D:D)</f>
        <v>Regular</v>
      </c>
    </row>
    <row r="988" spans="1:11" x14ac:dyDescent="0.25">
      <c r="A988" s="5" t="s">
        <v>3863</v>
      </c>
      <c r="B988" s="5" t="s">
        <v>159</v>
      </c>
      <c r="C988" s="5" t="s">
        <v>7309</v>
      </c>
      <c r="D988" s="1">
        <v>45599</v>
      </c>
      <c r="E988" s="17">
        <v>0.8930555555555556</v>
      </c>
      <c r="F988" s="5" t="s">
        <v>7305</v>
      </c>
      <c r="G988" s="12">
        <v>606</v>
      </c>
      <c r="H988" s="12">
        <v>0</v>
      </c>
      <c r="I988" s="12">
        <v>606</v>
      </c>
      <c r="J988" s="12">
        <f>SUMIF(order_item!B:B,A988,order_item!E:E)</f>
        <v>606</v>
      </c>
      <c r="K988" s="28" t="str">
        <f>_xlfn.XLOOKUP(B988,customers!A:A,customers!D:D)</f>
        <v>New</v>
      </c>
    </row>
    <row r="989" spans="1:11" x14ac:dyDescent="0.25">
      <c r="A989" s="5" t="s">
        <v>3859</v>
      </c>
      <c r="B989" s="5" t="s">
        <v>445</v>
      </c>
      <c r="C989" s="5" t="s">
        <v>7308</v>
      </c>
      <c r="D989" s="1">
        <v>45625</v>
      </c>
      <c r="E989" s="17">
        <v>0.53472222222222221</v>
      </c>
      <c r="F989" s="5" t="s">
        <v>7305</v>
      </c>
      <c r="G989" s="12">
        <v>861</v>
      </c>
      <c r="H989" s="12">
        <v>0</v>
      </c>
      <c r="I989" s="12">
        <v>861</v>
      </c>
      <c r="J989" s="12">
        <f>SUMIF(order_item!B:B,A989,order_item!E:E)</f>
        <v>861</v>
      </c>
      <c r="K989" s="28" t="str">
        <f>_xlfn.XLOOKUP(B989,customers!A:A,customers!D:D)</f>
        <v>Regular</v>
      </c>
    </row>
    <row r="990" spans="1:11" x14ac:dyDescent="0.25">
      <c r="A990" s="5" t="s">
        <v>3854</v>
      </c>
      <c r="B990" s="5" t="s">
        <v>640</v>
      </c>
      <c r="C990" s="5" t="s">
        <v>7309</v>
      </c>
      <c r="D990" s="1">
        <v>45674</v>
      </c>
      <c r="E990" s="17">
        <v>0.69166666666666676</v>
      </c>
      <c r="F990" s="5" t="s">
        <v>7305</v>
      </c>
      <c r="G990" s="12">
        <v>1172</v>
      </c>
      <c r="H990" s="12">
        <v>58.6</v>
      </c>
      <c r="I990" s="12">
        <v>1113.4000000000001</v>
      </c>
      <c r="J990" s="12">
        <f>SUMIF(order_item!B:B,A990,order_item!E:E)</f>
        <v>1172</v>
      </c>
      <c r="K990" s="28" t="str">
        <f>_xlfn.XLOOKUP(B990,customers!A:A,customers!D:D)</f>
        <v>Regular</v>
      </c>
    </row>
    <row r="991" spans="1:11" x14ac:dyDescent="0.25">
      <c r="A991" s="5" t="s">
        <v>3850</v>
      </c>
      <c r="B991" s="5" t="s">
        <v>641</v>
      </c>
      <c r="C991" s="5" t="s">
        <v>7309</v>
      </c>
      <c r="D991" s="1">
        <v>45601</v>
      </c>
      <c r="E991" s="17">
        <v>0.7104166666666667</v>
      </c>
      <c r="F991" s="5" t="s">
        <v>7305</v>
      </c>
      <c r="G991" s="12">
        <v>1111</v>
      </c>
      <c r="H991" s="12">
        <v>55.55</v>
      </c>
      <c r="I991" s="12">
        <v>1055.45</v>
      </c>
      <c r="J991" s="12">
        <f>SUMIF(order_item!B:B,A991,order_item!E:E)</f>
        <v>1111</v>
      </c>
      <c r="K991" s="28" t="str">
        <f>_xlfn.XLOOKUP(B991,customers!A:A,customers!D:D)</f>
        <v>Regular</v>
      </c>
    </row>
    <row r="992" spans="1:11" x14ac:dyDescent="0.25">
      <c r="A992" s="5" t="s">
        <v>3846</v>
      </c>
      <c r="B992" s="5" t="s">
        <v>805</v>
      </c>
      <c r="C992" s="5" t="s">
        <v>7309</v>
      </c>
      <c r="D992" s="1">
        <v>45433</v>
      </c>
      <c r="E992" s="17">
        <v>0.90833333333333333</v>
      </c>
      <c r="F992" s="5" t="s">
        <v>7305</v>
      </c>
      <c r="G992" s="12">
        <v>665</v>
      </c>
      <c r="H992" s="12">
        <v>66.5</v>
      </c>
      <c r="I992" s="12">
        <v>598.5</v>
      </c>
      <c r="J992" s="12">
        <f>SUMIF(order_item!B:B,A992,order_item!E:E)</f>
        <v>665</v>
      </c>
      <c r="K992" s="28" t="str">
        <f>_xlfn.XLOOKUP(B992,customers!A:A,customers!D:D)</f>
        <v>Regular</v>
      </c>
    </row>
    <row r="993" spans="1:11" x14ac:dyDescent="0.25">
      <c r="A993" s="5" t="s">
        <v>3842</v>
      </c>
      <c r="B993" s="5" t="s">
        <v>509</v>
      </c>
      <c r="C993" s="5" t="s">
        <v>7306</v>
      </c>
      <c r="D993" s="1">
        <v>45611</v>
      </c>
      <c r="E993" s="17">
        <v>0.93958333333333333</v>
      </c>
      <c r="F993" s="5" t="s">
        <v>7305</v>
      </c>
      <c r="G993" s="12">
        <v>466</v>
      </c>
      <c r="H993" s="12">
        <v>0</v>
      </c>
      <c r="I993" s="12">
        <v>466</v>
      </c>
      <c r="J993" s="12">
        <f>SUMIF(order_item!B:B,A993,order_item!E:E)</f>
        <v>466</v>
      </c>
      <c r="K993" s="28" t="str">
        <f>_xlfn.XLOOKUP(B993,customers!A:A,customers!D:D)</f>
        <v>Regular</v>
      </c>
    </row>
    <row r="994" spans="1:11" x14ac:dyDescent="0.25">
      <c r="A994" s="5" t="s">
        <v>3837</v>
      </c>
      <c r="B994" s="5" t="s">
        <v>856</v>
      </c>
      <c r="C994" s="5" t="s">
        <v>7309</v>
      </c>
      <c r="D994" s="1">
        <v>45718</v>
      </c>
      <c r="E994" s="17">
        <v>0.3833333333333333</v>
      </c>
      <c r="F994" s="5" t="s">
        <v>7305</v>
      </c>
      <c r="G994" s="12">
        <v>844</v>
      </c>
      <c r="H994" s="12">
        <v>0</v>
      </c>
      <c r="I994" s="12">
        <v>844</v>
      </c>
      <c r="J994" s="12">
        <f>SUMIF(order_item!B:B,A994,order_item!E:E)</f>
        <v>844</v>
      </c>
      <c r="K994" s="28" t="str">
        <f>_xlfn.XLOOKUP(B994,customers!A:A,customers!D:D)</f>
        <v>Regular</v>
      </c>
    </row>
    <row r="995" spans="1:11" x14ac:dyDescent="0.25">
      <c r="A995" s="5" t="s">
        <v>3833</v>
      </c>
      <c r="B995" s="5" t="s">
        <v>263</v>
      </c>
      <c r="C995" s="5" t="s">
        <v>7309</v>
      </c>
      <c r="D995" s="1">
        <v>45647</v>
      </c>
      <c r="E995" s="17">
        <v>0.41736111111111113</v>
      </c>
      <c r="F995" s="5" t="s">
        <v>7307</v>
      </c>
      <c r="G995" s="12">
        <v>704</v>
      </c>
      <c r="H995" s="12">
        <v>35.200000000000003</v>
      </c>
      <c r="I995" s="12">
        <v>0</v>
      </c>
      <c r="J995" s="12">
        <f>SUMIF(order_item!B:B,A995,order_item!E:E)</f>
        <v>704</v>
      </c>
      <c r="K995" s="28" t="str">
        <f>_xlfn.XLOOKUP(B995,customers!A:A,customers!D:D)</f>
        <v>Regular</v>
      </c>
    </row>
    <row r="996" spans="1:11" x14ac:dyDescent="0.25">
      <c r="A996" s="5" t="s">
        <v>3829</v>
      </c>
      <c r="B996" s="5" t="s">
        <v>728</v>
      </c>
      <c r="C996" s="5" t="s">
        <v>7306</v>
      </c>
      <c r="D996" s="1">
        <v>45714</v>
      </c>
      <c r="E996" s="17">
        <v>0.79513888888888884</v>
      </c>
      <c r="F996" s="5" t="s">
        <v>7305</v>
      </c>
      <c r="G996" s="12">
        <v>485</v>
      </c>
      <c r="H996" s="12">
        <v>0</v>
      </c>
      <c r="I996" s="12">
        <v>485</v>
      </c>
      <c r="J996" s="12">
        <f>SUMIF(order_item!B:B,A996,order_item!E:E)</f>
        <v>485</v>
      </c>
      <c r="K996" s="28" t="str">
        <f>_xlfn.XLOOKUP(B996,customers!A:A,customers!D:D)</f>
        <v>Regular</v>
      </c>
    </row>
    <row r="997" spans="1:11" x14ac:dyDescent="0.25">
      <c r="A997" s="5" t="s">
        <v>3826</v>
      </c>
      <c r="B997" s="5" t="s">
        <v>288</v>
      </c>
      <c r="C997" s="5" t="s">
        <v>7306</v>
      </c>
      <c r="D997" s="1">
        <v>45718</v>
      </c>
      <c r="E997" s="17">
        <v>0.64513888888888882</v>
      </c>
      <c r="F997" s="5" t="s">
        <v>7305</v>
      </c>
      <c r="G997" s="12">
        <v>228</v>
      </c>
      <c r="H997" s="12">
        <v>0</v>
      </c>
      <c r="I997" s="12">
        <v>228</v>
      </c>
      <c r="J997" s="12">
        <f>SUMIF(order_item!B:B,A997,order_item!E:E)</f>
        <v>228</v>
      </c>
      <c r="K997" s="28" t="str">
        <f>_xlfn.XLOOKUP(B997,customers!A:A,customers!D:D)</f>
        <v>Regular</v>
      </c>
    </row>
    <row r="998" spans="1:11" x14ac:dyDescent="0.25">
      <c r="A998" s="5" t="s">
        <v>3821</v>
      </c>
      <c r="B998" s="5" t="s">
        <v>317</v>
      </c>
      <c r="C998" s="5" t="s">
        <v>7309</v>
      </c>
      <c r="D998" s="1">
        <v>45430</v>
      </c>
      <c r="E998" s="17">
        <v>0.92222222222222217</v>
      </c>
      <c r="F998" s="5" t="s">
        <v>7305</v>
      </c>
      <c r="G998" s="12">
        <v>754</v>
      </c>
      <c r="H998" s="12">
        <v>37.700000000000003</v>
      </c>
      <c r="I998" s="12">
        <v>716.3</v>
      </c>
      <c r="J998" s="12">
        <f>SUMIF(order_item!B:B,A998,order_item!E:E)</f>
        <v>754</v>
      </c>
      <c r="K998" s="28" t="str">
        <f>_xlfn.XLOOKUP(B998,customers!A:A,customers!D:D)</f>
        <v>New</v>
      </c>
    </row>
    <row r="999" spans="1:11" x14ac:dyDescent="0.25">
      <c r="A999" s="5" t="s">
        <v>3819</v>
      </c>
      <c r="B999" s="5" t="s">
        <v>492</v>
      </c>
      <c r="C999" s="5" t="s">
        <v>7309</v>
      </c>
      <c r="D999" s="1">
        <v>45567</v>
      </c>
      <c r="E999" s="17">
        <v>0.5756944444444444</v>
      </c>
      <c r="F999" s="5" t="s">
        <v>7305</v>
      </c>
      <c r="G999" s="12">
        <v>267</v>
      </c>
      <c r="H999" s="12">
        <v>0</v>
      </c>
      <c r="I999" s="12">
        <v>267</v>
      </c>
      <c r="J999" s="12">
        <f>SUMIF(order_item!B:B,A999,order_item!E:E)</f>
        <v>267</v>
      </c>
      <c r="K999" s="28" t="str">
        <f>_xlfn.XLOOKUP(B999,customers!A:A,customers!D:D)</f>
        <v>Regular</v>
      </c>
    </row>
    <row r="1000" spans="1:11" x14ac:dyDescent="0.25">
      <c r="A1000" s="5" t="s">
        <v>3816</v>
      </c>
      <c r="B1000" s="5" t="s">
        <v>861</v>
      </c>
      <c r="C1000" s="5" t="s">
        <v>7306</v>
      </c>
      <c r="D1000" s="1">
        <v>45617</v>
      </c>
      <c r="E1000" s="17">
        <v>0.78819444444444453</v>
      </c>
      <c r="F1000" s="5" t="s">
        <v>7305</v>
      </c>
      <c r="G1000" s="12">
        <v>475</v>
      </c>
      <c r="H1000" s="12">
        <v>0</v>
      </c>
      <c r="I1000" s="12">
        <v>475</v>
      </c>
      <c r="J1000" s="12">
        <f>SUMIF(order_item!B:B,A1000,order_item!E:E)</f>
        <v>475</v>
      </c>
      <c r="K1000" s="28" t="str">
        <f>_xlfn.XLOOKUP(B1000,customers!A:A,customers!D:D)</f>
        <v>Premium</v>
      </c>
    </row>
    <row r="1001" spans="1:11" x14ac:dyDescent="0.25">
      <c r="A1001" s="5" t="s">
        <v>3812</v>
      </c>
      <c r="B1001" s="5" t="s">
        <v>253</v>
      </c>
      <c r="C1001" s="5" t="s">
        <v>7309</v>
      </c>
      <c r="D1001" s="1">
        <v>45534</v>
      </c>
      <c r="E1001" s="17">
        <v>0.66180555555555554</v>
      </c>
      <c r="F1001" s="5" t="s">
        <v>7305</v>
      </c>
      <c r="G1001" s="12">
        <v>1052</v>
      </c>
      <c r="H1001" s="12">
        <v>0</v>
      </c>
      <c r="I1001" s="12">
        <v>1052</v>
      </c>
      <c r="J1001" s="12">
        <f>SUMIF(order_item!B:B,A1001,order_item!E:E)</f>
        <v>1052</v>
      </c>
      <c r="K1001" s="28" t="str">
        <f>_xlfn.XLOOKUP(B1001,customers!A:A,customers!D:D)</f>
        <v>Premium</v>
      </c>
    </row>
    <row r="1002" spans="1:11" x14ac:dyDescent="0.25">
      <c r="A1002" s="5" t="s">
        <v>3809</v>
      </c>
      <c r="B1002" s="5" t="s">
        <v>94</v>
      </c>
      <c r="C1002" s="5" t="s">
        <v>7309</v>
      </c>
      <c r="D1002" s="1">
        <v>45567</v>
      </c>
      <c r="E1002" s="17">
        <v>0.7270833333333333</v>
      </c>
      <c r="F1002" s="5" t="s">
        <v>7305</v>
      </c>
      <c r="G1002" s="12">
        <v>168</v>
      </c>
      <c r="H1002" s="12">
        <v>0</v>
      </c>
      <c r="I1002" s="12">
        <v>168</v>
      </c>
      <c r="J1002" s="12">
        <f>SUMIF(order_item!B:B,A1002,order_item!E:E)</f>
        <v>168</v>
      </c>
      <c r="K1002" s="28" t="str">
        <f>_xlfn.XLOOKUP(B1002,customers!A:A,customers!D:D)</f>
        <v>Premium</v>
      </c>
    </row>
    <row r="1003" spans="1:11" x14ac:dyDescent="0.25">
      <c r="A1003" s="5" t="s">
        <v>3806</v>
      </c>
      <c r="B1003" s="5" t="s">
        <v>523</v>
      </c>
      <c r="C1003" s="5" t="s">
        <v>7308</v>
      </c>
      <c r="D1003" s="1">
        <v>45704</v>
      </c>
      <c r="E1003" s="17">
        <v>0.38125000000000003</v>
      </c>
      <c r="F1003" s="5" t="s">
        <v>7305</v>
      </c>
      <c r="G1003" s="12">
        <v>257</v>
      </c>
      <c r="H1003" s="12">
        <v>0</v>
      </c>
      <c r="I1003" s="12">
        <v>257</v>
      </c>
      <c r="J1003" s="12">
        <f>SUMIF(order_item!B:B,A1003,order_item!E:E)</f>
        <v>257</v>
      </c>
      <c r="K1003" s="28" t="str">
        <f>_xlfn.XLOOKUP(B1003,customers!A:A,customers!D:D)</f>
        <v>Regular</v>
      </c>
    </row>
    <row r="1004" spans="1:11" x14ac:dyDescent="0.25">
      <c r="A1004" s="5" t="s">
        <v>3803</v>
      </c>
      <c r="B1004" s="5" t="s">
        <v>567</v>
      </c>
      <c r="C1004" s="5" t="s">
        <v>7308</v>
      </c>
      <c r="D1004" s="1">
        <v>45407</v>
      </c>
      <c r="E1004" s="17">
        <v>0.43541666666666662</v>
      </c>
      <c r="F1004" s="5" t="s">
        <v>7305</v>
      </c>
      <c r="G1004" s="12">
        <v>514</v>
      </c>
      <c r="H1004" s="12">
        <v>51.4</v>
      </c>
      <c r="I1004" s="12">
        <v>462.6</v>
      </c>
      <c r="J1004" s="12">
        <f>SUMIF(order_item!B:B,A1004,order_item!E:E)</f>
        <v>514</v>
      </c>
      <c r="K1004" s="28" t="str">
        <f>_xlfn.XLOOKUP(B1004,customers!A:A,customers!D:D)</f>
        <v>Regular</v>
      </c>
    </row>
    <row r="1005" spans="1:11" x14ac:dyDescent="0.25">
      <c r="A1005" s="5" t="s">
        <v>3800</v>
      </c>
      <c r="B1005" s="5" t="s">
        <v>163</v>
      </c>
      <c r="C1005" s="5" t="s">
        <v>7306</v>
      </c>
      <c r="D1005" s="1">
        <v>45515</v>
      </c>
      <c r="E1005" s="17">
        <v>0.49444444444444446</v>
      </c>
      <c r="F1005" s="5" t="s">
        <v>7305</v>
      </c>
      <c r="G1005" s="12">
        <v>238</v>
      </c>
      <c r="H1005" s="12">
        <v>0</v>
      </c>
      <c r="I1005" s="12">
        <v>238</v>
      </c>
      <c r="J1005" s="12">
        <f>SUMIF(order_item!B:B,A1005,order_item!E:E)</f>
        <v>238</v>
      </c>
      <c r="K1005" s="28" t="str">
        <f>_xlfn.XLOOKUP(B1005,customers!A:A,customers!D:D)</f>
        <v>Regular</v>
      </c>
    </row>
    <row r="1006" spans="1:11" x14ac:dyDescent="0.25">
      <c r="A1006" s="5" t="s">
        <v>3798</v>
      </c>
      <c r="B1006" s="5" t="s">
        <v>612</v>
      </c>
      <c r="C1006" s="5" t="s">
        <v>7309</v>
      </c>
      <c r="D1006" s="1">
        <v>45731</v>
      </c>
      <c r="E1006" s="17">
        <v>0.89444444444444438</v>
      </c>
      <c r="F1006" s="5" t="s">
        <v>7307</v>
      </c>
      <c r="G1006" s="12">
        <v>238</v>
      </c>
      <c r="H1006" s="12">
        <v>0</v>
      </c>
      <c r="I1006" s="12">
        <v>0</v>
      </c>
      <c r="J1006" s="12">
        <f>SUMIF(order_item!B:B,A1006,order_item!E:E)</f>
        <v>238</v>
      </c>
      <c r="K1006" s="28" t="str">
        <f>_xlfn.XLOOKUP(B1006,customers!A:A,customers!D:D)</f>
        <v>Regular</v>
      </c>
    </row>
    <row r="1007" spans="1:11" x14ac:dyDescent="0.25">
      <c r="A1007" s="5" t="s">
        <v>3793</v>
      </c>
      <c r="B1007" s="5" t="s">
        <v>696</v>
      </c>
      <c r="C1007" s="5" t="s">
        <v>7309</v>
      </c>
      <c r="D1007" s="1">
        <v>45535</v>
      </c>
      <c r="E1007" s="17">
        <v>0.71875</v>
      </c>
      <c r="F1007" s="5" t="s">
        <v>7305</v>
      </c>
      <c r="G1007" s="12">
        <v>891</v>
      </c>
      <c r="H1007" s="12">
        <v>133.65</v>
      </c>
      <c r="I1007" s="12">
        <v>757.35</v>
      </c>
      <c r="J1007" s="12">
        <f>SUMIF(order_item!B:B,A1007,order_item!E:E)</f>
        <v>891</v>
      </c>
      <c r="K1007" s="28" t="str">
        <f>_xlfn.XLOOKUP(B1007,customers!A:A,customers!D:D)</f>
        <v>Regular</v>
      </c>
    </row>
    <row r="1008" spans="1:11" x14ac:dyDescent="0.25">
      <c r="A1008" s="5" t="s">
        <v>3790</v>
      </c>
      <c r="B1008" s="5" t="s">
        <v>592</v>
      </c>
      <c r="C1008" s="5" t="s">
        <v>7309</v>
      </c>
      <c r="D1008" s="1">
        <v>45668</v>
      </c>
      <c r="E1008" s="17">
        <v>0.68611111111111101</v>
      </c>
      <c r="F1008" s="5" t="s">
        <v>7305</v>
      </c>
      <c r="G1008" s="12">
        <v>645</v>
      </c>
      <c r="H1008" s="12">
        <v>64.5</v>
      </c>
      <c r="I1008" s="12">
        <v>580.5</v>
      </c>
      <c r="J1008" s="12">
        <f>SUMIF(order_item!B:B,A1008,order_item!E:E)</f>
        <v>645</v>
      </c>
      <c r="K1008" s="28" t="str">
        <f>_xlfn.XLOOKUP(B1008,customers!A:A,customers!D:D)</f>
        <v>New</v>
      </c>
    </row>
    <row r="1009" spans="1:11" x14ac:dyDescent="0.25">
      <c r="A1009" s="5" t="s">
        <v>3787</v>
      </c>
      <c r="B1009" s="5" t="s">
        <v>321</v>
      </c>
      <c r="C1009" s="5" t="s">
        <v>7309</v>
      </c>
      <c r="D1009" s="1">
        <v>45564</v>
      </c>
      <c r="E1009" s="17">
        <v>0.70486111111111116</v>
      </c>
      <c r="F1009" s="5" t="s">
        <v>7305</v>
      </c>
      <c r="G1009" s="12">
        <v>277</v>
      </c>
      <c r="H1009" s="12">
        <v>0</v>
      </c>
      <c r="I1009" s="12">
        <v>277</v>
      </c>
      <c r="J1009" s="12">
        <f>SUMIF(order_item!B:B,A1009,order_item!E:E)</f>
        <v>277</v>
      </c>
      <c r="K1009" s="28" t="str">
        <f>_xlfn.XLOOKUP(B1009,customers!A:A,customers!D:D)</f>
        <v>Regular</v>
      </c>
    </row>
    <row r="1010" spans="1:11" x14ac:dyDescent="0.25">
      <c r="A1010" s="5" t="s">
        <v>3784</v>
      </c>
      <c r="B1010" s="5" t="s">
        <v>171</v>
      </c>
      <c r="C1010" s="5" t="s">
        <v>7309</v>
      </c>
      <c r="D1010" s="1">
        <v>45476</v>
      </c>
      <c r="E1010" s="17">
        <v>0.70277777777777783</v>
      </c>
      <c r="F1010" s="5" t="s">
        <v>7305</v>
      </c>
      <c r="G1010" s="12">
        <v>178</v>
      </c>
      <c r="H1010" s="12">
        <v>17.8</v>
      </c>
      <c r="I1010" s="12">
        <v>160.19999999999999</v>
      </c>
      <c r="J1010" s="12">
        <f>SUMIF(order_item!B:B,A1010,order_item!E:E)</f>
        <v>178</v>
      </c>
      <c r="K1010" s="28" t="str">
        <f>_xlfn.XLOOKUP(B1010,customers!A:A,customers!D:D)</f>
        <v>New</v>
      </c>
    </row>
    <row r="1011" spans="1:11" x14ac:dyDescent="0.25">
      <c r="A1011" s="5" t="s">
        <v>3781</v>
      </c>
      <c r="B1011" s="5" t="s">
        <v>621</v>
      </c>
      <c r="C1011" s="5" t="s">
        <v>7309</v>
      </c>
      <c r="D1011" s="1">
        <v>45455</v>
      </c>
      <c r="E1011" s="17">
        <v>0.86319444444444438</v>
      </c>
      <c r="F1011" s="5" t="s">
        <v>7307</v>
      </c>
      <c r="G1011" s="12">
        <v>158</v>
      </c>
      <c r="H1011" s="12">
        <v>0</v>
      </c>
      <c r="I1011" s="12">
        <v>0</v>
      </c>
      <c r="J1011" s="12">
        <f>SUMIF(order_item!B:B,A1011,order_item!E:E)</f>
        <v>158</v>
      </c>
      <c r="K1011" s="28" t="str">
        <f>_xlfn.XLOOKUP(B1011,customers!A:A,customers!D:D)</f>
        <v>New</v>
      </c>
    </row>
    <row r="1012" spans="1:11" x14ac:dyDescent="0.25">
      <c r="A1012" s="5" t="s">
        <v>3776</v>
      </c>
      <c r="B1012" s="5" t="s">
        <v>220</v>
      </c>
      <c r="C1012" s="5" t="s">
        <v>7306</v>
      </c>
      <c r="D1012" s="1">
        <v>45698</v>
      </c>
      <c r="E1012" s="17">
        <v>0.79861111111111116</v>
      </c>
      <c r="F1012" s="5" t="s">
        <v>7305</v>
      </c>
      <c r="G1012" s="12">
        <v>574</v>
      </c>
      <c r="H1012" s="12">
        <v>28.7</v>
      </c>
      <c r="I1012" s="12">
        <v>545.29999999999995</v>
      </c>
      <c r="J1012" s="12">
        <f>SUMIF(order_item!B:B,A1012,order_item!E:E)</f>
        <v>574</v>
      </c>
      <c r="K1012" s="28" t="str">
        <f>_xlfn.XLOOKUP(B1012,customers!A:A,customers!D:D)</f>
        <v>Regular</v>
      </c>
    </row>
    <row r="1013" spans="1:11" x14ac:dyDescent="0.25">
      <c r="A1013" s="5" t="s">
        <v>3772</v>
      </c>
      <c r="B1013" s="5" t="s">
        <v>653</v>
      </c>
      <c r="C1013" s="5" t="s">
        <v>7308</v>
      </c>
      <c r="D1013" s="1">
        <v>45740</v>
      </c>
      <c r="E1013" s="17">
        <v>0.79583333333333339</v>
      </c>
      <c r="F1013" s="5" t="s">
        <v>7305</v>
      </c>
      <c r="G1013" s="12">
        <v>397</v>
      </c>
      <c r="H1013" s="12">
        <v>0</v>
      </c>
      <c r="I1013" s="12">
        <v>397</v>
      </c>
      <c r="J1013" s="12">
        <f>SUMIF(order_item!B:B,A1013,order_item!E:E)</f>
        <v>397</v>
      </c>
      <c r="K1013" s="28" t="str">
        <f>_xlfn.XLOOKUP(B1013,customers!A:A,customers!D:D)</f>
        <v>Regular</v>
      </c>
    </row>
    <row r="1014" spans="1:11" x14ac:dyDescent="0.25">
      <c r="A1014" s="5" t="s">
        <v>3770</v>
      </c>
      <c r="B1014" s="5" t="s">
        <v>222</v>
      </c>
      <c r="C1014" s="5" t="s">
        <v>7306</v>
      </c>
      <c r="D1014" s="1">
        <v>45605</v>
      </c>
      <c r="E1014" s="17">
        <v>0.83611111111111114</v>
      </c>
      <c r="F1014" s="5" t="s">
        <v>7305</v>
      </c>
      <c r="G1014" s="12">
        <v>495</v>
      </c>
      <c r="H1014" s="12">
        <v>24.75</v>
      </c>
      <c r="I1014" s="12">
        <v>470.25</v>
      </c>
      <c r="J1014" s="12">
        <f>SUMIF(order_item!B:B,A1014,order_item!E:E)</f>
        <v>495</v>
      </c>
      <c r="K1014" s="28" t="str">
        <f>_xlfn.XLOOKUP(B1014,customers!A:A,customers!D:D)</f>
        <v>Regular</v>
      </c>
    </row>
    <row r="1015" spans="1:11" x14ac:dyDescent="0.25">
      <c r="A1015" s="5" t="s">
        <v>3766</v>
      </c>
      <c r="B1015" s="5" t="s">
        <v>236</v>
      </c>
      <c r="C1015" s="5" t="s">
        <v>7306</v>
      </c>
      <c r="D1015" s="1">
        <v>45399</v>
      </c>
      <c r="E1015" s="17">
        <v>0.83472222222222225</v>
      </c>
      <c r="F1015" s="5" t="s">
        <v>7305</v>
      </c>
      <c r="G1015" s="12">
        <v>406</v>
      </c>
      <c r="H1015" s="12">
        <v>40.6</v>
      </c>
      <c r="I1015" s="12">
        <v>365.4</v>
      </c>
      <c r="J1015" s="12">
        <f>SUMIF(order_item!B:B,A1015,order_item!E:E)</f>
        <v>406</v>
      </c>
      <c r="K1015" s="28" t="str">
        <f>_xlfn.XLOOKUP(B1015,customers!A:A,customers!D:D)</f>
        <v>Premium</v>
      </c>
    </row>
    <row r="1016" spans="1:11" x14ac:dyDescent="0.25">
      <c r="A1016" s="5" t="s">
        <v>3763</v>
      </c>
      <c r="B1016" s="5" t="s">
        <v>581</v>
      </c>
      <c r="C1016" s="5" t="s">
        <v>7308</v>
      </c>
      <c r="D1016" s="1">
        <v>45540</v>
      </c>
      <c r="E1016" s="17">
        <v>0.75416666666666676</v>
      </c>
      <c r="F1016" s="5" t="s">
        <v>7305</v>
      </c>
      <c r="G1016" s="12">
        <v>287</v>
      </c>
      <c r="H1016" s="12">
        <v>0</v>
      </c>
      <c r="I1016" s="12">
        <v>287</v>
      </c>
      <c r="J1016" s="12">
        <f>SUMIF(order_item!B:B,A1016,order_item!E:E)</f>
        <v>287</v>
      </c>
      <c r="K1016" s="28" t="str">
        <f>_xlfn.XLOOKUP(B1016,customers!A:A,customers!D:D)</f>
        <v>Premium</v>
      </c>
    </row>
    <row r="1017" spans="1:11" x14ac:dyDescent="0.25">
      <c r="A1017" s="5" t="s">
        <v>3759</v>
      </c>
      <c r="B1017" s="5" t="s">
        <v>303</v>
      </c>
      <c r="C1017" s="5" t="s">
        <v>7306</v>
      </c>
      <c r="D1017" s="1">
        <v>45451</v>
      </c>
      <c r="E1017" s="17">
        <v>0.71736111111111101</v>
      </c>
      <c r="F1017" s="5" t="s">
        <v>7307</v>
      </c>
      <c r="G1017" s="12">
        <v>356</v>
      </c>
      <c r="H1017" s="12">
        <v>0</v>
      </c>
      <c r="I1017" s="12">
        <v>0</v>
      </c>
      <c r="J1017" s="12">
        <f>SUMIF(order_item!B:B,A1017,order_item!E:E)</f>
        <v>356</v>
      </c>
      <c r="K1017" s="28" t="str">
        <f>_xlfn.XLOOKUP(B1017,customers!A:A,customers!D:D)</f>
        <v>Regular</v>
      </c>
    </row>
    <row r="1018" spans="1:11" x14ac:dyDescent="0.25">
      <c r="A1018" s="5" t="s">
        <v>3756</v>
      </c>
      <c r="B1018" s="5" t="s">
        <v>850</v>
      </c>
      <c r="C1018" s="5" t="s">
        <v>7309</v>
      </c>
      <c r="D1018" s="1">
        <v>45447</v>
      </c>
      <c r="E1018" s="17">
        <v>0.88055555555555554</v>
      </c>
      <c r="F1018" s="5" t="s">
        <v>7305</v>
      </c>
      <c r="G1018" s="12">
        <v>218</v>
      </c>
      <c r="H1018" s="12">
        <v>0</v>
      </c>
      <c r="I1018" s="12">
        <v>218</v>
      </c>
      <c r="J1018" s="12">
        <f>SUMIF(order_item!B:B,A1018,order_item!E:E)</f>
        <v>218</v>
      </c>
      <c r="K1018" s="28" t="str">
        <f>_xlfn.XLOOKUP(B1018,customers!A:A,customers!D:D)</f>
        <v>New</v>
      </c>
    </row>
    <row r="1019" spans="1:11" x14ac:dyDescent="0.25">
      <c r="A1019" s="5" t="s">
        <v>3751</v>
      </c>
      <c r="B1019" s="5" t="s">
        <v>373</v>
      </c>
      <c r="C1019" s="5" t="s">
        <v>7306</v>
      </c>
      <c r="D1019" s="1">
        <v>45627</v>
      </c>
      <c r="E1019" s="17">
        <v>7.7083333333333337E-2</v>
      </c>
      <c r="F1019" s="5" t="s">
        <v>7305</v>
      </c>
      <c r="G1019" s="12">
        <v>1399</v>
      </c>
      <c r="H1019" s="12">
        <v>0</v>
      </c>
      <c r="I1019" s="12">
        <v>1399</v>
      </c>
      <c r="J1019" s="12">
        <f>SUMIF(order_item!B:B,A1019,order_item!E:E)</f>
        <v>1399</v>
      </c>
      <c r="K1019" s="28" t="str">
        <f>_xlfn.XLOOKUP(B1019,customers!A:A,customers!D:D)</f>
        <v>New</v>
      </c>
    </row>
    <row r="1020" spans="1:11" x14ac:dyDescent="0.25">
      <c r="A1020" s="5" t="s">
        <v>3746</v>
      </c>
      <c r="B1020" s="5" t="s">
        <v>309</v>
      </c>
      <c r="C1020" s="5" t="s">
        <v>7306</v>
      </c>
      <c r="D1020" s="1">
        <v>45439</v>
      </c>
      <c r="E1020" s="17">
        <v>0.79236111111111107</v>
      </c>
      <c r="F1020" s="5" t="s">
        <v>7307</v>
      </c>
      <c r="G1020" s="12">
        <v>1726</v>
      </c>
      <c r="H1020" s="12">
        <v>86.3</v>
      </c>
      <c r="I1020" s="12">
        <v>0</v>
      </c>
      <c r="J1020" s="12">
        <f>SUMIF(order_item!B:B,A1020,order_item!E:E)</f>
        <v>1726</v>
      </c>
      <c r="K1020" s="28" t="str">
        <f>_xlfn.XLOOKUP(B1020,customers!A:A,customers!D:D)</f>
        <v>New</v>
      </c>
    </row>
    <row r="1021" spans="1:11" x14ac:dyDescent="0.25">
      <c r="A1021" s="5" t="s">
        <v>3741</v>
      </c>
      <c r="B1021" s="5" t="s">
        <v>499</v>
      </c>
      <c r="C1021" s="5" t="s">
        <v>7306</v>
      </c>
      <c r="D1021" s="1">
        <v>45445</v>
      </c>
      <c r="E1021" s="17">
        <v>0.7729166666666667</v>
      </c>
      <c r="F1021" s="5" t="s">
        <v>7305</v>
      </c>
      <c r="G1021" s="12">
        <v>435</v>
      </c>
      <c r="H1021" s="12">
        <v>0</v>
      </c>
      <c r="I1021" s="12">
        <v>435</v>
      </c>
      <c r="J1021" s="12">
        <f>SUMIF(order_item!B:B,A1021,order_item!E:E)</f>
        <v>435</v>
      </c>
      <c r="K1021" s="28" t="str">
        <f>_xlfn.XLOOKUP(B1021,customers!A:A,customers!D:D)</f>
        <v>New</v>
      </c>
    </row>
    <row r="1022" spans="1:11" x14ac:dyDescent="0.25">
      <c r="A1022" s="5" t="s">
        <v>3737</v>
      </c>
      <c r="B1022" s="5" t="s">
        <v>742</v>
      </c>
      <c r="C1022" s="5" t="s">
        <v>7309</v>
      </c>
      <c r="D1022" s="1">
        <v>45629</v>
      </c>
      <c r="E1022" s="17">
        <v>0.49513888888888885</v>
      </c>
      <c r="F1022" s="5" t="s">
        <v>7305</v>
      </c>
      <c r="G1022" s="12">
        <v>873</v>
      </c>
      <c r="H1022" s="12">
        <v>0</v>
      </c>
      <c r="I1022" s="12">
        <v>873</v>
      </c>
      <c r="J1022" s="12">
        <f>SUMIF(order_item!B:B,A1022,order_item!E:E)</f>
        <v>873</v>
      </c>
      <c r="K1022" s="28" t="str">
        <f>_xlfn.XLOOKUP(B1022,customers!A:A,customers!D:D)</f>
        <v>New</v>
      </c>
    </row>
    <row r="1023" spans="1:11" x14ac:dyDescent="0.25">
      <c r="A1023" s="5" t="s">
        <v>3733</v>
      </c>
      <c r="B1023" s="5" t="s">
        <v>132</v>
      </c>
      <c r="C1023" s="5" t="s">
        <v>7306</v>
      </c>
      <c r="D1023" s="1">
        <v>45668</v>
      </c>
      <c r="E1023" s="17">
        <v>0.81597222222222221</v>
      </c>
      <c r="F1023" s="5" t="s">
        <v>7305</v>
      </c>
      <c r="G1023" s="12">
        <v>505</v>
      </c>
      <c r="H1023" s="12">
        <v>0</v>
      </c>
      <c r="I1023" s="12">
        <v>505</v>
      </c>
      <c r="J1023" s="12">
        <f>SUMIF(order_item!B:B,A1023,order_item!E:E)</f>
        <v>505</v>
      </c>
      <c r="K1023" s="28" t="str">
        <f>_xlfn.XLOOKUP(B1023,customers!A:A,customers!D:D)</f>
        <v>New</v>
      </c>
    </row>
    <row r="1024" spans="1:11" x14ac:dyDescent="0.25">
      <c r="A1024" s="5" t="s">
        <v>3731</v>
      </c>
      <c r="B1024" s="5" t="s">
        <v>442</v>
      </c>
      <c r="C1024" s="5" t="s">
        <v>7309</v>
      </c>
      <c r="D1024" s="1">
        <v>45429</v>
      </c>
      <c r="E1024" s="17">
        <v>0.4513888888888889</v>
      </c>
      <c r="F1024" s="5" t="s">
        <v>7305</v>
      </c>
      <c r="G1024" s="12">
        <v>158</v>
      </c>
      <c r="H1024" s="12">
        <v>0</v>
      </c>
      <c r="I1024" s="12">
        <v>158</v>
      </c>
      <c r="J1024" s="12">
        <f>SUMIF(order_item!B:B,A1024,order_item!E:E)</f>
        <v>158</v>
      </c>
      <c r="K1024" s="28" t="str">
        <f>_xlfn.XLOOKUP(B1024,customers!A:A,customers!D:D)</f>
        <v>Regular</v>
      </c>
    </row>
    <row r="1025" spans="1:11" x14ac:dyDescent="0.25">
      <c r="A1025" s="5" t="s">
        <v>3729</v>
      </c>
      <c r="B1025" s="5" t="s">
        <v>718</v>
      </c>
      <c r="C1025" s="5" t="s">
        <v>7309</v>
      </c>
      <c r="D1025" s="1">
        <v>45501</v>
      </c>
      <c r="E1025" s="17">
        <v>0.98263888888888884</v>
      </c>
      <c r="F1025" s="5" t="s">
        <v>7305</v>
      </c>
      <c r="G1025" s="12">
        <v>158</v>
      </c>
      <c r="H1025" s="12">
        <v>0</v>
      </c>
      <c r="I1025" s="12">
        <v>158</v>
      </c>
      <c r="J1025" s="12">
        <f>SUMIF(order_item!B:B,A1025,order_item!E:E)</f>
        <v>158</v>
      </c>
      <c r="K1025" s="28" t="str">
        <f>_xlfn.XLOOKUP(B1025,customers!A:A,customers!D:D)</f>
        <v>New</v>
      </c>
    </row>
    <row r="1026" spans="1:11" x14ac:dyDescent="0.25">
      <c r="A1026" s="5" t="s">
        <v>3724</v>
      </c>
      <c r="B1026" s="5" t="s">
        <v>390</v>
      </c>
      <c r="C1026" s="5" t="s">
        <v>7309</v>
      </c>
      <c r="D1026" s="1">
        <v>45626</v>
      </c>
      <c r="E1026" s="17">
        <v>0.72083333333333333</v>
      </c>
      <c r="F1026" s="5" t="s">
        <v>7305</v>
      </c>
      <c r="G1026" s="12">
        <v>515</v>
      </c>
      <c r="H1026" s="12">
        <v>0</v>
      </c>
      <c r="I1026" s="12">
        <v>515</v>
      </c>
      <c r="J1026" s="12">
        <f>SUMIF(order_item!B:B,A1026,order_item!E:E)</f>
        <v>515</v>
      </c>
      <c r="K1026" s="28" t="str">
        <f>_xlfn.XLOOKUP(B1026,customers!A:A,customers!D:D)</f>
        <v>Regular</v>
      </c>
    </row>
    <row r="1027" spans="1:11" x14ac:dyDescent="0.25">
      <c r="A1027" s="5" t="s">
        <v>3720</v>
      </c>
      <c r="B1027" s="5" t="s">
        <v>761</v>
      </c>
      <c r="C1027" s="5" t="s">
        <v>7308</v>
      </c>
      <c r="D1027" s="1">
        <v>45442</v>
      </c>
      <c r="E1027" s="17">
        <v>0.79791666666666661</v>
      </c>
      <c r="F1027" s="5" t="s">
        <v>7307</v>
      </c>
      <c r="G1027" s="12">
        <v>435</v>
      </c>
      <c r="H1027" s="12">
        <v>0</v>
      </c>
      <c r="I1027" s="12">
        <v>0</v>
      </c>
      <c r="J1027" s="12">
        <f>SUMIF(order_item!B:B,A1027,order_item!E:E)</f>
        <v>435</v>
      </c>
      <c r="K1027" s="28" t="str">
        <f>_xlfn.XLOOKUP(B1027,customers!A:A,customers!D:D)</f>
        <v>Regular</v>
      </c>
    </row>
    <row r="1028" spans="1:11" x14ac:dyDescent="0.25">
      <c r="A1028" s="5" t="s">
        <v>3717</v>
      </c>
      <c r="B1028" s="5" t="s">
        <v>510</v>
      </c>
      <c r="C1028" s="5" t="s">
        <v>7309</v>
      </c>
      <c r="D1028" s="1">
        <v>45473</v>
      </c>
      <c r="E1028" s="17">
        <v>0.86388888888888893</v>
      </c>
      <c r="F1028" s="5" t="s">
        <v>7305</v>
      </c>
      <c r="G1028" s="12">
        <v>942</v>
      </c>
      <c r="H1028" s="12">
        <v>94.2</v>
      </c>
      <c r="I1028" s="12">
        <v>847.8</v>
      </c>
      <c r="J1028" s="12">
        <f>SUMIF(order_item!B:B,A1028,order_item!E:E)</f>
        <v>942</v>
      </c>
      <c r="K1028" s="28" t="str">
        <f>_xlfn.XLOOKUP(B1028,customers!A:A,customers!D:D)</f>
        <v>Regular</v>
      </c>
    </row>
    <row r="1029" spans="1:11" x14ac:dyDescent="0.25">
      <c r="A1029" s="5" t="s">
        <v>3714</v>
      </c>
      <c r="B1029" s="5" t="s">
        <v>209</v>
      </c>
      <c r="C1029" s="5" t="s">
        <v>7309</v>
      </c>
      <c r="D1029" s="1">
        <v>45610</v>
      </c>
      <c r="E1029" s="17">
        <v>0.69374999999999998</v>
      </c>
      <c r="F1029" s="5" t="s">
        <v>7305</v>
      </c>
      <c r="G1029" s="12">
        <v>595</v>
      </c>
      <c r="H1029" s="12">
        <v>59.5</v>
      </c>
      <c r="I1029" s="12">
        <v>535.5</v>
      </c>
      <c r="J1029" s="12">
        <f>SUMIF(order_item!B:B,A1029,order_item!E:E)</f>
        <v>595</v>
      </c>
      <c r="K1029" s="28" t="str">
        <f>_xlfn.XLOOKUP(B1029,customers!A:A,customers!D:D)</f>
        <v>Premium</v>
      </c>
    </row>
    <row r="1030" spans="1:11" x14ac:dyDescent="0.25">
      <c r="A1030" s="5" t="s">
        <v>3712</v>
      </c>
      <c r="B1030" s="5" t="s">
        <v>759</v>
      </c>
      <c r="C1030" s="5" t="s">
        <v>7308</v>
      </c>
      <c r="D1030" s="1">
        <v>45627</v>
      </c>
      <c r="E1030" s="17">
        <v>7.7777777777777779E-2</v>
      </c>
      <c r="F1030" s="5" t="s">
        <v>7305</v>
      </c>
      <c r="G1030" s="12">
        <v>158</v>
      </c>
      <c r="H1030" s="12">
        <v>0</v>
      </c>
      <c r="I1030" s="12">
        <v>158</v>
      </c>
      <c r="J1030" s="12">
        <f>SUMIF(order_item!B:B,A1030,order_item!E:E)</f>
        <v>158</v>
      </c>
      <c r="K1030" s="28" t="str">
        <f>_xlfn.XLOOKUP(B1030,customers!A:A,customers!D:D)</f>
        <v>Regular</v>
      </c>
    </row>
    <row r="1031" spans="1:11" x14ac:dyDescent="0.25">
      <c r="A1031" s="5" t="s">
        <v>3709</v>
      </c>
      <c r="B1031" s="5" t="s">
        <v>692</v>
      </c>
      <c r="C1031" s="5" t="s">
        <v>7309</v>
      </c>
      <c r="D1031" s="1">
        <v>45524</v>
      </c>
      <c r="E1031" s="17">
        <v>0.4152777777777778</v>
      </c>
      <c r="F1031" s="5" t="s">
        <v>7305</v>
      </c>
      <c r="G1031" s="12">
        <v>755</v>
      </c>
      <c r="H1031" s="12">
        <v>0</v>
      </c>
      <c r="I1031" s="12">
        <v>755</v>
      </c>
      <c r="J1031" s="12">
        <f>SUMIF(order_item!B:B,A1031,order_item!E:E)</f>
        <v>755</v>
      </c>
      <c r="K1031" s="28" t="str">
        <f>_xlfn.XLOOKUP(B1031,customers!A:A,customers!D:D)</f>
        <v>New</v>
      </c>
    </row>
    <row r="1032" spans="1:11" x14ac:dyDescent="0.25">
      <c r="A1032" s="5" t="s">
        <v>3704</v>
      </c>
      <c r="B1032" s="5" t="s">
        <v>411</v>
      </c>
      <c r="C1032" s="5" t="s">
        <v>7309</v>
      </c>
      <c r="D1032" s="1">
        <v>45653</v>
      </c>
      <c r="E1032" s="17">
        <v>0.75486111111111109</v>
      </c>
      <c r="F1032" s="5" t="s">
        <v>7305</v>
      </c>
      <c r="G1032" s="12">
        <v>1168</v>
      </c>
      <c r="H1032" s="12">
        <v>0</v>
      </c>
      <c r="I1032" s="12">
        <v>1168</v>
      </c>
      <c r="J1032" s="12">
        <f>SUMIF(order_item!B:B,A1032,order_item!E:E)</f>
        <v>1168</v>
      </c>
      <c r="K1032" s="28" t="str">
        <f>_xlfn.XLOOKUP(B1032,customers!A:A,customers!D:D)</f>
        <v>New</v>
      </c>
    </row>
    <row r="1033" spans="1:11" x14ac:dyDescent="0.25">
      <c r="A1033" s="5" t="s">
        <v>3700</v>
      </c>
      <c r="B1033" s="5" t="s">
        <v>430</v>
      </c>
      <c r="C1033" s="5" t="s">
        <v>7306</v>
      </c>
      <c r="D1033" s="1">
        <v>45408</v>
      </c>
      <c r="E1033" s="17">
        <v>0.88611111111111107</v>
      </c>
      <c r="F1033" s="5" t="s">
        <v>7305</v>
      </c>
      <c r="G1033" s="12">
        <v>405</v>
      </c>
      <c r="H1033" s="12">
        <v>0</v>
      </c>
      <c r="I1033" s="12">
        <v>405</v>
      </c>
      <c r="J1033" s="12">
        <f>SUMIF(order_item!B:B,A1033,order_item!E:E)</f>
        <v>405</v>
      </c>
      <c r="K1033" s="28" t="str">
        <f>_xlfn.XLOOKUP(B1033,customers!A:A,customers!D:D)</f>
        <v>Regular</v>
      </c>
    </row>
    <row r="1034" spans="1:11" x14ac:dyDescent="0.25">
      <c r="A1034" s="5" t="s">
        <v>3696</v>
      </c>
      <c r="B1034" s="5" t="s">
        <v>716</v>
      </c>
      <c r="C1034" s="5" t="s">
        <v>7306</v>
      </c>
      <c r="D1034" s="1">
        <v>45551</v>
      </c>
      <c r="E1034" s="17">
        <v>0.4513888888888889</v>
      </c>
      <c r="F1034" s="5" t="s">
        <v>7305</v>
      </c>
      <c r="G1034" s="12">
        <v>754</v>
      </c>
      <c r="H1034" s="12">
        <v>0</v>
      </c>
      <c r="I1034" s="12">
        <v>754</v>
      </c>
      <c r="J1034" s="12">
        <f>SUMIF(order_item!B:B,A1034,order_item!E:E)</f>
        <v>754</v>
      </c>
      <c r="K1034" s="28" t="str">
        <f>_xlfn.XLOOKUP(B1034,customers!A:A,customers!D:D)</f>
        <v>Regular</v>
      </c>
    </row>
    <row r="1035" spans="1:11" x14ac:dyDescent="0.25">
      <c r="A1035" s="5" t="s">
        <v>3693</v>
      </c>
      <c r="B1035" s="5" t="s">
        <v>99</v>
      </c>
      <c r="C1035" s="5" t="s">
        <v>7306</v>
      </c>
      <c r="D1035" s="1">
        <v>45545</v>
      </c>
      <c r="E1035" s="17">
        <v>0.80486111111111114</v>
      </c>
      <c r="F1035" s="5" t="s">
        <v>7305</v>
      </c>
      <c r="G1035" s="12">
        <v>496</v>
      </c>
      <c r="H1035" s="12">
        <v>24.8</v>
      </c>
      <c r="I1035" s="12">
        <v>471.2</v>
      </c>
      <c r="J1035" s="12">
        <f>SUMIF(order_item!B:B,A1035,order_item!E:E)</f>
        <v>496</v>
      </c>
      <c r="K1035" s="28" t="str">
        <f>_xlfn.XLOOKUP(B1035,customers!A:A,customers!D:D)</f>
        <v>New</v>
      </c>
    </row>
    <row r="1036" spans="1:11" x14ac:dyDescent="0.25">
      <c r="A1036" s="5" t="s">
        <v>3689</v>
      </c>
      <c r="B1036" s="5" t="s">
        <v>351</v>
      </c>
      <c r="C1036" s="5" t="s">
        <v>7306</v>
      </c>
      <c r="D1036" s="1">
        <v>45645</v>
      </c>
      <c r="E1036" s="17">
        <v>0.41250000000000003</v>
      </c>
      <c r="F1036" s="5" t="s">
        <v>7305</v>
      </c>
      <c r="G1036" s="12">
        <v>406</v>
      </c>
      <c r="H1036" s="12">
        <v>20.3</v>
      </c>
      <c r="I1036" s="12">
        <v>385.7</v>
      </c>
      <c r="J1036" s="12">
        <f>SUMIF(order_item!B:B,A1036,order_item!E:E)</f>
        <v>406</v>
      </c>
      <c r="K1036" s="28" t="str">
        <f>_xlfn.XLOOKUP(B1036,customers!A:A,customers!D:D)</f>
        <v>New</v>
      </c>
    </row>
    <row r="1037" spans="1:11" x14ac:dyDescent="0.25">
      <c r="A1037" s="5" t="s">
        <v>3686</v>
      </c>
      <c r="B1037" s="5" t="s">
        <v>594</v>
      </c>
      <c r="C1037" s="5" t="s">
        <v>7309</v>
      </c>
      <c r="D1037" s="1">
        <v>45475</v>
      </c>
      <c r="E1037" s="17">
        <v>0.86875000000000002</v>
      </c>
      <c r="F1037" s="5" t="s">
        <v>7305</v>
      </c>
      <c r="G1037" s="12">
        <v>317</v>
      </c>
      <c r="H1037" s="12">
        <v>0</v>
      </c>
      <c r="I1037" s="12">
        <v>317</v>
      </c>
      <c r="J1037" s="12">
        <f>SUMIF(order_item!B:B,A1037,order_item!E:E)</f>
        <v>317</v>
      </c>
      <c r="K1037" s="28" t="str">
        <f>_xlfn.XLOOKUP(B1037,customers!A:A,customers!D:D)</f>
        <v>Regular</v>
      </c>
    </row>
    <row r="1038" spans="1:11" x14ac:dyDescent="0.25">
      <c r="A1038" s="5" t="s">
        <v>3683</v>
      </c>
      <c r="B1038" s="5" t="s">
        <v>430</v>
      </c>
      <c r="C1038" s="5" t="s">
        <v>7306</v>
      </c>
      <c r="D1038" s="1">
        <v>45404</v>
      </c>
      <c r="E1038" s="17">
        <v>0.66736111111111107</v>
      </c>
      <c r="F1038" s="5" t="s">
        <v>7305</v>
      </c>
      <c r="G1038" s="12">
        <v>475</v>
      </c>
      <c r="H1038" s="12">
        <v>0</v>
      </c>
      <c r="I1038" s="12">
        <v>475</v>
      </c>
      <c r="J1038" s="12">
        <f>SUMIF(order_item!B:B,A1038,order_item!E:E)</f>
        <v>475</v>
      </c>
      <c r="K1038" s="28" t="str">
        <f>_xlfn.XLOOKUP(B1038,customers!A:A,customers!D:D)</f>
        <v>Regular</v>
      </c>
    </row>
    <row r="1039" spans="1:11" x14ac:dyDescent="0.25">
      <c r="A1039" s="5" t="s">
        <v>3680</v>
      </c>
      <c r="B1039" s="5" t="s">
        <v>460</v>
      </c>
      <c r="C1039" s="5" t="s">
        <v>7306</v>
      </c>
      <c r="D1039" s="1">
        <v>45633</v>
      </c>
      <c r="E1039" s="17">
        <v>0.91319444444444453</v>
      </c>
      <c r="F1039" s="5" t="s">
        <v>7305</v>
      </c>
      <c r="G1039" s="12">
        <v>296</v>
      </c>
      <c r="H1039" s="12">
        <v>0</v>
      </c>
      <c r="I1039" s="12">
        <v>296</v>
      </c>
      <c r="J1039" s="12">
        <f>SUMIF(order_item!B:B,A1039,order_item!E:E)</f>
        <v>296</v>
      </c>
      <c r="K1039" s="28" t="str">
        <f>_xlfn.XLOOKUP(B1039,customers!A:A,customers!D:D)</f>
        <v>Regular</v>
      </c>
    </row>
    <row r="1040" spans="1:11" x14ac:dyDescent="0.25">
      <c r="A1040" s="5" t="s">
        <v>3677</v>
      </c>
      <c r="B1040" s="5" t="s">
        <v>554</v>
      </c>
      <c r="C1040" s="5" t="s">
        <v>7309</v>
      </c>
      <c r="D1040" s="1">
        <v>45514</v>
      </c>
      <c r="E1040" s="17">
        <v>0.95000000000000007</v>
      </c>
      <c r="F1040" s="5" t="s">
        <v>7305</v>
      </c>
      <c r="G1040" s="12">
        <v>544</v>
      </c>
      <c r="H1040" s="12">
        <v>0</v>
      </c>
      <c r="I1040" s="12">
        <v>544</v>
      </c>
      <c r="J1040" s="12">
        <f>SUMIF(order_item!B:B,A1040,order_item!E:E)</f>
        <v>544</v>
      </c>
      <c r="K1040" s="28" t="str">
        <f>_xlfn.XLOOKUP(B1040,customers!A:A,customers!D:D)</f>
        <v>Regular</v>
      </c>
    </row>
    <row r="1041" spans="1:11" x14ac:dyDescent="0.25">
      <c r="A1041" s="5" t="s">
        <v>3673</v>
      </c>
      <c r="B1041" s="5" t="s">
        <v>260</v>
      </c>
      <c r="C1041" s="5" t="s">
        <v>7309</v>
      </c>
      <c r="D1041" s="1">
        <v>45612</v>
      </c>
      <c r="E1041" s="17">
        <v>0.74583333333333324</v>
      </c>
      <c r="F1041" s="5" t="s">
        <v>7305</v>
      </c>
      <c r="G1041" s="12">
        <v>386</v>
      </c>
      <c r="H1041" s="12">
        <v>0</v>
      </c>
      <c r="I1041" s="12">
        <v>386</v>
      </c>
      <c r="J1041" s="12">
        <f>SUMIF(order_item!B:B,A1041,order_item!E:E)</f>
        <v>386</v>
      </c>
      <c r="K1041" s="28" t="str">
        <f>_xlfn.XLOOKUP(B1041,customers!A:A,customers!D:D)</f>
        <v>Premium</v>
      </c>
    </row>
    <row r="1042" spans="1:11" x14ac:dyDescent="0.25">
      <c r="A1042" s="5" t="s">
        <v>3668</v>
      </c>
      <c r="B1042" s="5" t="s">
        <v>344</v>
      </c>
      <c r="C1042" s="5" t="s">
        <v>7308</v>
      </c>
      <c r="D1042" s="1">
        <v>45612</v>
      </c>
      <c r="E1042" s="17">
        <v>0.66666666666666663</v>
      </c>
      <c r="F1042" s="5" t="s">
        <v>7305</v>
      </c>
      <c r="G1042" s="12">
        <v>1279</v>
      </c>
      <c r="H1042" s="12">
        <v>0</v>
      </c>
      <c r="I1042" s="12">
        <v>1279</v>
      </c>
      <c r="J1042" s="12">
        <f>SUMIF(order_item!B:B,A1042,order_item!E:E)</f>
        <v>1279</v>
      </c>
      <c r="K1042" s="28" t="str">
        <f>_xlfn.XLOOKUP(B1042,customers!A:A,customers!D:D)</f>
        <v>Regular</v>
      </c>
    </row>
    <row r="1043" spans="1:11" x14ac:dyDescent="0.25">
      <c r="A1043" s="5" t="s">
        <v>3664</v>
      </c>
      <c r="B1043" s="5" t="s">
        <v>849</v>
      </c>
      <c r="C1043" s="5" t="s">
        <v>7309</v>
      </c>
      <c r="D1043" s="1">
        <v>45435</v>
      </c>
      <c r="E1043" s="17">
        <v>0.68333333333333324</v>
      </c>
      <c r="F1043" s="5" t="s">
        <v>7305</v>
      </c>
      <c r="G1043" s="12">
        <v>652</v>
      </c>
      <c r="H1043" s="12">
        <v>0</v>
      </c>
      <c r="I1043" s="12">
        <v>652</v>
      </c>
      <c r="J1043" s="12">
        <f>SUMIF(order_item!B:B,A1043,order_item!E:E)</f>
        <v>652</v>
      </c>
      <c r="K1043" s="28" t="str">
        <f>_xlfn.XLOOKUP(B1043,customers!A:A,customers!D:D)</f>
        <v>Premium</v>
      </c>
    </row>
    <row r="1044" spans="1:11" x14ac:dyDescent="0.25">
      <c r="A1044" s="5" t="s">
        <v>3661</v>
      </c>
      <c r="B1044" s="5" t="s">
        <v>798</v>
      </c>
      <c r="C1044" s="5" t="s">
        <v>7309</v>
      </c>
      <c r="D1044" s="1">
        <v>45542</v>
      </c>
      <c r="E1044" s="17">
        <v>0.83333333333333337</v>
      </c>
      <c r="F1044" s="5" t="s">
        <v>7305</v>
      </c>
      <c r="G1044" s="12">
        <v>248</v>
      </c>
      <c r="H1044" s="12">
        <v>0</v>
      </c>
      <c r="I1044" s="12">
        <v>248</v>
      </c>
      <c r="J1044" s="12">
        <f>SUMIF(order_item!B:B,A1044,order_item!E:E)</f>
        <v>248</v>
      </c>
      <c r="K1044" s="28" t="str">
        <f>_xlfn.XLOOKUP(B1044,customers!A:A,customers!D:D)</f>
        <v>Premium</v>
      </c>
    </row>
    <row r="1045" spans="1:11" x14ac:dyDescent="0.25">
      <c r="A1045" s="5" t="s">
        <v>3657</v>
      </c>
      <c r="B1045" s="5" t="s">
        <v>242</v>
      </c>
      <c r="C1045" s="5" t="s">
        <v>7309</v>
      </c>
      <c r="D1045" s="1">
        <v>45703</v>
      </c>
      <c r="E1045" s="17">
        <v>0.70763888888888893</v>
      </c>
      <c r="F1045" s="5" t="s">
        <v>7305</v>
      </c>
      <c r="G1045" s="12">
        <v>367</v>
      </c>
      <c r="H1045" s="12">
        <v>0</v>
      </c>
      <c r="I1045" s="12">
        <v>367</v>
      </c>
      <c r="J1045" s="12">
        <f>SUMIF(order_item!B:B,A1045,order_item!E:E)</f>
        <v>367</v>
      </c>
      <c r="K1045" s="28" t="str">
        <f>_xlfn.XLOOKUP(B1045,customers!A:A,customers!D:D)</f>
        <v>Regular</v>
      </c>
    </row>
    <row r="1046" spans="1:11" x14ac:dyDescent="0.25">
      <c r="A1046" s="5" t="s">
        <v>3655</v>
      </c>
      <c r="B1046" s="5" t="s">
        <v>715</v>
      </c>
      <c r="C1046" s="5" t="s">
        <v>7309</v>
      </c>
      <c r="D1046" s="1">
        <v>45486</v>
      </c>
      <c r="E1046" s="17">
        <v>0.93125000000000002</v>
      </c>
      <c r="F1046" s="5" t="s">
        <v>7305</v>
      </c>
      <c r="G1046" s="12">
        <v>495</v>
      </c>
      <c r="H1046" s="12">
        <v>24.75</v>
      </c>
      <c r="I1046" s="12">
        <v>470.25</v>
      </c>
      <c r="J1046" s="12">
        <f>SUMIF(order_item!B:B,A1046,order_item!E:E)</f>
        <v>495</v>
      </c>
      <c r="K1046" s="28" t="str">
        <f>_xlfn.XLOOKUP(B1046,customers!A:A,customers!D:D)</f>
        <v>Premium</v>
      </c>
    </row>
    <row r="1047" spans="1:11" x14ac:dyDescent="0.25">
      <c r="A1047" s="5" t="s">
        <v>3652</v>
      </c>
      <c r="B1047" s="5" t="s">
        <v>655</v>
      </c>
      <c r="C1047" s="5" t="s">
        <v>7309</v>
      </c>
      <c r="D1047" s="1">
        <v>45534</v>
      </c>
      <c r="E1047" s="17">
        <v>0.84097222222222223</v>
      </c>
      <c r="F1047" s="5" t="s">
        <v>7305</v>
      </c>
      <c r="G1047" s="12">
        <v>594</v>
      </c>
      <c r="H1047" s="12">
        <v>59.4</v>
      </c>
      <c r="I1047" s="12">
        <v>534.6</v>
      </c>
      <c r="J1047" s="12">
        <f>SUMIF(order_item!B:B,A1047,order_item!E:E)</f>
        <v>594</v>
      </c>
      <c r="K1047" s="28" t="str">
        <f>_xlfn.XLOOKUP(B1047,customers!A:A,customers!D:D)</f>
        <v>Regular</v>
      </c>
    </row>
    <row r="1048" spans="1:11" x14ac:dyDescent="0.25">
      <c r="A1048" s="5" t="s">
        <v>3647</v>
      </c>
      <c r="B1048" s="5" t="s">
        <v>533</v>
      </c>
      <c r="C1048" s="5" t="s">
        <v>7309</v>
      </c>
      <c r="D1048" s="1">
        <v>45487</v>
      </c>
      <c r="E1048" s="17">
        <v>0.57013888888888886</v>
      </c>
      <c r="F1048" s="5" t="s">
        <v>7305</v>
      </c>
      <c r="G1048" s="12">
        <v>999</v>
      </c>
      <c r="H1048" s="12">
        <v>0</v>
      </c>
      <c r="I1048" s="12">
        <v>999</v>
      </c>
      <c r="J1048" s="12">
        <f>SUMIF(order_item!B:B,A1048,order_item!E:E)</f>
        <v>999</v>
      </c>
      <c r="K1048" s="28" t="str">
        <f>_xlfn.XLOOKUP(B1048,customers!A:A,customers!D:D)</f>
        <v>Regular</v>
      </c>
    </row>
    <row r="1049" spans="1:11" x14ac:dyDescent="0.25">
      <c r="A1049" s="5" t="s">
        <v>3644</v>
      </c>
      <c r="B1049" s="5" t="s">
        <v>558</v>
      </c>
      <c r="C1049" s="5" t="s">
        <v>7308</v>
      </c>
      <c r="D1049" s="1">
        <v>45577</v>
      </c>
      <c r="E1049" s="17">
        <v>0.43611111111111112</v>
      </c>
      <c r="F1049" s="5" t="s">
        <v>7305</v>
      </c>
      <c r="G1049" s="12">
        <v>655</v>
      </c>
      <c r="H1049" s="12">
        <v>98.25</v>
      </c>
      <c r="I1049" s="12">
        <v>556.75</v>
      </c>
      <c r="J1049" s="12">
        <f>SUMIF(order_item!B:B,A1049,order_item!E:E)</f>
        <v>655</v>
      </c>
      <c r="K1049" s="28" t="str">
        <f>_xlfn.XLOOKUP(B1049,customers!A:A,customers!D:D)</f>
        <v>Regular</v>
      </c>
    </row>
    <row r="1050" spans="1:11" x14ac:dyDescent="0.25">
      <c r="A1050" s="5" t="s">
        <v>3642</v>
      </c>
      <c r="B1050" s="5" t="s">
        <v>526</v>
      </c>
      <c r="C1050" s="5" t="s">
        <v>7309</v>
      </c>
      <c r="D1050" s="1">
        <v>45591</v>
      </c>
      <c r="E1050" s="17">
        <v>0.45624999999999999</v>
      </c>
      <c r="F1050" s="5" t="s">
        <v>7305</v>
      </c>
      <c r="G1050" s="12">
        <v>278</v>
      </c>
      <c r="H1050" s="12">
        <v>0</v>
      </c>
      <c r="I1050" s="12">
        <v>278</v>
      </c>
      <c r="J1050" s="12">
        <f>SUMIF(order_item!B:B,A1050,order_item!E:E)</f>
        <v>278</v>
      </c>
      <c r="K1050" s="28" t="str">
        <f>_xlfn.XLOOKUP(B1050,customers!A:A,customers!D:D)</f>
        <v>Regular</v>
      </c>
    </row>
    <row r="1051" spans="1:11" x14ac:dyDescent="0.25">
      <c r="A1051" s="5" t="s">
        <v>3637</v>
      </c>
      <c r="B1051" s="5" t="s">
        <v>393</v>
      </c>
      <c r="C1051" s="5" t="s">
        <v>7309</v>
      </c>
      <c r="D1051" s="1">
        <v>45485</v>
      </c>
      <c r="E1051" s="17">
        <v>0.78125</v>
      </c>
      <c r="F1051" s="5" t="s">
        <v>7307</v>
      </c>
      <c r="G1051" s="12">
        <v>603</v>
      </c>
      <c r="H1051" s="12">
        <v>0</v>
      </c>
      <c r="I1051" s="12">
        <v>0</v>
      </c>
      <c r="J1051" s="12">
        <f>SUMIF(order_item!B:B,A1051,order_item!E:E)</f>
        <v>603</v>
      </c>
      <c r="K1051" s="28" t="str">
        <f>_xlfn.XLOOKUP(B1051,customers!A:A,customers!D:D)</f>
        <v>Regular</v>
      </c>
    </row>
    <row r="1052" spans="1:11" x14ac:dyDescent="0.25">
      <c r="A1052" s="5" t="s">
        <v>3634</v>
      </c>
      <c r="B1052" s="5" t="s">
        <v>800</v>
      </c>
      <c r="C1052" s="5" t="s">
        <v>7306</v>
      </c>
      <c r="D1052" s="1">
        <v>45396</v>
      </c>
      <c r="E1052" s="17">
        <v>7.4305555555555555E-2</v>
      </c>
      <c r="F1052" s="5" t="s">
        <v>7305</v>
      </c>
      <c r="G1052" s="12">
        <v>326</v>
      </c>
      <c r="H1052" s="12">
        <v>0</v>
      </c>
      <c r="I1052" s="12">
        <v>326</v>
      </c>
      <c r="J1052" s="12">
        <f>SUMIF(order_item!B:B,A1052,order_item!E:E)</f>
        <v>326</v>
      </c>
      <c r="K1052" s="28" t="str">
        <f>_xlfn.XLOOKUP(B1052,customers!A:A,customers!D:D)</f>
        <v>Regular</v>
      </c>
    </row>
    <row r="1053" spans="1:11" x14ac:dyDescent="0.25">
      <c r="A1053" s="5" t="s">
        <v>3629</v>
      </c>
      <c r="B1053" s="5" t="s">
        <v>686</v>
      </c>
      <c r="C1053" s="5" t="s">
        <v>7309</v>
      </c>
      <c r="D1053" s="1">
        <v>45487</v>
      </c>
      <c r="E1053" s="17">
        <v>0.59444444444444444</v>
      </c>
      <c r="F1053" s="5" t="s">
        <v>7305</v>
      </c>
      <c r="G1053" s="12">
        <v>982</v>
      </c>
      <c r="H1053" s="12">
        <v>0</v>
      </c>
      <c r="I1053" s="12">
        <v>982</v>
      </c>
      <c r="J1053" s="12">
        <f>SUMIF(order_item!B:B,A1053,order_item!E:E)</f>
        <v>982</v>
      </c>
      <c r="K1053" s="28" t="str">
        <f>_xlfn.XLOOKUP(B1053,customers!A:A,customers!D:D)</f>
        <v>Regular</v>
      </c>
    </row>
    <row r="1054" spans="1:11" x14ac:dyDescent="0.25">
      <c r="A1054" s="5" t="s">
        <v>3626</v>
      </c>
      <c r="B1054" s="5" t="s">
        <v>386</v>
      </c>
      <c r="C1054" s="5" t="s">
        <v>7306</v>
      </c>
      <c r="D1054" s="1">
        <v>45713</v>
      </c>
      <c r="E1054" s="17">
        <v>0.59375</v>
      </c>
      <c r="F1054" s="5" t="s">
        <v>7305</v>
      </c>
      <c r="G1054" s="12">
        <v>894</v>
      </c>
      <c r="H1054" s="12">
        <v>89.4</v>
      </c>
      <c r="I1054" s="12">
        <v>804.6</v>
      </c>
      <c r="J1054" s="12">
        <f>SUMIF(order_item!B:B,A1054,order_item!E:E)</f>
        <v>894</v>
      </c>
      <c r="K1054" s="28" t="str">
        <f>_xlfn.XLOOKUP(B1054,customers!A:A,customers!D:D)</f>
        <v>Regular</v>
      </c>
    </row>
    <row r="1055" spans="1:11" x14ac:dyDescent="0.25">
      <c r="A1055" s="5" t="s">
        <v>3621</v>
      </c>
      <c r="B1055" s="5" t="s">
        <v>153</v>
      </c>
      <c r="C1055" s="5" t="s">
        <v>7306</v>
      </c>
      <c r="D1055" s="1">
        <v>45744</v>
      </c>
      <c r="E1055" s="17">
        <v>0.74722222222222223</v>
      </c>
      <c r="F1055" s="5" t="s">
        <v>7305</v>
      </c>
      <c r="G1055" s="12">
        <v>456</v>
      </c>
      <c r="H1055" s="12">
        <v>22.8</v>
      </c>
      <c r="I1055" s="12">
        <v>433.2</v>
      </c>
      <c r="J1055" s="12">
        <f>SUMIF(order_item!B:B,A1055,order_item!E:E)</f>
        <v>456</v>
      </c>
      <c r="K1055" s="28" t="str">
        <f>_xlfn.XLOOKUP(B1055,customers!A:A,customers!D:D)</f>
        <v>Regular</v>
      </c>
    </row>
    <row r="1056" spans="1:11" x14ac:dyDescent="0.25">
      <c r="A1056" s="5" t="s">
        <v>3618</v>
      </c>
      <c r="B1056" s="5" t="s">
        <v>603</v>
      </c>
      <c r="C1056" s="5" t="s">
        <v>7306</v>
      </c>
      <c r="D1056" s="1">
        <v>45695</v>
      </c>
      <c r="E1056" s="17">
        <v>0.99097222222222225</v>
      </c>
      <c r="F1056" s="5" t="s">
        <v>7305</v>
      </c>
      <c r="G1056" s="12">
        <v>188</v>
      </c>
      <c r="H1056" s="12">
        <v>9.4</v>
      </c>
      <c r="I1056" s="12">
        <v>178.6</v>
      </c>
      <c r="J1056" s="12">
        <f>SUMIF(order_item!B:B,A1056,order_item!E:E)</f>
        <v>188</v>
      </c>
      <c r="K1056" s="28" t="str">
        <f>_xlfn.XLOOKUP(B1056,customers!A:A,customers!D:D)</f>
        <v>Regular</v>
      </c>
    </row>
    <row r="1057" spans="1:11" x14ac:dyDescent="0.25">
      <c r="A1057" s="5" t="s">
        <v>3615</v>
      </c>
      <c r="B1057" s="5" t="s">
        <v>384</v>
      </c>
      <c r="C1057" s="5" t="s">
        <v>7306</v>
      </c>
      <c r="D1057" s="1">
        <v>45480</v>
      </c>
      <c r="E1057" s="17">
        <v>0.46319444444444446</v>
      </c>
      <c r="F1057" s="5" t="s">
        <v>7305</v>
      </c>
      <c r="G1057" s="12">
        <v>593</v>
      </c>
      <c r="H1057" s="12">
        <v>0</v>
      </c>
      <c r="I1057" s="12">
        <v>593</v>
      </c>
      <c r="J1057" s="12">
        <f>SUMIF(order_item!B:B,A1057,order_item!E:E)</f>
        <v>593</v>
      </c>
      <c r="K1057" s="28" t="str">
        <f>_xlfn.XLOOKUP(B1057,customers!A:A,customers!D:D)</f>
        <v>New</v>
      </c>
    </row>
    <row r="1058" spans="1:11" x14ac:dyDescent="0.25">
      <c r="A1058" s="5" t="s">
        <v>3613</v>
      </c>
      <c r="B1058" s="5" t="s">
        <v>106</v>
      </c>
      <c r="C1058" s="5" t="s">
        <v>7309</v>
      </c>
      <c r="D1058" s="1">
        <v>45584</v>
      </c>
      <c r="E1058" s="17">
        <v>0.85763888888888884</v>
      </c>
      <c r="F1058" s="5" t="s">
        <v>7305</v>
      </c>
      <c r="G1058" s="12">
        <v>79</v>
      </c>
      <c r="H1058" s="12">
        <v>3.95</v>
      </c>
      <c r="I1058" s="12">
        <v>75.05</v>
      </c>
      <c r="J1058" s="12">
        <f>SUMIF(order_item!B:B,A1058,order_item!E:E)</f>
        <v>79</v>
      </c>
      <c r="K1058" s="28" t="str">
        <f>_xlfn.XLOOKUP(B1058,customers!A:A,customers!D:D)</f>
        <v>New</v>
      </c>
    </row>
    <row r="1059" spans="1:11" x14ac:dyDescent="0.25">
      <c r="A1059" s="5" t="s">
        <v>3611</v>
      </c>
      <c r="B1059" s="5" t="s">
        <v>601</v>
      </c>
      <c r="C1059" s="5" t="s">
        <v>7309</v>
      </c>
      <c r="D1059" s="1">
        <v>45705</v>
      </c>
      <c r="E1059" s="17">
        <v>0.8979166666666667</v>
      </c>
      <c r="F1059" s="5" t="s">
        <v>7305</v>
      </c>
      <c r="G1059" s="12">
        <v>297</v>
      </c>
      <c r="H1059" s="12">
        <v>0</v>
      </c>
      <c r="I1059" s="12">
        <v>297</v>
      </c>
      <c r="J1059" s="12">
        <f>SUMIF(order_item!B:B,A1059,order_item!E:E)</f>
        <v>297</v>
      </c>
      <c r="K1059" s="28" t="str">
        <f>_xlfn.XLOOKUP(B1059,customers!A:A,customers!D:D)</f>
        <v>Regular</v>
      </c>
    </row>
    <row r="1060" spans="1:11" x14ac:dyDescent="0.25">
      <c r="A1060" s="5" t="s">
        <v>3609</v>
      </c>
      <c r="B1060" s="5" t="s">
        <v>324</v>
      </c>
      <c r="C1060" s="5" t="s">
        <v>7309</v>
      </c>
      <c r="D1060" s="1">
        <v>45697</v>
      </c>
      <c r="E1060" s="17">
        <v>6.25E-2</v>
      </c>
      <c r="F1060" s="5" t="s">
        <v>7305</v>
      </c>
      <c r="G1060" s="12">
        <v>89</v>
      </c>
      <c r="H1060" s="12">
        <v>0</v>
      </c>
      <c r="I1060" s="12">
        <v>89</v>
      </c>
      <c r="J1060" s="12">
        <f>SUMIF(order_item!B:B,A1060,order_item!E:E)</f>
        <v>89</v>
      </c>
      <c r="K1060" s="28" t="str">
        <f>_xlfn.XLOOKUP(B1060,customers!A:A,customers!D:D)</f>
        <v>Regular</v>
      </c>
    </row>
    <row r="1061" spans="1:11" x14ac:dyDescent="0.25">
      <c r="A1061" s="5" t="s">
        <v>3605</v>
      </c>
      <c r="B1061" s="5" t="s">
        <v>464</v>
      </c>
      <c r="C1061" s="5" t="s">
        <v>7309</v>
      </c>
      <c r="D1061" s="1">
        <v>45503</v>
      </c>
      <c r="E1061" s="17">
        <v>0.5395833333333333</v>
      </c>
      <c r="F1061" s="5" t="s">
        <v>7305</v>
      </c>
      <c r="G1061" s="12">
        <v>784</v>
      </c>
      <c r="H1061" s="12">
        <v>0</v>
      </c>
      <c r="I1061" s="12">
        <v>784</v>
      </c>
      <c r="J1061" s="12">
        <f>SUMIF(order_item!B:B,A1061,order_item!E:E)</f>
        <v>784</v>
      </c>
      <c r="K1061" s="28" t="str">
        <f>_xlfn.XLOOKUP(B1061,customers!A:A,customers!D:D)</f>
        <v>New</v>
      </c>
    </row>
    <row r="1062" spans="1:11" x14ac:dyDescent="0.25">
      <c r="A1062" s="5" t="s">
        <v>3603</v>
      </c>
      <c r="B1062" s="5" t="s">
        <v>175</v>
      </c>
      <c r="C1062" s="5" t="s">
        <v>7308</v>
      </c>
      <c r="D1062" s="1">
        <v>45621</v>
      </c>
      <c r="E1062" s="17">
        <v>0.7680555555555556</v>
      </c>
      <c r="F1062" s="5" t="s">
        <v>7305</v>
      </c>
      <c r="G1062" s="12">
        <v>267</v>
      </c>
      <c r="H1062" s="12">
        <v>26.7</v>
      </c>
      <c r="I1062" s="12">
        <v>240.3</v>
      </c>
      <c r="J1062" s="12">
        <f>SUMIF(order_item!B:B,A1062,order_item!E:E)</f>
        <v>267</v>
      </c>
      <c r="K1062" s="28" t="str">
        <f>_xlfn.XLOOKUP(B1062,customers!A:A,customers!D:D)</f>
        <v>Premium</v>
      </c>
    </row>
    <row r="1063" spans="1:11" x14ac:dyDescent="0.25">
      <c r="A1063" s="5" t="s">
        <v>3600</v>
      </c>
      <c r="B1063" s="5" t="s">
        <v>297</v>
      </c>
      <c r="C1063" s="5" t="s">
        <v>7306</v>
      </c>
      <c r="D1063" s="1">
        <v>45716</v>
      </c>
      <c r="E1063" s="17">
        <v>0.76458333333333339</v>
      </c>
      <c r="F1063" s="5" t="s">
        <v>7305</v>
      </c>
      <c r="G1063" s="12">
        <v>415</v>
      </c>
      <c r="H1063" s="12">
        <v>0</v>
      </c>
      <c r="I1063" s="12">
        <v>415</v>
      </c>
      <c r="J1063" s="12">
        <f>SUMIF(order_item!B:B,A1063,order_item!E:E)</f>
        <v>415</v>
      </c>
      <c r="K1063" s="28" t="str">
        <f>_xlfn.XLOOKUP(B1063,customers!A:A,customers!D:D)</f>
        <v>Regular</v>
      </c>
    </row>
    <row r="1064" spans="1:11" x14ac:dyDescent="0.25">
      <c r="A1064" s="5" t="s">
        <v>3596</v>
      </c>
      <c r="B1064" s="5" t="s">
        <v>114</v>
      </c>
      <c r="C1064" s="5" t="s">
        <v>7309</v>
      </c>
      <c r="D1064" s="1">
        <v>45494</v>
      </c>
      <c r="E1064" s="17">
        <v>0.89236111111111116</v>
      </c>
      <c r="F1064" s="5" t="s">
        <v>7305</v>
      </c>
      <c r="G1064" s="12">
        <v>207</v>
      </c>
      <c r="H1064" s="12">
        <v>0</v>
      </c>
      <c r="I1064" s="12">
        <v>207</v>
      </c>
      <c r="J1064" s="12">
        <f>SUMIF(order_item!B:B,A1064,order_item!E:E)</f>
        <v>207</v>
      </c>
      <c r="K1064" s="28" t="str">
        <f>_xlfn.XLOOKUP(B1064,customers!A:A,customers!D:D)</f>
        <v>New</v>
      </c>
    </row>
    <row r="1065" spans="1:11" x14ac:dyDescent="0.25">
      <c r="A1065" s="5" t="s">
        <v>3594</v>
      </c>
      <c r="B1065" s="5" t="s">
        <v>409</v>
      </c>
      <c r="C1065" s="5" t="s">
        <v>7309</v>
      </c>
      <c r="D1065" s="1">
        <v>45678</v>
      </c>
      <c r="E1065" s="17">
        <v>0.5756944444444444</v>
      </c>
      <c r="F1065" s="5" t="s">
        <v>7307</v>
      </c>
      <c r="G1065" s="12">
        <v>447</v>
      </c>
      <c r="H1065" s="12">
        <v>0</v>
      </c>
      <c r="I1065" s="12">
        <v>0</v>
      </c>
      <c r="J1065" s="12">
        <f>SUMIF(order_item!B:B,A1065,order_item!E:E)</f>
        <v>447</v>
      </c>
      <c r="K1065" s="28" t="str">
        <f>_xlfn.XLOOKUP(B1065,customers!A:A,customers!D:D)</f>
        <v>Regular</v>
      </c>
    </row>
    <row r="1066" spans="1:11" x14ac:dyDescent="0.25">
      <c r="A1066" s="5" t="s">
        <v>3591</v>
      </c>
      <c r="B1066" s="5" t="s">
        <v>482</v>
      </c>
      <c r="C1066" s="5" t="s">
        <v>7306</v>
      </c>
      <c r="D1066" s="1">
        <v>45594</v>
      </c>
      <c r="E1066" s="17">
        <v>0.72499999999999998</v>
      </c>
      <c r="F1066" s="5" t="s">
        <v>7305</v>
      </c>
      <c r="G1066" s="12">
        <v>198</v>
      </c>
      <c r="H1066" s="12">
        <v>0</v>
      </c>
      <c r="I1066" s="12">
        <v>198</v>
      </c>
      <c r="J1066" s="12">
        <f>SUMIF(order_item!B:B,A1066,order_item!E:E)</f>
        <v>198</v>
      </c>
      <c r="K1066" s="28" t="str">
        <f>_xlfn.XLOOKUP(B1066,customers!A:A,customers!D:D)</f>
        <v>Regular</v>
      </c>
    </row>
    <row r="1067" spans="1:11" x14ac:dyDescent="0.25">
      <c r="A1067" s="5" t="s">
        <v>3589</v>
      </c>
      <c r="B1067" s="5" t="s">
        <v>354</v>
      </c>
      <c r="C1067" s="5" t="s">
        <v>7306</v>
      </c>
      <c r="D1067" s="1">
        <v>45709</v>
      </c>
      <c r="E1067" s="17">
        <v>0.81458333333333333</v>
      </c>
      <c r="F1067" s="5" t="s">
        <v>7307</v>
      </c>
      <c r="G1067" s="12">
        <v>297</v>
      </c>
      <c r="H1067" s="12">
        <v>29.7</v>
      </c>
      <c r="I1067" s="12">
        <v>0</v>
      </c>
      <c r="J1067" s="12">
        <f>SUMIF(order_item!B:B,A1067,order_item!E:E)</f>
        <v>297</v>
      </c>
      <c r="K1067" s="28" t="str">
        <f>_xlfn.XLOOKUP(B1067,customers!A:A,customers!D:D)</f>
        <v>New</v>
      </c>
    </row>
    <row r="1068" spans="1:11" x14ac:dyDescent="0.25">
      <c r="A1068" s="5" t="s">
        <v>3586</v>
      </c>
      <c r="B1068" s="5" t="s">
        <v>545</v>
      </c>
      <c r="C1068" s="5" t="s">
        <v>7308</v>
      </c>
      <c r="D1068" s="1">
        <v>45454</v>
      </c>
      <c r="E1068" s="17">
        <v>0.69166666666666676</v>
      </c>
      <c r="F1068" s="5" t="s">
        <v>7307</v>
      </c>
      <c r="G1068" s="12">
        <v>317</v>
      </c>
      <c r="H1068" s="12">
        <v>0</v>
      </c>
      <c r="I1068" s="12">
        <v>0</v>
      </c>
      <c r="J1068" s="12">
        <f>SUMIF(order_item!B:B,A1068,order_item!E:E)</f>
        <v>317</v>
      </c>
      <c r="K1068" s="28" t="str">
        <f>_xlfn.XLOOKUP(B1068,customers!A:A,customers!D:D)</f>
        <v>New</v>
      </c>
    </row>
    <row r="1069" spans="1:11" x14ac:dyDescent="0.25">
      <c r="A1069" s="5" t="s">
        <v>3584</v>
      </c>
      <c r="B1069" s="5" t="s">
        <v>458</v>
      </c>
      <c r="C1069" s="5" t="s">
        <v>7306</v>
      </c>
      <c r="D1069" s="1">
        <v>45567</v>
      </c>
      <c r="E1069" s="17">
        <v>0.98333333333333339</v>
      </c>
      <c r="F1069" s="5" t="s">
        <v>7305</v>
      </c>
      <c r="G1069" s="12">
        <v>98</v>
      </c>
      <c r="H1069" s="12">
        <v>14.7</v>
      </c>
      <c r="I1069" s="12">
        <v>83.3</v>
      </c>
      <c r="J1069" s="12">
        <f>SUMIF(order_item!B:B,A1069,order_item!E:E)</f>
        <v>98</v>
      </c>
      <c r="K1069" s="28" t="str">
        <f>_xlfn.XLOOKUP(B1069,customers!A:A,customers!D:D)</f>
        <v>Premium</v>
      </c>
    </row>
    <row r="1070" spans="1:11" x14ac:dyDescent="0.25">
      <c r="A1070" s="5" t="s">
        <v>3580</v>
      </c>
      <c r="B1070" s="5" t="s">
        <v>538</v>
      </c>
      <c r="C1070" s="5" t="s">
        <v>7309</v>
      </c>
      <c r="D1070" s="1">
        <v>45534</v>
      </c>
      <c r="E1070" s="17">
        <v>0.70138888888888884</v>
      </c>
      <c r="F1070" s="5" t="s">
        <v>7305</v>
      </c>
      <c r="G1070" s="12">
        <v>564</v>
      </c>
      <c r="H1070" s="12">
        <v>0</v>
      </c>
      <c r="I1070" s="12">
        <v>564</v>
      </c>
      <c r="J1070" s="12">
        <f>SUMIF(order_item!B:B,A1070,order_item!E:E)</f>
        <v>564</v>
      </c>
      <c r="K1070" s="28" t="str">
        <f>_xlfn.XLOOKUP(B1070,customers!A:A,customers!D:D)</f>
        <v>Regular</v>
      </c>
    </row>
    <row r="1071" spans="1:11" x14ac:dyDescent="0.25">
      <c r="A1071" s="5" t="s">
        <v>3577</v>
      </c>
      <c r="B1071" s="5" t="s">
        <v>770</v>
      </c>
      <c r="C1071" s="5" t="s">
        <v>7309</v>
      </c>
      <c r="D1071" s="1">
        <v>45411</v>
      </c>
      <c r="E1071" s="17">
        <v>0.89930555555555547</v>
      </c>
      <c r="F1071" s="5" t="s">
        <v>7305</v>
      </c>
      <c r="G1071" s="12">
        <v>455</v>
      </c>
      <c r="H1071" s="12">
        <v>22.75</v>
      </c>
      <c r="I1071" s="12">
        <v>432.25</v>
      </c>
      <c r="J1071" s="12">
        <f>SUMIF(order_item!B:B,A1071,order_item!E:E)</f>
        <v>455</v>
      </c>
      <c r="K1071" s="28" t="str">
        <f>_xlfn.XLOOKUP(B1071,customers!A:A,customers!D:D)</f>
        <v>Regular</v>
      </c>
    </row>
    <row r="1072" spans="1:11" x14ac:dyDescent="0.25">
      <c r="A1072" s="5" t="s">
        <v>3572</v>
      </c>
      <c r="B1072" s="5" t="s">
        <v>309</v>
      </c>
      <c r="C1072" s="5" t="s">
        <v>7309</v>
      </c>
      <c r="D1072" s="1">
        <v>45565</v>
      </c>
      <c r="E1072" s="17">
        <v>0.57361111111111118</v>
      </c>
      <c r="F1072" s="5" t="s">
        <v>7305</v>
      </c>
      <c r="G1072" s="12">
        <v>932</v>
      </c>
      <c r="H1072" s="12">
        <v>46.6</v>
      </c>
      <c r="I1072" s="12">
        <v>885.4</v>
      </c>
      <c r="J1072" s="12">
        <f>SUMIF(order_item!B:B,A1072,order_item!E:E)</f>
        <v>932</v>
      </c>
      <c r="K1072" s="28" t="str">
        <f>_xlfn.XLOOKUP(B1072,customers!A:A,customers!D:D)</f>
        <v>New</v>
      </c>
    </row>
    <row r="1073" spans="1:11" x14ac:dyDescent="0.25">
      <c r="A1073" s="5" t="s">
        <v>3570</v>
      </c>
      <c r="B1073" s="5" t="s">
        <v>866</v>
      </c>
      <c r="C1073" s="5" t="s">
        <v>7306</v>
      </c>
      <c r="D1073" s="1">
        <v>45431</v>
      </c>
      <c r="E1073" s="17">
        <v>0.95347222222222217</v>
      </c>
      <c r="F1073" s="5" t="s">
        <v>7305</v>
      </c>
      <c r="G1073" s="12">
        <v>356</v>
      </c>
      <c r="H1073" s="12">
        <v>0</v>
      </c>
      <c r="I1073" s="12">
        <v>356</v>
      </c>
      <c r="J1073" s="12">
        <f>SUMIF(order_item!B:B,A1073,order_item!E:E)</f>
        <v>356</v>
      </c>
      <c r="K1073" s="28" t="str">
        <f>_xlfn.XLOOKUP(B1073,customers!A:A,customers!D:D)</f>
        <v>New</v>
      </c>
    </row>
    <row r="1074" spans="1:11" x14ac:dyDescent="0.25">
      <c r="A1074" s="5" t="s">
        <v>3565</v>
      </c>
      <c r="B1074" s="5" t="s">
        <v>727</v>
      </c>
      <c r="C1074" s="5" t="s">
        <v>7306</v>
      </c>
      <c r="D1074" s="1">
        <v>45550</v>
      </c>
      <c r="E1074" s="17">
        <v>0.92361111111111116</v>
      </c>
      <c r="F1074" s="5" t="s">
        <v>7305</v>
      </c>
      <c r="G1074" s="12">
        <v>852</v>
      </c>
      <c r="H1074" s="12">
        <v>42.6</v>
      </c>
      <c r="I1074" s="12">
        <v>809.4</v>
      </c>
      <c r="J1074" s="12">
        <f>SUMIF(order_item!B:B,A1074,order_item!E:E)</f>
        <v>852</v>
      </c>
      <c r="K1074" s="28" t="str">
        <f>_xlfn.XLOOKUP(B1074,customers!A:A,customers!D:D)</f>
        <v>Regular</v>
      </c>
    </row>
    <row r="1075" spans="1:11" x14ac:dyDescent="0.25">
      <c r="A1075" s="5" t="s">
        <v>3562</v>
      </c>
      <c r="B1075" s="5" t="s">
        <v>811</v>
      </c>
      <c r="C1075" s="5" t="s">
        <v>7309</v>
      </c>
      <c r="D1075" s="1">
        <v>45445</v>
      </c>
      <c r="E1075" s="17">
        <v>0.80208333333333337</v>
      </c>
      <c r="F1075" s="5" t="s">
        <v>7305</v>
      </c>
      <c r="G1075" s="12">
        <v>316</v>
      </c>
      <c r="H1075" s="12">
        <v>0</v>
      </c>
      <c r="I1075" s="12">
        <v>316</v>
      </c>
      <c r="J1075" s="12">
        <f>SUMIF(order_item!B:B,A1075,order_item!E:E)</f>
        <v>316</v>
      </c>
      <c r="K1075" s="28" t="str">
        <f>_xlfn.XLOOKUP(B1075,customers!A:A,customers!D:D)</f>
        <v>New</v>
      </c>
    </row>
    <row r="1076" spans="1:11" x14ac:dyDescent="0.25">
      <c r="A1076" s="5" t="s">
        <v>3560</v>
      </c>
      <c r="B1076" s="5" t="s">
        <v>340</v>
      </c>
      <c r="C1076" s="5" t="s">
        <v>7306</v>
      </c>
      <c r="D1076" s="1">
        <v>45406</v>
      </c>
      <c r="E1076" s="17">
        <v>0.8618055555555556</v>
      </c>
      <c r="F1076" s="5" t="s">
        <v>7305</v>
      </c>
      <c r="G1076" s="12">
        <v>89</v>
      </c>
      <c r="H1076" s="12">
        <v>0</v>
      </c>
      <c r="I1076" s="12">
        <v>89</v>
      </c>
      <c r="J1076" s="12">
        <f>SUMIF(order_item!B:B,A1076,order_item!E:E)</f>
        <v>89</v>
      </c>
      <c r="K1076" s="28" t="str">
        <f>_xlfn.XLOOKUP(B1076,customers!A:A,customers!D:D)</f>
        <v>Regular</v>
      </c>
    </row>
    <row r="1077" spans="1:11" x14ac:dyDescent="0.25">
      <c r="A1077" s="5" t="s">
        <v>3557</v>
      </c>
      <c r="B1077" s="5" t="s">
        <v>651</v>
      </c>
      <c r="C1077" s="5" t="s">
        <v>7309</v>
      </c>
      <c r="D1077" s="1">
        <v>45570</v>
      </c>
      <c r="E1077" s="17">
        <v>4.5138888888888888E-2</v>
      </c>
      <c r="F1077" s="5" t="s">
        <v>7305</v>
      </c>
      <c r="G1077" s="12">
        <v>277</v>
      </c>
      <c r="H1077" s="12">
        <v>0</v>
      </c>
      <c r="I1077" s="12">
        <v>277</v>
      </c>
      <c r="J1077" s="12">
        <f>SUMIF(order_item!B:B,A1077,order_item!E:E)</f>
        <v>277</v>
      </c>
      <c r="K1077" s="28" t="str">
        <f>_xlfn.XLOOKUP(B1077,customers!A:A,customers!D:D)</f>
        <v>Regular</v>
      </c>
    </row>
    <row r="1078" spans="1:11" x14ac:dyDescent="0.25">
      <c r="A1078" s="5" t="s">
        <v>3554</v>
      </c>
      <c r="B1078" s="5" t="s">
        <v>652</v>
      </c>
      <c r="C1078" s="5" t="s">
        <v>7306</v>
      </c>
      <c r="D1078" s="1">
        <v>45395</v>
      </c>
      <c r="E1078" s="17">
        <v>0.81736111111111109</v>
      </c>
      <c r="F1078" s="5" t="s">
        <v>7305</v>
      </c>
      <c r="G1078" s="12">
        <v>367</v>
      </c>
      <c r="H1078" s="12">
        <v>0</v>
      </c>
      <c r="I1078" s="12">
        <v>367</v>
      </c>
      <c r="J1078" s="12">
        <f>SUMIF(order_item!B:B,A1078,order_item!E:E)</f>
        <v>367</v>
      </c>
      <c r="K1078" s="28" t="str">
        <f>_xlfn.XLOOKUP(B1078,customers!A:A,customers!D:D)</f>
        <v>Premium</v>
      </c>
    </row>
    <row r="1079" spans="1:11" x14ac:dyDescent="0.25">
      <c r="A1079" s="5" t="s">
        <v>3551</v>
      </c>
      <c r="B1079" s="5" t="s">
        <v>232</v>
      </c>
      <c r="C1079" s="5" t="s">
        <v>7306</v>
      </c>
      <c r="D1079" s="1">
        <v>45598</v>
      </c>
      <c r="E1079" s="17">
        <v>0.7597222222222223</v>
      </c>
      <c r="F1079" s="5" t="s">
        <v>7305</v>
      </c>
      <c r="G1079" s="12">
        <v>376</v>
      </c>
      <c r="H1079" s="12">
        <v>0</v>
      </c>
      <c r="I1079" s="12">
        <v>376</v>
      </c>
      <c r="J1079" s="12">
        <f>SUMIF(order_item!B:B,A1079,order_item!E:E)</f>
        <v>376</v>
      </c>
      <c r="K1079" s="28" t="str">
        <f>_xlfn.XLOOKUP(B1079,customers!A:A,customers!D:D)</f>
        <v>Regular</v>
      </c>
    </row>
    <row r="1080" spans="1:11" x14ac:dyDescent="0.25">
      <c r="A1080" s="5" t="s">
        <v>3546</v>
      </c>
      <c r="B1080" s="5" t="s">
        <v>205</v>
      </c>
      <c r="C1080" s="5" t="s">
        <v>7306</v>
      </c>
      <c r="D1080" s="1">
        <v>45499</v>
      </c>
      <c r="E1080" s="17">
        <v>0.68472222222222223</v>
      </c>
      <c r="F1080" s="5" t="s">
        <v>7305</v>
      </c>
      <c r="G1080" s="12">
        <v>692</v>
      </c>
      <c r="H1080" s="12">
        <v>0</v>
      </c>
      <c r="I1080" s="12">
        <v>692</v>
      </c>
      <c r="J1080" s="12">
        <f>SUMIF(order_item!B:B,A1080,order_item!E:E)</f>
        <v>692</v>
      </c>
      <c r="K1080" s="28" t="str">
        <f>_xlfn.XLOOKUP(B1080,customers!A:A,customers!D:D)</f>
        <v>Regular</v>
      </c>
    </row>
    <row r="1081" spans="1:11" x14ac:dyDescent="0.25">
      <c r="A1081" s="5" t="s">
        <v>3543</v>
      </c>
      <c r="B1081" s="5" t="s">
        <v>352</v>
      </c>
      <c r="C1081" s="5" t="s">
        <v>7309</v>
      </c>
      <c r="D1081" s="1">
        <v>45661</v>
      </c>
      <c r="E1081" s="17">
        <v>0.63472222222222219</v>
      </c>
      <c r="F1081" s="5" t="s">
        <v>7305</v>
      </c>
      <c r="G1081" s="12">
        <v>178</v>
      </c>
      <c r="H1081" s="12">
        <v>0</v>
      </c>
      <c r="I1081" s="12">
        <v>178</v>
      </c>
      <c r="J1081" s="12">
        <f>SUMIF(order_item!B:B,A1081,order_item!E:E)</f>
        <v>178</v>
      </c>
      <c r="K1081" s="28" t="str">
        <f>_xlfn.XLOOKUP(B1081,customers!A:A,customers!D:D)</f>
        <v>Premium</v>
      </c>
    </row>
    <row r="1082" spans="1:11" x14ac:dyDescent="0.25">
      <c r="A1082" s="5" t="s">
        <v>3540</v>
      </c>
      <c r="B1082" s="5" t="s">
        <v>484</v>
      </c>
      <c r="C1082" s="5" t="s">
        <v>7309</v>
      </c>
      <c r="D1082" s="1">
        <v>45680</v>
      </c>
      <c r="E1082" s="17">
        <v>0.72638888888888886</v>
      </c>
      <c r="F1082" s="5" t="s">
        <v>7305</v>
      </c>
      <c r="G1082" s="12">
        <v>387</v>
      </c>
      <c r="H1082" s="12">
        <v>0</v>
      </c>
      <c r="I1082" s="12">
        <v>387</v>
      </c>
      <c r="J1082" s="12">
        <f>SUMIF(order_item!B:B,A1082,order_item!E:E)</f>
        <v>387</v>
      </c>
      <c r="K1082" s="28" t="str">
        <f>_xlfn.XLOOKUP(B1082,customers!A:A,customers!D:D)</f>
        <v>Regular</v>
      </c>
    </row>
    <row r="1083" spans="1:11" x14ac:dyDescent="0.25">
      <c r="A1083" s="5" t="s">
        <v>3535</v>
      </c>
      <c r="B1083" s="5" t="s">
        <v>738</v>
      </c>
      <c r="C1083" s="5" t="s">
        <v>7306</v>
      </c>
      <c r="D1083" s="1">
        <v>45486</v>
      </c>
      <c r="E1083" s="17">
        <v>0.85555555555555562</v>
      </c>
      <c r="F1083" s="5" t="s">
        <v>7305</v>
      </c>
      <c r="G1083" s="12">
        <v>582</v>
      </c>
      <c r="H1083" s="12">
        <v>58.2</v>
      </c>
      <c r="I1083" s="12">
        <v>523.79999999999995</v>
      </c>
      <c r="J1083" s="12">
        <f>SUMIF(order_item!B:B,A1083,order_item!E:E)</f>
        <v>582</v>
      </c>
      <c r="K1083" s="28" t="str">
        <f>_xlfn.XLOOKUP(B1083,customers!A:A,customers!D:D)</f>
        <v>Premium</v>
      </c>
    </row>
    <row r="1084" spans="1:11" x14ac:dyDescent="0.25">
      <c r="A1084" s="5" t="s">
        <v>3532</v>
      </c>
      <c r="B1084" s="5" t="s">
        <v>550</v>
      </c>
      <c r="C1084" s="5" t="s">
        <v>7306</v>
      </c>
      <c r="D1084" s="1">
        <v>45719</v>
      </c>
      <c r="E1084" s="17">
        <v>0.64097222222222217</v>
      </c>
      <c r="F1084" s="5" t="s">
        <v>7305</v>
      </c>
      <c r="G1084" s="12">
        <v>356</v>
      </c>
      <c r="H1084" s="12">
        <v>0</v>
      </c>
      <c r="I1084" s="12">
        <v>356</v>
      </c>
      <c r="J1084" s="12">
        <f>SUMIF(order_item!B:B,A1084,order_item!E:E)</f>
        <v>356</v>
      </c>
      <c r="K1084" s="28" t="str">
        <f>_xlfn.XLOOKUP(B1084,customers!A:A,customers!D:D)</f>
        <v>Regular</v>
      </c>
    </row>
    <row r="1085" spans="1:11" x14ac:dyDescent="0.25">
      <c r="A1085" s="5" t="s">
        <v>3528</v>
      </c>
      <c r="B1085" s="5" t="s">
        <v>842</v>
      </c>
      <c r="C1085" s="5" t="s">
        <v>7309</v>
      </c>
      <c r="D1085" s="1">
        <v>45592</v>
      </c>
      <c r="E1085" s="17">
        <v>0.75416666666666676</v>
      </c>
      <c r="F1085" s="5" t="s">
        <v>7305</v>
      </c>
      <c r="G1085" s="12">
        <v>605</v>
      </c>
      <c r="H1085" s="12">
        <v>0</v>
      </c>
      <c r="I1085" s="12">
        <v>605</v>
      </c>
      <c r="J1085" s="12">
        <f>SUMIF(order_item!B:B,A1085,order_item!E:E)</f>
        <v>605</v>
      </c>
      <c r="K1085" s="28" t="str">
        <f>_xlfn.XLOOKUP(B1085,customers!A:A,customers!D:D)</f>
        <v>Premium</v>
      </c>
    </row>
    <row r="1086" spans="1:11" x14ac:dyDescent="0.25">
      <c r="A1086" s="5" t="s">
        <v>3526</v>
      </c>
      <c r="B1086" s="5" t="s">
        <v>642</v>
      </c>
      <c r="C1086" s="5" t="s">
        <v>7306</v>
      </c>
      <c r="D1086" s="1">
        <v>45419</v>
      </c>
      <c r="E1086" s="17">
        <v>0.38125000000000003</v>
      </c>
      <c r="F1086" s="5" t="s">
        <v>7305</v>
      </c>
      <c r="G1086" s="12">
        <v>159</v>
      </c>
      <c r="H1086" s="12">
        <v>23.85</v>
      </c>
      <c r="I1086" s="12">
        <v>135.15</v>
      </c>
      <c r="J1086" s="12">
        <f>SUMIF(order_item!B:B,A1086,order_item!E:E)</f>
        <v>159</v>
      </c>
      <c r="K1086" s="28" t="str">
        <f>_xlfn.XLOOKUP(B1086,customers!A:A,customers!D:D)</f>
        <v>New</v>
      </c>
    </row>
    <row r="1087" spans="1:11" x14ac:dyDescent="0.25">
      <c r="A1087" s="5" t="s">
        <v>3521</v>
      </c>
      <c r="B1087" s="5" t="s">
        <v>112</v>
      </c>
      <c r="C1087" s="5" t="s">
        <v>7308</v>
      </c>
      <c r="D1087" s="1">
        <v>45615</v>
      </c>
      <c r="E1087" s="17">
        <v>0.61944444444444446</v>
      </c>
      <c r="F1087" s="5" t="s">
        <v>7305</v>
      </c>
      <c r="G1087" s="12">
        <v>1127</v>
      </c>
      <c r="H1087" s="12">
        <v>112.7</v>
      </c>
      <c r="I1087" s="12">
        <v>1014.3</v>
      </c>
      <c r="J1087" s="12">
        <f>SUMIF(order_item!B:B,A1087,order_item!E:E)</f>
        <v>1127</v>
      </c>
      <c r="K1087" s="28" t="str">
        <f>_xlfn.XLOOKUP(B1087,customers!A:A,customers!D:D)</f>
        <v>Regular</v>
      </c>
    </row>
    <row r="1088" spans="1:11" x14ac:dyDescent="0.25">
      <c r="A1088" s="5" t="s">
        <v>3516</v>
      </c>
      <c r="B1088" s="5" t="s">
        <v>649</v>
      </c>
      <c r="C1088" s="5" t="s">
        <v>7309</v>
      </c>
      <c r="D1088" s="1">
        <v>45656</v>
      </c>
      <c r="E1088" s="17">
        <v>0.37847222222222227</v>
      </c>
      <c r="F1088" s="5" t="s">
        <v>7305</v>
      </c>
      <c r="G1088" s="12">
        <v>773</v>
      </c>
      <c r="H1088" s="12">
        <v>38.65</v>
      </c>
      <c r="I1088" s="12">
        <v>734.35</v>
      </c>
      <c r="J1088" s="12">
        <f>SUMIF(order_item!B:B,A1088,order_item!E:E)</f>
        <v>773</v>
      </c>
      <c r="K1088" s="28" t="str">
        <f>_xlfn.XLOOKUP(B1088,customers!A:A,customers!D:D)</f>
        <v>Regular</v>
      </c>
    </row>
    <row r="1089" spans="1:11" x14ac:dyDescent="0.25">
      <c r="A1089" s="5" t="s">
        <v>3512</v>
      </c>
      <c r="B1089" s="5" t="s">
        <v>741</v>
      </c>
      <c r="C1089" s="5" t="s">
        <v>7306</v>
      </c>
      <c r="D1089" s="1">
        <v>45731</v>
      </c>
      <c r="E1089" s="17">
        <v>0.82291666666666663</v>
      </c>
      <c r="F1089" s="5" t="s">
        <v>7307</v>
      </c>
      <c r="G1089" s="12">
        <v>387</v>
      </c>
      <c r="H1089" s="12">
        <v>0</v>
      </c>
      <c r="I1089" s="12">
        <v>0</v>
      </c>
      <c r="J1089" s="12">
        <f>SUMIF(order_item!B:B,A1089,order_item!E:E)</f>
        <v>387</v>
      </c>
      <c r="K1089" s="28" t="str">
        <f>_xlfn.XLOOKUP(B1089,customers!A:A,customers!D:D)</f>
        <v>Premium</v>
      </c>
    </row>
    <row r="1090" spans="1:11" x14ac:dyDescent="0.25">
      <c r="A1090" s="5" t="s">
        <v>3509</v>
      </c>
      <c r="B1090" s="5" t="s">
        <v>360</v>
      </c>
      <c r="C1090" s="5" t="s">
        <v>7306</v>
      </c>
      <c r="D1090" s="1">
        <v>45408</v>
      </c>
      <c r="E1090" s="17">
        <v>0.8041666666666667</v>
      </c>
      <c r="F1090" s="5" t="s">
        <v>7305</v>
      </c>
      <c r="G1090" s="12">
        <v>158</v>
      </c>
      <c r="H1090" s="12">
        <v>7.9</v>
      </c>
      <c r="I1090" s="12">
        <v>150.1</v>
      </c>
      <c r="J1090" s="12">
        <f>SUMIF(order_item!B:B,A1090,order_item!E:E)</f>
        <v>158</v>
      </c>
      <c r="K1090" s="28" t="str">
        <f>_xlfn.XLOOKUP(B1090,customers!A:A,customers!D:D)</f>
        <v>New</v>
      </c>
    </row>
    <row r="1091" spans="1:11" x14ac:dyDescent="0.25">
      <c r="A1091" s="5" t="s">
        <v>3504</v>
      </c>
      <c r="B1091" s="5" t="s">
        <v>669</v>
      </c>
      <c r="C1091" s="5" t="s">
        <v>7309</v>
      </c>
      <c r="D1091" s="1">
        <v>45557</v>
      </c>
      <c r="E1091" s="17">
        <v>0.90833333333333333</v>
      </c>
      <c r="F1091" s="5" t="s">
        <v>7307</v>
      </c>
      <c r="G1091" s="12">
        <v>1178</v>
      </c>
      <c r="H1091" s="12">
        <v>0</v>
      </c>
      <c r="I1091" s="12">
        <v>0</v>
      </c>
      <c r="J1091" s="12">
        <f>SUMIF(order_item!B:B,A1091,order_item!E:E)</f>
        <v>1178</v>
      </c>
      <c r="K1091" s="28" t="str">
        <f>_xlfn.XLOOKUP(B1091,customers!A:A,customers!D:D)</f>
        <v>Regular</v>
      </c>
    </row>
    <row r="1092" spans="1:11" x14ac:dyDescent="0.25">
      <c r="A1092" s="5" t="s">
        <v>3501</v>
      </c>
      <c r="B1092" s="5" t="s">
        <v>616</v>
      </c>
      <c r="C1092" s="5" t="s">
        <v>7309</v>
      </c>
      <c r="D1092" s="1">
        <v>45536</v>
      </c>
      <c r="E1092" s="17">
        <v>0.70972222222222225</v>
      </c>
      <c r="F1092" s="5" t="s">
        <v>7305</v>
      </c>
      <c r="G1092" s="12">
        <v>228</v>
      </c>
      <c r="H1092" s="12">
        <v>0</v>
      </c>
      <c r="I1092" s="12">
        <v>228</v>
      </c>
      <c r="J1092" s="12">
        <f>SUMIF(order_item!B:B,A1092,order_item!E:E)</f>
        <v>228</v>
      </c>
      <c r="K1092" s="28" t="str">
        <f>_xlfn.XLOOKUP(B1092,customers!A:A,customers!D:D)</f>
        <v>Regular</v>
      </c>
    </row>
    <row r="1093" spans="1:11" x14ac:dyDescent="0.25">
      <c r="A1093" s="5" t="s">
        <v>3498</v>
      </c>
      <c r="B1093" s="5" t="s">
        <v>821</v>
      </c>
      <c r="C1093" s="5" t="s">
        <v>7306</v>
      </c>
      <c r="D1093" s="1">
        <v>45725</v>
      </c>
      <c r="E1093" s="17">
        <v>0.9604166666666667</v>
      </c>
      <c r="F1093" s="5" t="s">
        <v>7305</v>
      </c>
      <c r="G1093" s="12">
        <v>693</v>
      </c>
      <c r="H1093" s="12">
        <v>0</v>
      </c>
      <c r="I1093" s="12">
        <v>693</v>
      </c>
      <c r="J1093" s="12">
        <f>SUMIF(order_item!B:B,A1093,order_item!E:E)</f>
        <v>693</v>
      </c>
      <c r="K1093" s="28" t="str">
        <f>_xlfn.XLOOKUP(B1093,customers!A:A,customers!D:D)</f>
        <v>Premium</v>
      </c>
    </row>
    <row r="1094" spans="1:11" x14ac:dyDescent="0.25">
      <c r="A1094" s="5" t="s">
        <v>3494</v>
      </c>
      <c r="B1094" s="5" t="s">
        <v>738</v>
      </c>
      <c r="C1094" s="5" t="s">
        <v>7306</v>
      </c>
      <c r="D1094" s="1">
        <v>45431</v>
      </c>
      <c r="E1094" s="17">
        <v>0.52916666666666667</v>
      </c>
      <c r="F1094" s="5" t="s">
        <v>7305</v>
      </c>
      <c r="G1094" s="12">
        <v>326</v>
      </c>
      <c r="H1094" s="12">
        <v>0</v>
      </c>
      <c r="I1094" s="12">
        <v>326</v>
      </c>
      <c r="J1094" s="12">
        <f>SUMIF(order_item!B:B,A1094,order_item!E:E)</f>
        <v>326</v>
      </c>
      <c r="K1094" s="28" t="str">
        <f>_xlfn.XLOOKUP(B1094,customers!A:A,customers!D:D)</f>
        <v>Premium</v>
      </c>
    </row>
    <row r="1095" spans="1:11" x14ac:dyDescent="0.25">
      <c r="A1095" s="5" t="s">
        <v>3491</v>
      </c>
      <c r="B1095" s="5" t="s">
        <v>394</v>
      </c>
      <c r="C1095" s="5" t="s">
        <v>7309</v>
      </c>
      <c r="D1095" s="1">
        <v>45443</v>
      </c>
      <c r="E1095" s="17">
        <v>0.71527777777777779</v>
      </c>
      <c r="F1095" s="5" t="s">
        <v>7305</v>
      </c>
      <c r="G1095" s="12">
        <v>108</v>
      </c>
      <c r="H1095" s="12">
        <v>0</v>
      </c>
      <c r="I1095" s="12">
        <v>108</v>
      </c>
      <c r="J1095" s="12">
        <f>SUMIF(order_item!B:B,A1095,order_item!E:E)</f>
        <v>108</v>
      </c>
      <c r="K1095" s="28" t="str">
        <f>_xlfn.XLOOKUP(B1095,customers!A:A,customers!D:D)</f>
        <v>Regular</v>
      </c>
    </row>
    <row r="1096" spans="1:11" x14ac:dyDescent="0.25">
      <c r="A1096" s="5" t="s">
        <v>3487</v>
      </c>
      <c r="B1096" s="5" t="s">
        <v>400</v>
      </c>
      <c r="C1096" s="5" t="s">
        <v>7309</v>
      </c>
      <c r="D1096" s="1">
        <v>45569</v>
      </c>
      <c r="E1096" s="17">
        <v>0.8354166666666667</v>
      </c>
      <c r="F1096" s="5" t="s">
        <v>7305</v>
      </c>
      <c r="G1096" s="12">
        <v>585</v>
      </c>
      <c r="H1096" s="12">
        <v>0</v>
      </c>
      <c r="I1096" s="12">
        <v>585</v>
      </c>
      <c r="J1096" s="12">
        <f>SUMIF(order_item!B:B,A1096,order_item!E:E)</f>
        <v>585</v>
      </c>
      <c r="K1096" s="28" t="str">
        <f>_xlfn.XLOOKUP(B1096,customers!A:A,customers!D:D)</f>
        <v>New</v>
      </c>
    </row>
    <row r="1097" spans="1:11" x14ac:dyDescent="0.25">
      <c r="A1097" s="5" t="s">
        <v>3484</v>
      </c>
      <c r="B1097" s="5" t="s">
        <v>863</v>
      </c>
      <c r="C1097" s="5" t="s">
        <v>7306</v>
      </c>
      <c r="D1097" s="1">
        <v>45555</v>
      </c>
      <c r="E1097" s="17">
        <v>0.59375</v>
      </c>
      <c r="F1097" s="5" t="s">
        <v>7305</v>
      </c>
      <c r="G1097" s="12">
        <v>158</v>
      </c>
      <c r="H1097" s="12">
        <v>0</v>
      </c>
      <c r="I1097" s="12">
        <v>158</v>
      </c>
      <c r="J1097" s="12">
        <f>SUMIF(order_item!B:B,A1097,order_item!E:E)</f>
        <v>158</v>
      </c>
      <c r="K1097" s="28" t="str">
        <f>_xlfn.XLOOKUP(B1097,customers!A:A,customers!D:D)</f>
        <v>Regular</v>
      </c>
    </row>
    <row r="1098" spans="1:11" x14ac:dyDescent="0.25">
      <c r="A1098" s="5" t="s">
        <v>3481</v>
      </c>
      <c r="B1098" s="5" t="s">
        <v>143</v>
      </c>
      <c r="C1098" s="5" t="s">
        <v>7306</v>
      </c>
      <c r="D1098" s="1">
        <v>45669</v>
      </c>
      <c r="E1098" s="17">
        <v>0.6791666666666667</v>
      </c>
      <c r="F1098" s="5" t="s">
        <v>7305</v>
      </c>
      <c r="G1098" s="12">
        <v>345</v>
      </c>
      <c r="H1098" s="12">
        <v>0</v>
      </c>
      <c r="I1098" s="12">
        <v>345</v>
      </c>
      <c r="J1098" s="12">
        <f>SUMIF(order_item!B:B,A1098,order_item!E:E)</f>
        <v>345</v>
      </c>
      <c r="K1098" s="28" t="str">
        <f>_xlfn.XLOOKUP(B1098,customers!A:A,customers!D:D)</f>
        <v>New</v>
      </c>
    </row>
    <row r="1099" spans="1:11" x14ac:dyDescent="0.25">
      <c r="A1099" s="5" t="s">
        <v>3478</v>
      </c>
      <c r="B1099" s="5" t="s">
        <v>571</v>
      </c>
      <c r="C1099" s="5" t="s">
        <v>7309</v>
      </c>
      <c r="D1099" s="1">
        <v>45416</v>
      </c>
      <c r="E1099" s="17">
        <v>0.86736111111111114</v>
      </c>
      <c r="F1099" s="5" t="s">
        <v>7305</v>
      </c>
      <c r="G1099" s="12">
        <v>486</v>
      </c>
      <c r="H1099" s="12">
        <v>72.900000000000006</v>
      </c>
      <c r="I1099" s="12">
        <v>413.1</v>
      </c>
      <c r="J1099" s="12">
        <f>SUMIF(order_item!B:B,A1099,order_item!E:E)</f>
        <v>486</v>
      </c>
      <c r="K1099" s="28" t="str">
        <f>_xlfn.XLOOKUP(B1099,customers!A:A,customers!D:D)</f>
        <v>New</v>
      </c>
    </row>
    <row r="1100" spans="1:11" x14ac:dyDescent="0.25">
      <c r="A1100" s="5" t="s">
        <v>3475</v>
      </c>
      <c r="B1100" s="5" t="s">
        <v>819</v>
      </c>
      <c r="C1100" s="5" t="s">
        <v>7309</v>
      </c>
      <c r="D1100" s="1">
        <v>45437</v>
      </c>
      <c r="E1100" s="17">
        <v>0.84097222222222223</v>
      </c>
      <c r="F1100" s="5" t="s">
        <v>7305</v>
      </c>
      <c r="G1100" s="12">
        <v>474</v>
      </c>
      <c r="H1100" s="12">
        <v>0</v>
      </c>
      <c r="I1100" s="12">
        <v>474</v>
      </c>
      <c r="J1100" s="12">
        <f>SUMIF(order_item!B:B,A1100,order_item!E:E)</f>
        <v>474</v>
      </c>
      <c r="K1100" s="28" t="str">
        <f>_xlfn.XLOOKUP(B1100,customers!A:A,customers!D:D)</f>
        <v>Regular</v>
      </c>
    </row>
    <row r="1101" spans="1:11" x14ac:dyDescent="0.25">
      <c r="A1101" s="5" t="s">
        <v>3471</v>
      </c>
      <c r="B1101" s="5" t="s">
        <v>338</v>
      </c>
      <c r="C1101" s="5" t="s">
        <v>7308</v>
      </c>
      <c r="D1101" s="1">
        <v>45654</v>
      </c>
      <c r="E1101" s="17">
        <v>0.7270833333333333</v>
      </c>
      <c r="F1101" s="5" t="s">
        <v>7307</v>
      </c>
      <c r="G1101" s="12">
        <v>741</v>
      </c>
      <c r="H1101" s="12">
        <v>37.049999999999997</v>
      </c>
      <c r="I1101" s="12">
        <v>0</v>
      </c>
      <c r="J1101" s="12">
        <f>SUMIF(order_item!B:B,A1101,order_item!E:E)</f>
        <v>741</v>
      </c>
      <c r="K1101" s="28" t="str">
        <f>_xlfn.XLOOKUP(B1101,customers!A:A,customers!D:D)</f>
        <v>Premium</v>
      </c>
    </row>
    <row r="1102" spans="1:11" x14ac:dyDescent="0.25">
      <c r="A1102" s="5" t="s">
        <v>3467</v>
      </c>
      <c r="B1102" s="5" t="s">
        <v>269</v>
      </c>
      <c r="C1102" s="5" t="s">
        <v>7309</v>
      </c>
      <c r="D1102" s="1">
        <v>45634</v>
      </c>
      <c r="E1102" s="17">
        <v>0.79583333333333339</v>
      </c>
      <c r="F1102" s="5" t="s">
        <v>7305</v>
      </c>
      <c r="G1102" s="12">
        <v>832</v>
      </c>
      <c r="H1102" s="12">
        <v>0</v>
      </c>
      <c r="I1102" s="12">
        <v>832</v>
      </c>
      <c r="J1102" s="12">
        <f>SUMIF(order_item!B:B,A1102,order_item!E:E)</f>
        <v>832</v>
      </c>
      <c r="K1102" s="28" t="str">
        <f>_xlfn.XLOOKUP(B1102,customers!A:A,customers!D:D)</f>
        <v>New</v>
      </c>
    </row>
    <row r="1103" spans="1:11" x14ac:dyDescent="0.25">
      <c r="A1103" s="5" t="s">
        <v>3462</v>
      </c>
      <c r="B1103" s="5" t="s">
        <v>495</v>
      </c>
      <c r="C1103" s="5" t="s">
        <v>7309</v>
      </c>
      <c r="D1103" s="1">
        <v>45448</v>
      </c>
      <c r="E1103" s="17">
        <v>0.64930555555555558</v>
      </c>
      <c r="F1103" s="5" t="s">
        <v>7305</v>
      </c>
      <c r="G1103" s="12">
        <v>1331</v>
      </c>
      <c r="H1103" s="12">
        <v>0</v>
      </c>
      <c r="I1103" s="12">
        <v>1331</v>
      </c>
      <c r="J1103" s="12">
        <f>SUMIF(order_item!B:B,A1103,order_item!E:E)</f>
        <v>1331</v>
      </c>
      <c r="K1103" s="28" t="str">
        <f>_xlfn.XLOOKUP(B1103,customers!A:A,customers!D:D)</f>
        <v>New</v>
      </c>
    </row>
    <row r="1104" spans="1:11" x14ac:dyDescent="0.25">
      <c r="A1104" s="5" t="s">
        <v>3458</v>
      </c>
      <c r="B1104" s="5" t="s">
        <v>641</v>
      </c>
      <c r="C1104" s="5" t="s">
        <v>7308</v>
      </c>
      <c r="D1104" s="1">
        <v>45574</v>
      </c>
      <c r="E1104" s="17">
        <v>0.84513888888888899</v>
      </c>
      <c r="F1104" s="5" t="s">
        <v>7305</v>
      </c>
      <c r="G1104" s="12">
        <v>406</v>
      </c>
      <c r="H1104" s="12">
        <v>20.3</v>
      </c>
      <c r="I1104" s="12">
        <v>385.7</v>
      </c>
      <c r="J1104" s="12">
        <f>SUMIF(order_item!B:B,A1104,order_item!E:E)</f>
        <v>406</v>
      </c>
      <c r="K1104" s="28" t="str">
        <f>_xlfn.XLOOKUP(B1104,customers!A:A,customers!D:D)</f>
        <v>Regular</v>
      </c>
    </row>
    <row r="1105" spans="1:11" x14ac:dyDescent="0.25">
      <c r="A1105" s="5" t="s">
        <v>3456</v>
      </c>
      <c r="B1105" s="5" t="s">
        <v>203</v>
      </c>
      <c r="C1105" s="5" t="s">
        <v>7308</v>
      </c>
      <c r="D1105" s="1">
        <v>45613</v>
      </c>
      <c r="E1105" s="17">
        <v>0.9159722222222223</v>
      </c>
      <c r="F1105" s="5" t="s">
        <v>7305</v>
      </c>
      <c r="G1105" s="12">
        <v>119</v>
      </c>
      <c r="H1105" s="12">
        <v>0</v>
      </c>
      <c r="I1105" s="12">
        <v>119</v>
      </c>
      <c r="J1105" s="12">
        <f>SUMIF(order_item!B:B,A1105,order_item!E:E)</f>
        <v>119</v>
      </c>
      <c r="K1105" s="28" t="str">
        <f>_xlfn.XLOOKUP(B1105,customers!A:A,customers!D:D)</f>
        <v>New</v>
      </c>
    </row>
    <row r="1106" spans="1:11" x14ac:dyDescent="0.25">
      <c r="A1106" s="5" t="s">
        <v>3452</v>
      </c>
      <c r="B1106" s="5" t="s">
        <v>797</v>
      </c>
      <c r="C1106" s="5" t="s">
        <v>7309</v>
      </c>
      <c r="D1106" s="1">
        <v>45625</v>
      </c>
      <c r="E1106" s="17">
        <v>0.99097222222222225</v>
      </c>
      <c r="F1106" s="5" t="s">
        <v>7305</v>
      </c>
      <c r="G1106" s="12">
        <v>336</v>
      </c>
      <c r="H1106" s="12">
        <v>0</v>
      </c>
      <c r="I1106" s="12">
        <v>336</v>
      </c>
      <c r="J1106" s="12">
        <f>SUMIF(order_item!B:B,A1106,order_item!E:E)</f>
        <v>336</v>
      </c>
      <c r="K1106" s="28" t="str">
        <f>_xlfn.XLOOKUP(B1106,customers!A:A,customers!D:D)</f>
        <v>Regular</v>
      </c>
    </row>
    <row r="1107" spans="1:11" x14ac:dyDescent="0.25">
      <c r="A1107" s="5" t="s">
        <v>3449</v>
      </c>
      <c r="B1107" s="5" t="s">
        <v>189</v>
      </c>
      <c r="C1107" s="5" t="s">
        <v>7309</v>
      </c>
      <c r="D1107" s="1">
        <v>45402</v>
      </c>
      <c r="E1107" s="17">
        <v>0.4680555555555555</v>
      </c>
      <c r="F1107" s="5" t="s">
        <v>7305</v>
      </c>
      <c r="G1107" s="12">
        <v>228</v>
      </c>
      <c r="H1107" s="12">
        <v>11.4</v>
      </c>
      <c r="I1107" s="12">
        <v>216.6</v>
      </c>
      <c r="J1107" s="12">
        <f>SUMIF(order_item!B:B,A1107,order_item!E:E)</f>
        <v>228</v>
      </c>
      <c r="K1107" s="28" t="str">
        <f>_xlfn.XLOOKUP(B1107,customers!A:A,customers!D:D)</f>
        <v>New</v>
      </c>
    </row>
    <row r="1108" spans="1:11" x14ac:dyDescent="0.25">
      <c r="A1108" s="5" t="s">
        <v>3446</v>
      </c>
      <c r="B1108" s="5" t="s">
        <v>810</v>
      </c>
      <c r="C1108" s="5" t="s">
        <v>7309</v>
      </c>
      <c r="D1108" s="1">
        <v>45399</v>
      </c>
      <c r="E1108" s="17">
        <v>0.48055555555555557</v>
      </c>
      <c r="F1108" s="5" t="s">
        <v>7305</v>
      </c>
      <c r="G1108" s="12">
        <v>416</v>
      </c>
      <c r="H1108" s="12">
        <v>0</v>
      </c>
      <c r="I1108" s="12">
        <v>416</v>
      </c>
      <c r="J1108" s="12">
        <f>SUMIF(order_item!B:B,A1108,order_item!E:E)</f>
        <v>416</v>
      </c>
      <c r="K1108" s="28" t="str">
        <f>_xlfn.XLOOKUP(B1108,customers!A:A,customers!D:D)</f>
        <v>New</v>
      </c>
    </row>
    <row r="1109" spans="1:11" x14ac:dyDescent="0.25">
      <c r="A1109" s="5" t="s">
        <v>3442</v>
      </c>
      <c r="B1109" s="5" t="s">
        <v>620</v>
      </c>
      <c r="C1109" s="5" t="s">
        <v>7309</v>
      </c>
      <c r="D1109" s="1">
        <v>45477</v>
      </c>
      <c r="E1109" s="17">
        <v>0.93680555555555556</v>
      </c>
      <c r="F1109" s="5" t="s">
        <v>7307</v>
      </c>
      <c r="G1109" s="12">
        <v>416</v>
      </c>
      <c r="H1109" s="12">
        <v>0</v>
      </c>
      <c r="I1109" s="12">
        <v>0</v>
      </c>
      <c r="J1109" s="12">
        <f>SUMIF(order_item!B:B,A1109,order_item!E:E)</f>
        <v>416</v>
      </c>
      <c r="K1109" s="28" t="str">
        <f>_xlfn.XLOOKUP(B1109,customers!A:A,customers!D:D)</f>
        <v>Regular</v>
      </c>
    </row>
    <row r="1110" spans="1:11" x14ac:dyDescent="0.25">
      <c r="A1110" s="5" t="s">
        <v>3438</v>
      </c>
      <c r="B1110" s="5" t="s">
        <v>605</v>
      </c>
      <c r="C1110" s="5" t="s">
        <v>7308</v>
      </c>
      <c r="D1110" s="1">
        <v>45634</v>
      </c>
      <c r="E1110" s="17">
        <v>0.92986111111111114</v>
      </c>
      <c r="F1110" s="5" t="s">
        <v>7305</v>
      </c>
      <c r="G1110" s="12">
        <v>553</v>
      </c>
      <c r="H1110" s="12">
        <v>0</v>
      </c>
      <c r="I1110" s="12">
        <v>553</v>
      </c>
      <c r="J1110" s="12">
        <f>SUMIF(order_item!B:B,A1110,order_item!E:E)</f>
        <v>553</v>
      </c>
      <c r="K1110" s="28" t="str">
        <f>_xlfn.XLOOKUP(B1110,customers!A:A,customers!D:D)</f>
        <v>Premium</v>
      </c>
    </row>
    <row r="1111" spans="1:11" x14ac:dyDescent="0.25">
      <c r="A1111" s="5" t="s">
        <v>3435</v>
      </c>
      <c r="B1111" s="5" t="s">
        <v>767</v>
      </c>
      <c r="C1111" s="5" t="s">
        <v>7306</v>
      </c>
      <c r="D1111" s="1">
        <v>45498</v>
      </c>
      <c r="E1111" s="17">
        <v>0.79861111111111116</v>
      </c>
      <c r="F1111" s="5" t="s">
        <v>7305</v>
      </c>
      <c r="G1111" s="12">
        <v>475</v>
      </c>
      <c r="H1111" s="12">
        <v>47.5</v>
      </c>
      <c r="I1111" s="12">
        <v>427.5</v>
      </c>
      <c r="J1111" s="12">
        <f>SUMIF(order_item!B:B,A1111,order_item!E:E)</f>
        <v>475</v>
      </c>
      <c r="K1111" s="28" t="str">
        <f>_xlfn.XLOOKUP(B1111,customers!A:A,customers!D:D)</f>
        <v>Premium</v>
      </c>
    </row>
    <row r="1112" spans="1:11" x14ac:dyDescent="0.25">
      <c r="A1112" s="5" t="s">
        <v>3431</v>
      </c>
      <c r="B1112" s="5" t="s">
        <v>163</v>
      </c>
      <c r="C1112" s="5" t="s">
        <v>7308</v>
      </c>
      <c r="D1112" s="1">
        <v>45687</v>
      </c>
      <c r="E1112" s="17">
        <v>0.95000000000000007</v>
      </c>
      <c r="F1112" s="5" t="s">
        <v>7305</v>
      </c>
      <c r="G1112" s="12">
        <v>347</v>
      </c>
      <c r="H1112" s="12">
        <v>0</v>
      </c>
      <c r="I1112" s="12">
        <v>347</v>
      </c>
      <c r="J1112" s="12">
        <f>SUMIF(order_item!B:B,A1112,order_item!E:E)</f>
        <v>347</v>
      </c>
      <c r="K1112" s="28" t="str">
        <f>_xlfn.XLOOKUP(B1112,customers!A:A,customers!D:D)</f>
        <v>Regular</v>
      </c>
    </row>
    <row r="1113" spans="1:11" x14ac:dyDescent="0.25">
      <c r="A1113" s="5" t="s">
        <v>3427</v>
      </c>
      <c r="B1113" s="5" t="s">
        <v>556</v>
      </c>
      <c r="C1113" s="5" t="s">
        <v>7308</v>
      </c>
      <c r="D1113" s="1">
        <v>45657</v>
      </c>
      <c r="E1113" s="17">
        <v>0.87638888888888899</v>
      </c>
      <c r="F1113" s="5" t="s">
        <v>7305</v>
      </c>
      <c r="G1113" s="12">
        <v>466</v>
      </c>
      <c r="H1113" s="12">
        <v>0</v>
      </c>
      <c r="I1113" s="12">
        <v>466</v>
      </c>
      <c r="J1113" s="12">
        <f>SUMIF(order_item!B:B,A1113,order_item!E:E)</f>
        <v>466</v>
      </c>
      <c r="K1113" s="28" t="str">
        <f>_xlfn.XLOOKUP(B1113,customers!A:A,customers!D:D)</f>
        <v>New</v>
      </c>
    </row>
    <row r="1114" spans="1:11" x14ac:dyDescent="0.25">
      <c r="A1114" s="5" t="s">
        <v>3424</v>
      </c>
      <c r="B1114" s="5" t="s">
        <v>778</v>
      </c>
      <c r="C1114" s="5" t="s">
        <v>7309</v>
      </c>
      <c r="D1114" s="1">
        <v>45567</v>
      </c>
      <c r="E1114" s="17">
        <v>0.72499999999999998</v>
      </c>
      <c r="F1114" s="5" t="s">
        <v>7305</v>
      </c>
      <c r="G1114" s="12">
        <v>178</v>
      </c>
      <c r="H1114" s="12">
        <v>17.8</v>
      </c>
      <c r="I1114" s="12">
        <v>160.19999999999999</v>
      </c>
      <c r="J1114" s="12">
        <f>SUMIF(order_item!B:B,A1114,order_item!E:E)</f>
        <v>178</v>
      </c>
      <c r="K1114" s="28" t="str">
        <f>_xlfn.XLOOKUP(B1114,customers!A:A,customers!D:D)</f>
        <v>Regular</v>
      </c>
    </row>
    <row r="1115" spans="1:11" x14ac:dyDescent="0.25">
      <c r="A1115" s="5" t="s">
        <v>3420</v>
      </c>
      <c r="B1115" s="5" t="s">
        <v>363</v>
      </c>
      <c r="C1115" s="5" t="s">
        <v>7309</v>
      </c>
      <c r="D1115" s="1">
        <v>45725</v>
      </c>
      <c r="E1115" s="17">
        <v>0.76180555555555562</v>
      </c>
      <c r="F1115" s="5" t="s">
        <v>7305</v>
      </c>
      <c r="G1115" s="12">
        <v>1109</v>
      </c>
      <c r="H1115" s="12">
        <v>0</v>
      </c>
      <c r="I1115" s="12">
        <v>1109</v>
      </c>
      <c r="J1115" s="12">
        <f>SUMIF(order_item!B:B,A1115,order_item!E:E)</f>
        <v>1109</v>
      </c>
      <c r="K1115" s="28" t="str">
        <f>_xlfn.XLOOKUP(B1115,customers!A:A,customers!D:D)</f>
        <v>New</v>
      </c>
    </row>
    <row r="1116" spans="1:11" x14ac:dyDescent="0.25">
      <c r="A1116" s="5" t="s">
        <v>3416</v>
      </c>
      <c r="B1116" s="5" t="s">
        <v>653</v>
      </c>
      <c r="C1116" s="5" t="s">
        <v>7308</v>
      </c>
      <c r="D1116" s="1">
        <v>45721</v>
      </c>
      <c r="E1116" s="17">
        <v>0.7402777777777777</v>
      </c>
      <c r="F1116" s="5" t="s">
        <v>7307</v>
      </c>
      <c r="G1116" s="12">
        <v>811</v>
      </c>
      <c r="H1116" s="12">
        <v>0</v>
      </c>
      <c r="I1116" s="12">
        <v>0</v>
      </c>
      <c r="J1116" s="12">
        <f>SUMIF(order_item!B:B,A1116,order_item!E:E)</f>
        <v>811</v>
      </c>
      <c r="K1116" s="28" t="str">
        <f>_xlfn.XLOOKUP(B1116,customers!A:A,customers!D:D)</f>
        <v>Regular</v>
      </c>
    </row>
    <row r="1117" spans="1:11" x14ac:dyDescent="0.25">
      <c r="A1117" s="5" t="s">
        <v>3413</v>
      </c>
      <c r="B1117" s="5" t="s">
        <v>614</v>
      </c>
      <c r="C1117" s="5" t="s">
        <v>7306</v>
      </c>
      <c r="D1117" s="1">
        <v>45500</v>
      </c>
      <c r="E1117" s="17">
        <v>0.74722222222222223</v>
      </c>
      <c r="F1117" s="5" t="s">
        <v>7305</v>
      </c>
      <c r="G1117" s="12">
        <v>475</v>
      </c>
      <c r="H1117" s="12">
        <v>0</v>
      </c>
      <c r="I1117" s="12">
        <v>475</v>
      </c>
      <c r="J1117" s="12">
        <f>SUMIF(order_item!B:B,A1117,order_item!E:E)</f>
        <v>475</v>
      </c>
      <c r="K1117" s="28" t="str">
        <f>_xlfn.XLOOKUP(B1117,customers!A:A,customers!D:D)</f>
        <v>Regular</v>
      </c>
    </row>
    <row r="1118" spans="1:11" x14ac:dyDescent="0.25">
      <c r="A1118" s="5" t="s">
        <v>3410</v>
      </c>
      <c r="B1118" s="5" t="s">
        <v>367</v>
      </c>
      <c r="C1118" s="5" t="s">
        <v>7306</v>
      </c>
      <c r="D1118" s="1">
        <v>45413</v>
      </c>
      <c r="E1118" s="17">
        <v>0.62083333333333335</v>
      </c>
      <c r="F1118" s="5" t="s">
        <v>7305</v>
      </c>
      <c r="G1118" s="12">
        <v>476</v>
      </c>
      <c r="H1118" s="12">
        <v>0</v>
      </c>
      <c r="I1118" s="12">
        <v>476</v>
      </c>
      <c r="J1118" s="12">
        <f>SUMIF(order_item!B:B,A1118,order_item!E:E)</f>
        <v>476</v>
      </c>
      <c r="K1118" s="28" t="str">
        <f>_xlfn.XLOOKUP(B1118,customers!A:A,customers!D:D)</f>
        <v>Regular</v>
      </c>
    </row>
    <row r="1119" spans="1:11" x14ac:dyDescent="0.25">
      <c r="A1119" s="5" t="s">
        <v>3406</v>
      </c>
      <c r="B1119" s="5" t="s">
        <v>545</v>
      </c>
      <c r="C1119" s="5" t="s">
        <v>7309</v>
      </c>
      <c r="D1119" s="1">
        <v>45599</v>
      </c>
      <c r="E1119" s="17">
        <v>0.78472222222222221</v>
      </c>
      <c r="F1119" s="5" t="s">
        <v>7305</v>
      </c>
      <c r="G1119" s="12">
        <v>792</v>
      </c>
      <c r="H1119" s="12">
        <v>0</v>
      </c>
      <c r="I1119" s="12">
        <v>792</v>
      </c>
      <c r="J1119" s="12">
        <f>SUMIF(order_item!B:B,A1119,order_item!E:E)</f>
        <v>792</v>
      </c>
      <c r="K1119" s="28" t="str">
        <f>_xlfn.XLOOKUP(B1119,customers!A:A,customers!D:D)</f>
        <v>New</v>
      </c>
    </row>
    <row r="1120" spans="1:11" x14ac:dyDescent="0.25">
      <c r="A1120" s="5" t="s">
        <v>3403</v>
      </c>
      <c r="B1120" s="5" t="s">
        <v>729</v>
      </c>
      <c r="C1120" s="5" t="s">
        <v>7308</v>
      </c>
      <c r="D1120" s="1">
        <v>45581</v>
      </c>
      <c r="E1120" s="17">
        <v>0.43541666666666662</v>
      </c>
      <c r="F1120" s="5" t="s">
        <v>7305</v>
      </c>
      <c r="G1120" s="12">
        <v>247</v>
      </c>
      <c r="H1120" s="12">
        <v>24.7</v>
      </c>
      <c r="I1120" s="12">
        <v>222.3</v>
      </c>
      <c r="J1120" s="12">
        <f>SUMIF(order_item!B:B,A1120,order_item!E:E)</f>
        <v>247</v>
      </c>
      <c r="K1120" s="28" t="str">
        <f>_xlfn.XLOOKUP(B1120,customers!A:A,customers!D:D)</f>
        <v>Regular</v>
      </c>
    </row>
    <row r="1121" spans="1:11" x14ac:dyDescent="0.25">
      <c r="A1121" s="5" t="s">
        <v>3399</v>
      </c>
      <c r="B1121" s="5" t="s">
        <v>813</v>
      </c>
      <c r="C1121" s="5" t="s">
        <v>7306</v>
      </c>
      <c r="D1121" s="1">
        <v>45719</v>
      </c>
      <c r="E1121" s="17">
        <v>0.56388888888888888</v>
      </c>
      <c r="F1121" s="5" t="s">
        <v>7305</v>
      </c>
      <c r="G1121" s="12">
        <v>405</v>
      </c>
      <c r="H1121" s="12">
        <v>0</v>
      </c>
      <c r="I1121" s="12">
        <v>405</v>
      </c>
      <c r="J1121" s="12">
        <f>SUMIF(order_item!B:B,A1121,order_item!E:E)</f>
        <v>405</v>
      </c>
      <c r="K1121" s="28" t="str">
        <f>_xlfn.XLOOKUP(B1121,customers!A:A,customers!D:D)</f>
        <v>Premium</v>
      </c>
    </row>
    <row r="1122" spans="1:11" x14ac:dyDescent="0.25">
      <c r="A1122" s="5" t="s">
        <v>3396</v>
      </c>
      <c r="B1122" s="5" t="s">
        <v>705</v>
      </c>
      <c r="C1122" s="5" t="s">
        <v>7309</v>
      </c>
      <c r="D1122" s="1">
        <v>45480</v>
      </c>
      <c r="E1122" s="17">
        <v>0.75555555555555554</v>
      </c>
      <c r="F1122" s="5" t="s">
        <v>7305</v>
      </c>
      <c r="G1122" s="12">
        <v>277</v>
      </c>
      <c r="H1122" s="12">
        <v>27.7</v>
      </c>
      <c r="I1122" s="12">
        <v>249.3</v>
      </c>
      <c r="J1122" s="12">
        <f>SUMIF(order_item!B:B,A1122,order_item!E:E)</f>
        <v>277</v>
      </c>
      <c r="K1122" s="28" t="str">
        <f>_xlfn.XLOOKUP(B1122,customers!A:A,customers!D:D)</f>
        <v>New</v>
      </c>
    </row>
    <row r="1123" spans="1:11" x14ac:dyDescent="0.25">
      <c r="A1123" s="5" t="s">
        <v>3393</v>
      </c>
      <c r="B1123" s="5" t="s">
        <v>140</v>
      </c>
      <c r="C1123" s="5" t="s">
        <v>7309</v>
      </c>
      <c r="D1123" s="1">
        <v>45624</v>
      </c>
      <c r="E1123" s="17">
        <v>0.74305555555555547</v>
      </c>
      <c r="F1123" s="5" t="s">
        <v>7305</v>
      </c>
      <c r="G1123" s="12">
        <v>207</v>
      </c>
      <c r="H1123" s="12">
        <v>0</v>
      </c>
      <c r="I1123" s="12">
        <v>207</v>
      </c>
      <c r="J1123" s="12">
        <f>SUMIF(order_item!B:B,A1123,order_item!E:E)</f>
        <v>207</v>
      </c>
      <c r="K1123" s="28" t="str">
        <f>_xlfn.XLOOKUP(B1123,customers!A:A,customers!D:D)</f>
        <v>Regular</v>
      </c>
    </row>
    <row r="1124" spans="1:11" x14ac:dyDescent="0.25">
      <c r="A1124" s="5" t="s">
        <v>3389</v>
      </c>
      <c r="B1124" s="5" t="s">
        <v>127</v>
      </c>
      <c r="C1124" s="5" t="s">
        <v>7306</v>
      </c>
      <c r="D1124" s="1">
        <v>45472</v>
      </c>
      <c r="E1124" s="17">
        <v>0.50416666666666665</v>
      </c>
      <c r="F1124" s="5" t="s">
        <v>7305</v>
      </c>
      <c r="G1124" s="12">
        <v>912</v>
      </c>
      <c r="H1124" s="12">
        <v>91.2</v>
      </c>
      <c r="I1124" s="12">
        <v>820.8</v>
      </c>
      <c r="J1124" s="12">
        <f>SUMIF(order_item!B:B,A1124,order_item!E:E)</f>
        <v>912</v>
      </c>
      <c r="K1124" s="28" t="str">
        <f>_xlfn.XLOOKUP(B1124,customers!A:A,customers!D:D)</f>
        <v>Premium</v>
      </c>
    </row>
    <row r="1125" spans="1:11" x14ac:dyDescent="0.25">
      <c r="A1125" s="5" t="s">
        <v>3385</v>
      </c>
      <c r="B1125" s="5" t="s">
        <v>650</v>
      </c>
      <c r="C1125" s="5" t="s">
        <v>7309</v>
      </c>
      <c r="D1125" s="1">
        <v>45647</v>
      </c>
      <c r="E1125" s="17">
        <v>0.84513888888888899</v>
      </c>
      <c r="F1125" s="5" t="s">
        <v>7305</v>
      </c>
      <c r="G1125" s="12">
        <v>555</v>
      </c>
      <c r="H1125" s="12">
        <v>0</v>
      </c>
      <c r="I1125" s="12">
        <v>555</v>
      </c>
      <c r="J1125" s="12">
        <f>SUMIF(order_item!B:B,A1125,order_item!E:E)</f>
        <v>555</v>
      </c>
      <c r="K1125" s="28" t="str">
        <f>_xlfn.XLOOKUP(B1125,customers!A:A,customers!D:D)</f>
        <v>Regular</v>
      </c>
    </row>
    <row r="1126" spans="1:11" x14ac:dyDescent="0.25">
      <c r="A1126" s="5" t="s">
        <v>3382</v>
      </c>
      <c r="B1126" s="5" t="s">
        <v>759</v>
      </c>
      <c r="C1126" s="5" t="s">
        <v>7308</v>
      </c>
      <c r="D1126" s="1">
        <v>45579</v>
      </c>
      <c r="E1126" s="17">
        <v>0.7368055555555556</v>
      </c>
      <c r="F1126" s="5" t="s">
        <v>7305</v>
      </c>
      <c r="G1126" s="12">
        <v>695</v>
      </c>
      <c r="H1126" s="12">
        <v>0</v>
      </c>
      <c r="I1126" s="12">
        <v>695</v>
      </c>
      <c r="J1126" s="12">
        <f>SUMIF(order_item!B:B,A1126,order_item!E:E)</f>
        <v>695</v>
      </c>
      <c r="K1126" s="28" t="str">
        <f>_xlfn.XLOOKUP(B1126,customers!A:A,customers!D:D)</f>
        <v>Regular</v>
      </c>
    </row>
    <row r="1127" spans="1:11" x14ac:dyDescent="0.25">
      <c r="A1127" s="5" t="s">
        <v>3380</v>
      </c>
      <c r="B1127" s="5" t="s">
        <v>584</v>
      </c>
      <c r="C1127" s="5" t="s">
        <v>7309</v>
      </c>
      <c r="D1127" s="1">
        <v>45434</v>
      </c>
      <c r="E1127" s="17">
        <v>0.88888888888888884</v>
      </c>
      <c r="F1127" s="5" t="s">
        <v>7305</v>
      </c>
      <c r="G1127" s="12">
        <v>158</v>
      </c>
      <c r="H1127" s="12">
        <v>23.7</v>
      </c>
      <c r="I1127" s="12">
        <v>134.30000000000001</v>
      </c>
      <c r="J1127" s="12">
        <f>SUMIF(order_item!B:B,A1127,order_item!E:E)</f>
        <v>158</v>
      </c>
      <c r="K1127" s="28" t="str">
        <f>_xlfn.XLOOKUP(B1127,customers!A:A,customers!D:D)</f>
        <v>Regular</v>
      </c>
    </row>
    <row r="1128" spans="1:11" x14ac:dyDescent="0.25">
      <c r="A1128" s="5" t="s">
        <v>3376</v>
      </c>
      <c r="B1128" s="5" t="s">
        <v>480</v>
      </c>
      <c r="C1128" s="5" t="s">
        <v>7309</v>
      </c>
      <c r="D1128" s="1">
        <v>45639</v>
      </c>
      <c r="E1128" s="17">
        <v>0.95763888888888893</v>
      </c>
      <c r="F1128" s="5" t="s">
        <v>7305</v>
      </c>
      <c r="G1128" s="12">
        <v>625</v>
      </c>
      <c r="H1128" s="12">
        <v>62.5</v>
      </c>
      <c r="I1128" s="12">
        <v>562.5</v>
      </c>
      <c r="J1128" s="12">
        <f>SUMIF(order_item!B:B,A1128,order_item!E:E)</f>
        <v>625</v>
      </c>
      <c r="K1128" s="28" t="str">
        <f>_xlfn.XLOOKUP(B1128,customers!A:A,customers!D:D)</f>
        <v>New</v>
      </c>
    </row>
    <row r="1129" spans="1:11" x14ac:dyDescent="0.25">
      <c r="A1129" s="5" t="s">
        <v>3371</v>
      </c>
      <c r="B1129" s="5" t="s">
        <v>569</v>
      </c>
      <c r="C1129" s="5" t="s">
        <v>7309</v>
      </c>
      <c r="D1129" s="1">
        <v>45457</v>
      </c>
      <c r="E1129" s="17">
        <v>0.71319444444444446</v>
      </c>
      <c r="F1129" s="5" t="s">
        <v>7305</v>
      </c>
      <c r="G1129" s="12">
        <v>1000</v>
      </c>
      <c r="H1129" s="12">
        <v>0</v>
      </c>
      <c r="I1129" s="12">
        <v>1000</v>
      </c>
      <c r="J1129" s="12">
        <f>SUMIF(order_item!B:B,A1129,order_item!E:E)</f>
        <v>1000</v>
      </c>
      <c r="K1129" s="28" t="str">
        <f>_xlfn.XLOOKUP(B1129,customers!A:A,customers!D:D)</f>
        <v>Regular</v>
      </c>
    </row>
    <row r="1130" spans="1:11" x14ac:dyDescent="0.25">
      <c r="A1130" s="5" t="s">
        <v>3368</v>
      </c>
      <c r="B1130" s="5" t="s">
        <v>624</v>
      </c>
      <c r="C1130" s="5" t="s">
        <v>7306</v>
      </c>
      <c r="D1130" s="1">
        <v>45462</v>
      </c>
      <c r="E1130" s="17">
        <v>0.84861111111111109</v>
      </c>
      <c r="F1130" s="5" t="s">
        <v>7305</v>
      </c>
      <c r="G1130" s="12">
        <v>467</v>
      </c>
      <c r="H1130" s="12">
        <v>46.7</v>
      </c>
      <c r="I1130" s="12">
        <v>420.3</v>
      </c>
      <c r="J1130" s="12">
        <f>SUMIF(order_item!B:B,A1130,order_item!E:E)</f>
        <v>467</v>
      </c>
      <c r="K1130" s="28" t="str">
        <f>_xlfn.XLOOKUP(B1130,customers!A:A,customers!D:D)</f>
        <v>Regular</v>
      </c>
    </row>
    <row r="1131" spans="1:11" x14ac:dyDescent="0.25">
      <c r="A1131" s="5" t="s">
        <v>3365</v>
      </c>
      <c r="B1131" s="5" t="s">
        <v>411</v>
      </c>
      <c r="C1131" s="5" t="s">
        <v>7309</v>
      </c>
      <c r="D1131" s="1">
        <v>45665</v>
      </c>
      <c r="E1131" s="17">
        <v>0.89097222222222217</v>
      </c>
      <c r="F1131" s="5" t="s">
        <v>7305</v>
      </c>
      <c r="G1131" s="12">
        <v>446</v>
      </c>
      <c r="H1131" s="12">
        <v>0</v>
      </c>
      <c r="I1131" s="12">
        <v>446</v>
      </c>
      <c r="J1131" s="12">
        <f>SUMIF(order_item!B:B,A1131,order_item!E:E)</f>
        <v>446</v>
      </c>
      <c r="K1131" s="28" t="str">
        <f>_xlfn.XLOOKUP(B1131,customers!A:A,customers!D:D)</f>
        <v>New</v>
      </c>
    </row>
    <row r="1132" spans="1:11" x14ac:dyDescent="0.25">
      <c r="A1132" s="5" t="s">
        <v>3362</v>
      </c>
      <c r="B1132" s="5" t="s">
        <v>667</v>
      </c>
      <c r="C1132" s="5" t="s">
        <v>7309</v>
      </c>
      <c r="D1132" s="1">
        <v>45707</v>
      </c>
      <c r="E1132" s="17">
        <v>0.70833333333333337</v>
      </c>
      <c r="F1132" s="5" t="s">
        <v>7305</v>
      </c>
      <c r="G1132" s="12">
        <v>503</v>
      </c>
      <c r="H1132" s="12">
        <v>0</v>
      </c>
      <c r="I1132" s="12">
        <v>503</v>
      </c>
      <c r="J1132" s="12">
        <f>SUMIF(order_item!B:B,A1132,order_item!E:E)</f>
        <v>503</v>
      </c>
      <c r="K1132" s="28" t="str">
        <f>_xlfn.XLOOKUP(B1132,customers!A:A,customers!D:D)</f>
        <v>New</v>
      </c>
    </row>
    <row r="1133" spans="1:11" x14ac:dyDescent="0.25">
      <c r="A1133" s="5" t="s">
        <v>3359</v>
      </c>
      <c r="B1133" s="5" t="s">
        <v>501</v>
      </c>
      <c r="C1133" s="5" t="s">
        <v>7309</v>
      </c>
      <c r="D1133" s="1">
        <v>45418</v>
      </c>
      <c r="E1133" s="17">
        <v>0.79305555555555562</v>
      </c>
      <c r="F1133" s="5" t="s">
        <v>7305</v>
      </c>
      <c r="G1133" s="12">
        <v>188</v>
      </c>
      <c r="H1133" s="12">
        <v>18.8</v>
      </c>
      <c r="I1133" s="12">
        <v>169.2</v>
      </c>
      <c r="J1133" s="12">
        <f>SUMIF(order_item!B:B,A1133,order_item!E:E)</f>
        <v>188</v>
      </c>
      <c r="K1133" s="28" t="str">
        <f>_xlfn.XLOOKUP(B1133,customers!A:A,customers!D:D)</f>
        <v>Premium</v>
      </c>
    </row>
    <row r="1134" spans="1:11" x14ac:dyDescent="0.25">
      <c r="A1134" s="5" t="s">
        <v>3354</v>
      </c>
      <c r="B1134" s="5" t="s">
        <v>145</v>
      </c>
      <c r="C1134" s="5" t="s">
        <v>7308</v>
      </c>
      <c r="D1134" s="1">
        <v>45422</v>
      </c>
      <c r="E1134" s="17">
        <v>0.84305555555555556</v>
      </c>
      <c r="F1134" s="5" t="s">
        <v>7305</v>
      </c>
      <c r="G1134" s="12">
        <v>843</v>
      </c>
      <c r="H1134" s="12">
        <v>0</v>
      </c>
      <c r="I1134" s="12">
        <v>843</v>
      </c>
      <c r="J1134" s="12">
        <f>SUMIF(order_item!B:B,A1134,order_item!E:E)</f>
        <v>843</v>
      </c>
      <c r="K1134" s="28" t="str">
        <f>_xlfn.XLOOKUP(B1134,customers!A:A,customers!D:D)</f>
        <v>Premium</v>
      </c>
    </row>
    <row r="1135" spans="1:11" x14ac:dyDescent="0.25">
      <c r="A1135" s="5" t="s">
        <v>3349</v>
      </c>
      <c r="B1135" s="5" t="s">
        <v>725</v>
      </c>
      <c r="C1135" s="5" t="s">
        <v>7308</v>
      </c>
      <c r="D1135" s="1">
        <v>45563</v>
      </c>
      <c r="E1135" s="17">
        <v>0.71736111111111101</v>
      </c>
      <c r="F1135" s="5" t="s">
        <v>7305</v>
      </c>
      <c r="G1135" s="12">
        <v>1768</v>
      </c>
      <c r="H1135" s="12">
        <v>0</v>
      </c>
      <c r="I1135" s="12">
        <v>1768</v>
      </c>
      <c r="J1135" s="12">
        <f>SUMIF(order_item!B:B,A1135,order_item!E:E)</f>
        <v>1768</v>
      </c>
      <c r="K1135" s="28" t="str">
        <f>_xlfn.XLOOKUP(B1135,customers!A:A,customers!D:D)</f>
        <v>Premium</v>
      </c>
    </row>
    <row r="1136" spans="1:11" x14ac:dyDescent="0.25">
      <c r="A1136" s="5" t="s">
        <v>3346</v>
      </c>
      <c r="B1136" s="5" t="s">
        <v>396</v>
      </c>
      <c r="C1136" s="5" t="s">
        <v>7308</v>
      </c>
      <c r="D1136" s="1">
        <v>45599</v>
      </c>
      <c r="E1136" s="17">
        <v>7.1527777777777787E-2</v>
      </c>
      <c r="F1136" s="5" t="s">
        <v>7305</v>
      </c>
      <c r="G1136" s="12">
        <v>643</v>
      </c>
      <c r="H1136" s="12">
        <v>32.15</v>
      </c>
      <c r="I1136" s="12">
        <v>610.85</v>
      </c>
      <c r="J1136" s="12">
        <f>SUMIF(order_item!B:B,A1136,order_item!E:E)</f>
        <v>643</v>
      </c>
      <c r="K1136" s="28" t="str">
        <f>_xlfn.XLOOKUP(B1136,customers!A:A,customers!D:D)</f>
        <v>New</v>
      </c>
    </row>
    <row r="1137" spans="1:11" x14ac:dyDescent="0.25">
      <c r="A1137" s="5" t="s">
        <v>3344</v>
      </c>
      <c r="B1137" s="5" t="s">
        <v>209</v>
      </c>
      <c r="C1137" s="5" t="s">
        <v>7308</v>
      </c>
      <c r="D1137" s="1">
        <v>45535</v>
      </c>
      <c r="E1137" s="17">
        <v>0.80208333333333337</v>
      </c>
      <c r="F1137" s="5" t="s">
        <v>7305</v>
      </c>
      <c r="G1137" s="12">
        <v>318</v>
      </c>
      <c r="H1137" s="12">
        <v>31.8</v>
      </c>
      <c r="I1137" s="12">
        <v>286.2</v>
      </c>
      <c r="J1137" s="12">
        <f>SUMIF(order_item!B:B,A1137,order_item!E:E)</f>
        <v>318</v>
      </c>
      <c r="K1137" s="28" t="str">
        <f>_xlfn.XLOOKUP(B1137,customers!A:A,customers!D:D)</f>
        <v>Premium</v>
      </c>
    </row>
    <row r="1138" spans="1:11" x14ac:dyDescent="0.25">
      <c r="A1138" s="5" t="s">
        <v>3341</v>
      </c>
      <c r="B1138" s="5" t="s">
        <v>216</v>
      </c>
      <c r="C1138" s="5" t="s">
        <v>7309</v>
      </c>
      <c r="D1138" s="1">
        <v>45545</v>
      </c>
      <c r="E1138" s="17">
        <v>0.54583333333333328</v>
      </c>
      <c r="F1138" s="5" t="s">
        <v>7305</v>
      </c>
      <c r="G1138" s="12">
        <v>277</v>
      </c>
      <c r="H1138" s="12">
        <v>41.55</v>
      </c>
      <c r="I1138" s="12">
        <v>235.45</v>
      </c>
      <c r="J1138" s="12">
        <f>SUMIF(order_item!B:B,A1138,order_item!E:E)</f>
        <v>277</v>
      </c>
      <c r="K1138" s="28" t="str">
        <f>_xlfn.XLOOKUP(B1138,customers!A:A,customers!D:D)</f>
        <v>Regular</v>
      </c>
    </row>
    <row r="1139" spans="1:11" x14ac:dyDescent="0.25">
      <c r="A1139" s="5" t="s">
        <v>3338</v>
      </c>
      <c r="B1139" s="5" t="s">
        <v>373</v>
      </c>
      <c r="C1139" s="5" t="s">
        <v>7309</v>
      </c>
      <c r="D1139" s="1">
        <v>45410</v>
      </c>
      <c r="E1139" s="17">
        <v>0.47569444444444442</v>
      </c>
      <c r="F1139" s="5" t="s">
        <v>7305</v>
      </c>
      <c r="G1139" s="12">
        <v>218</v>
      </c>
      <c r="H1139" s="12">
        <v>0</v>
      </c>
      <c r="I1139" s="12">
        <v>218</v>
      </c>
      <c r="J1139" s="12">
        <f>SUMIF(order_item!B:B,A1139,order_item!E:E)</f>
        <v>218</v>
      </c>
      <c r="K1139" s="28" t="str">
        <f>_xlfn.XLOOKUP(B1139,customers!A:A,customers!D:D)</f>
        <v>New</v>
      </c>
    </row>
    <row r="1140" spans="1:11" x14ac:dyDescent="0.25">
      <c r="A1140" s="5" t="s">
        <v>3335</v>
      </c>
      <c r="B1140" s="5" t="s">
        <v>451</v>
      </c>
      <c r="C1140" s="5" t="s">
        <v>7309</v>
      </c>
      <c r="D1140" s="1">
        <v>45667</v>
      </c>
      <c r="E1140" s="17">
        <v>0.76111111111111107</v>
      </c>
      <c r="F1140" s="5" t="s">
        <v>7305</v>
      </c>
      <c r="G1140" s="12">
        <v>387</v>
      </c>
      <c r="H1140" s="12">
        <v>0</v>
      </c>
      <c r="I1140" s="12">
        <v>387</v>
      </c>
      <c r="J1140" s="12">
        <f>SUMIF(order_item!B:B,A1140,order_item!E:E)</f>
        <v>387</v>
      </c>
      <c r="K1140" s="28" t="str">
        <f>_xlfn.XLOOKUP(B1140,customers!A:A,customers!D:D)</f>
        <v>Regular</v>
      </c>
    </row>
    <row r="1141" spans="1:11" x14ac:dyDescent="0.25">
      <c r="A1141" s="5" t="s">
        <v>3330</v>
      </c>
      <c r="B1141" s="5" t="s">
        <v>96</v>
      </c>
      <c r="C1141" s="5" t="s">
        <v>7306</v>
      </c>
      <c r="D1141" s="1">
        <v>45524</v>
      </c>
      <c r="E1141" s="17">
        <v>0.69166666666666676</v>
      </c>
      <c r="F1141" s="5" t="s">
        <v>7307</v>
      </c>
      <c r="G1141" s="12">
        <v>1052</v>
      </c>
      <c r="H1141" s="12">
        <v>0</v>
      </c>
      <c r="I1141" s="12">
        <v>0</v>
      </c>
      <c r="J1141" s="12">
        <f>SUMIF(order_item!B:B,A1141,order_item!E:E)</f>
        <v>1052</v>
      </c>
      <c r="K1141" s="28" t="str">
        <f>_xlfn.XLOOKUP(B1141,customers!A:A,customers!D:D)</f>
        <v>Regular</v>
      </c>
    </row>
    <row r="1142" spans="1:11" x14ac:dyDescent="0.25">
      <c r="A1142" s="5" t="s">
        <v>3326</v>
      </c>
      <c r="B1142" s="5" t="s">
        <v>175</v>
      </c>
      <c r="C1142" s="5" t="s">
        <v>7306</v>
      </c>
      <c r="D1142" s="1">
        <v>45738</v>
      </c>
      <c r="E1142" s="17">
        <v>0.44375000000000003</v>
      </c>
      <c r="F1142" s="5" t="s">
        <v>7305</v>
      </c>
      <c r="G1142" s="12">
        <v>484</v>
      </c>
      <c r="H1142" s="12">
        <v>0</v>
      </c>
      <c r="I1142" s="12">
        <v>484</v>
      </c>
      <c r="J1142" s="12">
        <f>SUMIF(order_item!B:B,A1142,order_item!E:E)</f>
        <v>484</v>
      </c>
      <c r="K1142" s="28" t="str">
        <f>_xlfn.XLOOKUP(B1142,customers!A:A,customers!D:D)</f>
        <v>Premium</v>
      </c>
    </row>
    <row r="1143" spans="1:11" x14ac:dyDescent="0.25">
      <c r="A1143" s="5" t="s">
        <v>3323</v>
      </c>
      <c r="B1143" s="5" t="s">
        <v>586</v>
      </c>
      <c r="C1143" s="5" t="s">
        <v>7309</v>
      </c>
      <c r="D1143" s="1">
        <v>45548</v>
      </c>
      <c r="E1143" s="17">
        <v>0.89513888888888893</v>
      </c>
      <c r="F1143" s="5" t="s">
        <v>7305</v>
      </c>
      <c r="G1143" s="12">
        <v>347</v>
      </c>
      <c r="H1143" s="12">
        <v>0</v>
      </c>
      <c r="I1143" s="12">
        <v>347</v>
      </c>
      <c r="J1143" s="12">
        <f>SUMIF(order_item!B:B,A1143,order_item!E:E)</f>
        <v>347</v>
      </c>
      <c r="K1143" s="28" t="str">
        <f>_xlfn.XLOOKUP(B1143,customers!A:A,customers!D:D)</f>
        <v>Regular</v>
      </c>
    </row>
    <row r="1144" spans="1:11" x14ac:dyDescent="0.25">
      <c r="A1144" s="5" t="s">
        <v>3319</v>
      </c>
      <c r="B1144" s="5" t="s">
        <v>361</v>
      </c>
      <c r="C1144" s="5" t="s">
        <v>7306</v>
      </c>
      <c r="D1144" s="1">
        <v>45660</v>
      </c>
      <c r="E1144" s="17">
        <v>0.89166666666666661</v>
      </c>
      <c r="F1144" s="5" t="s">
        <v>7305</v>
      </c>
      <c r="G1144" s="12">
        <v>634</v>
      </c>
      <c r="H1144" s="12">
        <v>0</v>
      </c>
      <c r="I1144" s="12">
        <v>634</v>
      </c>
      <c r="J1144" s="12">
        <f>SUMIF(order_item!B:B,A1144,order_item!E:E)</f>
        <v>634</v>
      </c>
      <c r="K1144" s="28" t="str">
        <f>_xlfn.XLOOKUP(B1144,customers!A:A,customers!D:D)</f>
        <v>Premium</v>
      </c>
    </row>
    <row r="1145" spans="1:11" x14ac:dyDescent="0.25">
      <c r="A1145" s="5" t="s">
        <v>3316</v>
      </c>
      <c r="B1145" s="5" t="s">
        <v>792</v>
      </c>
      <c r="C1145" s="5" t="s">
        <v>7306</v>
      </c>
      <c r="D1145" s="1">
        <v>45725</v>
      </c>
      <c r="E1145" s="17">
        <v>0.54999999999999993</v>
      </c>
      <c r="F1145" s="5" t="s">
        <v>7305</v>
      </c>
      <c r="G1145" s="12">
        <v>496</v>
      </c>
      <c r="H1145" s="12">
        <v>0</v>
      </c>
      <c r="I1145" s="12">
        <v>496</v>
      </c>
      <c r="J1145" s="12">
        <f>SUMIF(order_item!B:B,A1145,order_item!E:E)</f>
        <v>496</v>
      </c>
      <c r="K1145" s="28" t="str">
        <f>_xlfn.XLOOKUP(B1145,customers!A:A,customers!D:D)</f>
        <v>Regular</v>
      </c>
    </row>
    <row r="1146" spans="1:11" x14ac:dyDescent="0.25">
      <c r="A1146" s="5" t="s">
        <v>3313</v>
      </c>
      <c r="B1146" s="5" t="s">
        <v>437</v>
      </c>
      <c r="C1146" s="5" t="s">
        <v>7309</v>
      </c>
      <c r="D1146" s="1">
        <v>45478</v>
      </c>
      <c r="E1146" s="17">
        <v>0.71319444444444446</v>
      </c>
      <c r="F1146" s="5" t="s">
        <v>7305</v>
      </c>
      <c r="G1146" s="12">
        <v>276</v>
      </c>
      <c r="H1146" s="12">
        <v>27.6</v>
      </c>
      <c r="I1146" s="12">
        <v>248.4</v>
      </c>
      <c r="J1146" s="12">
        <f>SUMIF(order_item!B:B,A1146,order_item!E:E)</f>
        <v>276</v>
      </c>
      <c r="K1146" s="28" t="str">
        <f>_xlfn.XLOOKUP(B1146,customers!A:A,customers!D:D)</f>
        <v>Regular</v>
      </c>
    </row>
    <row r="1147" spans="1:11" x14ac:dyDescent="0.25">
      <c r="A1147" s="5" t="s">
        <v>3310</v>
      </c>
      <c r="B1147" s="5" t="s">
        <v>573</v>
      </c>
      <c r="C1147" s="5" t="s">
        <v>7308</v>
      </c>
      <c r="D1147" s="1">
        <v>45574</v>
      </c>
      <c r="E1147" s="17">
        <v>0.38055555555555554</v>
      </c>
      <c r="F1147" s="5" t="s">
        <v>7305</v>
      </c>
      <c r="G1147" s="12">
        <v>347</v>
      </c>
      <c r="H1147" s="12">
        <v>0</v>
      </c>
      <c r="I1147" s="12">
        <v>347</v>
      </c>
      <c r="J1147" s="12">
        <f>SUMIF(order_item!B:B,A1147,order_item!E:E)</f>
        <v>347</v>
      </c>
      <c r="K1147" s="28" t="str">
        <f>_xlfn.XLOOKUP(B1147,customers!A:A,customers!D:D)</f>
        <v>Regular</v>
      </c>
    </row>
    <row r="1148" spans="1:11" x14ac:dyDescent="0.25">
      <c r="A1148" s="5" t="s">
        <v>3307</v>
      </c>
      <c r="B1148" s="5" t="s">
        <v>228</v>
      </c>
      <c r="C1148" s="5" t="s">
        <v>7309</v>
      </c>
      <c r="D1148" s="1">
        <v>45565</v>
      </c>
      <c r="E1148" s="17">
        <v>0.68472222222222223</v>
      </c>
      <c r="F1148" s="5" t="s">
        <v>7305</v>
      </c>
      <c r="G1148" s="12">
        <v>238</v>
      </c>
      <c r="H1148" s="12">
        <v>0</v>
      </c>
      <c r="I1148" s="12">
        <v>238</v>
      </c>
      <c r="J1148" s="12">
        <f>SUMIF(order_item!B:B,A1148,order_item!E:E)</f>
        <v>238</v>
      </c>
      <c r="K1148" s="28" t="str">
        <f>_xlfn.XLOOKUP(B1148,customers!A:A,customers!D:D)</f>
        <v>New</v>
      </c>
    </row>
    <row r="1149" spans="1:11" x14ac:dyDescent="0.25">
      <c r="A1149" s="5" t="s">
        <v>3304</v>
      </c>
      <c r="B1149" s="5" t="s">
        <v>678</v>
      </c>
      <c r="C1149" s="5" t="s">
        <v>7306</v>
      </c>
      <c r="D1149" s="1">
        <v>45571</v>
      </c>
      <c r="E1149" s="17">
        <v>0.89166666666666661</v>
      </c>
      <c r="F1149" s="5" t="s">
        <v>7305</v>
      </c>
      <c r="G1149" s="12">
        <v>317</v>
      </c>
      <c r="H1149" s="12">
        <v>0</v>
      </c>
      <c r="I1149" s="12">
        <v>317</v>
      </c>
      <c r="J1149" s="12">
        <f>SUMIF(order_item!B:B,A1149,order_item!E:E)</f>
        <v>317</v>
      </c>
      <c r="K1149" s="28" t="str">
        <f>_xlfn.XLOOKUP(B1149,customers!A:A,customers!D:D)</f>
        <v>Premium</v>
      </c>
    </row>
    <row r="1150" spans="1:11" x14ac:dyDescent="0.25">
      <c r="A1150" s="5" t="s">
        <v>3301</v>
      </c>
      <c r="B1150" s="5" t="s">
        <v>432</v>
      </c>
      <c r="C1150" s="5" t="s">
        <v>7309</v>
      </c>
      <c r="D1150" s="1">
        <v>45473</v>
      </c>
      <c r="E1150" s="17">
        <v>0.89097222222222217</v>
      </c>
      <c r="F1150" s="5" t="s">
        <v>7305</v>
      </c>
      <c r="G1150" s="12">
        <v>356</v>
      </c>
      <c r="H1150" s="12">
        <v>0</v>
      </c>
      <c r="I1150" s="12">
        <v>356</v>
      </c>
      <c r="J1150" s="12">
        <f>SUMIF(order_item!B:B,A1150,order_item!E:E)</f>
        <v>356</v>
      </c>
      <c r="K1150" s="28" t="str">
        <f>_xlfn.XLOOKUP(B1150,customers!A:A,customers!D:D)</f>
        <v>Regular</v>
      </c>
    </row>
    <row r="1151" spans="1:11" x14ac:dyDescent="0.25">
      <c r="A1151" s="5" t="s">
        <v>3298</v>
      </c>
      <c r="B1151" s="5" t="s">
        <v>666</v>
      </c>
      <c r="C1151" s="5" t="s">
        <v>7308</v>
      </c>
      <c r="D1151" s="1">
        <v>45479</v>
      </c>
      <c r="E1151" s="17">
        <v>0.77708333333333324</v>
      </c>
      <c r="F1151" s="5" t="s">
        <v>7307</v>
      </c>
      <c r="G1151" s="12">
        <v>148</v>
      </c>
      <c r="H1151" s="12">
        <v>0</v>
      </c>
      <c r="I1151" s="12">
        <v>0</v>
      </c>
      <c r="J1151" s="12">
        <f>SUMIF(order_item!B:B,A1151,order_item!E:E)</f>
        <v>148</v>
      </c>
      <c r="K1151" s="28" t="str">
        <f>_xlfn.XLOOKUP(B1151,customers!A:A,customers!D:D)</f>
        <v>New</v>
      </c>
    </row>
    <row r="1152" spans="1:11" x14ac:dyDescent="0.25">
      <c r="A1152" s="5" t="s">
        <v>3294</v>
      </c>
      <c r="B1152" s="5" t="s">
        <v>720</v>
      </c>
      <c r="C1152" s="5" t="s">
        <v>7309</v>
      </c>
      <c r="D1152" s="1">
        <v>45492</v>
      </c>
      <c r="E1152" s="17">
        <v>0.57430555555555551</v>
      </c>
      <c r="F1152" s="5" t="s">
        <v>7305</v>
      </c>
      <c r="G1152" s="12">
        <v>485</v>
      </c>
      <c r="H1152" s="12">
        <v>0</v>
      </c>
      <c r="I1152" s="12">
        <v>485</v>
      </c>
      <c r="J1152" s="12">
        <f>SUMIF(order_item!B:B,A1152,order_item!E:E)</f>
        <v>485</v>
      </c>
      <c r="K1152" s="28" t="str">
        <f>_xlfn.XLOOKUP(B1152,customers!A:A,customers!D:D)</f>
        <v>Regular</v>
      </c>
    </row>
    <row r="1153" spans="1:11" x14ac:dyDescent="0.25">
      <c r="A1153" s="5" t="s">
        <v>3291</v>
      </c>
      <c r="B1153" s="5" t="s">
        <v>669</v>
      </c>
      <c r="C1153" s="5" t="s">
        <v>7309</v>
      </c>
      <c r="D1153" s="1">
        <v>45726</v>
      </c>
      <c r="E1153" s="17">
        <v>0.85277777777777775</v>
      </c>
      <c r="F1153" s="5" t="s">
        <v>7305</v>
      </c>
      <c r="G1153" s="12">
        <v>496</v>
      </c>
      <c r="H1153" s="12">
        <v>24.8</v>
      </c>
      <c r="I1153" s="12">
        <v>471.2</v>
      </c>
      <c r="J1153" s="12">
        <f>SUMIF(order_item!B:B,A1153,order_item!E:E)</f>
        <v>496</v>
      </c>
      <c r="K1153" s="28" t="str">
        <f>_xlfn.XLOOKUP(B1153,customers!A:A,customers!D:D)</f>
        <v>Regular</v>
      </c>
    </row>
    <row r="1154" spans="1:11" x14ac:dyDescent="0.25">
      <c r="A1154" s="5" t="s">
        <v>3288</v>
      </c>
      <c r="B1154" s="5" t="s">
        <v>317</v>
      </c>
      <c r="C1154" s="5" t="s">
        <v>7309</v>
      </c>
      <c r="D1154" s="1">
        <v>45607</v>
      </c>
      <c r="E1154" s="17">
        <v>0.73472222222222217</v>
      </c>
      <c r="F1154" s="5" t="s">
        <v>7305</v>
      </c>
      <c r="G1154" s="12">
        <v>446</v>
      </c>
      <c r="H1154" s="12">
        <v>22.3</v>
      </c>
      <c r="I1154" s="12">
        <v>423.7</v>
      </c>
      <c r="J1154" s="12">
        <f>SUMIF(order_item!B:B,A1154,order_item!E:E)</f>
        <v>446</v>
      </c>
      <c r="K1154" s="28" t="str">
        <f>_xlfn.XLOOKUP(B1154,customers!A:A,customers!D:D)</f>
        <v>New</v>
      </c>
    </row>
    <row r="1155" spans="1:11" x14ac:dyDescent="0.25">
      <c r="A1155" s="5" t="s">
        <v>3283</v>
      </c>
      <c r="B1155" s="5" t="s">
        <v>781</v>
      </c>
      <c r="C1155" s="5" t="s">
        <v>7309</v>
      </c>
      <c r="D1155" s="1">
        <v>45444</v>
      </c>
      <c r="E1155" s="17">
        <v>1.9444444444444445E-2</v>
      </c>
      <c r="F1155" s="5" t="s">
        <v>7305</v>
      </c>
      <c r="G1155" s="12">
        <v>665</v>
      </c>
      <c r="H1155" s="12">
        <v>0</v>
      </c>
      <c r="I1155" s="12">
        <v>665</v>
      </c>
      <c r="J1155" s="12">
        <f>SUMIF(order_item!B:B,A1155,order_item!E:E)</f>
        <v>665</v>
      </c>
      <c r="K1155" s="28" t="str">
        <f>_xlfn.XLOOKUP(B1155,customers!A:A,customers!D:D)</f>
        <v>Regular</v>
      </c>
    </row>
    <row r="1156" spans="1:11" x14ac:dyDescent="0.25">
      <c r="A1156" s="5" t="s">
        <v>3279</v>
      </c>
      <c r="B1156" s="5" t="s">
        <v>701</v>
      </c>
      <c r="C1156" s="5" t="s">
        <v>7309</v>
      </c>
      <c r="D1156" s="1">
        <v>45671</v>
      </c>
      <c r="E1156" s="17">
        <v>0.70972222222222225</v>
      </c>
      <c r="F1156" s="5" t="s">
        <v>7305</v>
      </c>
      <c r="G1156" s="12">
        <v>466</v>
      </c>
      <c r="H1156" s="12">
        <v>69.900000000000006</v>
      </c>
      <c r="I1156" s="12">
        <v>396.1</v>
      </c>
      <c r="J1156" s="12">
        <f>SUMIF(order_item!B:B,A1156,order_item!E:E)</f>
        <v>466</v>
      </c>
      <c r="K1156" s="28" t="str">
        <f>_xlfn.XLOOKUP(B1156,customers!A:A,customers!D:D)</f>
        <v>Regular</v>
      </c>
    </row>
    <row r="1157" spans="1:11" x14ac:dyDescent="0.25">
      <c r="A1157" s="5" t="s">
        <v>3275</v>
      </c>
      <c r="B1157" s="5" t="s">
        <v>306</v>
      </c>
      <c r="C1157" s="5" t="s">
        <v>7308</v>
      </c>
      <c r="D1157" s="1">
        <v>45700</v>
      </c>
      <c r="E1157" s="17">
        <v>0.67569444444444438</v>
      </c>
      <c r="F1157" s="5" t="s">
        <v>7305</v>
      </c>
      <c r="G1157" s="12">
        <v>1090</v>
      </c>
      <c r="H1157" s="12">
        <v>0</v>
      </c>
      <c r="I1157" s="12">
        <v>1090</v>
      </c>
      <c r="J1157" s="12">
        <f>SUMIF(order_item!B:B,A1157,order_item!E:E)</f>
        <v>1090</v>
      </c>
      <c r="K1157" s="28" t="str">
        <f>_xlfn.XLOOKUP(B1157,customers!A:A,customers!D:D)</f>
        <v>Regular</v>
      </c>
    </row>
    <row r="1158" spans="1:11" x14ac:dyDescent="0.25">
      <c r="A1158" s="5" t="s">
        <v>3271</v>
      </c>
      <c r="B1158" s="5" t="s">
        <v>723</v>
      </c>
      <c r="C1158" s="5" t="s">
        <v>7308</v>
      </c>
      <c r="D1158" s="1">
        <v>45558</v>
      </c>
      <c r="E1158" s="17">
        <v>2.7083333333333334E-2</v>
      </c>
      <c r="F1158" s="5" t="s">
        <v>7305</v>
      </c>
      <c r="G1158" s="12">
        <v>594</v>
      </c>
      <c r="H1158" s="12">
        <v>0</v>
      </c>
      <c r="I1158" s="12">
        <v>594</v>
      </c>
      <c r="J1158" s="12">
        <f>SUMIF(order_item!B:B,A1158,order_item!E:E)</f>
        <v>594</v>
      </c>
      <c r="K1158" s="28" t="str">
        <f>_xlfn.XLOOKUP(B1158,customers!A:A,customers!D:D)</f>
        <v>Regular</v>
      </c>
    </row>
    <row r="1159" spans="1:11" x14ac:dyDescent="0.25">
      <c r="A1159" s="5" t="s">
        <v>3267</v>
      </c>
      <c r="B1159" s="5" t="s">
        <v>214</v>
      </c>
      <c r="C1159" s="5" t="s">
        <v>7309</v>
      </c>
      <c r="D1159" s="1">
        <v>45402</v>
      </c>
      <c r="E1159" s="17">
        <v>0.71666666666666667</v>
      </c>
      <c r="F1159" s="5" t="s">
        <v>7305</v>
      </c>
      <c r="G1159" s="12">
        <v>366</v>
      </c>
      <c r="H1159" s="12">
        <v>36.6</v>
      </c>
      <c r="I1159" s="12">
        <v>329.4</v>
      </c>
      <c r="J1159" s="12">
        <f>SUMIF(order_item!B:B,A1159,order_item!E:E)</f>
        <v>366</v>
      </c>
      <c r="K1159" s="28" t="str">
        <f>_xlfn.XLOOKUP(B1159,customers!A:A,customers!D:D)</f>
        <v>Regular</v>
      </c>
    </row>
    <row r="1160" spans="1:11" x14ac:dyDescent="0.25">
      <c r="A1160" s="5" t="s">
        <v>3262</v>
      </c>
      <c r="B1160" s="5" t="s">
        <v>361</v>
      </c>
      <c r="C1160" s="5" t="s">
        <v>7306</v>
      </c>
      <c r="D1160" s="1">
        <v>45642</v>
      </c>
      <c r="E1160" s="17">
        <v>0.90555555555555556</v>
      </c>
      <c r="F1160" s="5" t="s">
        <v>7305</v>
      </c>
      <c r="G1160" s="12">
        <v>1081</v>
      </c>
      <c r="H1160" s="12">
        <v>0</v>
      </c>
      <c r="I1160" s="12">
        <v>1081</v>
      </c>
      <c r="J1160" s="12">
        <f>SUMIF(order_item!B:B,A1160,order_item!E:E)</f>
        <v>1081</v>
      </c>
      <c r="K1160" s="28" t="str">
        <f>_xlfn.XLOOKUP(B1160,customers!A:A,customers!D:D)</f>
        <v>Premium</v>
      </c>
    </row>
    <row r="1161" spans="1:11" x14ac:dyDescent="0.25">
      <c r="A1161" s="5" t="s">
        <v>3257</v>
      </c>
      <c r="B1161" s="5" t="s">
        <v>383</v>
      </c>
      <c r="C1161" s="5" t="s">
        <v>7306</v>
      </c>
      <c r="D1161" s="1">
        <v>45732</v>
      </c>
      <c r="E1161" s="17">
        <v>0.87847222222222221</v>
      </c>
      <c r="F1161" s="5" t="s">
        <v>7305</v>
      </c>
      <c r="G1161" s="12">
        <v>772</v>
      </c>
      <c r="H1161" s="12">
        <v>0</v>
      </c>
      <c r="I1161" s="12">
        <v>772</v>
      </c>
      <c r="J1161" s="12">
        <f>SUMIF(order_item!B:B,A1161,order_item!E:E)</f>
        <v>772</v>
      </c>
      <c r="K1161" s="28" t="str">
        <f>_xlfn.XLOOKUP(B1161,customers!A:A,customers!D:D)</f>
        <v>Premium</v>
      </c>
    </row>
    <row r="1162" spans="1:11" x14ac:dyDescent="0.25">
      <c r="A1162" s="5" t="s">
        <v>3254</v>
      </c>
      <c r="B1162" s="5" t="s">
        <v>80</v>
      </c>
      <c r="C1162" s="5" t="s">
        <v>7309</v>
      </c>
      <c r="D1162" s="1">
        <v>45727</v>
      </c>
      <c r="E1162" s="17">
        <v>0.86041666666666661</v>
      </c>
      <c r="F1162" s="5" t="s">
        <v>7305</v>
      </c>
      <c r="G1162" s="12">
        <v>924</v>
      </c>
      <c r="H1162" s="12">
        <v>0</v>
      </c>
      <c r="I1162" s="12">
        <v>924</v>
      </c>
      <c r="J1162" s="12">
        <f>SUMIF(order_item!B:B,A1162,order_item!E:E)</f>
        <v>924</v>
      </c>
      <c r="K1162" s="28" t="str">
        <f>_xlfn.XLOOKUP(B1162,customers!A:A,customers!D:D)</f>
        <v>New</v>
      </c>
    </row>
    <row r="1163" spans="1:11" x14ac:dyDescent="0.25">
      <c r="A1163" s="5" t="s">
        <v>3251</v>
      </c>
      <c r="B1163" s="5" t="s">
        <v>710</v>
      </c>
      <c r="C1163" s="5" t="s">
        <v>7309</v>
      </c>
      <c r="D1163" s="1">
        <v>45434</v>
      </c>
      <c r="E1163" s="17">
        <v>3.4722222222222224E-2</v>
      </c>
      <c r="F1163" s="5" t="s">
        <v>7305</v>
      </c>
      <c r="G1163" s="12">
        <v>228</v>
      </c>
      <c r="H1163" s="12">
        <v>11.4</v>
      </c>
      <c r="I1163" s="12">
        <v>216.6</v>
      </c>
      <c r="J1163" s="12">
        <f>SUMIF(order_item!B:B,A1163,order_item!E:E)</f>
        <v>228</v>
      </c>
      <c r="K1163" s="28" t="str">
        <f>_xlfn.XLOOKUP(B1163,customers!A:A,customers!D:D)</f>
        <v>Regular</v>
      </c>
    </row>
    <row r="1164" spans="1:11" x14ac:dyDescent="0.25">
      <c r="A1164" s="5" t="s">
        <v>3248</v>
      </c>
      <c r="B1164" s="5" t="s">
        <v>345</v>
      </c>
      <c r="C1164" s="5" t="s">
        <v>7309</v>
      </c>
      <c r="D1164" s="1">
        <v>45487</v>
      </c>
      <c r="E1164" s="17">
        <v>0.69861111111111107</v>
      </c>
      <c r="F1164" s="5" t="s">
        <v>7305</v>
      </c>
      <c r="G1164" s="12">
        <v>456</v>
      </c>
      <c r="H1164" s="12">
        <v>45.6</v>
      </c>
      <c r="I1164" s="12">
        <v>410.4</v>
      </c>
      <c r="J1164" s="12">
        <f>SUMIF(order_item!B:B,A1164,order_item!E:E)</f>
        <v>456</v>
      </c>
      <c r="K1164" s="28" t="str">
        <f>_xlfn.XLOOKUP(B1164,customers!A:A,customers!D:D)</f>
        <v>Regular</v>
      </c>
    </row>
    <row r="1165" spans="1:11" x14ac:dyDescent="0.25">
      <c r="A1165" s="5" t="s">
        <v>3246</v>
      </c>
      <c r="B1165" s="5" t="s">
        <v>752</v>
      </c>
      <c r="C1165" s="5" t="s">
        <v>7309</v>
      </c>
      <c r="D1165" s="1">
        <v>45653</v>
      </c>
      <c r="E1165" s="17">
        <v>0.87708333333333333</v>
      </c>
      <c r="F1165" s="5" t="s">
        <v>7305</v>
      </c>
      <c r="G1165" s="12">
        <v>79</v>
      </c>
      <c r="H1165" s="12">
        <v>0</v>
      </c>
      <c r="I1165" s="12">
        <v>79</v>
      </c>
      <c r="J1165" s="12">
        <f>SUMIF(order_item!B:B,A1165,order_item!E:E)</f>
        <v>79</v>
      </c>
      <c r="K1165" s="28" t="str">
        <f>_xlfn.XLOOKUP(B1165,customers!A:A,customers!D:D)</f>
        <v>Regular</v>
      </c>
    </row>
    <row r="1166" spans="1:11" x14ac:dyDescent="0.25">
      <c r="A1166" s="5" t="s">
        <v>3244</v>
      </c>
      <c r="B1166" s="5" t="s">
        <v>709</v>
      </c>
      <c r="C1166" s="5" t="s">
        <v>7309</v>
      </c>
      <c r="D1166" s="1">
        <v>45604</v>
      </c>
      <c r="E1166" s="17">
        <v>0.92361111111111116</v>
      </c>
      <c r="F1166" s="5" t="s">
        <v>7305</v>
      </c>
      <c r="G1166" s="12">
        <v>198</v>
      </c>
      <c r="H1166" s="12">
        <v>0</v>
      </c>
      <c r="I1166" s="12">
        <v>198</v>
      </c>
      <c r="J1166" s="12">
        <f>SUMIF(order_item!B:B,A1166,order_item!E:E)</f>
        <v>198</v>
      </c>
      <c r="K1166" s="28" t="str">
        <f>_xlfn.XLOOKUP(B1166,customers!A:A,customers!D:D)</f>
        <v>Regular</v>
      </c>
    </row>
    <row r="1167" spans="1:11" x14ac:dyDescent="0.25">
      <c r="A1167" s="5" t="s">
        <v>3241</v>
      </c>
      <c r="B1167" s="5" t="s">
        <v>545</v>
      </c>
      <c r="C1167" s="5" t="s">
        <v>7306</v>
      </c>
      <c r="D1167" s="1">
        <v>45670</v>
      </c>
      <c r="E1167" s="17">
        <v>0.37847222222222227</v>
      </c>
      <c r="F1167" s="5" t="s">
        <v>7305</v>
      </c>
      <c r="G1167" s="12">
        <v>435</v>
      </c>
      <c r="H1167" s="12">
        <v>0</v>
      </c>
      <c r="I1167" s="12">
        <v>435</v>
      </c>
      <c r="J1167" s="12">
        <f>SUMIF(order_item!B:B,A1167,order_item!E:E)</f>
        <v>435</v>
      </c>
      <c r="K1167" s="28" t="str">
        <f>_xlfn.XLOOKUP(B1167,customers!A:A,customers!D:D)</f>
        <v>New</v>
      </c>
    </row>
    <row r="1168" spans="1:11" x14ac:dyDescent="0.25">
      <c r="A1168" s="5" t="s">
        <v>3238</v>
      </c>
      <c r="B1168" s="5" t="s">
        <v>265</v>
      </c>
      <c r="C1168" s="5" t="s">
        <v>7308</v>
      </c>
      <c r="D1168" s="1">
        <v>45490</v>
      </c>
      <c r="E1168" s="17">
        <v>0.94861111111111107</v>
      </c>
      <c r="F1168" s="5" t="s">
        <v>7305</v>
      </c>
      <c r="G1168" s="12">
        <v>435</v>
      </c>
      <c r="H1168" s="12">
        <v>0</v>
      </c>
      <c r="I1168" s="12">
        <v>435</v>
      </c>
      <c r="J1168" s="12">
        <f>SUMIF(order_item!B:B,A1168,order_item!E:E)</f>
        <v>435</v>
      </c>
      <c r="K1168" s="28" t="str">
        <f>_xlfn.XLOOKUP(B1168,customers!A:A,customers!D:D)</f>
        <v>Premium</v>
      </c>
    </row>
    <row r="1169" spans="1:11" x14ac:dyDescent="0.25">
      <c r="A1169" s="5" t="s">
        <v>3234</v>
      </c>
      <c r="B1169" s="5" t="s">
        <v>476</v>
      </c>
      <c r="C1169" s="5" t="s">
        <v>7309</v>
      </c>
      <c r="D1169" s="1">
        <v>45719</v>
      </c>
      <c r="E1169" s="17">
        <v>0.77777777777777779</v>
      </c>
      <c r="F1169" s="5" t="s">
        <v>7305</v>
      </c>
      <c r="G1169" s="12">
        <v>724</v>
      </c>
      <c r="H1169" s="12">
        <v>36.200000000000003</v>
      </c>
      <c r="I1169" s="12">
        <v>687.8</v>
      </c>
      <c r="J1169" s="12">
        <f>SUMIF(order_item!B:B,A1169,order_item!E:E)</f>
        <v>724</v>
      </c>
      <c r="K1169" s="28" t="str">
        <f>_xlfn.XLOOKUP(B1169,customers!A:A,customers!D:D)</f>
        <v>Regular</v>
      </c>
    </row>
    <row r="1170" spans="1:11" x14ac:dyDescent="0.25">
      <c r="A1170" s="5" t="s">
        <v>3230</v>
      </c>
      <c r="B1170" s="5" t="s">
        <v>601</v>
      </c>
      <c r="C1170" s="5" t="s">
        <v>7309</v>
      </c>
      <c r="D1170" s="1">
        <v>45672</v>
      </c>
      <c r="E1170" s="17">
        <v>0.88958333333333339</v>
      </c>
      <c r="F1170" s="5" t="s">
        <v>7305</v>
      </c>
      <c r="G1170" s="12">
        <v>337</v>
      </c>
      <c r="H1170" s="12">
        <v>0</v>
      </c>
      <c r="I1170" s="12">
        <v>337</v>
      </c>
      <c r="J1170" s="12">
        <f>SUMIF(order_item!B:B,A1170,order_item!E:E)</f>
        <v>337</v>
      </c>
      <c r="K1170" s="28" t="str">
        <f>_xlfn.XLOOKUP(B1170,customers!A:A,customers!D:D)</f>
        <v>Regular</v>
      </c>
    </row>
    <row r="1171" spans="1:11" x14ac:dyDescent="0.25">
      <c r="A1171" s="5" t="s">
        <v>3226</v>
      </c>
      <c r="B1171" s="5" t="s">
        <v>814</v>
      </c>
      <c r="C1171" s="5" t="s">
        <v>7309</v>
      </c>
      <c r="D1171" s="1">
        <v>45725</v>
      </c>
      <c r="E1171" s="17">
        <v>0.42222222222222222</v>
      </c>
      <c r="F1171" s="5" t="s">
        <v>7305</v>
      </c>
      <c r="G1171" s="12">
        <v>990</v>
      </c>
      <c r="H1171" s="12">
        <v>0</v>
      </c>
      <c r="I1171" s="12">
        <v>990</v>
      </c>
      <c r="J1171" s="12">
        <f>SUMIF(order_item!B:B,A1171,order_item!E:E)</f>
        <v>990</v>
      </c>
      <c r="K1171" s="28" t="str">
        <f>_xlfn.XLOOKUP(B1171,customers!A:A,customers!D:D)</f>
        <v>Regular</v>
      </c>
    </row>
    <row r="1172" spans="1:11" x14ac:dyDescent="0.25">
      <c r="A1172" s="5" t="s">
        <v>3222</v>
      </c>
      <c r="B1172" s="5" t="s">
        <v>187</v>
      </c>
      <c r="C1172" s="5" t="s">
        <v>7309</v>
      </c>
      <c r="D1172" s="1">
        <v>45402</v>
      </c>
      <c r="E1172" s="17">
        <v>0.4368055555555555</v>
      </c>
      <c r="F1172" s="5" t="s">
        <v>7305</v>
      </c>
      <c r="G1172" s="12">
        <v>555</v>
      </c>
      <c r="H1172" s="12">
        <v>0</v>
      </c>
      <c r="I1172" s="12">
        <v>555</v>
      </c>
      <c r="J1172" s="12">
        <f>SUMIF(order_item!B:B,A1172,order_item!E:E)</f>
        <v>555</v>
      </c>
      <c r="K1172" s="28" t="str">
        <f>_xlfn.XLOOKUP(B1172,customers!A:A,customers!D:D)</f>
        <v>New</v>
      </c>
    </row>
    <row r="1173" spans="1:11" x14ac:dyDescent="0.25">
      <c r="A1173" s="5" t="s">
        <v>3219</v>
      </c>
      <c r="B1173" s="5" t="s">
        <v>140</v>
      </c>
      <c r="C1173" s="5" t="s">
        <v>7306</v>
      </c>
      <c r="D1173" s="1">
        <v>45529</v>
      </c>
      <c r="E1173" s="17">
        <v>0.91388888888888886</v>
      </c>
      <c r="F1173" s="5" t="s">
        <v>7305</v>
      </c>
      <c r="G1173" s="12">
        <v>248</v>
      </c>
      <c r="H1173" s="12">
        <v>0</v>
      </c>
      <c r="I1173" s="12">
        <v>248</v>
      </c>
      <c r="J1173" s="12">
        <f>SUMIF(order_item!B:B,A1173,order_item!E:E)</f>
        <v>248</v>
      </c>
      <c r="K1173" s="28" t="str">
        <f>_xlfn.XLOOKUP(B1173,customers!A:A,customers!D:D)</f>
        <v>Regular</v>
      </c>
    </row>
    <row r="1174" spans="1:11" x14ac:dyDescent="0.25">
      <c r="A1174" s="5" t="s">
        <v>3217</v>
      </c>
      <c r="B1174" s="5" t="s">
        <v>666</v>
      </c>
      <c r="C1174" s="5" t="s">
        <v>7309</v>
      </c>
      <c r="D1174" s="1">
        <v>45567</v>
      </c>
      <c r="E1174" s="17">
        <v>0.78749999999999998</v>
      </c>
      <c r="F1174" s="5" t="s">
        <v>7305</v>
      </c>
      <c r="G1174" s="12">
        <v>149</v>
      </c>
      <c r="H1174" s="12">
        <v>0</v>
      </c>
      <c r="I1174" s="12">
        <v>149</v>
      </c>
      <c r="J1174" s="12">
        <f>SUMIF(order_item!B:B,A1174,order_item!E:E)</f>
        <v>149</v>
      </c>
      <c r="K1174" s="28" t="str">
        <f>_xlfn.XLOOKUP(B1174,customers!A:A,customers!D:D)</f>
        <v>New</v>
      </c>
    </row>
    <row r="1175" spans="1:11" x14ac:dyDescent="0.25">
      <c r="A1175" s="5" t="s">
        <v>3212</v>
      </c>
      <c r="B1175" s="5" t="s">
        <v>305</v>
      </c>
      <c r="C1175" s="5" t="s">
        <v>7309</v>
      </c>
      <c r="D1175" s="1">
        <v>45540</v>
      </c>
      <c r="E1175" s="17">
        <v>0.53263888888888888</v>
      </c>
      <c r="F1175" s="5" t="s">
        <v>7305</v>
      </c>
      <c r="G1175" s="12">
        <v>732</v>
      </c>
      <c r="H1175" s="12">
        <v>0</v>
      </c>
      <c r="I1175" s="12">
        <v>732</v>
      </c>
      <c r="J1175" s="12">
        <f>SUMIF(order_item!B:B,A1175,order_item!E:E)</f>
        <v>732</v>
      </c>
      <c r="K1175" s="28" t="str">
        <f>_xlfn.XLOOKUP(B1175,customers!A:A,customers!D:D)</f>
        <v>Regular</v>
      </c>
    </row>
    <row r="1176" spans="1:11" x14ac:dyDescent="0.25">
      <c r="A1176" s="5" t="s">
        <v>3208</v>
      </c>
      <c r="B1176" s="5" t="s">
        <v>180</v>
      </c>
      <c r="C1176" s="5" t="s">
        <v>7309</v>
      </c>
      <c r="D1176" s="1">
        <v>45495</v>
      </c>
      <c r="E1176" s="17">
        <v>0.70833333333333337</v>
      </c>
      <c r="F1176" s="5" t="s">
        <v>7305</v>
      </c>
      <c r="G1176" s="12">
        <v>565</v>
      </c>
      <c r="H1176" s="12">
        <v>0</v>
      </c>
      <c r="I1176" s="12">
        <v>565</v>
      </c>
      <c r="J1176" s="12">
        <f>SUMIF(order_item!B:B,A1176,order_item!E:E)</f>
        <v>565</v>
      </c>
      <c r="K1176" s="28" t="str">
        <f>_xlfn.XLOOKUP(B1176,customers!A:A,customers!D:D)</f>
        <v>Regular</v>
      </c>
    </row>
    <row r="1177" spans="1:11" x14ac:dyDescent="0.25">
      <c r="A1177" s="5" t="s">
        <v>3205</v>
      </c>
      <c r="B1177" s="5" t="s">
        <v>761</v>
      </c>
      <c r="C1177" s="5" t="s">
        <v>7308</v>
      </c>
      <c r="D1177" s="1">
        <v>45454</v>
      </c>
      <c r="E1177" s="17">
        <v>0.88402777777777775</v>
      </c>
      <c r="F1177" s="5" t="s">
        <v>7305</v>
      </c>
      <c r="G1177" s="12">
        <v>415</v>
      </c>
      <c r="H1177" s="12">
        <v>0</v>
      </c>
      <c r="I1177" s="12">
        <v>415</v>
      </c>
      <c r="J1177" s="12">
        <f>SUMIF(order_item!B:B,A1177,order_item!E:E)</f>
        <v>415</v>
      </c>
      <c r="K1177" s="28" t="str">
        <f>_xlfn.XLOOKUP(B1177,customers!A:A,customers!D:D)</f>
        <v>Regular</v>
      </c>
    </row>
    <row r="1178" spans="1:11" x14ac:dyDescent="0.25">
      <c r="A1178" s="5" t="s">
        <v>3200</v>
      </c>
      <c r="B1178" s="5" t="s">
        <v>155</v>
      </c>
      <c r="C1178" s="5" t="s">
        <v>7309</v>
      </c>
      <c r="D1178" s="1">
        <v>45530</v>
      </c>
      <c r="E1178" s="17">
        <v>0.79513888888888884</v>
      </c>
      <c r="F1178" s="5" t="s">
        <v>7305</v>
      </c>
      <c r="G1178" s="12">
        <v>713</v>
      </c>
      <c r="H1178" s="12">
        <v>0</v>
      </c>
      <c r="I1178" s="12">
        <v>713</v>
      </c>
      <c r="J1178" s="12">
        <f>SUMIF(order_item!B:B,A1178,order_item!E:E)</f>
        <v>713</v>
      </c>
      <c r="K1178" s="28" t="str">
        <f>_xlfn.XLOOKUP(B1178,customers!A:A,customers!D:D)</f>
        <v>Premium</v>
      </c>
    </row>
    <row r="1179" spans="1:11" x14ac:dyDescent="0.25">
      <c r="A1179" s="5" t="s">
        <v>3197</v>
      </c>
      <c r="B1179" s="5" t="s">
        <v>650</v>
      </c>
      <c r="C1179" s="5" t="s">
        <v>7309</v>
      </c>
      <c r="D1179" s="1">
        <v>45659</v>
      </c>
      <c r="E1179" s="17">
        <v>0.73402777777777783</v>
      </c>
      <c r="F1179" s="5" t="s">
        <v>7305</v>
      </c>
      <c r="G1179" s="12">
        <v>278</v>
      </c>
      <c r="H1179" s="12">
        <v>0</v>
      </c>
      <c r="I1179" s="12">
        <v>278</v>
      </c>
      <c r="J1179" s="12">
        <f>SUMIF(order_item!B:B,A1179,order_item!E:E)</f>
        <v>278</v>
      </c>
      <c r="K1179" s="28" t="str">
        <f>_xlfn.XLOOKUP(B1179,customers!A:A,customers!D:D)</f>
        <v>Regular</v>
      </c>
    </row>
    <row r="1180" spans="1:11" x14ac:dyDescent="0.25">
      <c r="A1180" s="5" t="s">
        <v>3193</v>
      </c>
      <c r="B1180" s="5" t="s">
        <v>564</v>
      </c>
      <c r="C1180" s="5" t="s">
        <v>7309</v>
      </c>
      <c r="D1180" s="1">
        <v>45645</v>
      </c>
      <c r="E1180" s="17">
        <v>0.4597222222222222</v>
      </c>
      <c r="F1180" s="5" t="s">
        <v>7305</v>
      </c>
      <c r="G1180" s="12">
        <v>436</v>
      </c>
      <c r="H1180" s="12">
        <v>0</v>
      </c>
      <c r="I1180" s="12">
        <v>436</v>
      </c>
      <c r="J1180" s="12">
        <f>SUMIF(order_item!B:B,A1180,order_item!E:E)</f>
        <v>436</v>
      </c>
      <c r="K1180" s="28" t="str">
        <f>_xlfn.XLOOKUP(B1180,customers!A:A,customers!D:D)</f>
        <v>Regular</v>
      </c>
    </row>
    <row r="1181" spans="1:11" x14ac:dyDescent="0.25">
      <c r="A1181" s="5" t="s">
        <v>3188</v>
      </c>
      <c r="B1181" s="5" t="s">
        <v>189</v>
      </c>
      <c r="C1181" s="5" t="s">
        <v>7308</v>
      </c>
      <c r="D1181" s="1">
        <v>45690</v>
      </c>
      <c r="E1181" s="17">
        <v>0.8569444444444444</v>
      </c>
      <c r="F1181" s="5" t="s">
        <v>7305</v>
      </c>
      <c r="G1181" s="12">
        <v>693</v>
      </c>
      <c r="H1181" s="12">
        <v>34.65</v>
      </c>
      <c r="I1181" s="12">
        <v>658.35</v>
      </c>
      <c r="J1181" s="12">
        <f>SUMIF(order_item!B:B,A1181,order_item!E:E)</f>
        <v>693</v>
      </c>
      <c r="K1181" s="28" t="str">
        <f>_xlfn.XLOOKUP(B1181,customers!A:A,customers!D:D)</f>
        <v>New</v>
      </c>
    </row>
    <row r="1182" spans="1:11" x14ac:dyDescent="0.25">
      <c r="A1182" s="5" t="s">
        <v>3183</v>
      </c>
      <c r="B1182" s="5" t="s">
        <v>576</v>
      </c>
      <c r="C1182" s="5" t="s">
        <v>7306</v>
      </c>
      <c r="D1182" s="1">
        <v>45641</v>
      </c>
      <c r="E1182" s="17">
        <v>0.81527777777777777</v>
      </c>
      <c r="F1182" s="5" t="s">
        <v>7305</v>
      </c>
      <c r="G1182" s="12">
        <v>1299</v>
      </c>
      <c r="H1182" s="12">
        <v>64.95</v>
      </c>
      <c r="I1182" s="12">
        <v>1234.05</v>
      </c>
      <c r="J1182" s="12">
        <f>SUMIF(order_item!B:B,A1182,order_item!E:E)</f>
        <v>1299</v>
      </c>
      <c r="K1182" s="28" t="str">
        <f>_xlfn.XLOOKUP(B1182,customers!A:A,customers!D:D)</f>
        <v>New</v>
      </c>
    </row>
    <row r="1183" spans="1:11" x14ac:dyDescent="0.25">
      <c r="A1183" s="5" t="s">
        <v>3179</v>
      </c>
      <c r="B1183" s="5" t="s">
        <v>509</v>
      </c>
      <c r="C1183" s="5" t="s">
        <v>7308</v>
      </c>
      <c r="D1183" s="1">
        <v>45399</v>
      </c>
      <c r="E1183" s="17">
        <v>0.87430555555555556</v>
      </c>
      <c r="F1183" s="5" t="s">
        <v>7305</v>
      </c>
      <c r="G1183" s="12">
        <v>1151</v>
      </c>
      <c r="H1183" s="12">
        <v>0</v>
      </c>
      <c r="I1183" s="12">
        <v>1151</v>
      </c>
      <c r="J1183" s="12">
        <f>SUMIF(order_item!B:B,A1183,order_item!E:E)</f>
        <v>1151</v>
      </c>
      <c r="K1183" s="28" t="str">
        <f>_xlfn.XLOOKUP(B1183,customers!A:A,customers!D:D)</f>
        <v>Regular</v>
      </c>
    </row>
    <row r="1184" spans="1:11" x14ac:dyDescent="0.25">
      <c r="A1184" s="5" t="s">
        <v>3175</v>
      </c>
      <c r="B1184" s="5" t="s">
        <v>561</v>
      </c>
      <c r="C1184" s="5" t="s">
        <v>7306</v>
      </c>
      <c r="D1184" s="1">
        <v>45697</v>
      </c>
      <c r="E1184" s="17">
        <v>0.44305555555555554</v>
      </c>
      <c r="F1184" s="5" t="s">
        <v>7305</v>
      </c>
      <c r="G1184" s="12">
        <v>415</v>
      </c>
      <c r="H1184" s="12">
        <v>62.25</v>
      </c>
      <c r="I1184" s="12">
        <v>352.75</v>
      </c>
      <c r="J1184" s="12">
        <f>SUMIF(order_item!B:B,A1184,order_item!E:E)</f>
        <v>415</v>
      </c>
      <c r="K1184" s="28" t="str">
        <f>_xlfn.XLOOKUP(B1184,customers!A:A,customers!D:D)</f>
        <v>Regular</v>
      </c>
    </row>
    <row r="1185" spans="1:11" x14ac:dyDescent="0.25">
      <c r="A1185" s="5" t="s">
        <v>3171</v>
      </c>
      <c r="B1185" s="5" t="s">
        <v>483</v>
      </c>
      <c r="C1185" s="5" t="s">
        <v>7309</v>
      </c>
      <c r="D1185" s="1">
        <v>45408</v>
      </c>
      <c r="E1185" s="17">
        <v>0.84444444444444444</v>
      </c>
      <c r="F1185" s="5" t="s">
        <v>7305</v>
      </c>
      <c r="G1185" s="12">
        <v>763</v>
      </c>
      <c r="H1185" s="12">
        <v>0</v>
      </c>
      <c r="I1185" s="12">
        <v>763</v>
      </c>
      <c r="J1185" s="12">
        <f>SUMIF(order_item!B:B,A1185,order_item!E:E)</f>
        <v>763</v>
      </c>
      <c r="K1185" s="28" t="str">
        <f>_xlfn.XLOOKUP(B1185,customers!A:A,customers!D:D)</f>
        <v>Regular</v>
      </c>
    </row>
    <row r="1186" spans="1:11" x14ac:dyDescent="0.25">
      <c r="A1186" s="5" t="s">
        <v>3167</v>
      </c>
      <c r="B1186" s="5" t="s">
        <v>416</v>
      </c>
      <c r="C1186" s="5" t="s">
        <v>7306</v>
      </c>
      <c r="D1186" s="1">
        <v>45564</v>
      </c>
      <c r="E1186" s="17">
        <v>0.65069444444444446</v>
      </c>
      <c r="F1186" s="5" t="s">
        <v>7305</v>
      </c>
      <c r="G1186" s="12">
        <v>436</v>
      </c>
      <c r="H1186" s="12">
        <v>43.6</v>
      </c>
      <c r="I1186" s="12">
        <v>392.4</v>
      </c>
      <c r="J1186" s="12">
        <f>SUMIF(order_item!B:B,A1186,order_item!E:E)</f>
        <v>436</v>
      </c>
      <c r="K1186" s="28" t="str">
        <f>_xlfn.XLOOKUP(B1186,customers!A:A,customers!D:D)</f>
        <v>Regular</v>
      </c>
    </row>
    <row r="1187" spans="1:11" x14ac:dyDescent="0.25">
      <c r="A1187" s="5" t="s">
        <v>3164</v>
      </c>
      <c r="B1187" s="5" t="s">
        <v>755</v>
      </c>
      <c r="C1187" s="5" t="s">
        <v>7306</v>
      </c>
      <c r="D1187" s="1">
        <v>45555</v>
      </c>
      <c r="E1187" s="17">
        <v>0.90763888888888899</v>
      </c>
      <c r="F1187" s="5" t="s">
        <v>7305</v>
      </c>
      <c r="G1187" s="12">
        <v>287</v>
      </c>
      <c r="H1187" s="12">
        <v>0</v>
      </c>
      <c r="I1187" s="12">
        <v>287</v>
      </c>
      <c r="J1187" s="12">
        <f>SUMIF(order_item!B:B,A1187,order_item!E:E)</f>
        <v>287</v>
      </c>
      <c r="K1187" s="28" t="str">
        <f>_xlfn.XLOOKUP(B1187,customers!A:A,customers!D:D)</f>
        <v>Premium</v>
      </c>
    </row>
    <row r="1188" spans="1:11" x14ac:dyDescent="0.25">
      <c r="A1188" s="5" t="s">
        <v>3159</v>
      </c>
      <c r="B1188" s="5" t="s">
        <v>234</v>
      </c>
      <c r="C1188" s="5" t="s">
        <v>7309</v>
      </c>
      <c r="D1188" s="1">
        <v>45420</v>
      </c>
      <c r="E1188" s="17">
        <v>0.68055555555555547</v>
      </c>
      <c r="F1188" s="5" t="s">
        <v>7305</v>
      </c>
      <c r="G1188" s="12">
        <v>1159</v>
      </c>
      <c r="H1188" s="12">
        <v>0</v>
      </c>
      <c r="I1188" s="12">
        <v>1159</v>
      </c>
      <c r="J1188" s="12">
        <f>SUMIF(order_item!B:B,A1188,order_item!E:E)</f>
        <v>1159</v>
      </c>
      <c r="K1188" s="28" t="str">
        <f>_xlfn.XLOOKUP(B1188,customers!A:A,customers!D:D)</f>
        <v>Regular</v>
      </c>
    </row>
    <row r="1189" spans="1:11" x14ac:dyDescent="0.25">
      <c r="A1189" s="5" t="s">
        <v>3154</v>
      </c>
      <c r="B1189" s="5" t="s">
        <v>340</v>
      </c>
      <c r="C1189" s="5" t="s">
        <v>7309</v>
      </c>
      <c r="D1189" s="1">
        <v>45613</v>
      </c>
      <c r="E1189" s="17">
        <v>0.81527777777777777</v>
      </c>
      <c r="F1189" s="5" t="s">
        <v>7305</v>
      </c>
      <c r="G1189" s="12">
        <v>1268</v>
      </c>
      <c r="H1189" s="12">
        <v>0</v>
      </c>
      <c r="I1189" s="12">
        <v>1268</v>
      </c>
      <c r="J1189" s="12">
        <f>SUMIF(order_item!B:B,A1189,order_item!E:E)</f>
        <v>1268</v>
      </c>
      <c r="K1189" s="28" t="str">
        <f>_xlfn.XLOOKUP(B1189,customers!A:A,customers!D:D)</f>
        <v>Regular</v>
      </c>
    </row>
    <row r="1190" spans="1:11" x14ac:dyDescent="0.25">
      <c r="A1190" s="5" t="s">
        <v>3150</v>
      </c>
      <c r="B1190" s="5" t="s">
        <v>294</v>
      </c>
      <c r="C1190" s="5" t="s">
        <v>7309</v>
      </c>
      <c r="D1190" s="1">
        <v>45465</v>
      </c>
      <c r="E1190" s="17">
        <v>0.6645833333333333</v>
      </c>
      <c r="F1190" s="5" t="s">
        <v>7305</v>
      </c>
      <c r="G1190" s="12">
        <v>456</v>
      </c>
      <c r="H1190" s="12">
        <v>0</v>
      </c>
      <c r="I1190" s="12">
        <v>456</v>
      </c>
      <c r="J1190" s="12">
        <f>SUMIF(order_item!B:B,A1190,order_item!E:E)</f>
        <v>456</v>
      </c>
      <c r="K1190" s="28" t="str">
        <f>_xlfn.XLOOKUP(B1190,customers!A:A,customers!D:D)</f>
        <v>Premium</v>
      </c>
    </row>
    <row r="1191" spans="1:11" x14ac:dyDescent="0.25">
      <c r="A1191" s="5" t="s">
        <v>3145</v>
      </c>
      <c r="B1191" s="5" t="s">
        <v>764</v>
      </c>
      <c r="C1191" s="5" t="s">
        <v>7306</v>
      </c>
      <c r="D1191" s="1">
        <v>45734</v>
      </c>
      <c r="E1191" s="17">
        <v>0.67499999999999993</v>
      </c>
      <c r="F1191" s="5" t="s">
        <v>7305</v>
      </c>
      <c r="G1191" s="12">
        <v>1430</v>
      </c>
      <c r="H1191" s="12">
        <v>0</v>
      </c>
      <c r="I1191" s="12">
        <v>1430</v>
      </c>
      <c r="J1191" s="12">
        <f>SUMIF(order_item!B:B,A1191,order_item!E:E)</f>
        <v>1430</v>
      </c>
      <c r="K1191" s="28" t="str">
        <f>_xlfn.XLOOKUP(B1191,customers!A:A,customers!D:D)</f>
        <v>Regular</v>
      </c>
    </row>
    <row r="1192" spans="1:11" x14ac:dyDescent="0.25">
      <c r="A1192" s="5" t="s">
        <v>3140</v>
      </c>
      <c r="B1192" s="5" t="s">
        <v>88</v>
      </c>
      <c r="C1192" s="5" t="s">
        <v>7306</v>
      </c>
      <c r="D1192" s="1">
        <v>45692</v>
      </c>
      <c r="E1192" s="17">
        <v>0.78125</v>
      </c>
      <c r="F1192" s="5" t="s">
        <v>7305</v>
      </c>
      <c r="G1192" s="12">
        <v>714</v>
      </c>
      <c r="H1192" s="12">
        <v>0</v>
      </c>
      <c r="I1192" s="12">
        <v>714</v>
      </c>
      <c r="J1192" s="12">
        <f>SUMIF(order_item!B:B,A1192,order_item!E:E)</f>
        <v>714</v>
      </c>
      <c r="K1192" s="28" t="str">
        <f>_xlfn.XLOOKUP(B1192,customers!A:A,customers!D:D)</f>
        <v>Regular</v>
      </c>
    </row>
    <row r="1193" spans="1:11" x14ac:dyDescent="0.25">
      <c r="A1193" s="5" t="s">
        <v>3137</v>
      </c>
      <c r="B1193" s="5" t="s">
        <v>683</v>
      </c>
      <c r="C1193" s="5" t="s">
        <v>7309</v>
      </c>
      <c r="D1193" s="1">
        <v>45591</v>
      </c>
      <c r="E1193" s="17">
        <v>0.91111111111111109</v>
      </c>
      <c r="F1193" s="5" t="s">
        <v>7307</v>
      </c>
      <c r="G1193" s="12">
        <v>675</v>
      </c>
      <c r="H1193" s="12">
        <v>0</v>
      </c>
      <c r="I1193" s="12">
        <v>0</v>
      </c>
      <c r="J1193" s="12">
        <f>SUMIF(order_item!B:B,A1193,order_item!E:E)</f>
        <v>675</v>
      </c>
      <c r="K1193" s="28" t="str">
        <f>_xlfn.XLOOKUP(B1193,customers!A:A,customers!D:D)</f>
        <v>Premium</v>
      </c>
    </row>
    <row r="1194" spans="1:11" x14ac:dyDescent="0.25">
      <c r="A1194" s="5" t="s">
        <v>3133</v>
      </c>
      <c r="B1194" s="5" t="s">
        <v>482</v>
      </c>
      <c r="C1194" s="5" t="s">
        <v>7306</v>
      </c>
      <c r="D1194" s="1">
        <v>45528</v>
      </c>
      <c r="E1194" s="17">
        <v>0.87083333333333324</v>
      </c>
      <c r="F1194" s="5" t="s">
        <v>7305</v>
      </c>
      <c r="G1194" s="12">
        <v>465</v>
      </c>
      <c r="H1194" s="12">
        <v>0</v>
      </c>
      <c r="I1194" s="12">
        <v>465</v>
      </c>
      <c r="J1194" s="12">
        <f>SUMIF(order_item!B:B,A1194,order_item!E:E)</f>
        <v>465</v>
      </c>
      <c r="K1194" s="28" t="str">
        <f>_xlfn.XLOOKUP(B1194,customers!A:A,customers!D:D)</f>
        <v>Regular</v>
      </c>
    </row>
    <row r="1195" spans="1:11" x14ac:dyDescent="0.25">
      <c r="A1195" s="5" t="s">
        <v>3128</v>
      </c>
      <c r="B1195" s="5" t="s">
        <v>753</v>
      </c>
      <c r="C1195" s="5" t="s">
        <v>7306</v>
      </c>
      <c r="D1195" s="1">
        <v>45730</v>
      </c>
      <c r="E1195" s="17">
        <v>0.82500000000000007</v>
      </c>
      <c r="F1195" s="5" t="s">
        <v>7305</v>
      </c>
      <c r="G1195" s="12">
        <v>872</v>
      </c>
      <c r="H1195" s="12">
        <v>0</v>
      </c>
      <c r="I1195" s="12">
        <v>872</v>
      </c>
      <c r="J1195" s="12">
        <f>SUMIF(order_item!B:B,A1195,order_item!E:E)</f>
        <v>872</v>
      </c>
      <c r="K1195" s="28" t="str">
        <f>_xlfn.XLOOKUP(B1195,customers!A:A,customers!D:D)</f>
        <v>Regular</v>
      </c>
    </row>
    <row r="1196" spans="1:11" x14ac:dyDescent="0.25">
      <c r="A1196" s="5" t="s">
        <v>3125</v>
      </c>
      <c r="B1196" s="5" t="s">
        <v>661</v>
      </c>
      <c r="C1196" s="5" t="s">
        <v>7308</v>
      </c>
      <c r="D1196" s="1">
        <v>45560</v>
      </c>
      <c r="E1196" s="17">
        <v>0.82430555555555562</v>
      </c>
      <c r="F1196" s="5" t="s">
        <v>7305</v>
      </c>
      <c r="G1196" s="12">
        <v>387</v>
      </c>
      <c r="H1196" s="12">
        <v>0</v>
      </c>
      <c r="I1196" s="12">
        <v>387</v>
      </c>
      <c r="J1196" s="12">
        <f>SUMIF(order_item!B:B,A1196,order_item!E:E)</f>
        <v>387</v>
      </c>
      <c r="K1196" s="28" t="str">
        <f>_xlfn.XLOOKUP(B1196,customers!A:A,customers!D:D)</f>
        <v>Premium</v>
      </c>
    </row>
    <row r="1197" spans="1:11" x14ac:dyDescent="0.25">
      <c r="A1197" s="5" t="s">
        <v>3121</v>
      </c>
      <c r="B1197" s="5" t="s">
        <v>521</v>
      </c>
      <c r="C1197" s="5" t="s">
        <v>7309</v>
      </c>
      <c r="D1197" s="1">
        <v>45408</v>
      </c>
      <c r="E1197" s="17">
        <v>0.85069444444444453</v>
      </c>
      <c r="F1197" s="5" t="s">
        <v>7305</v>
      </c>
      <c r="G1197" s="12">
        <v>983</v>
      </c>
      <c r="H1197" s="12">
        <v>0</v>
      </c>
      <c r="I1197" s="12">
        <v>983</v>
      </c>
      <c r="J1197" s="12">
        <f>SUMIF(order_item!B:B,A1197,order_item!E:E)</f>
        <v>983</v>
      </c>
      <c r="K1197" s="28" t="str">
        <f>_xlfn.XLOOKUP(B1197,customers!A:A,customers!D:D)</f>
        <v>Premium</v>
      </c>
    </row>
    <row r="1198" spans="1:11" x14ac:dyDescent="0.25">
      <c r="A1198" s="5" t="s">
        <v>3118</v>
      </c>
      <c r="B1198" s="5" t="s">
        <v>418</v>
      </c>
      <c r="C1198" s="5" t="s">
        <v>7306</v>
      </c>
      <c r="D1198" s="1">
        <v>45498</v>
      </c>
      <c r="E1198" s="17">
        <v>0.53541666666666665</v>
      </c>
      <c r="F1198" s="5" t="s">
        <v>7305</v>
      </c>
      <c r="G1198" s="12">
        <v>436</v>
      </c>
      <c r="H1198" s="12">
        <v>0</v>
      </c>
      <c r="I1198" s="12">
        <v>436</v>
      </c>
      <c r="J1198" s="12">
        <f>SUMIF(order_item!B:B,A1198,order_item!E:E)</f>
        <v>436</v>
      </c>
      <c r="K1198" s="28" t="str">
        <f>_xlfn.XLOOKUP(B1198,customers!A:A,customers!D:D)</f>
        <v>Regular</v>
      </c>
    </row>
    <row r="1199" spans="1:11" x14ac:dyDescent="0.25">
      <c r="A1199" s="5" t="s">
        <v>3115</v>
      </c>
      <c r="B1199" s="5" t="s">
        <v>604</v>
      </c>
      <c r="C1199" s="5" t="s">
        <v>7309</v>
      </c>
      <c r="D1199" s="1">
        <v>45648</v>
      </c>
      <c r="E1199" s="17">
        <v>0.83750000000000002</v>
      </c>
      <c r="F1199" s="5" t="s">
        <v>7305</v>
      </c>
      <c r="G1199" s="12">
        <v>217</v>
      </c>
      <c r="H1199" s="12">
        <v>21.7</v>
      </c>
      <c r="I1199" s="12">
        <v>195.3</v>
      </c>
      <c r="J1199" s="12">
        <f>SUMIF(order_item!B:B,A1199,order_item!E:E)</f>
        <v>217</v>
      </c>
      <c r="K1199" s="28" t="str">
        <f>_xlfn.XLOOKUP(B1199,customers!A:A,customers!D:D)</f>
        <v>Regular</v>
      </c>
    </row>
    <row r="1200" spans="1:11" x14ac:dyDescent="0.25">
      <c r="A1200" s="5" t="s">
        <v>3112</v>
      </c>
      <c r="B1200" s="5" t="s">
        <v>207</v>
      </c>
      <c r="C1200" s="5" t="s">
        <v>7308</v>
      </c>
      <c r="D1200" s="1">
        <v>45700</v>
      </c>
      <c r="E1200" s="17">
        <v>0.71319444444444446</v>
      </c>
      <c r="F1200" s="5" t="s">
        <v>7305</v>
      </c>
      <c r="G1200" s="12">
        <v>277</v>
      </c>
      <c r="H1200" s="12">
        <v>0</v>
      </c>
      <c r="I1200" s="12">
        <v>277</v>
      </c>
      <c r="J1200" s="12">
        <f>SUMIF(order_item!B:B,A1200,order_item!E:E)</f>
        <v>277</v>
      </c>
      <c r="K1200" s="28" t="str">
        <f>_xlfn.XLOOKUP(B1200,customers!A:A,customers!D:D)</f>
        <v>Regular</v>
      </c>
    </row>
    <row r="1201" spans="1:11" x14ac:dyDescent="0.25">
      <c r="A1201" s="5" t="s">
        <v>3108</v>
      </c>
      <c r="B1201" s="5" t="s">
        <v>209</v>
      </c>
      <c r="C1201" s="5" t="s">
        <v>7309</v>
      </c>
      <c r="D1201" s="1">
        <v>45389</v>
      </c>
      <c r="E1201" s="17">
        <v>0.77361111111111114</v>
      </c>
      <c r="F1201" s="5" t="s">
        <v>7305</v>
      </c>
      <c r="G1201" s="12">
        <v>386</v>
      </c>
      <c r="H1201" s="12">
        <v>38.6</v>
      </c>
      <c r="I1201" s="12">
        <v>347.4</v>
      </c>
      <c r="J1201" s="12">
        <f>SUMIF(order_item!B:B,A1201,order_item!E:E)</f>
        <v>386</v>
      </c>
      <c r="K1201" s="28" t="str">
        <f>_xlfn.XLOOKUP(B1201,customers!A:A,customers!D:D)</f>
        <v>Premium</v>
      </c>
    </row>
    <row r="1202" spans="1:11" x14ac:dyDescent="0.25">
      <c r="A1202" s="5" t="s">
        <v>3103</v>
      </c>
      <c r="B1202" s="5" t="s">
        <v>409</v>
      </c>
      <c r="C1202" s="5" t="s">
        <v>7306</v>
      </c>
      <c r="D1202" s="1">
        <v>45510</v>
      </c>
      <c r="E1202" s="17">
        <v>0.96875</v>
      </c>
      <c r="F1202" s="5" t="s">
        <v>7305</v>
      </c>
      <c r="G1202" s="12">
        <v>710</v>
      </c>
      <c r="H1202" s="12">
        <v>0</v>
      </c>
      <c r="I1202" s="12">
        <v>710</v>
      </c>
      <c r="J1202" s="12">
        <f>SUMIF(order_item!B:B,A1202,order_item!E:E)</f>
        <v>710</v>
      </c>
      <c r="K1202" s="28" t="str">
        <f>_xlfn.XLOOKUP(B1202,customers!A:A,customers!D:D)</f>
        <v>Regular</v>
      </c>
    </row>
    <row r="1203" spans="1:11" x14ac:dyDescent="0.25">
      <c r="A1203" s="5" t="s">
        <v>3099</v>
      </c>
      <c r="B1203" s="5" t="s">
        <v>321</v>
      </c>
      <c r="C1203" s="5" t="s">
        <v>7309</v>
      </c>
      <c r="D1203" s="1">
        <v>45401</v>
      </c>
      <c r="E1203" s="17">
        <v>0.89027777777777783</v>
      </c>
      <c r="F1203" s="5" t="s">
        <v>7305</v>
      </c>
      <c r="G1203" s="12">
        <v>1003</v>
      </c>
      <c r="H1203" s="12">
        <v>0</v>
      </c>
      <c r="I1203" s="12">
        <v>1003</v>
      </c>
      <c r="J1203" s="12">
        <f>SUMIF(order_item!B:B,A1203,order_item!E:E)</f>
        <v>1003</v>
      </c>
      <c r="K1203" s="28" t="str">
        <f>_xlfn.XLOOKUP(B1203,customers!A:A,customers!D:D)</f>
        <v>Regular</v>
      </c>
    </row>
    <row r="1204" spans="1:11" x14ac:dyDescent="0.25">
      <c r="A1204" s="5" t="s">
        <v>3096</v>
      </c>
      <c r="B1204" s="5" t="s">
        <v>558</v>
      </c>
      <c r="C1204" s="5" t="s">
        <v>7308</v>
      </c>
      <c r="D1204" s="1">
        <v>45597</v>
      </c>
      <c r="E1204" s="17">
        <v>0.53611111111111109</v>
      </c>
      <c r="F1204" s="5" t="s">
        <v>7305</v>
      </c>
      <c r="G1204" s="12">
        <v>992</v>
      </c>
      <c r="H1204" s="12">
        <v>0</v>
      </c>
      <c r="I1204" s="12">
        <v>992</v>
      </c>
      <c r="J1204" s="12">
        <f>SUMIF(order_item!B:B,A1204,order_item!E:E)</f>
        <v>992</v>
      </c>
      <c r="K1204" s="28" t="str">
        <f>_xlfn.XLOOKUP(B1204,customers!A:A,customers!D:D)</f>
        <v>Regular</v>
      </c>
    </row>
    <row r="1205" spans="1:11" x14ac:dyDescent="0.25">
      <c r="A1205" s="5" t="s">
        <v>3093</v>
      </c>
      <c r="B1205" s="5" t="s">
        <v>846</v>
      </c>
      <c r="C1205" s="5" t="s">
        <v>7309</v>
      </c>
      <c r="D1205" s="1">
        <v>45589</v>
      </c>
      <c r="E1205" s="17">
        <v>0.91041666666666676</v>
      </c>
      <c r="F1205" s="5" t="s">
        <v>7305</v>
      </c>
      <c r="G1205" s="12">
        <v>248</v>
      </c>
      <c r="H1205" s="12">
        <v>0</v>
      </c>
      <c r="I1205" s="12">
        <v>248</v>
      </c>
      <c r="J1205" s="12">
        <f>SUMIF(order_item!B:B,A1205,order_item!E:E)</f>
        <v>248</v>
      </c>
      <c r="K1205" s="28" t="str">
        <f>_xlfn.XLOOKUP(B1205,customers!A:A,customers!D:D)</f>
        <v>Regular</v>
      </c>
    </row>
    <row r="1206" spans="1:11" x14ac:dyDescent="0.25">
      <c r="A1206" s="5" t="s">
        <v>3089</v>
      </c>
      <c r="B1206" s="5" t="s">
        <v>522</v>
      </c>
      <c r="C1206" s="5" t="s">
        <v>7309</v>
      </c>
      <c r="D1206" s="1">
        <v>45486</v>
      </c>
      <c r="E1206" s="17">
        <v>0.68402777777777779</v>
      </c>
      <c r="F1206" s="5" t="s">
        <v>7305</v>
      </c>
      <c r="G1206" s="12">
        <v>267</v>
      </c>
      <c r="H1206" s="12">
        <v>13.35</v>
      </c>
      <c r="I1206" s="12">
        <v>253.65</v>
      </c>
      <c r="J1206" s="12">
        <f>SUMIF(order_item!B:B,A1206,order_item!E:E)</f>
        <v>267</v>
      </c>
      <c r="K1206" s="28" t="str">
        <f>_xlfn.XLOOKUP(B1206,customers!A:A,customers!D:D)</f>
        <v>New</v>
      </c>
    </row>
    <row r="1207" spans="1:11" x14ac:dyDescent="0.25">
      <c r="A1207" s="5" t="s">
        <v>3084</v>
      </c>
      <c r="B1207" s="5" t="s">
        <v>559</v>
      </c>
      <c r="C1207" s="5" t="s">
        <v>7308</v>
      </c>
      <c r="D1207" s="1">
        <v>45428</v>
      </c>
      <c r="E1207" s="17">
        <v>2.6388888888888889E-2</v>
      </c>
      <c r="F1207" s="5" t="s">
        <v>7305</v>
      </c>
      <c r="G1207" s="12">
        <v>832</v>
      </c>
      <c r="H1207" s="12">
        <v>0</v>
      </c>
      <c r="I1207" s="12">
        <v>832</v>
      </c>
      <c r="J1207" s="12">
        <f>SUMIF(order_item!B:B,A1207,order_item!E:E)</f>
        <v>832</v>
      </c>
      <c r="K1207" s="28" t="str">
        <f>_xlfn.XLOOKUP(B1207,customers!A:A,customers!D:D)</f>
        <v>Premium</v>
      </c>
    </row>
    <row r="1208" spans="1:11" x14ac:dyDescent="0.25">
      <c r="A1208" s="5" t="s">
        <v>3081</v>
      </c>
      <c r="B1208" s="5" t="s">
        <v>135</v>
      </c>
      <c r="C1208" s="5" t="s">
        <v>7309</v>
      </c>
      <c r="D1208" s="1">
        <v>45668</v>
      </c>
      <c r="E1208" s="17">
        <v>0.77083333333333337</v>
      </c>
      <c r="F1208" s="5" t="s">
        <v>7305</v>
      </c>
      <c r="G1208" s="12">
        <v>436</v>
      </c>
      <c r="H1208" s="12">
        <v>0</v>
      </c>
      <c r="I1208" s="12">
        <v>436</v>
      </c>
      <c r="J1208" s="12">
        <f>SUMIF(order_item!B:B,A1208,order_item!E:E)</f>
        <v>436</v>
      </c>
      <c r="K1208" s="28" t="str">
        <f>_xlfn.XLOOKUP(B1208,customers!A:A,customers!D:D)</f>
        <v>Regular</v>
      </c>
    </row>
    <row r="1209" spans="1:11" x14ac:dyDescent="0.25">
      <c r="A1209" s="5" t="s">
        <v>3077</v>
      </c>
      <c r="B1209" s="5" t="s">
        <v>817</v>
      </c>
      <c r="C1209" s="5" t="s">
        <v>7308</v>
      </c>
      <c r="D1209" s="1">
        <v>45590</v>
      </c>
      <c r="E1209" s="17">
        <v>0.82847222222222217</v>
      </c>
      <c r="F1209" s="5" t="s">
        <v>7305</v>
      </c>
      <c r="G1209" s="12">
        <v>712</v>
      </c>
      <c r="H1209" s="12">
        <v>0</v>
      </c>
      <c r="I1209" s="12">
        <v>712</v>
      </c>
      <c r="J1209" s="12">
        <f>SUMIF(order_item!B:B,A1209,order_item!E:E)</f>
        <v>712</v>
      </c>
      <c r="K1209" s="28" t="str">
        <f>_xlfn.XLOOKUP(B1209,customers!A:A,customers!D:D)</f>
        <v>New</v>
      </c>
    </row>
    <row r="1210" spans="1:11" x14ac:dyDescent="0.25">
      <c r="A1210" s="5" t="s">
        <v>3073</v>
      </c>
      <c r="B1210" s="5" t="s">
        <v>323</v>
      </c>
      <c r="C1210" s="5" t="s">
        <v>7306</v>
      </c>
      <c r="D1210" s="1">
        <v>45626</v>
      </c>
      <c r="E1210" s="17">
        <v>0.45763888888888887</v>
      </c>
      <c r="F1210" s="5" t="s">
        <v>7305</v>
      </c>
      <c r="G1210" s="12">
        <v>635</v>
      </c>
      <c r="H1210" s="12">
        <v>0</v>
      </c>
      <c r="I1210" s="12">
        <v>635</v>
      </c>
      <c r="J1210" s="12">
        <f>SUMIF(order_item!B:B,A1210,order_item!E:E)</f>
        <v>635</v>
      </c>
      <c r="K1210" s="28" t="str">
        <f>_xlfn.XLOOKUP(B1210,customers!A:A,customers!D:D)</f>
        <v>Regular</v>
      </c>
    </row>
    <row r="1211" spans="1:11" x14ac:dyDescent="0.25">
      <c r="A1211" s="5" t="s">
        <v>3069</v>
      </c>
      <c r="B1211" s="5" t="s">
        <v>753</v>
      </c>
      <c r="C1211" s="5" t="s">
        <v>7309</v>
      </c>
      <c r="D1211" s="1">
        <v>45516</v>
      </c>
      <c r="E1211" s="17">
        <v>0.97222222222222221</v>
      </c>
      <c r="F1211" s="5" t="s">
        <v>7305</v>
      </c>
      <c r="G1211" s="12">
        <v>533</v>
      </c>
      <c r="H1211" s="12">
        <v>0</v>
      </c>
      <c r="I1211" s="12">
        <v>533</v>
      </c>
      <c r="J1211" s="12">
        <f>SUMIF(order_item!B:B,A1211,order_item!E:E)</f>
        <v>533</v>
      </c>
      <c r="K1211" s="28" t="str">
        <f>_xlfn.XLOOKUP(B1211,customers!A:A,customers!D:D)</f>
        <v>Regular</v>
      </c>
    </row>
    <row r="1212" spans="1:11" x14ac:dyDescent="0.25">
      <c r="A1212" s="5" t="s">
        <v>3066</v>
      </c>
      <c r="B1212" s="5" t="s">
        <v>836</v>
      </c>
      <c r="C1212" s="5" t="s">
        <v>7306</v>
      </c>
      <c r="D1212" s="1">
        <v>45415</v>
      </c>
      <c r="E1212" s="17">
        <v>0.79027777777777775</v>
      </c>
      <c r="F1212" s="5" t="s">
        <v>7305</v>
      </c>
      <c r="G1212" s="12">
        <v>317</v>
      </c>
      <c r="H1212" s="12">
        <v>31.7</v>
      </c>
      <c r="I1212" s="12">
        <v>285.3</v>
      </c>
      <c r="J1212" s="12">
        <f>SUMIF(order_item!B:B,A1212,order_item!E:E)</f>
        <v>317</v>
      </c>
      <c r="K1212" s="28" t="str">
        <f>_xlfn.XLOOKUP(B1212,customers!A:A,customers!D:D)</f>
        <v>Regular</v>
      </c>
    </row>
    <row r="1213" spans="1:11" x14ac:dyDescent="0.25">
      <c r="A1213" s="5" t="s">
        <v>3061</v>
      </c>
      <c r="B1213" s="5" t="s">
        <v>558</v>
      </c>
      <c r="C1213" s="5" t="s">
        <v>7308</v>
      </c>
      <c r="D1213" s="1">
        <v>45620</v>
      </c>
      <c r="E1213" s="17">
        <v>0.72152777777777777</v>
      </c>
      <c r="F1213" s="5" t="s">
        <v>7305</v>
      </c>
      <c r="G1213" s="12">
        <v>1299</v>
      </c>
      <c r="H1213" s="12">
        <v>0</v>
      </c>
      <c r="I1213" s="12">
        <v>1299</v>
      </c>
      <c r="J1213" s="12">
        <f>SUMIF(order_item!B:B,A1213,order_item!E:E)</f>
        <v>1299</v>
      </c>
      <c r="K1213" s="28" t="str">
        <f>_xlfn.XLOOKUP(B1213,customers!A:A,customers!D:D)</f>
        <v>Regular</v>
      </c>
    </row>
    <row r="1214" spans="1:11" x14ac:dyDescent="0.25">
      <c r="A1214" s="5" t="s">
        <v>3058</v>
      </c>
      <c r="B1214" s="5" t="s">
        <v>848</v>
      </c>
      <c r="C1214" s="5" t="s">
        <v>7309</v>
      </c>
      <c r="D1214" s="1">
        <v>45397</v>
      </c>
      <c r="E1214" s="17">
        <v>0.8569444444444444</v>
      </c>
      <c r="F1214" s="5" t="s">
        <v>7305</v>
      </c>
      <c r="G1214" s="12">
        <v>337</v>
      </c>
      <c r="H1214" s="12">
        <v>0</v>
      </c>
      <c r="I1214" s="12">
        <v>337</v>
      </c>
      <c r="J1214" s="12">
        <f>SUMIF(order_item!B:B,A1214,order_item!E:E)</f>
        <v>337</v>
      </c>
      <c r="K1214" s="28" t="str">
        <f>_xlfn.XLOOKUP(B1214,customers!A:A,customers!D:D)</f>
        <v>Regular</v>
      </c>
    </row>
    <row r="1215" spans="1:11" x14ac:dyDescent="0.25">
      <c r="A1215" s="5" t="s">
        <v>3053</v>
      </c>
      <c r="B1215" s="5" t="s">
        <v>844</v>
      </c>
      <c r="C1215" s="5" t="s">
        <v>7306</v>
      </c>
      <c r="D1215" s="1">
        <v>45716</v>
      </c>
      <c r="E1215" s="17">
        <v>0.66597222222222219</v>
      </c>
      <c r="F1215" s="5" t="s">
        <v>7305</v>
      </c>
      <c r="G1215" s="12">
        <v>544</v>
      </c>
      <c r="H1215" s="12">
        <v>0</v>
      </c>
      <c r="I1215" s="12">
        <v>544</v>
      </c>
      <c r="J1215" s="12">
        <f>SUMIF(order_item!B:B,A1215,order_item!E:E)</f>
        <v>544</v>
      </c>
      <c r="K1215" s="28" t="str">
        <f>_xlfn.XLOOKUP(B1215,customers!A:A,customers!D:D)</f>
        <v>Regular</v>
      </c>
    </row>
    <row r="1216" spans="1:11" x14ac:dyDescent="0.25">
      <c r="A1216" s="5" t="s">
        <v>3049</v>
      </c>
      <c r="B1216" s="5" t="s">
        <v>345</v>
      </c>
      <c r="C1216" s="5" t="s">
        <v>7309</v>
      </c>
      <c r="D1216" s="1">
        <v>45634</v>
      </c>
      <c r="E1216" s="17">
        <v>0.68611111111111101</v>
      </c>
      <c r="F1216" s="5" t="s">
        <v>7305</v>
      </c>
      <c r="G1216" s="12">
        <v>556</v>
      </c>
      <c r="H1216" s="12">
        <v>55.6</v>
      </c>
      <c r="I1216" s="12">
        <v>500.4</v>
      </c>
      <c r="J1216" s="12">
        <f>SUMIF(order_item!B:B,A1216,order_item!E:E)</f>
        <v>556</v>
      </c>
      <c r="K1216" s="28" t="str">
        <f>_xlfn.XLOOKUP(B1216,customers!A:A,customers!D:D)</f>
        <v>Regular</v>
      </c>
    </row>
    <row r="1217" spans="1:11" x14ac:dyDescent="0.25">
      <c r="A1217" s="5" t="s">
        <v>3045</v>
      </c>
      <c r="B1217" s="5" t="s">
        <v>603</v>
      </c>
      <c r="C1217" s="5" t="s">
        <v>7309</v>
      </c>
      <c r="D1217" s="1">
        <v>45634</v>
      </c>
      <c r="E1217" s="17">
        <v>0.78819444444444453</v>
      </c>
      <c r="F1217" s="5" t="s">
        <v>7305</v>
      </c>
      <c r="G1217" s="12">
        <v>1120</v>
      </c>
      <c r="H1217" s="12">
        <v>112</v>
      </c>
      <c r="I1217" s="12">
        <v>1008</v>
      </c>
      <c r="J1217" s="12">
        <f>SUMIF(order_item!B:B,A1217,order_item!E:E)</f>
        <v>1120</v>
      </c>
      <c r="K1217" s="28" t="str">
        <f>_xlfn.XLOOKUP(B1217,customers!A:A,customers!D:D)</f>
        <v>Regular</v>
      </c>
    </row>
    <row r="1218" spans="1:11" x14ac:dyDescent="0.25">
      <c r="A1218" s="5" t="s">
        <v>3040</v>
      </c>
      <c r="B1218" s="5" t="s">
        <v>606</v>
      </c>
      <c r="C1218" s="5" t="s">
        <v>7306</v>
      </c>
      <c r="D1218" s="1">
        <v>45436</v>
      </c>
      <c r="E1218" s="17">
        <v>0.78888888888888886</v>
      </c>
      <c r="F1218" s="5" t="s">
        <v>7305</v>
      </c>
      <c r="G1218" s="12">
        <v>773</v>
      </c>
      <c r="H1218" s="12">
        <v>0</v>
      </c>
      <c r="I1218" s="12">
        <v>773</v>
      </c>
      <c r="J1218" s="12">
        <f>SUMIF(order_item!B:B,A1218,order_item!E:E)</f>
        <v>773</v>
      </c>
      <c r="K1218" s="28" t="str">
        <f>_xlfn.XLOOKUP(B1218,customers!A:A,customers!D:D)</f>
        <v>Regular</v>
      </c>
    </row>
    <row r="1219" spans="1:11" x14ac:dyDescent="0.25">
      <c r="A1219" s="5" t="s">
        <v>3038</v>
      </c>
      <c r="B1219" s="5" t="s">
        <v>99</v>
      </c>
      <c r="C1219" s="5" t="s">
        <v>7306</v>
      </c>
      <c r="D1219" s="1">
        <v>45603</v>
      </c>
      <c r="E1219" s="17">
        <v>0.74513888888888891</v>
      </c>
      <c r="F1219" s="5" t="s">
        <v>7305</v>
      </c>
      <c r="G1219" s="12">
        <v>238</v>
      </c>
      <c r="H1219" s="12">
        <v>0</v>
      </c>
      <c r="I1219" s="12">
        <v>238</v>
      </c>
      <c r="J1219" s="12">
        <f>SUMIF(order_item!B:B,A1219,order_item!E:E)</f>
        <v>238</v>
      </c>
      <c r="K1219" s="28" t="str">
        <f>_xlfn.XLOOKUP(B1219,customers!A:A,customers!D:D)</f>
        <v>New</v>
      </c>
    </row>
    <row r="1220" spans="1:11" x14ac:dyDescent="0.25">
      <c r="A1220" s="5" t="s">
        <v>3035</v>
      </c>
      <c r="B1220" s="5" t="s">
        <v>599</v>
      </c>
      <c r="C1220" s="5" t="s">
        <v>7309</v>
      </c>
      <c r="D1220" s="1">
        <v>45504</v>
      </c>
      <c r="E1220" s="17">
        <v>0.88750000000000007</v>
      </c>
      <c r="F1220" s="5" t="s">
        <v>7305</v>
      </c>
      <c r="G1220" s="12">
        <v>456</v>
      </c>
      <c r="H1220" s="12">
        <v>0</v>
      </c>
      <c r="I1220" s="12">
        <v>456</v>
      </c>
      <c r="J1220" s="12">
        <f>SUMIF(order_item!B:B,A1220,order_item!E:E)</f>
        <v>456</v>
      </c>
      <c r="K1220" s="28" t="str">
        <f>_xlfn.XLOOKUP(B1220,customers!A:A,customers!D:D)</f>
        <v>Regular</v>
      </c>
    </row>
    <row r="1221" spans="1:11" x14ac:dyDescent="0.25">
      <c r="A1221" s="5" t="s">
        <v>3032</v>
      </c>
      <c r="B1221" s="5" t="s">
        <v>267</v>
      </c>
      <c r="C1221" s="5" t="s">
        <v>7308</v>
      </c>
      <c r="D1221" s="1">
        <v>45561</v>
      </c>
      <c r="E1221" s="17">
        <v>0.78611111111111109</v>
      </c>
      <c r="F1221" s="5" t="s">
        <v>7305</v>
      </c>
      <c r="G1221" s="12">
        <v>534</v>
      </c>
      <c r="H1221" s="12">
        <v>26.7</v>
      </c>
      <c r="I1221" s="12">
        <v>507.3</v>
      </c>
      <c r="J1221" s="12">
        <f>SUMIF(order_item!B:B,A1221,order_item!E:E)</f>
        <v>534</v>
      </c>
      <c r="K1221" s="28" t="str">
        <f>_xlfn.XLOOKUP(B1221,customers!A:A,customers!D:D)</f>
        <v>Regular</v>
      </c>
    </row>
    <row r="1222" spans="1:11" x14ac:dyDescent="0.25">
      <c r="A1222" s="5" t="s">
        <v>3029</v>
      </c>
      <c r="B1222" s="5" t="s">
        <v>538</v>
      </c>
      <c r="C1222" s="5" t="s">
        <v>7306</v>
      </c>
      <c r="D1222" s="1">
        <v>45453</v>
      </c>
      <c r="E1222" s="17">
        <v>0.90069444444444446</v>
      </c>
      <c r="F1222" s="5" t="s">
        <v>7305</v>
      </c>
      <c r="G1222" s="12">
        <v>714</v>
      </c>
      <c r="H1222" s="12">
        <v>35.700000000000003</v>
      </c>
      <c r="I1222" s="12">
        <v>678.3</v>
      </c>
      <c r="J1222" s="12">
        <f>SUMIF(order_item!B:B,A1222,order_item!E:E)</f>
        <v>714</v>
      </c>
      <c r="K1222" s="28" t="str">
        <f>_xlfn.XLOOKUP(B1222,customers!A:A,customers!D:D)</f>
        <v>Regular</v>
      </c>
    </row>
    <row r="1223" spans="1:11" x14ac:dyDescent="0.25">
      <c r="A1223" s="5" t="s">
        <v>3025</v>
      </c>
      <c r="B1223" s="5" t="s">
        <v>116</v>
      </c>
      <c r="C1223" s="5" t="s">
        <v>7308</v>
      </c>
      <c r="D1223" s="1">
        <v>45719</v>
      </c>
      <c r="E1223" s="17">
        <v>0.97152777777777777</v>
      </c>
      <c r="F1223" s="5" t="s">
        <v>7305</v>
      </c>
      <c r="G1223" s="12">
        <v>614</v>
      </c>
      <c r="H1223" s="12">
        <v>0</v>
      </c>
      <c r="I1223" s="12">
        <v>614</v>
      </c>
      <c r="J1223" s="12">
        <f>SUMIF(order_item!B:B,A1223,order_item!E:E)</f>
        <v>614</v>
      </c>
      <c r="K1223" s="28" t="str">
        <f>_xlfn.XLOOKUP(B1223,customers!A:A,customers!D:D)</f>
        <v>Regular</v>
      </c>
    </row>
    <row r="1224" spans="1:11" x14ac:dyDescent="0.25">
      <c r="A1224" s="5" t="s">
        <v>3020</v>
      </c>
      <c r="B1224" s="5" t="s">
        <v>728</v>
      </c>
      <c r="C1224" s="5" t="s">
        <v>7306</v>
      </c>
      <c r="D1224" s="1">
        <v>45415</v>
      </c>
      <c r="E1224" s="17">
        <v>4.2361111111111106E-2</v>
      </c>
      <c r="F1224" s="5" t="s">
        <v>7305</v>
      </c>
      <c r="G1224" s="12">
        <v>691</v>
      </c>
      <c r="H1224" s="12">
        <v>0</v>
      </c>
      <c r="I1224" s="12">
        <v>691</v>
      </c>
      <c r="J1224" s="12">
        <f>SUMIF(order_item!B:B,A1224,order_item!E:E)</f>
        <v>691</v>
      </c>
      <c r="K1224" s="28" t="str">
        <f>_xlfn.XLOOKUP(B1224,customers!A:A,customers!D:D)</f>
        <v>Regular</v>
      </c>
    </row>
    <row r="1225" spans="1:11" x14ac:dyDescent="0.25">
      <c r="A1225" s="5" t="s">
        <v>3017</v>
      </c>
      <c r="B1225" s="5" t="s">
        <v>114</v>
      </c>
      <c r="C1225" s="5" t="s">
        <v>7308</v>
      </c>
      <c r="D1225" s="1">
        <v>45704</v>
      </c>
      <c r="E1225" s="17">
        <v>0.86249999999999993</v>
      </c>
      <c r="F1225" s="5" t="s">
        <v>7305</v>
      </c>
      <c r="G1225" s="12">
        <v>526</v>
      </c>
      <c r="H1225" s="12">
        <v>0</v>
      </c>
      <c r="I1225" s="12">
        <v>526</v>
      </c>
      <c r="J1225" s="12">
        <f>SUMIF(order_item!B:B,A1225,order_item!E:E)</f>
        <v>526</v>
      </c>
      <c r="K1225" s="28" t="str">
        <f>_xlfn.XLOOKUP(B1225,customers!A:A,customers!D:D)</f>
        <v>New</v>
      </c>
    </row>
    <row r="1226" spans="1:11" x14ac:dyDescent="0.25">
      <c r="A1226" s="5" t="s">
        <v>3013</v>
      </c>
      <c r="B1226" s="5" t="s">
        <v>400</v>
      </c>
      <c r="C1226" s="5" t="s">
        <v>7306</v>
      </c>
      <c r="D1226" s="1">
        <v>45605</v>
      </c>
      <c r="E1226" s="17">
        <v>0.75347222222222221</v>
      </c>
      <c r="F1226" s="5" t="s">
        <v>7305</v>
      </c>
      <c r="G1226" s="12">
        <v>475</v>
      </c>
      <c r="H1226" s="12">
        <v>47.5</v>
      </c>
      <c r="I1226" s="12">
        <v>427.5</v>
      </c>
      <c r="J1226" s="12">
        <f>SUMIF(order_item!B:B,A1226,order_item!E:E)</f>
        <v>475</v>
      </c>
      <c r="K1226" s="28" t="str">
        <f>_xlfn.XLOOKUP(B1226,customers!A:A,customers!D:D)</f>
        <v>New</v>
      </c>
    </row>
    <row r="1227" spans="1:11" x14ac:dyDescent="0.25">
      <c r="A1227" s="5" t="s">
        <v>3010</v>
      </c>
      <c r="B1227" s="5" t="s">
        <v>703</v>
      </c>
      <c r="C1227" s="5" t="s">
        <v>7306</v>
      </c>
      <c r="D1227" s="1">
        <v>45390</v>
      </c>
      <c r="E1227" s="17">
        <v>0.44166666666666665</v>
      </c>
      <c r="F1227" s="5" t="s">
        <v>7305</v>
      </c>
      <c r="G1227" s="12">
        <v>436</v>
      </c>
      <c r="H1227" s="12">
        <v>43.6</v>
      </c>
      <c r="I1227" s="12">
        <v>392.4</v>
      </c>
      <c r="J1227" s="12">
        <f>SUMIF(order_item!B:B,A1227,order_item!E:E)</f>
        <v>436</v>
      </c>
      <c r="K1227" s="28" t="str">
        <f>_xlfn.XLOOKUP(B1227,customers!A:A,customers!D:D)</f>
        <v>New</v>
      </c>
    </row>
    <row r="1228" spans="1:11" x14ac:dyDescent="0.25">
      <c r="A1228" s="5" t="s">
        <v>3005</v>
      </c>
      <c r="B1228" s="5" t="s">
        <v>449</v>
      </c>
      <c r="C1228" s="5" t="s">
        <v>7309</v>
      </c>
      <c r="D1228" s="1">
        <v>45527</v>
      </c>
      <c r="E1228" s="17">
        <v>0.79305555555555562</v>
      </c>
      <c r="F1228" s="5" t="s">
        <v>7305</v>
      </c>
      <c r="G1228" s="12">
        <v>933</v>
      </c>
      <c r="H1228" s="12">
        <v>0</v>
      </c>
      <c r="I1228" s="12">
        <v>933</v>
      </c>
      <c r="J1228" s="12">
        <f>SUMIF(order_item!B:B,A1228,order_item!E:E)</f>
        <v>933</v>
      </c>
      <c r="K1228" s="28" t="str">
        <f>_xlfn.XLOOKUP(B1228,customers!A:A,customers!D:D)</f>
        <v>Regular</v>
      </c>
    </row>
    <row r="1229" spans="1:11" x14ac:dyDescent="0.25">
      <c r="A1229" s="5" t="s">
        <v>3001</v>
      </c>
      <c r="B1229" s="5" t="s">
        <v>257</v>
      </c>
      <c r="C1229" s="5" t="s">
        <v>7306</v>
      </c>
      <c r="D1229" s="1">
        <v>45410</v>
      </c>
      <c r="E1229" s="17">
        <v>0.90972222222222221</v>
      </c>
      <c r="F1229" s="5" t="s">
        <v>7305</v>
      </c>
      <c r="G1229" s="12">
        <v>416</v>
      </c>
      <c r="H1229" s="12">
        <v>20.8</v>
      </c>
      <c r="I1229" s="12">
        <v>395.2</v>
      </c>
      <c r="J1229" s="12">
        <f>SUMIF(order_item!B:B,A1229,order_item!E:E)</f>
        <v>416</v>
      </c>
      <c r="K1229" s="28" t="str">
        <f>_xlfn.XLOOKUP(B1229,customers!A:A,customers!D:D)</f>
        <v>Regular</v>
      </c>
    </row>
    <row r="1230" spans="1:11" x14ac:dyDescent="0.25">
      <c r="A1230" s="5" t="s">
        <v>2998</v>
      </c>
      <c r="B1230" s="5" t="s">
        <v>335</v>
      </c>
      <c r="C1230" s="5" t="s">
        <v>7309</v>
      </c>
      <c r="D1230" s="1">
        <v>45466</v>
      </c>
      <c r="E1230" s="17">
        <v>0.8354166666666667</v>
      </c>
      <c r="F1230" s="5" t="s">
        <v>7305</v>
      </c>
      <c r="G1230" s="12">
        <v>884</v>
      </c>
      <c r="H1230" s="12">
        <v>0</v>
      </c>
      <c r="I1230" s="12">
        <v>884</v>
      </c>
      <c r="J1230" s="12">
        <f>SUMIF(order_item!B:B,A1230,order_item!E:E)</f>
        <v>884</v>
      </c>
      <c r="K1230" s="28" t="str">
        <f>_xlfn.XLOOKUP(B1230,customers!A:A,customers!D:D)</f>
        <v>Regular</v>
      </c>
    </row>
    <row r="1231" spans="1:11" x14ac:dyDescent="0.25">
      <c r="A1231" s="5" t="s">
        <v>2994</v>
      </c>
      <c r="B1231" s="5" t="s">
        <v>638</v>
      </c>
      <c r="C1231" s="5" t="s">
        <v>7308</v>
      </c>
      <c r="D1231" s="1">
        <v>45505</v>
      </c>
      <c r="E1231" s="17">
        <v>0.44513888888888892</v>
      </c>
      <c r="F1231" s="5" t="s">
        <v>7305</v>
      </c>
      <c r="G1231" s="12">
        <v>327</v>
      </c>
      <c r="H1231" s="12">
        <v>0</v>
      </c>
      <c r="I1231" s="12">
        <v>327</v>
      </c>
      <c r="J1231" s="12">
        <f>SUMIF(order_item!B:B,A1231,order_item!E:E)</f>
        <v>327</v>
      </c>
      <c r="K1231" s="28" t="str">
        <f>_xlfn.XLOOKUP(B1231,customers!A:A,customers!D:D)</f>
        <v>New</v>
      </c>
    </row>
    <row r="1232" spans="1:11" x14ac:dyDescent="0.25">
      <c r="A1232" s="5" t="s">
        <v>2992</v>
      </c>
      <c r="B1232" s="5" t="s">
        <v>705</v>
      </c>
      <c r="C1232" s="5" t="s">
        <v>7309</v>
      </c>
      <c r="D1232" s="1">
        <v>45613</v>
      </c>
      <c r="E1232" s="17">
        <v>0.99861111111111101</v>
      </c>
      <c r="F1232" s="5" t="s">
        <v>7305</v>
      </c>
      <c r="G1232" s="12">
        <v>198</v>
      </c>
      <c r="H1232" s="12">
        <v>19.8</v>
      </c>
      <c r="I1232" s="12">
        <v>178.2</v>
      </c>
      <c r="J1232" s="12">
        <f>SUMIF(order_item!B:B,A1232,order_item!E:E)</f>
        <v>198</v>
      </c>
      <c r="K1232" s="28" t="str">
        <f>_xlfn.XLOOKUP(B1232,customers!A:A,customers!D:D)</f>
        <v>New</v>
      </c>
    </row>
    <row r="1233" spans="1:11" x14ac:dyDescent="0.25">
      <c r="A1233" s="5" t="s">
        <v>2989</v>
      </c>
      <c r="B1233" s="5" t="s">
        <v>750</v>
      </c>
      <c r="C1233" s="5" t="s">
        <v>7306</v>
      </c>
      <c r="D1233" s="1">
        <v>45550</v>
      </c>
      <c r="E1233" s="17">
        <v>0.72083333333333333</v>
      </c>
      <c r="F1233" s="5" t="s">
        <v>7305</v>
      </c>
      <c r="G1233" s="12">
        <v>695</v>
      </c>
      <c r="H1233" s="12">
        <v>0</v>
      </c>
      <c r="I1233" s="12">
        <v>695</v>
      </c>
      <c r="J1233" s="12">
        <f>SUMIF(order_item!B:B,A1233,order_item!E:E)</f>
        <v>695</v>
      </c>
      <c r="K1233" s="28" t="str">
        <f>_xlfn.XLOOKUP(B1233,customers!A:A,customers!D:D)</f>
        <v>Premium</v>
      </c>
    </row>
    <row r="1234" spans="1:11" x14ac:dyDescent="0.25">
      <c r="A1234" s="5" t="s">
        <v>2986</v>
      </c>
      <c r="B1234" s="5" t="s">
        <v>147</v>
      </c>
      <c r="C1234" s="5" t="s">
        <v>7309</v>
      </c>
      <c r="D1234" s="1">
        <v>45638</v>
      </c>
      <c r="E1234" s="17">
        <v>0.61111111111111105</v>
      </c>
      <c r="F1234" s="5" t="s">
        <v>7305</v>
      </c>
      <c r="G1234" s="12">
        <v>544</v>
      </c>
      <c r="H1234" s="12">
        <v>0</v>
      </c>
      <c r="I1234" s="12">
        <v>544</v>
      </c>
      <c r="J1234" s="12">
        <f>SUMIF(order_item!B:B,A1234,order_item!E:E)</f>
        <v>544</v>
      </c>
      <c r="K1234" s="28" t="str">
        <f>_xlfn.XLOOKUP(B1234,customers!A:A,customers!D:D)</f>
        <v>Regular</v>
      </c>
    </row>
    <row r="1235" spans="1:11" x14ac:dyDescent="0.25">
      <c r="A1235" s="5" t="s">
        <v>2983</v>
      </c>
      <c r="B1235" s="5" t="s">
        <v>685</v>
      </c>
      <c r="C1235" s="5" t="s">
        <v>7309</v>
      </c>
      <c r="D1235" s="1">
        <v>45594</v>
      </c>
      <c r="E1235" s="17">
        <v>0.70833333333333337</v>
      </c>
      <c r="F1235" s="5" t="s">
        <v>7305</v>
      </c>
      <c r="G1235" s="12">
        <v>307</v>
      </c>
      <c r="H1235" s="12">
        <v>0</v>
      </c>
      <c r="I1235" s="12">
        <v>307</v>
      </c>
      <c r="J1235" s="12">
        <f>SUMIF(order_item!B:B,A1235,order_item!E:E)</f>
        <v>307</v>
      </c>
      <c r="K1235" s="28" t="str">
        <f>_xlfn.XLOOKUP(B1235,customers!A:A,customers!D:D)</f>
        <v>Regular</v>
      </c>
    </row>
    <row r="1236" spans="1:11" x14ac:dyDescent="0.25">
      <c r="A1236" s="5" t="s">
        <v>2979</v>
      </c>
      <c r="B1236" s="5" t="s">
        <v>432</v>
      </c>
      <c r="C1236" s="5" t="s">
        <v>7309</v>
      </c>
      <c r="D1236" s="1">
        <v>45567</v>
      </c>
      <c r="E1236" s="17">
        <v>0.84305555555555556</v>
      </c>
      <c r="F1236" s="5" t="s">
        <v>7305</v>
      </c>
      <c r="G1236" s="12">
        <v>1042</v>
      </c>
      <c r="H1236" s="12">
        <v>0</v>
      </c>
      <c r="I1236" s="12">
        <v>1042</v>
      </c>
      <c r="J1236" s="12">
        <f>SUMIF(order_item!B:B,A1236,order_item!E:E)</f>
        <v>1042</v>
      </c>
      <c r="K1236" s="28" t="str">
        <f>_xlfn.XLOOKUP(B1236,customers!A:A,customers!D:D)</f>
        <v>Regular</v>
      </c>
    </row>
    <row r="1237" spans="1:11" x14ac:dyDescent="0.25">
      <c r="A1237" s="5" t="s">
        <v>2976</v>
      </c>
      <c r="B1237" s="5" t="s">
        <v>752</v>
      </c>
      <c r="C1237" s="5" t="s">
        <v>7309</v>
      </c>
      <c r="D1237" s="1">
        <v>45617</v>
      </c>
      <c r="E1237" s="17">
        <v>0.39999999999999997</v>
      </c>
      <c r="F1237" s="5" t="s">
        <v>7307</v>
      </c>
      <c r="G1237" s="12">
        <v>586</v>
      </c>
      <c r="H1237" s="12">
        <v>0</v>
      </c>
      <c r="I1237" s="12">
        <v>0</v>
      </c>
      <c r="J1237" s="12">
        <f>SUMIF(order_item!B:B,A1237,order_item!E:E)</f>
        <v>586</v>
      </c>
      <c r="K1237" s="28" t="str">
        <f>_xlfn.XLOOKUP(B1237,customers!A:A,customers!D:D)</f>
        <v>Regular</v>
      </c>
    </row>
    <row r="1238" spans="1:11" x14ac:dyDescent="0.25">
      <c r="A1238" s="5" t="s">
        <v>2973</v>
      </c>
      <c r="B1238" s="5" t="s">
        <v>292</v>
      </c>
      <c r="C1238" s="5" t="s">
        <v>7308</v>
      </c>
      <c r="D1238" s="1">
        <v>45480</v>
      </c>
      <c r="E1238" s="17">
        <v>0.6069444444444444</v>
      </c>
      <c r="F1238" s="5" t="s">
        <v>7305</v>
      </c>
      <c r="G1238" s="12">
        <v>277</v>
      </c>
      <c r="H1238" s="12">
        <v>0</v>
      </c>
      <c r="I1238" s="12">
        <v>277</v>
      </c>
      <c r="J1238" s="12">
        <f>SUMIF(order_item!B:B,A1238,order_item!E:E)</f>
        <v>277</v>
      </c>
      <c r="K1238" s="28" t="str">
        <f>_xlfn.XLOOKUP(B1238,customers!A:A,customers!D:D)</f>
        <v>Premium</v>
      </c>
    </row>
    <row r="1239" spans="1:11" x14ac:dyDescent="0.25">
      <c r="A1239" s="5" t="s">
        <v>2970</v>
      </c>
      <c r="B1239" s="5" t="s">
        <v>602</v>
      </c>
      <c r="C1239" s="5" t="s">
        <v>7306</v>
      </c>
      <c r="D1239" s="1">
        <v>45598</v>
      </c>
      <c r="E1239" s="17">
        <v>0.70000000000000007</v>
      </c>
      <c r="F1239" s="5" t="s">
        <v>7305</v>
      </c>
      <c r="G1239" s="12">
        <v>763</v>
      </c>
      <c r="H1239" s="12">
        <v>0</v>
      </c>
      <c r="I1239" s="12">
        <v>763</v>
      </c>
      <c r="J1239" s="12">
        <f>SUMIF(order_item!B:B,A1239,order_item!E:E)</f>
        <v>763</v>
      </c>
      <c r="K1239" s="28" t="str">
        <f>_xlfn.XLOOKUP(B1239,customers!A:A,customers!D:D)</f>
        <v>Regular</v>
      </c>
    </row>
    <row r="1240" spans="1:11" x14ac:dyDescent="0.25">
      <c r="A1240" s="5" t="s">
        <v>2967</v>
      </c>
      <c r="B1240" s="5" t="s">
        <v>619</v>
      </c>
      <c r="C1240" s="5" t="s">
        <v>7308</v>
      </c>
      <c r="D1240" s="1">
        <v>45465</v>
      </c>
      <c r="E1240" s="17">
        <v>0.90763888888888899</v>
      </c>
      <c r="F1240" s="5" t="s">
        <v>7305</v>
      </c>
      <c r="G1240" s="12">
        <v>208</v>
      </c>
      <c r="H1240" s="12">
        <v>0</v>
      </c>
      <c r="I1240" s="12">
        <v>208</v>
      </c>
      <c r="J1240" s="12">
        <f>SUMIF(order_item!B:B,A1240,order_item!E:E)</f>
        <v>208</v>
      </c>
      <c r="K1240" s="28" t="str">
        <f>_xlfn.XLOOKUP(B1240,customers!A:A,customers!D:D)</f>
        <v>Regular</v>
      </c>
    </row>
    <row r="1241" spans="1:11" x14ac:dyDescent="0.25">
      <c r="A1241" s="5" t="s">
        <v>2964</v>
      </c>
      <c r="B1241" s="5" t="s">
        <v>740</v>
      </c>
      <c r="C1241" s="5" t="s">
        <v>7306</v>
      </c>
      <c r="D1241" s="1">
        <v>45387</v>
      </c>
      <c r="E1241" s="17">
        <v>0.68194444444444446</v>
      </c>
      <c r="F1241" s="5" t="s">
        <v>7305</v>
      </c>
      <c r="G1241" s="12">
        <v>178</v>
      </c>
      <c r="H1241" s="12">
        <v>8.9</v>
      </c>
      <c r="I1241" s="12">
        <v>169.1</v>
      </c>
      <c r="J1241" s="12">
        <f>SUMIF(order_item!B:B,A1241,order_item!E:E)</f>
        <v>178</v>
      </c>
      <c r="K1241" s="28" t="str">
        <f>_xlfn.XLOOKUP(B1241,customers!A:A,customers!D:D)</f>
        <v>Premium</v>
      </c>
    </row>
    <row r="1242" spans="1:11" x14ac:dyDescent="0.25">
      <c r="A1242" s="5" t="s">
        <v>2962</v>
      </c>
      <c r="B1242" s="5" t="s">
        <v>171</v>
      </c>
      <c r="C1242" s="5" t="s">
        <v>7309</v>
      </c>
      <c r="D1242" s="1">
        <v>45718</v>
      </c>
      <c r="E1242" s="17">
        <v>0.74652777777777779</v>
      </c>
      <c r="F1242" s="5" t="s">
        <v>7307</v>
      </c>
      <c r="G1242" s="12">
        <v>318</v>
      </c>
      <c r="H1242" s="12">
        <v>31.8</v>
      </c>
      <c r="I1242" s="12">
        <v>0</v>
      </c>
      <c r="J1242" s="12">
        <f>SUMIF(order_item!B:B,A1242,order_item!E:E)</f>
        <v>318</v>
      </c>
      <c r="K1242" s="28" t="str">
        <f>_xlfn.XLOOKUP(B1242,customers!A:A,customers!D:D)</f>
        <v>New</v>
      </c>
    </row>
    <row r="1243" spans="1:11" x14ac:dyDescent="0.25">
      <c r="A1243" s="5" t="s">
        <v>2958</v>
      </c>
      <c r="B1243" s="5" t="s">
        <v>347</v>
      </c>
      <c r="C1243" s="5" t="s">
        <v>7309</v>
      </c>
      <c r="D1243" s="1">
        <v>45655</v>
      </c>
      <c r="E1243" s="17">
        <v>0.69791666666666663</v>
      </c>
      <c r="F1243" s="5" t="s">
        <v>7305</v>
      </c>
      <c r="G1243" s="12">
        <v>634</v>
      </c>
      <c r="H1243" s="12">
        <v>0</v>
      </c>
      <c r="I1243" s="12">
        <v>634</v>
      </c>
      <c r="J1243" s="12">
        <f>SUMIF(order_item!B:B,A1243,order_item!E:E)</f>
        <v>634</v>
      </c>
      <c r="K1243" s="28" t="str">
        <f>_xlfn.XLOOKUP(B1243,customers!A:A,customers!D:D)</f>
        <v>Regular</v>
      </c>
    </row>
    <row r="1244" spans="1:11" x14ac:dyDescent="0.25">
      <c r="A1244" s="5" t="s">
        <v>2953</v>
      </c>
      <c r="B1244" s="5" t="s">
        <v>771</v>
      </c>
      <c r="C1244" s="5" t="s">
        <v>7309</v>
      </c>
      <c r="D1244" s="1">
        <v>45614</v>
      </c>
      <c r="E1244" s="17">
        <v>0.9159722222222223</v>
      </c>
      <c r="F1244" s="5" t="s">
        <v>7305</v>
      </c>
      <c r="G1244" s="12">
        <v>733</v>
      </c>
      <c r="H1244" s="12">
        <v>36.65</v>
      </c>
      <c r="I1244" s="12">
        <v>696.35</v>
      </c>
      <c r="J1244" s="12">
        <f>SUMIF(order_item!B:B,A1244,order_item!E:E)</f>
        <v>733</v>
      </c>
      <c r="K1244" s="28" t="str">
        <f>_xlfn.XLOOKUP(B1244,customers!A:A,customers!D:D)</f>
        <v>Regular</v>
      </c>
    </row>
    <row r="1245" spans="1:11" x14ac:dyDescent="0.25">
      <c r="A1245" s="5" t="s">
        <v>2951</v>
      </c>
      <c r="B1245" s="5" t="s">
        <v>661</v>
      </c>
      <c r="C1245" s="5" t="s">
        <v>7306</v>
      </c>
      <c r="D1245" s="1">
        <v>45452</v>
      </c>
      <c r="E1245" s="17">
        <v>0.82847222222222217</v>
      </c>
      <c r="F1245" s="5" t="s">
        <v>7305</v>
      </c>
      <c r="G1245" s="12">
        <v>278</v>
      </c>
      <c r="H1245" s="12">
        <v>0</v>
      </c>
      <c r="I1245" s="12">
        <v>278</v>
      </c>
      <c r="J1245" s="12">
        <f>SUMIF(order_item!B:B,A1245,order_item!E:E)</f>
        <v>278</v>
      </c>
      <c r="K1245" s="28" t="str">
        <f>_xlfn.XLOOKUP(B1245,customers!A:A,customers!D:D)</f>
        <v>Premium</v>
      </c>
    </row>
    <row r="1246" spans="1:11" x14ac:dyDescent="0.25">
      <c r="A1246" s="5" t="s">
        <v>2948</v>
      </c>
      <c r="B1246" s="5" t="s">
        <v>405</v>
      </c>
      <c r="C1246" s="5" t="s">
        <v>7309</v>
      </c>
      <c r="D1246" s="1">
        <v>45450</v>
      </c>
      <c r="E1246" s="17">
        <v>0.87013888888888891</v>
      </c>
      <c r="F1246" s="5" t="s">
        <v>7305</v>
      </c>
      <c r="G1246" s="12">
        <v>417</v>
      </c>
      <c r="H1246" s="12">
        <v>41.7</v>
      </c>
      <c r="I1246" s="12">
        <v>375.3</v>
      </c>
      <c r="J1246" s="12">
        <f>SUMIF(order_item!B:B,A1246,order_item!E:E)</f>
        <v>417</v>
      </c>
      <c r="K1246" s="28" t="str">
        <f>_xlfn.XLOOKUP(B1246,customers!A:A,customers!D:D)</f>
        <v>Regular</v>
      </c>
    </row>
    <row r="1247" spans="1:11" x14ac:dyDescent="0.25">
      <c r="A1247" s="5" t="s">
        <v>2944</v>
      </c>
      <c r="B1247" s="5" t="s">
        <v>99</v>
      </c>
      <c r="C1247" s="5" t="s">
        <v>7309</v>
      </c>
      <c r="D1247" s="1">
        <v>45565</v>
      </c>
      <c r="E1247" s="17">
        <v>0.41597222222222219</v>
      </c>
      <c r="F1247" s="5" t="s">
        <v>7305</v>
      </c>
      <c r="G1247" s="12">
        <v>456</v>
      </c>
      <c r="H1247" s="12">
        <v>0</v>
      </c>
      <c r="I1247" s="12">
        <v>456</v>
      </c>
      <c r="J1247" s="12">
        <f>SUMIF(order_item!B:B,A1247,order_item!E:E)</f>
        <v>456</v>
      </c>
      <c r="K1247" s="28" t="str">
        <f>_xlfn.XLOOKUP(B1247,customers!A:A,customers!D:D)</f>
        <v>New</v>
      </c>
    </row>
    <row r="1248" spans="1:11" x14ac:dyDescent="0.25">
      <c r="A1248" s="5" t="s">
        <v>2942</v>
      </c>
      <c r="B1248" s="5" t="s">
        <v>535</v>
      </c>
      <c r="C1248" s="5" t="s">
        <v>7309</v>
      </c>
      <c r="D1248" s="1">
        <v>45732</v>
      </c>
      <c r="E1248" s="17">
        <v>0.68125000000000002</v>
      </c>
      <c r="F1248" s="5" t="s">
        <v>7305</v>
      </c>
      <c r="G1248" s="12">
        <v>149</v>
      </c>
      <c r="H1248" s="12">
        <v>0</v>
      </c>
      <c r="I1248" s="12">
        <v>149</v>
      </c>
      <c r="J1248" s="12">
        <f>SUMIF(order_item!B:B,A1248,order_item!E:E)</f>
        <v>149</v>
      </c>
      <c r="K1248" s="28" t="str">
        <f>_xlfn.XLOOKUP(B1248,customers!A:A,customers!D:D)</f>
        <v>Regular</v>
      </c>
    </row>
    <row r="1249" spans="1:11" x14ac:dyDescent="0.25">
      <c r="A1249" s="5" t="s">
        <v>2939</v>
      </c>
      <c r="B1249" s="5" t="s">
        <v>411</v>
      </c>
      <c r="C1249" s="5" t="s">
        <v>7309</v>
      </c>
      <c r="D1249" s="1">
        <v>45598</v>
      </c>
      <c r="E1249" s="17">
        <v>0.80069444444444438</v>
      </c>
      <c r="F1249" s="5" t="s">
        <v>7305</v>
      </c>
      <c r="G1249" s="12">
        <v>425</v>
      </c>
      <c r="H1249" s="12">
        <v>0</v>
      </c>
      <c r="I1249" s="12">
        <v>425</v>
      </c>
      <c r="J1249" s="12">
        <f>SUMIF(order_item!B:B,A1249,order_item!E:E)</f>
        <v>425</v>
      </c>
      <c r="K1249" s="28" t="str">
        <f>_xlfn.XLOOKUP(B1249,customers!A:A,customers!D:D)</f>
        <v>New</v>
      </c>
    </row>
    <row r="1250" spans="1:11" x14ac:dyDescent="0.25">
      <c r="A1250" s="5" t="s">
        <v>2936</v>
      </c>
      <c r="B1250" s="5" t="s">
        <v>773</v>
      </c>
      <c r="C1250" s="5" t="s">
        <v>7309</v>
      </c>
      <c r="D1250" s="1">
        <v>45572</v>
      </c>
      <c r="E1250" s="17">
        <v>0.81319444444444444</v>
      </c>
      <c r="F1250" s="5" t="s">
        <v>7305</v>
      </c>
      <c r="G1250" s="12">
        <v>684</v>
      </c>
      <c r="H1250" s="12">
        <v>0</v>
      </c>
      <c r="I1250" s="12">
        <v>684</v>
      </c>
      <c r="J1250" s="12">
        <f>SUMIF(order_item!B:B,A1250,order_item!E:E)</f>
        <v>684</v>
      </c>
      <c r="K1250" s="28" t="str">
        <f>_xlfn.XLOOKUP(B1250,customers!A:A,customers!D:D)</f>
        <v>New</v>
      </c>
    </row>
    <row r="1251" spans="1:11" x14ac:dyDescent="0.25">
      <c r="A1251" s="5" t="s">
        <v>2933</v>
      </c>
      <c r="B1251" s="5" t="s">
        <v>207</v>
      </c>
      <c r="C1251" s="5" t="s">
        <v>7309</v>
      </c>
      <c r="D1251" s="1">
        <v>45425</v>
      </c>
      <c r="E1251" s="17">
        <v>0.6875</v>
      </c>
      <c r="F1251" s="5" t="s">
        <v>7305</v>
      </c>
      <c r="G1251" s="12">
        <v>444</v>
      </c>
      <c r="H1251" s="12">
        <v>0</v>
      </c>
      <c r="I1251" s="12">
        <v>444</v>
      </c>
      <c r="J1251" s="12">
        <f>SUMIF(order_item!B:B,A1251,order_item!E:E)</f>
        <v>444</v>
      </c>
      <c r="K1251" s="28" t="str">
        <f>_xlfn.XLOOKUP(B1251,customers!A:A,customers!D:D)</f>
        <v>Regular</v>
      </c>
    </row>
    <row r="1252" spans="1:11" x14ac:dyDescent="0.25">
      <c r="A1252" s="5" t="s">
        <v>2930</v>
      </c>
      <c r="B1252" s="5" t="s">
        <v>771</v>
      </c>
      <c r="C1252" s="5" t="s">
        <v>7309</v>
      </c>
      <c r="D1252" s="1">
        <v>45666</v>
      </c>
      <c r="E1252" s="17">
        <v>0.47430555555555554</v>
      </c>
      <c r="F1252" s="5" t="s">
        <v>7305</v>
      </c>
      <c r="G1252" s="12">
        <v>168</v>
      </c>
      <c r="H1252" s="12">
        <v>8.4</v>
      </c>
      <c r="I1252" s="12">
        <v>159.6</v>
      </c>
      <c r="J1252" s="12">
        <f>SUMIF(order_item!B:B,A1252,order_item!E:E)</f>
        <v>168</v>
      </c>
      <c r="K1252" s="28" t="str">
        <f>_xlfn.XLOOKUP(B1252,customers!A:A,customers!D:D)</f>
        <v>Regular</v>
      </c>
    </row>
    <row r="1253" spans="1:11" x14ac:dyDescent="0.25">
      <c r="A1253" s="5" t="s">
        <v>2926</v>
      </c>
      <c r="B1253" s="5" t="s">
        <v>200</v>
      </c>
      <c r="C1253" s="5" t="s">
        <v>7309</v>
      </c>
      <c r="D1253" s="1">
        <v>45605</v>
      </c>
      <c r="E1253" s="17">
        <v>0.82708333333333339</v>
      </c>
      <c r="F1253" s="5" t="s">
        <v>7305</v>
      </c>
      <c r="G1253" s="12">
        <v>594</v>
      </c>
      <c r="H1253" s="12">
        <v>0</v>
      </c>
      <c r="I1253" s="12">
        <v>594</v>
      </c>
      <c r="J1253" s="12">
        <f>SUMIF(order_item!B:B,A1253,order_item!E:E)</f>
        <v>594</v>
      </c>
      <c r="K1253" s="28" t="str">
        <f>_xlfn.XLOOKUP(B1253,customers!A:A,customers!D:D)</f>
        <v>New</v>
      </c>
    </row>
    <row r="1254" spans="1:11" x14ac:dyDescent="0.25">
      <c r="A1254" s="5" t="s">
        <v>2921</v>
      </c>
      <c r="B1254" s="5" t="s">
        <v>460</v>
      </c>
      <c r="C1254" s="5" t="s">
        <v>7309</v>
      </c>
      <c r="D1254" s="1">
        <v>45413</v>
      </c>
      <c r="E1254" s="17">
        <v>0.78194444444444444</v>
      </c>
      <c r="F1254" s="5" t="s">
        <v>7305</v>
      </c>
      <c r="G1254" s="12">
        <v>455</v>
      </c>
      <c r="H1254" s="12">
        <v>0</v>
      </c>
      <c r="I1254" s="12">
        <v>455</v>
      </c>
      <c r="J1254" s="12">
        <f>SUMIF(order_item!B:B,A1254,order_item!E:E)</f>
        <v>455</v>
      </c>
      <c r="K1254" s="28" t="str">
        <f>_xlfn.XLOOKUP(B1254,customers!A:A,customers!D:D)</f>
        <v>Regular</v>
      </c>
    </row>
    <row r="1255" spans="1:11" x14ac:dyDescent="0.25">
      <c r="A1255" s="5" t="s">
        <v>2917</v>
      </c>
      <c r="B1255" s="5" t="s">
        <v>238</v>
      </c>
      <c r="C1255" s="5" t="s">
        <v>7309</v>
      </c>
      <c r="D1255" s="1">
        <v>45591</v>
      </c>
      <c r="E1255" s="17">
        <v>0.4236111111111111</v>
      </c>
      <c r="F1255" s="5" t="s">
        <v>7305</v>
      </c>
      <c r="G1255" s="12">
        <v>831</v>
      </c>
      <c r="H1255" s="12">
        <v>83.1</v>
      </c>
      <c r="I1255" s="12">
        <v>747.9</v>
      </c>
      <c r="J1255" s="12">
        <f>SUMIF(order_item!B:B,A1255,order_item!E:E)</f>
        <v>831</v>
      </c>
      <c r="K1255" s="28" t="str">
        <f>_xlfn.XLOOKUP(B1255,customers!A:A,customers!D:D)</f>
        <v>Regular</v>
      </c>
    </row>
    <row r="1256" spans="1:11" x14ac:dyDescent="0.25">
      <c r="A1256" s="5" t="s">
        <v>2914</v>
      </c>
      <c r="B1256" s="5" t="s">
        <v>861</v>
      </c>
      <c r="C1256" s="5" t="s">
        <v>7306</v>
      </c>
      <c r="D1256" s="1">
        <v>45431</v>
      </c>
      <c r="E1256" s="17">
        <v>0.70694444444444438</v>
      </c>
      <c r="F1256" s="5" t="s">
        <v>7305</v>
      </c>
      <c r="G1256" s="12">
        <v>377</v>
      </c>
      <c r="H1256" s="12">
        <v>0</v>
      </c>
      <c r="I1256" s="12">
        <v>377</v>
      </c>
      <c r="J1256" s="12">
        <f>SUMIF(order_item!B:B,A1256,order_item!E:E)</f>
        <v>377</v>
      </c>
      <c r="K1256" s="28" t="str">
        <f>_xlfn.XLOOKUP(B1256,customers!A:A,customers!D:D)</f>
        <v>Premium</v>
      </c>
    </row>
    <row r="1257" spans="1:11" x14ac:dyDescent="0.25">
      <c r="A1257" s="5" t="s">
        <v>2911</v>
      </c>
      <c r="B1257" s="5" t="s">
        <v>665</v>
      </c>
      <c r="C1257" s="5" t="s">
        <v>7306</v>
      </c>
      <c r="D1257" s="1">
        <v>45739</v>
      </c>
      <c r="E1257" s="17">
        <v>0.68819444444444444</v>
      </c>
      <c r="F1257" s="5" t="s">
        <v>7305</v>
      </c>
      <c r="G1257" s="12">
        <v>504</v>
      </c>
      <c r="H1257" s="12">
        <v>0</v>
      </c>
      <c r="I1257" s="12">
        <v>504</v>
      </c>
      <c r="J1257" s="12">
        <f>SUMIF(order_item!B:B,A1257,order_item!E:E)</f>
        <v>504</v>
      </c>
      <c r="K1257" s="28" t="str">
        <f>_xlfn.XLOOKUP(B1257,customers!A:A,customers!D:D)</f>
        <v>Regular</v>
      </c>
    </row>
    <row r="1258" spans="1:11" x14ac:dyDescent="0.25">
      <c r="A1258" s="5" t="s">
        <v>2907</v>
      </c>
      <c r="B1258" s="5" t="s">
        <v>418</v>
      </c>
      <c r="C1258" s="5" t="s">
        <v>7308</v>
      </c>
      <c r="D1258" s="1">
        <v>45659</v>
      </c>
      <c r="E1258" s="17">
        <v>0.51736111111111105</v>
      </c>
      <c r="F1258" s="5" t="s">
        <v>7305</v>
      </c>
      <c r="G1258" s="12">
        <v>504</v>
      </c>
      <c r="H1258" s="12">
        <v>0</v>
      </c>
      <c r="I1258" s="12">
        <v>504</v>
      </c>
      <c r="J1258" s="12">
        <f>SUMIF(order_item!B:B,A1258,order_item!E:E)</f>
        <v>504</v>
      </c>
      <c r="K1258" s="28" t="str">
        <f>_xlfn.XLOOKUP(B1258,customers!A:A,customers!D:D)</f>
        <v>Regular</v>
      </c>
    </row>
    <row r="1259" spans="1:11" x14ac:dyDescent="0.25">
      <c r="A1259" s="5" t="s">
        <v>2903</v>
      </c>
      <c r="B1259" s="5" t="s">
        <v>649</v>
      </c>
      <c r="C1259" s="5" t="s">
        <v>7309</v>
      </c>
      <c r="D1259" s="1">
        <v>45428</v>
      </c>
      <c r="E1259" s="17">
        <v>0.85138888888888886</v>
      </c>
      <c r="F1259" s="5" t="s">
        <v>7305</v>
      </c>
      <c r="G1259" s="12">
        <v>871</v>
      </c>
      <c r="H1259" s="12">
        <v>43.55</v>
      </c>
      <c r="I1259" s="12">
        <v>827.45</v>
      </c>
      <c r="J1259" s="12">
        <f>SUMIF(order_item!B:B,A1259,order_item!E:E)</f>
        <v>871</v>
      </c>
      <c r="K1259" s="28" t="str">
        <f>_xlfn.XLOOKUP(B1259,customers!A:A,customers!D:D)</f>
        <v>Regular</v>
      </c>
    </row>
    <row r="1260" spans="1:11" x14ac:dyDescent="0.25">
      <c r="A1260" s="5" t="s">
        <v>2901</v>
      </c>
      <c r="B1260" s="5" t="s">
        <v>163</v>
      </c>
      <c r="C1260" s="5" t="s">
        <v>7309</v>
      </c>
      <c r="D1260" s="1">
        <v>45696</v>
      </c>
      <c r="E1260" s="17">
        <v>0.75</v>
      </c>
      <c r="F1260" s="5" t="s">
        <v>7305</v>
      </c>
      <c r="G1260" s="12">
        <v>158</v>
      </c>
      <c r="H1260" s="12">
        <v>0</v>
      </c>
      <c r="I1260" s="12">
        <v>158</v>
      </c>
      <c r="J1260" s="12">
        <f>SUMIF(order_item!B:B,A1260,order_item!E:E)</f>
        <v>158</v>
      </c>
      <c r="K1260" s="28" t="str">
        <f>_xlfn.XLOOKUP(B1260,customers!A:A,customers!D:D)</f>
        <v>Regular</v>
      </c>
    </row>
    <row r="1261" spans="1:11" x14ac:dyDescent="0.25">
      <c r="A1261" s="5" t="s">
        <v>2898</v>
      </c>
      <c r="B1261" s="5" t="s">
        <v>705</v>
      </c>
      <c r="C1261" s="5" t="s">
        <v>7306</v>
      </c>
      <c r="D1261" s="1">
        <v>45505</v>
      </c>
      <c r="E1261" s="17">
        <v>0.64513888888888882</v>
      </c>
      <c r="F1261" s="5" t="s">
        <v>7305</v>
      </c>
      <c r="G1261" s="12">
        <v>894</v>
      </c>
      <c r="H1261" s="12">
        <v>44.7</v>
      </c>
      <c r="I1261" s="12">
        <v>849.3</v>
      </c>
      <c r="J1261" s="12">
        <f>SUMIF(order_item!B:B,A1261,order_item!E:E)</f>
        <v>894</v>
      </c>
      <c r="K1261" s="28" t="str">
        <f>_xlfn.XLOOKUP(B1261,customers!A:A,customers!D:D)</f>
        <v>New</v>
      </c>
    </row>
    <row r="1262" spans="1:11" x14ac:dyDescent="0.25">
      <c r="A1262" s="5" t="s">
        <v>2895</v>
      </c>
      <c r="B1262" s="5" t="s">
        <v>191</v>
      </c>
      <c r="C1262" s="5" t="s">
        <v>7309</v>
      </c>
      <c r="D1262" s="1">
        <v>45549</v>
      </c>
      <c r="E1262" s="17">
        <v>0.87083333333333324</v>
      </c>
      <c r="F1262" s="5" t="s">
        <v>7305</v>
      </c>
      <c r="G1262" s="12">
        <v>535</v>
      </c>
      <c r="H1262" s="12">
        <v>0</v>
      </c>
      <c r="I1262" s="12">
        <v>535</v>
      </c>
      <c r="J1262" s="12">
        <f>SUMIF(order_item!B:B,A1262,order_item!E:E)</f>
        <v>535</v>
      </c>
      <c r="K1262" s="28" t="str">
        <f>_xlfn.XLOOKUP(B1262,customers!A:A,customers!D:D)</f>
        <v>Regular</v>
      </c>
    </row>
    <row r="1263" spans="1:11" x14ac:dyDescent="0.25">
      <c r="A1263" s="5" t="s">
        <v>2892</v>
      </c>
      <c r="B1263" s="5" t="s">
        <v>600</v>
      </c>
      <c r="C1263" s="5" t="s">
        <v>7309</v>
      </c>
      <c r="D1263" s="1">
        <v>45661</v>
      </c>
      <c r="E1263" s="17">
        <v>1.3888888888888889E-3</v>
      </c>
      <c r="F1263" s="5" t="s">
        <v>7305</v>
      </c>
      <c r="G1263" s="12">
        <v>615</v>
      </c>
      <c r="H1263" s="12">
        <v>0</v>
      </c>
      <c r="I1263" s="12">
        <v>615</v>
      </c>
      <c r="J1263" s="12">
        <f>SUMIF(order_item!B:B,A1263,order_item!E:E)</f>
        <v>615</v>
      </c>
      <c r="K1263" s="28" t="str">
        <f>_xlfn.XLOOKUP(B1263,customers!A:A,customers!D:D)</f>
        <v>Regular</v>
      </c>
    </row>
    <row r="1264" spans="1:11" x14ac:dyDescent="0.25">
      <c r="A1264" s="5" t="s">
        <v>2889</v>
      </c>
      <c r="B1264" s="5" t="s">
        <v>428</v>
      </c>
      <c r="C1264" s="5" t="s">
        <v>7306</v>
      </c>
      <c r="D1264" s="1">
        <v>45542</v>
      </c>
      <c r="E1264" s="17">
        <v>0.70694444444444438</v>
      </c>
      <c r="F1264" s="5" t="s">
        <v>7305</v>
      </c>
      <c r="G1264" s="12">
        <v>633</v>
      </c>
      <c r="H1264" s="12">
        <v>31.65</v>
      </c>
      <c r="I1264" s="12">
        <v>601.35</v>
      </c>
      <c r="J1264" s="12">
        <f>SUMIF(order_item!B:B,A1264,order_item!E:E)</f>
        <v>633</v>
      </c>
      <c r="K1264" s="28" t="str">
        <f>_xlfn.XLOOKUP(B1264,customers!A:A,customers!D:D)</f>
        <v>Regular</v>
      </c>
    </row>
    <row r="1265" spans="1:11" x14ac:dyDescent="0.25">
      <c r="A1265" s="5" t="s">
        <v>2886</v>
      </c>
      <c r="B1265" s="5" t="s">
        <v>420</v>
      </c>
      <c r="C1265" s="5" t="s">
        <v>7306</v>
      </c>
      <c r="D1265" s="1">
        <v>45587</v>
      </c>
      <c r="E1265" s="17">
        <v>0.6958333333333333</v>
      </c>
      <c r="F1265" s="5" t="s">
        <v>7305</v>
      </c>
      <c r="G1265" s="12">
        <v>446</v>
      </c>
      <c r="H1265" s="12">
        <v>66.900000000000006</v>
      </c>
      <c r="I1265" s="12">
        <v>379.1</v>
      </c>
      <c r="J1265" s="12">
        <f>SUMIF(order_item!B:B,A1265,order_item!E:E)</f>
        <v>446</v>
      </c>
      <c r="K1265" s="28" t="str">
        <f>_xlfn.XLOOKUP(B1265,customers!A:A,customers!D:D)</f>
        <v>Regular</v>
      </c>
    </row>
    <row r="1266" spans="1:11" x14ac:dyDescent="0.25">
      <c r="A1266" s="5" t="s">
        <v>2883</v>
      </c>
      <c r="B1266" s="5" t="s">
        <v>616</v>
      </c>
      <c r="C1266" s="5" t="s">
        <v>7309</v>
      </c>
      <c r="D1266" s="1">
        <v>45490</v>
      </c>
      <c r="E1266" s="17">
        <v>0.37777777777777777</v>
      </c>
      <c r="F1266" s="5" t="s">
        <v>7305</v>
      </c>
      <c r="G1266" s="12">
        <v>514</v>
      </c>
      <c r="H1266" s="12">
        <v>0</v>
      </c>
      <c r="I1266" s="12">
        <v>514</v>
      </c>
      <c r="J1266" s="12">
        <f>SUMIF(order_item!B:B,A1266,order_item!E:E)</f>
        <v>514</v>
      </c>
      <c r="K1266" s="28" t="str">
        <f>_xlfn.XLOOKUP(B1266,customers!A:A,customers!D:D)</f>
        <v>Regular</v>
      </c>
    </row>
    <row r="1267" spans="1:11" x14ac:dyDescent="0.25">
      <c r="A1267" s="5" t="s">
        <v>2881</v>
      </c>
      <c r="B1267" s="5" t="s">
        <v>554</v>
      </c>
      <c r="C1267" s="5" t="s">
        <v>7309</v>
      </c>
      <c r="D1267" s="1">
        <v>45604</v>
      </c>
      <c r="E1267" s="17">
        <v>0.64374999999999993</v>
      </c>
      <c r="F1267" s="5" t="s">
        <v>7305</v>
      </c>
      <c r="G1267" s="12">
        <v>396</v>
      </c>
      <c r="H1267" s="12">
        <v>0</v>
      </c>
      <c r="I1267" s="12">
        <v>396</v>
      </c>
      <c r="J1267" s="12">
        <f>SUMIF(order_item!B:B,A1267,order_item!E:E)</f>
        <v>396</v>
      </c>
      <c r="K1267" s="28" t="str">
        <f>_xlfn.XLOOKUP(B1267,customers!A:A,customers!D:D)</f>
        <v>Regular</v>
      </c>
    </row>
    <row r="1268" spans="1:11" x14ac:dyDescent="0.25">
      <c r="A1268" s="5" t="s">
        <v>2877</v>
      </c>
      <c r="B1268" s="5" t="s">
        <v>811</v>
      </c>
      <c r="C1268" s="5" t="s">
        <v>7306</v>
      </c>
      <c r="D1268" s="1">
        <v>45675</v>
      </c>
      <c r="E1268" s="17">
        <v>0.99861111111111101</v>
      </c>
      <c r="F1268" s="5" t="s">
        <v>7305</v>
      </c>
      <c r="G1268" s="12">
        <v>1490</v>
      </c>
      <c r="H1268" s="12">
        <v>223.5</v>
      </c>
      <c r="I1268" s="12">
        <v>1266.5</v>
      </c>
      <c r="J1268" s="12">
        <f>SUMIF(order_item!B:B,A1268,order_item!E:E)</f>
        <v>1490</v>
      </c>
      <c r="K1268" s="28" t="str">
        <f>_xlfn.XLOOKUP(B1268,customers!A:A,customers!D:D)</f>
        <v>New</v>
      </c>
    </row>
    <row r="1269" spans="1:11" x14ac:dyDescent="0.25">
      <c r="A1269" s="5" t="s">
        <v>2874</v>
      </c>
      <c r="B1269" s="5" t="s">
        <v>349</v>
      </c>
      <c r="C1269" s="5" t="s">
        <v>7309</v>
      </c>
      <c r="D1269" s="1">
        <v>45526</v>
      </c>
      <c r="E1269" s="17">
        <v>0.9277777777777777</v>
      </c>
      <c r="F1269" s="5" t="s">
        <v>7305</v>
      </c>
      <c r="G1269" s="12">
        <v>238</v>
      </c>
      <c r="H1269" s="12">
        <v>0</v>
      </c>
      <c r="I1269" s="12">
        <v>238</v>
      </c>
      <c r="J1269" s="12">
        <f>SUMIF(order_item!B:B,A1269,order_item!E:E)</f>
        <v>238</v>
      </c>
      <c r="K1269" s="28" t="str">
        <f>_xlfn.XLOOKUP(B1269,customers!A:A,customers!D:D)</f>
        <v>New</v>
      </c>
    </row>
    <row r="1270" spans="1:11" x14ac:dyDescent="0.25">
      <c r="A1270" s="5" t="s">
        <v>2870</v>
      </c>
      <c r="B1270" s="5" t="s">
        <v>663</v>
      </c>
      <c r="C1270" s="5" t="s">
        <v>7309</v>
      </c>
      <c r="D1270" s="1">
        <v>45473</v>
      </c>
      <c r="E1270" s="17">
        <v>0.375</v>
      </c>
      <c r="F1270" s="5" t="s">
        <v>7305</v>
      </c>
      <c r="G1270" s="12">
        <v>871</v>
      </c>
      <c r="H1270" s="12">
        <v>0</v>
      </c>
      <c r="I1270" s="12">
        <v>871</v>
      </c>
      <c r="J1270" s="12">
        <f>SUMIF(order_item!B:B,A1270,order_item!E:E)</f>
        <v>871</v>
      </c>
      <c r="K1270" s="28" t="str">
        <f>_xlfn.XLOOKUP(B1270,customers!A:A,customers!D:D)</f>
        <v>Regular</v>
      </c>
    </row>
    <row r="1271" spans="1:11" x14ac:dyDescent="0.25">
      <c r="A1271" s="5" t="s">
        <v>2867</v>
      </c>
      <c r="B1271" s="5" t="s">
        <v>147</v>
      </c>
      <c r="C1271" s="5" t="s">
        <v>7309</v>
      </c>
      <c r="D1271" s="1">
        <v>45526</v>
      </c>
      <c r="E1271" s="17">
        <v>0.91319444444444453</v>
      </c>
      <c r="F1271" s="5" t="s">
        <v>7305</v>
      </c>
      <c r="G1271" s="12">
        <v>188</v>
      </c>
      <c r="H1271" s="12">
        <v>28.2</v>
      </c>
      <c r="I1271" s="12">
        <v>159.80000000000001</v>
      </c>
      <c r="J1271" s="12">
        <f>SUMIF(order_item!B:B,A1271,order_item!E:E)</f>
        <v>188</v>
      </c>
      <c r="K1271" s="28" t="str">
        <f>_xlfn.XLOOKUP(B1271,customers!A:A,customers!D:D)</f>
        <v>Regular</v>
      </c>
    </row>
    <row r="1272" spans="1:11" x14ac:dyDescent="0.25">
      <c r="A1272" s="5" t="s">
        <v>2862</v>
      </c>
      <c r="B1272" s="5" t="s">
        <v>812</v>
      </c>
      <c r="C1272" s="5" t="s">
        <v>7306</v>
      </c>
      <c r="D1272" s="1">
        <v>45482</v>
      </c>
      <c r="E1272" s="17">
        <v>0.66736111111111107</v>
      </c>
      <c r="F1272" s="5" t="s">
        <v>7305</v>
      </c>
      <c r="G1272" s="12">
        <v>465</v>
      </c>
      <c r="H1272" s="12">
        <v>0</v>
      </c>
      <c r="I1272" s="12">
        <v>465</v>
      </c>
      <c r="J1272" s="12">
        <f>SUMIF(order_item!B:B,A1272,order_item!E:E)</f>
        <v>465</v>
      </c>
      <c r="K1272" s="28" t="str">
        <f>_xlfn.XLOOKUP(B1272,customers!A:A,customers!D:D)</f>
        <v>Regular</v>
      </c>
    </row>
    <row r="1273" spans="1:11" x14ac:dyDescent="0.25">
      <c r="A1273" s="5" t="s">
        <v>2859</v>
      </c>
      <c r="B1273" s="5" t="s">
        <v>290</v>
      </c>
      <c r="C1273" s="5" t="s">
        <v>7309</v>
      </c>
      <c r="D1273" s="1">
        <v>45536</v>
      </c>
      <c r="E1273" s="17">
        <v>0.81041666666666667</v>
      </c>
      <c r="F1273" s="5" t="s">
        <v>7305</v>
      </c>
      <c r="G1273" s="12">
        <v>674</v>
      </c>
      <c r="H1273" s="12">
        <v>0</v>
      </c>
      <c r="I1273" s="12">
        <v>674</v>
      </c>
      <c r="J1273" s="12">
        <f>SUMIF(order_item!B:B,A1273,order_item!E:E)</f>
        <v>674</v>
      </c>
      <c r="K1273" s="28" t="str">
        <f>_xlfn.XLOOKUP(B1273,customers!A:A,customers!D:D)</f>
        <v>New</v>
      </c>
    </row>
    <row r="1274" spans="1:11" x14ac:dyDescent="0.25">
      <c r="A1274" s="5" t="s">
        <v>2855</v>
      </c>
      <c r="B1274" s="5" t="s">
        <v>602</v>
      </c>
      <c r="C1274" s="5" t="s">
        <v>7306</v>
      </c>
      <c r="D1274" s="1">
        <v>45554</v>
      </c>
      <c r="E1274" s="17">
        <v>0.8881944444444444</v>
      </c>
      <c r="F1274" s="5" t="s">
        <v>7305</v>
      </c>
      <c r="G1274" s="12">
        <v>504</v>
      </c>
      <c r="H1274" s="12">
        <v>0</v>
      </c>
      <c r="I1274" s="12">
        <v>504</v>
      </c>
      <c r="J1274" s="12">
        <f>SUMIF(order_item!B:B,A1274,order_item!E:E)</f>
        <v>504</v>
      </c>
      <c r="K1274" s="28" t="str">
        <f>_xlfn.XLOOKUP(B1274,customers!A:A,customers!D:D)</f>
        <v>Regular</v>
      </c>
    </row>
    <row r="1275" spans="1:11" x14ac:dyDescent="0.25">
      <c r="A1275" s="5" t="s">
        <v>2850</v>
      </c>
      <c r="B1275" s="5" t="s">
        <v>460</v>
      </c>
      <c r="C1275" s="5" t="s">
        <v>7308</v>
      </c>
      <c r="D1275" s="1">
        <v>45578</v>
      </c>
      <c r="E1275" s="17">
        <v>0.72361111111111109</v>
      </c>
      <c r="F1275" s="5" t="s">
        <v>7305</v>
      </c>
      <c r="G1275" s="12">
        <v>692</v>
      </c>
      <c r="H1275" s="12">
        <v>0</v>
      </c>
      <c r="I1275" s="12">
        <v>692</v>
      </c>
      <c r="J1275" s="12">
        <f>SUMIF(order_item!B:B,A1275,order_item!E:E)</f>
        <v>692</v>
      </c>
      <c r="K1275" s="28" t="str">
        <f>_xlfn.XLOOKUP(B1275,customers!A:A,customers!D:D)</f>
        <v>Regular</v>
      </c>
    </row>
    <row r="1276" spans="1:11" x14ac:dyDescent="0.25">
      <c r="A1276" s="5" t="s">
        <v>2845</v>
      </c>
      <c r="B1276" s="5" t="s">
        <v>234</v>
      </c>
      <c r="C1276" s="5" t="s">
        <v>7309</v>
      </c>
      <c r="D1276" s="1">
        <v>45384</v>
      </c>
      <c r="E1276" s="17">
        <v>0.82291666666666663</v>
      </c>
      <c r="F1276" s="5" t="s">
        <v>7305</v>
      </c>
      <c r="G1276" s="12">
        <v>1170</v>
      </c>
      <c r="H1276" s="12">
        <v>0</v>
      </c>
      <c r="I1276" s="12">
        <v>1170</v>
      </c>
      <c r="J1276" s="12">
        <f>SUMIF(order_item!B:B,A1276,order_item!E:E)</f>
        <v>1170</v>
      </c>
      <c r="K1276" s="28" t="str">
        <f>_xlfn.XLOOKUP(B1276,customers!A:A,customers!D:D)</f>
        <v>Regular</v>
      </c>
    </row>
    <row r="1277" spans="1:11" x14ac:dyDescent="0.25">
      <c r="A1277" s="5" t="s">
        <v>2843</v>
      </c>
      <c r="B1277" s="5" t="s">
        <v>533</v>
      </c>
      <c r="C1277" s="5" t="s">
        <v>7306</v>
      </c>
      <c r="D1277" s="1">
        <v>45688</v>
      </c>
      <c r="E1277" s="17">
        <v>0.5625</v>
      </c>
      <c r="F1277" s="5" t="s">
        <v>7307</v>
      </c>
      <c r="G1277" s="12">
        <v>89</v>
      </c>
      <c r="H1277" s="12">
        <v>0</v>
      </c>
      <c r="I1277" s="12">
        <v>0</v>
      </c>
      <c r="J1277" s="12">
        <f>SUMIF(order_item!B:B,A1277,order_item!E:E)</f>
        <v>89</v>
      </c>
      <c r="K1277" s="28" t="str">
        <f>_xlfn.XLOOKUP(B1277,customers!A:A,customers!D:D)</f>
        <v>Regular</v>
      </c>
    </row>
    <row r="1278" spans="1:11" x14ac:dyDescent="0.25">
      <c r="A1278" s="5" t="s">
        <v>2840</v>
      </c>
      <c r="B1278" s="5" t="s">
        <v>454</v>
      </c>
      <c r="C1278" s="5" t="s">
        <v>7309</v>
      </c>
      <c r="D1278" s="1">
        <v>45722</v>
      </c>
      <c r="E1278" s="17">
        <v>0.56388888888888888</v>
      </c>
      <c r="F1278" s="5" t="s">
        <v>7305</v>
      </c>
      <c r="G1278" s="12">
        <v>158</v>
      </c>
      <c r="H1278" s="12">
        <v>0</v>
      </c>
      <c r="I1278" s="12">
        <v>158</v>
      </c>
      <c r="J1278" s="12">
        <f>SUMIF(order_item!B:B,A1278,order_item!E:E)</f>
        <v>158</v>
      </c>
      <c r="K1278" s="28" t="str">
        <f>_xlfn.XLOOKUP(B1278,customers!A:A,customers!D:D)</f>
        <v>Regular</v>
      </c>
    </row>
    <row r="1279" spans="1:11" x14ac:dyDescent="0.25">
      <c r="A1279" s="5" t="s">
        <v>2836</v>
      </c>
      <c r="B1279" s="5" t="s">
        <v>73</v>
      </c>
      <c r="C1279" s="5" t="s">
        <v>7309</v>
      </c>
      <c r="D1279" s="1">
        <v>45701</v>
      </c>
      <c r="E1279" s="17">
        <v>0.96458333333333324</v>
      </c>
      <c r="F1279" s="5" t="s">
        <v>7305</v>
      </c>
      <c r="G1279" s="12">
        <v>536</v>
      </c>
      <c r="H1279" s="12">
        <v>0</v>
      </c>
      <c r="I1279" s="12">
        <v>536</v>
      </c>
      <c r="J1279" s="12">
        <f>SUMIF(order_item!B:B,A1279,order_item!E:E)</f>
        <v>536</v>
      </c>
      <c r="K1279" s="28" t="str">
        <f>_xlfn.XLOOKUP(B1279,customers!A:A,customers!D:D)</f>
        <v>Regular</v>
      </c>
    </row>
    <row r="1280" spans="1:11" x14ac:dyDescent="0.25">
      <c r="A1280" s="5" t="s">
        <v>2834</v>
      </c>
      <c r="B1280" s="5" t="s">
        <v>671</v>
      </c>
      <c r="C1280" s="5" t="s">
        <v>7306</v>
      </c>
      <c r="D1280" s="1">
        <v>45737</v>
      </c>
      <c r="E1280" s="17">
        <v>0.57708333333333328</v>
      </c>
      <c r="F1280" s="5" t="s">
        <v>7305</v>
      </c>
      <c r="G1280" s="12">
        <v>318</v>
      </c>
      <c r="H1280" s="12">
        <v>0</v>
      </c>
      <c r="I1280" s="12">
        <v>318</v>
      </c>
      <c r="J1280" s="12">
        <f>SUMIF(order_item!B:B,A1280,order_item!E:E)</f>
        <v>318</v>
      </c>
      <c r="K1280" s="28" t="str">
        <f>_xlfn.XLOOKUP(B1280,customers!A:A,customers!D:D)</f>
        <v>Regular</v>
      </c>
    </row>
    <row r="1281" spans="1:11" x14ac:dyDescent="0.25">
      <c r="A1281" s="5" t="s">
        <v>2831</v>
      </c>
      <c r="B1281" s="5" t="s">
        <v>865</v>
      </c>
      <c r="C1281" s="5" t="s">
        <v>7308</v>
      </c>
      <c r="D1281" s="1">
        <v>45595</v>
      </c>
      <c r="E1281" s="17">
        <v>0.80208333333333337</v>
      </c>
      <c r="F1281" s="5" t="s">
        <v>7305</v>
      </c>
      <c r="G1281" s="12">
        <v>326</v>
      </c>
      <c r="H1281" s="12">
        <v>0</v>
      </c>
      <c r="I1281" s="12">
        <v>326</v>
      </c>
      <c r="J1281" s="12">
        <f>SUMIF(order_item!B:B,A1281,order_item!E:E)</f>
        <v>326</v>
      </c>
      <c r="K1281" s="28" t="str">
        <f>_xlfn.XLOOKUP(B1281,customers!A:A,customers!D:D)</f>
        <v>New</v>
      </c>
    </row>
    <row r="1282" spans="1:11" x14ac:dyDescent="0.25">
      <c r="A1282" s="5" t="s">
        <v>2828</v>
      </c>
      <c r="B1282" s="5" t="s">
        <v>437</v>
      </c>
      <c r="C1282" s="5" t="s">
        <v>7306</v>
      </c>
      <c r="D1282" s="1">
        <v>45453</v>
      </c>
      <c r="E1282" s="17">
        <v>0.84513888888888899</v>
      </c>
      <c r="F1282" s="5" t="s">
        <v>7305</v>
      </c>
      <c r="G1282" s="12">
        <v>654</v>
      </c>
      <c r="H1282" s="12">
        <v>32.700000000000003</v>
      </c>
      <c r="I1282" s="12">
        <v>621.29999999999995</v>
      </c>
      <c r="J1282" s="12">
        <f>SUMIF(order_item!B:B,A1282,order_item!E:E)</f>
        <v>654</v>
      </c>
      <c r="K1282" s="28" t="str">
        <f>_xlfn.XLOOKUP(B1282,customers!A:A,customers!D:D)</f>
        <v>Regular</v>
      </c>
    </row>
    <row r="1283" spans="1:11" x14ac:dyDescent="0.25">
      <c r="A1283" s="5" t="s">
        <v>2823</v>
      </c>
      <c r="B1283" s="5" t="s">
        <v>737</v>
      </c>
      <c r="C1283" s="5" t="s">
        <v>7306</v>
      </c>
      <c r="D1283" s="1">
        <v>45455</v>
      </c>
      <c r="E1283" s="17">
        <v>0.7631944444444444</v>
      </c>
      <c r="F1283" s="5" t="s">
        <v>7305</v>
      </c>
      <c r="G1283" s="12">
        <v>723</v>
      </c>
      <c r="H1283" s="12">
        <v>0</v>
      </c>
      <c r="I1283" s="12">
        <v>723</v>
      </c>
      <c r="J1283" s="12">
        <f>SUMIF(order_item!B:B,A1283,order_item!E:E)</f>
        <v>723</v>
      </c>
      <c r="K1283" s="28" t="str">
        <f>_xlfn.XLOOKUP(B1283,customers!A:A,customers!D:D)</f>
        <v>Regular</v>
      </c>
    </row>
    <row r="1284" spans="1:11" x14ac:dyDescent="0.25">
      <c r="A1284" s="5" t="s">
        <v>2820</v>
      </c>
      <c r="B1284" s="5" t="s">
        <v>169</v>
      </c>
      <c r="C1284" s="5" t="s">
        <v>7306</v>
      </c>
      <c r="D1284" s="1">
        <v>45579</v>
      </c>
      <c r="E1284" s="17">
        <v>0.90347222222222223</v>
      </c>
      <c r="F1284" s="5" t="s">
        <v>7305</v>
      </c>
      <c r="G1284" s="12">
        <v>278</v>
      </c>
      <c r="H1284" s="12">
        <v>0</v>
      </c>
      <c r="I1284" s="12">
        <v>278</v>
      </c>
      <c r="J1284" s="12">
        <f>SUMIF(order_item!B:B,A1284,order_item!E:E)</f>
        <v>278</v>
      </c>
      <c r="K1284" s="28" t="str">
        <f>_xlfn.XLOOKUP(B1284,customers!A:A,customers!D:D)</f>
        <v>New</v>
      </c>
    </row>
    <row r="1285" spans="1:11" x14ac:dyDescent="0.25">
      <c r="A1285" s="5" t="s">
        <v>2817</v>
      </c>
      <c r="B1285" s="5" t="s">
        <v>812</v>
      </c>
      <c r="C1285" s="5" t="s">
        <v>7306</v>
      </c>
      <c r="D1285" s="1">
        <v>45616</v>
      </c>
      <c r="E1285" s="17">
        <v>0.37847222222222227</v>
      </c>
      <c r="F1285" s="5" t="s">
        <v>7305</v>
      </c>
      <c r="G1285" s="12">
        <v>198</v>
      </c>
      <c r="H1285" s="12">
        <v>0</v>
      </c>
      <c r="I1285" s="12">
        <v>198</v>
      </c>
      <c r="J1285" s="12">
        <f>SUMIF(order_item!B:B,A1285,order_item!E:E)</f>
        <v>198</v>
      </c>
      <c r="K1285" s="28" t="str">
        <f>_xlfn.XLOOKUP(B1285,customers!A:A,customers!D:D)</f>
        <v>Regular</v>
      </c>
    </row>
    <row r="1286" spans="1:11" x14ac:dyDescent="0.25">
      <c r="A1286" s="5" t="s">
        <v>2812</v>
      </c>
      <c r="B1286" s="5" t="s">
        <v>381</v>
      </c>
      <c r="C1286" s="5" t="s">
        <v>7306</v>
      </c>
      <c r="D1286" s="1">
        <v>45653</v>
      </c>
      <c r="E1286" s="17">
        <v>0.82500000000000007</v>
      </c>
      <c r="F1286" s="5" t="s">
        <v>7305</v>
      </c>
      <c r="G1286" s="12">
        <v>1117</v>
      </c>
      <c r="H1286" s="12">
        <v>0</v>
      </c>
      <c r="I1286" s="12">
        <v>1117</v>
      </c>
      <c r="J1286" s="12">
        <f>SUMIF(order_item!B:B,A1286,order_item!E:E)</f>
        <v>1117</v>
      </c>
      <c r="K1286" s="28" t="str">
        <f>_xlfn.XLOOKUP(B1286,customers!A:A,customers!D:D)</f>
        <v>Premium</v>
      </c>
    </row>
    <row r="1287" spans="1:11" x14ac:dyDescent="0.25">
      <c r="A1287" s="5" t="s">
        <v>2807</v>
      </c>
      <c r="B1287" s="5" t="s">
        <v>393</v>
      </c>
      <c r="C1287" s="5" t="s">
        <v>7309</v>
      </c>
      <c r="D1287" s="1">
        <v>45490</v>
      </c>
      <c r="E1287" s="17">
        <v>0.78749999999999998</v>
      </c>
      <c r="F1287" s="5" t="s">
        <v>7305</v>
      </c>
      <c r="G1287" s="12">
        <v>436</v>
      </c>
      <c r="H1287" s="12">
        <v>0</v>
      </c>
      <c r="I1287" s="12">
        <v>436</v>
      </c>
      <c r="J1287" s="12">
        <f>SUMIF(order_item!B:B,A1287,order_item!E:E)</f>
        <v>436</v>
      </c>
      <c r="K1287" s="28" t="str">
        <f>_xlfn.XLOOKUP(B1287,customers!A:A,customers!D:D)</f>
        <v>Regular</v>
      </c>
    </row>
    <row r="1288" spans="1:11" x14ac:dyDescent="0.25">
      <c r="A1288" s="5" t="s">
        <v>2803</v>
      </c>
      <c r="B1288" s="5" t="s">
        <v>296</v>
      </c>
      <c r="C1288" s="5" t="s">
        <v>7309</v>
      </c>
      <c r="D1288" s="1">
        <v>45448</v>
      </c>
      <c r="E1288" s="17">
        <v>0.81458333333333333</v>
      </c>
      <c r="F1288" s="5" t="s">
        <v>7305</v>
      </c>
      <c r="G1288" s="12">
        <v>336</v>
      </c>
      <c r="H1288" s="12">
        <v>0</v>
      </c>
      <c r="I1288" s="12">
        <v>336</v>
      </c>
      <c r="J1288" s="12">
        <f>SUMIF(order_item!B:B,A1288,order_item!E:E)</f>
        <v>336</v>
      </c>
      <c r="K1288" s="28" t="str">
        <f>_xlfn.XLOOKUP(B1288,customers!A:A,customers!D:D)</f>
        <v>Regular</v>
      </c>
    </row>
    <row r="1289" spans="1:11" x14ac:dyDescent="0.25">
      <c r="A1289" s="5" t="s">
        <v>2800</v>
      </c>
      <c r="B1289" s="5" t="s">
        <v>145</v>
      </c>
      <c r="C1289" s="5" t="s">
        <v>7309</v>
      </c>
      <c r="D1289" s="1">
        <v>45662</v>
      </c>
      <c r="E1289" s="17">
        <v>0.71388888888888891</v>
      </c>
      <c r="F1289" s="5" t="s">
        <v>7305</v>
      </c>
      <c r="G1289" s="12">
        <v>645</v>
      </c>
      <c r="H1289" s="12">
        <v>64.5</v>
      </c>
      <c r="I1289" s="12">
        <v>580.5</v>
      </c>
      <c r="J1289" s="12">
        <f>SUMIF(order_item!B:B,A1289,order_item!E:E)</f>
        <v>645</v>
      </c>
      <c r="K1289" s="28" t="str">
        <f>_xlfn.XLOOKUP(B1289,customers!A:A,customers!D:D)</f>
        <v>Premium</v>
      </c>
    </row>
    <row r="1290" spans="1:11" x14ac:dyDescent="0.25">
      <c r="A1290" s="5" t="s">
        <v>2797</v>
      </c>
      <c r="B1290" s="5" t="s">
        <v>246</v>
      </c>
      <c r="C1290" s="5" t="s">
        <v>7309</v>
      </c>
      <c r="D1290" s="1">
        <v>45598</v>
      </c>
      <c r="E1290" s="17">
        <v>0.6743055555555556</v>
      </c>
      <c r="F1290" s="5" t="s">
        <v>7305</v>
      </c>
      <c r="G1290" s="12">
        <v>297</v>
      </c>
      <c r="H1290" s="12">
        <v>0</v>
      </c>
      <c r="I1290" s="12">
        <v>297</v>
      </c>
      <c r="J1290" s="12">
        <f>SUMIF(order_item!B:B,A1290,order_item!E:E)</f>
        <v>297</v>
      </c>
      <c r="K1290" s="28" t="str">
        <f>_xlfn.XLOOKUP(B1290,customers!A:A,customers!D:D)</f>
        <v>Premium</v>
      </c>
    </row>
    <row r="1291" spans="1:11" x14ac:dyDescent="0.25">
      <c r="A1291" s="5" t="s">
        <v>2792</v>
      </c>
      <c r="B1291" s="5" t="s">
        <v>165</v>
      </c>
      <c r="C1291" s="5" t="s">
        <v>7309</v>
      </c>
      <c r="D1291" s="1">
        <v>45629</v>
      </c>
      <c r="E1291" s="17">
        <v>0.71736111111111101</v>
      </c>
      <c r="F1291" s="5" t="s">
        <v>7305</v>
      </c>
      <c r="G1291" s="12">
        <v>584</v>
      </c>
      <c r="H1291" s="12">
        <v>58.4</v>
      </c>
      <c r="I1291" s="12">
        <v>525.6</v>
      </c>
      <c r="J1291" s="12">
        <f>SUMIF(order_item!B:B,A1291,order_item!E:E)</f>
        <v>584</v>
      </c>
      <c r="K1291" s="28" t="str">
        <f>_xlfn.XLOOKUP(B1291,customers!A:A,customers!D:D)</f>
        <v>Regular</v>
      </c>
    </row>
    <row r="1292" spans="1:11" x14ac:dyDescent="0.25">
      <c r="A1292" s="5" t="s">
        <v>2788</v>
      </c>
      <c r="B1292" s="5" t="s">
        <v>354</v>
      </c>
      <c r="C1292" s="5" t="s">
        <v>7309</v>
      </c>
      <c r="D1292" s="1">
        <v>45628</v>
      </c>
      <c r="E1292" s="17">
        <v>0.82152777777777775</v>
      </c>
      <c r="F1292" s="5" t="s">
        <v>7307</v>
      </c>
      <c r="G1292" s="12">
        <v>673</v>
      </c>
      <c r="H1292" s="12">
        <v>33.65</v>
      </c>
      <c r="I1292" s="12">
        <v>0</v>
      </c>
      <c r="J1292" s="12">
        <f>SUMIF(order_item!B:B,A1292,order_item!E:E)</f>
        <v>673</v>
      </c>
      <c r="K1292" s="28" t="str">
        <f>_xlfn.XLOOKUP(B1292,customers!A:A,customers!D:D)</f>
        <v>New</v>
      </c>
    </row>
    <row r="1293" spans="1:11" x14ac:dyDescent="0.25">
      <c r="A1293" s="5" t="s">
        <v>2786</v>
      </c>
      <c r="B1293" s="5" t="s">
        <v>584</v>
      </c>
      <c r="C1293" s="5" t="s">
        <v>7308</v>
      </c>
      <c r="D1293" s="1">
        <v>45417</v>
      </c>
      <c r="E1293" s="17">
        <v>0.70347222222222217</v>
      </c>
      <c r="F1293" s="5" t="s">
        <v>7305</v>
      </c>
      <c r="G1293" s="12">
        <v>149</v>
      </c>
      <c r="H1293" s="12">
        <v>0</v>
      </c>
      <c r="I1293" s="12">
        <v>149</v>
      </c>
      <c r="J1293" s="12">
        <f>SUMIF(order_item!B:B,A1293,order_item!E:E)</f>
        <v>149</v>
      </c>
      <c r="K1293" s="28" t="str">
        <f>_xlfn.XLOOKUP(B1293,customers!A:A,customers!D:D)</f>
        <v>Regular</v>
      </c>
    </row>
    <row r="1294" spans="1:11" x14ac:dyDescent="0.25">
      <c r="A1294" s="5" t="s">
        <v>2781</v>
      </c>
      <c r="B1294" s="5" t="s">
        <v>275</v>
      </c>
      <c r="C1294" s="5" t="s">
        <v>7309</v>
      </c>
      <c r="D1294" s="1">
        <v>45401</v>
      </c>
      <c r="E1294" s="17">
        <v>6.458333333333334E-2</v>
      </c>
      <c r="F1294" s="5" t="s">
        <v>7305</v>
      </c>
      <c r="G1294" s="12">
        <v>1202</v>
      </c>
      <c r="H1294" s="12">
        <v>0</v>
      </c>
      <c r="I1294" s="12">
        <v>1202</v>
      </c>
      <c r="J1294" s="12">
        <f>SUMIF(order_item!B:B,A1294,order_item!E:E)</f>
        <v>1202</v>
      </c>
      <c r="K1294" s="28" t="str">
        <f>_xlfn.XLOOKUP(B1294,customers!A:A,customers!D:D)</f>
        <v>Regular</v>
      </c>
    </row>
    <row r="1295" spans="1:11" x14ac:dyDescent="0.25">
      <c r="A1295" s="5" t="s">
        <v>2776</v>
      </c>
      <c r="B1295" s="5" t="s">
        <v>234</v>
      </c>
      <c r="C1295" s="5" t="s">
        <v>7306</v>
      </c>
      <c r="D1295" s="1">
        <v>45387</v>
      </c>
      <c r="E1295" s="17">
        <v>0.65138888888888891</v>
      </c>
      <c r="F1295" s="5" t="s">
        <v>7305</v>
      </c>
      <c r="G1295" s="12">
        <v>1058</v>
      </c>
      <c r="H1295" s="12">
        <v>0</v>
      </c>
      <c r="I1295" s="12">
        <v>1058</v>
      </c>
      <c r="J1295" s="12">
        <f>SUMIF(order_item!B:B,A1295,order_item!E:E)</f>
        <v>1058</v>
      </c>
      <c r="K1295" s="28" t="str">
        <f>_xlfn.XLOOKUP(B1295,customers!A:A,customers!D:D)</f>
        <v>Regular</v>
      </c>
    </row>
    <row r="1296" spans="1:11" x14ac:dyDescent="0.25">
      <c r="A1296" s="5" t="s">
        <v>2773</v>
      </c>
      <c r="B1296" s="5" t="s">
        <v>173</v>
      </c>
      <c r="C1296" s="5" t="s">
        <v>7308</v>
      </c>
      <c r="D1296" s="1">
        <v>45548</v>
      </c>
      <c r="E1296" s="17">
        <v>0.52916666666666667</v>
      </c>
      <c r="F1296" s="5" t="s">
        <v>7305</v>
      </c>
      <c r="G1296" s="12">
        <v>158</v>
      </c>
      <c r="H1296" s="12">
        <v>0</v>
      </c>
      <c r="I1296" s="12">
        <v>158</v>
      </c>
      <c r="J1296" s="12">
        <f>SUMIF(order_item!B:B,A1296,order_item!E:E)</f>
        <v>158</v>
      </c>
      <c r="K1296" s="28" t="str">
        <f>_xlfn.XLOOKUP(B1296,customers!A:A,customers!D:D)</f>
        <v>Regular</v>
      </c>
    </row>
    <row r="1297" spans="1:11" x14ac:dyDescent="0.25">
      <c r="A1297" s="5" t="s">
        <v>2770</v>
      </c>
      <c r="B1297" s="5" t="s">
        <v>507</v>
      </c>
      <c r="C1297" s="5" t="s">
        <v>7306</v>
      </c>
      <c r="D1297" s="1">
        <v>45714</v>
      </c>
      <c r="E1297" s="17">
        <v>0.72986111111111107</v>
      </c>
      <c r="F1297" s="5" t="s">
        <v>7305</v>
      </c>
      <c r="G1297" s="12">
        <v>533</v>
      </c>
      <c r="H1297" s="12">
        <v>79.95</v>
      </c>
      <c r="I1297" s="12">
        <v>453.05</v>
      </c>
      <c r="J1297" s="12">
        <f>SUMIF(order_item!B:B,A1297,order_item!E:E)</f>
        <v>533</v>
      </c>
      <c r="K1297" s="28" t="str">
        <f>_xlfn.XLOOKUP(B1297,customers!A:A,customers!D:D)</f>
        <v>New</v>
      </c>
    </row>
    <row r="1298" spans="1:11" x14ac:dyDescent="0.25">
      <c r="A1298" s="5" t="s">
        <v>2767</v>
      </c>
      <c r="B1298" s="5" t="s">
        <v>236</v>
      </c>
      <c r="C1298" s="5" t="s">
        <v>7309</v>
      </c>
      <c r="D1298" s="1">
        <v>45660</v>
      </c>
      <c r="E1298" s="17">
        <v>0.93125000000000002</v>
      </c>
      <c r="F1298" s="5" t="s">
        <v>7307</v>
      </c>
      <c r="G1298" s="12">
        <v>248</v>
      </c>
      <c r="H1298" s="12">
        <v>0</v>
      </c>
      <c r="I1298" s="12">
        <v>0</v>
      </c>
      <c r="J1298" s="12">
        <f>SUMIF(order_item!B:B,A1298,order_item!E:E)</f>
        <v>248</v>
      </c>
      <c r="K1298" s="28" t="str">
        <f>_xlfn.XLOOKUP(B1298,customers!A:A,customers!D:D)</f>
        <v>Premium</v>
      </c>
    </row>
    <row r="1299" spans="1:11" x14ac:dyDescent="0.25">
      <c r="A1299" s="5" t="s">
        <v>2765</v>
      </c>
      <c r="B1299" s="5" t="s">
        <v>426</v>
      </c>
      <c r="C1299" s="5" t="s">
        <v>7309</v>
      </c>
      <c r="D1299" s="1">
        <v>45724</v>
      </c>
      <c r="E1299" s="17">
        <v>0.91041666666666676</v>
      </c>
      <c r="F1299" s="5" t="s">
        <v>7305</v>
      </c>
      <c r="G1299" s="12">
        <v>89</v>
      </c>
      <c r="H1299" s="12">
        <v>0</v>
      </c>
      <c r="I1299" s="12">
        <v>89</v>
      </c>
      <c r="J1299" s="12">
        <f>SUMIF(order_item!B:B,A1299,order_item!E:E)</f>
        <v>89</v>
      </c>
      <c r="K1299" s="28" t="str">
        <f>_xlfn.XLOOKUP(B1299,customers!A:A,customers!D:D)</f>
        <v>Regular</v>
      </c>
    </row>
    <row r="1300" spans="1:11" x14ac:dyDescent="0.25">
      <c r="A1300" s="5" t="s">
        <v>2762</v>
      </c>
      <c r="B1300" s="5" t="s">
        <v>269</v>
      </c>
      <c r="C1300" s="5" t="s">
        <v>7309</v>
      </c>
      <c r="D1300" s="1">
        <v>45688</v>
      </c>
      <c r="E1300" s="17">
        <v>0.76874999999999993</v>
      </c>
      <c r="F1300" s="5" t="s">
        <v>7305</v>
      </c>
      <c r="G1300" s="12">
        <v>436</v>
      </c>
      <c r="H1300" s="12">
        <v>0</v>
      </c>
      <c r="I1300" s="12">
        <v>436</v>
      </c>
      <c r="J1300" s="12">
        <f>SUMIF(order_item!B:B,A1300,order_item!E:E)</f>
        <v>436</v>
      </c>
      <c r="K1300" s="28" t="str">
        <f>_xlfn.XLOOKUP(B1300,customers!A:A,customers!D:D)</f>
        <v>New</v>
      </c>
    </row>
    <row r="1301" spans="1:11" x14ac:dyDescent="0.25">
      <c r="A1301" s="5" t="s">
        <v>2758</v>
      </c>
      <c r="B1301" s="5" t="s">
        <v>483</v>
      </c>
      <c r="C1301" s="5" t="s">
        <v>7308</v>
      </c>
      <c r="D1301" s="1">
        <v>45532</v>
      </c>
      <c r="E1301" s="17">
        <v>6.25E-2</v>
      </c>
      <c r="F1301" s="5" t="s">
        <v>7305</v>
      </c>
      <c r="G1301" s="12">
        <v>810</v>
      </c>
      <c r="H1301" s="12">
        <v>0</v>
      </c>
      <c r="I1301" s="12">
        <v>810</v>
      </c>
      <c r="J1301" s="12">
        <f>SUMIF(order_item!B:B,A1301,order_item!E:E)</f>
        <v>810</v>
      </c>
      <c r="K1301" s="28" t="str">
        <f>_xlfn.XLOOKUP(B1301,customers!A:A,customers!D:D)</f>
        <v>Regular</v>
      </c>
    </row>
    <row r="1302" spans="1:11" x14ac:dyDescent="0.25">
      <c r="A1302" s="5" t="s">
        <v>2755</v>
      </c>
      <c r="B1302" s="5" t="s">
        <v>196</v>
      </c>
      <c r="C1302" s="5" t="s">
        <v>7309</v>
      </c>
      <c r="D1302" s="1">
        <v>45507</v>
      </c>
      <c r="E1302" s="17">
        <v>0.77222222222222225</v>
      </c>
      <c r="F1302" s="5" t="s">
        <v>7305</v>
      </c>
      <c r="G1302" s="12">
        <v>386</v>
      </c>
      <c r="H1302" s="12">
        <v>0</v>
      </c>
      <c r="I1302" s="12">
        <v>386</v>
      </c>
      <c r="J1302" s="12">
        <f>SUMIF(order_item!B:B,A1302,order_item!E:E)</f>
        <v>386</v>
      </c>
      <c r="K1302" s="28" t="str">
        <f>_xlfn.XLOOKUP(B1302,customers!A:A,customers!D:D)</f>
        <v>Regular</v>
      </c>
    </row>
    <row r="1303" spans="1:11" x14ac:dyDescent="0.25">
      <c r="A1303" s="5" t="s">
        <v>2752</v>
      </c>
      <c r="B1303" s="5" t="s">
        <v>462</v>
      </c>
      <c r="C1303" s="5" t="s">
        <v>7306</v>
      </c>
      <c r="D1303" s="1">
        <v>45548</v>
      </c>
      <c r="E1303" s="17">
        <v>0.7993055555555556</v>
      </c>
      <c r="F1303" s="5" t="s">
        <v>7305</v>
      </c>
      <c r="G1303" s="12">
        <v>375</v>
      </c>
      <c r="H1303" s="12">
        <v>0</v>
      </c>
      <c r="I1303" s="12">
        <v>375</v>
      </c>
      <c r="J1303" s="12">
        <f>SUMIF(order_item!B:B,A1303,order_item!E:E)</f>
        <v>375</v>
      </c>
      <c r="K1303" s="28" t="str">
        <f>_xlfn.XLOOKUP(B1303,customers!A:A,customers!D:D)</f>
        <v>Regular</v>
      </c>
    </row>
    <row r="1304" spans="1:11" x14ac:dyDescent="0.25">
      <c r="A1304" s="5" t="s">
        <v>2749</v>
      </c>
      <c r="B1304" s="5" t="s">
        <v>729</v>
      </c>
      <c r="C1304" s="5" t="s">
        <v>7306</v>
      </c>
      <c r="D1304" s="1">
        <v>45438</v>
      </c>
      <c r="E1304" s="17">
        <v>0.51458333333333328</v>
      </c>
      <c r="F1304" s="5" t="s">
        <v>7305</v>
      </c>
      <c r="G1304" s="12">
        <v>397</v>
      </c>
      <c r="H1304" s="12">
        <v>39.700000000000003</v>
      </c>
      <c r="I1304" s="12">
        <v>357.3</v>
      </c>
      <c r="J1304" s="12">
        <f>SUMIF(order_item!B:B,A1304,order_item!E:E)</f>
        <v>397</v>
      </c>
      <c r="K1304" s="28" t="str">
        <f>_xlfn.XLOOKUP(B1304,customers!A:A,customers!D:D)</f>
        <v>Regular</v>
      </c>
    </row>
    <row r="1305" spans="1:11" x14ac:dyDescent="0.25">
      <c r="A1305" s="5" t="s">
        <v>2744</v>
      </c>
      <c r="B1305" s="5" t="s">
        <v>848</v>
      </c>
      <c r="C1305" s="5" t="s">
        <v>7306</v>
      </c>
      <c r="D1305" s="1">
        <v>45612</v>
      </c>
      <c r="E1305" s="17">
        <v>0.90555555555555556</v>
      </c>
      <c r="F1305" s="5" t="s">
        <v>7305</v>
      </c>
      <c r="G1305" s="12">
        <v>504</v>
      </c>
      <c r="H1305" s="12">
        <v>0</v>
      </c>
      <c r="I1305" s="12">
        <v>504</v>
      </c>
      <c r="J1305" s="12">
        <f>SUMIF(order_item!B:B,A1305,order_item!E:E)</f>
        <v>504</v>
      </c>
      <c r="K1305" s="28" t="str">
        <f>_xlfn.XLOOKUP(B1305,customers!A:A,customers!D:D)</f>
        <v>Regular</v>
      </c>
    </row>
    <row r="1306" spans="1:11" x14ac:dyDescent="0.25">
      <c r="A1306" s="5" t="s">
        <v>2740</v>
      </c>
      <c r="B1306" s="5" t="s">
        <v>734</v>
      </c>
      <c r="C1306" s="5" t="s">
        <v>7306</v>
      </c>
      <c r="D1306" s="1">
        <v>45726</v>
      </c>
      <c r="E1306" s="17">
        <v>0.72916666666666663</v>
      </c>
      <c r="F1306" s="5" t="s">
        <v>7305</v>
      </c>
      <c r="G1306" s="12">
        <v>764</v>
      </c>
      <c r="H1306" s="12">
        <v>0</v>
      </c>
      <c r="I1306" s="12">
        <v>764</v>
      </c>
      <c r="J1306" s="12">
        <f>SUMIF(order_item!B:B,A1306,order_item!E:E)</f>
        <v>764</v>
      </c>
      <c r="K1306" s="28" t="str">
        <f>_xlfn.XLOOKUP(B1306,customers!A:A,customers!D:D)</f>
        <v>Regular</v>
      </c>
    </row>
    <row r="1307" spans="1:11" x14ac:dyDescent="0.25">
      <c r="A1307" s="5" t="s">
        <v>2737</v>
      </c>
      <c r="B1307" s="5" t="s">
        <v>537</v>
      </c>
      <c r="C1307" s="5" t="s">
        <v>7309</v>
      </c>
      <c r="D1307" s="1">
        <v>45405</v>
      </c>
      <c r="E1307" s="17">
        <v>0.87222222222222223</v>
      </c>
      <c r="F1307" s="5" t="s">
        <v>7305</v>
      </c>
      <c r="G1307" s="12">
        <v>357</v>
      </c>
      <c r="H1307" s="12">
        <v>0</v>
      </c>
      <c r="I1307" s="12">
        <v>357</v>
      </c>
      <c r="J1307" s="12">
        <f>SUMIF(order_item!B:B,A1307,order_item!E:E)</f>
        <v>357</v>
      </c>
      <c r="K1307" s="28" t="str">
        <f>_xlfn.XLOOKUP(B1307,customers!A:A,customers!D:D)</f>
        <v>New</v>
      </c>
    </row>
    <row r="1308" spans="1:11" x14ac:dyDescent="0.25">
      <c r="A1308" s="5" t="s">
        <v>2734</v>
      </c>
      <c r="B1308" s="5" t="s">
        <v>728</v>
      </c>
      <c r="C1308" s="5" t="s">
        <v>7308</v>
      </c>
      <c r="D1308" s="1">
        <v>45588</v>
      </c>
      <c r="E1308" s="17">
        <v>0.72916666666666663</v>
      </c>
      <c r="F1308" s="5" t="s">
        <v>7305</v>
      </c>
      <c r="G1308" s="12">
        <v>496</v>
      </c>
      <c r="H1308" s="12">
        <v>24.8</v>
      </c>
      <c r="I1308" s="12">
        <v>471.2</v>
      </c>
      <c r="J1308" s="12">
        <f>SUMIF(order_item!B:B,A1308,order_item!E:E)</f>
        <v>496</v>
      </c>
      <c r="K1308" s="28" t="str">
        <f>_xlfn.XLOOKUP(B1308,customers!A:A,customers!D:D)</f>
        <v>Regular</v>
      </c>
    </row>
    <row r="1309" spans="1:11" x14ac:dyDescent="0.25">
      <c r="A1309" s="5" t="s">
        <v>2732</v>
      </c>
      <c r="B1309" s="5" t="s">
        <v>518</v>
      </c>
      <c r="C1309" s="5" t="s">
        <v>7309</v>
      </c>
      <c r="D1309" s="1">
        <v>45684</v>
      </c>
      <c r="E1309" s="17">
        <v>8.0555555555555561E-2</v>
      </c>
      <c r="F1309" s="5" t="s">
        <v>7305</v>
      </c>
      <c r="G1309" s="12">
        <v>297</v>
      </c>
      <c r="H1309" s="12">
        <v>0</v>
      </c>
      <c r="I1309" s="12">
        <v>297</v>
      </c>
      <c r="J1309" s="12">
        <f>SUMIF(order_item!B:B,A1309,order_item!E:E)</f>
        <v>297</v>
      </c>
      <c r="K1309" s="28" t="str">
        <f>_xlfn.XLOOKUP(B1309,customers!A:A,customers!D:D)</f>
        <v>Regular</v>
      </c>
    </row>
    <row r="1310" spans="1:11" x14ac:dyDescent="0.25">
      <c r="A1310" s="5" t="s">
        <v>2729</v>
      </c>
      <c r="B1310" s="5" t="s">
        <v>205</v>
      </c>
      <c r="C1310" s="5" t="s">
        <v>7306</v>
      </c>
      <c r="D1310" s="1">
        <v>45703</v>
      </c>
      <c r="E1310" s="17">
        <v>0.76180555555555562</v>
      </c>
      <c r="F1310" s="5" t="s">
        <v>7305</v>
      </c>
      <c r="G1310" s="12">
        <v>635</v>
      </c>
      <c r="H1310" s="12">
        <v>0</v>
      </c>
      <c r="I1310" s="12">
        <v>635</v>
      </c>
      <c r="J1310" s="12">
        <f>SUMIF(order_item!B:B,A1310,order_item!E:E)</f>
        <v>635</v>
      </c>
      <c r="K1310" s="28" t="str">
        <f>_xlfn.XLOOKUP(B1310,customers!A:A,customers!D:D)</f>
        <v>Regular</v>
      </c>
    </row>
    <row r="1311" spans="1:11" x14ac:dyDescent="0.25">
      <c r="A1311" s="5" t="s">
        <v>2724</v>
      </c>
      <c r="B1311" s="5" t="s">
        <v>580</v>
      </c>
      <c r="C1311" s="5" t="s">
        <v>7308</v>
      </c>
      <c r="D1311" s="1">
        <v>45674</v>
      </c>
      <c r="E1311" s="17">
        <v>0.74097222222222225</v>
      </c>
      <c r="F1311" s="5" t="s">
        <v>7305</v>
      </c>
      <c r="G1311" s="12">
        <v>406</v>
      </c>
      <c r="H1311" s="12">
        <v>0</v>
      </c>
      <c r="I1311" s="12">
        <v>406</v>
      </c>
      <c r="J1311" s="12">
        <f>SUMIF(order_item!B:B,A1311,order_item!E:E)</f>
        <v>406</v>
      </c>
      <c r="K1311" s="28" t="str">
        <f>_xlfn.XLOOKUP(B1311,customers!A:A,customers!D:D)</f>
        <v>Regular</v>
      </c>
    </row>
    <row r="1312" spans="1:11" x14ac:dyDescent="0.25">
      <c r="A1312" s="5" t="s">
        <v>2720</v>
      </c>
      <c r="B1312" s="5" t="s">
        <v>817</v>
      </c>
      <c r="C1312" s="5" t="s">
        <v>7309</v>
      </c>
      <c r="D1312" s="1">
        <v>45704</v>
      </c>
      <c r="E1312" s="17">
        <v>0.74375000000000002</v>
      </c>
      <c r="F1312" s="5" t="s">
        <v>7305</v>
      </c>
      <c r="G1312" s="12">
        <v>336</v>
      </c>
      <c r="H1312" s="12">
        <v>0</v>
      </c>
      <c r="I1312" s="12">
        <v>336</v>
      </c>
      <c r="J1312" s="12">
        <f>SUMIF(order_item!B:B,A1312,order_item!E:E)</f>
        <v>336</v>
      </c>
      <c r="K1312" s="28" t="str">
        <f>_xlfn.XLOOKUP(B1312,customers!A:A,customers!D:D)</f>
        <v>New</v>
      </c>
    </row>
    <row r="1313" spans="1:11" x14ac:dyDescent="0.25">
      <c r="A1313" s="5" t="s">
        <v>2716</v>
      </c>
      <c r="B1313" s="5" t="s">
        <v>189</v>
      </c>
      <c r="C1313" s="5" t="s">
        <v>7309</v>
      </c>
      <c r="D1313" s="1">
        <v>45487</v>
      </c>
      <c r="E1313" s="17">
        <v>0.84305555555555556</v>
      </c>
      <c r="F1313" s="5" t="s">
        <v>7305</v>
      </c>
      <c r="G1313" s="12">
        <v>852</v>
      </c>
      <c r="H1313" s="12">
        <v>42.6</v>
      </c>
      <c r="I1313" s="12">
        <v>809.4</v>
      </c>
      <c r="J1313" s="12">
        <f>SUMIF(order_item!B:B,A1313,order_item!E:E)</f>
        <v>852</v>
      </c>
      <c r="K1313" s="28" t="str">
        <f>_xlfn.XLOOKUP(B1313,customers!A:A,customers!D:D)</f>
        <v>New</v>
      </c>
    </row>
    <row r="1314" spans="1:11" x14ac:dyDescent="0.25">
      <c r="A1314" s="5" t="s">
        <v>2712</v>
      </c>
      <c r="B1314" s="5" t="s">
        <v>829</v>
      </c>
      <c r="C1314" s="5" t="s">
        <v>7309</v>
      </c>
      <c r="D1314" s="1">
        <v>45651</v>
      </c>
      <c r="E1314" s="17">
        <v>0.59444444444444444</v>
      </c>
      <c r="F1314" s="5" t="s">
        <v>7307</v>
      </c>
      <c r="G1314" s="12">
        <v>574</v>
      </c>
      <c r="H1314" s="12">
        <v>57.4</v>
      </c>
      <c r="I1314" s="12">
        <v>0</v>
      </c>
      <c r="J1314" s="12">
        <f>SUMIF(order_item!B:B,A1314,order_item!E:E)</f>
        <v>574</v>
      </c>
      <c r="K1314" s="28" t="str">
        <f>_xlfn.XLOOKUP(B1314,customers!A:A,customers!D:D)</f>
        <v>Regular</v>
      </c>
    </row>
    <row r="1315" spans="1:11" x14ac:dyDescent="0.25">
      <c r="A1315" s="5" t="s">
        <v>2710</v>
      </c>
      <c r="B1315" s="5" t="s">
        <v>477</v>
      </c>
      <c r="C1315" s="5" t="s">
        <v>7308</v>
      </c>
      <c r="D1315" s="1">
        <v>45639</v>
      </c>
      <c r="E1315" s="17">
        <v>0.9243055555555556</v>
      </c>
      <c r="F1315" s="5" t="s">
        <v>7305</v>
      </c>
      <c r="G1315" s="12">
        <v>89</v>
      </c>
      <c r="H1315" s="12">
        <v>13.35</v>
      </c>
      <c r="I1315" s="12">
        <v>75.650000000000006</v>
      </c>
      <c r="J1315" s="12">
        <f>SUMIF(order_item!B:B,A1315,order_item!E:E)</f>
        <v>89</v>
      </c>
      <c r="K1315" s="28" t="str">
        <f>_xlfn.XLOOKUP(B1315,customers!A:A,customers!D:D)</f>
        <v>Regular</v>
      </c>
    </row>
    <row r="1316" spans="1:11" x14ac:dyDescent="0.25">
      <c r="A1316" s="5" t="s">
        <v>2707</v>
      </c>
      <c r="B1316" s="5" t="s">
        <v>575</v>
      </c>
      <c r="C1316" s="5" t="s">
        <v>7309</v>
      </c>
      <c r="D1316" s="1">
        <v>45677</v>
      </c>
      <c r="E1316" s="17">
        <v>0.82291666666666663</v>
      </c>
      <c r="F1316" s="5" t="s">
        <v>7305</v>
      </c>
      <c r="G1316" s="12">
        <v>258</v>
      </c>
      <c r="H1316" s="12">
        <v>0</v>
      </c>
      <c r="I1316" s="12">
        <v>258</v>
      </c>
      <c r="J1316" s="12">
        <f>SUMIF(order_item!B:B,A1316,order_item!E:E)</f>
        <v>258</v>
      </c>
      <c r="K1316" s="28" t="str">
        <f>_xlfn.XLOOKUP(B1316,customers!A:A,customers!D:D)</f>
        <v>Regular</v>
      </c>
    </row>
    <row r="1317" spans="1:11" x14ac:dyDescent="0.25">
      <c r="A1317" s="5" t="s">
        <v>2704</v>
      </c>
      <c r="B1317" s="5" t="s">
        <v>547</v>
      </c>
      <c r="C1317" s="5" t="s">
        <v>7306</v>
      </c>
      <c r="D1317" s="1">
        <v>45616</v>
      </c>
      <c r="E1317" s="17">
        <v>0.75069444444444444</v>
      </c>
      <c r="F1317" s="5" t="s">
        <v>7305</v>
      </c>
      <c r="G1317" s="12">
        <v>267</v>
      </c>
      <c r="H1317" s="12">
        <v>26.7</v>
      </c>
      <c r="I1317" s="12">
        <v>240.3</v>
      </c>
      <c r="J1317" s="12">
        <f>SUMIF(order_item!B:B,A1317,order_item!E:E)</f>
        <v>267</v>
      </c>
      <c r="K1317" s="28" t="str">
        <f>_xlfn.XLOOKUP(B1317,customers!A:A,customers!D:D)</f>
        <v>New</v>
      </c>
    </row>
    <row r="1318" spans="1:11" x14ac:dyDescent="0.25">
      <c r="A1318" s="5" t="s">
        <v>2699</v>
      </c>
      <c r="B1318" s="5" t="s">
        <v>859</v>
      </c>
      <c r="C1318" s="5" t="s">
        <v>7306</v>
      </c>
      <c r="D1318" s="1">
        <v>45689</v>
      </c>
      <c r="E1318" s="17">
        <v>0.69027777777777777</v>
      </c>
      <c r="F1318" s="5" t="s">
        <v>7305</v>
      </c>
      <c r="G1318" s="12">
        <v>2005</v>
      </c>
      <c r="H1318" s="12">
        <v>0</v>
      </c>
      <c r="I1318" s="12">
        <v>2005</v>
      </c>
      <c r="J1318" s="12">
        <f>SUMIF(order_item!B:B,A1318,order_item!E:E)</f>
        <v>2005</v>
      </c>
      <c r="K1318" s="28" t="str">
        <f>_xlfn.XLOOKUP(B1318,customers!A:A,customers!D:D)</f>
        <v>Regular</v>
      </c>
    </row>
    <row r="1319" spans="1:11" x14ac:dyDescent="0.25">
      <c r="A1319" s="5" t="s">
        <v>2697</v>
      </c>
      <c r="B1319" s="5" t="s">
        <v>846</v>
      </c>
      <c r="C1319" s="5" t="s">
        <v>7306</v>
      </c>
      <c r="D1319" s="1">
        <v>45395</v>
      </c>
      <c r="E1319" s="17">
        <v>0.87361111111111101</v>
      </c>
      <c r="F1319" s="5" t="s">
        <v>7305</v>
      </c>
      <c r="G1319" s="12">
        <v>89</v>
      </c>
      <c r="H1319" s="12">
        <v>0</v>
      </c>
      <c r="I1319" s="12">
        <v>89</v>
      </c>
      <c r="J1319" s="12">
        <f>SUMIF(order_item!B:B,A1319,order_item!E:E)</f>
        <v>89</v>
      </c>
      <c r="K1319" s="28" t="str">
        <f>_xlfn.XLOOKUP(B1319,customers!A:A,customers!D:D)</f>
        <v>Regular</v>
      </c>
    </row>
    <row r="1320" spans="1:11" x14ac:dyDescent="0.25">
      <c r="A1320" s="5" t="s">
        <v>2695</v>
      </c>
      <c r="B1320" s="5" t="s">
        <v>381</v>
      </c>
      <c r="C1320" s="5" t="s">
        <v>7306</v>
      </c>
      <c r="D1320" s="1">
        <v>45530</v>
      </c>
      <c r="E1320" s="17">
        <v>0.7895833333333333</v>
      </c>
      <c r="F1320" s="5" t="s">
        <v>7305</v>
      </c>
      <c r="G1320" s="12">
        <v>79</v>
      </c>
      <c r="H1320" s="12">
        <v>0</v>
      </c>
      <c r="I1320" s="12">
        <v>79</v>
      </c>
      <c r="J1320" s="12">
        <f>SUMIF(order_item!B:B,A1320,order_item!E:E)</f>
        <v>79</v>
      </c>
      <c r="K1320" s="28" t="str">
        <f>_xlfn.XLOOKUP(B1320,customers!A:A,customers!D:D)</f>
        <v>Premium</v>
      </c>
    </row>
    <row r="1321" spans="1:11" x14ac:dyDescent="0.25">
      <c r="A1321" s="5" t="s">
        <v>2691</v>
      </c>
      <c r="B1321" s="5" t="s">
        <v>187</v>
      </c>
      <c r="C1321" s="5" t="s">
        <v>7309</v>
      </c>
      <c r="D1321" s="1">
        <v>45519</v>
      </c>
      <c r="E1321" s="17">
        <v>0.38472222222222219</v>
      </c>
      <c r="F1321" s="5" t="s">
        <v>7305</v>
      </c>
      <c r="G1321" s="12">
        <v>715</v>
      </c>
      <c r="H1321" s="12">
        <v>0</v>
      </c>
      <c r="I1321" s="12">
        <v>715</v>
      </c>
      <c r="J1321" s="12">
        <f>SUMIF(order_item!B:B,A1321,order_item!E:E)</f>
        <v>715</v>
      </c>
      <c r="K1321" s="28" t="str">
        <f>_xlfn.XLOOKUP(B1321,customers!A:A,customers!D:D)</f>
        <v>New</v>
      </c>
    </row>
    <row r="1322" spans="1:11" x14ac:dyDescent="0.25">
      <c r="A1322" s="5" t="s">
        <v>2687</v>
      </c>
      <c r="B1322" s="5" t="s">
        <v>232</v>
      </c>
      <c r="C1322" s="5" t="s">
        <v>7306</v>
      </c>
      <c r="D1322" s="1">
        <v>45717</v>
      </c>
      <c r="E1322" s="17">
        <v>0.70833333333333337</v>
      </c>
      <c r="F1322" s="5" t="s">
        <v>7305</v>
      </c>
      <c r="G1322" s="12">
        <v>1011</v>
      </c>
      <c r="H1322" s="12">
        <v>151.65</v>
      </c>
      <c r="I1322" s="12">
        <v>859.35</v>
      </c>
      <c r="J1322" s="12">
        <f>SUMIF(order_item!B:B,A1322,order_item!E:E)</f>
        <v>1011</v>
      </c>
      <c r="K1322" s="28" t="str">
        <f>_xlfn.XLOOKUP(B1322,customers!A:A,customers!D:D)</f>
        <v>Regular</v>
      </c>
    </row>
    <row r="1323" spans="1:11" x14ac:dyDescent="0.25">
      <c r="A1323" s="5" t="s">
        <v>2685</v>
      </c>
      <c r="B1323" s="5" t="s">
        <v>652</v>
      </c>
      <c r="C1323" s="5" t="s">
        <v>7308</v>
      </c>
      <c r="D1323" s="1">
        <v>45405</v>
      </c>
      <c r="E1323" s="17">
        <v>1.7361111111111112E-2</v>
      </c>
      <c r="F1323" s="5" t="s">
        <v>7305</v>
      </c>
      <c r="G1323" s="12">
        <v>198</v>
      </c>
      <c r="H1323" s="12">
        <v>0</v>
      </c>
      <c r="I1323" s="12">
        <v>198</v>
      </c>
      <c r="J1323" s="12">
        <f>SUMIF(order_item!B:B,A1323,order_item!E:E)</f>
        <v>198</v>
      </c>
      <c r="K1323" s="28" t="str">
        <f>_xlfn.XLOOKUP(B1323,customers!A:A,customers!D:D)</f>
        <v>Premium</v>
      </c>
    </row>
    <row r="1324" spans="1:11" x14ac:dyDescent="0.25">
      <c r="A1324" s="5" t="s">
        <v>2682</v>
      </c>
      <c r="B1324" s="5" t="s">
        <v>761</v>
      </c>
      <c r="C1324" s="5" t="s">
        <v>7309</v>
      </c>
      <c r="D1324" s="1">
        <v>45575</v>
      </c>
      <c r="E1324" s="17">
        <v>0.76180555555555562</v>
      </c>
      <c r="F1324" s="5" t="s">
        <v>7305</v>
      </c>
      <c r="G1324" s="12">
        <v>248</v>
      </c>
      <c r="H1324" s="12">
        <v>0</v>
      </c>
      <c r="I1324" s="12">
        <v>248</v>
      </c>
      <c r="J1324" s="12">
        <f>SUMIF(order_item!B:B,A1324,order_item!E:E)</f>
        <v>248</v>
      </c>
      <c r="K1324" s="28" t="str">
        <f>_xlfn.XLOOKUP(B1324,customers!A:A,customers!D:D)</f>
        <v>Regular</v>
      </c>
    </row>
    <row r="1325" spans="1:11" x14ac:dyDescent="0.25">
      <c r="A1325" s="5" t="s">
        <v>2680</v>
      </c>
      <c r="B1325" s="5" t="s">
        <v>748</v>
      </c>
      <c r="C1325" s="5" t="s">
        <v>7309</v>
      </c>
      <c r="D1325" s="1">
        <v>45616</v>
      </c>
      <c r="E1325" s="17">
        <v>5.5555555555555558E-3</v>
      </c>
      <c r="F1325" s="5" t="s">
        <v>7305</v>
      </c>
      <c r="G1325" s="12">
        <v>178</v>
      </c>
      <c r="H1325" s="12">
        <v>17.8</v>
      </c>
      <c r="I1325" s="12">
        <v>160.19999999999999</v>
      </c>
      <c r="J1325" s="12">
        <f>SUMIF(order_item!B:B,A1325,order_item!E:E)</f>
        <v>178</v>
      </c>
      <c r="K1325" s="28" t="str">
        <f>_xlfn.XLOOKUP(B1325,customers!A:A,customers!D:D)</f>
        <v>Regular</v>
      </c>
    </row>
    <row r="1326" spans="1:11" x14ac:dyDescent="0.25">
      <c r="A1326" s="5" t="s">
        <v>2677</v>
      </c>
      <c r="B1326" s="5" t="s">
        <v>369</v>
      </c>
      <c r="C1326" s="5" t="s">
        <v>7308</v>
      </c>
      <c r="D1326" s="1">
        <v>45692</v>
      </c>
      <c r="E1326" s="17">
        <v>0.75624999999999998</v>
      </c>
      <c r="F1326" s="5" t="s">
        <v>7305</v>
      </c>
      <c r="G1326" s="12">
        <v>277</v>
      </c>
      <c r="H1326" s="12">
        <v>13.85</v>
      </c>
      <c r="I1326" s="12">
        <v>263.14999999999998</v>
      </c>
      <c r="J1326" s="12">
        <f>SUMIF(order_item!B:B,A1326,order_item!E:E)</f>
        <v>277</v>
      </c>
      <c r="K1326" s="28" t="str">
        <f>_xlfn.XLOOKUP(B1326,customers!A:A,customers!D:D)</f>
        <v>Premium</v>
      </c>
    </row>
    <row r="1327" spans="1:11" x14ac:dyDescent="0.25">
      <c r="A1327" s="5" t="s">
        <v>2672</v>
      </c>
      <c r="B1327" s="5" t="s">
        <v>299</v>
      </c>
      <c r="C1327" s="5" t="s">
        <v>7308</v>
      </c>
      <c r="D1327" s="1">
        <v>45393</v>
      </c>
      <c r="E1327" s="17">
        <v>0.73749999999999993</v>
      </c>
      <c r="F1327" s="5" t="s">
        <v>7305</v>
      </c>
      <c r="G1327" s="12">
        <v>793</v>
      </c>
      <c r="H1327" s="12">
        <v>0</v>
      </c>
      <c r="I1327" s="12">
        <v>793</v>
      </c>
      <c r="J1327" s="12">
        <f>SUMIF(order_item!B:B,A1327,order_item!E:E)</f>
        <v>793</v>
      </c>
      <c r="K1327" s="28" t="str">
        <f>_xlfn.XLOOKUP(B1327,customers!A:A,customers!D:D)</f>
        <v>Regular</v>
      </c>
    </row>
    <row r="1328" spans="1:11" x14ac:dyDescent="0.25">
      <c r="A1328" s="5" t="s">
        <v>2667</v>
      </c>
      <c r="B1328" s="5" t="s">
        <v>800</v>
      </c>
      <c r="C1328" s="5" t="s">
        <v>7309</v>
      </c>
      <c r="D1328" s="1">
        <v>45644</v>
      </c>
      <c r="E1328" s="17">
        <v>0.86111111111111116</v>
      </c>
      <c r="F1328" s="5" t="s">
        <v>7305</v>
      </c>
      <c r="G1328" s="12">
        <v>814</v>
      </c>
      <c r="H1328" s="12">
        <v>40.700000000000003</v>
      </c>
      <c r="I1328" s="12">
        <v>773.3</v>
      </c>
      <c r="J1328" s="12">
        <f>SUMIF(order_item!B:B,A1328,order_item!E:E)</f>
        <v>814</v>
      </c>
      <c r="K1328" s="28" t="str">
        <f>_xlfn.XLOOKUP(B1328,customers!A:A,customers!D:D)</f>
        <v>Regular</v>
      </c>
    </row>
    <row r="1329" spans="1:11" x14ac:dyDescent="0.25">
      <c r="A1329" s="5" t="s">
        <v>2664</v>
      </c>
      <c r="B1329" s="5" t="s">
        <v>246</v>
      </c>
      <c r="C1329" s="5" t="s">
        <v>7306</v>
      </c>
      <c r="D1329" s="1">
        <v>45581</v>
      </c>
      <c r="E1329" s="17">
        <v>0.77777777777777779</v>
      </c>
      <c r="F1329" s="5" t="s">
        <v>7307</v>
      </c>
      <c r="G1329" s="12">
        <v>395</v>
      </c>
      <c r="H1329" s="12">
        <v>39.5</v>
      </c>
      <c r="I1329" s="12">
        <v>0</v>
      </c>
      <c r="J1329" s="12">
        <f>SUMIF(order_item!B:B,A1329,order_item!E:E)</f>
        <v>395</v>
      </c>
      <c r="K1329" s="28" t="str">
        <f>_xlfn.XLOOKUP(B1329,customers!A:A,customers!D:D)</f>
        <v>Premium</v>
      </c>
    </row>
    <row r="1330" spans="1:11" x14ac:dyDescent="0.25">
      <c r="A1330" s="5" t="s">
        <v>2661</v>
      </c>
      <c r="B1330" s="5" t="s">
        <v>161</v>
      </c>
      <c r="C1330" s="5" t="s">
        <v>7309</v>
      </c>
      <c r="D1330" s="1">
        <v>45619</v>
      </c>
      <c r="E1330" s="17">
        <v>0.50902777777777775</v>
      </c>
      <c r="F1330" s="5" t="s">
        <v>7307</v>
      </c>
      <c r="G1330" s="12">
        <v>277</v>
      </c>
      <c r="H1330" s="12">
        <v>0</v>
      </c>
      <c r="I1330" s="12">
        <v>0</v>
      </c>
      <c r="J1330" s="12">
        <f>SUMIF(order_item!B:B,A1330,order_item!E:E)</f>
        <v>277</v>
      </c>
      <c r="K1330" s="28" t="str">
        <f>_xlfn.XLOOKUP(B1330,customers!A:A,customers!D:D)</f>
        <v>New</v>
      </c>
    </row>
    <row r="1331" spans="1:11" x14ac:dyDescent="0.25">
      <c r="A1331" s="5" t="s">
        <v>2657</v>
      </c>
      <c r="B1331" s="5" t="s">
        <v>832</v>
      </c>
      <c r="C1331" s="5" t="s">
        <v>7308</v>
      </c>
      <c r="D1331" s="1">
        <v>45643</v>
      </c>
      <c r="E1331" s="17">
        <v>0.63680555555555551</v>
      </c>
      <c r="F1331" s="5" t="s">
        <v>7305</v>
      </c>
      <c r="G1331" s="12">
        <v>603</v>
      </c>
      <c r="H1331" s="12">
        <v>60.3</v>
      </c>
      <c r="I1331" s="12">
        <v>542.70000000000005</v>
      </c>
      <c r="J1331" s="12">
        <f>SUMIF(order_item!B:B,A1331,order_item!E:E)</f>
        <v>603</v>
      </c>
      <c r="K1331" s="28" t="str">
        <f>_xlfn.XLOOKUP(B1331,customers!A:A,customers!D:D)</f>
        <v>Regular</v>
      </c>
    </row>
    <row r="1332" spans="1:11" x14ac:dyDescent="0.25">
      <c r="A1332" s="5" t="s">
        <v>2654</v>
      </c>
      <c r="B1332" s="5" t="s">
        <v>752</v>
      </c>
      <c r="C1332" s="5" t="s">
        <v>7309</v>
      </c>
      <c r="D1332" s="1">
        <v>45641</v>
      </c>
      <c r="E1332" s="17">
        <v>0.82638888888888884</v>
      </c>
      <c r="F1332" s="5" t="s">
        <v>7305</v>
      </c>
      <c r="G1332" s="12">
        <v>228</v>
      </c>
      <c r="H1332" s="12">
        <v>0</v>
      </c>
      <c r="I1332" s="12">
        <v>228</v>
      </c>
      <c r="J1332" s="12">
        <f>SUMIF(order_item!B:B,A1332,order_item!E:E)</f>
        <v>228</v>
      </c>
      <c r="K1332" s="28" t="str">
        <f>_xlfn.XLOOKUP(B1332,customers!A:A,customers!D:D)</f>
        <v>Regular</v>
      </c>
    </row>
    <row r="1333" spans="1:11" x14ac:dyDescent="0.25">
      <c r="A1333" s="5" t="s">
        <v>2651</v>
      </c>
      <c r="B1333" s="5" t="s">
        <v>257</v>
      </c>
      <c r="C1333" s="5" t="s">
        <v>7306</v>
      </c>
      <c r="D1333" s="1">
        <v>45663</v>
      </c>
      <c r="E1333" s="17">
        <v>0.58680555555555558</v>
      </c>
      <c r="F1333" s="5" t="s">
        <v>7305</v>
      </c>
      <c r="G1333" s="12">
        <v>425</v>
      </c>
      <c r="H1333" s="12">
        <v>42.5</v>
      </c>
      <c r="I1333" s="12">
        <v>382.5</v>
      </c>
      <c r="J1333" s="12">
        <f>SUMIF(order_item!B:B,A1333,order_item!E:E)</f>
        <v>425</v>
      </c>
      <c r="K1333" s="28" t="str">
        <f>_xlfn.XLOOKUP(B1333,customers!A:A,customers!D:D)</f>
        <v>Regular</v>
      </c>
    </row>
    <row r="1334" spans="1:11" x14ac:dyDescent="0.25">
      <c r="A1334" s="5" t="s">
        <v>2648</v>
      </c>
      <c r="B1334" s="5" t="s">
        <v>755</v>
      </c>
      <c r="C1334" s="5" t="s">
        <v>7306</v>
      </c>
      <c r="D1334" s="1">
        <v>45647</v>
      </c>
      <c r="E1334" s="17">
        <v>5.9027777777777783E-2</v>
      </c>
      <c r="F1334" s="5" t="s">
        <v>7305</v>
      </c>
      <c r="G1334" s="12">
        <v>218</v>
      </c>
      <c r="H1334" s="12">
        <v>10.9</v>
      </c>
      <c r="I1334" s="12">
        <v>207.1</v>
      </c>
      <c r="J1334" s="12">
        <f>SUMIF(order_item!B:B,A1334,order_item!E:E)</f>
        <v>218</v>
      </c>
      <c r="K1334" s="28" t="str">
        <f>_xlfn.XLOOKUP(B1334,customers!A:A,customers!D:D)</f>
        <v>Premium</v>
      </c>
    </row>
    <row r="1335" spans="1:11" x14ac:dyDescent="0.25">
      <c r="A1335" s="5" t="s">
        <v>2646</v>
      </c>
      <c r="B1335" s="5" t="s">
        <v>667</v>
      </c>
      <c r="C1335" s="5" t="s">
        <v>7306</v>
      </c>
      <c r="D1335" s="1">
        <v>45668</v>
      </c>
      <c r="E1335" s="17">
        <v>0.75347222222222221</v>
      </c>
      <c r="F1335" s="5" t="s">
        <v>7307</v>
      </c>
      <c r="G1335" s="12">
        <v>158</v>
      </c>
      <c r="H1335" s="12">
        <v>0</v>
      </c>
      <c r="I1335" s="12">
        <v>0</v>
      </c>
      <c r="J1335" s="12">
        <f>SUMIF(order_item!B:B,A1335,order_item!E:E)</f>
        <v>158</v>
      </c>
      <c r="K1335" s="28" t="str">
        <f>_xlfn.XLOOKUP(B1335,customers!A:A,customers!D:D)</f>
        <v>New</v>
      </c>
    </row>
    <row r="1336" spans="1:11" x14ac:dyDescent="0.25">
      <c r="A1336" s="5" t="s">
        <v>2641</v>
      </c>
      <c r="B1336" s="5" t="s">
        <v>583</v>
      </c>
      <c r="C1336" s="5" t="s">
        <v>7309</v>
      </c>
      <c r="D1336" s="1">
        <v>45450</v>
      </c>
      <c r="E1336" s="17">
        <v>0.38055555555555554</v>
      </c>
      <c r="F1336" s="5" t="s">
        <v>7305</v>
      </c>
      <c r="G1336" s="12">
        <v>564</v>
      </c>
      <c r="H1336" s="12">
        <v>0</v>
      </c>
      <c r="I1336" s="12">
        <v>564</v>
      </c>
      <c r="J1336" s="12">
        <f>SUMIF(order_item!B:B,A1336,order_item!E:E)</f>
        <v>564</v>
      </c>
      <c r="K1336" s="28" t="str">
        <f>_xlfn.XLOOKUP(B1336,customers!A:A,customers!D:D)</f>
        <v>Regular</v>
      </c>
    </row>
    <row r="1337" spans="1:11" x14ac:dyDescent="0.25">
      <c r="A1337" s="5" t="s">
        <v>2637</v>
      </c>
      <c r="B1337" s="5" t="s">
        <v>701</v>
      </c>
      <c r="C1337" s="5" t="s">
        <v>7309</v>
      </c>
      <c r="D1337" s="1">
        <v>45402</v>
      </c>
      <c r="E1337" s="17">
        <v>9.7222222222222224E-3</v>
      </c>
      <c r="F1337" s="5" t="s">
        <v>7305</v>
      </c>
      <c r="G1337" s="12">
        <v>406</v>
      </c>
      <c r="H1337" s="12">
        <v>20.3</v>
      </c>
      <c r="I1337" s="12">
        <v>385.7</v>
      </c>
      <c r="J1337" s="12">
        <f>SUMIF(order_item!B:B,A1337,order_item!E:E)</f>
        <v>406</v>
      </c>
      <c r="K1337" s="28" t="str">
        <f>_xlfn.XLOOKUP(B1337,customers!A:A,customers!D:D)</f>
        <v>Regular</v>
      </c>
    </row>
    <row r="1338" spans="1:11" x14ac:dyDescent="0.25">
      <c r="A1338" s="5" t="s">
        <v>2634</v>
      </c>
      <c r="B1338" s="5" t="s">
        <v>538</v>
      </c>
      <c r="C1338" s="5" t="s">
        <v>7309</v>
      </c>
      <c r="D1338" s="1">
        <v>45554</v>
      </c>
      <c r="E1338" s="17">
        <v>0.83958333333333324</v>
      </c>
      <c r="F1338" s="5" t="s">
        <v>7305</v>
      </c>
      <c r="G1338" s="12">
        <v>504</v>
      </c>
      <c r="H1338" s="12">
        <v>50.4</v>
      </c>
      <c r="I1338" s="12">
        <v>453.6</v>
      </c>
      <c r="J1338" s="12">
        <f>SUMIF(order_item!B:B,A1338,order_item!E:E)</f>
        <v>504</v>
      </c>
      <c r="K1338" s="28" t="str">
        <f>_xlfn.XLOOKUP(B1338,customers!A:A,customers!D:D)</f>
        <v>Regular</v>
      </c>
    </row>
    <row r="1339" spans="1:11" x14ac:dyDescent="0.25">
      <c r="A1339" s="5" t="s">
        <v>2632</v>
      </c>
      <c r="B1339" s="5" t="s">
        <v>487</v>
      </c>
      <c r="C1339" s="5" t="s">
        <v>7306</v>
      </c>
      <c r="D1339" s="1">
        <v>45697</v>
      </c>
      <c r="E1339" s="17">
        <v>0.73958333333333337</v>
      </c>
      <c r="F1339" s="5" t="s">
        <v>7305</v>
      </c>
      <c r="G1339" s="12">
        <v>118</v>
      </c>
      <c r="H1339" s="12">
        <v>5.9</v>
      </c>
      <c r="I1339" s="12">
        <v>112.1</v>
      </c>
      <c r="J1339" s="12">
        <f>SUMIF(order_item!B:B,A1339,order_item!E:E)</f>
        <v>118</v>
      </c>
      <c r="K1339" s="28" t="str">
        <f>_xlfn.XLOOKUP(B1339,customers!A:A,customers!D:D)</f>
        <v>New</v>
      </c>
    </row>
    <row r="1340" spans="1:11" x14ac:dyDescent="0.25">
      <c r="A1340" s="5" t="s">
        <v>2627</v>
      </c>
      <c r="B1340" s="5" t="s">
        <v>769</v>
      </c>
      <c r="C1340" s="5" t="s">
        <v>7308</v>
      </c>
      <c r="D1340" s="1">
        <v>45495</v>
      </c>
      <c r="E1340" s="17">
        <v>0.8208333333333333</v>
      </c>
      <c r="F1340" s="5" t="s">
        <v>7305</v>
      </c>
      <c r="G1340" s="12">
        <v>1409</v>
      </c>
      <c r="H1340" s="12">
        <v>0</v>
      </c>
      <c r="I1340" s="12">
        <v>1409</v>
      </c>
      <c r="J1340" s="12">
        <f>SUMIF(order_item!B:B,A1340,order_item!E:E)</f>
        <v>1409</v>
      </c>
      <c r="K1340" s="28" t="str">
        <f>_xlfn.XLOOKUP(B1340,customers!A:A,customers!D:D)</f>
        <v>Regular</v>
      </c>
    </row>
    <row r="1341" spans="1:11" x14ac:dyDescent="0.25">
      <c r="A1341" s="5" t="s">
        <v>2623</v>
      </c>
      <c r="B1341" s="5" t="s">
        <v>676</v>
      </c>
      <c r="C1341" s="5" t="s">
        <v>7308</v>
      </c>
      <c r="D1341" s="1">
        <v>45724</v>
      </c>
      <c r="E1341" s="17">
        <v>0.64027777777777783</v>
      </c>
      <c r="F1341" s="5" t="s">
        <v>7305</v>
      </c>
      <c r="G1341" s="12">
        <v>455</v>
      </c>
      <c r="H1341" s="12">
        <v>0</v>
      </c>
      <c r="I1341" s="12">
        <v>455</v>
      </c>
      <c r="J1341" s="12">
        <f>SUMIF(order_item!B:B,A1341,order_item!E:E)</f>
        <v>455</v>
      </c>
      <c r="K1341" s="28" t="str">
        <f>_xlfn.XLOOKUP(B1341,customers!A:A,customers!D:D)</f>
        <v>New</v>
      </c>
    </row>
    <row r="1342" spans="1:11" x14ac:dyDescent="0.25">
      <c r="A1342" s="5" t="s">
        <v>2619</v>
      </c>
      <c r="B1342" s="5" t="s">
        <v>696</v>
      </c>
      <c r="C1342" s="5" t="s">
        <v>7306</v>
      </c>
      <c r="D1342" s="1">
        <v>45395</v>
      </c>
      <c r="E1342" s="17">
        <v>0.53472222222222221</v>
      </c>
      <c r="F1342" s="5" t="s">
        <v>7307</v>
      </c>
      <c r="G1342" s="12">
        <v>574</v>
      </c>
      <c r="H1342" s="12">
        <v>28.7</v>
      </c>
      <c r="I1342" s="12">
        <v>0</v>
      </c>
      <c r="J1342" s="12">
        <f>SUMIF(order_item!B:B,A1342,order_item!E:E)</f>
        <v>574</v>
      </c>
      <c r="K1342" s="28" t="str">
        <f>_xlfn.XLOOKUP(B1342,customers!A:A,customers!D:D)</f>
        <v>Regular</v>
      </c>
    </row>
    <row r="1343" spans="1:11" x14ac:dyDescent="0.25">
      <c r="A1343" s="5" t="s">
        <v>2615</v>
      </c>
      <c r="B1343" s="5" t="s">
        <v>742</v>
      </c>
      <c r="C1343" s="5" t="s">
        <v>7309</v>
      </c>
      <c r="D1343" s="1">
        <v>45684</v>
      </c>
      <c r="E1343" s="17">
        <v>0.85833333333333339</v>
      </c>
      <c r="F1343" s="5" t="s">
        <v>7305</v>
      </c>
      <c r="G1343" s="12">
        <v>466</v>
      </c>
      <c r="H1343" s="12">
        <v>0</v>
      </c>
      <c r="I1343" s="12">
        <v>466</v>
      </c>
      <c r="J1343" s="12">
        <f>SUMIF(order_item!B:B,A1343,order_item!E:E)</f>
        <v>466</v>
      </c>
      <c r="K1343" s="28" t="str">
        <f>_xlfn.XLOOKUP(B1343,customers!A:A,customers!D:D)</f>
        <v>New</v>
      </c>
    </row>
    <row r="1344" spans="1:11" x14ac:dyDescent="0.25">
      <c r="A1344" s="5" t="s">
        <v>2611</v>
      </c>
      <c r="B1344" s="5" t="s">
        <v>599</v>
      </c>
      <c r="C1344" s="5" t="s">
        <v>7306</v>
      </c>
      <c r="D1344" s="1">
        <v>45663</v>
      </c>
      <c r="E1344" s="17">
        <v>0.99444444444444446</v>
      </c>
      <c r="F1344" s="5" t="s">
        <v>7305</v>
      </c>
      <c r="G1344" s="12">
        <v>504</v>
      </c>
      <c r="H1344" s="12">
        <v>0</v>
      </c>
      <c r="I1344" s="12">
        <v>504</v>
      </c>
      <c r="J1344" s="12">
        <f>SUMIF(order_item!B:B,A1344,order_item!E:E)</f>
        <v>504</v>
      </c>
      <c r="K1344" s="28" t="str">
        <f>_xlfn.XLOOKUP(B1344,customers!A:A,customers!D:D)</f>
        <v>Regular</v>
      </c>
    </row>
    <row r="1345" spans="1:11" x14ac:dyDescent="0.25">
      <c r="A1345" s="5" t="s">
        <v>2607</v>
      </c>
      <c r="B1345" s="5" t="s">
        <v>533</v>
      </c>
      <c r="C1345" s="5" t="s">
        <v>7309</v>
      </c>
      <c r="D1345" s="1">
        <v>45553</v>
      </c>
      <c r="E1345" s="17">
        <v>0.78055555555555556</v>
      </c>
      <c r="F1345" s="5" t="s">
        <v>7305</v>
      </c>
      <c r="G1345" s="12">
        <v>356</v>
      </c>
      <c r="H1345" s="12">
        <v>0</v>
      </c>
      <c r="I1345" s="12">
        <v>356</v>
      </c>
      <c r="J1345" s="12">
        <f>SUMIF(order_item!B:B,A1345,order_item!E:E)</f>
        <v>356</v>
      </c>
      <c r="K1345" s="28" t="str">
        <f>_xlfn.XLOOKUP(B1345,customers!A:A,customers!D:D)</f>
        <v>Regular</v>
      </c>
    </row>
    <row r="1346" spans="1:11" x14ac:dyDescent="0.25">
      <c r="A1346" s="5" t="s">
        <v>2604</v>
      </c>
      <c r="B1346" s="5" t="s">
        <v>811</v>
      </c>
      <c r="C1346" s="5" t="s">
        <v>7309</v>
      </c>
      <c r="D1346" s="1">
        <v>45704</v>
      </c>
      <c r="E1346" s="17">
        <v>0.75763888888888886</v>
      </c>
      <c r="F1346" s="5" t="s">
        <v>7305</v>
      </c>
      <c r="G1346" s="12">
        <v>535</v>
      </c>
      <c r="H1346" s="12">
        <v>0</v>
      </c>
      <c r="I1346" s="12">
        <v>535</v>
      </c>
      <c r="J1346" s="12">
        <f>SUMIF(order_item!B:B,A1346,order_item!E:E)</f>
        <v>535</v>
      </c>
      <c r="K1346" s="28" t="str">
        <f>_xlfn.XLOOKUP(B1346,customers!A:A,customers!D:D)</f>
        <v>New</v>
      </c>
    </row>
    <row r="1347" spans="1:11" x14ac:dyDescent="0.25">
      <c r="A1347" s="5" t="s">
        <v>2601</v>
      </c>
      <c r="B1347" s="5" t="s">
        <v>657</v>
      </c>
      <c r="C1347" s="5" t="s">
        <v>7309</v>
      </c>
      <c r="D1347" s="1">
        <v>45590</v>
      </c>
      <c r="E1347" s="17">
        <v>0.79375000000000007</v>
      </c>
      <c r="F1347" s="5" t="s">
        <v>7305</v>
      </c>
      <c r="G1347" s="12">
        <v>277</v>
      </c>
      <c r="H1347" s="12">
        <v>0</v>
      </c>
      <c r="I1347" s="12">
        <v>277</v>
      </c>
      <c r="J1347" s="12">
        <f>SUMIF(order_item!B:B,A1347,order_item!E:E)</f>
        <v>277</v>
      </c>
      <c r="K1347" s="28" t="str">
        <f>_xlfn.XLOOKUP(B1347,customers!A:A,customers!D:D)</f>
        <v>Regular</v>
      </c>
    </row>
    <row r="1348" spans="1:11" x14ac:dyDescent="0.25">
      <c r="A1348" s="5" t="s">
        <v>2598</v>
      </c>
      <c r="B1348" s="5" t="s">
        <v>547</v>
      </c>
      <c r="C1348" s="5" t="s">
        <v>7306</v>
      </c>
      <c r="D1348" s="1">
        <v>45545</v>
      </c>
      <c r="E1348" s="17">
        <v>0.8666666666666667</v>
      </c>
      <c r="F1348" s="5" t="s">
        <v>7305</v>
      </c>
      <c r="G1348" s="12">
        <v>307</v>
      </c>
      <c r="H1348" s="12">
        <v>15.35</v>
      </c>
      <c r="I1348" s="12">
        <v>291.64999999999998</v>
      </c>
      <c r="J1348" s="12">
        <f>SUMIF(order_item!B:B,A1348,order_item!E:E)</f>
        <v>307</v>
      </c>
      <c r="K1348" s="28" t="str">
        <f>_xlfn.XLOOKUP(B1348,customers!A:A,customers!D:D)</f>
        <v>New</v>
      </c>
    </row>
    <row r="1349" spans="1:11" x14ac:dyDescent="0.25">
      <c r="A1349" s="5" t="s">
        <v>2595</v>
      </c>
      <c r="B1349" s="5" t="s">
        <v>374</v>
      </c>
      <c r="C1349" s="5" t="s">
        <v>7309</v>
      </c>
      <c r="D1349" s="1">
        <v>45548</v>
      </c>
      <c r="E1349" s="17">
        <v>0.43263888888888885</v>
      </c>
      <c r="F1349" s="5" t="s">
        <v>7305</v>
      </c>
      <c r="G1349" s="12">
        <v>308</v>
      </c>
      <c r="H1349" s="12">
        <v>0</v>
      </c>
      <c r="I1349" s="12">
        <v>308</v>
      </c>
      <c r="J1349" s="12">
        <f>SUMIF(order_item!B:B,A1349,order_item!E:E)</f>
        <v>308</v>
      </c>
      <c r="K1349" s="28" t="str">
        <f>_xlfn.XLOOKUP(B1349,customers!A:A,customers!D:D)</f>
        <v>New</v>
      </c>
    </row>
    <row r="1350" spans="1:11" x14ac:dyDescent="0.25">
      <c r="A1350" s="5" t="s">
        <v>2591</v>
      </c>
      <c r="B1350" s="5" t="s">
        <v>265</v>
      </c>
      <c r="C1350" s="5" t="s">
        <v>7306</v>
      </c>
      <c r="D1350" s="1">
        <v>45718</v>
      </c>
      <c r="E1350" s="17">
        <v>0.66666666666666663</v>
      </c>
      <c r="F1350" s="5" t="s">
        <v>7305</v>
      </c>
      <c r="G1350" s="12">
        <v>387</v>
      </c>
      <c r="H1350" s="12">
        <v>0</v>
      </c>
      <c r="I1350" s="12">
        <v>387</v>
      </c>
      <c r="J1350" s="12">
        <f>SUMIF(order_item!B:B,A1350,order_item!E:E)</f>
        <v>387</v>
      </c>
      <c r="K1350" s="28" t="str">
        <f>_xlfn.XLOOKUP(B1350,customers!A:A,customers!D:D)</f>
        <v>Premium</v>
      </c>
    </row>
    <row r="1351" spans="1:11" x14ac:dyDescent="0.25">
      <c r="A1351" s="5" t="s">
        <v>2588</v>
      </c>
      <c r="B1351" s="5" t="s">
        <v>700</v>
      </c>
      <c r="C1351" s="5" t="s">
        <v>7309</v>
      </c>
      <c r="D1351" s="1">
        <v>45396</v>
      </c>
      <c r="E1351" s="17">
        <v>0.53125</v>
      </c>
      <c r="F1351" s="5" t="s">
        <v>7307</v>
      </c>
      <c r="G1351" s="12">
        <v>336</v>
      </c>
      <c r="H1351" s="12">
        <v>33.6</v>
      </c>
      <c r="I1351" s="12">
        <v>0</v>
      </c>
      <c r="J1351" s="12">
        <f>SUMIF(order_item!B:B,A1351,order_item!E:E)</f>
        <v>336</v>
      </c>
      <c r="K1351" s="28" t="str">
        <f>_xlfn.XLOOKUP(B1351,customers!A:A,customers!D:D)</f>
        <v>Regular</v>
      </c>
    </row>
    <row r="1352" spans="1:11" x14ac:dyDescent="0.25">
      <c r="A1352" s="5" t="s">
        <v>2585</v>
      </c>
      <c r="B1352" s="5" t="s">
        <v>96</v>
      </c>
      <c r="C1352" s="5" t="s">
        <v>7309</v>
      </c>
      <c r="D1352" s="1">
        <v>45571</v>
      </c>
      <c r="E1352" s="17">
        <v>0.44097222222222227</v>
      </c>
      <c r="F1352" s="5" t="s">
        <v>7305</v>
      </c>
      <c r="G1352" s="12">
        <v>515</v>
      </c>
      <c r="H1352" s="12">
        <v>0</v>
      </c>
      <c r="I1352" s="12">
        <v>515</v>
      </c>
      <c r="J1352" s="12">
        <f>SUMIF(order_item!B:B,A1352,order_item!E:E)</f>
        <v>515</v>
      </c>
      <c r="K1352" s="28" t="str">
        <f>_xlfn.XLOOKUP(B1352,customers!A:A,customers!D:D)</f>
        <v>Regular</v>
      </c>
    </row>
    <row r="1353" spans="1:11" x14ac:dyDescent="0.25">
      <c r="A1353" s="5" t="s">
        <v>2581</v>
      </c>
      <c r="B1353" s="5" t="s">
        <v>564</v>
      </c>
      <c r="C1353" s="5" t="s">
        <v>7309</v>
      </c>
      <c r="D1353" s="1">
        <v>45660</v>
      </c>
      <c r="E1353" s="17">
        <v>0.89722222222222225</v>
      </c>
      <c r="F1353" s="5" t="s">
        <v>7305</v>
      </c>
      <c r="G1353" s="12">
        <v>317</v>
      </c>
      <c r="H1353" s="12">
        <v>0</v>
      </c>
      <c r="I1353" s="12">
        <v>317</v>
      </c>
      <c r="J1353" s="12">
        <f>SUMIF(order_item!B:B,A1353,order_item!E:E)</f>
        <v>317</v>
      </c>
      <c r="K1353" s="28" t="str">
        <f>_xlfn.XLOOKUP(B1353,customers!A:A,customers!D:D)</f>
        <v>Regular</v>
      </c>
    </row>
    <row r="1354" spans="1:11" x14ac:dyDescent="0.25">
      <c r="A1354" s="5" t="s">
        <v>2578</v>
      </c>
      <c r="B1354" s="5" t="s">
        <v>523</v>
      </c>
      <c r="C1354" s="5" t="s">
        <v>7308</v>
      </c>
      <c r="D1354" s="1">
        <v>45638</v>
      </c>
      <c r="E1354" s="17">
        <v>0.9916666666666667</v>
      </c>
      <c r="F1354" s="5" t="s">
        <v>7305</v>
      </c>
      <c r="G1354" s="12">
        <v>596</v>
      </c>
      <c r="H1354" s="12">
        <v>29.8</v>
      </c>
      <c r="I1354" s="12">
        <v>566.20000000000005</v>
      </c>
      <c r="J1354" s="12">
        <f>SUMIF(order_item!B:B,A1354,order_item!E:E)</f>
        <v>596</v>
      </c>
      <c r="K1354" s="28" t="str">
        <f>_xlfn.XLOOKUP(B1354,customers!A:A,customers!D:D)</f>
        <v>Regular</v>
      </c>
    </row>
    <row r="1355" spans="1:11" x14ac:dyDescent="0.25">
      <c r="A1355" s="5" t="s">
        <v>2573</v>
      </c>
      <c r="B1355" s="5" t="s">
        <v>457</v>
      </c>
      <c r="C1355" s="5" t="s">
        <v>7309</v>
      </c>
      <c r="D1355" s="1">
        <v>45637</v>
      </c>
      <c r="E1355" s="17">
        <v>0.91249999999999998</v>
      </c>
      <c r="F1355" s="5" t="s">
        <v>7305</v>
      </c>
      <c r="G1355" s="12">
        <v>842</v>
      </c>
      <c r="H1355" s="12">
        <v>0</v>
      </c>
      <c r="I1355" s="12">
        <v>842</v>
      </c>
      <c r="J1355" s="12">
        <f>SUMIF(order_item!B:B,A1355,order_item!E:E)</f>
        <v>842</v>
      </c>
      <c r="K1355" s="28" t="str">
        <f>_xlfn.XLOOKUP(B1355,customers!A:A,customers!D:D)</f>
        <v>New</v>
      </c>
    </row>
    <row r="1356" spans="1:11" x14ac:dyDescent="0.25">
      <c r="A1356" s="5" t="s">
        <v>2568</v>
      </c>
      <c r="B1356" s="5" t="s">
        <v>80</v>
      </c>
      <c r="C1356" s="5" t="s">
        <v>7306</v>
      </c>
      <c r="D1356" s="1">
        <v>45632</v>
      </c>
      <c r="E1356" s="17">
        <v>0.92499999999999993</v>
      </c>
      <c r="F1356" s="5" t="s">
        <v>7305</v>
      </c>
      <c r="G1356" s="12">
        <v>564</v>
      </c>
      <c r="H1356" s="12">
        <v>0</v>
      </c>
      <c r="I1356" s="12">
        <v>564</v>
      </c>
      <c r="J1356" s="12">
        <f>SUMIF(order_item!B:B,A1356,order_item!E:E)</f>
        <v>564</v>
      </c>
      <c r="K1356" s="28" t="str">
        <f>_xlfn.XLOOKUP(B1356,customers!A:A,customers!D:D)</f>
        <v>New</v>
      </c>
    </row>
    <row r="1357" spans="1:11" x14ac:dyDescent="0.25">
      <c r="A1357" s="5" t="s">
        <v>2565</v>
      </c>
      <c r="B1357" s="5" t="s">
        <v>542</v>
      </c>
      <c r="C1357" s="5" t="s">
        <v>7306</v>
      </c>
      <c r="D1357" s="1">
        <v>45465</v>
      </c>
      <c r="E1357" s="17">
        <v>0.92013888888888884</v>
      </c>
      <c r="F1357" s="5" t="s">
        <v>7305</v>
      </c>
      <c r="G1357" s="12">
        <v>417</v>
      </c>
      <c r="H1357" s="12">
        <v>0</v>
      </c>
      <c r="I1357" s="12">
        <v>417</v>
      </c>
      <c r="J1357" s="12">
        <f>SUMIF(order_item!B:B,A1357,order_item!E:E)</f>
        <v>417</v>
      </c>
      <c r="K1357" s="28" t="str">
        <f>_xlfn.XLOOKUP(B1357,customers!A:A,customers!D:D)</f>
        <v>New</v>
      </c>
    </row>
    <row r="1358" spans="1:11" x14ac:dyDescent="0.25">
      <c r="A1358" s="5" t="s">
        <v>2560</v>
      </c>
      <c r="B1358" s="5" t="s">
        <v>370</v>
      </c>
      <c r="C1358" s="5" t="s">
        <v>7309</v>
      </c>
      <c r="D1358" s="1">
        <v>45466</v>
      </c>
      <c r="E1358" s="17">
        <v>0.98819444444444438</v>
      </c>
      <c r="F1358" s="5" t="s">
        <v>7305</v>
      </c>
      <c r="G1358" s="12">
        <v>713</v>
      </c>
      <c r="H1358" s="12">
        <v>71.3</v>
      </c>
      <c r="I1358" s="12">
        <v>641.70000000000005</v>
      </c>
      <c r="J1358" s="12">
        <f>SUMIF(order_item!B:B,A1358,order_item!E:E)</f>
        <v>713</v>
      </c>
      <c r="K1358" s="28" t="str">
        <f>_xlfn.XLOOKUP(B1358,customers!A:A,customers!D:D)</f>
        <v>New</v>
      </c>
    </row>
    <row r="1359" spans="1:11" x14ac:dyDescent="0.25">
      <c r="A1359" s="5" t="s">
        <v>2557</v>
      </c>
      <c r="B1359" s="5" t="s">
        <v>479</v>
      </c>
      <c r="C1359" s="5" t="s">
        <v>7309</v>
      </c>
      <c r="D1359" s="1">
        <v>45609</v>
      </c>
      <c r="E1359" s="17">
        <v>0.78611111111111109</v>
      </c>
      <c r="F1359" s="5" t="s">
        <v>7305</v>
      </c>
      <c r="G1359" s="12">
        <v>644</v>
      </c>
      <c r="H1359" s="12">
        <v>64.400000000000006</v>
      </c>
      <c r="I1359" s="12">
        <v>579.6</v>
      </c>
      <c r="J1359" s="12">
        <f>SUMIF(order_item!B:B,A1359,order_item!E:E)</f>
        <v>644</v>
      </c>
      <c r="K1359" s="28" t="str">
        <f>_xlfn.XLOOKUP(B1359,customers!A:A,customers!D:D)</f>
        <v>Regular</v>
      </c>
    </row>
    <row r="1360" spans="1:11" x14ac:dyDescent="0.25">
      <c r="A1360" s="5" t="s">
        <v>2553</v>
      </c>
      <c r="B1360" s="5" t="s">
        <v>769</v>
      </c>
      <c r="C1360" s="5" t="s">
        <v>7306</v>
      </c>
      <c r="D1360" s="1">
        <v>45626</v>
      </c>
      <c r="E1360" s="17">
        <v>0.6972222222222223</v>
      </c>
      <c r="F1360" s="5" t="s">
        <v>7305</v>
      </c>
      <c r="G1360" s="12">
        <v>873</v>
      </c>
      <c r="H1360" s="12">
        <v>0</v>
      </c>
      <c r="I1360" s="12">
        <v>873</v>
      </c>
      <c r="J1360" s="12">
        <f>SUMIF(order_item!B:B,A1360,order_item!E:E)</f>
        <v>873</v>
      </c>
      <c r="K1360" s="28" t="str">
        <f>_xlfn.XLOOKUP(B1360,customers!A:A,customers!D:D)</f>
        <v>Regular</v>
      </c>
    </row>
    <row r="1361" spans="1:11" x14ac:dyDescent="0.25">
      <c r="A1361" s="5" t="s">
        <v>2550</v>
      </c>
      <c r="B1361" s="5" t="s">
        <v>444</v>
      </c>
      <c r="C1361" s="5" t="s">
        <v>7308</v>
      </c>
      <c r="D1361" s="1">
        <v>45473</v>
      </c>
      <c r="E1361" s="17">
        <v>0.8979166666666667</v>
      </c>
      <c r="F1361" s="5" t="s">
        <v>7305</v>
      </c>
      <c r="G1361" s="12">
        <v>436</v>
      </c>
      <c r="H1361" s="12">
        <v>65.400000000000006</v>
      </c>
      <c r="I1361" s="12">
        <v>370.6</v>
      </c>
      <c r="J1361" s="12">
        <f>SUMIF(order_item!B:B,A1361,order_item!E:E)</f>
        <v>436</v>
      </c>
      <c r="K1361" s="28" t="str">
        <f>_xlfn.XLOOKUP(B1361,customers!A:A,customers!D:D)</f>
        <v>New</v>
      </c>
    </row>
    <row r="1362" spans="1:11" x14ac:dyDescent="0.25">
      <c r="A1362" s="5" t="s">
        <v>2545</v>
      </c>
      <c r="B1362" s="5" t="s">
        <v>267</v>
      </c>
      <c r="C1362" s="5" t="s">
        <v>7309</v>
      </c>
      <c r="D1362" s="1">
        <v>45583</v>
      </c>
      <c r="E1362" s="17">
        <v>0.72777777777777775</v>
      </c>
      <c r="F1362" s="5" t="s">
        <v>7305</v>
      </c>
      <c r="G1362" s="12">
        <v>375</v>
      </c>
      <c r="H1362" s="12">
        <v>18.75</v>
      </c>
      <c r="I1362" s="12">
        <v>356.25</v>
      </c>
      <c r="J1362" s="12">
        <f>SUMIF(order_item!B:B,A1362,order_item!E:E)</f>
        <v>375</v>
      </c>
      <c r="K1362" s="28" t="str">
        <f>_xlfn.XLOOKUP(B1362,customers!A:A,customers!D:D)</f>
        <v>Regular</v>
      </c>
    </row>
    <row r="1363" spans="1:11" x14ac:dyDescent="0.25">
      <c r="A1363" s="5" t="s">
        <v>2540</v>
      </c>
      <c r="B1363" s="5" t="s">
        <v>424</v>
      </c>
      <c r="C1363" s="5" t="s">
        <v>7308</v>
      </c>
      <c r="D1363" s="1">
        <v>45567</v>
      </c>
      <c r="E1363" s="17">
        <v>0.84027777777777779</v>
      </c>
      <c r="F1363" s="5" t="s">
        <v>7305</v>
      </c>
      <c r="G1363" s="12">
        <v>564</v>
      </c>
      <c r="H1363" s="12">
        <v>0</v>
      </c>
      <c r="I1363" s="12">
        <v>564</v>
      </c>
      <c r="J1363" s="12">
        <f>SUMIF(order_item!B:B,A1363,order_item!E:E)</f>
        <v>564</v>
      </c>
      <c r="K1363" s="28" t="str">
        <f>_xlfn.XLOOKUP(B1363,customers!A:A,customers!D:D)</f>
        <v>New</v>
      </c>
    </row>
    <row r="1364" spans="1:11" x14ac:dyDescent="0.25">
      <c r="A1364" s="5" t="s">
        <v>2538</v>
      </c>
      <c r="B1364" s="5" t="s">
        <v>676</v>
      </c>
      <c r="C1364" s="5" t="s">
        <v>7309</v>
      </c>
      <c r="D1364" s="1">
        <v>45599</v>
      </c>
      <c r="E1364" s="17">
        <v>0.81944444444444453</v>
      </c>
      <c r="F1364" s="5" t="s">
        <v>7305</v>
      </c>
      <c r="G1364" s="12">
        <v>158</v>
      </c>
      <c r="H1364" s="12">
        <v>0</v>
      </c>
      <c r="I1364" s="12">
        <v>158</v>
      </c>
      <c r="J1364" s="12">
        <f>SUMIF(order_item!B:B,A1364,order_item!E:E)</f>
        <v>158</v>
      </c>
      <c r="K1364" s="28" t="str">
        <f>_xlfn.XLOOKUP(B1364,customers!A:A,customers!D:D)</f>
        <v>New</v>
      </c>
    </row>
    <row r="1365" spans="1:11" x14ac:dyDescent="0.25">
      <c r="A1365" s="5" t="s">
        <v>2536</v>
      </c>
      <c r="B1365" s="5" t="s">
        <v>244</v>
      </c>
      <c r="C1365" s="5" t="s">
        <v>7309</v>
      </c>
      <c r="D1365" s="1">
        <v>45703</v>
      </c>
      <c r="E1365" s="17">
        <v>0.67361111111111116</v>
      </c>
      <c r="F1365" s="5" t="s">
        <v>7305</v>
      </c>
      <c r="G1365" s="12">
        <v>99</v>
      </c>
      <c r="H1365" s="12">
        <v>14.85</v>
      </c>
      <c r="I1365" s="12">
        <v>84.15</v>
      </c>
      <c r="J1365" s="12">
        <f>SUMIF(order_item!B:B,A1365,order_item!E:E)</f>
        <v>99</v>
      </c>
      <c r="K1365" s="28" t="str">
        <f>_xlfn.XLOOKUP(B1365,customers!A:A,customers!D:D)</f>
        <v>Regular</v>
      </c>
    </row>
    <row r="1366" spans="1:11" x14ac:dyDescent="0.25">
      <c r="A1366" s="5" t="s">
        <v>2533</v>
      </c>
      <c r="B1366" s="5" t="s">
        <v>573</v>
      </c>
      <c r="C1366" s="5" t="s">
        <v>7309</v>
      </c>
      <c r="D1366" s="1">
        <v>45429</v>
      </c>
      <c r="E1366" s="17">
        <v>0.74930555555555556</v>
      </c>
      <c r="F1366" s="5" t="s">
        <v>7305</v>
      </c>
      <c r="G1366" s="12">
        <v>357</v>
      </c>
      <c r="H1366" s="12">
        <v>0</v>
      </c>
      <c r="I1366" s="12">
        <v>357</v>
      </c>
      <c r="J1366" s="12">
        <f>SUMIF(order_item!B:B,A1366,order_item!E:E)</f>
        <v>357</v>
      </c>
      <c r="K1366" s="28" t="str">
        <f>_xlfn.XLOOKUP(B1366,customers!A:A,customers!D:D)</f>
        <v>Regular</v>
      </c>
    </row>
    <row r="1367" spans="1:11" x14ac:dyDescent="0.25">
      <c r="A1367" s="5" t="s">
        <v>2529</v>
      </c>
      <c r="B1367" s="5" t="s">
        <v>862</v>
      </c>
      <c r="C1367" s="5" t="s">
        <v>7309</v>
      </c>
      <c r="D1367" s="1">
        <v>45747</v>
      </c>
      <c r="E1367" s="17">
        <v>0.95624999999999993</v>
      </c>
      <c r="F1367" s="5" t="s">
        <v>7305</v>
      </c>
      <c r="G1367" s="12">
        <v>435</v>
      </c>
      <c r="H1367" s="12">
        <v>0</v>
      </c>
      <c r="I1367" s="12">
        <v>435</v>
      </c>
      <c r="J1367" s="12">
        <f>SUMIF(order_item!B:B,A1367,order_item!E:E)</f>
        <v>435</v>
      </c>
      <c r="K1367" s="28" t="str">
        <f>_xlfn.XLOOKUP(B1367,customers!A:A,customers!D:D)</f>
        <v>Regular</v>
      </c>
    </row>
    <row r="1368" spans="1:11" x14ac:dyDescent="0.25">
      <c r="A1368" s="5" t="s">
        <v>2526</v>
      </c>
      <c r="B1368" s="5" t="s">
        <v>861</v>
      </c>
      <c r="C1368" s="5" t="s">
        <v>7309</v>
      </c>
      <c r="D1368" s="1">
        <v>45443</v>
      </c>
      <c r="E1368" s="17">
        <v>0.76041666666666663</v>
      </c>
      <c r="F1368" s="5" t="s">
        <v>7305</v>
      </c>
      <c r="G1368" s="12">
        <v>257</v>
      </c>
      <c r="H1368" s="12">
        <v>0</v>
      </c>
      <c r="I1368" s="12">
        <v>257</v>
      </c>
      <c r="J1368" s="12">
        <f>SUMIF(order_item!B:B,A1368,order_item!E:E)</f>
        <v>257</v>
      </c>
      <c r="K1368" s="28" t="str">
        <f>_xlfn.XLOOKUP(B1368,customers!A:A,customers!D:D)</f>
        <v>Premium</v>
      </c>
    </row>
    <row r="1369" spans="1:11" x14ac:dyDescent="0.25">
      <c r="A1369" s="5" t="s">
        <v>2523</v>
      </c>
      <c r="B1369" s="5" t="s">
        <v>606</v>
      </c>
      <c r="C1369" s="5" t="s">
        <v>7309</v>
      </c>
      <c r="D1369" s="1">
        <v>45565</v>
      </c>
      <c r="E1369" s="17">
        <v>0.76041666666666663</v>
      </c>
      <c r="F1369" s="5" t="s">
        <v>7305</v>
      </c>
      <c r="G1369" s="12">
        <v>526</v>
      </c>
      <c r="H1369" s="12">
        <v>0</v>
      </c>
      <c r="I1369" s="12">
        <v>526</v>
      </c>
      <c r="J1369" s="12">
        <f>SUMIF(order_item!B:B,A1369,order_item!E:E)</f>
        <v>526</v>
      </c>
      <c r="K1369" s="28" t="str">
        <f>_xlfn.XLOOKUP(B1369,customers!A:A,customers!D:D)</f>
        <v>Regular</v>
      </c>
    </row>
    <row r="1370" spans="1:11" x14ac:dyDescent="0.25">
      <c r="A1370" s="5" t="s">
        <v>2518</v>
      </c>
      <c r="B1370" s="5" t="s">
        <v>856</v>
      </c>
      <c r="C1370" s="5" t="s">
        <v>7308</v>
      </c>
      <c r="D1370" s="1">
        <v>45676</v>
      </c>
      <c r="E1370" s="17">
        <v>0.57152777777777775</v>
      </c>
      <c r="F1370" s="5" t="s">
        <v>7305</v>
      </c>
      <c r="G1370" s="12">
        <v>811</v>
      </c>
      <c r="H1370" s="12">
        <v>0</v>
      </c>
      <c r="I1370" s="12">
        <v>811</v>
      </c>
      <c r="J1370" s="12">
        <f>SUMIF(order_item!B:B,A1370,order_item!E:E)</f>
        <v>811</v>
      </c>
      <c r="K1370" s="28" t="str">
        <f>_xlfn.XLOOKUP(B1370,customers!A:A,customers!D:D)</f>
        <v>Regular</v>
      </c>
    </row>
    <row r="1371" spans="1:11" x14ac:dyDescent="0.25">
      <c r="A1371" s="5" t="s">
        <v>2513</v>
      </c>
      <c r="B1371" s="5" t="s">
        <v>712</v>
      </c>
      <c r="C1371" s="5" t="s">
        <v>7309</v>
      </c>
      <c r="D1371" s="1">
        <v>45547</v>
      </c>
      <c r="E1371" s="17">
        <v>0.71388888888888891</v>
      </c>
      <c r="F1371" s="5" t="s">
        <v>7305</v>
      </c>
      <c r="G1371" s="12">
        <v>674</v>
      </c>
      <c r="H1371" s="12">
        <v>0</v>
      </c>
      <c r="I1371" s="12">
        <v>674</v>
      </c>
      <c r="J1371" s="12">
        <f>SUMIF(order_item!B:B,A1371,order_item!E:E)</f>
        <v>674</v>
      </c>
      <c r="K1371" s="28" t="str">
        <f>_xlfn.XLOOKUP(B1371,customers!A:A,customers!D:D)</f>
        <v>Regular</v>
      </c>
    </row>
    <row r="1372" spans="1:11" x14ac:dyDescent="0.25">
      <c r="A1372" s="5" t="s">
        <v>2509</v>
      </c>
      <c r="B1372" s="5" t="s">
        <v>292</v>
      </c>
      <c r="C1372" s="5" t="s">
        <v>7309</v>
      </c>
      <c r="D1372" s="1">
        <v>45692</v>
      </c>
      <c r="E1372" s="17">
        <v>0.46388888888888885</v>
      </c>
      <c r="F1372" s="5" t="s">
        <v>7305</v>
      </c>
      <c r="G1372" s="12">
        <v>356</v>
      </c>
      <c r="H1372" s="12">
        <v>35.6</v>
      </c>
      <c r="I1372" s="12">
        <v>320.39999999999998</v>
      </c>
      <c r="J1372" s="12">
        <f>SUMIF(order_item!B:B,A1372,order_item!E:E)</f>
        <v>356</v>
      </c>
      <c r="K1372" s="28" t="str">
        <f>_xlfn.XLOOKUP(B1372,customers!A:A,customers!D:D)</f>
        <v>Premium</v>
      </c>
    </row>
    <row r="1373" spans="1:11" x14ac:dyDescent="0.25">
      <c r="A1373" s="5" t="s">
        <v>2504</v>
      </c>
      <c r="B1373" s="5" t="s">
        <v>742</v>
      </c>
      <c r="C1373" s="5" t="s">
        <v>7308</v>
      </c>
      <c r="D1373" s="1">
        <v>45728</v>
      </c>
      <c r="E1373" s="17">
        <v>0.7993055555555556</v>
      </c>
      <c r="F1373" s="5" t="s">
        <v>7307</v>
      </c>
      <c r="G1373" s="12">
        <v>1168</v>
      </c>
      <c r="H1373" s="12">
        <v>0</v>
      </c>
      <c r="I1373" s="12">
        <v>0</v>
      </c>
      <c r="J1373" s="12">
        <f>SUMIF(order_item!B:B,A1373,order_item!E:E)</f>
        <v>1168</v>
      </c>
      <c r="K1373" s="28" t="str">
        <f>_xlfn.XLOOKUP(B1373,customers!A:A,customers!D:D)</f>
        <v>New</v>
      </c>
    </row>
    <row r="1374" spans="1:11" x14ac:dyDescent="0.25">
      <c r="A1374" s="5" t="s">
        <v>2500</v>
      </c>
      <c r="B1374" s="5" t="s">
        <v>497</v>
      </c>
      <c r="C1374" s="5" t="s">
        <v>7309</v>
      </c>
      <c r="D1374" s="1">
        <v>45654</v>
      </c>
      <c r="E1374" s="17">
        <v>0.64930555555555558</v>
      </c>
      <c r="F1374" s="5" t="s">
        <v>7305</v>
      </c>
      <c r="G1374" s="12">
        <v>317</v>
      </c>
      <c r="H1374" s="12">
        <v>0</v>
      </c>
      <c r="I1374" s="12">
        <v>317</v>
      </c>
      <c r="J1374" s="12">
        <f>SUMIF(order_item!B:B,A1374,order_item!E:E)</f>
        <v>317</v>
      </c>
      <c r="K1374" s="28" t="str">
        <f>_xlfn.XLOOKUP(B1374,customers!A:A,customers!D:D)</f>
        <v>New</v>
      </c>
    </row>
    <row r="1375" spans="1:11" x14ac:dyDescent="0.25">
      <c r="A1375" s="5" t="s">
        <v>2496</v>
      </c>
      <c r="B1375" s="5" t="s">
        <v>700</v>
      </c>
      <c r="C1375" s="5" t="s">
        <v>7309</v>
      </c>
      <c r="D1375" s="1">
        <v>45696</v>
      </c>
      <c r="E1375" s="17">
        <v>0.86944444444444446</v>
      </c>
      <c r="F1375" s="5" t="s">
        <v>7307</v>
      </c>
      <c r="G1375" s="12">
        <v>713</v>
      </c>
      <c r="H1375" s="12">
        <v>0</v>
      </c>
      <c r="I1375" s="12">
        <v>0</v>
      </c>
      <c r="J1375" s="12">
        <f>SUMIF(order_item!B:B,A1375,order_item!E:E)</f>
        <v>713</v>
      </c>
      <c r="K1375" s="28" t="str">
        <f>_xlfn.XLOOKUP(B1375,customers!A:A,customers!D:D)</f>
        <v>Regular</v>
      </c>
    </row>
    <row r="1376" spans="1:11" x14ac:dyDescent="0.25">
      <c r="A1376" s="5" t="s">
        <v>2492</v>
      </c>
      <c r="B1376" s="5" t="s">
        <v>535</v>
      </c>
      <c r="C1376" s="5" t="s">
        <v>7308</v>
      </c>
      <c r="D1376" s="1">
        <v>45504</v>
      </c>
      <c r="E1376" s="17">
        <v>0.90555555555555556</v>
      </c>
      <c r="F1376" s="5" t="s">
        <v>7307</v>
      </c>
      <c r="G1376" s="12">
        <v>326</v>
      </c>
      <c r="H1376" s="12">
        <v>0</v>
      </c>
      <c r="I1376" s="12">
        <v>0</v>
      </c>
      <c r="J1376" s="12">
        <f>SUMIF(order_item!B:B,A1376,order_item!E:E)</f>
        <v>326</v>
      </c>
      <c r="K1376" s="28" t="str">
        <f>_xlfn.XLOOKUP(B1376,customers!A:A,customers!D:D)</f>
        <v>Regular</v>
      </c>
    </row>
    <row r="1377" spans="1:11" x14ac:dyDescent="0.25">
      <c r="A1377" s="5" t="s">
        <v>2489</v>
      </c>
      <c r="B1377" s="5" t="s">
        <v>856</v>
      </c>
      <c r="C1377" s="5" t="s">
        <v>7309</v>
      </c>
      <c r="D1377" s="1">
        <v>45723</v>
      </c>
      <c r="E1377" s="17">
        <v>0.75486111111111109</v>
      </c>
      <c r="F1377" s="5" t="s">
        <v>7305</v>
      </c>
      <c r="G1377" s="12">
        <v>417</v>
      </c>
      <c r="H1377" s="12">
        <v>0</v>
      </c>
      <c r="I1377" s="12">
        <v>417</v>
      </c>
      <c r="J1377" s="12">
        <f>SUMIF(order_item!B:B,A1377,order_item!E:E)</f>
        <v>417</v>
      </c>
      <c r="K1377" s="28" t="str">
        <f>_xlfn.XLOOKUP(B1377,customers!A:A,customers!D:D)</f>
        <v>Regular</v>
      </c>
    </row>
    <row r="1378" spans="1:11" x14ac:dyDescent="0.25">
      <c r="A1378" s="5" t="s">
        <v>2484</v>
      </c>
      <c r="B1378" s="5" t="s">
        <v>761</v>
      </c>
      <c r="C1378" s="5" t="s">
        <v>7306</v>
      </c>
      <c r="D1378" s="1">
        <v>45622</v>
      </c>
      <c r="E1378" s="17">
        <v>0.6381944444444444</v>
      </c>
      <c r="F1378" s="5" t="s">
        <v>7305</v>
      </c>
      <c r="G1378" s="12">
        <v>455</v>
      </c>
      <c r="H1378" s="12">
        <v>0</v>
      </c>
      <c r="I1378" s="12">
        <v>455</v>
      </c>
      <c r="J1378" s="12">
        <f>SUMIF(order_item!B:B,A1378,order_item!E:E)</f>
        <v>455</v>
      </c>
      <c r="K1378" s="28" t="str">
        <f>_xlfn.XLOOKUP(B1378,customers!A:A,customers!D:D)</f>
        <v>Regular</v>
      </c>
    </row>
    <row r="1379" spans="1:11" x14ac:dyDescent="0.25">
      <c r="A1379" s="5" t="s">
        <v>2479</v>
      </c>
      <c r="B1379" s="5" t="s">
        <v>83</v>
      </c>
      <c r="C1379" s="5" t="s">
        <v>7309</v>
      </c>
      <c r="D1379" s="1">
        <v>45556</v>
      </c>
      <c r="E1379" s="17">
        <v>0.69374999999999998</v>
      </c>
      <c r="F1379" s="5" t="s">
        <v>7305</v>
      </c>
      <c r="G1379" s="12">
        <v>1218</v>
      </c>
      <c r="H1379" s="12">
        <v>0</v>
      </c>
      <c r="I1379" s="12">
        <v>1218</v>
      </c>
      <c r="J1379" s="12">
        <f>SUMIF(order_item!B:B,A1379,order_item!E:E)</f>
        <v>1218</v>
      </c>
      <c r="K1379" s="28" t="str">
        <f>_xlfn.XLOOKUP(B1379,customers!A:A,customers!D:D)</f>
        <v>Regular</v>
      </c>
    </row>
    <row r="1380" spans="1:11" x14ac:dyDescent="0.25">
      <c r="A1380" s="5" t="s">
        <v>2476</v>
      </c>
      <c r="B1380" s="5" t="s">
        <v>701</v>
      </c>
      <c r="C1380" s="5" t="s">
        <v>7306</v>
      </c>
      <c r="D1380" s="1">
        <v>45702</v>
      </c>
      <c r="E1380" s="17">
        <v>0.89097222222222217</v>
      </c>
      <c r="F1380" s="5" t="s">
        <v>7305</v>
      </c>
      <c r="G1380" s="12">
        <v>227</v>
      </c>
      <c r="H1380" s="12">
        <v>0</v>
      </c>
      <c r="I1380" s="12">
        <v>227</v>
      </c>
      <c r="J1380" s="12">
        <f>SUMIF(order_item!B:B,A1380,order_item!E:E)</f>
        <v>227</v>
      </c>
      <c r="K1380" s="28" t="str">
        <f>_xlfn.XLOOKUP(B1380,customers!A:A,customers!D:D)</f>
        <v>Regular</v>
      </c>
    </row>
    <row r="1381" spans="1:11" x14ac:dyDescent="0.25">
      <c r="A1381" s="5" t="s">
        <v>2473</v>
      </c>
      <c r="B1381" s="5" t="s">
        <v>196</v>
      </c>
      <c r="C1381" s="5" t="s">
        <v>7309</v>
      </c>
      <c r="D1381" s="1">
        <v>45625</v>
      </c>
      <c r="E1381" s="17">
        <v>0.57916666666666672</v>
      </c>
      <c r="F1381" s="5" t="s">
        <v>7305</v>
      </c>
      <c r="G1381" s="12">
        <v>178</v>
      </c>
      <c r="H1381" s="12">
        <v>0</v>
      </c>
      <c r="I1381" s="12">
        <v>178</v>
      </c>
      <c r="J1381" s="12">
        <f>SUMIF(order_item!B:B,A1381,order_item!E:E)</f>
        <v>178</v>
      </c>
      <c r="K1381" s="28" t="str">
        <f>_xlfn.XLOOKUP(B1381,customers!A:A,customers!D:D)</f>
        <v>Regular</v>
      </c>
    </row>
    <row r="1382" spans="1:11" x14ac:dyDescent="0.25">
      <c r="A1382" s="5" t="s">
        <v>2470</v>
      </c>
      <c r="B1382" s="5" t="s">
        <v>858</v>
      </c>
      <c r="C1382" s="5" t="s">
        <v>7309</v>
      </c>
      <c r="D1382" s="1">
        <v>45627</v>
      </c>
      <c r="E1382" s="17">
        <v>0.79583333333333339</v>
      </c>
      <c r="F1382" s="5" t="s">
        <v>7305</v>
      </c>
      <c r="G1382" s="12">
        <v>594</v>
      </c>
      <c r="H1382" s="12">
        <v>0</v>
      </c>
      <c r="I1382" s="12">
        <v>594</v>
      </c>
      <c r="J1382" s="12">
        <f>SUMIF(order_item!B:B,A1382,order_item!E:E)</f>
        <v>594</v>
      </c>
      <c r="K1382" s="28" t="str">
        <f>_xlfn.XLOOKUP(B1382,customers!A:A,customers!D:D)</f>
        <v>New</v>
      </c>
    </row>
    <row r="1383" spans="1:11" x14ac:dyDescent="0.25">
      <c r="A1383" s="5" t="s">
        <v>2467</v>
      </c>
      <c r="B1383" s="5" t="s">
        <v>769</v>
      </c>
      <c r="C1383" s="5" t="s">
        <v>7306</v>
      </c>
      <c r="D1383" s="1">
        <v>45655</v>
      </c>
      <c r="E1383" s="17">
        <v>0.4597222222222222</v>
      </c>
      <c r="F1383" s="5" t="s">
        <v>7307</v>
      </c>
      <c r="G1383" s="12">
        <v>228</v>
      </c>
      <c r="H1383" s="12">
        <v>0</v>
      </c>
      <c r="I1383" s="12">
        <v>0</v>
      </c>
      <c r="J1383" s="12">
        <f>SUMIF(order_item!B:B,A1383,order_item!E:E)</f>
        <v>228</v>
      </c>
      <c r="K1383" s="28" t="str">
        <f>_xlfn.XLOOKUP(B1383,customers!A:A,customers!D:D)</f>
        <v>Regular</v>
      </c>
    </row>
    <row r="1384" spans="1:11" x14ac:dyDescent="0.25">
      <c r="A1384" s="5" t="s">
        <v>2464</v>
      </c>
      <c r="B1384" s="5" t="s">
        <v>550</v>
      </c>
      <c r="C1384" s="5" t="s">
        <v>7309</v>
      </c>
      <c r="D1384" s="1">
        <v>45506</v>
      </c>
      <c r="E1384" s="17">
        <v>0.57916666666666672</v>
      </c>
      <c r="F1384" s="5" t="s">
        <v>7305</v>
      </c>
      <c r="G1384" s="12">
        <v>605</v>
      </c>
      <c r="H1384" s="12">
        <v>0</v>
      </c>
      <c r="I1384" s="12">
        <v>605</v>
      </c>
      <c r="J1384" s="12">
        <f>SUMIF(order_item!B:B,A1384,order_item!E:E)</f>
        <v>605</v>
      </c>
      <c r="K1384" s="28" t="str">
        <f>_xlfn.XLOOKUP(B1384,customers!A:A,customers!D:D)</f>
        <v>Regular</v>
      </c>
    </row>
    <row r="1385" spans="1:11" x14ac:dyDescent="0.25">
      <c r="A1385" s="5" t="s">
        <v>2460</v>
      </c>
      <c r="B1385" s="5" t="s">
        <v>205</v>
      </c>
      <c r="C1385" s="5" t="s">
        <v>7309</v>
      </c>
      <c r="D1385" s="1">
        <v>45514</v>
      </c>
      <c r="E1385" s="17">
        <v>0.6972222222222223</v>
      </c>
      <c r="F1385" s="5" t="s">
        <v>7305</v>
      </c>
      <c r="G1385" s="12">
        <v>1540</v>
      </c>
      <c r="H1385" s="12">
        <v>0</v>
      </c>
      <c r="I1385" s="12">
        <v>1540</v>
      </c>
      <c r="J1385" s="12">
        <f>SUMIF(order_item!B:B,A1385,order_item!E:E)</f>
        <v>1540</v>
      </c>
      <c r="K1385" s="28" t="str">
        <f>_xlfn.XLOOKUP(B1385,customers!A:A,customers!D:D)</f>
        <v>Regular</v>
      </c>
    </row>
    <row r="1386" spans="1:11" x14ac:dyDescent="0.25">
      <c r="A1386" s="5" t="s">
        <v>2457</v>
      </c>
      <c r="B1386" s="5" t="s">
        <v>177</v>
      </c>
      <c r="C1386" s="5" t="s">
        <v>7306</v>
      </c>
      <c r="D1386" s="1">
        <v>45417</v>
      </c>
      <c r="E1386" s="17">
        <v>4.8611111111111112E-2</v>
      </c>
      <c r="F1386" s="5" t="s">
        <v>7305</v>
      </c>
      <c r="G1386" s="12">
        <v>346</v>
      </c>
      <c r="H1386" s="12">
        <v>0</v>
      </c>
      <c r="I1386" s="12">
        <v>346</v>
      </c>
      <c r="J1386" s="12">
        <f>SUMIF(order_item!B:B,A1386,order_item!E:E)</f>
        <v>346</v>
      </c>
      <c r="K1386" s="28" t="str">
        <f>_xlfn.XLOOKUP(B1386,customers!A:A,customers!D:D)</f>
        <v>New</v>
      </c>
    </row>
    <row r="1387" spans="1:11" x14ac:dyDescent="0.25">
      <c r="A1387" s="5" t="s">
        <v>2452</v>
      </c>
      <c r="B1387" s="5" t="s">
        <v>299</v>
      </c>
      <c r="C1387" s="5" t="s">
        <v>7309</v>
      </c>
      <c r="D1387" s="1">
        <v>45529</v>
      </c>
      <c r="E1387" s="17">
        <v>0.77361111111111114</v>
      </c>
      <c r="F1387" s="5" t="s">
        <v>7305</v>
      </c>
      <c r="G1387" s="12">
        <v>525</v>
      </c>
      <c r="H1387" s="12">
        <v>0</v>
      </c>
      <c r="I1387" s="12">
        <v>525</v>
      </c>
      <c r="J1387" s="12">
        <f>SUMIF(order_item!B:B,A1387,order_item!E:E)</f>
        <v>525</v>
      </c>
      <c r="K1387" s="28" t="str">
        <f>_xlfn.XLOOKUP(B1387,customers!A:A,customers!D:D)</f>
        <v>Regular</v>
      </c>
    </row>
    <row r="1388" spans="1:11" x14ac:dyDescent="0.25">
      <c r="A1388" s="5" t="s">
        <v>2449</v>
      </c>
      <c r="B1388" s="5" t="s">
        <v>437</v>
      </c>
      <c r="C1388" s="5" t="s">
        <v>7309</v>
      </c>
      <c r="D1388" s="1">
        <v>45679</v>
      </c>
      <c r="E1388" s="17">
        <v>0.75</v>
      </c>
      <c r="F1388" s="5" t="s">
        <v>7305</v>
      </c>
      <c r="G1388" s="12">
        <v>940</v>
      </c>
      <c r="H1388" s="12">
        <v>47</v>
      </c>
      <c r="I1388" s="12">
        <v>893</v>
      </c>
      <c r="J1388" s="12">
        <f>SUMIF(order_item!B:B,A1388,order_item!E:E)</f>
        <v>940</v>
      </c>
      <c r="K1388" s="28" t="str">
        <f>_xlfn.XLOOKUP(B1388,customers!A:A,customers!D:D)</f>
        <v>Regular</v>
      </c>
    </row>
    <row r="1389" spans="1:11" x14ac:dyDescent="0.25">
      <c r="A1389" s="5" t="s">
        <v>2445</v>
      </c>
      <c r="B1389" s="5" t="s">
        <v>749</v>
      </c>
      <c r="C1389" s="5" t="s">
        <v>7309</v>
      </c>
      <c r="D1389" s="1">
        <v>45611</v>
      </c>
      <c r="E1389" s="17">
        <v>0.96458333333333324</v>
      </c>
      <c r="F1389" s="5" t="s">
        <v>7305</v>
      </c>
      <c r="G1389" s="12">
        <v>465</v>
      </c>
      <c r="H1389" s="12">
        <v>0</v>
      </c>
      <c r="I1389" s="12">
        <v>465</v>
      </c>
      <c r="J1389" s="12">
        <f>SUMIF(order_item!B:B,A1389,order_item!E:E)</f>
        <v>465</v>
      </c>
      <c r="K1389" s="28" t="str">
        <f>_xlfn.XLOOKUP(B1389,customers!A:A,customers!D:D)</f>
        <v>Premium</v>
      </c>
    </row>
    <row r="1390" spans="1:11" x14ac:dyDescent="0.25">
      <c r="A1390" s="5" t="s">
        <v>2441</v>
      </c>
      <c r="B1390" s="5" t="s">
        <v>344</v>
      </c>
      <c r="C1390" s="5" t="s">
        <v>7306</v>
      </c>
      <c r="D1390" s="1">
        <v>45596</v>
      </c>
      <c r="E1390" s="17">
        <v>0.56944444444444442</v>
      </c>
      <c r="F1390" s="5" t="s">
        <v>7305</v>
      </c>
      <c r="G1390" s="12">
        <v>903</v>
      </c>
      <c r="H1390" s="12">
        <v>0</v>
      </c>
      <c r="I1390" s="12">
        <v>903</v>
      </c>
      <c r="J1390" s="12">
        <f>SUMIF(order_item!B:B,A1390,order_item!E:E)</f>
        <v>903</v>
      </c>
      <c r="K1390" s="28" t="str">
        <f>_xlfn.XLOOKUP(B1390,customers!A:A,customers!D:D)</f>
        <v>Regular</v>
      </c>
    </row>
    <row r="1391" spans="1:11" x14ac:dyDescent="0.25">
      <c r="A1391" s="5" t="s">
        <v>2438</v>
      </c>
      <c r="B1391" s="5" t="s">
        <v>707</v>
      </c>
      <c r="C1391" s="5" t="s">
        <v>7309</v>
      </c>
      <c r="D1391" s="1">
        <v>45641</v>
      </c>
      <c r="E1391" s="17">
        <v>0.7402777777777777</v>
      </c>
      <c r="F1391" s="5" t="s">
        <v>7305</v>
      </c>
      <c r="G1391" s="12">
        <v>377</v>
      </c>
      <c r="H1391" s="12">
        <v>56.55</v>
      </c>
      <c r="I1391" s="12">
        <v>320.45</v>
      </c>
      <c r="J1391" s="12">
        <f>SUMIF(order_item!B:B,A1391,order_item!E:E)</f>
        <v>377</v>
      </c>
      <c r="K1391" s="28" t="str">
        <f>_xlfn.XLOOKUP(B1391,customers!A:A,customers!D:D)</f>
        <v>Premium</v>
      </c>
    </row>
    <row r="1392" spans="1:11" x14ac:dyDescent="0.25">
      <c r="A1392" s="5" t="s">
        <v>2434</v>
      </c>
      <c r="B1392" s="5" t="s">
        <v>842</v>
      </c>
      <c r="C1392" s="5" t="s">
        <v>7306</v>
      </c>
      <c r="D1392" s="1">
        <v>45709</v>
      </c>
      <c r="E1392" s="17">
        <v>0.64652777777777781</v>
      </c>
      <c r="F1392" s="5" t="s">
        <v>7305</v>
      </c>
      <c r="G1392" s="12">
        <v>604</v>
      </c>
      <c r="H1392" s="12">
        <v>0</v>
      </c>
      <c r="I1392" s="12">
        <v>604</v>
      </c>
      <c r="J1392" s="12">
        <f>SUMIF(order_item!B:B,A1392,order_item!E:E)</f>
        <v>604</v>
      </c>
      <c r="K1392" s="28" t="str">
        <f>_xlfn.XLOOKUP(B1392,customers!A:A,customers!D:D)</f>
        <v>Premium</v>
      </c>
    </row>
    <row r="1393" spans="1:11" x14ac:dyDescent="0.25">
      <c r="A1393" s="5" t="s">
        <v>2431</v>
      </c>
      <c r="B1393" s="5" t="s">
        <v>810</v>
      </c>
      <c r="C1393" s="5" t="s">
        <v>7309</v>
      </c>
      <c r="D1393" s="1">
        <v>45618</v>
      </c>
      <c r="E1393" s="17">
        <v>0.50347222222222221</v>
      </c>
      <c r="F1393" s="5" t="s">
        <v>7305</v>
      </c>
      <c r="G1393" s="12">
        <v>356</v>
      </c>
      <c r="H1393" s="12">
        <v>0</v>
      </c>
      <c r="I1393" s="12">
        <v>356</v>
      </c>
      <c r="J1393" s="12">
        <f>SUMIF(order_item!B:B,A1393,order_item!E:E)</f>
        <v>356</v>
      </c>
      <c r="K1393" s="28" t="str">
        <f>_xlfn.XLOOKUP(B1393,customers!A:A,customers!D:D)</f>
        <v>New</v>
      </c>
    </row>
    <row r="1394" spans="1:11" x14ac:dyDescent="0.25">
      <c r="A1394" s="5" t="s">
        <v>2428</v>
      </c>
      <c r="B1394" s="5" t="s">
        <v>795</v>
      </c>
      <c r="C1394" s="5" t="s">
        <v>7306</v>
      </c>
      <c r="D1394" s="1">
        <v>45671</v>
      </c>
      <c r="E1394" s="17">
        <v>0.87986111111111109</v>
      </c>
      <c r="F1394" s="5" t="s">
        <v>7305</v>
      </c>
      <c r="G1394" s="12">
        <v>744</v>
      </c>
      <c r="H1394" s="12">
        <v>74.400000000000006</v>
      </c>
      <c r="I1394" s="12">
        <v>669.6</v>
      </c>
      <c r="J1394" s="12">
        <f>SUMIF(order_item!B:B,A1394,order_item!E:E)</f>
        <v>744</v>
      </c>
      <c r="K1394" s="28" t="str">
        <f>_xlfn.XLOOKUP(B1394,customers!A:A,customers!D:D)</f>
        <v>Regular</v>
      </c>
    </row>
    <row r="1395" spans="1:11" x14ac:dyDescent="0.25">
      <c r="A1395" s="5" t="s">
        <v>2424</v>
      </c>
      <c r="B1395" s="5" t="s">
        <v>526</v>
      </c>
      <c r="C1395" s="5" t="s">
        <v>7309</v>
      </c>
      <c r="D1395" s="1">
        <v>45474</v>
      </c>
      <c r="E1395" s="17">
        <v>4.1666666666666664E-2</v>
      </c>
      <c r="F1395" s="5" t="s">
        <v>7305</v>
      </c>
      <c r="G1395" s="12">
        <v>673</v>
      </c>
      <c r="H1395" s="12">
        <v>0</v>
      </c>
      <c r="I1395" s="12">
        <v>673</v>
      </c>
      <c r="J1395" s="12">
        <f>SUMIF(order_item!B:B,A1395,order_item!E:E)</f>
        <v>673</v>
      </c>
      <c r="K1395" s="28" t="str">
        <f>_xlfn.XLOOKUP(B1395,customers!A:A,customers!D:D)</f>
        <v>Regular</v>
      </c>
    </row>
    <row r="1396" spans="1:11" x14ac:dyDescent="0.25">
      <c r="A1396" s="5" t="s">
        <v>2420</v>
      </c>
      <c r="B1396" s="5" t="s">
        <v>290</v>
      </c>
      <c r="C1396" s="5" t="s">
        <v>7309</v>
      </c>
      <c r="D1396" s="1">
        <v>45717</v>
      </c>
      <c r="E1396" s="17">
        <v>0.43611111111111112</v>
      </c>
      <c r="F1396" s="5" t="s">
        <v>7305</v>
      </c>
      <c r="G1396" s="12">
        <v>1449</v>
      </c>
      <c r="H1396" s="12">
        <v>144.9</v>
      </c>
      <c r="I1396" s="12">
        <v>1304.0999999999999</v>
      </c>
      <c r="J1396" s="12">
        <f>SUMIF(order_item!B:B,A1396,order_item!E:E)</f>
        <v>1449</v>
      </c>
      <c r="K1396" s="28" t="str">
        <f>_xlfn.XLOOKUP(B1396,customers!A:A,customers!D:D)</f>
        <v>New</v>
      </c>
    </row>
    <row r="1397" spans="1:11" x14ac:dyDescent="0.25">
      <c r="A1397" s="5" t="s">
        <v>2417</v>
      </c>
      <c r="B1397" s="5" t="s">
        <v>108</v>
      </c>
      <c r="C1397" s="5" t="s">
        <v>7309</v>
      </c>
      <c r="D1397" s="1">
        <v>45453</v>
      </c>
      <c r="E1397" s="17">
        <v>0.85</v>
      </c>
      <c r="F1397" s="5" t="s">
        <v>7305</v>
      </c>
      <c r="G1397" s="12">
        <v>248</v>
      </c>
      <c r="H1397" s="12">
        <v>0</v>
      </c>
      <c r="I1397" s="12">
        <v>248</v>
      </c>
      <c r="J1397" s="12">
        <f>SUMIF(order_item!B:B,A1397,order_item!E:E)</f>
        <v>248</v>
      </c>
      <c r="K1397" s="28" t="str">
        <f>_xlfn.XLOOKUP(B1397,customers!A:A,customers!D:D)</f>
        <v>Premium</v>
      </c>
    </row>
    <row r="1398" spans="1:11" x14ac:dyDescent="0.25">
      <c r="A1398" s="5" t="s">
        <v>2413</v>
      </c>
      <c r="B1398" s="5" t="s">
        <v>600</v>
      </c>
      <c r="C1398" s="5" t="s">
        <v>7306</v>
      </c>
      <c r="D1398" s="1">
        <v>45597</v>
      </c>
      <c r="E1398" s="17">
        <v>0.74861111111111101</v>
      </c>
      <c r="F1398" s="5" t="s">
        <v>7305</v>
      </c>
      <c r="G1398" s="12">
        <v>425</v>
      </c>
      <c r="H1398" s="12">
        <v>0</v>
      </c>
      <c r="I1398" s="12">
        <v>425</v>
      </c>
      <c r="J1398" s="12">
        <f>SUMIF(order_item!B:B,A1398,order_item!E:E)</f>
        <v>425</v>
      </c>
      <c r="K1398" s="28" t="str">
        <f>_xlfn.XLOOKUP(B1398,customers!A:A,customers!D:D)</f>
        <v>Regular</v>
      </c>
    </row>
    <row r="1399" spans="1:11" x14ac:dyDescent="0.25">
      <c r="A1399" s="5" t="s">
        <v>2409</v>
      </c>
      <c r="B1399" s="5" t="s">
        <v>205</v>
      </c>
      <c r="C1399" s="5" t="s">
        <v>7309</v>
      </c>
      <c r="D1399" s="1">
        <v>45621</v>
      </c>
      <c r="E1399" s="17">
        <v>0.80347222222222225</v>
      </c>
      <c r="F1399" s="5" t="s">
        <v>7305</v>
      </c>
      <c r="G1399" s="12">
        <v>644</v>
      </c>
      <c r="H1399" s="12">
        <v>96.6</v>
      </c>
      <c r="I1399" s="12">
        <v>547.4</v>
      </c>
      <c r="J1399" s="12">
        <f>SUMIF(order_item!B:B,A1399,order_item!E:E)</f>
        <v>644</v>
      </c>
      <c r="K1399" s="28" t="str">
        <f>_xlfn.XLOOKUP(B1399,customers!A:A,customers!D:D)</f>
        <v>Regular</v>
      </c>
    </row>
    <row r="1400" spans="1:11" x14ac:dyDescent="0.25">
      <c r="A1400" s="5" t="s">
        <v>2406</v>
      </c>
      <c r="B1400" s="5" t="s">
        <v>83</v>
      </c>
      <c r="C1400" s="5" t="s">
        <v>7309</v>
      </c>
      <c r="D1400" s="1">
        <v>45492</v>
      </c>
      <c r="E1400" s="17">
        <v>0.74236111111111114</v>
      </c>
      <c r="F1400" s="5" t="s">
        <v>7305</v>
      </c>
      <c r="G1400" s="12">
        <v>377</v>
      </c>
      <c r="H1400" s="12">
        <v>0</v>
      </c>
      <c r="I1400" s="12">
        <v>377</v>
      </c>
      <c r="J1400" s="12">
        <f>SUMIF(order_item!B:B,A1400,order_item!E:E)</f>
        <v>377</v>
      </c>
      <c r="K1400" s="28" t="str">
        <f>_xlfn.XLOOKUP(B1400,customers!A:A,customers!D:D)</f>
        <v>Regular</v>
      </c>
    </row>
    <row r="1401" spans="1:11" x14ac:dyDescent="0.25">
      <c r="A1401" s="5" t="s">
        <v>2402</v>
      </c>
      <c r="B1401" s="5" t="s">
        <v>564</v>
      </c>
      <c r="C1401" s="5" t="s">
        <v>7309</v>
      </c>
      <c r="D1401" s="1">
        <v>45543</v>
      </c>
      <c r="E1401" s="17">
        <v>0.89861111111111114</v>
      </c>
      <c r="F1401" s="5" t="s">
        <v>7305</v>
      </c>
      <c r="G1401" s="12">
        <v>663</v>
      </c>
      <c r="H1401" s="12">
        <v>66.3</v>
      </c>
      <c r="I1401" s="12">
        <v>596.70000000000005</v>
      </c>
      <c r="J1401" s="12">
        <f>SUMIF(order_item!B:B,A1401,order_item!E:E)</f>
        <v>663</v>
      </c>
      <c r="K1401" s="28" t="str">
        <f>_xlfn.XLOOKUP(B1401,customers!A:A,customers!D:D)</f>
        <v>Regular</v>
      </c>
    </row>
    <row r="1402" spans="1:11" x14ac:dyDescent="0.25">
      <c r="A1402" s="5" t="s">
        <v>2400</v>
      </c>
      <c r="B1402" s="5" t="s">
        <v>668</v>
      </c>
      <c r="C1402" s="5" t="s">
        <v>7308</v>
      </c>
      <c r="D1402" s="1">
        <v>45653</v>
      </c>
      <c r="E1402" s="17">
        <v>0.57222222222222219</v>
      </c>
      <c r="F1402" s="5" t="s">
        <v>7305</v>
      </c>
      <c r="G1402" s="12">
        <v>198</v>
      </c>
      <c r="H1402" s="12">
        <v>29.7</v>
      </c>
      <c r="I1402" s="12">
        <v>168.3</v>
      </c>
      <c r="J1402" s="12">
        <f>SUMIF(order_item!B:B,A1402,order_item!E:E)</f>
        <v>198</v>
      </c>
      <c r="K1402" s="28" t="str">
        <f>_xlfn.XLOOKUP(B1402,customers!A:A,customers!D:D)</f>
        <v>Premium</v>
      </c>
    </row>
    <row r="1403" spans="1:11" x14ac:dyDescent="0.25">
      <c r="A1403" s="5" t="s">
        <v>2397</v>
      </c>
      <c r="B1403" s="5" t="s">
        <v>727</v>
      </c>
      <c r="C1403" s="5" t="s">
        <v>7309</v>
      </c>
      <c r="D1403" s="1">
        <v>45608</v>
      </c>
      <c r="E1403" s="17">
        <v>0.7729166666666667</v>
      </c>
      <c r="F1403" s="5" t="s">
        <v>7305</v>
      </c>
      <c r="G1403" s="12">
        <v>416</v>
      </c>
      <c r="H1403" s="12">
        <v>20.8</v>
      </c>
      <c r="I1403" s="12">
        <v>395.2</v>
      </c>
      <c r="J1403" s="12">
        <f>SUMIF(order_item!B:B,A1403,order_item!E:E)</f>
        <v>416</v>
      </c>
      <c r="K1403" s="28" t="str">
        <f>_xlfn.XLOOKUP(B1403,customers!A:A,customers!D:D)</f>
        <v>Regular</v>
      </c>
    </row>
    <row r="1404" spans="1:11" x14ac:dyDescent="0.25">
      <c r="A1404" s="5" t="s">
        <v>2392</v>
      </c>
      <c r="B1404" s="5" t="s">
        <v>338</v>
      </c>
      <c r="C1404" s="5" t="s">
        <v>7309</v>
      </c>
      <c r="D1404" s="1">
        <v>45430</v>
      </c>
      <c r="E1404" s="17">
        <v>0.68055555555555547</v>
      </c>
      <c r="F1404" s="5" t="s">
        <v>7305</v>
      </c>
      <c r="G1404" s="12">
        <v>574</v>
      </c>
      <c r="H1404" s="12">
        <v>28.7</v>
      </c>
      <c r="I1404" s="12">
        <v>545.29999999999995</v>
      </c>
      <c r="J1404" s="12">
        <f>SUMIF(order_item!B:B,A1404,order_item!E:E)</f>
        <v>574</v>
      </c>
      <c r="K1404" s="28" t="str">
        <f>_xlfn.XLOOKUP(B1404,customers!A:A,customers!D:D)</f>
        <v>Premium</v>
      </c>
    </row>
    <row r="1405" spans="1:11" x14ac:dyDescent="0.25">
      <c r="A1405" s="5" t="s">
        <v>2389</v>
      </c>
      <c r="B1405" s="5" t="s">
        <v>779</v>
      </c>
      <c r="C1405" s="5" t="s">
        <v>7309</v>
      </c>
      <c r="D1405" s="1">
        <v>45655</v>
      </c>
      <c r="E1405" s="17">
        <v>0.62569444444444444</v>
      </c>
      <c r="F1405" s="5" t="s">
        <v>7305</v>
      </c>
      <c r="G1405" s="12">
        <v>168</v>
      </c>
      <c r="H1405" s="12">
        <v>16.8</v>
      </c>
      <c r="I1405" s="12">
        <v>151.19999999999999</v>
      </c>
      <c r="J1405" s="12">
        <f>SUMIF(order_item!B:B,A1405,order_item!E:E)</f>
        <v>168</v>
      </c>
      <c r="K1405" s="28" t="str">
        <f>_xlfn.XLOOKUP(B1405,customers!A:A,customers!D:D)</f>
        <v>New</v>
      </c>
    </row>
    <row r="1406" spans="1:11" x14ac:dyDescent="0.25">
      <c r="A1406" s="5" t="s">
        <v>2387</v>
      </c>
      <c r="B1406" s="5" t="s">
        <v>513</v>
      </c>
      <c r="C1406" s="5" t="s">
        <v>7306</v>
      </c>
      <c r="D1406" s="1">
        <v>45477</v>
      </c>
      <c r="E1406" s="17">
        <v>0.43541666666666662</v>
      </c>
      <c r="F1406" s="5" t="s">
        <v>7305</v>
      </c>
      <c r="G1406" s="12">
        <v>198</v>
      </c>
      <c r="H1406" s="12">
        <v>0</v>
      </c>
      <c r="I1406" s="12">
        <v>198</v>
      </c>
      <c r="J1406" s="12">
        <f>SUMIF(order_item!B:B,A1406,order_item!E:E)</f>
        <v>198</v>
      </c>
      <c r="K1406" s="28" t="str">
        <f>_xlfn.XLOOKUP(B1406,customers!A:A,customers!D:D)</f>
        <v>Regular</v>
      </c>
    </row>
    <row r="1407" spans="1:11" x14ac:dyDescent="0.25">
      <c r="A1407" s="5" t="s">
        <v>2384</v>
      </c>
      <c r="B1407" s="5" t="s">
        <v>433</v>
      </c>
      <c r="C1407" s="5" t="s">
        <v>7309</v>
      </c>
      <c r="D1407" s="1">
        <v>45453</v>
      </c>
      <c r="E1407" s="17">
        <v>0.71875</v>
      </c>
      <c r="F1407" s="5" t="s">
        <v>7305</v>
      </c>
      <c r="G1407" s="12">
        <v>396</v>
      </c>
      <c r="H1407" s="12">
        <v>19.8</v>
      </c>
      <c r="I1407" s="12">
        <v>376.2</v>
      </c>
      <c r="J1407" s="12">
        <f>SUMIF(order_item!B:B,A1407,order_item!E:E)</f>
        <v>396</v>
      </c>
      <c r="K1407" s="28" t="str">
        <f>_xlfn.XLOOKUP(B1407,customers!A:A,customers!D:D)</f>
        <v>New</v>
      </c>
    </row>
    <row r="1408" spans="1:11" x14ac:dyDescent="0.25">
      <c r="A1408" s="5" t="s">
        <v>2380</v>
      </c>
      <c r="B1408" s="5" t="s">
        <v>835</v>
      </c>
      <c r="C1408" s="5" t="s">
        <v>7309</v>
      </c>
      <c r="D1408" s="1">
        <v>45633</v>
      </c>
      <c r="E1408" s="17">
        <v>0.81736111111111109</v>
      </c>
      <c r="F1408" s="5" t="s">
        <v>7305</v>
      </c>
      <c r="G1408" s="12">
        <v>615</v>
      </c>
      <c r="H1408" s="12">
        <v>0</v>
      </c>
      <c r="I1408" s="12">
        <v>615</v>
      </c>
      <c r="J1408" s="12">
        <f>SUMIF(order_item!B:B,A1408,order_item!E:E)</f>
        <v>615</v>
      </c>
      <c r="K1408" s="28" t="str">
        <f>_xlfn.XLOOKUP(B1408,customers!A:A,customers!D:D)</f>
        <v>New</v>
      </c>
    </row>
    <row r="1409" spans="1:11" x14ac:dyDescent="0.25">
      <c r="A1409" s="5" t="s">
        <v>2377</v>
      </c>
      <c r="B1409" s="5" t="s">
        <v>566</v>
      </c>
      <c r="C1409" s="5" t="s">
        <v>7309</v>
      </c>
      <c r="D1409" s="1">
        <v>45508</v>
      </c>
      <c r="E1409" s="17">
        <v>9.0277777777777787E-3</v>
      </c>
      <c r="F1409" s="5" t="s">
        <v>7305</v>
      </c>
      <c r="G1409" s="12">
        <v>476</v>
      </c>
      <c r="H1409" s="12">
        <v>0</v>
      </c>
      <c r="I1409" s="12">
        <v>476</v>
      </c>
      <c r="J1409" s="12">
        <f>SUMIF(order_item!B:B,A1409,order_item!E:E)</f>
        <v>476</v>
      </c>
      <c r="K1409" s="28" t="str">
        <f>_xlfn.XLOOKUP(B1409,customers!A:A,customers!D:D)</f>
        <v>Regular</v>
      </c>
    </row>
    <row r="1410" spans="1:11" x14ac:dyDescent="0.25">
      <c r="A1410" s="5" t="s">
        <v>2372</v>
      </c>
      <c r="B1410" s="5" t="s">
        <v>533</v>
      </c>
      <c r="C1410" s="5" t="s">
        <v>7309</v>
      </c>
      <c r="D1410" s="1">
        <v>45545</v>
      </c>
      <c r="E1410" s="17">
        <v>0.61319444444444449</v>
      </c>
      <c r="F1410" s="5" t="s">
        <v>7305</v>
      </c>
      <c r="G1410" s="12">
        <v>1082</v>
      </c>
      <c r="H1410" s="12">
        <v>0</v>
      </c>
      <c r="I1410" s="12">
        <v>1082</v>
      </c>
      <c r="J1410" s="12">
        <f>SUMIF(order_item!B:B,A1410,order_item!E:E)</f>
        <v>1082</v>
      </c>
      <c r="K1410" s="28" t="str">
        <f>_xlfn.XLOOKUP(B1410,customers!A:A,customers!D:D)</f>
        <v>Regular</v>
      </c>
    </row>
    <row r="1411" spans="1:11" x14ac:dyDescent="0.25">
      <c r="A1411" s="5" t="s">
        <v>2369</v>
      </c>
      <c r="B1411" s="5" t="s">
        <v>723</v>
      </c>
      <c r="C1411" s="5" t="s">
        <v>7309</v>
      </c>
      <c r="D1411" s="1">
        <v>45393</v>
      </c>
      <c r="E1411" s="17">
        <v>0.80208333333333337</v>
      </c>
      <c r="F1411" s="5" t="s">
        <v>7307</v>
      </c>
      <c r="G1411" s="12">
        <v>544</v>
      </c>
      <c r="H1411" s="12">
        <v>0</v>
      </c>
      <c r="I1411" s="12">
        <v>0</v>
      </c>
      <c r="J1411" s="12">
        <f>SUMIF(order_item!B:B,A1411,order_item!E:E)</f>
        <v>544</v>
      </c>
      <c r="K1411" s="28" t="str">
        <f>_xlfn.XLOOKUP(B1411,customers!A:A,customers!D:D)</f>
        <v>Regular</v>
      </c>
    </row>
    <row r="1412" spans="1:11" x14ac:dyDescent="0.25">
      <c r="A1412" s="5" t="s">
        <v>2366</v>
      </c>
      <c r="B1412" s="5" t="s">
        <v>705</v>
      </c>
      <c r="C1412" s="5" t="s">
        <v>7306</v>
      </c>
      <c r="D1412" s="1">
        <v>45457</v>
      </c>
      <c r="E1412" s="17">
        <v>0.72222222222222221</v>
      </c>
      <c r="F1412" s="5" t="s">
        <v>7305</v>
      </c>
      <c r="G1412" s="12">
        <v>298</v>
      </c>
      <c r="H1412" s="12">
        <v>14.9</v>
      </c>
      <c r="I1412" s="12">
        <v>283.10000000000002</v>
      </c>
      <c r="J1412" s="12">
        <f>SUMIF(order_item!B:B,A1412,order_item!E:E)</f>
        <v>298</v>
      </c>
      <c r="K1412" s="28" t="str">
        <f>_xlfn.XLOOKUP(B1412,customers!A:A,customers!D:D)</f>
        <v>New</v>
      </c>
    </row>
    <row r="1413" spans="1:11" x14ac:dyDescent="0.25">
      <c r="A1413" s="5" t="s">
        <v>2363</v>
      </c>
      <c r="B1413" s="5" t="s">
        <v>482</v>
      </c>
      <c r="C1413" s="5" t="s">
        <v>7308</v>
      </c>
      <c r="D1413" s="1">
        <v>45616</v>
      </c>
      <c r="E1413" s="17">
        <v>0.53194444444444444</v>
      </c>
      <c r="F1413" s="5" t="s">
        <v>7305</v>
      </c>
      <c r="G1413" s="12">
        <v>377</v>
      </c>
      <c r="H1413" s="12">
        <v>37.700000000000003</v>
      </c>
      <c r="I1413" s="12">
        <v>339.3</v>
      </c>
      <c r="J1413" s="12">
        <f>SUMIF(order_item!B:B,A1413,order_item!E:E)</f>
        <v>377</v>
      </c>
      <c r="K1413" s="28" t="str">
        <f>_xlfn.XLOOKUP(B1413,customers!A:A,customers!D:D)</f>
        <v>Regular</v>
      </c>
    </row>
    <row r="1414" spans="1:11" x14ac:dyDescent="0.25">
      <c r="A1414" s="5" t="s">
        <v>2360</v>
      </c>
      <c r="B1414" s="5" t="s">
        <v>675</v>
      </c>
      <c r="C1414" s="5" t="s">
        <v>7309</v>
      </c>
      <c r="D1414" s="1">
        <v>45614</v>
      </c>
      <c r="E1414" s="17">
        <v>0.73125000000000007</v>
      </c>
      <c r="F1414" s="5" t="s">
        <v>7305</v>
      </c>
      <c r="G1414" s="12">
        <v>417</v>
      </c>
      <c r="H1414" s="12">
        <v>0</v>
      </c>
      <c r="I1414" s="12">
        <v>417</v>
      </c>
      <c r="J1414" s="12">
        <f>SUMIF(order_item!B:B,A1414,order_item!E:E)</f>
        <v>417</v>
      </c>
      <c r="K1414" s="28" t="str">
        <f>_xlfn.XLOOKUP(B1414,customers!A:A,customers!D:D)</f>
        <v>New</v>
      </c>
    </row>
    <row r="1415" spans="1:11" x14ac:dyDescent="0.25">
      <c r="A1415" s="5" t="s">
        <v>2355</v>
      </c>
      <c r="B1415" s="5" t="s">
        <v>200</v>
      </c>
      <c r="C1415" s="5" t="s">
        <v>7309</v>
      </c>
      <c r="D1415" s="1">
        <v>45576</v>
      </c>
      <c r="E1415" s="17">
        <v>0.43124999999999997</v>
      </c>
      <c r="F1415" s="5" t="s">
        <v>7305</v>
      </c>
      <c r="G1415" s="12">
        <v>594</v>
      </c>
      <c r="H1415" s="12">
        <v>89.1</v>
      </c>
      <c r="I1415" s="12">
        <v>504.9</v>
      </c>
      <c r="J1415" s="12">
        <f>SUMIF(order_item!B:B,A1415,order_item!E:E)</f>
        <v>594</v>
      </c>
      <c r="K1415" s="28" t="str">
        <f>_xlfn.XLOOKUP(B1415,customers!A:A,customers!D:D)</f>
        <v>New</v>
      </c>
    </row>
    <row r="1416" spans="1:11" x14ac:dyDescent="0.25">
      <c r="A1416" s="5" t="s">
        <v>2350</v>
      </c>
      <c r="B1416" s="5" t="s">
        <v>363</v>
      </c>
      <c r="C1416" s="5" t="s">
        <v>7309</v>
      </c>
      <c r="D1416" s="1">
        <v>45683</v>
      </c>
      <c r="E1416" s="17">
        <v>0.50902777777777775</v>
      </c>
      <c r="F1416" s="5" t="s">
        <v>7305</v>
      </c>
      <c r="G1416" s="12">
        <v>624</v>
      </c>
      <c r="H1416" s="12">
        <v>0</v>
      </c>
      <c r="I1416" s="12">
        <v>624</v>
      </c>
      <c r="J1416" s="12">
        <f>SUMIF(order_item!B:B,A1416,order_item!E:E)</f>
        <v>624</v>
      </c>
      <c r="K1416" s="28" t="str">
        <f>_xlfn.XLOOKUP(B1416,customers!A:A,customers!D:D)</f>
        <v>New</v>
      </c>
    </row>
    <row r="1417" spans="1:11" x14ac:dyDescent="0.25">
      <c r="A1417" s="5" t="s">
        <v>2347</v>
      </c>
      <c r="B1417" s="5" t="s">
        <v>242</v>
      </c>
      <c r="C1417" s="5" t="s">
        <v>7309</v>
      </c>
      <c r="D1417" s="1">
        <v>45720</v>
      </c>
      <c r="E1417" s="17">
        <v>0.41597222222222219</v>
      </c>
      <c r="F1417" s="5" t="s">
        <v>7305</v>
      </c>
      <c r="G1417" s="12">
        <v>178</v>
      </c>
      <c r="H1417" s="12">
        <v>0</v>
      </c>
      <c r="I1417" s="12">
        <v>178</v>
      </c>
      <c r="J1417" s="12">
        <f>SUMIF(order_item!B:B,A1417,order_item!E:E)</f>
        <v>178</v>
      </c>
      <c r="K1417" s="28" t="str">
        <f>_xlfn.XLOOKUP(B1417,customers!A:A,customers!D:D)</f>
        <v>Regular</v>
      </c>
    </row>
    <row r="1418" spans="1:11" x14ac:dyDescent="0.25">
      <c r="A1418" s="5" t="s">
        <v>2343</v>
      </c>
      <c r="B1418" s="5" t="s">
        <v>313</v>
      </c>
      <c r="C1418" s="5" t="s">
        <v>7306</v>
      </c>
      <c r="D1418" s="1">
        <v>45669</v>
      </c>
      <c r="E1418" s="17">
        <v>0.75347222222222221</v>
      </c>
      <c r="F1418" s="5" t="s">
        <v>7305</v>
      </c>
      <c r="G1418" s="12">
        <v>704</v>
      </c>
      <c r="H1418" s="12">
        <v>0</v>
      </c>
      <c r="I1418" s="12">
        <v>704</v>
      </c>
      <c r="J1418" s="12">
        <f>SUMIF(order_item!B:B,A1418,order_item!E:E)</f>
        <v>704</v>
      </c>
      <c r="K1418" s="28" t="str">
        <f>_xlfn.XLOOKUP(B1418,customers!A:A,customers!D:D)</f>
        <v>Regular</v>
      </c>
    </row>
    <row r="1419" spans="1:11" x14ac:dyDescent="0.25">
      <c r="A1419" s="5" t="s">
        <v>2341</v>
      </c>
      <c r="B1419" s="5" t="s">
        <v>451</v>
      </c>
      <c r="C1419" s="5" t="s">
        <v>7308</v>
      </c>
      <c r="D1419" s="1">
        <v>45448</v>
      </c>
      <c r="E1419" s="17">
        <v>0.72430555555555554</v>
      </c>
      <c r="F1419" s="5" t="s">
        <v>7305</v>
      </c>
      <c r="G1419" s="12">
        <v>198</v>
      </c>
      <c r="H1419" s="12">
        <v>0</v>
      </c>
      <c r="I1419" s="12">
        <v>198</v>
      </c>
      <c r="J1419" s="12">
        <f>SUMIF(order_item!B:B,A1419,order_item!E:E)</f>
        <v>198</v>
      </c>
      <c r="K1419" s="28" t="str">
        <f>_xlfn.XLOOKUP(B1419,customers!A:A,customers!D:D)</f>
        <v>Regular</v>
      </c>
    </row>
    <row r="1420" spans="1:11" x14ac:dyDescent="0.25">
      <c r="A1420" s="5" t="s">
        <v>2336</v>
      </c>
      <c r="B1420" s="5" t="s">
        <v>250</v>
      </c>
      <c r="C1420" s="5" t="s">
        <v>7306</v>
      </c>
      <c r="D1420" s="1">
        <v>45583</v>
      </c>
      <c r="E1420" s="17">
        <v>7.9166666666666663E-2</v>
      </c>
      <c r="F1420" s="5" t="s">
        <v>7305</v>
      </c>
      <c r="G1420" s="12">
        <v>1111</v>
      </c>
      <c r="H1420" s="12">
        <v>0</v>
      </c>
      <c r="I1420" s="12">
        <v>1111</v>
      </c>
      <c r="J1420" s="12">
        <f>SUMIF(order_item!B:B,A1420,order_item!E:E)</f>
        <v>1111</v>
      </c>
      <c r="K1420" s="28" t="str">
        <f>_xlfn.XLOOKUP(B1420,customers!A:A,customers!D:D)</f>
        <v>Regular</v>
      </c>
    </row>
    <row r="1421" spans="1:11" x14ac:dyDescent="0.25">
      <c r="A1421" s="5" t="s">
        <v>2332</v>
      </c>
      <c r="B1421" s="5" t="s">
        <v>447</v>
      </c>
      <c r="C1421" s="5" t="s">
        <v>7306</v>
      </c>
      <c r="D1421" s="1">
        <v>45638</v>
      </c>
      <c r="E1421" s="17">
        <v>0.82430555555555562</v>
      </c>
      <c r="F1421" s="5" t="s">
        <v>7307</v>
      </c>
      <c r="G1421" s="12">
        <v>932</v>
      </c>
      <c r="H1421" s="12">
        <v>93.2</v>
      </c>
      <c r="I1421" s="12">
        <v>0</v>
      </c>
      <c r="J1421" s="12">
        <f>SUMIF(order_item!B:B,A1421,order_item!E:E)</f>
        <v>932</v>
      </c>
      <c r="K1421" s="28" t="str">
        <f>_xlfn.XLOOKUP(B1421,customers!A:A,customers!D:D)</f>
        <v>Regular</v>
      </c>
    </row>
    <row r="1422" spans="1:11" x14ac:dyDescent="0.25">
      <c r="A1422" s="5" t="s">
        <v>2329</v>
      </c>
      <c r="B1422" s="5" t="s">
        <v>373</v>
      </c>
      <c r="C1422" s="5" t="s">
        <v>7309</v>
      </c>
      <c r="D1422" s="1">
        <v>45388</v>
      </c>
      <c r="E1422" s="17">
        <v>0.91041666666666676</v>
      </c>
      <c r="F1422" s="5" t="s">
        <v>7305</v>
      </c>
      <c r="G1422" s="12">
        <v>544</v>
      </c>
      <c r="H1422" s="12">
        <v>0</v>
      </c>
      <c r="I1422" s="12">
        <v>544</v>
      </c>
      <c r="J1422" s="12">
        <f>SUMIF(order_item!B:B,A1422,order_item!E:E)</f>
        <v>544</v>
      </c>
      <c r="K1422" s="28" t="str">
        <f>_xlfn.XLOOKUP(B1422,customers!A:A,customers!D:D)</f>
        <v>New</v>
      </c>
    </row>
    <row r="1423" spans="1:11" x14ac:dyDescent="0.25">
      <c r="A1423" s="5" t="s">
        <v>2325</v>
      </c>
      <c r="B1423" s="5" t="s">
        <v>335</v>
      </c>
      <c r="C1423" s="5" t="s">
        <v>7308</v>
      </c>
      <c r="D1423" s="1">
        <v>45433</v>
      </c>
      <c r="E1423" s="17">
        <v>0.85902777777777783</v>
      </c>
      <c r="F1423" s="5" t="s">
        <v>7305</v>
      </c>
      <c r="G1423" s="12">
        <v>404</v>
      </c>
      <c r="H1423" s="12">
        <v>0</v>
      </c>
      <c r="I1423" s="12">
        <v>404</v>
      </c>
      <c r="J1423" s="12">
        <f>SUMIF(order_item!B:B,A1423,order_item!E:E)</f>
        <v>404</v>
      </c>
      <c r="K1423" s="28" t="str">
        <f>_xlfn.XLOOKUP(B1423,customers!A:A,customers!D:D)</f>
        <v>Regular</v>
      </c>
    </row>
    <row r="1424" spans="1:11" x14ac:dyDescent="0.25">
      <c r="A1424" s="5" t="s">
        <v>2320</v>
      </c>
      <c r="B1424" s="5" t="s">
        <v>112</v>
      </c>
      <c r="C1424" s="5" t="s">
        <v>7308</v>
      </c>
      <c r="D1424" s="1">
        <v>45455</v>
      </c>
      <c r="E1424" s="17">
        <v>0.90555555555555556</v>
      </c>
      <c r="F1424" s="5" t="s">
        <v>7305</v>
      </c>
      <c r="G1424" s="12">
        <v>1012</v>
      </c>
      <c r="H1424" s="12">
        <v>0</v>
      </c>
      <c r="I1424" s="12">
        <v>1012</v>
      </c>
      <c r="J1424" s="12">
        <f>SUMIF(order_item!B:B,A1424,order_item!E:E)</f>
        <v>1012</v>
      </c>
      <c r="K1424" s="28" t="str">
        <f>_xlfn.XLOOKUP(B1424,customers!A:A,customers!D:D)</f>
        <v>Regular</v>
      </c>
    </row>
    <row r="1425" spans="1:11" x14ac:dyDescent="0.25">
      <c r="A1425" s="5" t="s">
        <v>2316</v>
      </c>
      <c r="B1425" s="5" t="s">
        <v>499</v>
      </c>
      <c r="C1425" s="5" t="s">
        <v>7306</v>
      </c>
      <c r="D1425" s="1">
        <v>45652</v>
      </c>
      <c r="E1425" s="17">
        <v>0.45416666666666666</v>
      </c>
      <c r="F1425" s="5" t="s">
        <v>7305</v>
      </c>
      <c r="G1425" s="12">
        <v>1112</v>
      </c>
      <c r="H1425" s="12">
        <v>0</v>
      </c>
      <c r="I1425" s="12">
        <v>1112</v>
      </c>
      <c r="J1425" s="12">
        <f>SUMIF(order_item!B:B,A1425,order_item!E:E)</f>
        <v>1112</v>
      </c>
      <c r="K1425" s="28" t="str">
        <f>_xlfn.XLOOKUP(B1425,customers!A:A,customers!D:D)</f>
        <v>New</v>
      </c>
    </row>
    <row r="1426" spans="1:11" x14ac:dyDescent="0.25">
      <c r="A1426" s="5" t="s">
        <v>2312</v>
      </c>
      <c r="B1426" s="5" t="s">
        <v>309</v>
      </c>
      <c r="C1426" s="5" t="s">
        <v>7309</v>
      </c>
      <c r="D1426" s="1">
        <v>45542</v>
      </c>
      <c r="E1426" s="17">
        <v>0.87777777777777777</v>
      </c>
      <c r="F1426" s="5" t="s">
        <v>7305</v>
      </c>
      <c r="G1426" s="12">
        <v>928</v>
      </c>
      <c r="H1426" s="12">
        <v>92.8</v>
      </c>
      <c r="I1426" s="12">
        <v>835.2</v>
      </c>
      <c r="J1426" s="12">
        <f>SUMIF(order_item!B:B,A1426,order_item!E:E)</f>
        <v>928</v>
      </c>
      <c r="K1426" s="28" t="str">
        <f>_xlfn.XLOOKUP(B1426,customers!A:A,customers!D:D)</f>
        <v>New</v>
      </c>
    </row>
    <row r="1427" spans="1:11" x14ac:dyDescent="0.25">
      <c r="A1427" s="5" t="s">
        <v>2308</v>
      </c>
      <c r="B1427" s="5" t="s">
        <v>351</v>
      </c>
      <c r="C1427" s="5" t="s">
        <v>7309</v>
      </c>
      <c r="D1427" s="1">
        <v>45393</v>
      </c>
      <c r="E1427" s="17">
        <v>0.9770833333333333</v>
      </c>
      <c r="F1427" s="5" t="s">
        <v>7305</v>
      </c>
      <c r="G1427" s="12">
        <v>999</v>
      </c>
      <c r="H1427" s="12">
        <v>99.9</v>
      </c>
      <c r="I1427" s="12">
        <v>899.1</v>
      </c>
      <c r="J1427" s="12">
        <f>SUMIF(order_item!B:B,A1427,order_item!E:E)</f>
        <v>999</v>
      </c>
      <c r="K1427" s="28" t="str">
        <f>_xlfn.XLOOKUP(B1427,customers!A:A,customers!D:D)</f>
        <v>New</v>
      </c>
    </row>
    <row r="1428" spans="1:11" x14ac:dyDescent="0.25">
      <c r="A1428" s="5" t="s">
        <v>2306</v>
      </c>
      <c r="B1428" s="5" t="s">
        <v>203</v>
      </c>
      <c r="C1428" s="5" t="s">
        <v>7306</v>
      </c>
      <c r="D1428" s="1">
        <v>45443</v>
      </c>
      <c r="E1428" s="17">
        <v>0.66875000000000007</v>
      </c>
      <c r="F1428" s="5" t="s">
        <v>7305</v>
      </c>
      <c r="G1428" s="12">
        <v>89</v>
      </c>
      <c r="H1428" s="12">
        <v>0</v>
      </c>
      <c r="I1428" s="12">
        <v>89</v>
      </c>
      <c r="J1428" s="12">
        <f>SUMIF(order_item!B:B,A1428,order_item!E:E)</f>
        <v>89</v>
      </c>
      <c r="K1428" s="28" t="str">
        <f>_xlfn.XLOOKUP(B1428,customers!A:A,customers!D:D)</f>
        <v>New</v>
      </c>
    </row>
    <row r="1429" spans="1:11" x14ac:dyDescent="0.25">
      <c r="A1429" s="5" t="s">
        <v>2304</v>
      </c>
      <c r="B1429" s="5" t="s">
        <v>505</v>
      </c>
      <c r="C1429" s="5" t="s">
        <v>7309</v>
      </c>
      <c r="D1429" s="1">
        <v>45529</v>
      </c>
      <c r="E1429" s="17">
        <v>0.82152777777777775</v>
      </c>
      <c r="F1429" s="5" t="s">
        <v>7305</v>
      </c>
      <c r="G1429" s="12">
        <v>79</v>
      </c>
      <c r="H1429" s="12">
        <v>0</v>
      </c>
      <c r="I1429" s="12">
        <v>79</v>
      </c>
      <c r="J1429" s="12">
        <f>SUMIF(order_item!B:B,A1429,order_item!E:E)</f>
        <v>79</v>
      </c>
      <c r="K1429" s="28" t="str">
        <f>_xlfn.XLOOKUP(B1429,customers!A:A,customers!D:D)</f>
        <v>Regular</v>
      </c>
    </row>
    <row r="1430" spans="1:11" x14ac:dyDescent="0.25">
      <c r="A1430" s="5" t="s">
        <v>2302</v>
      </c>
      <c r="B1430" s="5" t="s">
        <v>692</v>
      </c>
      <c r="C1430" s="5" t="s">
        <v>7309</v>
      </c>
      <c r="D1430" s="1">
        <v>45530</v>
      </c>
      <c r="E1430" s="17">
        <v>0.6743055555555556</v>
      </c>
      <c r="F1430" s="5" t="s">
        <v>7305</v>
      </c>
      <c r="G1430" s="12">
        <v>89</v>
      </c>
      <c r="H1430" s="12">
        <v>0</v>
      </c>
      <c r="I1430" s="12">
        <v>89</v>
      </c>
      <c r="J1430" s="12">
        <f>SUMIF(order_item!B:B,A1430,order_item!E:E)</f>
        <v>89</v>
      </c>
      <c r="K1430" s="28" t="str">
        <f>_xlfn.XLOOKUP(B1430,customers!A:A,customers!D:D)</f>
        <v>New</v>
      </c>
    </row>
    <row r="1431" spans="1:11" x14ac:dyDescent="0.25">
      <c r="A1431" s="5" t="s">
        <v>2299</v>
      </c>
      <c r="B1431" s="5" t="s">
        <v>354</v>
      </c>
      <c r="C1431" s="5" t="s">
        <v>7309</v>
      </c>
      <c r="D1431" s="1">
        <v>45675</v>
      </c>
      <c r="E1431" s="17">
        <v>0.47083333333333338</v>
      </c>
      <c r="F1431" s="5" t="s">
        <v>7305</v>
      </c>
      <c r="G1431" s="12">
        <v>178</v>
      </c>
      <c r="H1431" s="12">
        <v>17.8</v>
      </c>
      <c r="I1431" s="12">
        <v>160.19999999999999</v>
      </c>
      <c r="J1431" s="12">
        <f>SUMIF(order_item!B:B,A1431,order_item!E:E)</f>
        <v>178</v>
      </c>
      <c r="K1431" s="28" t="str">
        <f>_xlfn.XLOOKUP(B1431,customers!A:A,customers!D:D)</f>
        <v>New</v>
      </c>
    </row>
    <row r="1432" spans="1:11" x14ac:dyDescent="0.25">
      <c r="A1432" s="5" t="s">
        <v>2294</v>
      </c>
      <c r="B1432" s="5" t="s">
        <v>529</v>
      </c>
      <c r="C1432" s="5" t="s">
        <v>7308</v>
      </c>
      <c r="D1432" s="1">
        <v>45491</v>
      </c>
      <c r="E1432" s="17">
        <v>2.7083333333333334E-2</v>
      </c>
      <c r="F1432" s="5" t="s">
        <v>7305</v>
      </c>
      <c r="G1432" s="12">
        <v>535</v>
      </c>
      <c r="H1432" s="12">
        <v>53.5</v>
      </c>
      <c r="I1432" s="12">
        <v>481.5</v>
      </c>
      <c r="J1432" s="12">
        <f>SUMIF(order_item!B:B,A1432,order_item!E:E)</f>
        <v>535</v>
      </c>
      <c r="K1432" s="28" t="str">
        <f>_xlfn.XLOOKUP(B1432,customers!A:A,customers!D:D)</f>
        <v>Regular</v>
      </c>
    </row>
    <row r="1433" spans="1:11" x14ac:dyDescent="0.25">
      <c r="A1433" s="5" t="s">
        <v>2291</v>
      </c>
      <c r="B1433" s="5" t="s">
        <v>701</v>
      </c>
      <c r="C1433" s="5" t="s">
        <v>7309</v>
      </c>
      <c r="D1433" s="1">
        <v>45697</v>
      </c>
      <c r="E1433" s="17">
        <v>0.91736111111111107</v>
      </c>
      <c r="F1433" s="5" t="s">
        <v>7307</v>
      </c>
      <c r="G1433" s="12">
        <v>257</v>
      </c>
      <c r="H1433" s="12">
        <v>12.85</v>
      </c>
      <c r="I1433" s="12">
        <v>0</v>
      </c>
      <c r="J1433" s="12">
        <f>SUMIF(order_item!B:B,A1433,order_item!E:E)</f>
        <v>257</v>
      </c>
      <c r="K1433" s="28" t="str">
        <f>_xlfn.XLOOKUP(B1433,customers!A:A,customers!D:D)</f>
        <v>Regular</v>
      </c>
    </row>
    <row r="1434" spans="1:11" x14ac:dyDescent="0.25">
      <c r="A1434" s="5" t="s">
        <v>2286</v>
      </c>
      <c r="B1434" s="5" t="s">
        <v>414</v>
      </c>
      <c r="C1434" s="5" t="s">
        <v>7306</v>
      </c>
      <c r="D1434" s="1">
        <v>45669</v>
      </c>
      <c r="E1434" s="17">
        <v>0.69027777777777777</v>
      </c>
      <c r="F1434" s="5" t="s">
        <v>7305</v>
      </c>
      <c r="G1434" s="12">
        <v>724</v>
      </c>
      <c r="H1434" s="12">
        <v>72.400000000000006</v>
      </c>
      <c r="I1434" s="12">
        <v>651.6</v>
      </c>
      <c r="J1434" s="12">
        <f>SUMIF(order_item!B:B,A1434,order_item!E:E)</f>
        <v>724</v>
      </c>
      <c r="K1434" s="28" t="str">
        <f>_xlfn.XLOOKUP(B1434,customers!A:A,customers!D:D)</f>
        <v>New</v>
      </c>
    </row>
    <row r="1435" spans="1:11" x14ac:dyDescent="0.25">
      <c r="A1435" s="5" t="s">
        <v>2281</v>
      </c>
      <c r="B1435" s="5" t="s">
        <v>519</v>
      </c>
      <c r="C1435" s="5" t="s">
        <v>7309</v>
      </c>
      <c r="D1435" s="1">
        <v>45608</v>
      </c>
      <c r="E1435" s="17">
        <v>3.888888888888889E-2</v>
      </c>
      <c r="F1435" s="5" t="s">
        <v>7305</v>
      </c>
      <c r="G1435" s="12">
        <v>831</v>
      </c>
      <c r="H1435" s="12">
        <v>0</v>
      </c>
      <c r="I1435" s="12">
        <v>831</v>
      </c>
      <c r="J1435" s="12">
        <f>SUMIF(order_item!B:B,A1435,order_item!E:E)</f>
        <v>831</v>
      </c>
      <c r="K1435" s="28" t="str">
        <f>_xlfn.XLOOKUP(B1435,customers!A:A,customers!D:D)</f>
        <v>Regular</v>
      </c>
    </row>
    <row r="1436" spans="1:11" x14ac:dyDescent="0.25">
      <c r="A1436" s="5" t="s">
        <v>2278</v>
      </c>
      <c r="B1436" s="5" t="s">
        <v>503</v>
      </c>
      <c r="C1436" s="5" t="s">
        <v>7308</v>
      </c>
      <c r="D1436" s="1">
        <v>45660</v>
      </c>
      <c r="E1436" s="17">
        <v>0.92986111111111114</v>
      </c>
      <c r="F1436" s="5" t="s">
        <v>7305</v>
      </c>
      <c r="G1436" s="12">
        <v>476</v>
      </c>
      <c r="H1436" s="12">
        <v>47.6</v>
      </c>
      <c r="I1436" s="12">
        <v>428.4</v>
      </c>
      <c r="J1436" s="12">
        <f>SUMIF(order_item!B:B,A1436,order_item!E:E)</f>
        <v>476</v>
      </c>
      <c r="K1436" s="28" t="str">
        <f>_xlfn.XLOOKUP(B1436,customers!A:A,customers!D:D)</f>
        <v>Regular</v>
      </c>
    </row>
    <row r="1437" spans="1:11" x14ac:dyDescent="0.25">
      <c r="A1437" s="5" t="s">
        <v>2275</v>
      </c>
      <c r="B1437" s="5" t="s">
        <v>775</v>
      </c>
      <c r="C1437" s="5" t="s">
        <v>7306</v>
      </c>
      <c r="D1437" s="1">
        <v>45605</v>
      </c>
      <c r="E1437" s="17">
        <v>0.83472222222222225</v>
      </c>
      <c r="F1437" s="5" t="s">
        <v>7305</v>
      </c>
      <c r="G1437" s="12">
        <v>615</v>
      </c>
      <c r="H1437" s="12">
        <v>30.75</v>
      </c>
      <c r="I1437" s="12">
        <v>584.25</v>
      </c>
      <c r="J1437" s="12">
        <f>SUMIF(order_item!B:B,A1437,order_item!E:E)</f>
        <v>615</v>
      </c>
      <c r="K1437" s="28" t="str">
        <f>_xlfn.XLOOKUP(B1437,customers!A:A,customers!D:D)</f>
        <v>Regular</v>
      </c>
    </row>
    <row r="1438" spans="1:11" x14ac:dyDescent="0.25">
      <c r="A1438" s="5" t="s">
        <v>2272</v>
      </c>
      <c r="B1438" s="5" t="s">
        <v>279</v>
      </c>
      <c r="C1438" s="5" t="s">
        <v>7309</v>
      </c>
      <c r="D1438" s="1">
        <v>45736</v>
      </c>
      <c r="E1438" s="17">
        <v>0.85972222222222217</v>
      </c>
      <c r="F1438" s="5" t="s">
        <v>7305</v>
      </c>
      <c r="G1438" s="12">
        <v>258</v>
      </c>
      <c r="H1438" s="12">
        <v>25.8</v>
      </c>
      <c r="I1438" s="12">
        <v>232.2</v>
      </c>
      <c r="J1438" s="12">
        <f>SUMIF(order_item!B:B,A1438,order_item!E:E)</f>
        <v>258</v>
      </c>
      <c r="K1438" s="28" t="str">
        <f>_xlfn.XLOOKUP(B1438,customers!A:A,customers!D:D)</f>
        <v>Regular</v>
      </c>
    </row>
    <row r="1439" spans="1:11" x14ac:dyDescent="0.25">
      <c r="A1439" s="5" t="s">
        <v>2268</v>
      </c>
      <c r="B1439" s="5" t="s">
        <v>540</v>
      </c>
      <c r="C1439" s="5" t="s">
        <v>7309</v>
      </c>
      <c r="D1439" s="1">
        <v>45628</v>
      </c>
      <c r="E1439" s="17">
        <v>0.8520833333333333</v>
      </c>
      <c r="F1439" s="5" t="s">
        <v>7305</v>
      </c>
      <c r="G1439" s="12">
        <v>1071</v>
      </c>
      <c r="H1439" s="12">
        <v>0</v>
      </c>
      <c r="I1439" s="12">
        <v>1071</v>
      </c>
      <c r="J1439" s="12">
        <f>SUMIF(order_item!B:B,A1439,order_item!E:E)</f>
        <v>1071</v>
      </c>
      <c r="K1439" s="28" t="str">
        <f>_xlfn.XLOOKUP(B1439,customers!A:A,customers!D:D)</f>
        <v>Regular</v>
      </c>
    </row>
    <row r="1440" spans="1:11" x14ac:dyDescent="0.25">
      <c r="A1440" s="5" t="s">
        <v>2264</v>
      </c>
      <c r="B1440" s="5" t="s">
        <v>419</v>
      </c>
      <c r="C1440" s="5" t="s">
        <v>7309</v>
      </c>
      <c r="D1440" s="1">
        <v>45580</v>
      </c>
      <c r="E1440" s="17">
        <v>0.49513888888888885</v>
      </c>
      <c r="F1440" s="5" t="s">
        <v>7305</v>
      </c>
      <c r="G1440" s="12">
        <v>496</v>
      </c>
      <c r="H1440" s="12">
        <v>0</v>
      </c>
      <c r="I1440" s="12">
        <v>496</v>
      </c>
      <c r="J1440" s="12">
        <f>SUMIF(order_item!B:B,A1440,order_item!E:E)</f>
        <v>496</v>
      </c>
      <c r="K1440" s="28" t="str">
        <f>_xlfn.XLOOKUP(B1440,customers!A:A,customers!D:D)</f>
        <v>Regular</v>
      </c>
    </row>
    <row r="1441" spans="1:11" x14ac:dyDescent="0.25">
      <c r="A1441" s="5" t="s">
        <v>2261</v>
      </c>
      <c r="B1441" s="5" t="s">
        <v>470</v>
      </c>
      <c r="C1441" s="5" t="s">
        <v>7309</v>
      </c>
      <c r="D1441" s="1">
        <v>45557</v>
      </c>
      <c r="E1441" s="17">
        <v>0.61527777777777781</v>
      </c>
      <c r="F1441" s="5" t="s">
        <v>7305</v>
      </c>
      <c r="G1441" s="12">
        <v>367</v>
      </c>
      <c r="H1441" s="12">
        <v>0</v>
      </c>
      <c r="I1441" s="12">
        <v>367</v>
      </c>
      <c r="J1441" s="12">
        <f>SUMIF(order_item!B:B,A1441,order_item!E:E)</f>
        <v>367</v>
      </c>
      <c r="K1441" s="28" t="str">
        <f>_xlfn.XLOOKUP(B1441,customers!A:A,customers!D:D)</f>
        <v>New</v>
      </c>
    </row>
    <row r="1442" spans="1:11" x14ac:dyDescent="0.25">
      <c r="A1442" s="5" t="s">
        <v>2259</v>
      </c>
      <c r="B1442" s="5" t="s">
        <v>200</v>
      </c>
      <c r="C1442" s="5" t="s">
        <v>7306</v>
      </c>
      <c r="D1442" s="1">
        <v>45459</v>
      </c>
      <c r="E1442" s="17">
        <v>0.7993055555555556</v>
      </c>
      <c r="F1442" s="5" t="s">
        <v>7305</v>
      </c>
      <c r="G1442" s="12">
        <v>396</v>
      </c>
      <c r="H1442" s="12">
        <v>0</v>
      </c>
      <c r="I1442" s="12">
        <v>396</v>
      </c>
      <c r="J1442" s="12">
        <f>SUMIF(order_item!B:B,A1442,order_item!E:E)</f>
        <v>396</v>
      </c>
      <c r="K1442" s="28" t="str">
        <f>_xlfn.XLOOKUP(B1442,customers!A:A,customers!D:D)</f>
        <v>New</v>
      </c>
    </row>
    <row r="1443" spans="1:11" x14ac:dyDescent="0.25">
      <c r="A1443" s="5" t="s">
        <v>2255</v>
      </c>
      <c r="B1443" s="5" t="s">
        <v>263</v>
      </c>
      <c r="C1443" s="5" t="s">
        <v>7309</v>
      </c>
      <c r="D1443" s="1">
        <v>45417</v>
      </c>
      <c r="E1443" s="17">
        <v>0.72083333333333333</v>
      </c>
      <c r="F1443" s="5" t="s">
        <v>7305</v>
      </c>
      <c r="G1443" s="12">
        <v>1021</v>
      </c>
      <c r="H1443" s="12">
        <v>0</v>
      </c>
      <c r="I1443" s="12">
        <v>1021</v>
      </c>
      <c r="J1443" s="12">
        <f>SUMIF(order_item!B:B,A1443,order_item!E:E)</f>
        <v>1021</v>
      </c>
      <c r="K1443" s="28" t="str">
        <f>_xlfn.XLOOKUP(B1443,customers!A:A,customers!D:D)</f>
        <v>Regular</v>
      </c>
    </row>
    <row r="1444" spans="1:11" x14ac:dyDescent="0.25">
      <c r="A1444" s="5" t="s">
        <v>2250</v>
      </c>
      <c r="B1444" s="5" t="s">
        <v>403</v>
      </c>
      <c r="C1444" s="5" t="s">
        <v>7306</v>
      </c>
      <c r="D1444" s="1">
        <v>45438</v>
      </c>
      <c r="E1444" s="17">
        <v>0.43611111111111112</v>
      </c>
      <c r="F1444" s="5" t="s">
        <v>7305</v>
      </c>
      <c r="G1444" s="12">
        <v>1130</v>
      </c>
      <c r="H1444" s="12">
        <v>0</v>
      </c>
      <c r="I1444" s="12">
        <v>1130</v>
      </c>
      <c r="J1444" s="12">
        <f>SUMIF(order_item!B:B,A1444,order_item!E:E)</f>
        <v>1130</v>
      </c>
      <c r="K1444" s="28" t="str">
        <f>_xlfn.XLOOKUP(B1444,customers!A:A,customers!D:D)</f>
        <v>Premium</v>
      </c>
    </row>
    <row r="1445" spans="1:11" x14ac:dyDescent="0.25">
      <c r="A1445" s="5" t="s">
        <v>2245</v>
      </c>
      <c r="B1445" s="5" t="s">
        <v>365</v>
      </c>
      <c r="C1445" s="5" t="s">
        <v>7308</v>
      </c>
      <c r="D1445" s="1">
        <v>45643</v>
      </c>
      <c r="E1445" s="17">
        <v>0.79375000000000007</v>
      </c>
      <c r="F1445" s="5" t="s">
        <v>7305</v>
      </c>
      <c r="G1445" s="12">
        <v>685</v>
      </c>
      <c r="H1445" s="12">
        <v>0</v>
      </c>
      <c r="I1445" s="12">
        <v>685</v>
      </c>
      <c r="J1445" s="12">
        <f>SUMIF(order_item!B:B,A1445,order_item!E:E)</f>
        <v>685</v>
      </c>
      <c r="K1445" s="28" t="str">
        <f>_xlfn.XLOOKUP(B1445,customers!A:A,customers!D:D)</f>
        <v>Premium</v>
      </c>
    </row>
    <row r="1446" spans="1:11" x14ac:dyDescent="0.25">
      <c r="A1446" s="5" t="s">
        <v>2242</v>
      </c>
      <c r="B1446" s="5" t="s">
        <v>843</v>
      </c>
      <c r="C1446" s="5" t="s">
        <v>7306</v>
      </c>
      <c r="D1446" s="1">
        <v>45701</v>
      </c>
      <c r="E1446" s="17">
        <v>0.86319444444444438</v>
      </c>
      <c r="F1446" s="5" t="s">
        <v>7305</v>
      </c>
      <c r="G1446" s="12">
        <v>277</v>
      </c>
      <c r="H1446" s="12">
        <v>0</v>
      </c>
      <c r="I1446" s="12">
        <v>277</v>
      </c>
      <c r="J1446" s="12">
        <f>SUMIF(order_item!B:B,A1446,order_item!E:E)</f>
        <v>277</v>
      </c>
      <c r="K1446" s="28" t="str">
        <f>_xlfn.XLOOKUP(B1446,customers!A:A,customers!D:D)</f>
        <v>Regular</v>
      </c>
    </row>
    <row r="1447" spans="1:11" x14ac:dyDescent="0.25">
      <c r="A1447" s="5" t="s">
        <v>2239</v>
      </c>
      <c r="B1447" s="5" t="s">
        <v>757</v>
      </c>
      <c r="C1447" s="5" t="s">
        <v>7309</v>
      </c>
      <c r="D1447" s="1">
        <v>45535</v>
      </c>
      <c r="E1447" s="17">
        <v>5.8333333333333327E-2</v>
      </c>
      <c r="F1447" s="5" t="s">
        <v>7305</v>
      </c>
      <c r="G1447" s="12">
        <v>585</v>
      </c>
      <c r="H1447" s="12">
        <v>0</v>
      </c>
      <c r="I1447" s="12">
        <v>585</v>
      </c>
      <c r="J1447" s="12">
        <f>SUMIF(order_item!B:B,A1447,order_item!E:E)</f>
        <v>585</v>
      </c>
      <c r="K1447" s="28" t="str">
        <f>_xlfn.XLOOKUP(B1447,customers!A:A,customers!D:D)</f>
        <v>New</v>
      </c>
    </row>
    <row r="1448" spans="1:11" x14ac:dyDescent="0.25">
      <c r="A1448" s="5" t="s">
        <v>2237</v>
      </c>
      <c r="B1448" s="5" t="s">
        <v>432</v>
      </c>
      <c r="C1448" s="5" t="s">
        <v>7309</v>
      </c>
      <c r="D1448" s="1">
        <v>45634</v>
      </c>
      <c r="E1448" s="17">
        <v>0.71875</v>
      </c>
      <c r="F1448" s="5" t="s">
        <v>7305</v>
      </c>
      <c r="G1448" s="12">
        <v>318</v>
      </c>
      <c r="H1448" s="12">
        <v>31.8</v>
      </c>
      <c r="I1448" s="12">
        <v>286.2</v>
      </c>
      <c r="J1448" s="12">
        <f>SUMIF(order_item!B:B,A1448,order_item!E:E)</f>
        <v>318</v>
      </c>
      <c r="K1448" s="28" t="str">
        <f>_xlfn.XLOOKUP(B1448,customers!A:A,customers!D:D)</f>
        <v>Regular</v>
      </c>
    </row>
    <row r="1449" spans="1:11" x14ac:dyDescent="0.25">
      <c r="A1449" s="5" t="s">
        <v>2233</v>
      </c>
      <c r="B1449" s="5" t="s">
        <v>764</v>
      </c>
      <c r="C1449" s="5" t="s">
        <v>7308</v>
      </c>
      <c r="D1449" s="1">
        <v>45649</v>
      </c>
      <c r="E1449" s="17">
        <v>0.83750000000000002</v>
      </c>
      <c r="F1449" s="5" t="s">
        <v>7305</v>
      </c>
      <c r="G1449" s="12">
        <v>525</v>
      </c>
      <c r="H1449" s="12">
        <v>0</v>
      </c>
      <c r="I1449" s="12">
        <v>525</v>
      </c>
      <c r="J1449" s="12">
        <f>SUMIF(order_item!B:B,A1449,order_item!E:E)</f>
        <v>525</v>
      </c>
      <c r="K1449" s="28" t="str">
        <f>_xlfn.XLOOKUP(B1449,customers!A:A,customers!D:D)</f>
        <v>Regular</v>
      </c>
    </row>
    <row r="1450" spans="1:11" x14ac:dyDescent="0.25">
      <c r="A1450" s="5" t="s">
        <v>2230</v>
      </c>
      <c r="B1450" s="5" t="s">
        <v>167</v>
      </c>
      <c r="C1450" s="5" t="s">
        <v>7309</v>
      </c>
      <c r="D1450" s="1">
        <v>45643</v>
      </c>
      <c r="E1450" s="17">
        <v>1.3888888888888889E-3</v>
      </c>
      <c r="F1450" s="5" t="s">
        <v>7307</v>
      </c>
      <c r="G1450" s="12">
        <v>347</v>
      </c>
      <c r="H1450" s="12">
        <v>0</v>
      </c>
      <c r="I1450" s="12">
        <v>0</v>
      </c>
      <c r="J1450" s="12">
        <f>SUMIF(order_item!B:B,A1450,order_item!E:E)</f>
        <v>347</v>
      </c>
      <c r="K1450" s="28" t="str">
        <f>_xlfn.XLOOKUP(B1450,customers!A:A,customers!D:D)</f>
        <v>Regular</v>
      </c>
    </row>
    <row r="1451" spans="1:11" x14ac:dyDescent="0.25">
      <c r="A1451" s="5" t="s">
        <v>2226</v>
      </c>
      <c r="B1451" s="5" t="s">
        <v>371</v>
      </c>
      <c r="C1451" s="5" t="s">
        <v>7308</v>
      </c>
      <c r="D1451" s="1">
        <v>45478</v>
      </c>
      <c r="E1451" s="17">
        <v>0.89722222222222225</v>
      </c>
      <c r="F1451" s="5" t="s">
        <v>7305</v>
      </c>
      <c r="G1451" s="12">
        <v>635</v>
      </c>
      <c r="H1451" s="12">
        <v>0</v>
      </c>
      <c r="I1451" s="12">
        <v>635</v>
      </c>
      <c r="J1451" s="12">
        <f>SUMIF(order_item!B:B,A1451,order_item!E:E)</f>
        <v>635</v>
      </c>
      <c r="K1451" s="28" t="str">
        <f>_xlfn.XLOOKUP(B1451,customers!A:A,customers!D:D)</f>
        <v>Regular</v>
      </c>
    </row>
    <row r="1452" spans="1:11" x14ac:dyDescent="0.25">
      <c r="A1452" s="5" t="s">
        <v>2221</v>
      </c>
      <c r="B1452" s="5" t="s">
        <v>634</v>
      </c>
      <c r="C1452" s="5" t="s">
        <v>7309</v>
      </c>
      <c r="D1452" s="1">
        <v>45695</v>
      </c>
      <c r="E1452" s="17">
        <v>0.5083333333333333</v>
      </c>
      <c r="F1452" s="5" t="s">
        <v>7305</v>
      </c>
      <c r="G1452" s="12">
        <v>953</v>
      </c>
      <c r="H1452" s="12">
        <v>0</v>
      </c>
      <c r="I1452" s="12">
        <v>953</v>
      </c>
      <c r="J1452" s="12">
        <f>SUMIF(order_item!B:B,A1452,order_item!E:E)</f>
        <v>953</v>
      </c>
      <c r="K1452" s="28" t="str">
        <f>_xlfn.XLOOKUP(B1452,customers!A:A,customers!D:D)</f>
        <v>Regular</v>
      </c>
    </row>
    <row r="1453" spans="1:11" x14ac:dyDescent="0.25">
      <c r="A1453" s="5" t="s">
        <v>2217</v>
      </c>
      <c r="B1453" s="5" t="s">
        <v>129</v>
      </c>
      <c r="C1453" s="5" t="s">
        <v>7309</v>
      </c>
      <c r="D1453" s="1">
        <v>45633</v>
      </c>
      <c r="E1453" s="17">
        <v>0.94652777777777775</v>
      </c>
      <c r="F1453" s="5" t="s">
        <v>7305</v>
      </c>
      <c r="G1453" s="12">
        <v>775</v>
      </c>
      <c r="H1453" s="12">
        <v>77.5</v>
      </c>
      <c r="I1453" s="12">
        <v>697.5</v>
      </c>
      <c r="J1453" s="12">
        <f>SUMIF(order_item!B:B,A1453,order_item!E:E)</f>
        <v>775</v>
      </c>
      <c r="K1453" s="28" t="str">
        <f>_xlfn.XLOOKUP(B1453,customers!A:A,customers!D:D)</f>
        <v>New</v>
      </c>
    </row>
    <row r="1454" spans="1:11" x14ac:dyDescent="0.25">
      <c r="A1454" s="5" t="s">
        <v>2213</v>
      </c>
      <c r="B1454" s="5" t="s">
        <v>653</v>
      </c>
      <c r="C1454" s="5" t="s">
        <v>7309</v>
      </c>
      <c r="D1454" s="1">
        <v>45741</v>
      </c>
      <c r="E1454" s="17">
        <v>0.6694444444444444</v>
      </c>
      <c r="F1454" s="5" t="s">
        <v>7305</v>
      </c>
      <c r="G1454" s="12">
        <v>1459</v>
      </c>
      <c r="H1454" s="12">
        <v>0</v>
      </c>
      <c r="I1454" s="12">
        <v>1459</v>
      </c>
      <c r="J1454" s="12">
        <f>SUMIF(order_item!B:B,A1454,order_item!E:E)</f>
        <v>1459</v>
      </c>
      <c r="K1454" s="28" t="str">
        <f>_xlfn.XLOOKUP(B1454,customers!A:A,customers!D:D)</f>
        <v>Regular</v>
      </c>
    </row>
    <row r="1455" spans="1:11" x14ac:dyDescent="0.25">
      <c r="A1455" s="5" t="s">
        <v>2211</v>
      </c>
      <c r="B1455" s="5" t="s">
        <v>290</v>
      </c>
      <c r="C1455" s="5" t="s">
        <v>7309</v>
      </c>
      <c r="D1455" s="1">
        <v>45591</v>
      </c>
      <c r="E1455" s="17">
        <v>0.77777777777777779</v>
      </c>
      <c r="F1455" s="5" t="s">
        <v>7307</v>
      </c>
      <c r="G1455" s="12">
        <v>198</v>
      </c>
      <c r="H1455" s="12">
        <v>0</v>
      </c>
      <c r="I1455" s="12">
        <v>0</v>
      </c>
      <c r="J1455" s="12">
        <f>SUMIF(order_item!B:B,A1455,order_item!E:E)</f>
        <v>198</v>
      </c>
      <c r="K1455" s="28" t="str">
        <f>_xlfn.XLOOKUP(B1455,customers!A:A,customers!D:D)</f>
        <v>New</v>
      </c>
    </row>
    <row r="1456" spans="1:11" x14ac:dyDescent="0.25">
      <c r="A1456" s="5" t="s">
        <v>2208</v>
      </c>
      <c r="B1456" s="5" t="s">
        <v>159</v>
      </c>
      <c r="C1456" s="5" t="s">
        <v>7309</v>
      </c>
      <c r="D1456" s="1">
        <v>45566</v>
      </c>
      <c r="E1456" s="17">
        <v>0.70486111111111116</v>
      </c>
      <c r="F1456" s="5" t="s">
        <v>7305</v>
      </c>
      <c r="G1456" s="12">
        <v>793</v>
      </c>
      <c r="H1456" s="12">
        <v>0</v>
      </c>
      <c r="I1456" s="12">
        <v>793</v>
      </c>
      <c r="J1456" s="12">
        <f>SUMIF(order_item!B:B,A1456,order_item!E:E)</f>
        <v>793</v>
      </c>
      <c r="K1456" s="28" t="str">
        <f>_xlfn.XLOOKUP(B1456,customers!A:A,customers!D:D)</f>
        <v>New</v>
      </c>
    </row>
    <row r="1457" spans="1:11" x14ac:dyDescent="0.25">
      <c r="A1457" s="5" t="s">
        <v>2206</v>
      </c>
      <c r="B1457" s="5" t="s">
        <v>184</v>
      </c>
      <c r="C1457" s="5" t="s">
        <v>7309</v>
      </c>
      <c r="D1457" s="1">
        <v>45715</v>
      </c>
      <c r="E1457" s="17">
        <v>0.65694444444444444</v>
      </c>
      <c r="F1457" s="5" t="s">
        <v>7305</v>
      </c>
      <c r="G1457" s="12">
        <v>79</v>
      </c>
      <c r="H1457" s="12">
        <v>0</v>
      </c>
      <c r="I1457" s="12">
        <v>79</v>
      </c>
      <c r="J1457" s="12">
        <f>SUMIF(order_item!B:B,A1457,order_item!E:E)</f>
        <v>79</v>
      </c>
      <c r="K1457" s="28" t="str">
        <f>_xlfn.XLOOKUP(B1457,customers!A:A,customers!D:D)</f>
        <v>Regular</v>
      </c>
    </row>
    <row r="1458" spans="1:11" x14ac:dyDescent="0.25">
      <c r="A1458" s="5" t="s">
        <v>2203</v>
      </c>
      <c r="B1458" s="5" t="s">
        <v>173</v>
      </c>
      <c r="C1458" s="5" t="s">
        <v>7309</v>
      </c>
      <c r="D1458" s="1">
        <v>45472</v>
      </c>
      <c r="E1458" s="17">
        <v>0.88402777777777775</v>
      </c>
      <c r="F1458" s="5" t="s">
        <v>7305</v>
      </c>
      <c r="G1458" s="12">
        <v>377</v>
      </c>
      <c r="H1458" s="12">
        <v>0</v>
      </c>
      <c r="I1458" s="12">
        <v>377</v>
      </c>
      <c r="J1458" s="12">
        <f>SUMIF(order_item!B:B,A1458,order_item!E:E)</f>
        <v>377</v>
      </c>
      <c r="K1458" s="28" t="str">
        <f>_xlfn.XLOOKUP(B1458,customers!A:A,customers!D:D)</f>
        <v>Regular</v>
      </c>
    </row>
    <row r="1459" spans="1:11" x14ac:dyDescent="0.25">
      <c r="A1459" s="5" t="s">
        <v>2199</v>
      </c>
      <c r="B1459" s="5" t="s">
        <v>297</v>
      </c>
      <c r="C1459" s="5" t="s">
        <v>7309</v>
      </c>
      <c r="D1459" s="1">
        <v>45423</v>
      </c>
      <c r="E1459" s="17">
        <v>0.86736111111111114</v>
      </c>
      <c r="F1459" s="5" t="s">
        <v>7305</v>
      </c>
      <c r="G1459" s="12">
        <v>831</v>
      </c>
      <c r="H1459" s="12">
        <v>0</v>
      </c>
      <c r="I1459" s="12">
        <v>831</v>
      </c>
      <c r="J1459" s="12">
        <f>SUMIF(order_item!B:B,A1459,order_item!E:E)</f>
        <v>831</v>
      </c>
      <c r="K1459" s="28" t="str">
        <f>_xlfn.XLOOKUP(B1459,customers!A:A,customers!D:D)</f>
        <v>Regular</v>
      </c>
    </row>
    <row r="1460" spans="1:11" x14ac:dyDescent="0.25">
      <c r="A1460" s="5" t="s">
        <v>2196</v>
      </c>
      <c r="B1460" s="5" t="s">
        <v>823</v>
      </c>
      <c r="C1460" s="5" t="s">
        <v>7306</v>
      </c>
      <c r="D1460" s="1">
        <v>45451</v>
      </c>
      <c r="E1460" s="17">
        <v>0.89097222222222217</v>
      </c>
      <c r="F1460" s="5" t="s">
        <v>7305</v>
      </c>
      <c r="G1460" s="12">
        <v>832</v>
      </c>
      <c r="H1460" s="12">
        <v>0</v>
      </c>
      <c r="I1460" s="12">
        <v>832</v>
      </c>
      <c r="J1460" s="12">
        <f>SUMIF(order_item!B:B,A1460,order_item!E:E)</f>
        <v>832</v>
      </c>
      <c r="K1460" s="28" t="str">
        <f>_xlfn.XLOOKUP(B1460,customers!A:A,customers!D:D)</f>
        <v>New</v>
      </c>
    </row>
    <row r="1461" spans="1:11" x14ac:dyDescent="0.25">
      <c r="A1461" s="5" t="s">
        <v>2193</v>
      </c>
      <c r="B1461" s="5" t="s">
        <v>750</v>
      </c>
      <c r="C1461" s="5" t="s">
        <v>7306</v>
      </c>
      <c r="D1461" s="1">
        <v>45669</v>
      </c>
      <c r="E1461" s="17">
        <v>0.55833333333333335</v>
      </c>
      <c r="F1461" s="5" t="s">
        <v>7305</v>
      </c>
      <c r="G1461" s="12">
        <v>327</v>
      </c>
      <c r="H1461" s="12">
        <v>0</v>
      </c>
      <c r="I1461" s="12">
        <v>327</v>
      </c>
      <c r="J1461" s="12">
        <f>SUMIF(order_item!B:B,A1461,order_item!E:E)</f>
        <v>327</v>
      </c>
      <c r="K1461" s="28" t="str">
        <f>_xlfn.XLOOKUP(B1461,customers!A:A,customers!D:D)</f>
        <v>Premium</v>
      </c>
    </row>
    <row r="1462" spans="1:11" x14ac:dyDescent="0.25">
      <c r="A1462" s="5" t="s">
        <v>2191</v>
      </c>
      <c r="B1462" s="5" t="s">
        <v>865</v>
      </c>
      <c r="C1462" s="5" t="s">
        <v>7309</v>
      </c>
      <c r="D1462" s="1">
        <v>45720</v>
      </c>
      <c r="E1462" s="17">
        <v>0.68611111111111101</v>
      </c>
      <c r="F1462" s="5" t="s">
        <v>7305</v>
      </c>
      <c r="G1462" s="12">
        <v>149</v>
      </c>
      <c r="H1462" s="12">
        <v>0</v>
      </c>
      <c r="I1462" s="12">
        <v>149</v>
      </c>
      <c r="J1462" s="12">
        <f>SUMIF(order_item!B:B,A1462,order_item!E:E)</f>
        <v>149</v>
      </c>
      <c r="K1462" s="28" t="str">
        <f>_xlfn.XLOOKUP(B1462,customers!A:A,customers!D:D)</f>
        <v>New</v>
      </c>
    </row>
    <row r="1463" spans="1:11" x14ac:dyDescent="0.25">
      <c r="A1463" s="5" t="s">
        <v>2188</v>
      </c>
      <c r="B1463" s="5" t="s">
        <v>255</v>
      </c>
      <c r="C1463" s="5" t="s">
        <v>7306</v>
      </c>
      <c r="D1463" s="1">
        <v>45623</v>
      </c>
      <c r="E1463" s="17">
        <v>0.42638888888888887</v>
      </c>
      <c r="F1463" s="5" t="s">
        <v>7305</v>
      </c>
      <c r="G1463" s="12">
        <v>397</v>
      </c>
      <c r="H1463" s="12">
        <v>0</v>
      </c>
      <c r="I1463" s="12">
        <v>397</v>
      </c>
      <c r="J1463" s="12">
        <f>SUMIF(order_item!B:B,A1463,order_item!E:E)</f>
        <v>397</v>
      </c>
      <c r="K1463" s="28" t="str">
        <f>_xlfn.XLOOKUP(B1463,customers!A:A,customers!D:D)</f>
        <v>Regular</v>
      </c>
    </row>
    <row r="1464" spans="1:11" x14ac:dyDescent="0.25">
      <c r="A1464" s="5" t="s">
        <v>2185</v>
      </c>
      <c r="B1464" s="5" t="s">
        <v>433</v>
      </c>
      <c r="C1464" s="5" t="s">
        <v>7306</v>
      </c>
      <c r="D1464" s="1">
        <v>45675</v>
      </c>
      <c r="E1464" s="17">
        <v>0.88055555555555554</v>
      </c>
      <c r="F1464" s="5" t="s">
        <v>7305</v>
      </c>
      <c r="G1464" s="12">
        <v>892</v>
      </c>
      <c r="H1464" s="12">
        <v>44.6</v>
      </c>
      <c r="I1464" s="12">
        <v>847.4</v>
      </c>
      <c r="J1464" s="12">
        <f>SUMIF(order_item!B:B,A1464,order_item!E:E)</f>
        <v>892</v>
      </c>
      <c r="K1464" s="28" t="str">
        <f>_xlfn.XLOOKUP(B1464,customers!A:A,customers!D:D)</f>
        <v>New</v>
      </c>
    </row>
    <row r="1465" spans="1:11" x14ac:dyDescent="0.25">
      <c r="A1465" s="5" t="s">
        <v>2183</v>
      </c>
      <c r="B1465" s="5" t="s">
        <v>96</v>
      </c>
      <c r="C1465" s="5" t="s">
        <v>7306</v>
      </c>
      <c r="D1465" s="1">
        <v>45675</v>
      </c>
      <c r="E1465" s="17">
        <v>0.89027777777777783</v>
      </c>
      <c r="F1465" s="5" t="s">
        <v>7305</v>
      </c>
      <c r="G1465" s="12">
        <v>79</v>
      </c>
      <c r="H1465" s="12">
        <v>0</v>
      </c>
      <c r="I1465" s="12">
        <v>79</v>
      </c>
      <c r="J1465" s="12">
        <f>SUMIF(order_item!B:B,A1465,order_item!E:E)</f>
        <v>79</v>
      </c>
      <c r="K1465" s="28" t="str">
        <f>_xlfn.XLOOKUP(B1465,customers!A:A,customers!D:D)</f>
        <v>Regular</v>
      </c>
    </row>
    <row r="1466" spans="1:11" x14ac:dyDescent="0.25">
      <c r="A1466" s="5" t="s">
        <v>2178</v>
      </c>
      <c r="B1466" s="5" t="s">
        <v>561</v>
      </c>
      <c r="C1466" s="5" t="s">
        <v>7308</v>
      </c>
      <c r="D1466" s="1">
        <v>45430</v>
      </c>
      <c r="E1466" s="17">
        <v>0.6430555555555556</v>
      </c>
      <c r="F1466" s="5" t="s">
        <v>7305</v>
      </c>
      <c r="G1466" s="12">
        <v>871</v>
      </c>
      <c r="H1466" s="12">
        <v>0</v>
      </c>
      <c r="I1466" s="12">
        <v>871</v>
      </c>
      <c r="J1466" s="12">
        <f>SUMIF(order_item!B:B,A1466,order_item!E:E)</f>
        <v>871</v>
      </c>
      <c r="K1466" s="28" t="str">
        <f>_xlfn.XLOOKUP(B1466,customers!A:A,customers!D:D)</f>
        <v>Regular</v>
      </c>
    </row>
    <row r="1467" spans="1:11" x14ac:dyDescent="0.25">
      <c r="A1467" s="5" t="s">
        <v>2173</v>
      </c>
      <c r="B1467" s="5" t="s">
        <v>843</v>
      </c>
      <c r="C1467" s="5" t="s">
        <v>7309</v>
      </c>
      <c r="D1467" s="1">
        <v>45739</v>
      </c>
      <c r="E1467" s="17">
        <v>0.8569444444444444</v>
      </c>
      <c r="F1467" s="5" t="s">
        <v>7305</v>
      </c>
      <c r="G1467" s="12">
        <v>724</v>
      </c>
      <c r="H1467" s="12">
        <v>72.400000000000006</v>
      </c>
      <c r="I1467" s="12">
        <v>651.6</v>
      </c>
      <c r="J1467" s="12">
        <f>SUMIF(order_item!B:B,A1467,order_item!E:E)</f>
        <v>724</v>
      </c>
      <c r="K1467" s="28" t="str">
        <f>_xlfn.XLOOKUP(B1467,customers!A:A,customers!D:D)</f>
        <v>Regular</v>
      </c>
    </row>
    <row r="1468" spans="1:11" x14ac:dyDescent="0.25">
      <c r="A1468" s="5" t="s">
        <v>2169</v>
      </c>
      <c r="B1468" s="5" t="s">
        <v>850</v>
      </c>
      <c r="C1468" s="5" t="s">
        <v>7306</v>
      </c>
      <c r="D1468" s="1">
        <v>45498</v>
      </c>
      <c r="E1468" s="17">
        <v>0.76250000000000007</v>
      </c>
      <c r="F1468" s="5" t="s">
        <v>7305</v>
      </c>
      <c r="G1468" s="12">
        <v>574</v>
      </c>
      <c r="H1468" s="12">
        <v>0</v>
      </c>
      <c r="I1468" s="12">
        <v>574</v>
      </c>
      <c r="J1468" s="12">
        <f>SUMIF(order_item!B:B,A1468,order_item!E:E)</f>
        <v>574</v>
      </c>
      <c r="K1468" s="28" t="str">
        <f>_xlfn.XLOOKUP(B1468,customers!A:A,customers!D:D)</f>
        <v>New</v>
      </c>
    </row>
    <row r="1469" spans="1:11" x14ac:dyDescent="0.25">
      <c r="A1469" s="5" t="s">
        <v>2166</v>
      </c>
      <c r="B1469" s="5" t="s">
        <v>700</v>
      </c>
      <c r="C1469" s="5" t="s">
        <v>7309</v>
      </c>
      <c r="D1469" s="1">
        <v>45537</v>
      </c>
      <c r="E1469" s="17">
        <v>0.85</v>
      </c>
      <c r="F1469" s="5" t="s">
        <v>7305</v>
      </c>
      <c r="G1469" s="12">
        <v>745</v>
      </c>
      <c r="H1469" s="12">
        <v>0</v>
      </c>
      <c r="I1469" s="12">
        <v>745</v>
      </c>
      <c r="J1469" s="12">
        <f>SUMIF(order_item!B:B,A1469,order_item!E:E)</f>
        <v>745</v>
      </c>
      <c r="K1469" s="28" t="str">
        <f>_xlfn.XLOOKUP(B1469,customers!A:A,customers!D:D)</f>
        <v>Regular</v>
      </c>
    </row>
    <row r="1470" spans="1:11" x14ac:dyDescent="0.25">
      <c r="A1470" s="5" t="s">
        <v>2163</v>
      </c>
      <c r="B1470" s="5" t="s">
        <v>762</v>
      </c>
      <c r="C1470" s="5" t="s">
        <v>7306</v>
      </c>
      <c r="D1470" s="1">
        <v>45613</v>
      </c>
      <c r="E1470" s="17">
        <v>0.8666666666666667</v>
      </c>
      <c r="F1470" s="5" t="s">
        <v>7305</v>
      </c>
      <c r="G1470" s="12">
        <v>178</v>
      </c>
      <c r="H1470" s="12">
        <v>0</v>
      </c>
      <c r="I1470" s="12">
        <v>178</v>
      </c>
      <c r="J1470" s="12">
        <f>SUMIF(order_item!B:B,A1470,order_item!E:E)</f>
        <v>178</v>
      </c>
      <c r="K1470" s="28" t="str">
        <f>_xlfn.XLOOKUP(B1470,customers!A:A,customers!D:D)</f>
        <v>Regular</v>
      </c>
    </row>
    <row r="1471" spans="1:11" x14ac:dyDescent="0.25">
      <c r="A1471" s="5" t="s">
        <v>2161</v>
      </c>
      <c r="B1471" s="5" t="s">
        <v>865</v>
      </c>
      <c r="C1471" s="5" t="s">
        <v>7308</v>
      </c>
      <c r="D1471" s="1">
        <v>45693</v>
      </c>
      <c r="E1471" s="17">
        <v>0.97222222222222221</v>
      </c>
      <c r="F1471" s="5" t="s">
        <v>7305</v>
      </c>
      <c r="G1471" s="12">
        <v>159</v>
      </c>
      <c r="H1471" s="12">
        <v>0</v>
      </c>
      <c r="I1471" s="12">
        <v>159</v>
      </c>
      <c r="J1471" s="12">
        <f>SUMIF(order_item!B:B,A1471,order_item!E:E)</f>
        <v>159</v>
      </c>
      <c r="K1471" s="28" t="str">
        <f>_xlfn.XLOOKUP(B1471,customers!A:A,customers!D:D)</f>
        <v>New</v>
      </c>
    </row>
    <row r="1472" spans="1:11" x14ac:dyDescent="0.25">
      <c r="A1472" s="5" t="s">
        <v>2158</v>
      </c>
      <c r="B1472" s="5" t="s">
        <v>165</v>
      </c>
      <c r="C1472" s="5" t="s">
        <v>7306</v>
      </c>
      <c r="D1472" s="1">
        <v>45736</v>
      </c>
      <c r="E1472" s="17">
        <v>5.2777777777777778E-2</v>
      </c>
      <c r="F1472" s="5" t="s">
        <v>7305</v>
      </c>
      <c r="G1472" s="12">
        <v>237</v>
      </c>
      <c r="H1472" s="12">
        <v>11.85</v>
      </c>
      <c r="I1472" s="12">
        <v>225.15</v>
      </c>
      <c r="J1472" s="12">
        <f>SUMIF(order_item!B:B,A1472,order_item!E:E)</f>
        <v>237</v>
      </c>
      <c r="K1472" s="28" t="str">
        <f>_xlfn.XLOOKUP(B1472,customers!A:A,customers!D:D)</f>
        <v>Regular</v>
      </c>
    </row>
    <row r="1473" spans="1:11" x14ac:dyDescent="0.25">
      <c r="A1473" s="5" t="s">
        <v>2154</v>
      </c>
      <c r="B1473" s="5" t="s">
        <v>605</v>
      </c>
      <c r="C1473" s="5" t="s">
        <v>7306</v>
      </c>
      <c r="D1473" s="1">
        <v>45731</v>
      </c>
      <c r="E1473" s="17">
        <v>0.76180555555555562</v>
      </c>
      <c r="F1473" s="5" t="s">
        <v>7305</v>
      </c>
      <c r="G1473" s="12">
        <v>465</v>
      </c>
      <c r="H1473" s="12">
        <v>0</v>
      </c>
      <c r="I1473" s="12">
        <v>465</v>
      </c>
      <c r="J1473" s="12">
        <f>SUMIF(order_item!B:B,A1473,order_item!E:E)</f>
        <v>465</v>
      </c>
      <c r="K1473" s="28" t="str">
        <f>_xlfn.XLOOKUP(B1473,customers!A:A,customers!D:D)</f>
        <v>Premium</v>
      </c>
    </row>
    <row r="1474" spans="1:11" x14ac:dyDescent="0.25">
      <c r="A1474" s="5" t="s">
        <v>2152</v>
      </c>
      <c r="B1474" s="5" t="s">
        <v>828</v>
      </c>
      <c r="C1474" s="5" t="s">
        <v>7309</v>
      </c>
      <c r="D1474" s="1">
        <v>45585</v>
      </c>
      <c r="E1474" s="17">
        <v>0.75902777777777775</v>
      </c>
      <c r="F1474" s="5" t="s">
        <v>7305</v>
      </c>
      <c r="G1474" s="12">
        <v>59</v>
      </c>
      <c r="H1474" s="12">
        <v>5.9</v>
      </c>
      <c r="I1474" s="12">
        <v>53.1</v>
      </c>
      <c r="J1474" s="12">
        <f>SUMIF(order_item!B:B,A1474,order_item!E:E)</f>
        <v>59</v>
      </c>
      <c r="K1474" s="28" t="str">
        <f>_xlfn.XLOOKUP(B1474,customers!A:A,customers!D:D)</f>
        <v>Regular</v>
      </c>
    </row>
    <row r="1475" spans="1:11" x14ac:dyDescent="0.25">
      <c r="A1475" s="5" t="s">
        <v>2150</v>
      </c>
      <c r="B1475" s="5" t="s">
        <v>836</v>
      </c>
      <c r="C1475" s="5" t="s">
        <v>7306</v>
      </c>
      <c r="D1475" s="1">
        <v>45624</v>
      </c>
      <c r="E1475" s="17">
        <v>0.84166666666666667</v>
      </c>
      <c r="F1475" s="5" t="s">
        <v>7305</v>
      </c>
      <c r="G1475" s="12">
        <v>158</v>
      </c>
      <c r="H1475" s="12">
        <v>15.8</v>
      </c>
      <c r="I1475" s="12">
        <v>142.19999999999999</v>
      </c>
      <c r="J1475" s="12">
        <f>SUMIF(order_item!B:B,A1475,order_item!E:E)</f>
        <v>158</v>
      </c>
      <c r="K1475" s="28" t="str">
        <f>_xlfn.XLOOKUP(B1475,customers!A:A,customers!D:D)</f>
        <v>Regular</v>
      </c>
    </row>
    <row r="1476" spans="1:11" x14ac:dyDescent="0.25">
      <c r="A1476" s="5" t="s">
        <v>2147</v>
      </c>
      <c r="B1476" s="5" t="s">
        <v>814</v>
      </c>
      <c r="C1476" s="5" t="s">
        <v>7309</v>
      </c>
      <c r="D1476" s="1">
        <v>45734</v>
      </c>
      <c r="E1476" s="17">
        <v>0.73402777777777783</v>
      </c>
      <c r="F1476" s="5" t="s">
        <v>7305</v>
      </c>
      <c r="G1476" s="12">
        <v>734</v>
      </c>
      <c r="H1476" s="12">
        <v>110.1</v>
      </c>
      <c r="I1476" s="12">
        <v>623.9</v>
      </c>
      <c r="J1476" s="12">
        <f>SUMIF(order_item!B:B,A1476,order_item!E:E)</f>
        <v>734</v>
      </c>
      <c r="K1476" s="28" t="str">
        <f>_xlfn.XLOOKUP(B1476,customers!A:A,customers!D:D)</f>
        <v>Regular</v>
      </c>
    </row>
    <row r="1477" spans="1:11" x14ac:dyDescent="0.25">
      <c r="A1477" s="5" t="s">
        <v>2144</v>
      </c>
      <c r="B1477" s="5" t="s">
        <v>365</v>
      </c>
      <c r="C1477" s="5" t="s">
        <v>7309</v>
      </c>
      <c r="D1477" s="1">
        <v>45413</v>
      </c>
      <c r="E1477" s="17">
        <v>0.69374999999999998</v>
      </c>
      <c r="F1477" s="5" t="s">
        <v>7305</v>
      </c>
      <c r="G1477" s="12">
        <v>546</v>
      </c>
      <c r="H1477" s="12">
        <v>0</v>
      </c>
      <c r="I1477" s="12">
        <v>546</v>
      </c>
      <c r="J1477" s="12">
        <f>SUMIF(order_item!B:B,A1477,order_item!E:E)</f>
        <v>546</v>
      </c>
      <c r="K1477" s="28" t="str">
        <f>_xlfn.XLOOKUP(B1477,customers!A:A,customers!D:D)</f>
        <v>Premium</v>
      </c>
    </row>
    <row r="1478" spans="1:11" x14ac:dyDescent="0.25">
      <c r="A1478" s="5" t="s">
        <v>2141</v>
      </c>
      <c r="B1478" s="5" t="s">
        <v>444</v>
      </c>
      <c r="C1478" s="5" t="s">
        <v>7306</v>
      </c>
      <c r="D1478" s="1">
        <v>45685</v>
      </c>
      <c r="E1478" s="17">
        <v>0.82777777777777783</v>
      </c>
      <c r="F1478" s="5" t="s">
        <v>7305</v>
      </c>
      <c r="G1478" s="12">
        <v>258</v>
      </c>
      <c r="H1478" s="12">
        <v>12.9</v>
      </c>
      <c r="I1478" s="12">
        <v>245.1</v>
      </c>
      <c r="J1478" s="12">
        <f>SUMIF(order_item!B:B,A1478,order_item!E:E)</f>
        <v>258</v>
      </c>
      <c r="K1478" s="28" t="str">
        <f>_xlfn.XLOOKUP(B1478,customers!A:A,customers!D:D)</f>
        <v>New</v>
      </c>
    </row>
    <row r="1479" spans="1:11" x14ac:dyDescent="0.25">
      <c r="A1479" s="5" t="s">
        <v>2137</v>
      </c>
      <c r="B1479" s="5" t="s">
        <v>638</v>
      </c>
      <c r="C1479" s="5" t="s">
        <v>7308</v>
      </c>
      <c r="D1479" s="1">
        <v>45403</v>
      </c>
      <c r="E1479" s="17">
        <v>0.66319444444444442</v>
      </c>
      <c r="F1479" s="5" t="s">
        <v>7305</v>
      </c>
      <c r="G1479" s="12">
        <v>267</v>
      </c>
      <c r="H1479" s="12">
        <v>0</v>
      </c>
      <c r="I1479" s="12">
        <v>267</v>
      </c>
      <c r="J1479" s="12">
        <f>SUMIF(order_item!B:B,A1479,order_item!E:E)</f>
        <v>267</v>
      </c>
      <c r="K1479" s="28" t="str">
        <f>_xlfn.XLOOKUP(B1479,customers!A:A,customers!D:D)</f>
        <v>New</v>
      </c>
    </row>
    <row r="1480" spans="1:11" x14ac:dyDescent="0.25">
      <c r="A1480" s="5" t="s">
        <v>2135</v>
      </c>
      <c r="B1480" s="5" t="s">
        <v>649</v>
      </c>
      <c r="C1480" s="5" t="s">
        <v>7306</v>
      </c>
      <c r="D1480" s="1">
        <v>45575</v>
      </c>
      <c r="E1480" s="17">
        <v>0.6777777777777777</v>
      </c>
      <c r="F1480" s="5" t="s">
        <v>7305</v>
      </c>
      <c r="G1480" s="12">
        <v>139</v>
      </c>
      <c r="H1480" s="12">
        <v>6.95</v>
      </c>
      <c r="I1480" s="12">
        <v>132.05000000000001</v>
      </c>
      <c r="J1480" s="12">
        <f>SUMIF(order_item!B:B,A1480,order_item!E:E)</f>
        <v>139</v>
      </c>
      <c r="K1480" s="28" t="str">
        <f>_xlfn.XLOOKUP(B1480,customers!A:A,customers!D:D)</f>
        <v>Regular</v>
      </c>
    </row>
    <row r="1481" spans="1:11" x14ac:dyDescent="0.25">
      <c r="A1481" s="5" t="s">
        <v>2133</v>
      </c>
      <c r="B1481" s="5" t="s">
        <v>777</v>
      </c>
      <c r="C1481" s="5" t="s">
        <v>7308</v>
      </c>
      <c r="D1481" s="1">
        <v>45465</v>
      </c>
      <c r="E1481" s="17">
        <v>0.46388888888888885</v>
      </c>
      <c r="F1481" s="5" t="s">
        <v>7305</v>
      </c>
      <c r="G1481" s="12">
        <v>177</v>
      </c>
      <c r="H1481" s="12">
        <v>0</v>
      </c>
      <c r="I1481" s="12">
        <v>177</v>
      </c>
      <c r="J1481" s="12">
        <f>SUMIF(order_item!B:B,A1481,order_item!E:E)</f>
        <v>177</v>
      </c>
      <c r="K1481" s="28" t="str">
        <f>_xlfn.XLOOKUP(B1481,customers!A:A,customers!D:D)</f>
        <v>Premium</v>
      </c>
    </row>
    <row r="1482" spans="1:11" x14ac:dyDescent="0.25">
      <c r="A1482" s="5" t="s">
        <v>2129</v>
      </c>
      <c r="B1482" s="5" t="s">
        <v>775</v>
      </c>
      <c r="C1482" s="5" t="s">
        <v>7306</v>
      </c>
      <c r="D1482" s="1">
        <v>45456</v>
      </c>
      <c r="E1482" s="17">
        <v>0.76666666666666661</v>
      </c>
      <c r="F1482" s="5" t="s">
        <v>7307</v>
      </c>
      <c r="G1482" s="12">
        <v>475</v>
      </c>
      <c r="H1482" s="12">
        <v>0</v>
      </c>
      <c r="I1482" s="12">
        <v>0</v>
      </c>
      <c r="J1482" s="12">
        <f>SUMIF(order_item!B:B,A1482,order_item!E:E)</f>
        <v>475</v>
      </c>
      <c r="K1482" s="28" t="str">
        <f>_xlfn.XLOOKUP(B1482,customers!A:A,customers!D:D)</f>
        <v>Regular</v>
      </c>
    </row>
    <row r="1483" spans="1:11" x14ac:dyDescent="0.25">
      <c r="A1483" s="5" t="s">
        <v>2125</v>
      </c>
      <c r="B1483" s="5" t="s">
        <v>792</v>
      </c>
      <c r="C1483" s="5" t="s">
        <v>7306</v>
      </c>
      <c r="D1483" s="1">
        <v>45621</v>
      </c>
      <c r="E1483" s="17">
        <v>0.85</v>
      </c>
      <c r="F1483" s="5" t="s">
        <v>7305</v>
      </c>
      <c r="G1483" s="12">
        <v>307</v>
      </c>
      <c r="H1483" s="12">
        <v>0</v>
      </c>
      <c r="I1483" s="12">
        <v>307</v>
      </c>
      <c r="J1483" s="12">
        <f>SUMIF(order_item!B:B,A1483,order_item!E:E)</f>
        <v>307</v>
      </c>
      <c r="K1483" s="28" t="str">
        <f>_xlfn.XLOOKUP(B1483,customers!A:A,customers!D:D)</f>
        <v>Regular</v>
      </c>
    </row>
    <row r="1484" spans="1:11" x14ac:dyDescent="0.25">
      <c r="A1484" s="5" t="s">
        <v>2122</v>
      </c>
      <c r="B1484" s="5" t="s">
        <v>566</v>
      </c>
      <c r="C1484" s="5" t="s">
        <v>7306</v>
      </c>
      <c r="D1484" s="1">
        <v>45507</v>
      </c>
      <c r="E1484" s="17">
        <v>1.9444444444444445E-2</v>
      </c>
      <c r="F1484" s="5" t="s">
        <v>7305</v>
      </c>
      <c r="G1484" s="12">
        <v>296</v>
      </c>
      <c r="H1484" s="12">
        <v>0</v>
      </c>
      <c r="I1484" s="12">
        <v>296</v>
      </c>
      <c r="J1484" s="12">
        <f>SUMIF(order_item!B:B,A1484,order_item!E:E)</f>
        <v>296</v>
      </c>
      <c r="K1484" s="28" t="str">
        <f>_xlfn.XLOOKUP(B1484,customers!A:A,customers!D:D)</f>
        <v>Regular</v>
      </c>
    </row>
    <row r="1485" spans="1:11" x14ac:dyDescent="0.25">
      <c r="A1485" s="5" t="s">
        <v>2118</v>
      </c>
      <c r="B1485" s="5" t="s">
        <v>527</v>
      </c>
      <c r="C1485" s="5" t="s">
        <v>7306</v>
      </c>
      <c r="D1485" s="1">
        <v>45485</v>
      </c>
      <c r="E1485" s="17">
        <v>7.0833333333333331E-2</v>
      </c>
      <c r="F1485" s="5" t="s">
        <v>7305</v>
      </c>
      <c r="G1485" s="12">
        <v>446</v>
      </c>
      <c r="H1485" s="12">
        <v>0</v>
      </c>
      <c r="I1485" s="12">
        <v>446</v>
      </c>
      <c r="J1485" s="12">
        <f>SUMIF(order_item!B:B,A1485,order_item!E:E)</f>
        <v>446</v>
      </c>
      <c r="K1485" s="28" t="str">
        <f>_xlfn.XLOOKUP(B1485,customers!A:A,customers!D:D)</f>
        <v>New</v>
      </c>
    </row>
    <row r="1486" spans="1:11" x14ac:dyDescent="0.25">
      <c r="A1486" s="5" t="s">
        <v>2115</v>
      </c>
      <c r="B1486" s="5" t="s">
        <v>611</v>
      </c>
      <c r="C1486" s="5" t="s">
        <v>7306</v>
      </c>
      <c r="D1486" s="1">
        <v>45521</v>
      </c>
      <c r="E1486" s="17">
        <v>0.80902777777777779</v>
      </c>
      <c r="F1486" s="5" t="s">
        <v>7305</v>
      </c>
      <c r="G1486" s="12">
        <v>158</v>
      </c>
      <c r="H1486" s="12">
        <v>0</v>
      </c>
      <c r="I1486" s="12">
        <v>158</v>
      </c>
      <c r="J1486" s="12">
        <f>SUMIF(order_item!B:B,A1486,order_item!E:E)</f>
        <v>158</v>
      </c>
      <c r="K1486" s="28" t="str">
        <f>_xlfn.XLOOKUP(B1486,customers!A:A,customers!D:D)</f>
        <v>Regular</v>
      </c>
    </row>
    <row r="1487" spans="1:11" x14ac:dyDescent="0.25">
      <c r="A1487" s="5" t="s">
        <v>2112</v>
      </c>
      <c r="B1487" s="5" t="s">
        <v>800</v>
      </c>
      <c r="C1487" s="5" t="s">
        <v>7309</v>
      </c>
      <c r="D1487" s="1">
        <v>45406</v>
      </c>
      <c r="E1487" s="17">
        <v>0.6381944444444444</v>
      </c>
      <c r="F1487" s="5" t="s">
        <v>7305</v>
      </c>
      <c r="G1487" s="12">
        <v>586</v>
      </c>
      <c r="H1487" s="12">
        <v>0</v>
      </c>
      <c r="I1487" s="12">
        <v>586</v>
      </c>
      <c r="J1487" s="12">
        <f>SUMIF(order_item!B:B,A1487,order_item!E:E)</f>
        <v>586</v>
      </c>
      <c r="K1487" s="28" t="str">
        <f>_xlfn.XLOOKUP(B1487,customers!A:A,customers!D:D)</f>
        <v>Regular</v>
      </c>
    </row>
    <row r="1488" spans="1:11" x14ac:dyDescent="0.25">
      <c r="A1488" s="5" t="s">
        <v>2109</v>
      </c>
      <c r="B1488" s="5" t="s">
        <v>321</v>
      </c>
      <c r="C1488" s="5" t="s">
        <v>7309</v>
      </c>
      <c r="D1488" s="1">
        <v>45728</v>
      </c>
      <c r="E1488" s="17">
        <v>0.64374999999999993</v>
      </c>
      <c r="F1488" s="5" t="s">
        <v>7305</v>
      </c>
      <c r="G1488" s="12">
        <v>745</v>
      </c>
      <c r="H1488" s="12">
        <v>0</v>
      </c>
      <c r="I1488" s="12">
        <v>745</v>
      </c>
      <c r="J1488" s="12">
        <f>SUMIF(order_item!B:B,A1488,order_item!E:E)</f>
        <v>745</v>
      </c>
      <c r="K1488" s="28" t="str">
        <f>_xlfn.XLOOKUP(B1488,customers!A:A,customers!D:D)</f>
        <v>Regular</v>
      </c>
    </row>
    <row r="1489" spans="1:11" x14ac:dyDescent="0.25">
      <c r="A1489" s="5" t="s">
        <v>2106</v>
      </c>
      <c r="B1489" s="5" t="s">
        <v>698</v>
      </c>
      <c r="C1489" s="5" t="s">
        <v>7309</v>
      </c>
      <c r="D1489" s="1">
        <v>45658</v>
      </c>
      <c r="E1489" s="17">
        <v>0.78263888888888899</v>
      </c>
      <c r="F1489" s="5" t="s">
        <v>7305</v>
      </c>
      <c r="G1489" s="12">
        <v>238</v>
      </c>
      <c r="H1489" s="12">
        <v>0</v>
      </c>
      <c r="I1489" s="12">
        <v>238</v>
      </c>
      <c r="J1489" s="12">
        <f>SUMIF(order_item!B:B,A1489,order_item!E:E)</f>
        <v>238</v>
      </c>
      <c r="K1489" s="28" t="str">
        <f>_xlfn.XLOOKUP(B1489,customers!A:A,customers!D:D)</f>
        <v>Regular</v>
      </c>
    </row>
    <row r="1490" spans="1:11" x14ac:dyDescent="0.25">
      <c r="A1490" s="5" t="s">
        <v>2103</v>
      </c>
      <c r="B1490" s="5" t="s">
        <v>296</v>
      </c>
      <c r="C1490" s="5" t="s">
        <v>7306</v>
      </c>
      <c r="D1490" s="1">
        <v>45695</v>
      </c>
      <c r="E1490" s="17">
        <v>0.6333333333333333</v>
      </c>
      <c r="F1490" s="5" t="s">
        <v>7305</v>
      </c>
      <c r="G1490" s="12">
        <v>336</v>
      </c>
      <c r="H1490" s="12">
        <v>0</v>
      </c>
      <c r="I1490" s="12">
        <v>336</v>
      </c>
      <c r="J1490" s="12">
        <f>SUMIF(order_item!B:B,A1490,order_item!E:E)</f>
        <v>336</v>
      </c>
      <c r="K1490" s="28" t="str">
        <f>_xlfn.XLOOKUP(B1490,customers!A:A,customers!D:D)</f>
        <v>Regular</v>
      </c>
    </row>
    <row r="1491" spans="1:11" x14ac:dyDescent="0.25">
      <c r="A1491" s="5" t="s">
        <v>2101</v>
      </c>
      <c r="B1491" s="5" t="s">
        <v>309</v>
      </c>
      <c r="C1491" s="5" t="s">
        <v>7306</v>
      </c>
      <c r="D1491" s="1">
        <v>45629</v>
      </c>
      <c r="E1491" s="17">
        <v>0.68402777777777779</v>
      </c>
      <c r="F1491" s="5" t="s">
        <v>7305</v>
      </c>
      <c r="G1491" s="12">
        <v>477</v>
      </c>
      <c r="H1491" s="12">
        <v>23.85</v>
      </c>
      <c r="I1491" s="12">
        <v>453.15</v>
      </c>
      <c r="J1491" s="12">
        <f>SUMIF(order_item!B:B,A1491,order_item!E:E)</f>
        <v>477</v>
      </c>
      <c r="K1491" s="28" t="str">
        <f>_xlfn.XLOOKUP(B1491,customers!A:A,customers!D:D)</f>
        <v>New</v>
      </c>
    </row>
    <row r="1492" spans="1:11" x14ac:dyDescent="0.25">
      <c r="A1492" s="5" t="s">
        <v>2096</v>
      </c>
      <c r="B1492" s="5" t="s">
        <v>77</v>
      </c>
      <c r="C1492" s="5" t="s">
        <v>7306</v>
      </c>
      <c r="D1492" s="1">
        <v>45552</v>
      </c>
      <c r="E1492" s="17">
        <v>0.73819444444444438</v>
      </c>
      <c r="F1492" s="5" t="s">
        <v>7305</v>
      </c>
      <c r="G1492" s="12">
        <v>753</v>
      </c>
      <c r="H1492" s="12">
        <v>0</v>
      </c>
      <c r="I1492" s="12">
        <v>753</v>
      </c>
      <c r="J1492" s="12">
        <f>SUMIF(order_item!B:B,A1492,order_item!E:E)</f>
        <v>753</v>
      </c>
      <c r="K1492" s="28" t="str">
        <f>_xlfn.XLOOKUP(B1492,customers!A:A,customers!D:D)</f>
        <v>New</v>
      </c>
    </row>
    <row r="1493" spans="1:11" x14ac:dyDescent="0.25">
      <c r="A1493" s="5" t="s">
        <v>2091</v>
      </c>
      <c r="B1493" s="5" t="s">
        <v>677</v>
      </c>
      <c r="C1493" s="5" t="s">
        <v>7306</v>
      </c>
      <c r="D1493" s="1">
        <v>45447</v>
      </c>
      <c r="E1493" s="17">
        <v>0.37916666666666665</v>
      </c>
      <c r="F1493" s="5" t="s">
        <v>7305</v>
      </c>
      <c r="G1493" s="12">
        <v>326</v>
      </c>
      <c r="H1493" s="12">
        <v>32.6</v>
      </c>
      <c r="I1493" s="12">
        <v>293.39999999999998</v>
      </c>
      <c r="J1493" s="12">
        <f>SUMIF(order_item!B:B,A1493,order_item!E:E)</f>
        <v>326</v>
      </c>
      <c r="K1493" s="28" t="str">
        <f>_xlfn.XLOOKUP(B1493,customers!A:A,customers!D:D)</f>
        <v>Regular</v>
      </c>
    </row>
    <row r="1494" spans="1:11" x14ac:dyDescent="0.25">
      <c r="A1494" s="5" t="s">
        <v>2087</v>
      </c>
      <c r="B1494" s="5" t="s">
        <v>269</v>
      </c>
      <c r="C1494" s="5" t="s">
        <v>7309</v>
      </c>
      <c r="D1494" s="1">
        <v>45546</v>
      </c>
      <c r="E1494" s="17">
        <v>0.78472222222222221</v>
      </c>
      <c r="F1494" s="5" t="s">
        <v>7305</v>
      </c>
      <c r="G1494" s="12">
        <v>535</v>
      </c>
      <c r="H1494" s="12">
        <v>0</v>
      </c>
      <c r="I1494" s="12">
        <v>535</v>
      </c>
      <c r="J1494" s="12">
        <f>SUMIF(order_item!B:B,A1494,order_item!E:E)</f>
        <v>535</v>
      </c>
      <c r="K1494" s="28" t="str">
        <f>_xlfn.XLOOKUP(B1494,customers!A:A,customers!D:D)</f>
        <v>New</v>
      </c>
    </row>
    <row r="1495" spans="1:11" x14ac:dyDescent="0.25">
      <c r="A1495" s="5" t="s">
        <v>2084</v>
      </c>
      <c r="B1495" s="5" t="s">
        <v>798</v>
      </c>
      <c r="C1495" s="5" t="s">
        <v>7309</v>
      </c>
      <c r="D1495" s="1">
        <v>45549</v>
      </c>
      <c r="E1495" s="17">
        <v>0.52638888888888891</v>
      </c>
      <c r="F1495" s="5" t="s">
        <v>7305</v>
      </c>
      <c r="G1495" s="12">
        <v>396</v>
      </c>
      <c r="H1495" s="12">
        <v>0</v>
      </c>
      <c r="I1495" s="12">
        <v>396</v>
      </c>
      <c r="J1495" s="12">
        <f>SUMIF(order_item!B:B,A1495,order_item!E:E)</f>
        <v>396</v>
      </c>
      <c r="K1495" s="28" t="str">
        <f>_xlfn.XLOOKUP(B1495,customers!A:A,customers!D:D)</f>
        <v>Premium</v>
      </c>
    </row>
    <row r="1496" spans="1:11" x14ac:dyDescent="0.25">
      <c r="A1496" s="5" t="s">
        <v>2081</v>
      </c>
      <c r="B1496" s="5" t="s">
        <v>665</v>
      </c>
      <c r="C1496" s="5" t="s">
        <v>7306</v>
      </c>
      <c r="D1496" s="1">
        <v>45454</v>
      </c>
      <c r="E1496" s="17">
        <v>0.82291666666666663</v>
      </c>
      <c r="F1496" s="5" t="s">
        <v>7307</v>
      </c>
      <c r="G1496" s="12">
        <v>256</v>
      </c>
      <c r="H1496" s="12">
        <v>0</v>
      </c>
      <c r="I1496" s="12">
        <v>0</v>
      </c>
      <c r="J1496" s="12">
        <f>SUMIF(order_item!B:B,A1496,order_item!E:E)</f>
        <v>256</v>
      </c>
      <c r="K1496" s="28" t="str">
        <f>_xlfn.XLOOKUP(B1496,customers!A:A,customers!D:D)</f>
        <v>Regular</v>
      </c>
    </row>
    <row r="1497" spans="1:11" x14ac:dyDescent="0.25">
      <c r="A1497" s="5" t="s">
        <v>2078</v>
      </c>
      <c r="B1497" s="5" t="s">
        <v>798</v>
      </c>
      <c r="C1497" s="5" t="s">
        <v>7309</v>
      </c>
      <c r="D1497" s="1">
        <v>45472</v>
      </c>
      <c r="E1497" s="17">
        <v>0.68333333333333324</v>
      </c>
      <c r="F1497" s="5" t="s">
        <v>7305</v>
      </c>
      <c r="G1497" s="12">
        <v>467</v>
      </c>
      <c r="H1497" s="12">
        <v>0</v>
      </c>
      <c r="I1497" s="12">
        <v>467</v>
      </c>
      <c r="J1497" s="12">
        <f>SUMIF(order_item!B:B,A1497,order_item!E:E)</f>
        <v>467</v>
      </c>
      <c r="K1497" s="28" t="str">
        <f>_xlfn.XLOOKUP(B1497,customers!A:A,customers!D:D)</f>
        <v>Premium</v>
      </c>
    </row>
    <row r="1498" spans="1:11" x14ac:dyDescent="0.25">
      <c r="A1498" s="5" t="s">
        <v>2074</v>
      </c>
      <c r="B1498" s="5" t="s">
        <v>725</v>
      </c>
      <c r="C1498" s="5" t="s">
        <v>7309</v>
      </c>
      <c r="D1498" s="1">
        <v>45415</v>
      </c>
      <c r="E1498" s="17">
        <v>0.76180555555555562</v>
      </c>
      <c r="F1498" s="5" t="s">
        <v>7305</v>
      </c>
      <c r="G1498" s="12">
        <v>436</v>
      </c>
      <c r="H1498" s="12">
        <v>0</v>
      </c>
      <c r="I1498" s="12">
        <v>436</v>
      </c>
      <c r="J1498" s="12">
        <f>SUMIF(order_item!B:B,A1498,order_item!E:E)</f>
        <v>436</v>
      </c>
      <c r="K1498" s="28" t="str">
        <f>_xlfn.XLOOKUP(B1498,customers!A:A,customers!D:D)</f>
        <v>Premium</v>
      </c>
    </row>
    <row r="1499" spans="1:11" x14ac:dyDescent="0.25">
      <c r="A1499" s="5" t="s">
        <v>2072</v>
      </c>
      <c r="B1499" s="5" t="s">
        <v>561</v>
      </c>
      <c r="C1499" s="5" t="s">
        <v>7309</v>
      </c>
      <c r="D1499" s="1">
        <v>45493</v>
      </c>
      <c r="E1499" s="17">
        <v>0.4548611111111111</v>
      </c>
      <c r="F1499" s="5" t="s">
        <v>7305</v>
      </c>
      <c r="G1499" s="12">
        <v>198</v>
      </c>
      <c r="H1499" s="12">
        <v>9.9</v>
      </c>
      <c r="I1499" s="12">
        <v>188.1</v>
      </c>
      <c r="J1499" s="12">
        <f>SUMIF(order_item!B:B,A1499,order_item!E:E)</f>
        <v>198</v>
      </c>
      <c r="K1499" s="28" t="str">
        <f>_xlfn.XLOOKUP(B1499,customers!A:A,customers!D:D)</f>
        <v>Regular</v>
      </c>
    </row>
    <row r="1500" spans="1:11" x14ac:dyDescent="0.25">
      <c r="A1500" s="5" t="s">
        <v>2067</v>
      </c>
      <c r="B1500" s="5" t="s">
        <v>371</v>
      </c>
      <c r="C1500" s="5" t="s">
        <v>7306</v>
      </c>
      <c r="D1500" s="1">
        <v>45738</v>
      </c>
      <c r="E1500" s="17">
        <v>0.90069444444444446</v>
      </c>
      <c r="F1500" s="5" t="s">
        <v>7305</v>
      </c>
      <c r="G1500" s="12">
        <v>783</v>
      </c>
      <c r="H1500" s="12">
        <v>117.45</v>
      </c>
      <c r="I1500" s="12">
        <v>665.55</v>
      </c>
      <c r="J1500" s="12">
        <f>SUMIF(order_item!B:B,A1500,order_item!E:E)</f>
        <v>783</v>
      </c>
      <c r="K1500" s="28" t="str">
        <f>_xlfn.XLOOKUP(B1500,customers!A:A,customers!D:D)</f>
        <v>Regular</v>
      </c>
    </row>
    <row r="1501" spans="1:11" x14ac:dyDescent="0.25">
      <c r="A1501" s="5" t="s">
        <v>2064</v>
      </c>
      <c r="B1501" s="5" t="s">
        <v>407</v>
      </c>
      <c r="C1501" s="5" t="s">
        <v>7306</v>
      </c>
      <c r="D1501" s="1">
        <v>45747</v>
      </c>
      <c r="E1501" s="17">
        <v>0.45555555555555555</v>
      </c>
      <c r="F1501" s="5" t="s">
        <v>7305</v>
      </c>
      <c r="G1501" s="12">
        <v>675</v>
      </c>
      <c r="H1501" s="12">
        <v>0</v>
      </c>
      <c r="I1501" s="12">
        <v>675</v>
      </c>
      <c r="J1501" s="12">
        <f>SUMIF(order_item!B:B,A1501,order_item!E:E)</f>
        <v>675</v>
      </c>
      <c r="K1501" s="28" t="str">
        <f>_xlfn.XLOOKUP(B1501,customers!A:A,customers!D:D)</f>
        <v>New</v>
      </c>
    </row>
    <row r="1502" spans="1:11" x14ac:dyDescent="0.25">
      <c r="A1502" s="5" t="s">
        <v>2062</v>
      </c>
      <c r="B1502" s="5" t="s">
        <v>728</v>
      </c>
      <c r="C1502" s="5" t="s">
        <v>7309</v>
      </c>
      <c r="D1502" s="1">
        <v>45508</v>
      </c>
      <c r="E1502" s="17">
        <v>0.7104166666666667</v>
      </c>
      <c r="F1502" s="5" t="s">
        <v>7305</v>
      </c>
      <c r="G1502" s="12">
        <v>745</v>
      </c>
      <c r="H1502" s="12">
        <v>111.75</v>
      </c>
      <c r="I1502" s="12">
        <v>633.25</v>
      </c>
      <c r="J1502" s="12">
        <f>SUMIF(order_item!B:B,A1502,order_item!E:E)</f>
        <v>745</v>
      </c>
      <c r="K1502" s="28" t="str">
        <f>_xlfn.XLOOKUP(B1502,customers!A:A,customers!D:D)</f>
        <v>Regular</v>
      </c>
    </row>
    <row r="1503" spans="1:11" x14ac:dyDescent="0.25">
      <c r="A1503" s="5" t="s">
        <v>2058</v>
      </c>
      <c r="B1503" s="5" t="s">
        <v>818</v>
      </c>
      <c r="C1503" s="5" t="s">
        <v>7309</v>
      </c>
      <c r="D1503" s="1">
        <v>45422</v>
      </c>
      <c r="E1503" s="17">
        <v>0.62708333333333333</v>
      </c>
      <c r="F1503" s="5" t="s">
        <v>7305</v>
      </c>
      <c r="G1503" s="12">
        <v>514</v>
      </c>
      <c r="H1503" s="12">
        <v>0</v>
      </c>
      <c r="I1503" s="12">
        <v>514</v>
      </c>
      <c r="J1503" s="12">
        <f>SUMIF(order_item!B:B,A1503,order_item!E:E)</f>
        <v>514</v>
      </c>
      <c r="K1503" s="28" t="str">
        <f>_xlfn.XLOOKUP(B1503,customers!A:A,customers!D:D)</f>
        <v>Regular</v>
      </c>
    </row>
    <row r="1504" spans="1:11" x14ac:dyDescent="0.25">
      <c r="A1504" s="5" t="s">
        <v>2053</v>
      </c>
      <c r="B1504" s="5" t="s">
        <v>537</v>
      </c>
      <c r="C1504" s="5" t="s">
        <v>7306</v>
      </c>
      <c r="D1504" s="1">
        <v>45677</v>
      </c>
      <c r="E1504" s="17">
        <v>0.58124999999999993</v>
      </c>
      <c r="F1504" s="5" t="s">
        <v>7305</v>
      </c>
      <c r="G1504" s="12">
        <v>733</v>
      </c>
      <c r="H1504" s="12">
        <v>73.3</v>
      </c>
      <c r="I1504" s="12">
        <v>659.7</v>
      </c>
      <c r="J1504" s="12">
        <f>SUMIF(order_item!B:B,A1504,order_item!E:E)</f>
        <v>733</v>
      </c>
      <c r="K1504" s="28" t="str">
        <f>_xlfn.XLOOKUP(B1504,customers!A:A,customers!D:D)</f>
        <v>New</v>
      </c>
    </row>
    <row r="1505" spans="1:11" x14ac:dyDescent="0.25">
      <c r="A1505" s="5" t="s">
        <v>2050</v>
      </c>
      <c r="B1505" s="5" t="s">
        <v>559</v>
      </c>
      <c r="C1505" s="5" t="s">
        <v>7309</v>
      </c>
      <c r="D1505" s="1">
        <v>45723</v>
      </c>
      <c r="E1505" s="17">
        <v>0.84236111111111101</v>
      </c>
      <c r="F1505" s="5" t="s">
        <v>7305</v>
      </c>
      <c r="G1505" s="12">
        <v>227</v>
      </c>
      <c r="H1505" s="12">
        <v>0</v>
      </c>
      <c r="I1505" s="12">
        <v>227</v>
      </c>
      <c r="J1505" s="12">
        <f>SUMIF(order_item!B:B,A1505,order_item!E:E)</f>
        <v>227</v>
      </c>
      <c r="K1505" s="28" t="str">
        <f>_xlfn.XLOOKUP(B1505,customers!A:A,customers!D:D)</f>
        <v>Premium</v>
      </c>
    </row>
    <row r="1506" spans="1:11" x14ac:dyDescent="0.25">
      <c r="A1506" s="5" t="s">
        <v>2046</v>
      </c>
      <c r="B1506" s="5" t="s">
        <v>412</v>
      </c>
      <c r="C1506" s="5" t="s">
        <v>7308</v>
      </c>
      <c r="D1506" s="1">
        <v>45414</v>
      </c>
      <c r="E1506" s="17">
        <v>0.92986111111111114</v>
      </c>
      <c r="F1506" s="5" t="s">
        <v>7305</v>
      </c>
      <c r="G1506" s="12">
        <v>297</v>
      </c>
      <c r="H1506" s="12">
        <v>0</v>
      </c>
      <c r="I1506" s="12">
        <v>297</v>
      </c>
      <c r="J1506" s="12">
        <f>SUMIF(order_item!B:B,A1506,order_item!E:E)</f>
        <v>297</v>
      </c>
      <c r="K1506" s="28" t="str">
        <f>_xlfn.XLOOKUP(B1506,customers!A:A,customers!D:D)</f>
        <v>Regular</v>
      </c>
    </row>
    <row r="1507" spans="1:11" x14ac:dyDescent="0.25">
      <c r="A1507" s="5" t="s">
        <v>2043</v>
      </c>
      <c r="B1507" s="5" t="s">
        <v>581</v>
      </c>
      <c r="C1507" s="5" t="s">
        <v>7306</v>
      </c>
      <c r="D1507" s="1">
        <v>45415</v>
      </c>
      <c r="E1507" s="17">
        <v>0.75208333333333333</v>
      </c>
      <c r="F1507" s="5" t="s">
        <v>7305</v>
      </c>
      <c r="G1507" s="12">
        <v>168</v>
      </c>
      <c r="H1507" s="12">
        <v>0</v>
      </c>
      <c r="I1507" s="12">
        <v>168</v>
      </c>
      <c r="J1507" s="12">
        <f>SUMIF(order_item!B:B,A1507,order_item!E:E)</f>
        <v>168</v>
      </c>
      <c r="K1507" s="28" t="str">
        <f>_xlfn.XLOOKUP(B1507,customers!A:A,customers!D:D)</f>
        <v>Premium</v>
      </c>
    </row>
    <row r="1508" spans="1:11" x14ac:dyDescent="0.25">
      <c r="A1508" s="5" t="s">
        <v>2040</v>
      </c>
      <c r="B1508" s="5" t="s">
        <v>820</v>
      </c>
      <c r="C1508" s="5" t="s">
        <v>7309</v>
      </c>
      <c r="D1508" s="1">
        <v>45655</v>
      </c>
      <c r="E1508" s="17">
        <v>0.7895833333333333</v>
      </c>
      <c r="F1508" s="5" t="s">
        <v>7305</v>
      </c>
      <c r="G1508" s="12">
        <v>356</v>
      </c>
      <c r="H1508" s="12">
        <v>0</v>
      </c>
      <c r="I1508" s="12">
        <v>356</v>
      </c>
      <c r="J1508" s="12">
        <f>SUMIF(order_item!B:B,A1508,order_item!E:E)</f>
        <v>356</v>
      </c>
      <c r="K1508" s="28" t="str">
        <f>_xlfn.XLOOKUP(B1508,customers!A:A,customers!D:D)</f>
        <v>New</v>
      </c>
    </row>
    <row r="1509" spans="1:11" x14ac:dyDescent="0.25">
      <c r="A1509" s="5" t="s">
        <v>2035</v>
      </c>
      <c r="B1509" s="5" t="s">
        <v>599</v>
      </c>
      <c r="C1509" s="5" t="s">
        <v>7306</v>
      </c>
      <c r="D1509" s="1">
        <v>45498</v>
      </c>
      <c r="E1509" s="17">
        <v>0.76874999999999993</v>
      </c>
      <c r="F1509" s="5" t="s">
        <v>7305</v>
      </c>
      <c r="G1509" s="12">
        <v>840</v>
      </c>
      <c r="H1509" s="12">
        <v>0</v>
      </c>
      <c r="I1509" s="12">
        <v>840</v>
      </c>
      <c r="J1509" s="12">
        <f>SUMIF(order_item!B:B,A1509,order_item!E:E)</f>
        <v>840</v>
      </c>
      <c r="K1509" s="28" t="str">
        <f>_xlfn.XLOOKUP(B1509,customers!A:A,customers!D:D)</f>
        <v>Regular</v>
      </c>
    </row>
    <row r="1510" spans="1:11" x14ac:dyDescent="0.25">
      <c r="A1510" s="5" t="s">
        <v>2032</v>
      </c>
      <c r="B1510" s="5" t="s">
        <v>507</v>
      </c>
      <c r="C1510" s="5" t="s">
        <v>7309</v>
      </c>
      <c r="D1510" s="1">
        <v>45716</v>
      </c>
      <c r="E1510" s="17">
        <v>0.78402777777777777</v>
      </c>
      <c r="F1510" s="5" t="s">
        <v>7305</v>
      </c>
      <c r="G1510" s="12">
        <v>278</v>
      </c>
      <c r="H1510" s="12">
        <v>0</v>
      </c>
      <c r="I1510" s="12">
        <v>278</v>
      </c>
      <c r="J1510" s="12">
        <f>SUMIF(order_item!B:B,A1510,order_item!E:E)</f>
        <v>278</v>
      </c>
      <c r="K1510" s="28" t="str">
        <f>_xlfn.XLOOKUP(B1510,customers!A:A,customers!D:D)</f>
        <v>New</v>
      </c>
    </row>
    <row r="1511" spans="1:11" x14ac:dyDescent="0.25">
      <c r="A1511" s="5" t="s">
        <v>2029</v>
      </c>
      <c r="B1511" s="5" t="s">
        <v>861</v>
      </c>
      <c r="C1511" s="5" t="s">
        <v>7309</v>
      </c>
      <c r="D1511" s="1">
        <v>45548</v>
      </c>
      <c r="E1511" s="17">
        <v>0.82986111111111116</v>
      </c>
      <c r="F1511" s="5" t="s">
        <v>7305</v>
      </c>
      <c r="G1511" s="12">
        <v>128</v>
      </c>
      <c r="H1511" s="12">
        <v>0</v>
      </c>
      <c r="I1511" s="12">
        <v>128</v>
      </c>
      <c r="J1511" s="12">
        <f>SUMIF(order_item!B:B,A1511,order_item!E:E)</f>
        <v>128</v>
      </c>
      <c r="K1511" s="28" t="str">
        <f>_xlfn.XLOOKUP(B1511,customers!A:A,customers!D:D)</f>
        <v>Premium</v>
      </c>
    </row>
    <row r="1512" spans="1:11" x14ac:dyDescent="0.25">
      <c r="A1512" s="5" t="s">
        <v>2025</v>
      </c>
      <c r="B1512" s="5" t="s">
        <v>748</v>
      </c>
      <c r="C1512" s="5" t="s">
        <v>7309</v>
      </c>
      <c r="D1512" s="1">
        <v>45538</v>
      </c>
      <c r="E1512" s="17">
        <v>0.82986111111111116</v>
      </c>
      <c r="F1512" s="5" t="s">
        <v>7305</v>
      </c>
      <c r="G1512" s="12">
        <v>632</v>
      </c>
      <c r="H1512" s="12">
        <v>63.2</v>
      </c>
      <c r="I1512" s="12">
        <v>568.79999999999995</v>
      </c>
      <c r="J1512" s="12">
        <f>SUMIF(order_item!B:B,A1512,order_item!E:E)</f>
        <v>632</v>
      </c>
      <c r="K1512" s="28" t="str">
        <f>_xlfn.XLOOKUP(B1512,customers!A:A,customers!D:D)</f>
        <v>Regular</v>
      </c>
    </row>
    <row r="1513" spans="1:11" x14ac:dyDescent="0.25">
      <c r="A1513" s="5" t="s">
        <v>2022</v>
      </c>
      <c r="B1513" s="5" t="s">
        <v>777</v>
      </c>
      <c r="C1513" s="5" t="s">
        <v>7306</v>
      </c>
      <c r="D1513" s="1">
        <v>45744</v>
      </c>
      <c r="E1513" s="17">
        <v>0.4381944444444445</v>
      </c>
      <c r="F1513" s="5" t="s">
        <v>7305</v>
      </c>
      <c r="G1513" s="12">
        <v>566</v>
      </c>
      <c r="H1513" s="12">
        <v>0</v>
      </c>
      <c r="I1513" s="12">
        <v>566</v>
      </c>
      <c r="J1513" s="12">
        <f>SUMIF(order_item!B:B,A1513,order_item!E:E)</f>
        <v>566</v>
      </c>
      <c r="K1513" s="28" t="str">
        <f>_xlfn.XLOOKUP(B1513,customers!A:A,customers!D:D)</f>
        <v>Premium</v>
      </c>
    </row>
    <row r="1514" spans="1:11" x14ac:dyDescent="0.25">
      <c r="A1514" s="5" t="s">
        <v>2018</v>
      </c>
      <c r="B1514" s="5" t="s">
        <v>751</v>
      </c>
      <c r="C1514" s="5" t="s">
        <v>7306</v>
      </c>
      <c r="D1514" s="1">
        <v>45437</v>
      </c>
      <c r="E1514" s="17">
        <v>0.71597222222222223</v>
      </c>
      <c r="F1514" s="5" t="s">
        <v>7305</v>
      </c>
      <c r="G1514" s="12">
        <v>615</v>
      </c>
      <c r="H1514" s="12">
        <v>61.5</v>
      </c>
      <c r="I1514" s="12">
        <v>553.5</v>
      </c>
      <c r="J1514" s="12">
        <f>SUMIF(order_item!B:B,A1514,order_item!E:E)</f>
        <v>615</v>
      </c>
      <c r="K1514" s="28" t="str">
        <f>_xlfn.XLOOKUP(B1514,customers!A:A,customers!D:D)</f>
        <v>New</v>
      </c>
    </row>
    <row r="1515" spans="1:11" x14ac:dyDescent="0.25">
      <c r="A1515" s="5" t="s">
        <v>2015</v>
      </c>
      <c r="B1515" s="5" t="s">
        <v>547</v>
      </c>
      <c r="C1515" s="5" t="s">
        <v>7306</v>
      </c>
      <c r="D1515" s="1">
        <v>45418</v>
      </c>
      <c r="E1515" s="17">
        <v>0.97013888888888899</v>
      </c>
      <c r="F1515" s="5" t="s">
        <v>7305</v>
      </c>
      <c r="G1515" s="12">
        <v>755</v>
      </c>
      <c r="H1515" s="12">
        <v>37.75</v>
      </c>
      <c r="I1515" s="12">
        <v>717.25</v>
      </c>
      <c r="J1515" s="12">
        <f>SUMIF(order_item!B:B,A1515,order_item!E:E)</f>
        <v>755</v>
      </c>
      <c r="K1515" s="28" t="str">
        <f>_xlfn.XLOOKUP(B1515,customers!A:A,customers!D:D)</f>
        <v>New</v>
      </c>
    </row>
    <row r="1516" spans="1:11" x14ac:dyDescent="0.25">
      <c r="A1516" s="5" t="s">
        <v>2012</v>
      </c>
      <c r="B1516" s="5" t="s">
        <v>649</v>
      </c>
      <c r="C1516" s="5" t="s">
        <v>7308</v>
      </c>
      <c r="D1516" s="1">
        <v>45681</v>
      </c>
      <c r="E1516" s="17">
        <v>0.59166666666666667</v>
      </c>
      <c r="F1516" s="5" t="s">
        <v>7305</v>
      </c>
      <c r="G1516" s="12">
        <v>785</v>
      </c>
      <c r="H1516" s="12">
        <v>78.5</v>
      </c>
      <c r="I1516" s="12">
        <v>706.5</v>
      </c>
      <c r="J1516" s="12">
        <f>SUMIF(order_item!B:B,A1516,order_item!E:E)</f>
        <v>785</v>
      </c>
      <c r="K1516" s="28" t="str">
        <f>_xlfn.XLOOKUP(B1516,customers!A:A,customers!D:D)</f>
        <v>Regular</v>
      </c>
    </row>
    <row r="1517" spans="1:11" x14ac:dyDescent="0.25">
      <c r="A1517" s="5" t="s">
        <v>2008</v>
      </c>
      <c r="B1517" s="5" t="s">
        <v>518</v>
      </c>
      <c r="C1517" s="5" t="s">
        <v>7306</v>
      </c>
      <c r="D1517" s="1">
        <v>45504</v>
      </c>
      <c r="E1517" s="17">
        <v>0.89097222222222217</v>
      </c>
      <c r="F1517" s="5" t="s">
        <v>7307</v>
      </c>
      <c r="G1517" s="12">
        <v>494</v>
      </c>
      <c r="H1517" s="12">
        <v>49.4</v>
      </c>
      <c r="I1517" s="12">
        <v>0</v>
      </c>
      <c r="J1517" s="12">
        <f>SUMIF(order_item!B:B,A1517,order_item!E:E)</f>
        <v>494</v>
      </c>
      <c r="K1517" s="28" t="str">
        <f>_xlfn.XLOOKUP(B1517,customers!A:A,customers!D:D)</f>
        <v>Regular</v>
      </c>
    </row>
    <row r="1518" spans="1:11" x14ac:dyDescent="0.25">
      <c r="A1518" s="5" t="s">
        <v>2004</v>
      </c>
      <c r="B1518" s="5" t="s">
        <v>659</v>
      </c>
      <c r="C1518" s="5" t="s">
        <v>7309</v>
      </c>
      <c r="D1518" s="1">
        <v>45713</v>
      </c>
      <c r="E1518" s="17">
        <v>0.59375</v>
      </c>
      <c r="F1518" s="5" t="s">
        <v>7305</v>
      </c>
      <c r="G1518" s="12">
        <v>386</v>
      </c>
      <c r="H1518" s="12">
        <v>0</v>
      </c>
      <c r="I1518" s="12">
        <v>386</v>
      </c>
      <c r="J1518" s="12">
        <f>SUMIF(order_item!B:B,A1518,order_item!E:E)</f>
        <v>386</v>
      </c>
      <c r="K1518" s="28" t="str">
        <f>_xlfn.XLOOKUP(B1518,customers!A:A,customers!D:D)</f>
        <v>New</v>
      </c>
    </row>
    <row r="1519" spans="1:11" x14ac:dyDescent="0.25">
      <c r="A1519" s="5" t="s">
        <v>1999</v>
      </c>
      <c r="B1519" s="5" t="s">
        <v>751</v>
      </c>
      <c r="C1519" s="5" t="s">
        <v>7309</v>
      </c>
      <c r="D1519" s="1">
        <v>45648</v>
      </c>
      <c r="E1519" s="17">
        <v>0.83472222222222225</v>
      </c>
      <c r="F1519" s="5" t="s">
        <v>7305</v>
      </c>
      <c r="G1519" s="12">
        <v>1357</v>
      </c>
      <c r="H1519" s="12">
        <v>0</v>
      </c>
      <c r="I1519" s="12">
        <v>1357</v>
      </c>
      <c r="J1519" s="12">
        <f>SUMIF(order_item!B:B,A1519,order_item!E:E)</f>
        <v>1357</v>
      </c>
      <c r="K1519" s="28" t="str">
        <f>_xlfn.XLOOKUP(B1519,customers!A:A,customers!D:D)</f>
        <v>New</v>
      </c>
    </row>
    <row r="1520" spans="1:11" x14ac:dyDescent="0.25">
      <c r="A1520" s="5" t="s">
        <v>1994</v>
      </c>
      <c r="B1520" s="5" t="s">
        <v>807</v>
      </c>
      <c r="C1520" s="5" t="s">
        <v>7309</v>
      </c>
      <c r="D1520" s="1">
        <v>45597</v>
      </c>
      <c r="E1520" s="17">
        <v>4.7916666666666663E-2</v>
      </c>
      <c r="F1520" s="5" t="s">
        <v>7305</v>
      </c>
      <c r="G1520" s="12">
        <v>396</v>
      </c>
      <c r="H1520" s="12">
        <v>39.6</v>
      </c>
      <c r="I1520" s="12">
        <v>356.4</v>
      </c>
      <c r="J1520" s="12">
        <f>SUMIF(order_item!B:B,A1520,order_item!E:E)</f>
        <v>396</v>
      </c>
      <c r="K1520" s="28" t="str">
        <f>_xlfn.XLOOKUP(B1520,customers!A:A,customers!D:D)</f>
        <v>Regular</v>
      </c>
    </row>
    <row r="1521" spans="1:11" x14ac:dyDescent="0.25">
      <c r="A1521" s="5" t="s">
        <v>1990</v>
      </c>
      <c r="B1521" s="5" t="s">
        <v>273</v>
      </c>
      <c r="C1521" s="5" t="s">
        <v>7309</v>
      </c>
      <c r="D1521" s="1">
        <v>45665</v>
      </c>
      <c r="E1521" s="17">
        <v>0.78055555555555556</v>
      </c>
      <c r="F1521" s="5" t="s">
        <v>7305</v>
      </c>
      <c r="G1521" s="12">
        <v>755</v>
      </c>
      <c r="H1521" s="12">
        <v>0</v>
      </c>
      <c r="I1521" s="12">
        <v>755</v>
      </c>
      <c r="J1521" s="12">
        <f>SUMIF(order_item!B:B,A1521,order_item!E:E)</f>
        <v>755</v>
      </c>
      <c r="K1521" s="28" t="str">
        <f>_xlfn.XLOOKUP(B1521,customers!A:A,customers!D:D)</f>
        <v>New</v>
      </c>
    </row>
    <row r="1522" spans="1:11" x14ac:dyDescent="0.25">
      <c r="A1522" s="5" t="s">
        <v>1987</v>
      </c>
      <c r="B1522" s="5" t="s">
        <v>857</v>
      </c>
      <c r="C1522" s="5" t="s">
        <v>7309</v>
      </c>
      <c r="D1522" s="1">
        <v>45442</v>
      </c>
      <c r="E1522" s="17">
        <v>0.8520833333333333</v>
      </c>
      <c r="F1522" s="5" t="s">
        <v>7305</v>
      </c>
      <c r="G1522" s="12">
        <v>356</v>
      </c>
      <c r="H1522" s="12">
        <v>0</v>
      </c>
      <c r="I1522" s="12">
        <v>356</v>
      </c>
      <c r="J1522" s="12">
        <f>SUMIF(order_item!B:B,A1522,order_item!E:E)</f>
        <v>356</v>
      </c>
      <c r="K1522" s="28" t="str">
        <f>_xlfn.XLOOKUP(B1522,customers!A:A,customers!D:D)</f>
        <v>Regular</v>
      </c>
    </row>
    <row r="1523" spans="1:11" x14ac:dyDescent="0.25">
      <c r="A1523" s="5" t="s">
        <v>1985</v>
      </c>
      <c r="B1523" s="5" t="s">
        <v>810</v>
      </c>
      <c r="C1523" s="5" t="s">
        <v>7308</v>
      </c>
      <c r="D1523" s="1">
        <v>45415</v>
      </c>
      <c r="E1523" s="17">
        <v>0.80972222222222223</v>
      </c>
      <c r="F1523" s="5" t="s">
        <v>7305</v>
      </c>
      <c r="G1523" s="12">
        <v>298</v>
      </c>
      <c r="H1523" s="12">
        <v>14.9</v>
      </c>
      <c r="I1523" s="12">
        <v>283.10000000000002</v>
      </c>
      <c r="J1523" s="12">
        <f>SUMIF(order_item!B:B,A1523,order_item!E:E)</f>
        <v>298</v>
      </c>
      <c r="K1523" s="28" t="str">
        <f>_xlfn.XLOOKUP(B1523,customers!A:A,customers!D:D)</f>
        <v>New</v>
      </c>
    </row>
    <row r="1524" spans="1:11" x14ac:dyDescent="0.25">
      <c r="A1524" s="5" t="s">
        <v>1981</v>
      </c>
      <c r="B1524" s="5" t="s">
        <v>317</v>
      </c>
      <c r="C1524" s="5" t="s">
        <v>7309</v>
      </c>
      <c r="D1524" s="1">
        <v>45619</v>
      </c>
      <c r="E1524" s="17">
        <v>0.72916666666666663</v>
      </c>
      <c r="F1524" s="5" t="s">
        <v>7307</v>
      </c>
      <c r="G1524" s="12">
        <v>1012</v>
      </c>
      <c r="H1524" s="12">
        <v>50.6</v>
      </c>
      <c r="I1524" s="12">
        <v>0</v>
      </c>
      <c r="J1524" s="12">
        <f>SUMIF(order_item!B:B,A1524,order_item!E:E)</f>
        <v>1012</v>
      </c>
      <c r="K1524" s="28" t="str">
        <f>_xlfn.XLOOKUP(B1524,customers!A:A,customers!D:D)</f>
        <v>New</v>
      </c>
    </row>
    <row r="1525" spans="1:11" x14ac:dyDescent="0.25">
      <c r="A1525" s="5" t="s">
        <v>1978</v>
      </c>
      <c r="B1525" s="5" t="s">
        <v>773</v>
      </c>
      <c r="C1525" s="5" t="s">
        <v>7308</v>
      </c>
      <c r="D1525" s="1">
        <v>45590</v>
      </c>
      <c r="E1525" s="17">
        <v>0.53263888888888888</v>
      </c>
      <c r="F1525" s="5" t="s">
        <v>7305</v>
      </c>
      <c r="G1525" s="12">
        <v>277</v>
      </c>
      <c r="H1525" s="12">
        <v>0</v>
      </c>
      <c r="I1525" s="12">
        <v>277</v>
      </c>
      <c r="J1525" s="12">
        <f>SUMIF(order_item!B:B,A1525,order_item!E:E)</f>
        <v>277</v>
      </c>
      <c r="K1525" s="28" t="str">
        <f>_xlfn.XLOOKUP(B1525,customers!A:A,customers!D:D)</f>
        <v>New</v>
      </c>
    </row>
    <row r="1526" spans="1:11" x14ac:dyDescent="0.25">
      <c r="A1526" s="5" t="s">
        <v>1975</v>
      </c>
      <c r="B1526" s="5" t="s">
        <v>798</v>
      </c>
      <c r="C1526" s="5" t="s">
        <v>7309</v>
      </c>
      <c r="D1526" s="1">
        <v>45644</v>
      </c>
      <c r="E1526" s="17">
        <v>0.81805555555555554</v>
      </c>
      <c r="F1526" s="5" t="s">
        <v>7305</v>
      </c>
      <c r="G1526" s="12">
        <v>288</v>
      </c>
      <c r="H1526" s="12">
        <v>0</v>
      </c>
      <c r="I1526" s="12">
        <v>288</v>
      </c>
      <c r="J1526" s="12">
        <f>SUMIF(order_item!B:B,A1526,order_item!E:E)</f>
        <v>288</v>
      </c>
      <c r="K1526" s="28" t="str">
        <f>_xlfn.XLOOKUP(B1526,customers!A:A,customers!D:D)</f>
        <v>Premium</v>
      </c>
    </row>
    <row r="1527" spans="1:11" x14ac:dyDescent="0.25">
      <c r="A1527" s="5" t="s">
        <v>1972</v>
      </c>
      <c r="B1527" s="5" t="s">
        <v>612</v>
      </c>
      <c r="C1527" s="5" t="s">
        <v>7309</v>
      </c>
      <c r="D1527" s="1">
        <v>45674</v>
      </c>
      <c r="E1527" s="17">
        <v>0.75694444444444453</v>
      </c>
      <c r="F1527" s="5" t="s">
        <v>7305</v>
      </c>
      <c r="G1527" s="12">
        <v>297</v>
      </c>
      <c r="H1527" s="12">
        <v>0</v>
      </c>
      <c r="I1527" s="12">
        <v>297</v>
      </c>
      <c r="J1527" s="12">
        <f>SUMIF(order_item!B:B,A1527,order_item!E:E)</f>
        <v>297</v>
      </c>
      <c r="K1527" s="28" t="str">
        <f>_xlfn.XLOOKUP(B1527,customers!A:A,customers!D:D)</f>
        <v>Regular</v>
      </c>
    </row>
    <row r="1528" spans="1:11" x14ac:dyDescent="0.25">
      <c r="A1528" s="5" t="s">
        <v>1969</v>
      </c>
      <c r="B1528" s="5" t="s">
        <v>110</v>
      </c>
      <c r="C1528" s="5" t="s">
        <v>7306</v>
      </c>
      <c r="D1528" s="1">
        <v>45473</v>
      </c>
      <c r="E1528" s="17">
        <v>0.89861111111111114</v>
      </c>
      <c r="F1528" s="5" t="s">
        <v>7305</v>
      </c>
      <c r="G1528" s="12">
        <v>168</v>
      </c>
      <c r="H1528" s="12">
        <v>0</v>
      </c>
      <c r="I1528" s="12">
        <v>168</v>
      </c>
      <c r="J1528" s="12">
        <f>SUMIF(order_item!B:B,A1528,order_item!E:E)</f>
        <v>168</v>
      </c>
      <c r="K1528" s="28" t="str">
        <f>_xlfn.XLOOKUP(B1528,customers!A:A,customers!D:D)</f>
        <v>Regular</v>
      </c>
    </row>
    <row r="1529" spans="1:11" x14ac:dyDescent="0.25">
      <c r="A1529" s="5" t="s">
        <v>1965</v>
      </c>
      <c r="B1529" s="5" t="s">
        <v>762</v>
      </c>
      <c r="C1529" s="5" t="s">
        <v>7309</v>
      </c>
      <c r="D1529" s="1">
        <v>45702</v>
      </c>
      <c r="E1529" s="17">
        <v>0.68611111111111101</v>
      </c>
      <c r="F1529" s="5" t="s">
        <v>7305</v>
      </c>
      <c r="G1529" s="12">
        <v>673</v>
      </c>
      <c r="H1529" s="12">
        <v>100.95</v>
      </c>
      <c r="I1529" s="12">
        <v>572.04999999999995</v>
      </c>
      <c r="J1529" s="12">
        <f>SUMIF(order_item!B:B,A1529,order_item!E:E)</f>
        <v>673</v>
      </c>
      <c r="K1529" s="28" t="str">
        <f>_xlfn.XLOOKUP(B1529,customers!A:A,customers!D:D)</f>
        <v>Regular</v>
      </c>
    </row>
    <row r="1530" spans="1:11" x14ac:dyDescent="0.25">
      <c r="A1530" s="5" t="s">
        <v>1962</v>
      </c>
      <c r="B1530" s="5" t="s">
        <v>420</v>
      </c>
      <c r="C1530" s="5" t="s">
        <v>7309</v>
      </c>
      <c r="D1530" s="1">
        <v>45481</v>
      </c>
      <c r="E1530" s="17">
        <v>0.80833333333333324</v>
      </c>
      <c r="F1530" s="5" t="s">
        <v>7305</v>
      </c>
      <c r="G1530" s="12">
        <v>158</v>
      </c>
      <c r="H1530" s="12">
        <v>0</v>
      </c>
      <c r="I1530" s="12">
        <v>158</v>
      </c>
      <c r="J1530" s="12">
        <f>SUMIF(order_item!B:B,A1530,order_item!E:E)</f>
        <v>158</v>
      </c>
      <c r="K1530" s="28" t="str">
        <f>_xlfn.XLOOKUP(B1530,customers!A:A,customers!D:D)</f>
        <v>Regular</v>
      </c>
    </row>
    <row r="1531" spans="1:11" x14ac:dyDescent="0.25">
      <c r="A1531" s="5" t="s">
        <v>1959</v>
      </c>
      <c r="B1531" s="5" t="s">
        <v>261</v>
      </c>
      <c r="C1531" s="5" t="s">
        <v>7308</v>
      </c>
      <c r="D1531" s="1">
        <v>45605</v>
      </c>
      <c r="E1531" s="17">
        <v>0.77361111111111114</v>
      </c>
      <c r="F1531" s="5" t="s">
        <v>7305</v>
      </c>
      <c r="G1531" s="12">
        <v>257</v>
      </c>
      <c r="H1531" s="12">
        <v>0</v>
      </c>
      <c r="I1531" s="12">
        <v>257</v>
      </c>
      <c r="J1531" s="12">
        <f>SUMIF(order_item!B:B,A1531,order_item!E:E)</f>
        <v>257</v>
      </c>
      <c r="K1531" s="28" t="str">
        <f>_xlfn.XLOOKUP(B1531,customers!A:A,customers!D:D)</f>
        <v>Regular</v>
      </c>
    </row>
    <row r="1532" spans="1:11" x14ac:dyDescent="0.25">
      <c r="A1532" s="5" t="s">
        <v>1957</v>
      </c>
      <c r="B1532" s="5" t="s">
        <v>420</v>
      </c>
      <c r="C1532" s="5" t="s">
        <v>7309</v>
      </c>
      <c r="D1532" s="1">
        <v>45483</v>
      </c>
      <c r="E1532" s="17">
        <v>0.72986111111111107</v>
      </c>
      <c r="F1532" s="5" t="s">
        <v>7305</v>
      </c>
      <c r="G1532" s="12">
        <v>158</v>
      </c>
      <c r="H1532" s="12">
        <v>0</v>
      </c>
      <c r="I1532" s="12">
        <v>158</v>
      </c>
      <c r="J1532" s="12">
        <f>SUMIF(order_item!B:B,A1532,order_item!E:E)</f>
        <v>158</v>
      </c>
      <c r="K1532" s="28" t="str">
        <f>_xlfn.XLOOKUP(B1532,customers!A:A,customers!D:D)</f>
        <v>Regular</v>
      </c>
    </row>
    <row r="1533" spans="1:11" x14ac:dyDescent="0.25">
      <c r="A1533" s="5" t="s">
        <v>1955</v>
      </c>
      <c r="B1533" s="5" t="s">
        <v>633</v>
      </c>
      <c r="C1533" s="5" t="s">
        <v>7309</v>
      </c>
      <c r="D1533" s="1">
        <v>45558</v>
      </c>
      <c r="E1533" s="17">
        <v>0.74513888888888891</v>
      </c>
      <c r="F1533" s="5" t="s">
        <v>7305</v>
      </c>
      <c r="G1533" s="12">
        <v>159</v>
      </c>
      <c r="H1533" s="12">
        <v>0</v>
      </c>
      <c r="I1533" s="12">
        <v>159</v>
      </c>
      <c r="J1533" s="12">
        <f>SUMIF(order_item!B:B,A1533,order_item!E:E)</f>
        <v>159</v>
      </c>
      <c r="K1533" s="28" t="str">
        <f>_xlfn.XLOOKUP(B1533,customers!A:A,customers!D:D)</f>
        <v>Premium</v>
      </c>
    </row>
    <row r="1534" spans="1:11" x14ac:dyDescent="0.25">
      <c r="A1534" s="5" t="s">
        <v>1951</v>
      </c>
      <c r="B1534" s="5" t="s">
        <v>138</v>
      </c>
      <c r="C1534" s="5" t="s">
        <v>7309</v>
      </c>
      <c r="D1534" s="1">
        <v>45384</v>
      </c>
      <c r="E1534" s="17">
        <v>0.86875000000000002</v>
      </c>
      <c r="F1534" s="5" t="s">
        <v>7305</v>
      </c>
      <c r="G1534" s="12">
        <v>415</v>
      </c>
      <c r="H1534" s="12">
        <v>0</v>
      </c>
      <c r="I1534" s="12">
        <v>415</v>
      </c>
      <c r="J1534" s="12">
        <f>SUMIF(order_item!B:B,A1534,order_item!E:E)</f>
        <v>415</v>
      </c>
      <c r="K1534" s="28" t="str">
        <f>_xlfn.XLOOKUP(B1534,customers!A:A,customers!D:D)</f>
        <v>Regular</v>
      </c>
    </row>
    <row r="1535" spans="1:11" x14ac:dyDescent="0.25">
      <c r="A1535" s="5" t="s">
        <v>1946</v>
      </c>
      <c r="B1535" s="5" t="s">
        <v>641</v>
      </c>
      <c r="C1535" s="5" t="s">
        <v>7309</v>
      </c>
      <c r="D1535" s="1">
        <v>45570</v>
      </c>
      <c r="E1535" s="17">
        <v>0.4291666666666667</v>
      </c>
      <c r="F1535" s="5" t="s">
        <v>7305</v>
      </c>
      <c r="G1535" s="12">
        <v>980</v>
      </c>
      <c r="H1535" s="12">
        <v>49</v>
      </c>
      <c r="I1535" s="12">
        <v>931</v>
      </c>
      <c r="J1535" s="12">
        <f>SUMIF(order_item!B:B,A1535,order_item!E:E)</f>
        <v>980</v>
      </c>
      <c r="K1535" s="28" t="str">
        <f>_xlfn.XLOOKUP(B1535,customers!A:A,customers!D:D)</f>
        <v>Regular</v>
      </c>
    </row>
    <row r="1536" spans="1:11" x14ac:dyDescent="0.25">
      <c r="A1536" s="5" t="s">
        <v>1943</v>
      </c>
      <c r="B1536" s="5" t="s">
        <v>328</v>
      </c>
      <c r="C1536" s="5" t="s">
        <v>7309</v>
      </c>
      <c r="D1536" s="1">
        <v>45630</v>
      </c>
      <c r="E1536" s="17">
        <v>0.6430555555555556</v>
      </c>
      <c r="F1536" s="5" t="s">
        <v>7305</v>
      </c>
      <c r="G1536" s="12">
        <v>198</v>
      </c>
      <c r="H1536" s="12">
        <v>0</v>
      </c>
      <c r="I1536" s="12">
        <v>198</v>
      </c>
      <c r="J1536" s="12">
        <f>SUMIF(order_item!B:B,A1536,order_item!E:E)</f>
        <v>198</v>
      </c>
      <c r="K1536" s="28" t="str">
        <f>_xlfn.XLOOKUP(B1536,customers!A:A,customers!D:D)</f>
        <v>New</v>
      </c>
    </row>
    <row r="1537" spans="1:11" x14ac:dyDescent="0.25">
      <c r="A1537" s="5" t="s">
        <v>1939</v>
      </c>
      <c r="B1537" s="5" t="s">
        <v>648</v>
      </c>
      <c r="C1537" s="5" t="s">
        <v>7309</v>
      </c>
      <c r="D1537" s="1">
        <v>45444</v>
      </c>
      <c r="E1537" s="17">
        <v>0.90347222222222223</v>
      </c>
      <c r="F1537" s="5" t="s">
        <v>7305</v>
      </c>
      <c r="G1537" s="12">
        <v>516</v>
      </c>
      <c r="H1537" s="12">
        <v>51.6</v>
      </c>
      <c r="I1537" s="12">
        <v>464.4</v>
      </c>
      <c r="J1537" s="12">
        <f>SUMIF(order_item!B:B,A1537,order_item!E:E)</f>
        <v>516</v>
      </c>
      <c r="K1537" s="28" t="str">
        <f>_xlfn.XLOOKUP(B1537,customers!A:A,customers!D:D)</f>
        <v>New</v>
      </c>
    </row>
    <row r="1538" spans="1:11" x14ac:dyDescent="0.25">
      <c r="A1538" s="5" t="s">
        <v>1936</v>
      </c>
      <c r="B1538" s="5" t="s">
        <v>567</v>
      </c>
      <c r="C1538" s="5" t="s">
        <v>7309</v>
      </c>
      <c r="D1538" s="1">
        <v>45392</v>
      </c>
      <c r="E1538" s="17">
        <v>0.81944444444444453</v>
      </c>
      <c r="F1538" s="5" t="s">
        <v>7305</v>
      </c>
      <c r="G1538" s="12">
        <v>228</v>
      </c>
      <c r="H1538" s="12">
        <v>11.4</v>
      </c>
      <c r="I1538" s="12">
        <v>216.6</v>
      </c>
      <c r="J1538" s="12">
        <f>SUMIF(order_item!B:B,A1538,order_item!E:E)</f>
        <v>228</v>
      </c>
      <c r="K1538" s="28" t="str">
        <f>_xlfn.XLOOKUP(B1538,customers!A:A,customers!D:D)</f>
        <v>Regular</v>
      </c>
    </row>
    <row r="1539" spans="1:11" x14ac:dyDescent="0.25">
      <c r="A1539" s="5" t="s">
        <v>1932</v>
      </c>
      <c r="B1539" s="5" t="s">
        <v>383</v>
      </c>
      <c r="C1539" s="5" t="s">
        <v>7306</v>
      </c>
      <c r="D1539" s="1">
        <v>45538</v>
      </c>
      <c r="E1539" s="17">
        <v>0.88750000000000007</v>
      </c>
      <c r="F1539" s="5" t="s">
        <v>7305</v>
      </c>
      <c r="G1539" s="12">
        <v>485</v>
      </c>
      <c r="H1539" s="12">
        <v>0</v>
      </c>
      <c r="I1539" s="12">
        <v>485</v>
      </c>
      <c r="J1539" s="12">
        <f>SUMIF(order_item!B:B,A1539,order_item!E:E)</f>
        <v>485</v>
      </c>
      <c r="K1539" s="28" t="str">
        <f>_xlfn.XLOOKUP(B1539,customers!A:A,customers!D:D)</f>
        <v>Premium</v>
      </c>
    </row>
    <row r="1540" spans="1:11" x14ac:dyDescent="0.25">
      <c r="A1540" s="5" t="s">
        <v>1928</v>
      </c>
      <c r="B1540" s="5" t="s">
        <v>479</v>
      </c>
      <c r="C1540" s="5" t="s">
        <v>7306</v>
      </c>
      <c r="D1540" s="1">
        <v>45522</v>
      </c>
      <c r="E1540" s="17">
        <v>3.3333333333333333E-2</v>
      </c>
      <c r="F1540" s="5" t="s">
        <v>7305</v>
      </c>
      <c r="G1540" s="12">
        <v>773</v>
      </c>
      <c r="H1540" s="12">
        <v>77.3</v>
      </c>
      <c r="I1540" s="12">
        <v>695.7</v>
      </c>
      <c r="J1540" s="12">
        <f>SUMIF(order_item!B:B,A1540,order_item!E:E)</f>
        <v>773</v>
      </c>
      <c r="K1540" s="28" t="str">
        <f>_xlfn.XLOOKUP(B1540,customers!A:A,customers!D:D)</f>
        <v>Regular</v>
      </c>
    </row>
    <row r="1541" spans="1:11" x14ac:dyDescent="0.25">
      <c r="A1541" s="5" t="s">
        <v>1924</v>
      </c>
      <c r="B1541" s="5" t="s">
        <v>480</v>
      </c>
      <c r="C1541" s="5" t="s">
        <v>7306</v>
      </c>
      <c r="D1541" s="1">
        <v>45613</v>
      </c>
      <c r="E1541" s="17">
        <v>0.82500000000000007</v>
      </c>
      <c r="F1541" s="5" t="s">
        <v>7305</v>
      </c>
      <c r="G1541" s="12">
        <v>843</v>
      </c>
      <c r="H1541" s="12">
        <v>0</v>
      </c>
      <c r="I1541" s="12">
        <v>843</v>
      </c>
      <c r="J1541" s="12">
        <f>SUMIF(order_item!B:B,A1541,order_item!E:E)</f>
        <v>843</v>
      </c>
      <c r="K1541" s="28" t="str">
        <f>_xlfn.XLOOKUP(B1541,customers!A:A,customers!D:D)</f>
        <v>New</v>
      </c>
    </row>
    <row r="1542" spans="1:11" x14ac:dyDescent="0.25">
      <c r="A1542" s="5" t="s">
        <v>1919</v>
      </c>
      <c r="B1542" s="5" t="s">
        <v>677</v>
      </c>
      <c r="C1542" s="5" t="s">
        <v>7306</v>
      </c>
      <c r="D1542" s="1">
        <v>45587</v>
      </c>
      <c r="E1542" s="17">
        <v>0.7006944444444444</v>
      </c>
      <c r="F1542" s="5" t="s">
        <v>7305</v>
      </c>
      <c r="G1542" s="12">
        <v>950</v>
      </c>
      <c r="H1542" s="12">
        <v>47.5</v>
      </c>
      <c r="I1542" s="12">
        <v>902.5</v>
      </c>
      <c r="J1542" s="12">
        <f>SUMIF(order_item!B:B,A1542,order_item!E:E)</f>
        <v>950</v>
      </c>
      <c r="K1542" s="28" t="str">
        <f>_xlfn.XLOOKUP(B1542,customers!A:A,customers!D:D)</f>
        <v>Regular</v>
      </c>
    </row>
    <row r="1543" spans="1:11" x14ac:dyDescent="0.25">
      <c r="A1543" s="5" t="s">
        <v>1915</v>
      </c>
      <c r="B1543" s="5" t="s">
        <v>722</v>
      </c>
      <c r="C1543" s="5" t="s">
        <v>7308</v>
      </c>
      <c r="D1543" s="1">
        <v>45577</v>
      </c>
      <c r="E1543" s="17">
        <v>0.59861111111111109</v>
      </c>
      <c r="F1543" s="5" t="s">
        <v>7305</v>
      </c>
      <c r="G1543" s="12">
        <v>405</v>
      </c>
      <c r="H1543" s="12">
        <v>0</v>
      </c>
      <c r="I1543" s="12">
        <v>405</v>
      </c>
      <c r="J1543" s="12">
        <f>SUMIF(order_item!B:B,A1543,order_item!E:E)</f>
        <v>405</v>
      </c>
      <c r="K1543" s="28" t="str">
        <f>_xlfn.XLOOKUP(B1543,customers!A:A,customers!D:D)</f>
        <v>Premium</v>
      </c>
    </row>
    <row r="1544" spans="1:11" x14ac:dyDescent="0.25">
      <c r="A1544" s="5" t="s">
        <v>1913</v>
      </c>
      <c r="B1544" s="5" t="s">
        <v>242</v>
      </c>
      <c r="C1544" s="5" t="s">
        <v>7306</v>
      </c>
      <c r="D1544" s="1">
        <v>45606</v>
      </c>
      <c r="E1544" s="17">
        <v>0.78611111111111109</v>
      </c>
      <c r="F1544" s="5" t="s">
        <v>7305</v>
      </c>
      <c r="G1544" s="12">
        <v>69</v>
      </c>
      <c r="H1544" s="12">
        <v>6.9</v>
      </c>
      <c r="I1544" s="12">
        <v>62.1</v>
      </c>
      <c r="J1544" s="12">
        <f>SUMIF(order_item!B:B,A1544,order_item!E:E)</f>
        <v>69</v>
      </c>
      <c r="K1544" s="28" t="str">
        <f>_xlfn.XLOOKUP(B1544,customers!A:A,customers!D:D)</f>
        <v>Regular</v>
      </c>
    </row>
    <row r="1545" spans="1:11" x14ac:dyDescent="0.25">
      <c r="A1545" s="5" t="s">
        <v>1910</v>
      </c>
      <c r="B1545" s="5" t="s">
        <v>602</v>
      </c>
      <c r="C1545" s="5" t="s">
        <v>7306</v>
      </c>
      <c r="D1545" s="1">
        <v>45603</v>
      </c>
      <c r="E1545" s="17">
        <v>0.63888888888888895</v>
      </c>
      <c r="F1545" s="5" t="s">
        <v>7305</v>
      </c>
      <c r="G1545" s="12">
        <v>864</v>
      </c>
      <c r="H1545" s="12">
        <v>0</v>
      </c>
      <c r="I1545" s="12">
        <v>864</v>
      </c>
      <c r="J1545" s="12">
        <f>SUMIF(order_item!B:B,A1545,order_item!E:E)</f>
        <v>864</v>
      </c>
      <c r="K1545" s="28" t="str">
        <f>_xlfn.XLOOKUP(B1545,customers!A:A,customers!D:D)</f>
        <v>Regular</v>
      </c>
    </row>
    <row r="1546" spans="1:11" x14ac:dyDescent="0.25">
      <c r="A1546" s="5" t="s">
        <v>1906</v>
      </c>
      <c r="B1546" s="5" t="s">
        <v>649</v>
      </c>
      <c r="C1546" s="5" t="s">
        <v>7306</v>
      </c>
      <c r="D1546" s="1">
        <v>45641</v>
      </c>
      <c r="E1546" s="17">
        <v>0.74097222222222225</v>
      </c>
      <c r="F1546" s="5" t="s">
        <v>7307</v>
      </c>
      <c r="G1546" s="12">
        <v>456</v>
      </c>
      <c r="H1546" s="12">
        <v>45.6</v>
      </c>
      <c r="I1546" s="12">
        <v>0</v>
      </c>
      <c r="J1546" s="12">
        <f>SUMIF(order_item!B:B,A1546,order_item!E:E)</f>
        <v>456</v>
      </c>
      <c r="K1546" s="28" t="str">
        <f>_xlfn.XLOOKUP(B1546,customers!A:A,customers!D:D)</f>
        <v>Regular</v>
      </c>
    </row>
    <row r="1547" spans="1:11" x14ac:dyDescent="0.25">
      <c r="A1547" s="5" t="s">
        <v>1901</v>
      </c>
      <c r="B1547" s="5" t="s">
        <v>145</v>
      </c>
      <c r="C1547" s="5" t="s">
        <v>7309</v>
      </c>
      <c r="D1547" s="1">
        <v>45710</v>
      </c>
      <c r="E1547" s="17">
        <v>0.72083333333333333</v>
      </c>
      <c r="F1547" s="5" t="s">
        <v>7305</v>
      </c>
      <c r="G1547" s="12">
        <v>833</v>
      </c>
      <c r="H1547" s="12">
        <v>0</v>
      </c>
      <c r="I1547" s="12">
        <v>833</v>
      </c>
      <c r="J1547" s="12">
        <f>SUMIF(order_item!B:B,A1547,order_item!E:E)</f>
        <v>833</v>
      </c>
      <c r="K1547" s="28" t="str">
        <f>_xlfn.XLOOKUP(B1547,customers!A:A,customers!D:D)</f>
        <v>Premium</v>
      </c>
    </row>
    <row r="1548" spans="1:11" x14ac:dyDescent="0.25">
      <c r="A1548" s="5" t="s">
        <v>1898</v>
      </c>
      <c r="B1548" s="5" t="s">
        <v>810</v>
      </c>
      <c r="C1548" s="5" t="s">
        <v>7309</v>
      </c>
      <c r="D1548" s="1">
        <v>45465</v>
      </c>
      <c r="E1548" s="17">
        <v>0.83888888888888891</v>
      </c>
      <c r="F1548" s="5" t="s">
        <v>7305</v>
      </c>
      <c r="G1548" s="12">
        <v>794</v>
      </c>
      <c r="H1548" s="12">
        <v>0</v>
      </c>
      <c r="I1548" s="12">
        <v>794</v>
      </c>
      <c r="J1548" s="12">
        <f>SUMIF(order_item!B:B,A1548,order_item!E:E)</f>
        <v>794</v>
      </c>
      <c r="K1548" s="28" t="str">
        <f>_xlfn.XLOOKUP(B1548,customers!A:A,customers!D:D)</f>
        <v>New</v>
      </c>
    </row>
    <row r="1549" spans="1:11" x14ac:dyDescent="0.25">
      <c r="A1549" s="5" t="s">
        <v>1895</v>
      </c>
      <c r="B1549" s="5" t="s">
        <v>592</v>
      </c>
      <c r="C1549" s="5" t="s">
        <v>7306</v>
      </c>
      <c r="D1549" s="1">
        <v>45494</v>
      </c>
      <c r="E1549" s="17">
        <v>0.81319444444444444</v>
      </c>
      <c r="F1549" s="5" t="s">
        <v>7305</v>
      </c>
      <c r="G1549" s="12">
        <v>286</v>
      </c>
      <c r="H1549" s="12">
        <v>28.6</v>
      </c>
      <c r="I1549" s="12">
        <v>257.39999999999998</v>
      </c>
      <c r="J1549" s="12">
        <f>SUMIF(order_item!B:B,A1549,order_item!E:E)</f>
        <v>286</v>
      </c>
      <c r="K1549" s="28" t="str">
        <f>_xlfn.XLOOKUP(B1549,customers!A:A,customers!D:D)</f>
        <v>New</v>
      </c>
    </row>
    <row r="1550" spans="1:11" x14ac:dyDescent="0.25">
      <c r="A1550" s="5" t="s">
        <v>1891</v>
      </c>
      <c r="B1550" s="5" t="s">
        <v>250</v>
      </c>
      <c r="C1550" s="5" t="s">
        <v>7306</v>
      </c>
      <c r="D1550" s="1">
        <v>45464</v>
      </c>
      <c r="E1550" s="17">
        <v>0.74722222222222223</v>
      </c>
      <c r="F1550" s="5" t="s">
        <v>7305</v>
      </c>
      <c r="G1550" s="12">
        <v>1043</v>
      </c>
      <c r="H1550" s="12">
        <v>0</v>
      </c>
      <c r="I1550" s="12">
        <v>1043</v>
      </c>
      <c r="J1550" s="12">
        <f>SUMIF(order_item!B:B,A1550,order_item!E:E)</f>
        <v>1043</v>
      </c>
      <c r="K1550" s="28" t="str">
        <f>_xlfn.XLOOKUP(B1550,customers!A:A,customers!D:D)</f>
        <v>Regular</v>
      </c>
    </row>
    <row r="1551" spans="1:11" x14ac:dyDescent="0.25">
      <c r="A1551" s="5" t="s">
        <v>1886</v>
      </c>
      <c r="B1551" s="5" t="s">
        <v>547</v>
      </c>
      <c r="C1551" s="5" t="s">
        <v>7306</v>
      </c>
      <c r="D1551" s="1">
        <v>45465</v>
      </c>
      <c r="E1551" s="17">
        <v>0.66249999999999998</v>
      </c>
      <c r="F1551" s="5" t="s">
        <v>7305</v>
      </c>
      <c r="G1551" s="12">
        <v>903</v>
      </c>
      <c r="H1551" s="12">
        <v>45.15</v>
      </c>
      <c r="I1551" s="12">
        <v>857.85</v>
      </c>
      <c r="J1551" s="12">
        <f>SUMIF(order_item!B:B,A1551,order_item!E:E)</f>
        <v>903</v>
      </c>
      <c r="K1551" s="28" t="str">
        <f>_xlfn.XLOOKUP(B1551,customers!A:A,customers!D:D)</f>
        <v>New</v>
      </c>
    </row>
    <row r="1552" spans="1:11" x14ac:dyDescent="0.25">
      <c r="A1552" s="5" t="s">
        <v>1883</v>
      </c>
      <c r="B1552" s="5" t="s">
        <v>114</v>
      </c>
      <c r="C1552" s="5" t="s">
        <v>7309</v>
      </c>
      <c r="D1552" s="1">
        <v>45690</v>
      </c>
      <c r="E1552" s="17">
        <v>0.77638888888888891</v>
      </c>
      <c r="F1552" s="5" t="s">
        <v>7307</v>
      </c>
      <c r="G1552" s="12">
        <v>257</v>
      </c>
      <c r="H1552" s="12">
        <v>0</v>
      </c>
      <c r="I1552" s="12">
        <v>0</v>
      </c>
      <c r="J1552" s="12">
        <f>SUMIF(order_item!B:B,A1552,order_item!E:E)</f>
        <v>257</v>
      </c>
      <c r="K1552" s="28" t="str">
        <f>_xlfn.XLOOKUP(B1552,customers!A:A,customers!D:D)</f>
        <v>New</v>
      </c>
    </row>
    <row r="1553" spans="1:11" x14ac:dyDescent="0.25">
      <c r="A1553" s="5" t="s">
        <v>1878</v>
      </c>
      <c r="B1553" s="5" t="s">
        <v>611</v>
      </c>
      <c r="C1553" s="5" t="s">
        <v>7306</v>
      </c>
      <c r="D1553" s="1">
        <v>45427</v>
      </c>
      <c r="E1553" s="17">
        <v>0.77708333333333324</v>
      </c>
      <c r="F1553" s="5" t="s">
        <v>7305</v>
      </c>
      <c r="G1553" s="12">
        <v>823</v>
      </c>
      <c r="H1553" s="12">
        <v>0</v>
      </c>
      <c r="I1553" s="12">
        <v>823</v>
      </c>
      <c r="J1553" s="12">
        <f>SUMIF(order_item!B:B,A1553,order_item!E:E)</f>
        <v>823</v>
      </c>
      <c r="K1553" s="28" t="str">
        <f>_xlfn.XLOOKUP(B1553,customers!A:A,customers!D:D)</f>
        <v>Regular</v>
      </c>
    </row>
    <row r="1554" spans="1:11" x14ac:dyDescent="0.25">
      <c r="A1554" s="5" t="s">
        <v>1874</v>
      </c>
      <c r="B1554" s="5" t="s">
        <v>477</v>
      </c>
      <c r="C1554" s="5" t="s">
        <v>7308</v>
      </c>
      <c r="D1554" s="1">
        <v>45709</v>
      </c>
      <c r="E1554" s="17">
        <v>4.3750000000000004E-2</v>
      </c>
      <c r="F1554" s="5" t="s">
        <v>7305</v>
      </c>
      <c r="G1554" s="12">
        <v>606</v>
      </c>
      <c r="H1554" s="12">
        <v>30.3</v>
      </c>
      <c r="I1554" s="12">
        <v>575.70000000000005</v>
      </c>
      <c r="J1554" s="12">
        <f>SUMIF(order_item!B:B,A1554,order_item!E:E)</f>
        <v>606</v>
      </c>
      <c r="K1554" s="28" t="str">
        <f>_xlfn.XLOOKUP(B1554,customers!A:A,customers!D:D)</f>
        <v>Regular</v>
      </c>
    </row>
    <row r="1555" spans="1:11" x14ac:dyDescent="0.25">
      <c r="A1555" s="5" t="s">
        <v>1870</v>
      </c>
      <c r="B1555" s="5" t="s">
        <v>820</v>
      </c>
      <c r="C1555" s="5" t="s">
        <v>7306</v>
      </c>
      <c r="D1555" s="1">
        <v>45408</v>
      </c>
      <c r="E1555" s="17">
        <v>0.84791666666666676</v>
      </c>
      <c r="F1555" s="5" t="s">
        <v>7305</v>
      </c>
      <c r="G1555" s="12">
        <v>715</v>
      </c>
      <c r="H1555" s="12">
        <v>35.75</v>
      </c>
      <c r="I1555" s="12">
        <v>679.25</v>
      </c>
      <c r="J1555" s="12">
        <f>SUMIF(order_item!B:B,A1555,order_item!E:E)</f>
        <v>715</v>
      </c>
      <c r="K1555" s="28" t="str">
        <f>_xlfn.XLOOKUP(B1555,customers!A:A,customers!D:D)</f>
        <v>New</v>
      </c>
    </row>
    <row r="1556" spans="1:11" x14ac:dyDescent="0.25">
      <c r="A1556" s="5" t="s">
        <v>1868</v>
      </c>
      <c r="B1556" s="5" t="s">
        <v>99</v>
      </c>
      <c r="C1556" s="5" t="s">
        <v>7309</v>
      </c>
      <c r="D1556" s="1">
        <v>45617</v>
      </c>
      <c r="E1556" s="17">
        <v>0.81458333333333333</v>
      </c>
      <c r="F1556" s="5" t="s">
        <v>7305</v>
      </c>
      <c r="G1556" s="12">
        <v>278</v>
      </c>
      <c r="H1556" s="12">
        <v>0</v>
      </c>
      <c r="I1556" s="12">
        <v>278</v>
      </c>
      <c r="J1556" s="12">
        <f>SUMIF(order_item!B:B,A1556,order_item!E:E)</f>
        <v>278</v>
      </c>
      <c r="K1556" s="28" t="str">
        <f>_xlfn.XLOOKUP(B1556,customers!A:A,customers!D:D)</f>
        <v>New</v>
      </c>
    </row>
    <row r="1557" spans="1:11" x14ac:dyDescent="0.25">
      <c r="A1557" s="5" t="s">
        <v>1864</v>
      </c>
      <c r="B1557" s="5" t="s">
        <v>153</v>
      </c>
      <c r="C1557" s="5" t="s">
        <v>7309</v>
      </c>
      <c r="D1557" s="1">
        <v>45418</v>
      </c>
      <c r="E1557" s="17">
        <v>0.38125000000000003</v>
      </c>
      <c r="F1557" s="5" t="s">
        <v>7305</v>
      </c>
      <c r="G1557" s="12">
        <v>407</v>
      </c>
      <c r="H1557" s="12">
        <v>0</v>
      </c>
      <c r="I1557" s="12">
        <v>407</v>
      </c>
      <c r="J1557" s="12">
        <f>SUMIF(order_item!B:B,A1557,order_item!E:E)</f>
        <v>407</v>
      </c>
      <c r="K1557" s="28" t="str">
        <f>_xlfn.XLOOKUP(B1557,customers!A:A,customers!D:D)</f>
        <v>Regular</v>
      </c>
    </row>
    <row r="1558" spans="1:11" x14ac:dyDescent="0.25">
      <c r="A1558" s="5" t="s">
        <v>1861</v>
      </c>
      <c r="B1558" s="5" t="s">
        <v>814</v>
      </c>
      <c r="C1558" s="5" t="s">
        <v>7306</v>
      </c>
      <c r="D1558" s="1">
        <v>45556</v>
      </c>
      <c r="E1558" s="17">
        <v>0.62986111111111109</v>
      </c>
      <c r="F1558" s="5" t="s">
        <v>7305</v>
      </c>
      <c r="G1558" s="12">
        <v>308</v>
      </c>
      <c r="H1558" s="12">
        <v>0</v>
      </c>
      <c r="I1558" s="12">
        <v>308</v>
      </c>
      <c r="J1558" s="12">
        <f>SUMIF(order_item!B:B,A1558,order_item!E:E)</f>
        <v>308</v>
      </c>
      <c r="K1558" s="28" t="str">
        <f>_xlfn.XLOOKUP(B1558,customers!A:A,customers!D:D)</f>
        <v>Regular</v>
      </c>
    </row>
    <row r="1559" spans="1:11" x14ac:dyDescent="0.25">
      <c r="A1559" s="5" t="s">
        <v>1858</v>
      </c>
      <c r="B1559" s="5" t="s">
        <v>849</v>
      </c>
      <c r="C1559" s="5" t="s">
        <v>7309</v>
      </c>
      <c r="D1559" s="1">
        <v>45573</v>
      </c>
      <c r="E1559" s="17">
        <v>0.78819444444444453</v>
      </c>
      <c r="F1559" s="5" t="s">
        <v>7305</v>
      </c>
      <c r="G1559" s="12">
        <v>258</v>
      </c>
      <c r="H1559" s="12">
        <v>0</v>
      </c>
      <c r="I1559" s="12">
        <v>258</v>
      </c>
      <c r="J1559" s="12">
        <f>SUMIF(order_item!B:B,A1559,order_item!E:E)</f>
        <v>258</v>
      </c>
      <c r="K1559" s="28" t="str">
        <f>_xlfn.XLOOKUP(B1559,customers!A:A,customers!D:D)</f>
        <v>Premium</v>
      </c>
    </row>
    <row r="1560" spans="1:11" x14ac:dyDescent="0.25">
      <c r="A1560" s="5" t="s">
        <v>1855</v>
      </c>
      <c r="B1560" s="5" t="s">
        <v>705</v>
      </c>
      <c r="C1560" s="5" t="s">
        <v>7308</v>
      </c>
      <c r="D1560" s="1">
        <v>45640</v>
      </c>
      <c r="E1560" s="17">
        <v>0.72430555555555554</v>
      </c>
      <c r="F1560" s="5" t="s">
        <v>7305</v>
      </c>
      <c r="G1560" s="12">
        <v>505</v>
      </c>
      <c r="H1560" s="12">
        <v>50.5</v>
      </c>
      <c r="I1560" s="12">
        <v>454.5</v>
      </c>
      <c r="J1560" s="12">
        <f>SUMIF(order_item!B:B,A1560,order_item!E:E)</f>
        <v>505</v>
      </c>
      <c r="K1560" s="28" t="str">
        <f>_xlfn.XLOOKUP(B1560,customers!A:A,customers!D:D)</f>
        <v>New</v>
      </c>
    </row>
    <row r="1561" spans="1:11" x14ac:dyDescent="0.25">
      <c r="A1561" s="5" t="s">
        <v>1851</v>
      </c>
      <c r="B1561" s="5" t="s">
        <v>477</v>
      </c>
      <c r="C1561" s="5" t="s">
        <v>7306</v>
      </c>
      <c r="D1561" s="1">
        <v>45521</v>
      </c>
      <c r="E1561" s="17">
        <v>0.88958333333333339</v>
      </c>
      <c r="F1561" s="5" t="s">
        <v>7305</v>
      </c>
      <c r="G1561" s="12">
        <v>783</v>
      </c>
      <c r="H1561" s="12">
        <v>0</v>
      </c>
      <c r="I1561" s="12">
        <v>783</v>
      </c>
      <c r="J1561" s="12">
        <f>SUMIF(order_item!B:B,A1561,order_item!E:E)</f>
        <v>783</v>
      </c>
      <c r="K1561" s="28" t="str">
        <f>_xlfn.XLOOKUP(B1561,customers!A:A,customers!D:D)</f>
        <v>Regular</v>
      </c>
    </row>
    <row r="1562" spans="1:11" x14ac:dyDescent="0.25">
      <c r="A1562" s="5" t="s">
        <v>1848</v>
      </c>
      <c r="B1562" s="5" t="s">
        <v>286</v>
      </c>
      <c r="C1562" s="5" t="s">
        <v>7309</v>
      </c>
      <c r="D1562" s="1">
        <v>45444</v>
      </c>
      <c r="E1562" s="17">
        <v>0.47916666666666669</v>
      </c>
      <c r="F1562" s="5" t="s">
        <v>7305</v>
      </c>
      <c r="G1562" s="12">
        <v>357</v>
      </c>
      <c r="H1562" s="12">
        <v>53.55</v>
      </c>
      <c r="I1562" s="12">
        <v>303.45</v>
      </c>
      <c r="J1562" s="12">
        <f>SUMIF(order_item!B:B,A1562,order_item!E:E)</f>
        <v>357</v>
      </c>
      <c r="K1562" s="28" t="str">
        <f>_xlfn.XLOOKUP(B1562,customers!A:A,customers!D:D)</f>
        <v>Regular</v>
      </c>
    </row>
    <row r="1563" spans="1:11" x14ac:dyDescent="0.25">
      <c r="A1563" s="5" t="s">
        <v>1844</v>
      </c>
      <c r="B1563" s="5" t="s">
        <v>863</v>
      </c>
      <c r="C1563" s="5" t="s">
        <v>7306</v>
      </c>
      <c r="D1563" s="1">
        <v>45535</v>
      </c>
      <c r="E1563" s="17">
        <v>0.67708333333333337</v>
      </c>
      <c r="F1563" s="5" t="s">
        <v>7305</v>
      </c>
      <c r="G1563" s="12">
        <v>395</v>
      </c>
      <c r="H1563" s="12">
        <v>0</v>
      </c>
      <c r="I1563" s="12">
        <v>395</v>
      </c>
      <c r="J1563" s="12">
        <f>SUMIF(order_item!B:B,A1563,order_item!E:E)</f>
        <v>395</v>
      </c>
      <c r="K1563" s="28" t="str">
        <f>_xlfn.XLOOKUP(B1563,customers!A:A,customers!D:D)</f>
        <v>Regular</v>
      </c>
    </row>
    <row r="1564" spans="1:11" x14ac:dyDescent="0.25">
      <c r="A1564" s="5" t="s">
        <v>1841</v>
      </c>
      <c r="B1564" s="5" t="s">
        <v>250</v>
      </c>
      <c r="C1564" s="5" t="s">
        <v>7309</v>
      </c>
      <c r="D1564" s="1">
        <v>45597</v>
      </c>
      <c r="E1564" s="17">
        <v>0.47916666666666669</v>
      </c>
      <c r="F1564" s="5" t="s">
        <v>7305</v>
      </c>
      <c r="G1564" s="12">
        <v>327</v>
      </c>
      <c r="H1564" s="12">
        <v>0</v>
      </c>
      <c r="I1564" s="12">
        <v>327</v>
      </c>
      <c r="J1564" s="12">
        <f>SUMIF(order_item!B:B,A1564,order_item!E:E)</f>
        <v>327</v>
      </c>
      <c r="K1564" s="28" t="str">
        <f>_xlfn.XLOOKUP(B1564,customers!A:A,customers!D:D)</f>
        <v>Regular</v>
      </c>
    </row>
    <row r="1565" spans="1:11" x14ac:dyDescent="0.25">
      <c r="A1565" s="5" t="s">
        <v>1838</v>
      </c>
      <c r="B1565" s="5" t="s">
        <v>422</v>
      </c>
      <c r="C1565" s="5" t="s">
        <v>7309</v>
      </c>
      <c r="D1565" s="1">
        <v>45581</v>
      </c>
      <c r="E1565" s="17">
        <v>0.7006944444444444</v>
      </c>
      <c r="F1565" s="5" t="s">
        <v>7305</v>
      </c>
      <c r="G1565" s="12">
        <v>396</v>
      </c>
      <c r="H1565" s="12">
        <v>0</v>
      </c>
      <c r="I1565" s="12">
        <v>396</v>
      </c>
      <c r="J1565" s="12">
        <f>SUMIF(order_item!B:B,A1565,order_item!E:E)</f>
        <v>396</v>
      </c>
      <c r="K1565" s="28" t="str">
        <f>_xlfn.XLOOKUP(B1565,customers!A:A,customers!D:D)</f>
        <v>Regular</v>
      </c>
    </row>
    <row r="1566" spans="1:11" x14ac:dyDescent="0.25">
      <c r="A1566" s="5" t="s">
        <v>1833</v>
      </c>
      <c r="B1566" s="5" t="s">
        <v>626</v>
      </c>
      <c r="C1566" s="5" t="s">
        <v>7306</v>
      </c>
      <c r="D1566" s="1">
        <v>45504</v>
      </c>
      <c r="E1566" s="17">
        <v>0.87708333333333333</v>
      </c>
      <c r="F1566" s="5" t="s">
        <v>7305</v>
      </c>
      <c r="G1566" s="12">
        <v>714</v>
      </c>
      <c r="H1566" s="12">
        <v>71.400000000000006</v>
      </c>
      <c r="I1566" s="12">
        <v>642.6</v>
      </c>
      <c r="J1566" s="12">
        <f>SUMIF(order_item!B:B,A1566,order_item!E:E)</f>
        <v>714</v>
      </c>
      <c r="K1566" s="28" t="str">
        <f>_xlfn.XLOOKUP(B1566,customers!A:A,customers!D:D)</f>
        <v>Regular</v>
      </c>
    </row>
    <row r="1567" spans="1:11" x14ac:dyDescent="0.25">
      <c r="A1567" s="5" t="s">
        <v>1829</v>
      </c>
      <c r="B1567" s="5" t="s">
        <v>271</v>
      </c>
      <c r="C1567" s="5" t="s">
        <v>7309</v>
      </c>
      <c r="D1567" s="1">
        <v>45641</v>
      </c>
      <c r="E1567" s="17">
        <v>0.80902777777777779</v>
      </c>
      <c r="F1567" s="5" t="s">
        <v>7305</v>
      </c>
      <c r="G1567" s="12">
        <v>565</v>
      </c>
      <c r="H1567" s="12">
        <v>56.5</v>
      </c>
      <c r="I1567" s="12">
        <v>508.5</v>
      </c>
      <c r="J1567" s="12">
        <f>SUMIF(order_item!B:B,A1567,order_item!E:E)</f>
        <v>565</v>
      </c>
      <c r="K1567" s="28" t="str">
        <f>_xlfn.XLOOKUP(B1567,customers!A:A,customers!D:D)</f>
        <v>Regular</v>
      </c>
    </row>
    <row r="1568" spans="1:11" x14ac:dyDescent="0.25">
      <c r="A1568" s="5" t="s">
        <v>1825</v>
      </c>
      <c r="B1568" s="5" t="s">
        <v>361</v>
      </c>
      <c r="C1568" s="5" t="s">
        <v>7309</v>
      </c>
      <c r="D1568" s="1">
        <v>45442</v>
      </c>
      <c r="E1568" s="17">
        <v>0.54722222222222217</v>
      </c>
      <c r="F1568" s="5" t="s">
        <v>7305</v>
      </c>
      <c r="G1568" s="12">
        <v>902</v>
      </c>
      <c r="H1568" s="12">
        <v>0</v>
      </c>
      <c r="I1568" s="12">
        <v>902</v>
      </c>
      <c r="J1568" s="12">
        <f>SUMIF(order_item!B:B,A1568,order_item!E:E)</f>
        <v>902</v>
      </c>
      <c r="K1568" s="28" t="str">
        <f>_xlfn.XLOOKUP(B1568,customers!A:A,customers!D:D)</f>
        <v>Premium</v>
      </c>
    </row>
    <row r="1569" spans="1:11" x14ac:dyDescent="0.25">
      <c r="A1569" s="5" t="s">
        <v>1823</v>
      </c>
      <c r="B1569" s="5" t="s">
        <v>345</v>
      </c>
      <c r="C1569" s="5" t="s">
        <v>7309</v>
      </c>
      <c r="D1569" s="1">
        <v>45616</v>
      </c>
      <c r="E1569" s="17">
        <v>0.68263888888888891</v>
      </c>
      <c r="F1569" s="5" t="s">
        <v>7305</v>
      </c>
      <c r="G1569" s="12">
        <v>158</v>
      </c>
      <c r="H1569" s="12">
        <v>7.9</v>
      </c>
      <c r="I1569" s="12">
        <v>150.1</v>
      </c>
      <c r="J1569" s="12">
        <f>SUMIF(order_item!B:B,A1569,order_item!E:E)</f>
        <v>158</v>
      </c>
      <c r="K1569" s="28" t="str">
        <f>_xlfn.XLOOKUP(B1569,customers!A:A,customers!D:D)</f>
        <v>Regular</v>
      </c>
    </row>
    <row r="1570" spans="1:11" x14ac:dyDescent="0.25">
      <c r="A1570" s="5" t="s">
        <v>1819</v>
      </c>
      <c r="B1570" s="5" t="s">
        <v>337</v>
      </c>
      <c r="C1570" s="5" t="s">
        <v>7309</v>
      </c>
      <c r="D1570" s="1">
        <v>45415</v>
      </c>
      <c r="E1570" s="17">
        <v>0.40763888888888888</v>
      </c>
      <c r="F1570" s="5" t="s">
        <v>7305</v>
      </c>
      <c r="G1570" s="12">
        <v>326</v>
      </c>
      <c r="H1570" s="12">
        <v>0</v>
      </c>
      <c r="I1570" s="12">
        <v>326</v>
      </c>
      <c r="J1570" s="12">
        <f>SUMIF(order_item!B:B,A1570,order_item!E:E)</f>
        <v>326</v>
      </c>
      <c r="K1570" s="28" t="str">
        <f>_xlfn.XLOOKUP(B1570,customers!A:A,customers!D:D)</f>
        <v>Regular</v>
      </c>
    </row>
    <row r="1571" spans="1:11" x14ac:dyDescent="0.25">
      <c r="A1571" s="5" t="s">
        <v>1816</v>
      </c>
      <c r="B1571" s="5" t="s">
        <v>543</v>
      </c>
      <c r="C1571" s="5" t="s">
        <v>7308</v>
      </c>
      <c r="D1571" s="1">
        <v>45630</v>
      </c>
      <c r="E1571" s="17">
        <v>0.60972222222222217</v>
      </c>
      <c r="F1571" s="5" t="s">
        <v>7305</v>
      </c>
      <c r="G1571" s="12">
        <v>755</v>
      </c>
      <c r="H1571" s="12">
        <v>37.75</v>
      </c>
      <c r="I1571" s="12">
        <v>717.25</v>
      </c>
      <c r="J1571" s="12">
        <f>SUMIF(order_item!B:B,A1571,order_item!E:E)</f>
        <v>755</v>
      </c>
      <c r="K1571" s="28" t="str">
        <f>_xlfn.XLOOKUP(B1571,customers!A:A,customers!D:D)</f>
        <v>Regular</v>
      </c>
    </row>
    <row r="1572" spans="1:11" x14ac:dyDescent="0.25">
      <c r="A1572" s="5" t="s">
        <v>1811</v>
      </c>
      <c r="B1572" s="5" t="s">
        <v>811</v>
      </c>
      <c r="C1572" s="5" t="s">
        <v>7306</v>
      </c>
      <c r="D1572" s="1">
        <v>45424</v>
      </c>
      <c r="E1572" s="17">
        <v>0.81666666666666676</v>
      </c>
      <c r="F1572" s="5" t="s">
        <v>7305</v>
      </c>
      <c r="G1572" s="12">
        <v>632</v>
      </c>
      <c r="H1572" s="12">
        <v>0</v>
      </c>
      <c r="I1572" s="12">
        <v>632</v>
      </c>
      <c r="J1572" s="12">
        <f>SUMIF(order_item!B:B,A1572,order_item!E:E)</f>
        <v>632</v>
      </c>
      <c r="K1572" s="28" t="str">
        <f>_xlfn.XLOOKUP(B1572,customers!A:A,customers!D:D)</f>
        <v>New</v>
      </c>
    </row>
    <row r="1573" spans="1:11" x14ac:dyDescent="0.25">
      <c r="A1573" s="5" t="s">
        <v>1807</v>
      </c>
      <c r="B1573" s="5" t="s">
        <v>376</v>
      </c>
      <c r="C1573" s="5" t="s">
        <v>7309</v>
      </c>
      <c r="D1573" s="1">
        <v>45725</v>
      </c>
      <c r="E1573" s="17">
        <v>0.49444444444444446</v>
      </c>
      <c r="F1573" s="5" t="s">
        <v>7305</v>
      </c>
      <c r="G1573" s="12">
        <v>464</v>
      </c>
      <c r="H1573" s="12">
        <v>0</v>
      </c>
      <c r="I1573" s="12">
        <v>464</v>
      </c>
      <c r="J1573" s="12">
        <f>SUMIF(order_item!B:B,A1573,order_item!E:E)</f>
        <v>464</v>
      </c>
      <c r="K1573" s="28" t="str">
        <f>_xlfn.XLOOKUP(B1573,customers!A:A,customers!D:D)</f>
        <v>Regular</v>
      </c>
    </row>
    <row r="1574" spans="1:11" x14ac:dyDescent="0.25">
      <c r="A1574" s="5" t="s">
        <v>1804</v>
      </c>
      <c r="B1574" s="5" t="s">
        <v>846</v>
      </c>
      <c r="C1574" s="5" t="s">
        <v>7306</v>
      </c>
      <c r="D1574" s="1">
        <v>45630</v>
      </c>
      <c r="E1574" s="17">
        <v>0.70208333333333339</v>
      </c>
      <c r="F1574" s="5" t="s">
        <v>7305</v>
      </c>
      <c r="G1574" s="12">
        <v>268</v>
      </c>
      <c r="H1574" s="12">
        <v>13.4</v>
      </c>
      <c r="I1574" s="12">
        <v>254.6</v>
      </c>
      <c r="J1574" s="12">
        <f>SUMIF(order_item!B:B,A1574,order_item!E:E)</f>
        <v>268</v>
      </c>
      <c r="K1574" s="28" t="str">
        <f>_xlfn.XLOOKUP(B1574,customers!A:A,customers!D:D)</f>
        <v>Regular</v>
      </c>
    </row>
    <row r="1575" spans="1:11" x14ac:dyDescent="0.25">
      <c r="A1575" s="5" t="s">
        <v>1799</v>
      </c>
      <c r="B1575" s="5" t="s">
        <v>771</v>
      </c>
      <c r="C1575" s="5" t="s">
        <v>7309</v>
      </c>
      <c r="D1575" s="1">
        <v>45598</v>
      </c>
      <c r="E1575" s="17">
        <v>0.74444444444444446</v>
      </c>
      <c r="F1575" s="5" t="s">
        <v>7305</v>
      </c>
      <c r="G1575" s="12">
        <v>1021</v>
      </c>
      <c r="H1575" s="12">
        <v>51.05</v>
      </c>
      <c r="I1575" s="12">
        <v>969.95</v>
      </c>
      <c r="J1575" s="12">
        <f>SUMIF(order_item!B:B,A1575,order_item!E:E)</f>
        <v>1021</v>
      </c>
      <c r="K1575" s="28" t="str">
        <f>_xlfn.XLOOKUP(B1575,customers!A:A,customers!D:D)</f>
        <v>Regular</v>
      </c>
    </row>
    <row r="1576" spans="1:11" x14ac:dyDescent="0.25">
      <c r="A1576" s="5" t="s">
        <v>1796</v>
      </c>
      <c r="B1576" s="5" t="s">
        <v>858</v>
      </c>
      <c r="C1576" s="5" t="s">
        <v>7309</v>
      </c>
      <c r="D1576" s="1">
        <v>45539</v>
      </c>
      <c r="E1576" s="17">
        <v>0.53541666666666665</v>
      </c>
      <c r="F1576" s="5" t="s">
        <v>7305</v>
      </c>
      <c r="G1576" s="12">
        <v>397</v>
      </c>
      <c r="H1576" s="12">
        <v>0</v>
      </c>
      <c r="I1576" s="12">
        <v>397</v>
      </c>
      <c r="J1576" s="12">
        <f>SUMIF(order_item!B:B,A1576,order_item!E:E)</f>
        <v>397</v>
      </c>
      <c r="K1576" s="28" t="str">
        <f>_xlfn.XLOOKUP(B1576,customers!A:A,customers!D:D)</f>
        <v>New</v>
      </c>
    </row>
    <row r="1577" spans="1:11" x14ac:dyDescent="0.25">
      <c r="A1577" s="5" t="s">
        <v>1792</v>
      </c>
      <c r="B1577" s="5" t="s">
        <v>220</v>
      </c>
      <c r="C1577" s="5" t="s">
        <v>7306</v>
      </c>
      <c r="D1577" s="1">
        <v>45646</v>
      </c>
      <c r="E1577" s="17">
        <v>0.57916666666666672</v>
      </c>
      <c r="F1577" s="5" t="s">
        <v>7305</v>
      </c>
      <c r="G1577" s="12">
        <v>764</v>
      </c>
      <c r="H1577" s="12">
        <v>0</v>
      </c>
      <c r="I1577" s="12">
        <v>764</v>
      </c>
      <c r="J1577" s="12">
        <f>SUMIF(order_item!B:B,A1577,order_item!E:E)</f>
        <v>764</v>
      </c>
      <c r="K1577" s="28" t="str">
        <f>_xlfn.XLOOKUP(B1577,customers!A:A,customers!D:D)</f>
        <v>Regular</v>
      </c>
    </row>
    <row r="1578" spans="1:11" x14ac:dyDescent="0.25">
      <c r="A1578" s="5" t="s">
        <v>1788</v>
      </c>
      <c r="B1578" s="5" t="s">
        <v>713</v>
      </c>
      <c r="C1578" s="5" t="s">
        <v>7309</v>
      </c>
      <c r="D1578" s="1">
        <v>45453</v>
      </c>
      <c r="E1578" s="17">
        <v>3.2638888888888891E-2</v>
      </c>
      <c r="F1578" s="5" t="s">
        <v>7305</v>
      </c>
      <c r="G1578" s="12">
        <v>555</v>
      </c>
      <c r="H1578" s="12">
        <v>0</v>
      </c>
      <c r="I1578" s="12">
        <v>555</v>
      </c>
      <c r="J1578" s="12">
        <f>SUMIF(order_item!B:B,A1578,order_item!E:E)</f>
        <v>555</v>
      </c>
      <c r="K1578" s="28" t="str">
        <f>_xlfn.XLOOKUP(B1578,customers!A:A,customers!D:D)</f>
        <v>New</v>
      </c>
    </row>
    <row r="1579" spans="1:11" x14ac:dyDescent="0.25">
      <c r="A1579" s="5" t="s">
        <v>1783</v>
      </c>
      <c r="B1579" s="5" t="s">
        <v>393</v>
      </c>
      <c r="C1579" s="5" t="s">
        <v>7309</v>
      </c>
      <c r="D1579" s="1">
        <v>45675</v>
      </c>
      <c r="E1579" s="17">
        <v>0.73819444444444438</v>
      </c>
      <c r="F1579" s="5" t="s">
        <v>7305</v>
      </c>
      <c r="G1579" s="12">
        <v>1846</v>
      </c>
      <c r="H1579" s="12">
        <v>0</v>
      </c>
      <c r="I1579" s="12">
        <v>1846</v>
      </c>
      <c r="J1579" s="12">
        <f>SUMIF(order_item!B:B,A1579,order_item!E:E)</f>
        <v>1846</v>
      </c>
      <c r="K1579" s="28" t="str">
        <f>_xlfn.XLOOKUP(B1579,customers!A:A,customers!D:D)</f>
        <v>Regular</v>
      </c>
    </row>
    <row r="1580" spans="1:11" x14ac:dyDescent="0.25">
      <c r="A1580" s="5" t="s">
        <v>1781</v>
      </c>
      <c r="B1580" s="5" t="s">
        <v>626</v>
      </c>
      <c r="C1580" s="5" t="s">
        <v>7306</v>
      </c>
      <c r="D1580" s="1">
        <v>45472</v>
      </c>
      <c r="E1580" s="17">
        <v>0.41805555555555557</v>
      </c>
      <c r="F1580" s="5" t="s">
        <v>7305</v>
      </c>
      <c r="G1580" s="12">
        <v>318</v>
      </c>
      <c r="H1580" s="12">
        <v>0</v>
      </c>
      <c r="I1580" s="12">
        <v>318</v>
      </c>
      <c r="J1580" s="12">
        <f>SUMIF(order_item!B:B,A1580,order_item!E:E)</f>
        <v>318</v>
      </c>
      <c r="K1580" s="28" t="str">
        <f>_xlfn.XLOOKUP(B1580,customers!A:A,customers!D:D)</f>
        <v>Regular</v>
      </c>
    </row>
    <row r="1581" spans="1:11" x14ac:dyDescent="0.25">
      <c r="A1581" s="5" t="s">
        <v>1778</v>
      </c>
      <c r="B1581" s="5" t="s">
        <v>460</v>
      </c>
      <c r="C1581" s="5" t="s">
        <v>7306</v>
      </c>
      <c r="D1581" s="1">
        <v>45564</v>
      </c>
      <c r="E1581" s="17">
        <v>0.71250000000000002</v>
      </c>
      <c r="F1581" s="5" t="s">
        <v>7305</v>
      </c>
      <c r="G1581" s="12">
        <v>602</v>
      </c>
      <c r="H1581" s="12">
        <v>0</v>
      </c>
      <c r="I1581" s="12">
        <v>602</v>
      </c>
      <c r="J1581" s="12">
        <f>SUMIF(order_item!B:B,A1581,order_item!E:E)</f>
        <v>602</v>
      </c>
      <c r="K1581" s="28" t="str">
        <f>_xlfn.XLOOKUP(B1581,customers!A:A,customers!D:D)</f>
        <v>Regular</v>
      </c>
    </row>
    <row r="1582" spans="1:11" x14ac:dyDescent="0.25">
      <c r="A1582" s="5" t="s">
        <v>1775</v>
      </c>
      <c r="B1582" s="5" t="s">
        <v>521</v>
      </c>
      <c r="C1582" s="5" t="s">
        <v>7309</v>
      </c>
      <c r="D1582" s="1">
        <v>45394</v>
      </c>
      <c r="E1582" s="17">
        <v>0.66041666666666665</v>
      </c>
      <c r="F1582" s="5" t="s">
        <v>7305</v>
      </c>
      <c r="G1582" s="12">
        <v>336</v>
      </c>
      <c r="H1582" s="12">
        <v>0</v>
      </c>
      <c r="I1582" s="12">
        <v>336</v>
      </c>
      <c r="J1582" s="12">
        <f>SUMIF(order_item!B:B,A1582,order_item!E:E)</f>
        <v>336</v>
      </c>
      <c r="K1582" s="28" t="str">
        <f>_xlfn.XLOOKUP(B1582,customers!A:A,customers!D:D)</f>
        <v>Premium</v>
      </c>
    </row>
    <row r="1583" spans="1:11" x14ac:dyDescent="0.25">
      <c r="A1583" s="5" t="s">
        <v>1773</v>
      </c>
      <c r="B1583" s="5" t="s">
        <v>129</v>
      </c>
      <c r="C1583" s="5" t="s">
        <v>7306</v>
      </c>
      <c r="D1583" s="1">
        <v>45550</v>
      </c>
      <c r="E1583" s="17">
        <v>0.85625000000000007</v>
      </c>
      <c r="F1583" s="5" t="s">
        <v>7305</v>
      </c>
      <c r="G1583" s="12">
        <v>447</v>
      </c>
      <c r="H1583" s="12">
        <v>0</v>
      </c>
      <c r="I1583" s="12">
        <v>447</v>
      </c>
      <c r="J1583" s="12">
        <f>SUMIF(order_item!B:B,A1583,order_item!E:E)</f>
        <v>447</v>
      </c>
      <c r="K1583" s="28" t="str">
        <f>_xlfn.XLOOKUP(B1583,customers!A:A,customers!D:D)</f>
        <v>New</v>
      </c>
    </row>
    <row r="1584" spans="1:11" x14ac:dyDescent="0.25">
      <c r="A1584" s="5" t="s">
        <v>1770</v>
      </c>
      <c r="B1584" s="5" t="s">
        <v>761</v>
      </c>
      <c r="C1584" s="5" t="s">
        <v>7309</v>
      </c>
      <c r="D1584" s="1">
        <v>45445</v>
      </c>
      <c r="E1584" s="17">
        <v>0.48402777777777778</v>
      </c>
      <c r="F1584" s="5" t="s">
        <v>7305</v>
      </c>
      <c r="G1584" s="12">
        <v>496</v>
      </c>
      <c r="H1584" s="12">
        <v>0</v>
      </c>
      <c r="I1584" s="12">
        <v>496</v>
      </c>
      <c r="J1584" s="12">
        <f>SUMIF(order_item!B:B,A1584,order_item!E:E)</f>
        <v>496</v>
      </c>
      <c r="K1584" s="28" t="str">
        <f>_xlfn.XLOOKUP(B1584,customers!A:A,customers!D:D)</f>
        <v>Regular</v>
      </c>
    </row>
    <row r="1585" spans="1:11" x14ac:dyDescent="0.25">
      <c r="A1585" s="5" t="s">
        <v>1767</v>
      </c>
      <c r="B1585" s="5" t="s">
        <v>743</v>
      </c>
      <c r="C1585" s="5" t="s">
        <v>7306</v>
      </c>
      <c r="D1585" s="1">
        <v>45545</v>
      </c>
      <c r="E1585" s="17">
        <v>0.59027777777777779</v>
      </c>
      <c r="F1585" s="5" t="s">
        <v>7305</v>
      </c>
      <c r="G1585" s="12">
        <v>347</v>
      </c>
      <c r="H1585" s="12">
        <v>0</v>
      </c>
      <c r="I1585" s="12">
        <v>347</v>
      </c>
      <c r="J1585" s="12">
        <f>SUMIF(order_item!B:B,A1585,order_item!E:E)</f>
        <v>347</v>
      </c>
      <c r="K1585" s="28" t="str">
        <f>_xlfn.XLOOKUP(B1585,customers!A:A,customers!D:D)</f>
        <v>Premium</v>
      </c>
    </row>
    <row r="1586" spans="1:11" x14ac:dyDescent="0.25">
      <c r="A1586" s="5" t="s">
        <v>1764</v>
      </c>
      <c r="B1586" s="5" t="s">
        <v>647</v>
      </c>
      <c r="C1586" s="5" t="s">
        <v>7308</v>
      </c>
      <c r="D1586" s="1">
        <v>45616</v>
      </c>
      <c r="E1586" s="17">
        <v>0.7270833333333333</v>
      </c>
      <c r="F1586" s="5" t="s">
        <v>7305</v>
      </c>
      <c r="G1586" s="12">
        <v>554</v>
      </c>
      <c r="H1586" s="12">
        <v>0</v>
      </c>
      <c r="I1586" s="12">
        <v>554</v>
      </c>
      <c r="J1586" s="12">
        <f>SUMIF(order_item!B:B,A1586,order_item!E:E)</f>
        <v>554</v>
      </c>
      <c r="K1586" s="28" t="str">
        <f>_xlfn.XLOOKUP(B1586,customers!A:A,customers!D:D)</f>
        <v>New</v>
      </c>
    </row>
    <row r="1587" spans="1:11" x14ac:dyDescent="0.25">
      <c r="A1587" s="5" t="s">
        <v>1762</v>
      </c>
      <c r="B1587" s="5" t="s">
        <v>269</v>
      </c>
      <c r="C1587" s="5" t="s">
        <v>7309</v>
      </c>
      <c r="D1587" s="1">
        <v>45514</v>
      </c>
      <c r="E1587" s="17">
        <v>0.54652777777777783</v>
      </c>
      <c r="F1587" s="5" t="s">
        <v>7305</v>
      </c>
      <c r="G1587" s="12">
        <v>596</v>
      </c>
      <c r="H1587" s="12">
        <v>59.6</v>
      </c>
      <c r="I1587" s="12">
        <v>536.4</v>
      </c>
      <c r="J1587" s="12">
        <f>SUMIF(order_item!B:B,A1587,order_item!E:E)</f>
        <v>596</v>
      </c>
      <c r="K1587" s="28" t="str">
        <f>_xlfn.XLOOKUP(B1587,customers!A:A,customers!D:D)</f>
        <v>New</v>
      </c>
    </row>
    <row r="1588" spans="1:11" x14ac:dyDescent="0.25">
      <c r="A1588" s="5" t="s">
        <v>1758</v>
      </c>
      <c r="B1588" s="5" t="s">
        <v>483</v>
      </c>
      <c r="C1588" s="5" t="s">
        <v>7309</v>
      </c>
      <c r="D1588" s="1">
        <v>45697</v>
      </c>
      <c r="E1588" s="17">
        <v>0.69027777777777777</v>
      </c>
      <c r="F1588" s="5" t="s">
        <v>7305</v>
      </c>
      <c r="G1588" s="12">
        <v>456</v>
      </c>
      <c r="H1588" s="12">
        <v>0</v>
      </c>
      <c r="I1588" s="12">
        <v>456</v>
      </c>
      <c r="J1588" s="12">
        <f>SUMIF(order_item!B:B,A1588,order_item!E:E)</f>
        <v>456</v>
      </c>
      <c r="K1588" s="28" t="str">
        <f>_xlfn.XLOOKUP(B1588,customers!A:A,customers!D:D)</f>
        <v>Regular</v>
      </c>
    </row>
    <row r="1589" spans="1:11" x14ac:dyDescent="0.25">
      <c r="A1589" s="5" t="s">
        <v>1754</v>
      </c>
      <c r="B1589" s="5" t="s">
        <v>207</v>
      </c>
      <c r="C1589" s="5" t="s">
        <v>7308</v>
      </c>
      <c r="D1589" s="1">
        <v>45640</v>
      </c>
      <c r="E1589" s="17">
        <v>0.81597222222222221</v>
      </c>
      <c r="F1589" s="5" t="s">
        <v>7305</v>
      </c>
      <c r="G1589" s="12">
        <v>755</v>
      </c>
      <c r="H1589" s="12">
        <v>0</v>
      </c>
      <c r="I1589" s="12">
        <v>755</v>
      </c>
      <c r="J1589" s="12">
        <f>SUMIF(order_item!B:B,A1589,order_item!E:E)</f>
        <v>755</v>
      </c>
      <c r="K1589" s="28" t="str">
        <f>_xlfn.XLOOKUP(B1589,customers!A:A,customers!D:D)</f>
        <v>Regular</v>
      </c>
    </row>
    <row r="1590" spans="1:11" x14ac:dyDescent="0.25">
      <c r="A1590" s="5" t="s">
        <v>1750</v>
      </c>
      <c r="B1590" s="5" t="s">
        <v>401</v>
      </c>
      <c r="C1590" s="5" t="s">
        <v>7309</v>
      </c>
      <c r="D1590" s="1">
        <v>45388</v>
      </c>
      <c r="E1590" s="17">
        <v>0.82847222222222217</v>
      </c>
      <c r="F1590" s="5" t="s">
        <v>7305</v>
      </c>
      <c r="G1590" s="12">
        <v>943</v>
      </c>
      <c r="H1590" s="12">
        <v>0</v>
      </c>
      <c r="I1590" s="12">
        <v>943</v>
      </c>
      <c r="J1590" s="12">
        <f>SUMIF(order_item!B:B,A1590,order_item!E:E)</f>
        <v>943</v>
      </c>
      <c r="K1590" s="28" t="str">
        <f>_xlfn.XLOOKUP(B1590,customers!A:A,customers!D:D)</f>
        <v>Regular</v>
      </c>
    </row>
    <row r="1591" spans="1:11" x14ac:dyDescent="0.25">
      <c r="A1591" s="5" t="s">
        <v>1748</v>
      </c>
      <c r="B1591" s="5" t="s">
        <v>457</v>
      </c>
      <c r="C1591" s="5" t="s">
        <v>7309</v>
      </c>
      <c r="D1591" s="1">
        <v>45549</v>
      </c>
      <c r="E1591" s="17">
        <v>0.69444444444444453</v>
      </c>
      <c r="F1591" s="5" t="s">
        <v>7305</v>
      </c>
      <c r="G1591" s="12">
        <v>158</v>
      </c>
      <c r="H1591" s="12">
        <v>7.9</v>
      </c>
      <c r="I1591" s="12">
        <v>150.1</v>
      </c>
      <c r="J1591" s="12">
        <f>SUMIF(order_item!B:B,A1591,order_item!E:E)</f>
        <v>158</v>
      </c>
      <c r="K1591" s="28" t="str">
        <f>_xlfn.XLOOKUP(B1591,customers!A:A,customers!D:D)</f>
        <v>New</v>
      </c>
    </row>
    <row r="1592" spans="1:11" x14ac:dyDescent="0.25">
      <c r="A1592" s="5" t="s">
        <v>1745</v>
      </c>
      <c r="B1592" s="5" t="s">
        <v>330</v>
      </c>
      <c r="C1592" s="5" t="s">
        <v>7309</v>
      </c>
      <c r="D1592" s="1">
        <v>45675</v>
      </c>
      <c r="E1592" s="17">
        <v>0.65347222222222223</v>
      </c>
      <c r="F1592" s="5" t="s">
        <v>7305</v>
      </c>
      <c r="G1592" s="12">
        <v>316</v>
      </c>
      <c r="H1592" s="12">
        <v>31.6</v>
      </c>
      <c r="I1592" s="12">
        <v>284.39999999999998</v>
      </c>
      <c r="J1592" s="12">
        <f>SUMIF(order_item!B:B,A1592,order_item!E:E)</f>
        <v>316</v>
      </c>
      <c r="K1592" s="28" t="str">
        <f>_xlfn.XLOOKUP(B1592,customers!A:A,customers!D:D)</f>
        <v>Premium</v>
      </c>
    </row>
    <row r="1593" spans="1:11" x14ac:dyDescent="0.25">
      <c r="A1593" s="5" t="s">
        <v>1740</v>
      </c>
      <c r="B1593" s="5" t="s">
        <v>388</v>
      </c>
      <c r="C1593" s="5" t="s">
        <v>7306</v>
      </c>
      <c r="D1593" s="1">
        <v>45578</v>
      </c>
      <c r="E1593" s="17">
        <v>0.45208333333333334</v>
      </c>
      <c r="F1593" s="5" t="s">
        <v>7305</v>
      </c>
      <c r="G1593" s="12">
        <v>662</v>
      </c>
      <c r="H1593" s="12">
        <v>0</v>
      </c>
      <c r="I1593" s="12">
        <v>662</v>
      </c>
      <c r="J1593" s="12">
        <f>SUMIF(order_item!B:B,A1593,order_item!E:E)</f>
        <v>662</v>
      </c>
      <c r="K1593" s="28" t="str">
        <f>_xlfn.XLOOKUP(B1593,customers!A:A,customers!D:D)</f>
        <v>Regular</v>
      </c>
    </row>
    <row r="1594" spans="1:11" x14ac:dyDescent="0.25">
      <c r="A1594" s="5" t="s">
        <v>1737</v>
      </c>
      <c r="B1594" s="5" t="s">
        <v>692</v>
      </c>
      <c r="C1594" s="5" t="s">
        <v>7309</v>
      </c>
      <c r="D1594" s="1">
        <v>45532</v>
      </c>
      <c r="E1594" s="17">
        <v>0.7597222222222223</v>
      </c>
      <c r="F1594" s="5" t="s">
        <v>7305</v>
      </c>
      <c r="G1594" s="12">
        <v>405</v>
      </c>
      <c r="H1594" s="12">
        <v>0</v>
      </c>
      <c r="I1594" s="12">
        <v>405</v>
      </c>
      <c r="J1594" s="12">
        <f>SUMIF(order_item!B:B,A1594,order_item!E:E)</f>
        <v>405</v>
      </c>
      <c r="K1594" s="28" t="str">
        <f>_xlfn.XLOOKUP(B1594,customers!A:A,customers!D:D)</f>
        <v>New</v>
      </c>
    </row>
    <row r="1595" spans="1:11" x14ac:dyDescent="0.25">
      <c r="A1595" s="5" t="s">
        <v>1733</v>
      </c>
      <c r="B1595" s="5" t="s">
        <v>682</v>
      </c>
      <c r="C1595" s="5" t="s">
        <v>7306</v>
      </c>
      <c r="D1595" s="1">
        <v>45699</v>
      </c>
      <c r="E1595" s="17">
        <v>0.91319444444444453</v>
      </c>
      <c r="F1595" s="5" t="s">
        <v>7305</v>
      </c>
      <c r="G1595" s="12">
        <v>316</v>
      </c>
      <c r="H1595" s="12">
        <v>0</v>
      </c>
      <c r="I1595" s="12">
        <v>316</v>
      </c>
      <c r="J1595" s="12">
        <f>SUMIF(order_item!B:B,A1595,order_item!E:E)</f>
        <v>316</v>
      </c>
      <c r="K1595" s="28" t="str">
        <f>_xlfn.XLOOKUP(B1595,customers!A:A,customers!D:D)</f>
        <v>Premium</v>
      </c>
    </row>
    <row r="1596" spans="1:11" x14ac:dyDescent="0.25">
      <c r="A1596" s="5" t="s">
        <v>1731</v>
      </c>
      <c r="B1596" s="5" t="s">
        <v>660</v>
      </c>
      <c r="C1596" s="5" t="s">
        <v>7306</v>
      </c>
      <c r="D1596" s="1">
        <v>45578</v>
      </c>
      <c r="E1596" s="17">
        <v>0.82847222222222217</v>
      </c>
      <c r="F1596" s="5" t="s">
        <v>7305</v>
      </c>
      <c r="G1596" s="12">
        <v>298</v>
      </c>
      <c r="H1596" s="12">
        <v>0</v>
      </c>
      <c r="I1596" s="12">
        <v>298</v>
      </c>
      <c r="J1596" s="12">
        <f>SUMIF(order_item!B:B,A1596,order_item!E:E)</f>
        <v>298</v>
      </c>
      <c r="K1596" s="28" t="str">
        <f>_xlfn.XLOOKUP(B1596,customers!A:A,customers!D:D)</f>
        <v>Regular</v>
      </c>
    </row>
    <row r="1597" spans="1:11" x14ac:dyDescent="0.25">
      <c r="A1597" s="5" t="s">
        <v>1727</v>
      </c>
      <c r="B1597" s="5" t="s">
        <v>702</v>
      </c>
      <c r="C1597" s="5" t="s">
        <v>7309</v>
      </c>
      <c r="D1597" s="1">
        <v>45571</v>
      </c>
      <c r="E1597" s="17">
        <v>1.2499999999999999E-2</v>
      </c>
      <c r="F1597" s="5" t="s">
        <v>7307</v>
      </c>
      <c r="G1597" s="12">
        <v>1220</v>
      </c>
      <c r="H1597" s="12">
        <v>0</v>
      </c>
      <c r="I1597" s="12">
        <v>0</v>
      </c>
      <c r="J1597" s="12">
        <f>SUMIF(order_item!B:B,A1597,order_item!E:E)</f>
        <v>1220</v>
      </c>
      <c r="K1597" s="28" t="str">
        <f>_xlfn.XLOOKUP(B1597,customers!A:A,customers!D:D)</f>
        <v>Regular</v>
      </c>
    </row>
    <row r="1598" spans="1:11" x14ac:dyDescent="0.25">
      <c r="A1598" s="5" t="s">
        <v>1724</v>
      </c>
      <c r="B1598" s="5" t="s">
        <v>317</v>
      </c>
      <c r="C1598" s="5" t="s">
        <v>7306</v>
      </c>
      <c r="D1598" s="1">
        <v>45696</v>
      </c>
      <c r="E1598" s="17">
        <v>0.70000000000000007</v>
      </c>
      <c r="F1598" s="5" t="s">
        <v>7305</v>
      </c>
      <c r="G1598" s="12">
        <v>457</v>
      </c>
      <c r="H1598" s="12">
        <v>22.85</v>
      </c>
      <c r="I1598" s="12">
        <v>434.15</v>
      </c>
      <c r="J1598" s="12">
        <f>SUMIF(order_item!B:B,A1598,order_item!E:E)</f>
        <v>457</v>
      </c>
      <c r="K1598" s="28" t="str">
        <f>_xlfn.XLOOKUP(B1598,customers!A:A,customers!D:D)</f>
        <v>New</v>
      </c>
    </row>
    <row r="1599" spans="1:11" x14ac:dyDescent="0.25">
      <c r="A1599" s="5" t="s">
        <v>1722</v>
      </c>
      <c r="B1599" s="5" t="s">
        <v>673</v>
      </c>
      <c r="C1599" s="5" t="s">
        <v>7309</v>
      </c>
      <c r="D1599" s="1">
        <v>45648</v>
      </c>
      <c r="E1599" s="17">
        <v>0.79999999999999993</v>
      </c>
      <c r="F1599" s="5" t="s">
        <v>7305</v>
      </c>
      <c r="G1599" s="12">
        <v>119</v>
      </c>
      <c r="H1599" s="12">
        <v>0</v>
      </c>
      <c r="I1599" s="12">
        <v>119</v>
      </c>
      <c r="J1599" s="12">
        <f>SUMIF(order_item!B:B,A1599,order_item!E:E)</f>
        <v>119</v>
      </c>
      <c r="K1599" s="28" t="str">
        <f>_xlfn.XLOOKUP(B1599,customers!A:A,customers!D:D)</f>
        <v>Regular</v>
      </c>
    </row>
    <row r="1600" spans="1:11" x14ac:dyDescent="0.25">
      <c r="A1600" s="5" t="s">
        <v>1719</v>
      </c>
      <c r="B1600" s="5" t="s">
        <v>680</v>
      </c>
      <c r="C1600" s="5" t="s">
        <v>7306</v>
      </c>
      <c r="D1600" s="1">
        <v>45712</v>
      </c>
      <c r="E1600" s="17">
        <v>1.3888888888888888E-2</v>
      </c>
      <c r="F1600" s="5" t="s">
        <v>7305</v>
      </c>
      <c r="G1600" s="12">
        <v>277</v>
      </c>
      <c r="H1600" s="12">
        <v>0</v>
      </c>
      <c r="I1600" s="12">
        <v>277</v>
      </c>
      <c r="J1600" s="12">
        <f>SUMIF(order_item!B:B,A1600,order_item!E:E)</f>
        <v>277</v>
      </c>
      <c r="K1600" s="28" t="str">
        <f>_xlfn.XLOOKUP(B1600,customers!A:A,customers!D:D)</f>
        <v>New</v>
      </c>
    </row>
    <row r="1601" spans="1:11" x14ac:dyDescent="0.25">
      <c r="A1601" s="5" t="s">
        <v>1715</v>
      </c>
      <c r="B1601" s="5" t="s">
        <v>660</v>
      </c>
      <c r="C1601" s="5" t="s">
        <v>7308</v>
      </c>
      <c r="D1601" s="1">
        <v>45529</v>
      </c>
      <c r="E1601" s="17">
        <v>4.1666666666666664E-2</v>
      </c>
      <c r="F1601" s="5" t="s">
        <v>7305</v>
      </c>
      <c r="G1601" s="12">
        <v>791</v>
      </c>
      <c r="H1601" s="12">
        <v>0</v>
      </c>
      <c r="I1601" s="12">
        <v>791</v>
      </c>
      <c r="J1601" s="12">
        <f>SUMIF(order_item!B:B,A1601,order_item!E:E)</f>
        <v>791</v>
      </c>
      <c r="K1601" s="28" t="str">
        <f>_xlfn.XLOOKUP(B1601,customers!A:A,customers!D:D)</f>
        <v>Regular</v>
      </c>
    </row>
    <row r="1602" spans="1:11" x14ac:dyDescent="0.25">
      <c r="A1602" s="5" t="s">
        <v>1713</v>
      </c>
      <c r="B1602" s="5" t="s">
        <v>182</v>
      </c>
      <c r="C1602" s="5" t="s">
        <v>7306</v>
      </c>
      <c r="D1602" s="1">
        <v>45634</v>
      </c>
      <c r="E1602" s="17">
        <v>0.94374999999999998</v>
      </c>
      <c r="F1602" s="5" t="s">
        <v>7305</v>
      </c>
      <c r="G1602" s="12">
        <v>636</v>
      </c>
      <c r="H1602" s="12">
        <v>31.8</v>
      </c>
      <c r="I1602" s="12">
        <v>604.20000000000005</v>
      </c>
      <c r="J1602" s="12">
        <f>SUMIF(order_item!B:B,A1602,order_item!E:E)</f>
        <v>636</v>
      </c>
      <c r="K1602" s="28" t="str">
        <f>_xlfn.XLOOKUP(B1602,customers!A:A,customers!D:D)</f>
        <v>Premium</v>
      </c>
    </row>
    <row r="1603" spans="1:11" x14ac:dyDescent="0.25">
      <c r="A1603" s="5" t="s">
        <v>1708</v>
      </c>
      <c r="B1603" s="5" t="s">
        <v>757</v>
      </c>
      <c r="C1603" s="5" t="s">
        <v>7309</v>
      </c>
      <c r="D1603" s="1">
        <v>45626</v>
      </c>
      <c r="E1603" s="17">
        <v>0.78819444444444453</v>
      </c>
      <c r="F1603" s="5" t="s">
        <v>7305</v>
      </c>
      <c r="G1603" s="12">
        <v>912</v>
      </c>
      <c r="H1603" s="12">
        <v>0</v>
      </c>
      <c r="I1603" s="12">
        <v>912</v>
      </c>
      <c r="J1603" s="12">
        <f>SUMIF(order_item!B:B,A1603,order_item!E:E)</f>
        <v>912</v>
      </c>
      <c r="K1603" s="28" t="str">
        <f>_xlfn.XLOOKUP(B1603,customers!A:A,customers!D:D)</f>
        <v>New</v>
      </c>
    </row>
    <row r="1604" spans="1:11" x14ac:dyDescent="0.25">
      <c r="A1604" s="5" t="s">
        <v>1704</v>
      </c>
      <c r="B1604" s="5" t="s">
        <v>626</v>
      </c>
      <c r="C1604" s="5" t="s">
        <v>7309</v>
      </c>
      <c r="D1604" s="1">
        <v>45589</v>
      </c>
      <c r="E1604" s="17">
        <v>0.89027777777777783</v>
      </c>
      <c r="F1604" s="5" t="s">
        <v>7305</v>
      </c>
      <c r="G1604" s="12">
        <v>724</v>
      </c>
      <c r="H1604" s="12">
        <v>72.400000000000006</v>
      </c>
      <c r="I1604" s="12">
        <v>651.6</v>
      </c>
      <c r="J1604" s="12">
        <f>SUMIF(order_item!B:B,A1604,order_item!E:E)</f>
        <v>724</v>
      </c>
      <c r="K1604" s="28" t="str">
        <f>_xlfn.XLOOKUP(B1604,customers!A:A,customers!D:D)</f>
        <v>Regular</v>
      </c>
    </row>
    <row r="1605" spans="1:11" x14ac:dyDescent="0.25">
      <c r="A1605" s="5" t="s">
        <v>1700</v>
      </c>
      <c r="B1605" s="5" t="s">
        <v>619</v>
      </c>
      <c r="C1605" s="5" t="s">
        <v>7309</v>
      </c>
      <c r="D1605" s="1">
        <v>45628</v>
      </c>
      <c r="E1605" s="17">
        <v>0.62013888888888891</v>
      </c>
      <c r="F1605" s="5" t="s">
        <v>7305</v>
      </c>
      <c r="G1605" s="12">
        <v>465</v>
      </c>
      <c r="H1605" s="12">
        <v>0</v>
      </c>
      <c r="I1605" s="12">
        <v>465</v>
      </c>
      <c r="J1605" s="12">
        <f>SUMIF(order_item!B:B,A1605,order_item!E:E)</f>
        <v>465</v>
      </c>
      <c r="K1605" s="28" t="str">
        <f>_xlfn.XLOOKUP(B1605,customers!A:A,customers!D:D)</f>
        <v>Regular</v>
      </c>
    </row>
    <row r="1606" spans="1:11" x14ac:dyDescent="0.25">
      <c r="A1606" s="5" t="s">
        <v>1697</v>
      </c>
      <c r="B1606" s="5" t="s">
        <v>813</v>
      </c>
      <c r="C1606" s="5" t="s">
        <v>7306</v>
      </c>
      <c r="D1606" s="1">
        <v>45486</v>
      </c>
      <c r="E1606" s="17">
        <v>0.74583333333333324</v>
      </c>
      <c r="F1606" s="5" t="s">
        <v>7305</v>
      </c>
      <c r="G1606" s="12">
        <v>308</v>
      </c>
      <c r="H1606" s="12">
        <v>0</v>
      </c>
      <c r="I1606" s="12">
        <v>308</v>
      </c>
      <c r="J1606" s="12">
        <f>SUMIF(order_item!B:B,A1606,order_item!E:E)</f>
        <v>308</v>
      </c>
      <c r="K1606" s="28" t="str">
        <f>_xlfn.XLOOKUP(B1606,customers!A:A,customers!D:D)</f>
        <v>Premium</v>
      </c>
    </row>
    <row r="1607" spans="1:11" x14ac:dyDescent="0.25">
      <c r="A1607" s="5" t="s">
        <v>1695</v>
      </c>
      <c r="B1607" s="5" t="s">
        <v>259</v>
      </c>
      <c r="C1607" s="5" t="s">
        <v>7306</v>
      </c>
      <c r="D1607" s="1">
        <v>45394</v>
      </c>
      <c r="E1607" s="17">
        <v>0.68888888888888899</v>
      </c>
      <c r="F1607" s="5" t="s">
        <v>7305</v>
      </c>
      <c r="G1607" s="12">
        <v>159</v>
      </c>
      <c r="H1607" s="12">
        <v>0</v>
      </c>
      <c r="I1607" s="12">
        <v>159</v>
      </c>
      <c r="J1607" s="12">
        <f>SUMIF(order_item!B:B,A1607,order_item!E:E)</f>
        <v>159</v>
      </c>
      <c r="K1607" s="28" t="str">
        <f>_xlfn.XLOOKUP(B1607,customers!A:A,customers!D:D)</f>
        <v>Regular</v>
      </c>
    </row>
    <row r="1608" spans="1:11" x14ac:dyDescent="0.25">
      <c r="A1608" s="5" t="s">
        <v>1692</v>
      </c>
      <c r="B1608" s="5" t="s">
        <v>253</v>
      </c>
      <c r="C1608" s="5" t="s">
        <v>7306</v>
      </c>
      <c r="D1608" s="1">
        <v>45415</v>
      </c>
      <c r="E1608" s="17">
        <v>0.50069444444444444</v>
      </c>
      <c r="F1608" s="5" t="s">
        <v>7305</v>
      </c>
      <c r="G1608" s="12">
        <v>397</v>
      </c>
      <c r="H1608" s="12">
        <v>0</v>
      </c>
      <c r="I1608" s="12">
        <v>397</v>
      </c>
      <c r="J1608" s="12">
        <f>SUMIF(order_item!B:B,A1608,order_item!E:E)</f>
        <v>397</v>
      </c>
      <c r="K1608" s="28" t="str">
        <f>_xlfn.XLOOKUP(B1608,customers!A:A,customers!D:D)</f>
        <v>Premium</v>
      </c>
    </row>
    <row r="1609" spans="1:11" x14ac:dyDescent="0.25">
      <c r="A1609" s="5" t="s">
        <v>1689</v>
      </c>
      <c r="B1609" s="5" t="s">
        <v>360</v>
      </c>
      <c r="C1609" s="5" t="s">
        <v>7306</v>
      </c>
      <c r="D1609" s="1">
        <v>45679</v>
      </c>
      <c r="E1609" s="17">
        <v>0.74861111111111101</v>
      </c>
      <c r="F1609" s="5" t="s">
        <v>7305</v>
      </c>
      <c r="G1609" s="12">
        <v>475</v>
      </c>
      <c r="H1609" s="12">
        <v>0</v>
      </c>
      <c r="I1609" s="12">
        <v>475</v>
      </c>
      <c r="J1609" s="12">
        <f>SUMIF(order_item!B:B,A1609,order_item!E:E)</f>
        <v>475</v>
      </c>
      <c r="K1609" s="28" t="str">
        <f>_xlfn.XLOOKUP(B1609,customers!A:A,customers!D:D)</f>
        <v>New</v>
      </c>
    </row>
    <row r="1610" spans="1:11" x14ac:dyDescent="0.25">
      <c r="A1610" s="5" t="s">
        <v>1685</v>
      </c>
      <c r="B1610" s="5" t="s">
        <v>844</v>
      </c>
      <c r="C1610" s="5" t="s">
        <v>7309</v>
      </c>
      <c r="D1610" s="1">
        <v>45682</v>
      </c>
      <c r="E1610" s="17">
        <v>0.85625000000000007</v>
      </c>
      <c r="F1610" s="5" t="s">
        <v>7305</v>
      </c>
      <c r="G1610" s="12">
        <v>495</v>
      </c>
      <c r="H1610" s="12">
        <v>0</v>
      </c>
      <c r="I1610" s="12">
        <v>495</v>
      </c>
      <c r="J1610" s="12">
        <f>SUMIF(order_item!B:B,A1610,order_item!E:E)</f>
        <v>495</v>
      </c>
      <c r="K1610" s="28" t="str">
        <f>_xlfn.XLOOKUP(B1610,customers!A:A,customers!D:D)</f>
        <v>Regular</v>
      </c>
    </row>
    <row r="1611" spans="1:11" x14ac:dyDescent="0.25">
      <c r="A1611" s="5" t="s">
        <v>1682</v>
      </c>
      <c r="B1611" s="5" t="s">
        <v>799</v>
      </c>
      <c r="C1611" s="5" t="s">
        <v>7309</v>
      </c>
      <c r="D1611" s="1">
        <v>45438</v>
      </c>
      <c r="E1611" s="17">
        <v>0.88541666666666663</v>
      </c>
      <c r="F1611" s="5" t="s">
        <v>7305</v>
      </c>
      <c r="G1611" s="12">
        <v>257</v>
      </c>
      <c r="H1611" s="12">
        <v>25.7</v>
      </c>
      <c r="I1611" s="12">
        <v>231.3</v>
      </c>
      <c r="J1611" s="12">
        <f>SUMIF(order_item!B:B,A1611,order_item!E:E)</f>
        <v>257</v>
      </c>
      <c r="K1611" s="28" t="str">
        <f>_xlfn.XLOOKUP(B1611,customers!A:A,customers!D:D)</f>
        <v>New</v>
      </c>
    </row>
    <row r="1612" spans="1:11" x14ac:dyDescent="0.25">
      <c r="A1612" s="5" t="s">
        <v>1677</v>
      </c>
      <c r="B1612" s="5" t="s">
        <v>689</v>
      </c>
      <c r="C1612" s="5" t="s">
        <v>7309</v>
      </c>
      <c r="D1612" s="1">
        <v>45506</v>
      </c>
      <c r="E1612" s="17">
        <v>0.77777777777777779</v>
      </c>
      <c r="F1612" s="5" t="s">
        <v>7305</v>
      </c>
      <c r="G1612" s="12">
        <v>1260</v>
      </c>
      <c r="H1612" s="12">
        <v>0</v>
      </c>
      <c r="I1612" s="12">
        <v>1260</v>
      </c>
      <c r="J1612" s="12">
        <f>SUMIF(order_item!B:B,A1612,order_item!E:E)</f>
        <v>1260</v>
      </c>
      <c r="K1612" s="28" t="str">
        <f>_xlfn.XLOOKUP(B1612,customers!A:A,customers!D:D)</f>
        <v>New</v>
      </c>
    </row>
    <row r="1613" spans="1:11" x14ac:dyDescent="0.25">
      <c r="A1613" s="5" t="s">
        <v>1674</v>
      </c>
      <c r="B1613" s="5" t="s">
        <v>358</v>
      </c>
      <c r="C1613" s="5" t="s">
        <v>7306</v>
      </c>
      <c r="D1613" s="1">
        <v>45628</v>
      </c>
      <c r="E1613" s="17">
        <v>0.79652777777777783</v>
      </c>
      <c r="F1613" s="5" t="s">
        <v>7305</v>
      </c>
      <c r="G1613" s="12">
        <v>456</v>
      </c>
      <c r="H1613" s="12">
        <v>45.6</v>
      </c>
      <c r="I1613" s="12">
        <v>410.4</v>
      </c>
      <c r="J1613" s="12">
        <f>SUMIF(order_item!B:B,A1613,order_item!E:E)</f>
        <v>456</v>
      </c>
      <c r="K1613" s="28" t="str">
        <f>_xlfn.XLOOKUP(B1613,customers!A:A,customers!D:D)</f>
        <v>Premium</v>
      </c>
    </row>
    <row r="1614" spans="1:11" x14ac:dyDescent="0.25">
      <c r="A1614" s="5" t="s">
        <v>1670</v>
      </c>
      <c r="B1614" s="5" t="s">
        <v>760</v>
      </c>
      <c r="C1614" s="5" t="s">
        <v>7306</v>
      </c>
      <c r="D1614" s="1">
        <v>45674</v>
      </c>
      <c r="E1614" s="17">
        <v>0.53749999999999998</v>
      </c>
      <c r="F1614" s="5" t="s">
        <v>7305</v>
      </c>
      <c r="G1614" s="12">
        <v>466</v>
      </c>
      <c r="H1614" s="12">
        <v>0</v>
      </c>
      <c r="I1614" s="12">
        <v>466</v>
      </c>
      <c r="J1614" s="12">
        <f>SUMIF(order_item!B:B,A1614,order_item!E:E)</f>
        <v>466</v>
      </c>
      <c r="K1614" s="28" t="str">
        <f>_xlfn.XLOOKUP(B1614,customers!A:A,customers!D:D)</f>
        <v>Regular</v>
      </c>
    </row>
    <row r="1615" spans="1:11" x14ac:dyDescent="0.25">
      <c r="A1615" s="5" t="s">
        <v>1666</v>
      </c>
      <c r="B1615" s="5" t="s">
        <v>648</v>
      </c>
      <c r="C1615" s="5" t="s">
        <v>7309</v>
      </c>
      <c r="D1615" s="1">
        <v>45484</v>
      </c>
      <c r="E1615" s="17">
        <v>0.70138888888888884</v>
      </c>
      <c r="F1615" s="5" t="s">
        <v>7305</v>
      </c>
      <c r="G1615" s="12">
        <v>435</v>
      </c>
      <c r="H1615" s="12">
        <v>43.5</v>
      </c>
      <c r="I1615" s="12">
        <v>391.5</v>
      </c>
      <c r="J1615" s="12">
        <f>SUMIF(order_item!B:B,A1615,order_item!E:E)</f>
        <v>435</v>
      </c>
      <c r="K1615" s="28" t="str">
        <f>_xlfn.XLOOKUP(B1615,customers!A:A,customers!D:D)</f>
        <v>New</v>
      </c>
    </row>
    <row r="1616" spans="1:11" x14ac:dyDescent="0.25">
      <c r="A1616" s="5" t="s">
        <v>1663</v>
      </c>
      <c r="B1616" s="5" t="s">
        <v>311</v>
      </c>
      <c r="C1616" s="5" t="s">
        <v>7309</v>
      </c>
      <c r="D1616" s="1">
        <v>45526</v>
      </c>
      <c r="E1616" s="17">
        <v>0.87013888888888891</v>
      </c>
      <c r="F1616" s="5" t="s">
        <v>7305</v>
      </c>
      <c r="G1616" s="12">
        <v>454</v>
      </c>
      <c r="H1616" s="12">
        <v>0</v>
      </c>
      <c r="I1616" s="12">
        <v>454</v>
      </c>
      <c r="J1616" s="12">
        <f>SUMIF(order_item!B:B,A1616,order_item!E:E)</f>
        <v>454</v>
      </c>
      <c r="K1616" s="28" t="str">
        <f>_xlfn.XLOOKUP(B1616,customers!A:A,customers!D:D)</f>
        <v>New</v>
      </c>
    </row>
    <row r="1617" spans="1:11" x14ac:dyDescent="0.25">
      <c r="A1617" s="5" t="s">
        <v>1659</v>
      </c>
      <c r="B1617" s="5" t="s">
        <v>514</v>
      </c>
      <c r="C1617" s="5" t="s">
        <v>7306</v>
      </c>
      <c r="D1617" s="1">
        <v>45537</v>
      </c>
      <c r="E1617" s="17">
        <v>0.52430555555555558</v>
      </c>
      <c r="F1617" s="5" t="s">
        <v>7305</v>
      </c>
      <c r="G1617" s="12">
        <v>534</v>
      </c>
      <c r="H1617" s="12">
        <v>0</v>
      </c>
      <c r="I1617" s="12">
        <v>534</v>
      </c>
      <c r="J1617" s="12">
        <f>SUMIF(order_item!B:B,A1617,order_item!E:E)</f>
        <v>534</v>
      </c>
      <c r="K1617" s="28" t="str">
        <f>_xlfn.XLOOKUP(B1617,customers!A:A,customers!D:D)</f>
        <v>Premium</v>
      </c>
    </row>
    <row r="1618" spans="1:11" x14ac:dyDescent="0.25">
      <c r="A1618" s="5" t="s">
        <v>1657</v>
      </c>
      <c r="B1618" s="5" t="s">
        <v>420</v>
      </c>
      <c r="C1618" s="5" t="s">
        <v>7306</v>
      </c>
      <c r="D1618" s="1">
        <v>45480</v>
      </c>
      <c r="E1618" s="17">
        <v>0.54166666666666663</v>
      </c>
      <c r="F1618" s="5" t="s">
        <v>7305</v>
      </c>
      <c r="G1618" s="12">
        <v>149</v>
      </c>
      <c r="H1618" s="12">
        <v>22.35</v>
      </c>
      <c r="I1618" s="12">
        <v>126.65</v>
      </c>
      <c r="J1618" s="12">
        <f>SUMIF(order_item!B:B,A1618,order_item!E:E)</f>
        <v>149</v>
      </c>
      <c r="K1618" s="28" t="str">
        <f>_xlfn.XLOOKUP(B1618,customers!A:A,customers!D:D)</f>
        <v>Regular</v>
      </c>
    </row>
    <row r="1619" spans="1:11" x14ac:dyDescent="0.25">
      <c r="A1619" s="5" t="s">
        <v>1652</v>
      </c>
      <c r="B1619" s="5" t="s">
        <v>507</v>
      </c>
      <c r="C1619" s="5" t="s">
        <v>7309</v>
      </c>
      <c r="D1619" s="1">
        <v>45646</v>
      </c>
      <c r="E1619" s="17">
        <v>0.81527777777777777</v>
      </c>
      <c r="F1619" s="5" t="s">
        <v>7305</v>
      </c>
      <c r="G1619" s="12">
        <v>526</v>
      </c>
      <c r="H1619" s="12">
        <v>0</v>
      </c>
      <c r="I1619" s="12">
        <v>526</v>
      </c>
      <c r="J1619" s="12">
        <f>SUMIF(order_item!B:B,A1619,order_item!E:E)</f>
        <v>526</v>
      </c>
      <c r="K1619" s="28" t="str">
        <f>_xlfn.XLOOKUP(B1619,customers!A:A,customers!D:D)</f>
        <v>New</v>
      </c>
    </row>
    <row r="1620" spans="1:11" x14ac:dyDescent="0.25">
      <c r="A1620" s="5" t="s">
        <v>1649</v>
      </c>
      <c r="B1620" s="5" t="s">
        <v>376</v>
      </c>
      <c r="C1620" s="5" t="s">
        <v>7306</v>
      </c>
      <c r="D1620" s="1">
        <v>45444</v>
      </c>
      <c r="E1620" s="17">
        <v>0.7319444444444444</v>
      </c>
      <c r="F1620" s="5" t="s">
        <v>7305</v>
      </c>
      <c r="G1620" s="12">
        <v>457</v>
      </c>
      <c r="H1620" s="12">
        <v>0</v>
      </c>
      <c r="I1620" s="12">
        <v>457</v>
      </c>
      <c r="J1620" s="12">
        <f>SUMIF(order_item!B:B,A1620,order_item!E:E)</f>
        <v>457</v>
      </c>
      <c r="K1620" s="28" t="str">
        <f>_xlfn.XLOOKUP(B1620,customers!A:A,customers!D:D)</f>
        <v>Regular</v>
      </c>
    </row>
    <row r="1621" spans="1:11" x14ac:dyDescent="0.25">
      <c r="A1621" s="5" t="s">
        <v>1646</v>
      </c>
      <c r="B1621" s="5" t="s">
        <v>720</v>
      </c>
      <c r="C1621" s="5" t="s">
        <v>7309</v>
      </c>
      <c r="D1621" s="1">
        <v>45541</v>
      </c>
      <c r="E1621" s="17">
        <v>0.8930555555555556</v>
      </c>
      <c r="F1621" s="5" t="s">
        <v>7305</v>
      </c>
      <c r="G1621" s="12">
        <v>1063</v>
      </c>
      <c r="H1621" s="12">
        <v>0</v>
      </c>
      <c r="I1621" s="12">
        <v>1063</v>
      </c>
      <c r="J1621" s="12">
        <f>SUMIF(order_item!B:B,A1621,order_item!E:E)</f>
        <v>1063</v>
      </c>
      <c r="K1621" s="28" t="str">
        <f>_xlfn.XLOOKUP(B1621,customers!A:A,customers!D:D)</f>
        <v>Regular</v>
      </c>
    </row>
    <row r="1622" spans="1:11" x14ac:dyDescent="0.25">
      <c r="A1622" s="5" t="s">
        <v>1643</v>
      </c>
      <c r="B1622" s="5" t="s">
        <v>333</v>
      </c>
      <c r="C1622" s="5" t="s">
        <v>7309</v>
      </c>
      <c r="D1622" s="1">
        <v>45610</v>
      </c>
      <c r="E1622" s="17">
        <v>0.85902777777777783</v>
      </c>
      <c r="F1622" s="5" t="s">
        <v>7305</v>
      </c>
      <c r="G1622" s="12">
        <v>178</v>
      </c>
      <c r="H1622" s="12">
        <v>8.9</v>
      </c>
      <c r="I1622" s="12">
        <v>169.1</v>
      </c>
      <c r="J1622" s="12">
        <f>SUMIF(order_item!B:B,A1622,order_item!E:E)</f>
        <v>178</v>
      </c>
      <c r="K1622" s="28" t="str">
        <f>_xlfn.XLOOKUP(B1622,customers!A:A,customers!D:D)</f>
        <v>Regular</v>
      </c>
    </row>
    <row r="1623" spans="1:11" x14ac:dyDescent="0.25">
      <c r="A1623" s="5" t="s">
        <v>1641</v>
      </c>
      <c r="B1623" s="5" t="s">
        <v>793</v>
      </c>
      <c r="C1623" s="5" t="s">
        <v>7309</v>
      </c>
      <c r="D1623" s="1">
        <v>45663</v>
      </c>
      <c r="E1623" s="17">
        <v>0.39513888888888887</v>
      </c>
      <c r="F1623" s="5" t="s">
        <v>7305</v>
      </c>
      <c r="G1623" s="12">
        <v>198</v>
      </c>
      <c r="H1623" s="12">
        <v>0</v>
      </c>
      <c r="I1623" s="12">
        <v>198</v>
      </c>
      <c r="J1623" s="12">
        <f>SUMIF(order_item!B:B,A1623,order_item!E:E)</f>
        <v>198</v>
      </c>
      <c r="K1623" s="28" t="str">
        <f>_xlfn.XLOOKUP(B1623,customers!A:A,customers!D:D)</f>
        <v>Regular</v>
      </c>
    </row>
    <row r="1624" spans="1:11" x14ac:dyDescent="0.25">
      <c r="A1624" s="5" t="s">
        <v>1637</v>
      </c>
      <c r="B1624" s="5" t="s">
        <v>486</v>
      </c>
      <c r="C1624" s="5" t="s">
        <v>7309</v>
      </c>
      <c r="D1624" s="1">
        <v>45515</v>
      </c>
      <c r="E1624" s="17">
        <v>0.79166666666666663</v>
      </c>
      <c r="F1624" s="5" t="s">
        <v>7307</v>
      </c>
      <c r="G1624" s="12">
        <v>436</v>
      </c>
      <c r="H1624" s="12">
        <v>43.6</v>
      </c>
      <c r="I1624" s="12">
        <v>0</v>
      </c>
      <c r="J1624" s="12">
        <f>SUMIF(order_item!B:B,A1624,order_item!E:E)</f>
        <v>436</v>
      </c>
      <c r="K1624" s="28" t="str">
        <f>_xlfn.XLOOKUP(B1624,customers!A:A,customers!D:D)</f>
        <v>Premium</v>
      </c>
    </row>
    <row r="1625" spans="1:11" x14ac:dyDescent="0.25">
      <c r="A1625" s="5" t="s">
        <v>1634</v>
      </c>
      <c r="B1625" s="5" t="s">
        <v>743</v>
      </c>
      <c r="C1625" s="5" t="s">
        <v>7309</v>
      </c>
      <c r="D1625" s="1">
        <v>45525</v>
      </c>
      <c r="E1625" s="17">
        <v>0.69305555555555554</v>
      </c>
      <c r="F1625" s="5" t="s">
        <v>7305</v>
      </c>
      <c r="G1625" s="12">
        <v>566</v>
      </c>
      <c r="H1625" s="12">
        <v>0</v>
      </c>
      <c r="I1625" s="12">
        <v>566</v>
      </c>
      <c r="J1625" s="12">
        <f>SUMIF(order_item!B:B,A1625,order_item!E:E)</f>
        <v>566</v>
      </c>
      <c r="K1625" s="28" t="str">
        <f>_xlfn.XLOOKUP(B1625,customers!A:A,customers!D:D)</f>
        <v>Premium</v>
      </c>
    </row>
    <row r="1626" spans="1:11" x14ac:dyDescent="0.25">
      <c r="A1626" s="5" t="s">
        <v>1631</v>
      </c>
      <c r="B1626" s="5" t="s">
        <v>438</v>
      </c>
      <c r="C1626" s="5" t="s">
        <v>7309</v>
      </c>
      <c r="D1626" s="1">
        <v>45552</v>
      </c>
      <c r="E1626" s="17">
        <v>0.80208333333333337</v>
      </c>
      <c r="F1626" s="5" t="s">
        <v>7305</v>
      </c>
      <c r="G1626" s="12">
        <v>654</v>
      </c>
      <c r="H1626" s="12">
        <v>0</v>
      </c>
      <c r="I1626" s="12">
        <v>654</v>
      </c>
      <c r="J1626" s="12">
        <f>SUMIF(order_item!B:B,A1626,order_item!E:E)</f>
        <v>654</v>
      </c>
      <c r="K1626" s="28" t="str">
        <f>_xlfn.XLOOKUP(B1626,customers!A:A,customers!D:D)</f>
        <v>Regular</v>
      </c>
    </row>
    <row r="1627" spans="1:11" x14ac:dyDescent="0.25">
      <c r="A1627" s="5" t="s">
        <v>1626</v>
      </c>
      <c r="B1627" s="5" t="s">
        <v>196</v>
      </c>
      <c r="C1627" s="5" t="s">
        <v>7308</v>
      </c>
      <c r="D1627" s="1">
        <v>45578</v>
      </c>
      <c r="E1627" s="17">
        <v>0.7319444444444444</v>
      </c>
      <c r="F1627" s="5" t="s">
        <v>7305</v>
      </c>
      <c r="G1627" s="12">
        <v>1747</v>
      </c>
      <c r="H1627" s="12">
        <v>0</v>
      </c>
      <c r="I1627" s="12">
        <v>1747</v>
      </c>
      <c r="J1627" s="12">
        <f>SUMIF(order_item!B:B,A1627,order_item!E:E)</f>
        <v>1747</v>
      </c>
      <c r="K1627" s="28" t="str">
        <f>_xlfn.XLOOKUP(B1627,customers!A:A,customers!D:D)</f>
        <v>Regular</v>
      </c>
    </row>
    <row r="1628" spans="1:11" x14ac:dyDescent="0.25">
      <c r="A1628" s="5" t="s">
        <v>1623</v>
      </c>
      <c r="B1628" s="5" t="s">
        <v>569</v>
      </c>
      <c r="C1628" s="5" t="s">
        <v>7309</v>
      </c>
      <c r="D1628" s="1">
        <v>45666</v>
      </c>
      <c r="E1628" s="17">
        <v>0.47986111111111113</v>
      </c>
      <c r="F1628" s="5" t="s">
        <v>7305</v>
      </c>
      <c r="G1628" s="12">
        <v>685</v>
      </c>
      <c r="H1628" s="12">
        <v>0</v>
      </c>
      <c r="I1628" s="12">
        <v>685</v>
      </c>
      <c r="J1628" s="12">
        <f>SUMIF(order_item!B:B,A1628,order_item!E:E)</f>
        <v>685</v>
      </c>
      <c r="K1628" s="28" t="str">
        <f>_xlfn.XLOOKUP(B1628,customers!A:A,customers!D:D)</f>
        <v>Regular</v>
      </c>
    </row>
    <row r="1629" spans="1:11" x14ac:dyDescent="0.25">
      <c r="A1629" s="5" t="s">
        <v>1620</v>
      </c>
      <c r="B1629" s="5" t="s">
        <v>662</v>
      </c>
      <c r="C1629" s="5" t="s">
        <v>7306</v>
      </c>
      <c r="D1629" s="1">
        <v>45451</v>
      </c>
      <c r="E1629" s="17">
        <v>0.59097222222222223</v>
      </c>
      <c r="F1629" s="5" t="s">
        <v>7307</v>
      </c>
      <c r="G1629" s="12">
        <v>465</v>
      </c>
      <c r="H1629" s="12">
        <v>0</v>
      </c>
      <c r="I1629" s="12">
        <v>0</v>
      </c>
      <c r="J1629" s="12">
        <f>SUMIF(order_item!B:B,A1629,order_item!E:E)</f>
        <v>465</v>
      </c>
      <c r="K1629" s="28" t="str">
        <f>_xlfn.XLOOKUP(B1629,customers!A:A,customers!D:D)</f>
        <v>Regular</v>
      </c>
    </row>
    <row r="1630" spans="1:11" x14ac:dyDescent="0.25">
      <c r="A1630" s="5" t="s">
        <v>1616</v>
      </c>
      <c r="B1630" s="5" t="s">
        <v>454</v>
      </c>
      <c r="C1630" s="5" t="s">
        <v>7309</v>
      </c>
      <c r="D1630" s="1">
        <v>45687</v>
      </c>
      <c r="E1630" s="17">
        <v>0.81527777777777777</v>
      </c>
      <c r="F1630" s="5" t="s">
        <v>7305</v>
      </c>
      <c r="G1630" s="12">
        <v>575</v>
      </c>
      <c r="H1630" s="12">
        <v>0</v>
      </c>
      <c r="I1630" s="12">
        <v>575</v>
      </c>
      <c r="J1630" s="12">
        <f>SUMIF(order_item!B:B,A1630,order_item!E:E)</f>
        <v>575</v>
      </c>
      <c r="K1630" s="28" t="str">
        <f>_xlfn.XLOOKUP(B1630,customers!A:A,customers!D:D)</f>
        <v>Regular</v>
      </c>
    </row>
    <row r="1631" spans="1:11" x14ac:dyDescent="0.25">
      <c r="A1631" s="5" t="s">
        <v>1611</v>
      </c>
      <c r="B1631" s="5" t="s">
        <v>200</v>
      </c>
      <c r="C1631" s="5" t="s">
        <v>7309</v>
      </c>
      <c r="D1631" s="1">
        <v>45621</v>
      </c>
      <c r="E1631" s="17">
        <v>0.73888888888888893</v>
      </c>
      <c r="F1631" s="5" t="s">
        <v>7305</v>
      </c>
      <c r="G1631" s="12">
        <v>751</v>
      </c>
      <c r="H1631" s="12">
        <v>0</v>
      </c>
      <c r="I1631" s="12">
        <v>751</v>
      </c>
      <c r="J1631" s="12">
        <f>SUMIF(order_item!B:B,A1631,order_item!E:E)</f>
        <v>751</v>
      </c>
      <c r="K1631" s="28" t="str">
        <f>_xlfn.XLOOKUP(B1631,customers!A:A,customers!D:D)</f>
        <v>New</v>
      </c>
    </row>
    <row r="1632" spans="1:11" x14ac:dyDescent="0.25">
      <c r="A1632" s="5" t="s">
        <v>1609</v>
      </c>
      <c r="B1632" s="5" t="s">
        <v>685</v>
      </c>
      <c r="C1632" s="5" t="s">
        <v>7309</v>
      </c>
      <c r="D1632" s="1">
        <v>45609</v>
      </c>
      <c r="E1632" s="17">
        <v>0.70694444444444438</v>
      </c>
      <c r="F1632" s="5" t="s">
        <v>7307</v>
      </c>
      <c r="G1632" s="12">
        <v>99</v>
      </c>
      <c r="H1632" s="12">
        <v>0</v>
      </c>
      <c r="I1632" s="12">
        <v>0</v>
      </c>
      <c r="J1632" s="12">
        <f>SUMIF(order_item!B:B,A1632,order_item!E:E)</f>
        <v>99</v>
      </c>
      <c r="K1632" s="28" t="str">
        <f>_xlfn.XLOOKUP(B1632,customers!A:A,customers!D:D)</f>
        <v>Regular</v>
      </c>
    </row>
    <row r="1633" spans="1:11" x14ac:dyDescent="0.25">
      <c r="A1633" s="5" t="s">
        <v>1605</v>
      </c>
      <c r="B1633" s="5" t="s">
        <v>813</v>
      </c>
      <c r="C1633" s="5" t="s">
        <v>7306</v>
      </c>
      <c r="D1633" s="1">
        <v>45500</v>
      </c>
      <c r="E1633" s="17">
        <v>0.7090277777777777</v>
      </c>
      <c r="F1633" s="5" t="s">
        <v>7307</v>
      </c>
      <c r="G1633" s="12">
        <v>754</v>
      </c>
      <c r="H1633" s="12">
        <v>0</v>
      </c>
      <c r="I1633" s="12">
        <v>0</v>
      </c>
      <c r="J1633" s="12">
        <f>SUMIF(order_item!B:B,A1633,order_item!E:E)</f>
        <v>754</v>
      </c>
      <c r="K1633" s="28" t="str">
        <f>_xlfn.XLOOKUP(B1633,customers!A:A,customers!D:D)</f>
        <v>Premium</v>
      </c>
    </row>
    <row r="1634" spans="1:11" x14ac:dyDescent="0.25">
      <c r="A1634" s="5" t="s">
        <v>1601</v>
      </c>
      <c r="B1634" s="5" t="s">
        <v>445</v>
      </c>
      <c r="C1634" s="5" t="s">
        <v>7309</v>
      </c>
      <c r="D1634" s="1">
        <v>45685</v>
      </c>
      <c r="E1634" s="17">
        <v>0.78680555555555554</v>
      </c>
      <c r="F1634" s="5" t="s">
        <v>7307</v>
      </c>
      <c r="G1634" s="12">
        <v>675</v>
      </c>
      <c r="H1634" s="12">
        <v>0</v>
      </c>
      <c r="I1634" s="12">
        <v>0</v>
      </c>
      <c r="J1634" s="12">
        <f>SUMIF(order_item!B:B,A1634,order_item!E:E)</f>
        <v>675</v>
      </c>
      <c r="K1634" s="28" t="str">
        <f>_xlfn.XLOOKUP(B1634,customers!A:A,customers!D:D)</f>
        <v>Regular</v>
      </c>
    </row>
    <row r="1635" spans="1:11" x14ac:dyDescent="0.25">
      <c r="A1635" s="5" t="s">
        <v>1596</v>
      </c>
      <c r="B1635" s="5" t="s">
        <v>495</v>
      </c>
      <c r="C1635" s="5" t="s">
        <v>7306</v>
      </c>
      <c r="D1635" s="1">
        <v>45691</v>
      </c>
      <c r="E1635" s="17">
        <v>0.64027777777777783</v>
      </c>
      <c r="F1635" s="5" t="s">
        <v>7305</v>
      </c>
      <c r="G1635" s="12">
        <v>830</v>
      </c>
      <c r="H1635" s="12">
        <v>0</v>
      </c>
      <c r="I1635" s="12">
        <v>830</v>
      </c>
      <c r="J1635" s="12">
        <f>SUMIF(order_item!B:B,A1635,order_item!E:E)</f>
        <v>830</v>
      </c>
      <c r="K1635" s="28" t="str">
        <f>_xlfn.XLOOKUP(B1635,customers!A:A,customers!D:D)</f>
        <v>New</v>
      </c>
    </row>
    <row r="1636" spans="1:11" x14ac:dyDescent="0.25">
      <c r="A1636" s="5" t="s">
        <v>1593</v>
      </c>
      <c r="B1636" s="5" t="s">
        <v>428</v>
      </c>
      <c r="C1636" s="5" t="s">
        <v>7309</v>
      </c>
      <c r="D1636" s="1">
        <v>45419</v>
      </c>
      <c r="E1636" s="17">
        <v>0.67361111111111116</v>
      </c>
      <c r="F1636" s="5" t="s">
        <v>7305</v>
      </c>
      <c r="G1636" s="12">
        <v>228</v>
      </c>
      <c r="H1636" s="12">
        <v>0</v>
      </c>
      <c r="I1636" s="12">
        <v>228</v>
      </c>
      <c r="J1636" s="12">
        <f>SUMIF(order_item!B:B,A1636,order_item!E:E)</f>
        <v>228</v>
      </c>
      <c r="K1636" s="28" t="str">
        <f>_xlfn.XLOOKUP(B1636,customers!A:A,customers!D:D)</f>
        <v>Regular</v>
      </c>
    </row>
    <row r="1637" spans="1:11" x14ac:dyDescent="0.25">
      <c r="A1637" s="5" t="s">
        <v>1588</v>
      </c>
      <c r="B1637" s="5" t="s">
        <v>822</v>
      </c>
      <c r="C1637" s="5" t="s">
        <v>7309</v>
      </c>
      <c r="D1637" s="1">
        <v>45550</v>
      </c>
      <c r="E1637" s="17">
        <v>0.85555555555555562</v>
      </c>
      <c r="F1637" s="5" t="s">
        <v>7305</v>
      </c>
      <c r="G1637" s="12">
        <v>1151</v>
      </c>
      <c r="H1637" s="12">
        <v>0</v>
      </c>
      <c r="I1637" s="12">
        <v>1151</v>
      </c>
      <c r="J1637" s="12">
        <f>SUMIF(order_item!B:B,A1637,order_item!E:E)</f>
        <v>1151</v>
      </c>
      <c r="K1637" s="28" t="str">
        <f>_xlfn.XLOOKUP(B1637,customers!A:A,customers!D:D)</f>
        <v>Regular</v>
      </c>
    </row>
    <row r="1638" spans="1:11" x14ac:dyDescent="0.25">
      <c r="A1638" s="5" t="s">
        <v>1585</v>
      </c>
      <c r="B1638" s="5" t="s">
        <v>626</v>
      </c>
      <c r="C1638" s="5" t="s">
        <v>7309</v>
      </c>
      <c r="D1638" s="1">
        <v>45680</v>
      </c>
      <c r="E1638" s="17">
        <v>0.81319444444444444</v>
      </c>
      <c r="F1638" s="5" t="s">
        <v>7305</v>
      </c>
      <c r="G1638" s="12">
        <v>248</v>
      </c>
      <c r="H1638" s="12">
        <v>0</v>
      </c>
      <c r="I1638" s="12">
        <v>248</v>
      </c>
      <c r="J1638" s="12">
        <f>SUMIF(order_item!B:B,A1638,order_item!E:E)</f>
        <v>248</v>
      </c>
      <c r="K1638" s="28" t="str">
        <f>_xlfn.XLOOKUP(B1638,customers!A:A,customers!D:D)</f>
        <v>Regular</v>
      </c>
    </row>
    <row r="1639" spans="1:11" x14ac:dyDescent="0.25">
      <c r="A1639" s="5" t="s">
        <v>1581</v>
      </c>
      <c r="B1639" s="5" t="s">
        <v>682</v>
      </c>
      <c r="C1639" s="5" t="s">
        <v>7306</v>
      </c>
      <c r="D1639" s="1">
        <v>45412</v>
      </c>
      <c r="E1639" s="17">
        <v>0.84791666666666676</v>
      </c>
      <c r="F1639" s="5" t="s">
        <v>7305</v>
      </c>
      <c r="G1639" s="12">
        <v>824</v>
      </c>
      <c r="H1639" s="12">
        <v>0</v>
      </c>
      <c r="I1639" s="12">
        <v>824</v>
      </c>
      <c r="J1639" s="12">
        <f>SUMIF(order_item!B:B,A1639,order_item!E:E)</f>
        <v>824</v>
      </c>
      <c r="K1639" s="28" t="str">
        <f>_xlfn.XLOOKUP(B1639,customers!A:A,customers!D:D)</f>
        <v>Premium</v>
      </c>
    </row>
    <row r="1640" spans="1:11" x14ac:dyDescent="0.25">
      <c r="A1640" s="5" t="s">
        <v>1578</v>
      </c>
      <c r="B1640" s="5" t="s">
        <v>222</v>
      </c>
      <c r="C1640" s="5" t="s">
        <v>7308</v>
      </c>
      <c r="D1640" s="1">
        <v>45581</v>
      </c>
      <c r="E1640" s="17">
        <v>0.83124999999999993</v>
      </c>
      <c r="F1640" s="5" t="s">
        <v>7305</v>
      </c>
      <c r="G1640" s="12">
        <v>407</v>
      </c>
      <c r="H1640" s="12">
        <v>0</v>
      </c>
      <c r="I1640" s="12">
        <v>407</v>
      </c>
      <c r="J1640" s="12">
        <f>SUMIF(order_item!B:B,A1640,order_item!E:E)</f>
        <v>407</v>
      </c>
      <c r="K1640" s="28" t="str">
        <f>_xlfn.XLOOKUP(B1640,customers!A:A,customers!D:D)</f>
        <v>Regular</v>
      </c>
    </row>
    <row r="1641" spans="1:11" x14ac:dyDescent="0.25">
      <c r="A1641" s="5" t="s">
        <v>1574</v>
      </c>
      <c r="B1641" s="5" t="s">
        <v>234</v>
      </c>
      <c r="C1641" s="5" t="s">
        <v>7309</v>
      </c>
      <c r="D1641" s="1">
        <v>45662</v>
      </c>
      <c r="E1641" s="17">
        <v>0.43611111111111112</v>
      </c>
      <c r="F1641" s="5" t="s">
        <v>7305</v>
      </c>
      <c r="G1641" s="12">
        <v>1210</v>
      </c>
      <c r="H1641" s="12">
        <v>0</v>
      </c>
      <c r="I1641" s="12">
        <v>1210</v>
      </c>
      <c r="J1641" s="12">
        <f>SUMIF(order_item!B:B,A1641,order_item!E:E)</f>
        <v>1210</v>
      </c>
      <c r="K1641" s="28" t="str">
        <f>_xlfn.XLOOKUP(B1641,customers!A:A,customers!D:D)</f>
        <v>Regular</v>
      </c>
    </row>
    <row r="1642" spans="1:11" x14ac:dyDescent="0.25">
      <c r="A1642" s="5" t="s">
        <v>1569</v>
      </c>
      <c r="B1642" s="5" t="s">
        <v>335</v>
      </c>
      <c r="C1642" s="5" t="s">
        <v>7308</v>
      </c>
      <c r="D1642" s="1">
        <v>45709</v>
      </c>
      <c r="E1642" s="17">
        <v>0.45277777777777778</v>
      </c>
      <c r="F1642" s="5" t="s">
        <v>7305</v>
      </c>
      <c r="G1642" s="12">
        <v>604</v>
      </c>
      <c r="H1642" s="12">
        <v>0</v>
      </c>
      <c r="I1642" s="12">
        <v>604</v>
      </c>
      <c r="J1642" s="12">
        <f>SUMIF(order_item!B:B,A1642,order_item!E:E)</f>
        <v>604</v>
      </c>
      <c r="K1642" s="28" t="str">
        <f>_xlfn.XLOOKUP(B1642,customers!A:A,customers!D:D)</f>
        <v>Regular</v>
      </c>
    </row>
    <row r="1643" spans="1:11" x14ac:dyDescent="0.25">
      <c r="A1643" s="5" t="s">
        <v>1565</v>
      </c>
      <c r="B1643" s="5" t="s">
        <v>836</v>
      </c>
      <c r="C1643" s="5" t="s">
        <v>7306</v>
      </c>
      <c r="D1643" s="1">
        <v>45478</v>
      </c>
      <c r="E1643" s="17">
        <v>0.74236111111111114</v>
      </c>
      <c r="F1643" s="5" t="s">
        <v>7305</v>
      </c>
      <c r="G1643" s="12">
        <v>655</v>
      </c>
      <c r="H1643" s="12">
        <v>65.5</v>
      </c>
      <c r="I1643" s="12">
        <v>589.5</v>
      </c>
      <c r="J1643" s="12">
        <f>SUMIF(order_item!B:B,A1643,order_item!E:E)</f>
        <v>655</v>
      </c>
      <c r="K1643" s="28" t="str">
        <f>_xlfn.XLOOKUP(B1643,customers!A:A,customers!D:D)</f>
        <v>Regular</v>
      </c>
    </row>
    <row r="1644" spans="1:11" x14ac:dyDescent="0.25">
      <c r="A1644" s="5" t="s">
        <v>1560</v>
      </c>
      <c r="B1644" s="5" t="s">
        <v>777</v>
      </c>
      <c r="C1644" s="5" t="s">
        <v>7306</v>
      </c>
      <c r="D1644" s="1">
        <v>45532</v>
      </c>
      <c r="E1644" s="17">
        <v>0.9784722222222223</v>
      </c>
      <c r="F1644" s="5" t="s">
        <v>7305</v>
      </c>
      <c r="G1644" s="12">
        <v>1629</v>
      </c>
      <c r="H1644" s="12">
        <v>0</v>
      </c>
      <c r="I1644" s="12">
        <v>1629</v>
      </c>
      <c r="J1644" s="12">
        <f>SUMIF(order_item!B:B,A1644,order_item!E:E)</f>
        <v>1629</v>
      </c>
      <c r="K1644" s="28" t="str">
        <f>_xlfn.XLOOKUP(B1644,customers!A:A,customers!D:D)</f>
        <v>Premium</v>
      </c>
    </row>
    <row r="1645" spans="1:11" x14ac:dyDescent="0.25">
      <c r="A1645" s="5" t="s">
        <v>1556</v>
      </c>
      <c r="B1645" s="5" t="s">
        <v>731</v>
      </c>
      <c r="C1645" s="5" t="s">
        <v>7309</v>
      </c>
      <c r="D1645" s="1">
        <v>45554</v>
      </c>
      <c r="E1645" s="17">
        <v>0.7055555555555556</v>
      </c>
      <c r="F1645" s="5" t="s">
        <v>7305</v>
      </c>
      <c r="G1645" s="12">
        <v>367</v>
      </c>
      <c r="H1645" s="12">
        <v>0</v>
      </c>
      <c r="I1645" s="12">
        <v>367</v>
      </c>
      <c r="J1645" s="12">
        <f>SUMIF(order_item!B:B,A1645,order_item!E:E)</f>
        <v>367</v>
      </c>
      <c r="K1645" s="28" t="str">
        <f>_xlfn.XLOOKUP(B1645,customers!A:A,customers!D:D)</f>
        <v>Regular</v>
      </c>
    </row>
    <row r="1646" spans="1:11" x14ac:dyDescent="0.25">
      <c r="A1646" s="5" t="s">
        <v>1552</v>
      </c>
      <c r="B1646" s="5" t="s">
        <v>305</v>
      </c>
      <c r="C1646" s="5" t="s">
        <v>7308</v>
      </c>
      <c r="D1646" s="1">
        <v>45510</v>
      </c>
      <c r="E1646" s="17">
        <v>4.8611111111111112E-2</v>
      </c>
      <c r="F1646" s="5" t="s">
        <v>7305</v>
      </c>
      <c r="G1646" s="12">
        <v>714</v>
      </c>
      <c r="H1646" s="12">
        <v>0</v>
      </c>
      <c r="I1646" s="12">
        <v>714</v>
      </c>
      <c r="J1646" s="12">
        <f>SUMIF(order_item!B:B,A1646,order_item!E:E)</f>
        <v>714</v>
      </c>
      <c r="K1646" s="28" t="str">
        <f>_xlfn.XLOOKUP(B1646,customers!A:A,customers!D:D)</f>
        <v>Regular</v>
      </c>
    </row>
    <row r="1647" spans="1:11" x14ac:dyDescent="0.25">
      <c r="A1647" s="5" t="s">
        <v>1549</v>
      </c>
      <c r="B1647" s="5" t="s">
        <v>857</v>
      </c>
      <c r="C1647" s="5" t="s">
        <v>7309</v>
      </c>
      <c r="D1647" s="1">
        <v>45648</v>
      </c>
      <c r="E1647" s="17">
        <v>0.7895833333333333</v>
      </c>
      <c r="F1647" s="5" t="s">
        <v>7305</v>
      </c>
      <c r="G1647" s="12">
        <v>595</v>
      </c>
      <c r="H1647" s="12">
        <v>0</v>
      </c>
      <c r="I1647" s="12">
        <v>595</v>
      </c>
      <c r="J1647" s="12">
        <f>SUMIF(order_item!B:B,A1647,order_item!E:E)</f>
        <v>595</v>
      </c>
      <c r="K1647" s="28" t="str">
        <f>_xlfn.XLOOKUP(B1647,customers!A:A,customers!D:D)</f>
        <v>Regular</v>
      </c>
    </row>
    <row r="1648" spans="1:11" x14ac:dyDescent="0.25">
      <c r="A1648" s="5" t="s">
        <v>1545</v>
      </c>
      <c r="B1648" s="5" t="s">
        <v>701</v>
      </c>
      <c r="C1648" s="5" t="s">
        <v>7306</v>
      </c>
      <c r="D1648" s="1">
        <v>45742</v>
      </c>
      <c r="E1648" s="17">
        <v>0.88680555555555562</v>
      </c>
      <c r="F1648" s="5" t="s">
        <v>7305</v>
      </c>
      <c r="G1648" s="12">
        <v>972</v>
      </c>
      <c r="H1648" s="12">
        <v>0</v>
      </c>
      <c r="I1648" s="12">
        <v>972</v>
      </c>
      <c r="J1648" s="12">
        <f>SUMIF(order_item!B:B,A1648,order_item!E:E)</f>
        <v>972</v>
      </c>
      <c r="K1648" s="28" t="str">
        <f>_xlfn.XLOOKUP(B1648,customers!A:A,customers!D:D)</f>
        <v>Regular</v>
      </c>
    </row>
    <row r="1649" spans="1:11" x14ac:dyDescent="0.25">
      <c r="A1649" s="5" t="s">
        <v>1542</v>
      </c>
      <c r="B1649" s="5" t="s">
        <v>414</v>
      </c>
      <c r="C1649" s="5" t="s">
        <v>7306</v>
      </c>
      <c r="D1649" s="1">
        <v>45408</v>
      </c>
      <c r="E1649" s="17">
        <v>0.75</v>
      </c>
      <c r="F1649" s="5" t="s">
        <v>7305</v>
      </c>
      <c r="G1649" s="12">
        <v>317</v>
      </c>
      <c r="H1649" s="12">
        <v>15.85</v>
      </c>
      <c r="I1649" s="12">
        <v>301.14999999999998</v>
      </c>
      <c r="J1649" s="12">
        <f>SUMIF(order_item!B:B,A1649,order_item!E:E)</f>
        <v>317</v>
      </c>
      <c r="K1649" s="28" t="str">
        <f>_xlfn.XLOOKUP(B1649,customers!A:A,customers!D:D)</f>
        <v>New</v>
      </c>
    </row>
    <row r="1650" spans="1:11" x14ac:dyDescent="0.25">
      <c r="A1650" s="5" t="s">
        <v>1540</v>
      </c>
      <c r="B1650" s="5" t="s">
        <v>660</v>
      </c>
      <c r="C1650" s="5" t="s">
        <v>7306</v>
      </c>
      <c r="D1650" s="1">
        <v>45571</v>
      </c>
      <c r="E1650" s="17">
        <v>0.88055555555555554</v>
      </c>
      <c r="F1650" s="5" t="s">
        <v>7307</v>
      </c>
      <c r="G1650" s="12">
        <v>79</v>
      </c>
      <c r="H1650" s="12">
        <v>0</v>
      </c>
      <c r="I1650" s="12">
        <v>0</v>
      </c>
      <c r="J1650" s="12">
        <f>SUMIF(order_item!B:B,A1650,order_item!E:E)</f>
        <v>79</v>
      </c>
      <c r="K1650" s="28" t="str">
        <f>_xlfn.XLOOKUP(B1650,customers!A:A,customers!D:D)</f>
        <v>Regular</v>
      </c>
    </row>
    <row r="1651" spans="1:11" x14ac:dyDescent="0.25">
      <c r="A1651" s="5" t="s">
        <v>1536</v>
      </c>
      <c r="B1651" s="5" t="s">
        <v>386</v>
      </c>
      <c r="C1651" s="5" t="s">
        <v>7309</v>
      </c>
      <c r="D1651" s="1">
        <v>45629</v>
      </c>
      <c r="E1651" s="17">
        <v>0.41736111111111113</v>
      </c>
      <c r="F1651" s="5" t="s">
        <v>7305</v>
      </c>
      <c r="G1651" s="12">
        <v>734</v>
      </c>
      <c r="H1651" s="12">
        <v>73.400000000000006</v>
      </c>
      <c r="I1651" s="12">
        <v>660.6</v>
      </c>
      <c r="J1651" s="12">
        <f>SUMIF(order_item!B:B,A1651,order_item!E:E)</f>
        <v>734</v>
      </c>
      <c r="K1651" s="28" t="str">
        <f>_xlfn.XLOOKUP(B1651,customers!A:A,customers!D:D)</f>
        <v>Regular</v>
      </c>
    </row>
    <row r="1652" spans="1:11" x14ac:dyDescent="0.25">
      <c r="A1652" s="5" t="s">
        <v>1533</v>
      </c>
      <c r="B1652" s="5" t="s">
        <v>571</v>
      </c>
      <c r="C1652" s="5" t="s">
        <v>7306</v>
      </c>
      <c r="D1652" s="1">
        <v>45641</v>
      </c>
      <c r="E1652" s="17">
        <v>0.9159722222222223</v>
      </c>
      <c r="F1652" s="5" t="s">
        <v>7305</v>
      </c>
      <c r="G1652" s="12">
        <v>247</v>
      </c>
      <c r="H1652" s="12">
        <v>37.049999999999997</v>
      </c>
      <c r="I1652" s="12">
        <v>209.95</v>
      </c>
      <c r="J1652" s="12">
        <f>SUMIF(order_item!B:B,A1652,order_item!E:E)</f>
        <v>247</v>
      </c>
      <c r="K1652" s="28" t="str">
        <f>_xlfn.XLOOKUP(B1652,customers!A:A,customers!D:D)</f>
        <v>New</v>
      </c>
    </row>
    <row r="1653" spans="1:11" x14ac:dyDescent="0.25">
      <c r="A1653" s="5" t="s">
        <v>1530</v>
      </c>
      <c r="B1653" s="5" t="s">
        <v>207</v>
      </c>
      <c r="C1653" s="5" t="s">
        <v>7306</v>
      </c>
      <c r="D1653" s="1">
        <v>45664</v>
      </c>
      <c r="E1653" s="17">
        <v>0.87569444444444444</v>
      </c>
      <c r="F1653" s="5" t="s">
        <v>7305</v>
      </c>
      <c r="G1653" s="12">
        <v>288</v>
      </c>
      <c r="H1653" s="12">
        <v>0</v>
      </c>
      <c r="I1653" s="12">
        <v>288</v>
      </c>
      <c r="J1653" s="12">
        <f>SUMIF(order_item!B:B,A1653,order_item!E:E)</f>
        <v>288</v>
      </c>
      <c r="K1653" s="28" t="str">
        <f>_xlfn.XLOOKUP(B1653,customers!A:A,customers!D:D)</f>
        <v>Regular</v>
      </c>
    </row>
    <row r="1654" spans="1:11" x14ac:dyDescent="0.25">
      <c r="A1654" s="5" t="s">
        <v>1526</v>
      </c>
      <c r="B1654" s="5" t="s">
        <v>733</v>
      </c>
      <c r="C1654" s="5" t="s">
        <v>7306</v>
      </c>
      <c r="D1654" s="1">
        <v>45584</v>
      </c>
      <c r="E1654" s="17">
        <v>0.79999999999999993</v>
      </c>
      <c r="F1654" s="5" t="s">
        <v>7305</v>
      </c>
      <c r="G1654" s="12">
        <v>753</v>
      </c>
      <c r="H1654" s="12">
        <v>0</v>
      </c>
      <c r="I1654" s="12">
        <v>753</v>
      </c>
      <c r="J1654" s="12">
        <f>SUMIF(order_item!B:B,A1654,order_item!E:E)</f>
        <v>753</v>
      </c>
      <c r="K1654" s="28" t="str">
        <f>_xlfn.XLOOKUP(B1654,customers!A:A,customers!D:D)</f>
        <v>Regular</v>
      </c>
    </row>
    <row r="1655" spans="1:11" x14ac:dyDescent="0.25">
      <c r="A1655" s="5" t="s">
        <v>1523</v>
      </c>
      <c r="B1655" s="5" t="s">
        <v>265</v>
      </c>
      <c r="C1655" s="5" t="s">
        <v>7306</v>
      </c>
      <c r="D1655" s="1">
        <v>45613</v>
      </c>
      <c r="E1655" s="17">
        <v>0.9770833333333333</v>
      </c>
      <c r="F1655" s="5" t="s">
        <v>7305</v>
      </c>
      <c r="G1655" s="12">
        <v>992</v>
      </c>
      <c r="H1655" s="12">
        <v>0</v>
      </c>
      <c r="I1655" s="12">
        <v>992</v>
      </c>
      <c r="J1655" s="12">
        <f>SUMIF(order_item!B:B,A1655,order_item!E:E)</f>
        <v>992</v>
      </c>
      <c r="K1655" s="28" t="str">
        <f>_xlfn.XLOOKUP(B1655,customers!A:A,customers!D:D)</f>
        <v>Premium</v>
      </c>
    </row>
    <row r="1656" spans="1:11" x14ac:dyDescent="0.25">
      <c r="A1656" s="5" t="s">
        <v>1518</v>
      </c>
      <c r="B1656" s="5" t="s">
        <v>222</v>
      </c>
      <c r="C1656" s="5" t="s">
        <v>7306</v>
      </c>
      <c r="D1656" s="1">
        <v>45525</v>
      </c>
      <c r="E1656" s="17">
        <v>0.72291666666666676</v>
      </c>
      <c r="F1656" s="5" t="s">
        <v>7305</v>
      </c>
      <c r="G1656" s="12">
        <v>1566</v>
      </c>
      <c r="H1656" s="12">
        <v>0</v>
      </c>
      <c r="I1656" s="12">
        <v>1566</v>
      </c>
      <c r="J1656" s="12">
        <f>SUMIF(order_item!B:B,A1656,order_item!E:E)</f>
        <v>1566</v>
      </c>
      <c r="K1656" s="28" t="str">
        <f>_xlfn.XLOOKUP(B1656,customers!A:A,customers!D:D)</f>
        <v>Regular</v>
      </c>
    </row>
    <row r="1657" spans="1:11" x14ac:dyDescent="0.25">
      <c r="A1657" s="5" t="s">
        <v>1515</v>
      </c>
      <c r="B1657" s="5" t="s">
        <v>129</v>
      </c>
      <c r="C1657" s="5" t="s">
        <v>7306</v>
      </c>
      <c r="D1657" s="1">
        <v>45696</v>
      </c>
      <c r="E1657" s="17">
        <v>0.82708333333333339</v>
      </c>
      <c r="F1657" s="5" t="s">
        <v>7305</v>
      </c>
      <c r="G1657" s="12">
        <v>296</v>
      </c>
      <c r="H1657" s="12">
        <v>29.6</v>
      </c>
      <c r="I1657" s="12">
        <v>266.39999999999998</v>
      </c>
      <c r="J1657" s="12">
        <f>SUMIF(order_item!B:B,A1657,order_item!E:E)</f>
        <v>296</v>
      </c>
      <c r="K1657" s="28" t="str">
        <f>_xlfn.XLOOKUP(B1657,customers!A:A,customers!D:D)</f>
        <v>New</v>
      </c>
    </row>
    <row r="1658" spans="1:11" x14ac:dyDescent="0.25">
      <c r="A1658" s="5" t="s">
        <v>1512</v>
      </c>
      <c r="B1658" s="5" t="s">
        <v>844</v>
      </c>
      <c r="C1658" s="5" t="s">
        <v>7306</v>
      </c>
      <c r="D1658" s="1">
        <v>45431</v>
      </c>
      <c r="E1658" s="17">
        <v>0.70833333333333337</v>
      </c>
      <c r="F1658" s="5" t="s">
        <v>7305</v>
      </c>
      <c r="G1658" s="12">
        <v>1221</v>
      </c>
      <c r="H1658" s="12">
        <v>0</v>
      </c>
      <c r="I1658" s="12">
        <v>1221</v>
      </c>
      <c r="J1658" s="12">
        <f>SUMIF(order_item!B:B,A1658,order_item!E:E)</f>
        <v>1221</v>
      </c>
      <c r="K1658" s="28" t="str">
        <f>_xlfn.XLOOKUP(B1658,customers!A:A,customers!D:D)</f>
        <v>Regular</v>
      </c>
    </row>
    <row r="1659" spans="1:11" x14ac:dyDescent="0.25">
      <c r="A1659" s="5" t="s">
        <v>1510</v>
      </c>
      <c r="B1659" s="5" t="s">
        <v>561</v>
      </c>
      <c r="C1659" s="5" t="s">
        <v>7309</v>
      </c>
      <c r="D1659" s="1">
        <v>45612</v>
      </c>
      <c r="E1659" s="17">
        <v>0.81458333333333333</v>
      </c>
      <c r="F1659" s="5" t="s">
        <v>7305</v>
      </c>
      <c r="G1659" s="12">
        <v>318</v>
      </c>
      <c r="H1659" s="12">
        <v>0</v>
      </c>
      <c r="I1659" s="12">
        <v>318</v>
      </c>
      <c r="J1659" s="12">
        <f>SUMIF(order_item!B:B,A1659,order_item!E:E)</f>
        <v>318</v>
      </c>
      <c r="K1659" s="28" t="str">
        <f>_xlfn.XLOOKUP(B1659,customers!A:A,customers!D:D)</f>
        <v>Regular</v>
      </c>
    </row>
    <row r="1660" spans="1:11" x14ac:dyDescent="0.25">
      <c r="A1660" s="5" t="s">
        <v>1507</v>
      </c>
      <c r="B1660" s="5" t="s">
        <v>836</v>
      </c>
      <c r="C1660" s="5" t="s">
        <v>7309</v>
      </c>
      <c r="D1660" s="1">
        <v>45622</v>
      </c>
      <c r="E1660" s="17">
        <v>0.65069444444444446</v>
      </c>
      <c r="F1660" s="5" t="s">
        <v>7307</v>
      </c>
      <c r="G1660" s="12">
        <v>594</v>
      </c>
      <c r="H1660" s="12">
        <v>59.4</v>
      </c>
      <c r="I1660" s="12">
        <v>0</v>
      </c>
      <c r="J1660" s="12">
        <f>SUMIF(order_item!B:B,A1660,order_item!E:E)</f>
        <v>594</v>
      </c>
      <c r="K1660" s="28" t="str">
        <f>_xlfn.XLOOKUP(B1660,customers!A:A,customers!D:D)</f>
        <v>Regular</v>
      </c>
    </row>
    <row r="1661" spans="1:11" x14ac:dyDescent="0.25">
      <c r="A1661" s="5" t="s">
        <v>1504</v>
      </c>
      <c r="B1661" s="5" t="s">
        <v>636</v>
      </c>
      <c r="C1661" s="5" t="s">
        <v>7309</v>
      </c>
      <c r="D1661" s="1">
        <v>45669</v>
      </c>
      <c r="E1661" s="17">
        <v>0.92083333333333339</v>
      </c>
      <c r="F1661" s="5" t="s">
        <v>7305</v>
      </c>
      <c r="G1661" s="12">
        <v>277</v>
      </c>
      <c r="H1661" s="12">
        <v>0</v>
      </c>
      <c r="I1661" s="12">
        <v>277</v>
      </c>
      <c r="J1661" s="12">
        <f>SUMIF(order_item!B:B,A1661,order_item!E:E)</f>
        <v>277</v>
      </c>
      <c r="K1661" s="28" t="str">
        <f>_xlfn.XLOOKUP(B1661,customers!A:A,customers!D:D)</f>
        <v>New</v>
      </c>
    </row>
    <row r="1662" spans="1:11" x14ac:dyDescent="0.25">
      <c r="A1662" s="5" t="s">
        <v>1501</v>
      </c>
      <c r="B1662" s="5" t="s">
        <v>665</v>
      </c>
      <c r="C1662" s="5" t="s">
        <v>7309</v>
      </c>
      <c r="D1662" s="1">
        <v>45390</v>
      </c>
      <c r="E1662" s="17">
        <v>0.8208333333333333</v>
      </c>
      <c r="F1662" s="5" t="s">
        <v>7305</v>
      </c>
      <c r="G1662" s="12">
        <v>336</v>
      </c>
      <c r="H1662" s="12">
        <v>0</v>
      </c>
      <c r="I1662" s="12">
        <v>336</v>
      </c>
      <c r="J1662" s="12">
        <f>SUMIF(order_item!B:B,A1662,order_item!E:E)</f>
        <v>336</v>
      </c>
      <c r="K1662" s="28" t="str">
        <f>_xlfn.XLOOKUP(B1662,customers!A:A,customers!D:D)</f>
        <v>Regular</v>
      </c>
    </row>
    <row r="1663" spans="1:11" x14ac:dyDescent="0.25">
      <c r="A1663" s="5" t="s">
        <v>1498</v>
      </c>
      <c r="B1663" s="5" t="s">
        <v>282</v>
      </c>
      <c r="C1663" s="5" t="s">
        <v>7308</v>
      </c>
      <c r="D1663" s="1">
        <v>45585</v>
      </c>
      <c r="E1663" s="17">
        <v>0.76388888888888884</v>
      </c>
      <c r="F1663" s="5" t="s">
        <v>7305</v>
      </c>
      <c r="G1663" s="12">
        <v>258</v>
      </c>
      <c r="H1663" s="12">
        <v>38.700000000000003</v>
      </c>
      <c r="I1663" s="12">
        <v>219.3</v>
      </c>
      <c r="J1663" s="12">
        <f>SUMIF(order_item!B:B,A1663,order_item!E:E)</f>
        <v>258</v>
      </c>
      <c r="K1663" s="28" t="str">
        <f>_xlfn.XLOOKUP(B1663,customers!A:A,customers!D:D)</f>
        <v>Premium</v>
      </c>
    </row>
    <row r="1664" spans="1:11" x14ac:dyDescent="0.25">
      <c r="A1664" s="5" t="s">
        <v>1494</v>
      </c>
      <c r="B1664" s="5" t="s">
        <v>457</v>
      </c>
      <c r="C1664" s="5" t="s">
        <v>7309</v>
      </c>
      <c r="D1664" s="1">
        <v>45653</v>
      </c>
      <c r="E1664" s="17">
        <v>0.74305555555555547</v>
      </c>
      <c r="F1664" s="5" t="s">
        <v>7305</v>
      </c>
      <c r="G1664" s="12">
        <v>652</v>
      </c>
      <c r="H1664" s="12">
        <v>0</v>
      </c>
      <c r="I1664" s="12">
        <v>652</v>
      </c>
      <c r="J1664" s="12">
        <f>SUMIF(order_item!B:B,A1664,order_item!E:E)</f>
        <v>652</v>
      </c>
      <c r="K1664" s="28" t="str">
        <f>_xlfn.XLOOKUP(B1664,customers!A:A,customers!D:D)</f>
        <v>New</v>
      </c>
    </row>
    <row r="1665" spans="1:11" x14ac:dyDescent="0.25">
      <c r="A1665" s="5" t="s">
        <v>1490</v>
      </c>
      <c r="B1665" s="5" t="s">
        <v>333</v>
      </c>
      <c r="C1665" s="5" t="s">
        <v>7308</v>
      </c>
      <c r="D1665" s="1">
        <v>45633</v>
      </c>
      <c r="E1665" s="17">
        <v>0.78819444444444453</v>
      </c>
      <c r="F1665" s="5" t="s">
        <v>7305</v>
      </c>
      <c r="G1665" s="12">
        <v>455</v>
      </c>
      <c r="H1665" s="12">
        <v>45.5</v>
      </c>
      <c r="I1665" s="12">
        <v>409.5</v>
      </c>
      <c r="J1665" s="12">
        <f>SUMIF(order_item!B:B,A1665,order_item!E:E)</f>
        <v>455</v>
      </c>
      <c r="K1665" s="28" t="str">
        <f>_xlfn.XLOOKUP(B1665,customers!A:A,customers!D:D)</f>
        <v>Regular</v>
      </c>
    </row>
    <row r="1666" spans="1:11" x14ac:dyDescent="0.25">
      <c r="A1666" s="5" t="s">
        <v>1487</v>
      </c>
      <c r="B1666" s="5" t="s">
        <v>458</v>
      </c>
      <c r="C1666" s="5" t="s">
        <v>7308</v>
      </c>
      <c r="D1666" s="1">
        <v>45601</v>
      </c>
      <c r="E1666" s="17">
        <v>0.66319444444444442</v>
      </c>
      <c r="F1666" s="5" t="s">
        <v>7305</v>
      </c>
      <c r="G1666" s="12">
        <v>316</v>
      </c>
      <c r="H1666" s="12">
        <v>15.8</v>
      </c>
      <c r="I1666" s="12">
        <v>300.2</v>
      </c>
      <c r="J1666" s="12">
        <f>SUMIF(order_item!B:B,A1666,order_item!E:E)</f>
        <v>316</v>
      </c>
      <c r="K1666" s="28" t="str">
        <f>_xlfn.XLOOKUP(B1666,customers!A:A,customers!D:D)</f>
        <v>Premium</v>
      </c>
    </row>
    <row r="1667" spans="1:11" x14ac:dyDescent="0.25">
      <c r="A1667" s="5" t="s">
        <v>1483</v>
      </c>
      <c r="B1667" s="5" t="s">
        <v>814</v>
      </c>
      <c r="C1667" s="5" t="s">
        <v>7308</v>
      </c>
      <c r="D1667" s="1">
        <v>45562</v>
      </c>
      <c r="E1667" s="17">
        <v>0.84791666666666676</v>
      </c>
      <c r="F1667" s="5" t="s">
        <v>7305</v>
      </c>
      <c r="G1667" s="12">
        <v>1250</v>
      </c>
      <c r="H1667" s="12">
        <v>0</v>
      </c>
      <c r="I1667" s="12">
        <v>1250</v>
      </c>
      <c r="J1667" s="12">
        <f>SUMIF(order_item!B:B,A1667,order_item!E:E)</f>
        <v>1250</v>
      </c>
      <c r="K1667" s="28" t="str">
        <f>_xlfn.XLOOKUP(B1667,customers!A:A,customers!D:D)</f>
        <v>Regular</v>
      </c>
    </row>
    <row r="1668" spans="1:11" x14ac:dyDescent="0.25">
      <c r="A1668" s="5" t="s">
        <v>1480</v>
      </c>
      <c r="B1668" s="5" t="s">
        <v>644</v>
      </c>
      <c r="C1668" s="5" t="s">
        <v>7309</v>
      </c>
      <c r="D1668" s="1">
        <v>45537</v>
      </c>
      <c r="E1668" s="17">
        <v>0.72499999999999998</v>
      </c>
      <c r="F1668" s="5" t="s">
        <v>7305</v>
      </c>
      <c r="G1668" s="12">
        <v>247</v>
      </c>
      <c r="H1668" s="12">
        <v>0</v>
      </c>
      <c r="I1668" s="12">
        <v>247</v>
      </c>
      <c r="J1668" s="12">
        <f>SUMIF(order_item!B:B,A1668,order_item!E:E)</f>
        <v>247</v>
      </c>
      <c r="K1668" s="28" t="str">
        <f>_xlfn.XLOOKUP(B1668,customers!A:A,customers!D:D)</f>
        <v>Regular</v>
      </c>
    </row>
    <row r="1669" spans="1:11" x14ac:dyDescent="0.25">
      <c r="A1669" s="5" t="s">
        <v>1477</v>
      </c>
      <c r="B1669" s="5" t="s">
        <v>800</v>
      </c>
      <c r="C1669" s="5" t="s">
        <v>7306</v>
      </c>
      <c r="D1669" s="1">
        <v>45609</v>
      </c>
      <c r="E1669" s="17">
        <v>0.50972222222222219</v>
      </c>
      <c r="F1669" s="5" t="s">
        <v>7305</v>
      </c>
      <c r="G1669" s="12">
        <v>445</v>
      </c>
      <c r="H1669" s="12">
        <v>0</v>
      </c>
      <c r="I1669" s="12">
        <v>445</v>
      </c>
      <c r="J1669" s="12">
        <f>SUMIF(order_item!B:B,A1669,order_item!E:E)</f>
        <v>445</v>
      </c>
      <c r="K1669" s="28" t="str">
        <f>_xlfn.XLOOKUP(B1669,customers!A:A,customers!D:D)</f>
        <v>Regular</v>
      </c>
    </row>
    <row r="1670" spans="1:11" x14ac:dyDescent="0.25">
      <c r="A1670" s="5" t="s">
        <v>1474</v>
      </c>
      <c r="B1670" s="5" t="s">
        <v>551</v>
      </c>
      <c r="C1670" s="5" t="s">
        <v>7309</v>
      </c>
      <c r="D1670" s="1">
        <v>45565</v>
      </c>
      <c r="E1670" s="17">
        <v>0.7055555555555556</v>
      </c>
      <c r="F1670" s="5" t="s">
        <v>7305</v>
      </c>
      <c r="G1670" s="12">
        <v>665</v>
      </c>
      <c r="H1670" s="12">
        <v>0</v>
      </c>
      <c r="I1670" s="12">
        <v>665</v>
      </c>
      <c r="J1670" s="12">
        <f>SUMIF(order_item!B:B,A1670,order_item!E:E)</f>
        <v>665</v>
      </c>
      <c r="K1670" s="28" t="str">
        <f>_xlfn.XLOOKUP(B1670,customers!A:A,customers!D:D)</f>
        <v>Regular</v>
      </c>
    </row>
    <row r="1671" spans="1:11" x14ac:dyDescent="0.25">
      <c r="A1671" s="5" t="s">
        <v>1471</v>
      </c>
      <c r="B1671" s="5" t="s">
        <v>412</v>
      </c>
      <c r="C1671" s="5" t="s">
        <v>7308</v>
      </c>
      <c r="D1671" s="1">
        <v>45563</v>
      </c>
      <c r="E1671" s="17">
        <v>0.68888888888888899</v>
      </c>
      <c r="F1671" s="5" t="s">
        <v>7305</v>
      </c>
      <c r="G1671" s="12">
        <v>298</v>
      </c>
      <c r="H1671" s="12">
        <v>0</v>
      </c>
      <c r="I1671" s="12">
        <v>298</v>
      </c>
      <c r="J1671" s="12">
        <f>SUMIF(order_item!B:B,A1671,order_item!E:E)</f>
        <v>298</v>
      </c>
      <c r="K1671" s="28" t="str">
        <f>_xlfn.XLOOKUP(B1671,customers!A:A,customers!D:D)</f>
        <v>Regular</v>
      </c>
    </row>
    <row r="1672" spans="1:11" x14ac:dyDescent="0.25">
      <c r="A1672" s="5" t="s">
        <v>1468</v>
      </c>
      <c r="B1672" s="5" t="s">
        <v>638</v>
      </c>
      <c r="C1672" s="5" t="s">
        <v>7309</v>
      </c>
      <c r="D1672" s="1">
        <v>45480</v>
      </c>
      <c r="E1672" s="17">
        <v>0.86458333333333337</v>
      </c>
      <c r="F1672" s="5" t="s">
        <v>7305</v>
      </c>
      <c r="G1672" s="12">
        <v>456</v>
      </c>
      <c r="H1672" s="12">
        <v>0</v>
      </c>
      <c r="I1672" s="12">
        <v>456</v>
      </c>
      <c r="J1672" s="12">
        <f>SUMIF(order_item!B:B,A1672,order_item!E:E)</f>
        <v>456</v>
      </c>
      <c r="K1672" s="28" t="str">
        <f>_xlfn.XLOOKUP(B1672,customers!A:A,customers!D:D)</f>
        <v>New</v>
      </c>
    </row>
    <row r="1673" spans="1:11" x14ac:dyDescent="0.25">
      <c r="A1673" s="5" t="s">
        <v>1466</v>
      </c>
      <c r="B1673" s="5" t="s">
        <v>526</v>
      </c>
      <c r="C1673" s="5" t="s">
        <v>7309</v>
      </c>
      <c r="D1673" s="1">
        <v>45481</v>
      </c>
      <c r="E1673" s="17">
        <v>0.81597222222222221</v>
      </c>
      <c r="F1673" s="5" t="s">
        <v>7305</v>
      </c>
      <c r="G1673" s="12">
        <v>139</v>
      </c>
      <c r="H1673" s="12">
        <v>0</v>
      </c>
      <c r="I1673" s="12">
        <v>139</v>
      </c>
      <c r="J1673" s="12">
        <f>SUMIF(order_item!B:B,A1673,order_item!E:E)</f>
        <v>139</v>
      </c>
      <c r="K1673" s="28" t="str">
        <f>_xlfn.XLOOKUP(B1673,customers!A:A,customers!D:D)</f>
        <v>Regular</v>
      </c>
    </row>
    <row r="1674" spans="1:11" x14ac:dyDescent="0.25">
      <c r="A1674" s="5" t="s">
        <v>1462</v>
      </c>
      <c r="B1674" s="5" t="s">
        <v>812</v>
      </c>
      <c r="C1674" s="5" t="s">
        <v>7309</v>
      </c>
      <c r="D1674" s="1">
        <v>45511</v>
      </c>
      <c r="E1674" s="17">
        <v>0.72152777777777777</v>
      </c>
      <c r="F1674" s="5" t="s">
        <v>7305</v>
      </c>
      <c r="G1674" s="12">
        <v>595</v>
      </c>
      <c r="H1674" s="12">
        <v>0</v>
      </c>
      <c r="I1674" s="12">
        <v>595</v>
      </c>
      <c r="J1674" s="12">
        <f>SUMIF(order_item!B:B,A1674,order_item!E:E)</f>
        <v>595</v>
      </c>
      <c r="K1674" s="28" t="str">
        <f>_xlfn.XLOOKUP(B1674,customers!A:A,customers!D:D)</f>
        <v>Regular</v>
      </c>
    </row>
    <row r="1675" spans="1:11" x14ac:dyDescent="0.25">
      <c r="A1675" s="5" t="s">
        <v>1458</v>
      </c>
      <c r="B1675" s="5" t="s">
        <v>315</v>
      </c>
      <c r="C1675" s="5" t="s">
        <v>7306</v>
      </c>
      <c r="D1675" s="1">
        <v>45396</v>
      </c>
      <c r="E1675" s="17">
        <v>0.80694444444444446</v>
      </c>
      <c r="F1675" s="5" t="s">
        <v>7305</v>
      </c>
      <c r="G1675" s="12">
        <v>336</v>
      </c>
      <c r="H1675" s="12">
        <v>33.6</v>
      </c>
      <c r="I1675" s="12">
        <v>302.39999999999998</v>
      </c>
      <c r="J1675" s="12">
        <f>SUMIF(order_item!B:B,A1675,order_item!E:E)</f>
        <v>336</v>
      </c>
      <c r="K1675" s="28" t="str">
        <f>_xlfn.XLOOKUP(B1675,customers!A:A,customers!D:D)</f>
        <v>Regular</v>
      </c>
    </row>
    <row r="1676" spans="1:11" x14ac:dyDescent="0.25">
      <c r="A1676" s="5" t="s">
        <v>1453</v>
      </c>
      <c r="B1676" s="5" t="s">
        <v>83</v>
      </c>
      <c r="C1676" s="5" t="s">
        <v>7309</v>
      </c>
      <c r="D1676" s="1">
        <v>45730</v>
      </c>
      <c r="E1676" s="17">
        <v>4.7222222222222221E-2</v>
      </c>
      <c r="F1676" s="5" t="s">
        <v>7305</v>
      </c>
      <c r="G1676" s="12">
        <v>506</v>
      </c>
      <c r="H1676" s="12">
        <v>0</v>
      </c>
      <c r="I1676" s="12">
        <v>506</v>
      </c>
      <c r="J1676" s="12">
        <f>SUMIF(order_item!B:B,A1676,order_item!E:E)</f>
        <v>506</v>
      </c>
      <c r="K1676" s="28" t="str">
        <f>_xlfn.XLOOKUP(B1676,customers!A:A,customers!D:D)</f>
        <v>Regular</v>
      </c>
    </row>
    <row r="1677" spans="1:11" x14ac:dyDescent="0.25">
      <c r="A1677" s="5" t="s">
        <v>1449</v>
      </c>
      <c r="B1677" s="5" t="s">
        <v>424</v>
      </c>
      <c r="C1677" s="5" t="s">
        <v>7306</v>
      </c>
      <c r="D1677" s="1">
        <v>45628</v>
      </c>
      <c r="E1677" s="17">
        <v>0.4201388888888889</v>
      </c>
      <c r="F1677" s="5" t="s">
        <v>7305</v>
      </c>
      <c r="G1677" s="12">
        <v>445</v>
      </c>
      <c r="H1677" s="12">
        <v>0</v>
      </c>
      <c r="I1677" s="12">
        <v>445</v>
      </c>
      <c r="J1677" s="12">
        <f>SUMIF(order_item!B:B,A1677,order_item!E:E)</f>
        <v>445</v>
      </c>
      <c r="K1677" s="28" t="str">
        <f>_xlfn.XLOOKUP(B1677,customers!A:A,customers!D:D)</f>
        <v>New</v>
      </c>
    </row>
    <row r="1678" spans="1:11" x14ac:dyDescent="0.25">
      <c r="A1678" s="5" t="s">
        <v>1446</v>
      </c>
      <c r="B1678" s="5" t="s">
        <v>567</v>
      </c>
      <c r="C1678" s="5" t="s">
        <v>7309</v>
      </c>
      <c r="D1678" s="1">
        <v>45733</v>
      </c>
      <c r="E1678" s="17">
        <v>0.55902777777777779</v>
      </c>
      <c r="F1678" s="5" t="s">
        <v>7305</v>
      </c>
      <c r="G1678" s="12">
        <v>386</v>
      </c>
      <c r="H1678" s="12">
        <v>38.6</v>
      </c>
      <c r="I1678" s="12">
        <v>347.4</v>
      </c>
      <c r="J1678" s="12">
        <f>SUMIF(order_item!B:B,A1678,order_item!E:E)</f>
        <v>386</v>
      </c>
      <c r="K1678" s="28" t="str">
        <f>_xlfn.XLOOKUP(B1678,customers!A:A,customers!D:D)</f>
        <v>Regular</v>
      </c>
    </row>
    <row r="1679" spans="1:11" x14ac:dyDescent="0.25">
      <c r="A1679" s="5" t="s">
        <v>1441</v>
      </c>
      <c r="B1679" s="5" t="s">
        <v>440</v>
      </c>
      <c r="C1679" s="5" t="s">
        <v>7309</v>
      </c>
      <c r="D1679" s="1">
        <v>45629</v>
      </c>
      <c r="E1679" s="17">
        <v>0.82361111111111107</v>
      </c>
      <c r="F1679" s="5" t="s">
        <v>7305</v>
      </c>
      <c r="G1679" s="12">
        <v>911</v>
      </c>
      <c r="H1679" s="12">
        <v>45.55</v>
      </c>
      <c r="I1679" s="12">
        <v>865.45</v>
      </c>
      <c r="J1679" s="12">
        <f>SUMIF(order_item!B:B,A1679,order_item!E:E)</f>
        <v>911</v>
      </c>
      <c r="K1679" s="28" t="str">
        <f>_xlfn.XLOOKUP(B1679,customers!A:A,customers!D:D)</f>
        <v>Regular</v>
      </c>
    </row>
    <row r="1680" spans="1:11" x14ac:dyDescent="0.25">
      <c r="A1680" s="5" t="s">
        <v>1437</v>
      </c>
      <c r="B1680" s="5" t="s">
        <v>712</v>
      </c>
      <c r="C1680" s="5" t="s">
        <v>7309</v>
      </c>
      <c r="D1680" s="1">
        <v>45498</v>
      </c>
      <c r="E1680" s="17">
        <v>0.73888888888888893</v>
      </c>
      <c r="F1680" s="5" t="s">
        <v>7305</v>
      </c>
      <c r="G1680" s="12">
        <v>674</v>
      </c>
      <c r="H1680" s="12">
        <v>0</v>
      </c>
      <c r="I1680" s="12">
        <v>674</v>
      </c>
      <c r="J1680" s="12">
        <f>SUMIF(order_item!B:B,A1680,order_item!E:E)</f>
        <v>674</v>
      </c>
      <c r="K1680" s="28" t="str">
        <f>_xlfn.XLOOKUP(B1680,customers!A:A,customers!D:D)</f>
        <v>Regular</v>
      </c>
    </row>
    <row r="1681" spans="1:11" x14ac:dyDescent="0.25">
      <c r="A1681" s="5" t="s">
        <v>1434</v>
      </c>
      <c r="B1681" s="5" t="s">
        <v>834</v>
      </c>
      <c r="C1681" s="5" t="s">
        <v>7309</v>
      </c>
      <c r="D1681" s="1">
        <v>45555</v>
      </c>
      <c r="E1681" s="17">
        <v>0.42777777777777781</v>
      </c>
      <c r="F1681" s="5" t="s">
        <v>7305</v>
      </c>
      <c r="G1681" s="12">
        <v>356</v>
      </c>
      <c r="H1681" s="12">
        <v>17.8</v>
      </c>
      <c r="I1681" s="12">
        <v>338.2</v>
      </c>
      <c r="J1681" s="12">
        <f>SUMIF(order_item!B:B,A1681,order_item!E:E)</f>
        <v>356</v>
      </c>
      <c r="K1681" s="28" t="str">
        <f>_xlfn.XLOOKUP(B1681,customers!A:A,customers!D:D)</f>
        <v>Regular</v>
      </c>
    </row>
    <row r="1682" spans="1:11" x14ac:dyDescent="0.25">
      <c r="A1682" s="5" t="s">
        <v>1429</v>
      </c>
      <c r="B1682" s="5" t="s">
        <v>757</v>
      </c>
      <c r="C1682" s="5" t="s">
        <v>7309</v>
      </c>
      <c r="D1682" s="1">
        <v>45487</v>
      </c>
      <c r="E1682" s="17">
        <v>0.97291666666666676</v>
      </c>
      <c r="F1682" s="5" t="s">
        <v>7305</v>
      </c>
      <c r="G1682" s="12">
        <v>1047</v>
      </c>
      <c r="H1682" s="12">
        <v>0</v>
      </c>
      <c r="I1682" s="12">
        <v>1047</v>
      </c>
      <c r="J1682" s="12">
        <f>SUMIF(order_item!B:B,A1682,order_item!E:E)</f>
        <v>1047</v>
      </c>
      <c r="K1682" s="28" t="str">
        <f>_xlfn.XLOOKUP(B1682,customers!A:A,customers!D:D)</f>
        <v>New</v>
      </c>
    </row>
    <row r="1683" spans="1:11" x14ac:dyDescent="0.25">
      <c r="A1683" s="5" t="s">
        <v>1426</v>
      </c>
      <c r="B1683" s="5" t="s">
        <v>479</v>
      </c>
      <c r="C1683" s="5" t="s">
        <v>7308</v>
      </c>
      <c r="D1683" s="1">
        <v>45582</v>
      </c>
      <c r="E1683" s="17">
        <v>0.75347222222222221</v>
      </c>
      <c r="F1683" s="5" t="s">
        <v>7305</v>
      </c>
      <c r="G1683" s="12">
        <v>288</v>
      </c>
      <c r="H1683" s="12">
        <v>14.4</v>
      </c>
      <c r="I1683" s="12">
        <v>273.60000000000002</v>
      </c>
      <c r="J1683" s="12">
        <f>SUMIF(order_item!B:B,A1683,order_item!E:E)</f>
        <v>288</v>
      </c>
      <c r="K1683" s="28" t="str">
        <f>_xlfn.XLOOKUP(B1683,customers!A:A,customers!D:D)</f>
        <v>Regular</v>
      </c>
    </row>
    <row r="1684" spans="1:11" x14ac:dyDescent="0.25">
      <c r="A1684" s="5" t="s">
        <v>1423</v>
      </c>
      <c r="B1684" s="5" t="s">
        <v>861</v>
      </c>
      <c r="C1684" s="5" t="s">
        <v>7309</v>
      </c>
      <c r="D1684" s="1">
        <v>45717</v>
      </c>
      <c r="E1684" s="17">
        <v>0.8833333333333333</v>
      </c>
      <c r="F1684" s="5" t="s">
        <v>7305</v>
      </c>
      <c r="G1684" s="12">
        <v>395</v>
      </c>
      <c r="H1684" s="12">
        <v>19.75</v>
      </c>
      <c r="I1684" s="12">
        <v>375.25</v>
      </c>
      <c r="J1684" s="12">
        <f>SUMIF(order_item!B:B,A1684,order_item!E:E)</f>
        <v>395</v>
      </c>
      <c r="K1684" s="28" t="str">
        <f>_xlfn.XLOOKUP(B1684,customers!A:A,customers!D:D)</f>
        <v>Premium</v>
      </c>
    </row>
    <row r="1685" spans="1:11" x14ac:dyDescent="0.25">
      <c r="A1685" s="5" t="s">
        <v>1419</v>
      </c>
      <c r="B1685" s="5" t="s">
        <v>392</v>
      </c>
      <c r="C1685" s="5" t="s">
        <v>7309</v>
      </c>
      <c r="D1685" s="1">
        <v>45729</v>
      </c>
      <c r="E1685" s="17">
        <v>0.97430555555555554</v>
      </c>
      <c r="F1685" s="5" t="s">
        <v>7305</v>
      </c>
      <c r="G1685" s="12">
        <v>336</v>
      </c>
      <c r="H1685" s="12">
        <v>0</v>
      </c>
      <c r="I1685" s="12">
        <v>336</v>
      </c>
      <c r="J1685" s="12">
        <f>SUMIF(order_item!B:B,A1685,order_item!E:E)</f>
        <v>336</v>
      </c>
      <c r="K1685" s="28" t="str">
        <f>_xlfn.XLOOKUP(B1685,customers!A:A,customers!D:D)</f>
        <v>Regular</v>
      </c>
    </row>
    <row r="1686" spans="1:11" x14ac:dyDescent="0.25">
      <c r="A1686" s="5" t="s">
        <v>1416</v>
      </c>
      <c r="B1686" s="5" t="s">
        <v>606</v>
      </c>
      <c r="C1686" s="5" t="s">
        <v>7309</v>
      </c>
      <c r="D1686" s="1">
        <v>45668</v>
      </c>
      <c r="E1686" s="17">
        <v>0.73263888888888884</v>
      </c>
      <c r="F1686" s="5" t="s">
        <v>7305</v>
      </c>
      <c r="G1686" s="12">
        <v>238</v>
      </c>
      <c r="H1686" s="12">
        <v>0</v>
      </c>
      <c r="I1686" s="12">
        <v>238</v>
      </c>
      <c r="J1686" s="12">
        <f>SUMIF(order_item!B:B,A1686,order_item!E:E)</f>
        <v>238</v>
      </c>
      <c r="K1686" s="28" t="str">
        <f>_xlfn.XLOOKUP(B1686,customers!A:A,customers!D:D)</f>
        <v>Regular</v>
      </c>
    </row>
    <row r="1687" spans="1:11" x14ac:dyDescent="0.25">
      <c r="A1687" s="5" t="s">
        <v>1411</v>
      </c>
      <c r="B1687" s="5" t="s">
        <v>470</v>
      </c>
      <c r="C1687" s="5" t="s">
        <v>7308</v>
      </c>
      <c r="D1687" s="1">
        <v>45606</v>
      </c>
      <c r="E1687" s="17">
        <v>0.83680555555555547</v>
      </c>
      <c r="F1687" s="5" t="s">
        <v>7305</v>
      </c>
      <c r="G1687" s="12">
        <v>901</v>
      </c>
      <c r="H1687" s="12">
        <v>0</v>
      </c>
      <c r="I1687" s="12">
        <v>901</v>
      </c>
      <c r="J1687" s="12">
        <f>SUMIF(order_item!B:B,A1687,order_item!E:E)</f>
        <v>901</v>
      </c>
      <c r="K1687" s="28" t="str">
        <f>_xlfn.XLOOKUP(B1687,customers!A:A,customers!D:D)</f>
        <v>New</v>
      </c>
    </row>
    <row r="1688" spans="1:11" x14ac:dyDescent="0.25">
      <c r="A1688" s="5" t="s">
        <v>1406</v>
      </c>
      <c r="B1688" s="5" t="s">
        <v>537</v>
      </c>
      <c r="C1688" s="5" t="s">
        <v>7306</v>
      </c>
      <c r="D1688" s="1">
        <v>45423</v>
      </c>
      <c r="E1688" s="17">
        <v>0.77500000000000002</v>
      </c>
      <c r="F1688" s="5" t="s">
        <v>7305</v>
      </c>
      <c r="G1688" s="12">
        <v>495</v>
      </c>
      <c r="H1688" s="12">
        <v>0</v>
      </c>
      <c r="I1688" s="12">
        <v>495</v>
      </c>
      <c r="J1688" s="12">
        <f>SUMIF(order_item!B:B,A1688,order_item!E:E)</f>
        <v>495</v>
      </c>
      <c r="K1688" s="28" t="str">
        <f>_xlfn.XLOOKUP(B1688,customers!A:A,customers!D:D)</f>
        <v>New</v>
      </c>
    </row>
    <row r="1689" spans="1:11" x14ac:dyDescent="0.25">
      <c r="A1689" s="5" t="s">
        <v>1402</v>
      </c>
      <c r="B1689" s="5" t="s">
        <v>388</v>
      </c>
      <c r="C1689" s="5" t="s">
        <v>7309</v>
      </c>
      <c r="D1689" s="1">
        <v>45417</v>
      </c>
      <c r="E1689" s="17">
        <v>0.78888888888888886</v>
      </c>
      <c r="F1689" s="5" t="s">
        <v>7305</v>
      </c>
      <c r="G1689" s="12">
        <v>247</v>
      </c>
      <c r="H1689" s="12">
        <v>0</v>
      </c>
      <c r="I1689" s="12">
        <v>247</v>
      </c>
      <c r="J1689" s="12">
        <f>SUMIF(order_item!B:B,A1689,order_item!E:E)</f>
        <v>247</v>
      </c>
      <c r="K1689" s="28" t="str">
        <f>_xlfn.XLOOKUP(B1689,customers!A:A,customers!D:D)</f>
        <v>Regular</v>
      </c>
    </row>
    <row r="1690" spans="1:11" x14ac:dyDescent="0.25">
      <c r="A1690" s="5" t="s">
        <v>1399</v>
      </c>
      <c r="B1690" s="5" t="s">
        <v>617</v>
      </c>
      <c r="C1690" s="5" t="s">
        <v>7306</v>
      </c>
      <c r="D1690" s="1">
        <v>45707</v>
      </c>
      <c r="E1690" s="17">
        <v>0.8930555555555556</v>
      </c>
      <c r="F1690" s="5" t="s">
        <v>7305</v>
      </c>
      <c r="G1690" s="12">
        <v>346</v>
      </c>
      <c r="H1690" s="12">
        <v>0</v>
      </c>
      <c r="I1690" s="12">
        <v>346</v>
      </c>
      <c r="J1690" s="12">
        <f>SUMIF(order_item!B:B,A1690,order_item!E:E)</f>
        <v>346</v>
      </c>
      <c r="K1690" s="28" t="str">
        <f>_xlfn.XLOOKUP(B1690,customers!A:A,customers!D:D)</f>
        <v>Premium</v>
      </c>
    </row>
    <row r="1691" spans="1:11" x14ac:dyDescent="0.25">
      <c r="A1691" s="5" t="s">
        <v>1396</v>
      </c>
      <c r="B1691" s="5" t="s">
        <v>744</v>
      </c>
      <c r="C1691" s="5" t="s">
        <v>7306</v>
      </c>
      <c r="D1691" s="1">
        <v>45743</v>
      </c>
      <c r="E1691" s="17">
        <v>0.86597222222222225</v>
      </c>
      <c r="F1691" s="5" t="s">
        <v>7305</v>
      </c>
      <c r="G1691" s="12">
        <v>238</v>
      </c>
      <c r="H1691" s="12">
        <v>0</v>
      </c>
      <c r="I1691" s="12">
        <v>238</v>
      </c>
      <c r="J1691" s="12">
        <f>SUMIF(order_item!B:B,A1691,order_item!E:E)</f>
        <v>238</v>
      </c>
      <c r="K1691" s="28" t="str">
        <f>_xlfn.XLOOKUP(B1691,customers!A:A,customers!D:D)</f>
        <v>New</v>
      </c>
    </row>
    <row r="1692" spans="1:11" x14ac:dyDescent="0.25">
      <c r="A1692" s="5" t="s">
        <v>1392</v>
      </c>
      <c r="B1692" s="5" t="s">
        <v>575</v>
      </c>
      <c r="C1692" s="5" t="s">
        <v>7308</v>
      </c>
      <c r="D1692" s="1">
        <v>45634</v>
      </c>
      <c r="E1692" s="17">
        <v>0.41736111111111113</v>
      </c>
      <c r="F1692" s="5" t="s">
        <v>7305</v>
      </c>
      <c r="G1692" s="12">
        <v>733</v>
      </c>
      <c r="H1692" s="12">
        <v>109.95</v>
      </c>
      <c r="I1692" s="12">
        <v>623.04999999999995</v>
      </c>
      <c r="J1692" s="12">
        <f>SUMIF(order_item!B:B,A1692,order_item!E:E)</f>
        <v>733</v>
      </c>
      <c r="K1692" s="28" t="str">
        <f>_xlfn.XLOOKUP(B1692,customers!A:A,customers!D:D)</f>
        <v>Regular</v>
      </c>
    </row>
    <row r="1693" spans="1:11" x14ac:dyDescent="0.25">
      <c r="A1693" s="5" t="s">
        <v>1389</v>
      </c>
      <c r="B1693" s="5" t="s">
        <v>480</v>
      </c>
      <c r="C1693" s="5" t="s">
        <v>7309</v>
      </c>
      <c r="D1693" s="1">
        <v>45486</v>
      </c>
      <c r="E1693" s="17">
        <v>0.43402777777777773</v>
      </c>
      <c r="F1693" s="5" t="s">
        <v>7305</v>
      </c>
      <c r="G1693" s="12">
        <v>317</v>
      </c>
      <c r="H1693" s="12">
        <v>0</v>
      </c>
      <c r="I1693" s="12">
        <v>317</v>
      </c>
      <c r="J1693" s="12">
        <f>SUMIF(order_item!B:B,A1693,order_item!E:E)</f>
        <v>317</v>
      </c>
      <c r="K1693" s="28" t="str">
        <f>_xlfn.XLOOKUP(B1693,customers!A:A,customers!D:D)</f>
        <v>New</v>
      </c>
    </row>
    <row r="1694" spans="1:11" x14ac:dyDescent="0.25">
      <c r="A1694" s="5" t="s">
        <v>1386</v>
      </c>
      <c r="B1694" s="5" t="s">
        <v>603</v>
      </c>
      <c r="C1694" s="5" t="s">
        <v>7308</v>
      </c>
      <c r="D1694" s="1">
        <v>45664</v>
      </c>
      <c r="E1694" s="17">
        <v>3.4027777777777775E-2</v>
      </c>
      <c r="F1694" s="5" t="s">
        <v>7305</v>
      </c>
      <c r="G1694" s="12">
        <v>695</v>
      </c>
      <c r="H1694" s="12">
        <v>34.75</v>
      </c>
      <c r="I1694" s="12">
        <v>660.25</v>
      </c>
      <c r="J1694" s="12">
        <f>SUMIF(order_item!B:B,A1694,order_item!E:E)</f>
        <v>695</v>
      </c>
      <c r="K1694" s="28" t="str">
        <f>_xlfn.XLOOKUP(B1694,customers!A:A,customers!D:D)</f>
        <v>Regular</v>
      </c>
    </row>
    <row r="1695" spans="1:11" x14ac:dyDescent="0.25">
      <c r="A1695" s="5" t="s">
        <v>1383</v>
      </c>
      <c r="B1695" s="5" t="s">
        <v>244</v>
      </c>
      <c r="C1695" s="5" t="s">
        <v>7306</v>
      </c>
      <c r="D1695" s="1">
        <v>45387</v>
      </c>
      <c r="E1695" s="17">
        <v>0.73749999999999993</v>
      </c>
      <c r="F1695" s="5" t="s">
        <v>7305</v>
      </c>
      <c r="G1695" s="12">
        <v>258</v>
      </c>
      <c r="H1695" s="12">
        <v>12.9</v>
      </c>
      <c r="I1695" s="12">
        <v>245.1</v>
      </c>
      <c r="J1695" s="12">
        <f>SUMIF(order_item!B:B,A1695,order_item!E:E)</f>
        <v>258</v>
      </c>
      <c r="K1695" s="28" t="str">
        <f>_xlfn.XLOOKUP(B1695,customers!A:A,customers!D:D)</f>
        <v>Regular</v>
      </c>
    </row>
    <row r="1696" spans="1:11" x14ac:dyDescent="0.25">
      <c r="A1696" s="5" t="s">
        <v>1378</v>
      </c>
      <c r="B1696" s="5" t="s">
        <v>634</v>
      </c>
      <c r="C1696" s="5" t="s">
        <v>7306</v>
      </c>
      <c r="D1696" s="1">
        <v>45732</v>
      </c>
      <c r="E1696" s="17">
        <v>0.56597222222222221</v>
      </c>
      <c r="F1696" s="5" t="s">
        <v>7305</v>
      </c>
      <c r="G1696" s="12">
        <v>435</v>
      </c>
      <c r="H1696" s="12">
        <v>0</v>
      </c>
      <c r="I1696" s="12">
        <v>435</v>
      </c>
      <c r="J1696" s="12">
        <f>SUMIF(order_item!B:B,A1696,order_item!E:E)</f>
        <v>435</v>
      </c>
      <c r="K1696" s="28" t="str">
        <f>_xlfn.XLOOKUP(B1696,customers!A:A,customers!D:D)</f>
        <v>Regular</v>
      </c>
    </row>
    <row r="1697" spans="1:11" x14ac:dyDescent="0.25">
      <c r="A1697" s="5" t="s">
        <v>1376</v>
      </c>
      <c r="B1697" s="5" t="s">
        <v>333</v>
      </c>
      <c r="C1697" s="5" t="s">
        <v>7308</v>
      </c>
      <c r="D1697" s="1">
        <v>45584</v>
      </c>
      <c r="E1697" s="17">
        <v>4.2361111111111106E-2</v>
      </c>
      <c r="F1697" s="5" t="s">
        <v>7305</v>
      </c>
      <c r="G1697" s="12">
        <v>89</v>
      </c>
      <c r="H1697" s="12">
        <v>4.45</v>
      </c>
      <c r="I1697" s="12">
        <v>84.55</v>
      </c>
      <c r="J1697" s="12">
        <f>SUMIF(order_item!B:B,A1697,order_item!E:E)</f>
        <v>89</v>
      </c>
      <c r="K1697" s="28" t="str">
        <f>_xlfn.XLOOKUP(B1697,customers!A:A,customers!D:D)</f>
        <v>Regular</v>
      </c>
    </row>
    <row r="1698" spans="1:11" x14ac:dyDescent="0.25">
      <c r="A1698" s="5" t="s">
        <v>1371</v>
      </c>
      <c r="B1698" s="5" t="s">
        <v>858</v>
      </c>
      <c r="C1698" s="5" t="s">
        <v>7309</v>
      </c>
      <c r="D1698" s="1">
        <v>45451</v>
      </c>
      <c r="E1698" s="17">
        <v>0.4694444444444445</v>
      </c>
      <c r="F1698" s="5" t="s">
        <v>7305</v>
      </c>
      <c r="G1698" s="12">
        <v>731</v>
      </c>
      <c r="H1698" s="12">
        <v>109.65</v>
      </c>
      <c r="I1698" s="12">
        <v>621.35</v>
      </c>
      <c r="J1698" s="12">
        <f>SUMIF(order_item!B:B,A1698,order_item!E:E)</f>
        <v>731</v>
      </c>
      <c r="K1698" s="28" t="str">
        <f>_xlfn.XLOOKUP(B1698,customers!A:A,customers!D:D)</f>
        <v>New</v>
      </c>
    </row>
    <row r="1699" spans="1:11" x14ac:dyDescent="0.25">
      <c r="A1699" s="5" t="s">
        <v>1369</v>
      </c>
      <c r="B1699" s="5" t="s">
        <v>597</v>
      </c>
      <c r="C1699" s="5" t="s">
        <v>7308</v>
      </c>
      <c r="D1699" s="1">
        <v>45737</v>
      </c>
      <c r="E1699" s="17">
        <v>0.76874999999999993</v>
      </c>
      <c r="F1699" s="5" t="s">
        <v>7305</v>
      </c>
      <c r="G1699" s="12">
        <v>79</v>
      </c>
      <c r="H1699" s="12">
        <v>0</v>
      </c>
      <c r="I1699" s="12">
        <v>79</v>
      </c>
      <c r="J1699" s="12">
        <f>SUMIF(order_item!B:B,A1699,order_item!E:E)</f>
        <v>79</v>
      </c>
      <c r="K1699" s="28" t="str">
        <f>_xlfn.XLOOKUP(B1699,customers!A:A,customers!D:D)</f>
        <v>Regular</v>
      </c>
    </row>
    <row r="1700" spans="1:11" x14ac:dyDescent="0.25">
      <c r="A1700" s="5" t="s">
        <v>1365</v>
      </c>
      <c r="B1700" s="5" t="s">
        <v>517</v>
      </c>
      <c r="C1700" s="5" t="s">
        <v>7306</v>
      </c>
      <c r="D1700" s="1">
        <v>45558</v>
      </c>
      <c r="E1700" s="17">
        <v>0.85763888888888884</v>
      </c>
      <c r="F1700" s="5" t="s">
        <v>7305</v>
      </c>
      <c r="G1700" s="12">
        <v>472</v>
      </c>
      <c r="H1700" s="12">
        <v>0</v>
      </c>
      <c r="I1700" s="12">
        <v>472</v>
      </c>
      <c r="J1700" s="12">
        <f>SUMIF(order_item!B:B,A1700,order_item!E:E)</f>
        <v>472</v>
      </c>
      <c r="K1700" s="28" t="str">
        <f>_xlfn.XLOOKUP(B1700,customers!A:A,customers!D:D)</f>
        <v>New</v>
      </c>
    </row>
    <row r="1701" spans="1:11" x14ac:dyDescent="0.25">
      <c r="A1701" s="5" t="s">
        <v>1360</v>
      </c>
      <c r="B1701" s="5" t="s">
        <v>155</v>
      </c>
      <c r="C1701" s="5" t="s">
        <v>7308</v>
      </c>
      <c r="D1701" s="1">
        <v>45626</v>
      </c>
      <c r="E1701" s="17">
        <v>0.88055555555555554</v>
      </c>
      <c r="F1701" s="5" t="s">
        <v>7305</v>
      </c>
      <c r="G1701" s="12">
        <v>772</v>
      </c>
      <c r="H1701" s="12">
        <v>0</v>
      </c>
      <c r="I1701" s="12">
        <v>772</v>
      </c>
      <c r="J1701" s="12">
        <f>SUMIF(order_item!B:B,A1701,order_item!E:E)</f>
        <v>772</v>
      </c>
      <c r="K1701" s="28" t="str">
        <f>_xlfn.XLOOKUP(B1701,customers!A:A,customers!D:D)</f>
        <v>Premium</v>
      </c>
    </row>
    <row r="1702" spans="1:11" x14ac:dyDescent="0.25">
      <c r="A1702" s="5" t="s">
        <v>1356</v>
      </c>
      <c r="B1702" s="5" t="s">
        <v>503</v>
      </c>
      <c r="C1702" s="5" t="s">
        <v>7309</v>
      </c>
      <c r="D1702" s="1">
        <v>45414</v>
      </c>
      <c r="E1702" s="17">
        <v>0.67569444444444438</v>
      </c>
      <c r="F1702" s="5" t="s">
        <v>7305</v>
      </c>
      <c r="G1702" s="12">
        <v>1032</v>
      </c>
      <c r="H1702" s="12">
        <v>51.6</v>
      </c>
      <c r="I1702" s="12">
        <v>980.4</v>
      </c>
      <c r="J1702" s="12">
        <f>SUMIF(order_item!B:B,A1702,order_item!E:E)</f>
        <v>1032</v>
      </c>
      <c r="K1702" s="28" t="str">
        <f>_xlfn.XLOOKUP(B1702,customers!A:A,customers!D:D)</f>
        <v>Regular</v>
      </c>
    </row>
    <row r="1703" spans="1:11" x14ac:dyDescent="0.25">
      <c r="A1703" s="5" t="s">
        <v>1353</v>
      </c>
      <c r="B1703" s="5" t="s">
        <v>435</v>
      </c>
      <c r="C1703" s="5" t="s">
        <v>7306</v>
      </c>
      <c r="D1703" s="1">
        <v>45729</v>
      </c>
      <c r="E1703" s="17">
        <v>0.75277777777777777</v>
      </c>
      <c r="F1703" s="5" t="s">
        <v>7305</v>
      </c>
      <c r="G1703" s="12">
        <v>198</v>
      </c>
      <c r="H1703" s="12">
        <v>9.9</v>
      </c>
      <c r="I1703" s="12">
        <v>188.1</v>
      </c>
      <c r="J1703" s="12">
        <f>SUMIF(order_item!B:B,A1703,order_item!E:E)</f>
        <v>198</v>
      </c>
      <c r="K1703" s="28" t="str">
        <f>_xlfn.XLOOKUP(B1703,customers!A:A,customers!D:D)</f>
        <v>Premium</v>
      </c>
    </row>
    <row r="1704" spans="1:11" x14ac:dyDescent="0.25">
      <c r="A1704" s="5" t="s">
        <v>1350</v>
      </c>
      <c r="B1704" s="5" t="s">
        <v>725</v>
      </c>
      <c r="C1704" s="5" t="s">
        <v>7306</v>
      </c>
      <c r="D1704" s="1">
        <v>45606</v>
      </c>
      <c r="E1704" s="17">
        <v>0.64583333333333337</v>
      </c>
      <c r="F1704" s="5" t="s">
        <v>7305</v>
      </c>
      <c r="G1704" s="12">
        <v>606</v>
      </c>
      <c r="H1704" s="12">
        <v>0</v>
      </c>
      <c r="I1704" s="12">
        <v>606</v>
      </c>
      <c r="J1704" s="12">
        <f>SUMIF(order_item!B:B,A1704,order_item!E:E)</f>
        <v>606</v>
      </c>
      <c r="K1704" s="28" t="str">
        <f>_xlfn.XLOOKUP(B1704,customers!A:A,customers!D:D)</f>
        <v>Premium</v>
      </c>
    </row>
    <row r="1705" spans="1:11" x14ac:dyDescent="0.25">
      <c r="A1705" s="5" t="s">
        <v>1346</v>
      </c>
      <c r="B1705" s="5" t="s">
        <v>271</v>
      </c>
      <c r="C1705" s="5" t="s">
        <v>7309</v>
      </c>
      <c r="D1705" s="1">
        <v>45585</v>
      </c>
      <c r="E1705" s="17">
        <v>0.99097222222222225</v>
      </c>
      <c r="F1705" s="5" t="s">
        <v>7305</v>
      </c>
      <c r="G1705" s="12">
        <v>514</v>
      </c>
      <c r="H1705" s="12">
        <v>25.7</v>
      </c>
      <c r="I1705" s="12">
        <v>488.3</v>
      </c>
      <c r="J1705" s="12">
        <f>SUMIF(order_item!B:B,A1705,order_item!E:E)</f>
        <v>514</v>
      </c>
      <c r="K1705" s="28" t="str">
        <f>_xlfn.XLOOKUP(B1705,customers!A:A,customers!D:D)</f>
        <v>Regular</v>
      </c>
    </row>
    <row r="1706" spans="1:11" x14ac:dyDescent="0.25">
      <c r="A1706" s="5" t="s">
        <v>1343</v>
      </c>
      <c r="B1706" s="5" t="s">
        <v>866</v>
      </c>
      <c r="C1706" s="5" t="s">
        <v>7306</v>
      </c>
      <c r="D1706" s="1">
        <v>45588</v>
      </c>
      <c r="E1706" s="17">
        <v>0.87291666666666667</v>
      </c>
      <c r="F1706" s="5" t="s">
        <v>7305</v>
      </c>
      <c r="G1706" s="12">
        <v>277</v>
      </c>
      <c r="H1706" s="12">
        <v>0</v>
      </c>
      <c r="I1706" s="12">
        <v>277</v>
      </c>
      <c r="J1706" s="12">
        <f>SUMIF(order_item!B:B,A1706,order_item!E:E)</f>
        <v>277</v>
      </c>
      <c r="K1706" s="28" t="str">
        <f>_xlfn.XLOOKUP(B1706,customers!A:A,customers!D:D)</f>
        <v>New</v>
      </c>
    </row>
    <row r="1707" spans="1:11" x14ac:dyDescent="0.25">
      <c r="A1707" s="5" t="s">
        <v>1341</v>
      </c>
      <c r="B1707" s="5" t="s">
        <v>127</v>
      </c>
      <c r="C1707" s="5" t="s">
        <v>7309</v>
      </c>
      <c r="D1707" s="1">
        <v>45590</v>
      </c>
      <c r="E1707" s="17">
        <v>0.81319444444444444</v>
      </c>
      <c r="F1707" s="5" t="s">
        <v>7305</v>
      </c>
      <c r="G1707" s="12">
        <v>79</v>
      </c>
      <c r="H1707" s="12">
        <v>0</v>
      </c>
      <c r="I1707" s="12">
        <v>79</v>
      </c>
      <c r="J1707" s="12">
        <f>SUMIF(order_item!B:B,A1707,order_item!E:E)</f>
        <v>79</v>
      </c>
      <c r="K1707" s="28" t="str">
        <f>_xlfn.XLOOKUP(B1707,customers!A:A,customers!D:D)</f>
        <v>Premium</v>
      </c>
    </row>
    <row r="1708" spans="1:11" x14ac:dyDescent="0.25">
      <c r="A1708" s="5" t="s">
        <v>1338</v>
      </c>
      <c r="B1708" s="5" t="s">
        <v>646</v>
      </c>
      <c r="C1708" s="5" t="s">
        <v>7306</v>
      </c>
      <c r="D1708" s="1">
        <v>45472</v>
      </c>
      <c r="E1708" s="17">
        <v>0.56666666666666665</v>
      </c>
      <c r="F1708" s="5" t="s">
        <v>7305</v>
      </c>
      <c r="G1708" s="12">
        <v>397</v>
      </c>
      <c r="H1708" s="12">
        <v>0</v>
      </c>
      <c r="I1708" s="12">
        <v>397</v>
      </c>
      <c r="J1708" s="12">
        <f>SUMIF(order_item!B:B,A1708,order_item!E:E)</f>
        <v>397</v>
      </c>
      <c r="K1708" s="28" t="str">
        <f>_xlfn.XLOOKUP(B1708,customers!A:A,customers!D:D)</f>
        <v>Regular</v>
      </c>
    </row>
    <row r="1709" spans="1:11" x14ac:dyDescent="0.25">
      <c r="A1709" s="5" t="s">
        <v>1334</v>
      </c>
      <c r="B1709" s="5" t="s">
        <v>761</v>
      </c>
      <c r="C1709" s="5" t="s">
        <v>7308</v>
      </c>
      <c r="D1709" s="1">
        <v>45634</v>
      </c>
      <c r="E1709" s="17">
        <v>2.7777777777777776E-2</v>
      </c>
      <c r="F1709" s="5" t="s">
        <v>7305</v>
      </c>
      <c r="G1709" s="12">
        <v>812</v>
      </c>
      <c r="H1709" s="12">
        <v>0</v>
      </c>
      <c r="I1709" s="12">
        <v>812</v>
      </c>
      <c r="J1709" s="12">
        <f>SUMIF(order_item!B:B,A1709,order_item!E:E)</f>
        <v>812</v>
      </c>
      <c r="K1709" s="28" t="str">
        <f>_xlfn.XLOOKUP(B1709,customers!A:A,customers!D:D)</f>
        <v>Regular</v>
      </c>
    </row>
    <row r="1710" spans="1:11" x14ac:dyDescent="0.25">
      <c r="A1710" s="5" t="s">
        <v>1330</v>
      </c>
      <c r="B1710" s="5" t="s">
        <v>647</v>
      </c>
      <c r="C1710" s="5" t="s">
        <v>7306</v>
      </c>
      <c r="D1710" s="1">
        <v>45704</v>
      </c>
      <c r="E1710" s="17">
        <v>0.64444444444444449</v>
      </c>
      <c r="F1710" s="5" t="s">
        <v>7307</v>
      </c>
      <c r="G1710" s="12">
        <v>365</v>
      </c>
      <c r="H1710" s="12">
        <v>0</v>
      </c>
      <c r="I1710" s="12">
        <v>0</v>
      </c>
      <c r="J1710" s="12">
        <f>SUMIF(order_item!B:B,A1710,order_item!E:E)</f>
        <v>365</v>
      </c>
      <c r="K1710" s="28" t="str">
        <f>_xlfn.XLOOKUP(B1710,customers!A:A,customers!D:D)</f>
        <v>New</v>
      </c>
    </row>
    <row r="1711" spans="1:11" x14ac:dyDescent="0.25">
      <c r="A1711" s="5" t="s">
        <v>1325</v>
      </c>
      <c r="B1711" s="5" t="s">
        <v>588</v>
      </c>
      <c r="C1711" s="5" t="s">
        <v>7309</v>
      </c>
      <c r="D1711" s="1">
        <v>45621</v>
      </c>
      <c r="E1711" s="17">
        <v>0.69374999999999998</v>
      </c>
      <c r="F1711" s="5" t="s">
        <v>7305</v>
      </c>
      <c r="G1711" s="12">
        <v>772</v>
      </c>
      <c r="H1711" s="12">
        <v>0</v>
      </c>
      <c r="I1711" s="12">
        <v>772</v>
      </c>
      <c r="J1711" s="12">
        <f>SUMIF(order_item!B:B,A1711,order_item!E:E)</f>
        <v>772</v>
      </c>
      <c r="K1711" s="28" t="str">
        <f>_xlfn.XLOOKUP(B1711,customers!A:A,customers!D:D)</f>
        <v>Premium</v>
      </c>
    </row>
    <row r="1712" spans="1:11" x14ac:dyDescent="0.25">
      <c r="A1712" s="5" t="s">
        <v>1320</v>
      </c>
      <c r="B1712" s="5" t="s">
        <v>447</v>
      </c>
      <c r="C1712" s="5" t="s">
        <v>7309</v>
      </c>
      <c r="D1712" s="1">
        <v>45685</v>
      </c>
      <c r="E1712" s="17">
        <v>0.88888888888888884</v>
      </c>
      <c r="F1712" s="5" t="s">
        <v>7305</v>
      </c>
      <c r="G1712" s="12">
        <v>892</v>
      </c>
      <c r="H1712" s="12">
        <v>89.2</v>
      </c>
      <c r="I1712" s="12">
        <v>802.8</v>
      </c>
      <c r="J1712" s="12">
        <f>SUMIF(order_item!B:B,A1712,order_item!E:E)</f>
        <v>892</v>
      </c>
      <c r="K1712" s="28" t="str">
        <f>_xlfn.XLOOKUP(B1712,customers!A:A,customers!D:D)</f>
        <v>Regular</v>
      </c>
    </row>
    <row r="1713" spans="1:11" x14ac:dyDescent="0.25">
      <c r="A1713" s="5" t="s">
        <v>1315</v>
      </c>
      <c r="B1713" s="5" t="s">
        <v>692</v>
      </c>
      <c r="C1713" s="5" t="s">
        <v>7309</v>
      </c>
      <c r="D1713" s="1">
        <v>45596</v>
      </c>
      <c r="E1713" s="17">
        <v>0.86736111111111114</v>
      </c>
      <c r="F1713" s="5" t="s">
        <v>7305</v>
      </c>
      <c r="G1713" s="12">
        <v>614</v>
      </c>
      <c r="H1713" s="12">
        <v>0</v>
      </c>
      <c r="I1713" s="12">
        <v>614</v>
      </c>
      <c r="J1713" s="12">
        <f>SUMIF(order_item!B:B,A1713,order_item!E:E)</f>
        <v>614</v>
      </c>
      <c r="K1713" s="28" t="str">
        <f>_xlfn.XLOOKUP(B1713,customers!A:A,customers!D:D)</f>
        <v>New</v>
      </c>
    </row>
    <row r="1714" spans="1:11" x14ac:dyDescent="0.25">
      <c r="A1714" s="5" t="s">
        <v>1313</v>
      </c>
      <c r="B1714" s="5" t="s">
        <v>159</v>
      </c>
      <c r="C1714" s="5" t="s">
        <v>7306</v>
      </c>
      <c r="D1714" s="1">
        <v>45472</v>
      </c>
      <c r="E1714" s="17">
        <v>0.61805555555555558</v>
      </c>
      <c r="F1714" s="5" t="s">
        <v>7305</v>
      </c>
      <c r="G1714" s="12">
        <v>79</v>
      </c>
      <c r="H1714" s="12">
        <v>0</v>
      </c>
      <c r="I1714" s="12">
        <v>79</v>
      </c>
      <c r="J1714" s="12">
        <f>SUMIF(order_item!B:B,A1714,order_item!E:E)</f>
        <v>79</v>
      </c>
      <c r="K1714" s="28" t="str">
        <f>_xlfn.XLOOKUP(B1714,customers!A:A,customers!D:D)</f>
        <v>New</v>
      </c>
    </row>
    <row r="1715" spans="1:11" x14ac:dyDescent="0.25">
      <c r="A1715" s="5" t="s">
        <v>1308</v>
      </c>
      <c r="B1715" s="5" t="s">
        <v>595</v>
      </c>
      <c r="C1715" s="5" t="s">
        <v>7309</v>
      </c>
      <c r="D1715" s="1">
        <v>45389</v>
      </c>
      <c r="E1715" s="17">
        <v>0.74791666666666667</v>
      </c>
      <c r="F1715" s="5" t="s">
        <v>7305</v>
      </c>
      <c r="G1715" s="12">
        <v>565</v>
      </c>
      <c r="H1715" s="12">
        <v>0</v>
      </c>
      <c r="I1715" s="12">
        <v>565</v>
      </c>
      <c r="J1715" s="12">
        <f>SUMIF(order_item!B:B,A1715,order_item!E:E)</f>
        <v>565</v>
      </c>
      <c r="K1715" s="28" t="str">
        <f>_xlfn.XLOOKUP(B1715,customers!A:A,customers!D:D)</f>
        <v>Regular</v>
      </c>
    </row>
    <row r="1716" spans="1:11" x14ac:dyDescent="0.25">
      <c r="A1716" s="5" t="s">
        <v>1303</v>
      </c>
      <c r="B1716" s="5" t="s">
        <v>799</v>
      </c>
      <c r="C1716" s="5" t="s">
        <v>7306</v>
      </c>
      <c r="D1716" s="1">
        <v>45691</v>
      </c>
      <c r="E1716" s="17">
        <v>0.83611111111111114</v>
      </c>
      <c r="F1716" s="5" t="s">
        <v>7305</v>
      </c>
      <c r="G1716" s="12">
        <v>1300</v>
      </c>
      <c r="H1716" s="12">
        <v>0</v>
      </c>
      <c r="I1716" s="12">
        <v>1300</v>
      </c>
      <c r="J1716" s="12">
        <f>SUMIF(order_item!B:B,A1716,order_item!E:E)</f>
        <v>1300</v>
      </c>
      <c r="K1716" s="28" t="str">
        <f>_xlfn.XLOOKUP(B1716,customers!A:A,customers!D:D)</f>
        <v>New</v>
      </c>
    </row>
    <row r="1717" spans="1:11" x14ac:dyDescent="0.25">
      <c r="A1717" s="5" t="s">
        <v>1299</v>
      </c>
      <c r="B1717" s="5" t="s">
        <v>376</v>
      </c>
      <c r="C1717" s="5" t="s">
        <v>7309</v>
      </c>
      <c r="D1717" s="1">
        <v>45728</v>
      </c>
      <c r="E1717" s="17">
        <v>7.8472222222222221E-2</v>
      </c>
      <c r="F1717" s="5" t="s">
        <v>7305</v>
      </c>
      <c r="G1717" s="12">
        <v>357</v>
      </c>
      <c r="H1717" s="12">
        <v>0</v>
      </c>
      <c r="I1717" s="12">
        <v>357</v>
      </c>
      <c r="J1717" s="12">
        <f>SUMIF(order_item!B:B,A1717,order_item!E:E)</f>
        <v>357</v>
      </c>
      <c r="K1717" s="28" t="str">
        <f>_xlfn.XLOOKUP(B1717,customers!A:A,customers!D:D)</f>
        <v>Regular</v>
      </c>
    </row>
    <row r="1718" spans="1:11" x14ac:dyDescent="0.25">
      <c r="A1718" s="5" t="s">
        <v>1296</v>
      </c>
      <c r="B1718" s="5" t="s">
        <v>499</v>
      </c>
      <c r="C1718" s="5" t="s">
        <v>7309</v>
      </c>
      <c r="D1718" s="1">
        <v>45725</v>
      </c>
      <c r="E1718" s="17">
        <v>0.82013888888888886</v>
      </c>
      <c r="F1718" s="5" t="s">
        <v>7305</v>
      </c>
      <c r="G1718" s="12">
        <v>894</v>
      </c>
      <c r="H1718" s="12">
        <v>134.1</v>
      </c>
      <c r="I1718" s="12">
        <v>759.9</v>
      </c>
      <c r="J1718" s="12">
        <f>SUMIF(order_item!B:B,A1718,order_item!E:E)</f>
        <v>894</v>
      </c>
      <c r="K1718" s="28" t="str">
        <f>_xlfn.XLOOKUP(B1718,customers!A:A,customers!D:D)</f>
        <v>New</v>
      </c>
    </row>
    <row r="1719" spans="1:11" x14ac:dyDescent="0.25">
      <c r="A1719" s="5" t="s">
        <v>1294</v>
      </c>
      <c r="B1719" s="5" t="s">
        <v>827</v>
      </c>
      <c r="C1719" s="5" t="s">
        <v>7309</v>
      </c>
      <c r="D1719" s="1">
        <v>45638</v>
      </c>
      <c r="E1719" s="17">
        <v>2.2222222222222223E-2</v>
      </c>
      <c r="F1719" s="5" t="s">
        <v>7305</v>
      </c>
      <c r="G1719" s="12">
        <v>298</v>
      </c>
      <c r="H1719" s="12">
        <v>0</v>
      </c>
      <c r="I1719" s="12">
        <v>298</v>
      </c>
      <c r="J1719" s="12">
        <f>SUMIF(order_item!B:B,A1719,order_item!E:E)</f>
        <v>298</v>
      </c>
      <c r="K1719" s="28" t="str">
        <f>_xlfn.XLOOKUP(B1719,customers!A:A,customers!D:D)</f>
        <v>Regular</v>
      </c>
    </row>
    <row r="1720" spans="1:11" x14ac:dyDescent="0.25">
      <c r="A1720" s="5" t="s">
        <v>1291</v>
      </c>
      <c r="B1720" s="5" t="s">
        <v>731</v>
      </c>
      <c r="C1720" s="5" t="s">
        <v>7306</v>
      </c>
      <c r="D1720" s="1">
        <v>45668</v>
      </c>
      <c r="E1720" s="17">
        <v>0.72291666666666676</v>
      </c>
      <c r="F1720" s="5" t="s">
        <v>7305</v>
      </c>
      <c r="G1720" s="12">
        <v>476</v>
      </c>
      <c r="H1720" s="12">
        <v>0</v>
      </c>
      <c r="I1720" s="12">
        <v>476</v>
      </c>
      <c r="J1720" s="12">
        <f>SUMIF(order_item!B:B,A1720,order_item!E:E)</f>
        <v>476</v>
      </c>
      <c r="K1720" s="28" t="str">
        <f>_xlfn.XLOOKUP(B1720,customers!A:A,customers!D:D)</f>
        <v>Regular</v>
      </c>
    </row>
    <row r="1721" spans="1:11" x14ac:dyDescent="0.25">
      <c r="A1721" s="5" t="s">
        <v>1289</v>
      </c>
      <c r="B1721" s="5" t="s">
        <v>604</v>
      </c>
      <c r="C1721" s="5" t="s">
        <v>7306</v>
      </c>
      <c r="D1721" s="1">
        <v>45573</v>
      </c>
      <c r="E1721" s="17">
        <v>0.80694444444444446</v>
      </c>
      <c r="F1721" s="5" t="s">
        <v>7305</v>
      </c>
      <c r="G1721" s="12">
        <v>118</v>
      </c>
      <c r="H1721" s="12">
        <v>11.8</v>
      </c>
      <c r="I1721" s="12">
        <v>106.2</v>
      </c>
      <c r="J1721" s="12">
        <f>SUMIF(order_item!B:B,A1721,order_item!E:E)</f>
        <v>118</v>
      </c>
      <c r="K1721" s="28" t="str">
        <f>_xlfn.XLOOKUP(B1721,customers!A:A,customers!D:D)</f>
        <v>Regular</v>
      </c>
    </row>
    <row r="1722" spans="1:11" x14ac:dyDescent="0.25">
      <c r="A1722" s="5" t="s">
        <v>1286</v>
      </c>
      <c r="B1722" s="5" t="s">
        <v>657</v>
      </c>
      <c r="C1722" s="5" t="s">
        <v>7309</v>
      </c>
      <c r="D1722" s="1">
        <v>45624</v>
      </c>
      <c r="E1722" s="17">
        <v>7.8472222222222221E-2</v>
      </c>
      <c r="F1722" s="5" t="s">
        <v>7305</v>
      </c>
      <c r="G1722" s="12">
        <v>357</v>
      </c>
      <c r="H1722" s="12">
        <v>0</v>
      </c>
      <c r="I1722" s="12">
        <v>357</v>
      </c>
      <c r="J1722" s="12">
        <f>SUMIF(order_item!B:B,A1722,order_item!E:E)</f>
        <v>357</v>
      </c>
      <c r="K1722" s="28" t="str">
        <f>_xlfn.XLOOKUP(B1722,customers!A:A,customers!D:D)</f>
        <v>Regular</v>
      </c>
    </row>
    <row r="1723" spans="1:11" x14ac:dyDescent="0.25">
      <c r="A1723" s="5" t="s">
        <v>1283</v>
      </c>
      <c r="B1723" s="5" t="s">
        <v>414</v>
      </c>
      <c r="C1723" s="5" t="s">
        <v>7308</v>
      </c>
      <c r="D1723" s="1">
        <v>45646</v>
      </c>
      <c r="E1723" s="17">
        <v>0.5756944444444444</v>
      </c>
      <c r="F1723" s="5" t="s">
        <v>7305</v>
      </c>
      <c r="G1723" s="12">
        <v>316</v>
      </c>
      <c r="H1723" s="12">
        <v>31.6</v>
      </c>
      <c r="I1723" s="12">
        <v>284.39999999999998</v>
      </c>
      <c r="J1723" s="12">
        <f>SUMIF(order_item!B:B,A1723,order_item!E:E)</f>
        <v>316</v>
      </c>
      <c r="K1723" s="28" t="str">
        <f>_xlfn.XLOOKUP(B1723,customers!A:A,customers!D:D)</f>
        <v>New</v>
      </c>
    </row>
    <row r="1724" spans="1:11" x14ac:dyDescent="0.25">
      <c r="A1724" s="5" t="s">
        <v>1280</v>
      </c>
      <c r="B1724" s="5" t="s">
        <v>838</v>
      </c>
      <c r="C1724" s="5" t="s">
        <v>7309</v>
      </c>
      <c r="D1724" s="1">
        <v>45607</v>
      </c>
      <c r="E1724" s="17">
        <v>0.6958333333333333</v>
      </c>
      <c r="F1724" s="5" t="s">
        <v>7305</v>
      </c>
      <c r="G1724" s="12">
        <v>437</v>
      </c>
      <c r="H1724" s="12">
        <v>0</v>
      </c>
      <c r="I1724" s="12">
        <v>437</v>
      </c>
      <c r="J1724" s="12">
        <f>SUMIF(order_item!B:B,A1724,order_item!E:E)</f>
        <v>437</v>
      </c>
      <c r="K1724" s="28" t="str">
        <f>_xlfn.XLOOKUP(B1724,customers!A:A,customers!D:D)</f>
        <v>Regular</v>
      </c>
    </row>
    <row r="1725" spans="1:11" x14ac:dyDescent="0.25">
      <c r="A1725" s="5" t="s">
        <v>1276</v>
      </c>
      <c r="B1725" s="5" t="s">
        <v>778</v>
      </c>
      <c r="C1725" s="5" t="s">
        <v>7309</v>
      </c>
      <c r="D1725" s="1">
        <v>45678</v>
      </c>
      <c r="E1725" s="17">
        <v>0.97916666666666663</v>
      </c>
      <c r="F1725" s="5" t="s">
        <v>7305</v>
      </c>
      <c r="G1725" s="12">
        <v>652</v>
      </c>
      <c r="H1725" s="12">
        <v>65.2</v>
      </c>
      <c r="I1725" s="12">
        <v>586.79999999999995</v>
      </c>
      <c r="J1725" s="12">
        <f>SUMIF(order_item!B:B,A1725,order_item!E:E)</f>
        <v>652</v>
      </c>
      <c r="K1725" s="28" t="str">
        <f>_xlfn.XLOOKUP(B1725,customers!A:A,customers!D:D)</f>
        <v>Regular</v>
      </c>
    </row>
    <row r="1726" spans="1:11" x14ac:dyDescent="0.25">
      <c r="A1726" s="5" t="s">
        <v>1273</v>
      </c>
      <c r="B1726" s="5" t="s">
        <v>726</v>
      </c>
      <c r="C1726" s="5" t="s">
        <v>7306</v>
      </c>
      <c r="D1726" s="1">
        <v>45590</v>
      </c>
      <c r="E1726" s="17">
        <v>0.60347222222222219</v>
      </c>
      <c r="F1726" s="5" t="s">
        <v>7305</v>
      </c>
      <c r="G1726" s="12">
        <v>277</v>
      </c>
      <c r="H1726" s="12">
        <v>0</v>
      </c>
      <c r="I1726" s="12">
        <v>277</v>
      </c>
      <c r="J1726" s="12">
        <f>SUMIF(order_item!B:B,A1726,order_item!E:E)</f>
        <v>277</v>
      </c>
      <c r="K1726" s="28" t="str">
        <f>_xlfn.XLOOKUP(B1726,customers!A:A,customers!D:D)</f>
        <v>Regular</v>
      </c>
    </row>
    <row r="1727" spans="1:11" x14ac:dyDescent="0.25">
      <c r="A1727" s="5" t="s">
        <v>1268</v>
      </c>
      <c r="B1727" s="5" t="s">
        <v>294</v>
      </c>
      <c r="C1727" s="5" t="s">
        <v>7306</v>
      </c>
      <c r="D1727" s="1">
        <v>45631</v>
      </c>
      <c r="E1727" s="17">
        <v>0.7715277777777777</v>
      </c>
      <c r="F1727" s="5" t="s">
        <v>7305</v>
      </c>
      <c r="G1727" s="12">
        <v>850</v>
      </c>
      <c r="H1727" s="12">
        <v>0</v>
      </c>
      <c r="I1727" s="12">
        <v>850</v>
      </c>
      <c r="J1727" s="12">
        <f>SUMIF(order_item!B:B,A1727,order_item!E:E)</f>
        <v>850</v>
      </c>
      <c r="K1727" s="28" t="str">
        <f>_xlfn.XLOOKUP(B1727,customers!A:A,customers!D:D)</f>
        <v>Premium</v>
      </c>
    </row>
    <row r="1728" spans="1:11" x14ac:dyDescent="0.25">
      <c r="A1728" s="5" t="s">
        <v>1266</v>
      </c>
      <c r="B1728" s="5" t="s">
        <v>378</v>
      </c>
      <c r="C1728" s="5" t="s">
        <v>7306</v>
      </c>
      <c r="D1728" s="1">
        <v>45550</v>
      </c>
      <c r="E1728" s="17">
        <v>0.90763888888888899</v>
      </c>
      <c r="F1728" s="5" t="s">
        <v>7305</v>
      </c>
      <c r="G1728" s="12">
        <v>79</v>
      </c>
      <c r="H1728" s="12">
        <v>0</v>
      </c>
      <c r="I1728" s="12">
        <v>79</v>
      </c>
      <c r="J1728" s="12">
        <f>SUMIF(order_item!B:B,A1728,order_item!E:E)</f>
        <v>79</v>
      </c>
      <c r="K1728" s="28" t="str">
        <f>_xlfn.XLOOKUP(B1728,customers!A:A,customers!D:D)</f>
        <v>Regular</v>
      </c>
    </row>
    <row r="1729" spans="1:11" x14ac:dyDescent="0.25">
      <c r="A1729" s="5" t="s">
        <v>1264</v>
      </c>
      <c r="B1729" s="5" t="s">
        <v>807</v>
      </c>
      <c r="C1729" s="5" t="s">
        <v>7309</v>
      </c>
      <c r="D1729" s="1">
        <v>45607</v>
      </c>
      <c r="E1729" s="17">
        <v>7.2916666666666671E-2</v>
      </c>
      <c r="F1729" s="5" t="s">
        <v>7307</v>
      </c>
      <c r="G1729" s="12">
        <v>99</v>
      </c>
      <c r="H1729" s="12">
        <v>9.9</v>
      </c>
      <c r="I1729" s="12">
        <v>0</v>
      </c>
      <c r="J1729" s="12">
        <f>SUMIF(order_item!B:B,A1729,order_item!E:E)</f>
        <v>99</v>
      </c>
      <c r="K1729" s="28" t="str">
        <f>_xlfn.XLOOKUP(B1729,customers!A:A,customers!D:D)</f>
        <v>Regular</v>
      </c>
    </row>
    <row r="1730" spans="1:11" x14ac:dyDescent="0.25">
      <c r="A1730" s="5" t="s">
        <v>1261</v>
      </c>
      <c r="B1730" s="5" t="s">
        <v>633</v>
      </c>
      <c r="C1730" s="5" t="s">
        <v>7308</v>
      </c>
      <c r="D1730" s="1">
        <v>45431</v>
      </c>
      <c r="E1730" s="17">
        <v>0.77500000000000002</v>
      </c>
      <c r="F1730" s="5" t="s">
        <v>7305</v>
      </c>
      <c r="G1730" s="12">
        <v>248</v>
      </c>
      <c r="H1730" s="12">
        <v>37.200000000000003</v>
      </c>
      <c r="I1730" s="12">
        <v>210.8</v>
      </c>
      <c r="J1730" s="12">
        <f>SUMIF(order_item!B:B,A1730,order_item!E:E)</f>
        <v>248</v>
      </c>
      <c r="K1730" s="28" t="str">
        <f>_xlfn.XLOOKUP(B1730,customers!A:A,customers!D:D)</f>
        <v>Premium</v>
      </c>
    </row>
    <row r="1731" spans="1:11" x14ac:dyDescent="0.25">
      <c r="A1731" s="5" t="s">
        <v>1257</v>
      </c>
      <c r="B1731" s="5" t="s">
        <v>626</v>
      </c>
      <c r="C1731" s="5" t="s">
        <v>7306</v>
      </c>
      <c r="D1731" s="1">
        <v>45681</v>
      </c>
      <c r="E1731" s="17">
        <v>0.68680555555555556</v>
      </c>
      <c r="F1731" s="5" t="s">
        <v>7305</v>
      </c>
      <c r="G1731" s="12">
        <v>614</v>
      </c>
      <c r="H1731" s="12">
        <v>0</v>
      </c>
      <c r="I1731" s="12">
        <v>614</v>
      </c>
      <c r="J1731" s="12">
        <f>SUMIF(order_item!B:B,A1731,order_item!E:E)</f>
        <v>614</v>
      </c>
      <c r="K1731" s="28" t="str">
        <f>_xlfn.XLOOKUP(B1731,customers!A:A,customers!D:D)</f>
        <v>Regular</v>
      </c>
    </row>
    <row r="1732" spans="1:11" x14ac:dyDescent="0.25">
      <c r="A1732" s="5" t="s">
        <v>1255</v>
      </c>
      <c r="B1732" s="5" t="s">
        <v>652</v>
      </c>
      <c r="C1732" s="5" t="s">
        <v>7306</v>
      </c>
      <c r="D1732" s="1">
        <v>45559</v>
      </c>
      <c r="E1732" s="17">
        <v>0.84722222222222221</v>
      </c>
      <c r="F1732" s="5" t="s">
        <v>7305</v>
      </c>
      <c r="G1732" s="12">
        <v>198</v>
      </c>
      <c r="H1732" s="12">
        <v>0</v>
      </c>
      <c r="I1732" s="12">
        <v>198</v>
      </c>
      <c r="J1732" s="12">
        <f>SUMIF(order_item!B:B,A1732,order_item!E:E)</f>
        <v>198</v>
      </c>
      <c r="K1732" s="28" t="str">
        <f>_xlfn.XLOOKUP(B1732,customers!A:A,customers!D:D)</f>
        <v>Premium</v>
      </c>
    </row>
    <row r="1733" spans="1:11" x14ac:dyDescent="0.25">
      <c r="A1733" s="5" t="s">
        <v>1250</v>
      </c>
      <c r="B1733" s="5" t="s">
        <v>552</v>
      </c>
      <c r="C1733" s="5" t="s">
        <v>7309</v>
      </c>
      <c r="D1733" s="1">
        <v>45628</v>
      </c>
      <c r="E1733" s="17">
        <v>1.8749999999999999E-2</v>
      </c>
      <c r="F1733" s="5" t="s">
        <v>7305</v>
      </c>
      <c r="G1733" s="12">
        <v>742</v>
      </c>
      <c r="H1733" s="12">
        <v>37.1</v>
      </c>
      <c r="I1733" s="12">
        <v>704.9</v>
      </c>
      <c r="J1733" s="12">
        <f>SUMIF(order_item!B:B,A1733,order_item!E:E)</f>
        <v>742</v>
      </c>
      <c r="K1733" s="28" t="str">
        <f>_xlfn.XLOOKUP(B1733,customers!A:A,customers!D:D)</f>
        <v>Regular</v>
      </c>
    </row>
    <row r="1734" spans="1:11" x14ac:dyDescent="0.25">
      <c r="A1734" s="5" t="s">
        <v>1245</v>
      </c>
      <c r="B1734" s="5" t="s">
        <v>814</v>
      </c>
      <c r="C1734" s="5" t="s">
        <v>7308</v>
      </c>
      <c r="D1734" s="1">
        <v>45434</v>
      </c>
      <c r="E1734" s="17">
        <v>0.78402777777777777</v>
      </c>
      <c r="F1734" s="5" t="s">
        <v>7305</v>
      </c>
      <c r="G1734" s="12">
        <v>1121</v>
      </c>
      <c r="H1734" s="12">
        <v>0</v>
      </c>
      <c r="I1734" s="12">
        <v>1121</v>
      </c>
      <c r="J1734" s="12">
        <f>SUMIF(order_item!B:B,A1734,order_item!E:E)</f>
        <v>1121</v>
      </c>
      <c r="K1734" s="28" t="str">
        <f>_xlfn.XLOOKUP(B1734,customers!A:A,customers!D:D)</f>
        <v>Regular</v>
      </c>
    </row>
    <row r="1735" spans="1:11" x14ac:dyDescent="0.25">
      <c r="A1735" s="5" t="s">
        <v>1241</v>
      </c>
      <c r="B1735" s="5" t="s">
        <v>716</v>
      </c>
      <c r="C1735" s="5" t="s">
        <v>7309</v>
      </c>
      <c r="D1735" s="1">
        <v>45613</v>
      </c>
      <c r="E1735" s="17">
        <v>0.9159722222222223</v>
      </c>
      <c r="F1735" s="5" t="s">
        <v>7305</v>
      </c>
      <c r="G1735" s="12">
        <v>771</v>
      </c>
      <c r="H1735" s="12">
        <v>0</v>
      </c>
      <c r="I1735" s="12">
        <v>771</v>
      </c>
      <c r="J1735" s="12">
        <f>SUMIF(order_item!B:B,A1735,order_item!E:E)</f>
        <v>771</v>
      </c>
      <c r="K1735" s="28" t="str">
        <f>_xlfn.XLOOKUP(B1735,customers!A:A,customers!D:D)</f>
        <v>Regular</v>
      </c>
    </row>
    <row r="1736" spans="1:11" x14ac:dyDescent="0.25">
      <c r="A1736" s="5" t="s">
        <v>1236</v>
      </c>
      <c r="B1736" s="5" t="s">
        <v>319</v>
      </c>
      <c r="C1736" s="5" t="s">
        <v>7309</v>
      </c>
      <c r="D1736" s="1">
        <v>45629</v>
      </c>
      <c r="E1736" s="17">
        <v>0.94652777777777775</v>
      </c>
      <c r="F1736" s="5" t="s">
        <v>7305</v>
      </c>
      <c r="G1736" s="12">
        <v>1288</v>
      </c>
      <c r="H1736" s="12">
        <v>0</v>
      </c>
      <c r="I1736" s="12">
        <v>1288</v>
      </c>
      <c r="J1736" s="12">
        <f>SUMIF(order_item!B:B,A1736,order_item!E:E)</f>
        <v>1288</v>
      </c>
      <c r="K1736" s="28" t="str">
        <f>_xlfn.XLOOKUP(B1736,customers!A:A,customers!D:D)</f>
        <v>Premium</v>
      </c>
    </row>
    <row r="1737" spans="1:11" x14ac:dyDescent="0.25">
      <c r="A1737" s="5" t="s">
        <v>1231</v>
      </c>
      <c r="B1737" s="5" t="s">
        <v>263</v>
      </c>
      <c r="C1737" s="5" t="s">
        <v>7306</v>
      </c>
      <c r="D1737" s="1">
        <v>45647</v>
      </c>
      <c r="E1737" s="17">
        <v>0.57291666666666663</v>
      </c>
      <c r="F1737" s="5" t="s">
        <v>7305</v>
      </c>
      <c r="G1737" s="12">
        <v>574</v>
      </c>
      <c r="H1737" s="12">
        <v>86.1</v>
      </c>
      <c r="I1737" s="12">
        <v>487.9</v>
      </c>
      <c r="J1737" s="12">
        <f>SUMIF(order_item!B:B,A1737,order_item!E:E)</f>
        <v>574</v>
      </c>
      <c r="K1737" s="28" t="str">
        <f>_xlfn.XLOOKUP(B1737,customers!A:A,customers!D:D)</f>
        <v>Regular</v>
      </c>
    </row>
    <row r="1738" spans="1:11" x14ac:dyDescent="0.25">
      <c r="A1738" s="5" t="s">
        <v>1228</v>
      </c>
      <c r="B1738" s="5" t="s">
        <v>605</v>
      </c>
      <c r="C1738" s="5" t="s">
        <v>7309</v>
      </c>
      <c r="D1738" s="1">
        <v>45626</v>
      </c>
      <c r="E1738" s="17">
        <v>0.74375000000000002</v>
      </c>
      <c r="F1738" s="5" t="s">
        <v>7307</v>
      </c>
      <c r="G1738" s="12">
        <v>1242</v>
      </c>
      <c r="H1738" s="12">
        <v>0</v>
      </c>
      <c r="I1738" s="12">
        <v>0</v>
      </c>
      <c r="J1738" s="12">
        <f>SUMIF(order_item!B:B,A1738,order_item!E:E)</f>
        <v>1242</v>
      </c>
      <c r="K1738" s="28" t="str">
        <f>_xlfn.XLOOKUP(B1738,customers!A:A,customers!D:D)</f>
        <v>Premium</v>
      </c>
    </row>
    <row r="1739" spans="1:11" x14ac:dyDescent="0.25">
      <c r="A1739" s="5" t="s">
        <v>1223</v>
      </c>
      <c r="B1739" s="5" t="s">
        <v>685</v>
      </c>
      <c r="C1739" s="5" t="s">
        <v>7306</v>
      </c>
      <c r="D1739" s="1">
        <v>45696</v>
      </c>
      <c r="E1739" s="17">
        <v>0.76944444444444438</v>
      </c>
      <c r="F1739" s="5" t="s">
        <v>7305</v>
      </c>
      <c r="G1739" s="12">
        <v>833</v>
      </c>
      <c r="H1739" s="12">
        <v>0</v>
      </c>
      <c r="I1739" s="12">
        <v>833</v>
      </c>
      <c r="J1739" s="12">
        <f>SUMIF(order_item!B:B,A1739,order_item!E:E)</f>
        <v>833</v>
      </c>
      <c r="K1739" s="28" t="str">
        <f>_xlfn.XLOOKUP(B1739,customers!A:A,customers!D:D)</f>
        <v>Regular</v>
      </c>
    </row>
    <row r="1740" spans="1:11" x14ac:dyDescent="0.25">
      <c r="A1740" s="5" t="s">
        <v>1220</v>
      </c>
      <c r="B1740" s="5" t="s">
        <v>726</v>
      </c>
      <c r="C1740" s="5" t="s">
        <v>7309</v>
      </c>
      <c r="D1740" s="1">
        <v>45628</v>
      </c>
      <c r="E1740" s="17">
        <v>0.58680555555555558</v>
      </c>
      <c r="F1740" s="5" t="s">
        <v>7305</v>
      </c>
      <c r="G1740" s="12">
        <v>197</v>
      </c>
      <c r="H1740" s="12">
        <v>0</v>
      </c>
      <c r="I1740" s="12">
        <v>197</v>
      </c>
      <c r="J1740" s="12">
        <f>SUMIF(order_item!B:B,A1740,order_item!E:E)</f>
        <v>197</v>
      </c>
      <c r="K1740" s="28" t="str">
        <f>_xlfn.XLOOKUP(B1740,customers!A:A,customers!D:D)</f>
        <v>Regular</v>
      </c>
    </row>
    <row r="1741" spans="1:11" x14ac:dyDescent="0.25">
      <c r="A1741" s="5" t="s">
        <v>1217</v>
      </c>
      <c r="B1741" s="5" t="s">
        <v>205</v>
      </c>
      <c r="C1741" s="5" t="s">
        <v>7308</v>
      </c>
      <c r="D1741" s="1">
        <v>45592</v>
      </c>
      <c r="E1741" s="17">
        <v>0.51944444444444449</v>
      </c>
      <c r="F1741" s="5" t="s">
        <v>7305</v>
      </c>
      <c r="G1741" s="12">
        <v>377</v>
      </c>
      <c r="H1741" s="12">
        <v>37.700000000000003</v>
      </c>
      <c r="I1741" s="12">
        <v>339.3</v>
      </c>
      <c r="J1741" s="12">
        <f>SUMIF(order_item!B:B,A1741,order_item!E:E)</f>
        <v>377</v>
      </c>
      <c r="K1741" s="28" t="str">
        <f>_xlfn.XLOOKUP(B1741,customers!A:A,customers!D:D)</f>
        <v>Regular</v>
      </c>
    </row>
    <row r="1742" spans="1:11" x14ac:dyDescent="0.25">
      <c r="A1742" s="5" t="s">
        <v>1214</v>
      </c>
      <c r="B1742" s="5" t="s">
        <v>373</v>
      </c>
      <c r="C1742" s="5" t="s">
        <v>7306</v>
      </c>
      <c r="D1742" s="1">
        <v>45630</v>
      </c>
      <c r="E1742" s="17">
        <v>0.6777777777777777</v>
      </c>
      <c r="F1742" s="5" t="s">
        <v>7305</v>
      </c>
      <c r="G1742" s="12">
        <v>158</v>
      </c>
      <c r="H1742" s="12">
        <v>0</v>
      </c>
      <c r="I1742" s="12">
        <v>158</v>
      </c>
      <c r="J1742" s="12">
        <f>SUMIF(order_item!B:B,A1742,order_item!E:E)</f>
        <v>158</v>
      </c>
      <c r="K1742" s="28" t="str">
        <f>_xlfn.XLOOKUP(B1742,customers!A:A,customers!D:D)</f>
        <v>New</v>
      </c>
    </row>
    <row r="1743" spans="1:11" x14ac:dyDescent="0.25">
      <c r="A1743" s="5" t="s">
        <v>1211</v>
      </c>
      <c r="B1743" s="5" t="s">
        <v>523</v>
      </c>
      <c r="C1743" s="5" t="s">
        <v>7308</v>
      </c>
      <c r="D1743" s="1">
        <v>45714</v>
      </c>
      <c r="E1743" s="17">
        <v>0.68888888888888899</v>
      </c>
      <c r="F1743" s="5" t="s">
        <v>7305</v>
      </c>
      <c r="G1743" s="12">
        <v>308</v>
      </c>
      <c r="H1743" s="12">
        <v>0</v>
      </c>
      <c r="I1743" s="12">
        <v>308</v>
      </c>
      <c r="J1743" s="12">
        <f>SUMIF(order_item!B:B,A1743,order_item!E:E)</f>
        <v>308</v>
      </c>
      <c r="K1743" s="28" t="str">
        <f>_xlfn.XLOOKUP(B1743,customers!A:A,customers!D:D)</f>
        <v>Regular</v>
      </c>
    </row>
    <row r="1744" spans="1:11" x14ac:dyDescent="0.25">
      <c r="A1744" s="5" t="s">
        <v>1209</v>
      </c>
      <c r="B1744" s="5" t="s">
        <v>535</v>
      </c>
      <c r="C1744" s="5" t="s">
        <v>7309</v>
      </c>
      <c r="D1744" s="1">
        <v>45560</v>
      </c>
      <c r="E1744" s="17">
        <v>0.53402777777777777</v>
      </c>
      <c r="F1744" s="5" t="s">
        <v>7305</v>
      </c>
      <c r="G1744" s="12">
        <v>149</v>
      </c>
      <c r="H1744" s="12">
        <v>0</v>
      </c>
      <c r="I1744" s="12">
        <v>149</v>
      </c>
      <c r="J1744" s="12">
        <f>SUMIF(order_item!B:B,A1744,order_item!E:E)</f>
        <v>149</v>
      </c>
      <c r="K1744" s="28" t="str">
        <f>_xlfn.XLOOKUP(B1744,customers!A:A,customers!D:D)</f>
        <v>Regular</v>
      </c>
    </row>
    <row r="1745" spans="1:11" x14ac:dyDescent="0.25">
      <c r="A1745" s="5" t="s">
        <v>1205</v>
      </c>
      <c r="B1745" s="5" t="s">
        <v>472</v>
      </c>
      <c r="C1745" s="5" t="s">
        <v>7306</v>
      </c>
      <c r="D1745" s="1">
        <v>45732</v>
      </c>
      <c r="E1745" s="17">
        <v>0.6791666666666667</v>
      </c>
      <c r="F1745" s="5" t="s">
        <v>7305</v>
      </c>
      <c r="G1745" s="12">
        <v>663</v>
      </c>
      <c r="H1745" s="12">
        <v>0</v>
      </c>
      <c r="I1745" s="12">
        <v>663</v>
      </c>
      <c r="J1745" s="12">
        <f>SUMIF(order_item!B:B,A1745,order_item!E:E)</f>
        <v>663</v>
      </c>
      <c r="K1745" s="28" t="str">
        <f>_xlfn.XLOOKUP(B1745,customers!A:A,customers!D:D)</f>
        <v>Premium</v>
      </c>
    </row>
    <row r="1746" spans="1:11" x14ac:dyDescent="0.25">
      <c r="A1746" s="5" t="s">
        <v>1202</v>
      </c>
      <c r="B1746" s="5" t="s">
        <v>590</v>
      </c>
      <c r="C1746" s="5" t="s">
        <v>7309</v>
      </c>
      <c r="D1746" s="1">
        <v>45542</v>
      </c>
      <c r="E1746" s="17">
        <v>0.78472222222222221</v>
      </c>
      <c r="F1746" s="5" t="s">
        <v>7305</v>
      </c>
      <c r="G1746" s="12">
        <v>417</v>
      </c>
      <c r="H1746" s="12">
        <v>0</v>
      </c>
      <c r="I1746" s="12">
        <v>417</v>
      </c>
      <c r="J1746" s="12">
        <f>SUMIF(order_item!B:B,A1746,order_item!E:E)</f>
        <v>417</v>
      </c>
      <c r="K1746" s="28" t="str">
        <f>_xlfn.XLOOKUP(B1746,customers!A:A,customers!D:D)</f>
        <v>Regular</v>
      </c>
    </row>
    <row r="1747" spans="1:11" x14ac:dyDescent="0.25">
      <c r="A1747" s="5" t="s">
        <v>1198</v>
      </c>
      <c r="B1747" s="5" t="s">
        <v>122</v>
      </c>
      <c r="C1747" s="5" t="s">
        <v>7309</v>
      </c>
      <c r="D1747" s="1">
        <v>45477</v>
      </c>
      <c r="E1747" s="17">
        <v>0.65972222222222221</v>
      </c>
      <c r="F1747" s="5" t="s">
        <v>7305</v>
      </c>
      <c r="G1747" s="12">
        <v>1321</v>
      </c>
      <c r="H1747" s="12">
        <v>0</v>
      </c>
      <c r="I1747" s="12">
        <v>1321</v>
      </c>
      <c r="J1747" s="12">
        <f>SUMIF(order_item!B:B,A1747,order_item!E:E)</f>
        <v>1321</v>
      </c>
      <c r="K1747" s="28" t="str">
        <f>_xlfn.XLOOKUP(B1747,customers!A:A,customers!D:D)</f>
        <v>Regular</v>
      </c>
    </row>
    <row r="1748" spans="1:11" x14ac:dyDescent="0.25">
      <c r="A1748" s="5" t="s">
        <v>1194</v>
      </c>
      <c r="B1748" s="5" t="s">
        <v>823</v>
      </c>
      <c r="C1748" s="5" t="s">
        <v>7306</v>
      </c>
      <c r="D1748" s="1">
        <v>45608</v>
      </c>
      <c r="E1748" s="17">
        <v>0.44097222222222227</v>
      </c>
      <c r="F1748" s="5" t="s">
        <v>7305</v>
      </c>
      <c r="G1748" s="12">
        <v>583</v>
      </c>
      <c r="H1748" s="12">
        <v>0</v>
      </c>
      <c r="I1748" s="12">
        <v>583</v>
      </c>
      <c r="J1748" s="12">
        <f>SUMIF(order_item!B:B,A1748,order_item!E:E)</f>
        <v>583</v>
      </c>
      <c r="K1748" s="28" t="str">
        <f>_xlfn.XLOOKUP(B1748,customers!A:A,customers!D:D)</f>
        <v>New</v>
      </c>
    </row>
    <row r="1749" spans="1:11" x14ac:dyDescent="0.25">
      <c r="A1749" s="5" t="s">
        <v>1190</v>
      </c>
      <c r="B1749" s="5" t="s">
        <v>698</v>
      </c>
      <c r="C1749" s="5" t="s">
        <v>7306</v>
      </c>
      <c r="D1749" s="1">
        <v>45732</v>
      </c>
      <c r="E1749" s="17">
        <v>0.44305555555555554</v>
      </c>
      <c r="F1749" s="5" t="s">
        <v>7305</v>
      </c>
      <c r="G1749" s="12">
        <v>306</v>
      </c>
      <c r="H1749" s="12">
        <v>0</v>
      </c>
      <c r="I1749" s="12">
        <v>306</v>
      </c>
      <c r="J1749" s="12">
        <f>SUMIF(order_item!B:B,A1749,order_item!E:E)</f>
        <v>306</v>
      </c>
      <c r="K1749" s="28" t="str">
        <f>_xlfn.XLOOKUP(B1749,customers!A:A,customers!D:D)</f>
        <v>Regular</v>
      </c>
    </row>
    <row r="1750" spans="1:11" x14ac:dyDescent="0.25">
      <c r="A1750" s="5" t="s">
        <v>1185</v>
      </c>
      <c r="B1750" s="5" t="s">
        <v>252</v>
      </c>
      <c r="C1750" s="5" t="s">
        <v>7309</v>
      </c>
      <c r="D1750" s="1">
        <v>45393</v>
      </c>
      <c r="E1750" s="17">
        <v>0.93263888888888891</v>
      </c>
      <c r="F1750" s="5" t="s">
        <v>7305</v>
      </c>
      <c r="G1750" s="12">
        <v>614</v>
      </c>
      <c r="H1750" s="12">
        <v>0</v>
      </c>
      <c r="I1750" s="12">
        <v>614</v>
      </c>
      <c r="J1750" s="12">
        <f>SUMIF(order_item!B:B,A1750,order_item!E:E)</f>
        <v>614</v>
      </c>
      <c r="K1750" s="28" t="str">
        <f>_xlfn.XLOOKUP(B1750,customers!A:A,customers!D:D)</f>
        <v>Regular</v>
      </c>
    </row>
    <row r="1751" spans="1:11" x14ac:dyDescent="0.25">
      <c r="A1751" s="5" t="s">
        <v>1182</v>
      </c>
      <c r="B1751" s="5" t="s">
        <v>155</v>
      </c>
      <c r="C1751" s="5" t="s">
        <v>7306</v>
      </c>
      <c r="D1751" s="1">
        <v>45415</v>
      </c>
      <c r="E1751" s="17">
        <v>0.80208333333333337</v>
      </c>
      <c r="F1751" s="5" t="s">
        <v>7305</v>
      </c>
      <c r="G1751" s="12">
        <v>257</v>
      </c>
      <c r="H1751" s="12">
        <v>0</v>
      </c>
      <c r="I1751" s="12">
        <v>257</v>
      </c>
      <c r="J1751" s="12">
        <f>SUMIF(order_item!B:B,A1751,order_item!E:E)</f>
        <v>257</v>
      </c>
      <c r="K1751" s="28" t="str">
        <f>_xlfn.XLOOKUP(B1751,customers!A:A,customers!D:D)</f>
        <v>Premium</v>
      </c>
    </row>
    <row r="1752" spans="1:11" x14ac:dyDescent="0.25">
      <c r="A1752" s="5" t="s">
        <v>1177</v>
      </c>
      <c r="B1752" s="5" t="s">
        <v>838</v>
      </c>
      <c r="C1752" s="5" t="s">
        <v>7308</v>
      </c>
      <c r="D1752" s="1">
        <v>45393</v>
      </c>
      <c r="E1752" s="17">
        <v>0.67986111111111114</v>
      </c>
      <c r="F1752" s="5" t="s">
        <v>7305</v>
      </c>
      <c r="G1752" s="12">
        <v>703</v>
      </c>
      <c r="H1752" s="12">
        <v>0</v>
      </c>
      <c r="I1752" s="12">
        <v>703</v>
      </c>
      <c r="J1752" s="12">
        <f>SUMIF(order_item!B:B,A1752,order_item!E:E)</f>
        <v>703</v>
      </c>
      <c r="K1752" s="28" t="str">
        <f>_xlfn.XLOOKUP(B1752,customers!A:A,customers!D:D)</f>
        <v>Regular</v>
      </c>
    </row>
    <row r="1753" spans="1:11" x14ac:dyDescent="0.25">
      <c r="A1753" s="5" t="s">
        <v>1173</v>
      </c>
      <c r="B1753" s="5" t="s">
        <v>516</v>
      </c>
      <c r="C1753" s="5" t="s">
        <v>7308</v>
      </c>
      <c r="D1753" s="1">
        <v>45674</v>
      </c>
      <c r="E1753" s="17">
        <v>0.92083333333333339</v>
      </c>
      <c r="F1753" s="5" t="s">
        <v>7305</v>
      </c>
      <c r="G1753" s="12">
        <v>1031</v>
      </c>
      <c r="H1753" s="12">
        <v>154.65</v>
      </c>
      <c r="I1753" s="12">
        <v>876.35</v>
      </c>
      <c r="J1753" s="12">
        <f>SUMIF(order_item!B:B,A1753,order_item!E:E)</f>
        <v>1031</v>
      </c>
      <c r="K1753" s="28" t="str">
        <f>_xlfn.XLOOKUP(B1753,customers!A:A,customers!D:D)</f>
        <v>Premium</v>
      </c>
    </row>
    <row r="1754" spans="1:11" x14ac:dyDescent="0.25">
      <c r="A1754" s="5" t="s">
        <v>1170</v>
      </c>
      <c r="B1754" s="5" t="s">
        <v>477</v>
      </c>
      <c r="C1754" s="5" t="s">
        <v>7306</v>
      </c>
      <c r="D1754" s="1">
        <v>45540</v>
      </c>
      <c r="E1754" s="17">
        <v>0.8027777777777777</v>
      </c>
      <c r="F1754" s="5" t="s">
        <v>7305</v>
      </c>
      <c r="G1754" s="12">
        <v>475</v>
      </c>
      <c r="H1754" s="12">
        <v>0</v>
      </c>
      <c r="I1754" s="12">
        <v>475</v>
      </c>
      <c r="J1754" s="12">
        <f>SUMIF(order_item!B:B,A1754,order_item!E:E)</f>
        <v>475</v>
      </c>
      <c r="K1754" s="28" t="str">
        <f>_xlfn.XLOOKUP(B1754,customers!A:A,customers!D:D)</f>
        <v>Regular</v>
      </c>
    </row>
    <row r="1755" spans="1:11" x14ac:dyDescent="0.25">
      <c r="A1755" s="5" t="s">
        <v>1167</v>
      </c>
      <c r="B1755" s="5" t="s">
        <v>829</v>
      </c>
      <c r="C1755" s="5" t="s">
        <v>7309</v>
      </c>
      <c r="D1755" s="1">
        <v>45568</v>
      </c>
      <c r="E1755" s="17">
        <v>0.66249999999999998</v>
      </c>
      <c r="F1755" s="5" t="s">
        <v>7305</v>
      </c>
      <c r="G1755" s="12">
        <v>456</v>
      </c>
      <c r="H1755" s="12">
        <v>45.6</v>
      </c>
      <c r="I1755" s="12">
        <v>410.4</v>
      </c>
      <c r="J1755" s="12">
        <f>SUMIF(order_item!B:B,A1755,order_item!E:E)</f>
        <v>456</v>
      </c>
      <c r="K1755" s="28" t="str">
        <f>_xlfn.XLOOKUP(B1755,customers!A:A,customers!D:D)</f>
        <v>Regular</v>
      </c>
    </row>
    <row r="1756" spans="1:11" x14ac:dyDescent="0.25">
      <c r="A1756" s="5" t="s">
        <v>1165</v>
      </c>
      <c r="B1756" s="5" t="s">
        <v>818</v>
      </c>
      <c r="C1756" s="5" t="s">
        <v>7306</v>
      </c>
      <c r="D1756" s="1">
        <v>45632</v>
      </c>
      <c r="E1756" s="17">
        <v>0.53680555555555554</v>
      </c>
      <c r="F1756" s="5" t="s">
        <v>7305</v>
      </c>
      <c r="G1756" s="12">
        <v>79</v>
      </c>
      <c r="H1756" s="12">
        <v>0</v>
      </c>
      <c r="I1756" s="12">
        <v>79</v>
      </c>
      <c r="J1756" s="12">
        <f>SUMIF(order_item!B:B,A1756,order_item!E:E)</f>
        <v>79</v>
      </c>
      <c r="K1756" s="28" t="str">
        <f>_xlfn.XLOOKUP(B1756,customers!A:A,customers!D:D)</f>
        <v>Regular</v>
      </c>
    </row>
    <row r="1757" spans="1:11" x14ac:dyDescent="0.25">
      <c r="A1757" s="5" t="s">
        <v>1161</v>
      </c>
      <c r="B1757" s="5" t="s">
        <v>119</v>
      </c>
      <c r="C1757" s="5" t="s">
        <v>7306</v>
      </c>
      <c r="D1757" s="1">
        <v>45653</v>
      </c>
      <c r="E1757" s="17">
        <v>0.93125000000000002</v>
      </c>
      <c r="F1757" s="5" t="s">
        <v>7305</v>
      </c>
      <c r="G1757" s="12">
        <v>446</v>
      </c>
      <c r="H1757" s="12">
        <v>0</v>
      </c>
      <c r="I1757" s="12">
        <v>446</v>
      </c>
      <c r="J1757" s="12">
        <f>SUMIF(order_item!B:B,A1757,order_item!E:E)</f>
        <v>446</v>
      </c>
      <c r="K1757" s="28" t="str">
        <f>_xlfn.XLOOKUP(B1757,customers!A:A,customers!D:D)</f>
        <v>Premium</v>
      </c>
    </row>
    <row r="1758" spans="1:11" x14ac:dyDescent="0.25">
      <c r="A1758" s="5" t="s">
        <v>1156</v>
      </c>
      <c r="B1758" s="5" t="s">
        <v>810</v>
      </c>
      <c r="C1758" s="5" t="s">
        <v>7308</v>
      </c>
      <c r="D1758" s="1">
        <v>45562</v>
      </c>
      <c r="E1758" s="17">
        <v>0.44027777777777777</v>
      </c>
      <c r="F1758" s="5" t="s">
        <v>7305</v>
      </c>
      <c r="G1758" s="12">
        <v>1160</v>
      </c>
      <c r="H1758" s="12">
        <v>0</v>
      </c>
      <c r="I1758" s="12">
        <v>1160</v>
      </c>
      <c r="J1758" s="12">
        <f>SUMIF(order_item!B:B,A1758,order_item!E:E)</f>
        <v>1160</v>
      </c>
      <c r="K1758" s="28" t="str">
        <f>_xlfn.XLOOKUP(B1758,customers!A:A,customers!D:D)</f>
        <v>New</v>
      </c>
    </row>
    <row r="1759" spans="1:11" x14ac:dyDescent="0.25">
      <c r="A1759" s="5" t="s">
        <v>1153</v>
      </c>
      <c r="B1759" s="5" t="s">
        <v>798</v>
      </c>
      <c r="C1759" s="5" t="s">
        <v>7309</v>
      </c>
      <c r="D1759" s="1">
        <v>45672</v>
      </c>
      <c r="E1759" s="17">
        <v>0.67083333333333339</v>
      </c>
      <c r="F1759" s="5" t="s">
        <v>7305</v>
      </c>
      <c r="G1759" s="12">
        <v>446</v>
      </c>
      <c r="H1759" s="12">
        <v>0</v>
      </c>
      <c r="I1759" s="12">
        <v>446</v>
      </c>
      <c r="J1759" s="12">
        <f>SUMIF(order_item!B:B,A1759,order_item!E:E)</f>
        <v>446</v>
      </c>
      <c r="K1759" s="28" t="str">
        <f>_xlfn.XLOOKUP(B1759,customers!A:A,customers!D:D)</f>
        <v>Premium</v>
      </c>
    </row>
    <row r="1760" spans="1:11" x14ac:dyDescent="0.25">
      <c r="A1760" s="5" t="s">
        <v>1150</v>
      </c>
      <c r="B1760" s="5" t="s">
        <v>600</v>
      </c>
      <c r="C1760" s="5" t="s">
        <v>7306</v>
      </c>
      <c r="D1760" s="1">
        <v>45584</v>
      </c>
      <c r="E1760" s="17">
        <v>0.46527777777777773</v>
      </c>
      <c r="F1760" s="5" t="s">
        <v>7305</v>
      </c>
      <c r="G1760" s="12">
        <v>148</v>
      </c>
      <c r="H1760" s="12">
        <v>22.2</v>
      </c>
      <c r="I1760" s="12">
        <v>125.8</v>
      </c>
      <c r="J1760" s="12">
        <f>SUMIF(order_item!B:B,A1760,order_item!E:E)</f>
        <v>148</v>
      </c>
      <c r="K1760" s="28" t="str">
        <f>_xlfn.XLOOKUP(B1760,customers!A:A,customers!D:D)</f>
        <v>Regular</v>
      </c>
    </row>
    <row r="1761" spans="1:11" x14ac:dyDescent="0.25">
      <c r="A1761" s="5" t="s">
        <v>1148</v>
      </c>
      <c r="B1761" s="5" t="s">
        <v>626</v>
      </c>
      <c r="C1761" s="5" t="s">
        <v>7306</v>
      </c>
      <c r="D1761" s="1">
        <v>45489</v>
      </c>
      <c r="E1761" s="17">
        <v>0.99583333333333324</v>
      </c>
      <c r="F1761" s="5" t="s">
        <v>7305</v>
      </c>
      <c r="G1761" s="12">
        <v>596</v>
      </c>
      <c r="H1761" s="12">
        <v>0</v>
      </c>
      <c r="I1761" s="12">
        <v>596</v>
      </c>
      <c r="J1761" s="12">
        <f>SUMIF(order_item!B:B,A1761,order_item!E:E)</f>
        <v>596</v>
      </c>
      <c r="K1761" s="28" t="str">
        <f>_xlfn.XLOOKUP(B1761,customers!A:A,customers!D:D)</f>
        <v>Regular</v>
      </c>
    </row>
    <row r="1762" spans="1:11" x14ac:dyDescent="0.25">
      <c r="A1762" s="5" t="s">
        <v>1145</v>
      </c>
      <c r="B1762" s="5" t="s">
        <v>779</v>
      </c>
      <c r="C1762" s="5" t="s">
        <v>7308</v>
      </c>
      <c r="D1762" s="1">
        <v>45644</v>
      </c>
      <c r="E1762" s="17">
        <v>0.73125000000000007</v>
      </c>
      <c r="F1762" s="5" t="s">
        <v>7305</v>
      </c>
      <c r="G1762" s="12">
        <v>218</v>
      </c>
      <c r="H1762" s="12">
        <v>10.9</v>
      </c>
      <c r="I1762" s="12">
        <v>207.1</v>
      </c>
      <c r="J1762" s="12">
        <f>SUMIF(order_item!B:B,A1762,order_item!E:E)</f>
        <v>218</v>
      </c>
      <c r="K1762" s="28" t="str">
        <f>_xlfn.XLOOKUP(B1762,customers!A:A,customers!D:D)</f>
        <v>New</v>
      </c>
    </row>
    <row r="1763" spans="1:11" x14ac:dyDescent="0.25">
      <c r="A1763" s="5" t="s">
        <v>1142</v>
      </c>
      <c r="B1763" s="5" t="s">
        <v>218</v>
      </c>
      <c r="C1763" s="5" t="s">
        <v>7309</v>
      </c>
      <c r="D1763" s="1">
        <v>45655</v>
      </c>
      <c r="E1763" s="17">
        <v>0.87291666666666667</v>
      </c>
      <c r="F1763" s="5" t="s">
        <v>7305</v>
      </c>
      <c r="G1763" s="12">
        <v>833</v>
      </c>
      <c r="H1763" s="12">
        <v>41.65</v>
      </c>
      <c r="I1763" s="12">
        <v>791.35</v>
      </c>
      <c r="J1763" s="12">
        <f>SUMIF(order_item!B:B,A1763,order_item!E:E)</f>
        <v>833</v>
      </c>
      <c r="K1763" s="28" t="str">
        <f>_xlfn.XLOOKUP(B1763,customers!A:A,customers!D:D)</f>
        <v>Regular</v>
      </c>
    </row>
    <row r="1764" spans="1:11" x14ac:dyDescent="0.25">
      <c r="A1764" s="5" t="s">
        <v>1139</v>
      </c>
      <c r="B1764" s="5" t="s">
        <v>786</v>
      </c>
      <c r="C1764" s="5" t="s">
        <v>7309</v>
      </c>
      <c r="D1764" s="1">
        <v>45404</v>
      </c>
      <c r="E1764" s="17">
        <v>0.72361111111111109</v>
      </c>
      <c r="F1764" s="5" t="s">
        <v>7305</v>
      </c>
      <c r="G1764" s="12">
        <v>633</v>
      </c>
      <c r="H1764" s="12">
        <v>0</v>
      </c>
      <c r="I1764" s="12">
        <v>633</v>
      </c>
      <c r="J1764" s="12">
        <f>SUMIF(order_item!B:B,A1764,order_item!E:E)</f>
        <v>633</v>
      </c>
      <c r="K1764" s="28" t="str">
        <f>_xlfn.XLOOKUP(B1764,customers!A:A,customers!D:D)</f>
        <v>New</v>
      </c>
    </row>
    <row r="1765" spans="1:11" x14ac:dyDescent="0.25">
      <c r="A1765" s="5" t="s">
        <v>1135</v>
      </c>
      <c r="B1765" s="5" t="s">
        <v>703</v>
      </c>
      <c r="C1765" s="5" t="s">
        <v>7309</v>
      </c>
      <c r="D1765" s="1">
        <v>45464</v>
      </c>
      <c r="E1765" s="17">
        <v>0.90902777777777777</v>
      </c>
      <c r="F1765" s="5" t="s">
        <v>7305</v>
      </c>
      <c r="G1765" s="12">
        <v>880</v>
      </c>
      <c r="H1765" s="12">
        <v>0</v>
      </c>
      <c r="I1765" s="12">
        <v>880</v>
      </c>
      <c r="J1765" s="12">
        <f>SUMIF(order_item!B:B,A1765,order_item!E:E)</f>
        <v>880</v>
      </c>
      <c r="K1765" s="28" t="str">
        <f>_xlfn.XLOOKUP(B1765,customers!A:A,customers!D:D)</f>
        <v>New</v>
      </c>
    </row>
    <row r="1766" spans="1:11" x14ac:dyDescent="0.25">
      <c r="A1766" s="5" t="s">
        <v>1131</v>
      </c>
      <c r="B1766" s="5" t="s">
        <v>715</v>
      </c>
      <c r="C1766" s="5" t="s">
        <v>7306</v>
      </c>
      <c r="D1766" s="1">
        <v>45730</v>
      </c>
      <c r="E1766" s="17">
        <v>0.78125</v>
      </c>
      <c r="F1766" s="5" t="s">
        <v>7305</v>
      </c>
      <c r="G1766" s="12">
        <v>535</v>
      </c>
      <c r="H1766" s="12">
        <v>53.5</v>
      </c>
      <c r="I1766" s="12">
        <v>481.5</v>
      </c>
      <c r="J1766" s="12">
        <f>SUMIF(order_item!B:B,A1766,order_item!E:E)</f>
        <v>535</v>
      </c>
      <c r="K1766" s="28" t="str">
        <f>_xlfn.XLOOKUP(B1766,customers!A:A,customers!D:D)</f>
        <v>Premium</v>
      </c>
    </row>
    <row r="1767" spans="1:11" x14ac:dyDescent="0.25">
      <c r="A1767" s="5" t="s">
        <v>1126</v>
      </c>
      <c r="B1767" s="5" t="s">
        <v>324</v>
      </c>
      <c r="C1767" s="5" t="s">
        <v>7306</v>
      </c>
      <c r="D1767" s="1">
        <v>45417</v>
      </c>
      <c r="E1767" s="17">
        <v>0.72916666666666663</v>
      </c>
      <c r="F1767" s="5" t="s">
        <v>7305</v>
      </c>
      <c r="G1767" s="12">
        <v>653</v>
      </c>
      <c r="H1767" s="12">
        <v>0</v>
      </c>
      <c r="I1767" s="12">
        <v>653</v>
      </c>
      <c r="J1767" s="12">
        <f>SUMIF(order_item!B:B,A1767,order_item!E:E)</f>
        <v>653</v>
      </c>
      <c r="K1767" s="28" t="str">
        <f>_xlfn.XLOOKUP(B1767,customers!A:A,customers!D:D)</f>
        <v>Regular</v>
      </c>
    </row>
    <row r="1768" spans="1:11" x14ac:dyDescent="0.25">
      <c r="A1768" s="5" t="s">
        <v>1121</v>
      </c>
      <c r="B1768" s="5" t="s">
        <v>859</v>
      </c>
      <c r="C1768" s="5" t="s">
        <v>7309</v>
      </c>
      <c r="D1768" s="1">
        <v>45619</v>
      </c>
      <c r="E1768" s="17">
        <v>0.99305555555555547</v>
      </c>
      <c r="F1768" s="5" t="s">
        <v>7305</v>
      </c>
      <c r="G1768" s="12">
        <v>554</v>
      </c>
      <c r="H1768" s="12">
        <v>0</v>
      </c>
      <c r="I1768" s="12">
        <v>554</v>
      </c>
      <c r="J1768" s="12">
        <f>SUMIF(order_item!B:B,A1768,order_item!E:E)</f>
        <v>554</v>
      </c>
      <c r="K1768" s="28" t="str">
        <f>_xlfn.XLOOKUP(B1768,customers!A:A,customers!D:D)</f>
        <v>Regular</v>
      </c>
    </row>
    <row r="1769" spans="1:11" x14ac:dyDescent="0.25">
      <c r="A1769" s="5" t="s">
        <v>1118</v>
      </c>
      <c r="B1769" s="5" t="s">
        <v>484</v>
      </c>
      <c r="C1769" s="5" t="s">
        <v>7306</v>
      </c>
      <c r="D1769" s="1">
        <v>45395</v>
      </c>
      <c r="E1769" s="17">
        <v>0.81597222222222221</v>
      </c>
      <c r="F1769" s="5" t="s">
        <v>7305</v>
      </c>
      <c r="G1769" s="12">
        <v>694</v>
      </c>
      <c r="H1769" s="12">
        <v>0</v>
      </c>
      <c r="I1769" s="12">
        <v>694</v>
      </c>
      <c r="J1769" s="12">
        <f>SUMIF(order_item!B:B,A1769,order_item!E:E)</f>
        <v>694</v>
      </c>
      <c r="K1769" s="28" t="str">
        <f>_xlfn.XLOOKUP(B1769,customers!A:A,customers!D:D)</f>
        <v>Regular</v>
      </c>
    </row>
    <row r="1770" spans="1:11" x14ac:dyDescent="0.25">
      <c r="A1770" s="5" t="s">
        <v>1115</v>
      </c>
      <c r="B1770" s="5" t="s">
        <v>135</v>
      </c>
      <c r="C1770" s="5" t="s">
        <v>7308</v>
      </c>
      <c r="D1770" s="1">
        <v>45485</v>
      </c>
      <c r="E1770" s="17">
        <v>0.79305555555555562</v>
      </c>
      <c r="F1770" s="5" t="s">
        <v>7305</v>
      </c>
      <c r="G1770" s="12">
        <v>296</v>
      </c>
      <c r="H1770" s="12">
        <v>29.6</v>
      </c>
      <c r="I1770" s="12">
        <v>266.39999999999998</v>
      </c>
      <c r="J1770" s="12">
        <f>SUMIF(order_item!B:B,A1770,order_item!E:E)</f>
        <v>296</v>
      </c>
      <c r="K1770" s="28" t="str">
        <f>_xlfn.XLOOKUP(B1770,customers!A:A,customers!D:D)</f>
        <v>Regular</v>
      </c>
    </row>
    <row r="1771" spans="1:11" x14ac:dyDescent="0.25">
      <c r="A1771" s="5" t="s">
        <v>1112</v>
      </c>
      <c r="B1771" s="5" t="s">
        <v>155</v>
      </c>
      <c r="C1771" s="5" t="s">
        <v>7306</v>
      </c>
      <c r="D1771" s="1">
        <v>45599</v>
      </c>
      <c r="E1771" s="17">
        <v>0.49861111111111112</v>
      </c>
      <c r="F1771" s="5" t="s">
        <v>7305</v>
      </c>
      <c r="G1771" s="12">
        <v>188</v>
      </c>
      <c r="H1771" s="12">
        <v>0</v>
      </c>
      <c r="I1771" s="12">
        <v>188</v>
      </c>
      <c r="J1771" s="12">
        <f>SUMIF(order_item!B:B,A1771,order_item!E:E)</f>
        <v>188</v>
      </c>
      <c r="K1771" s="28" t="str">
        <f>_xlfn.XLOOKUP(B1771,customers!A:A,customers!D:D)</f>
        <v>Premium</v>
      </c>
    </row>
    <row r="1772" spans="1:11" x14ac:dyDescent="0.25">
      <c r="A1772" s="5" t="s">
        <v>1109</v>
      </c>
      <c r="B1772" s="5" t="s">
        <v>655</v>
      </c>
      <c r="C1772" s="5" t="s">
        <v>7309</v>
      </c>
      <c r="D1772" s="1">
        <v>45426</v>
      </c>
      <c r="E1772" s="17">
        <v>1.7361111111111112E-2</v>
      </c>
      <c r="F1772" s="5" t="s">
        <v>7305</v>
      </c>
      <c r="G1772" s="12">
        <v>496</v>
      </c>
      <c r="H1772" s="12">
        <v>24.8</v>
      </c>
      <c r="I1772" s="12">
        <v>471.2</v>
      </c>
      <c r="J1772" s="12">
        <f>SUMIF(order_item!B:B,A1772,order_item!E:E)</f>
        <v>496</v>
      </c>
      <c r="K1772" s="28" t="str">
        <f>_xlfn.XLOOKUP(B1772,customers!A:A,customers!D:D)</f>
        <v>Regular</v>
      </c>
    </row>
    <row r="1773" spans="1:11" x14ac:dyDescent="0.25">
      <c r="A1773" s="5" t="s">
        <v>1106</v>
      </c>
      <c r="B1773" s="5" t="s">
        <v>634</v>
      </c>
      <c r="C1773" s="5" t="s">
        <v>7306</v>
      </c>
      <c r="D1773" s="1">
        <v>45639</v>
      </c>
      <c r="E1773" s="17">
        <v>0.80486111111111114</v>
      </c>
      <c r="F1773" s="5" t="s">
        <v>7305</v>
      </c>
      <c r="G1773" s="12">
        <v>456</v>
      </c>
      <c r="H1773" s="12">
        <v>0</v>
      </c>
      <c r="I1773" s="12">
        <v>456</v>
      </c>
      <c r="J1773" s="12">
        <f>SUMIF(order_item!B:B,A1773,order_item!E:E)</f>
        <v>456</v>
      </c>
      <c r="K1773" s="28" t="str">
        <f>_xlfn.XLOOKUP(B1773,customers!A:A,customers!D:D)</f>
        <v>Regular</v>
      </c>
    </row>
    <row r="1774" spans="1:11" x14ac:dyDescent="0.25">
      <c r="A1774" s="5" t="s">
        <v>1103</v>
      </c>
      <c r="B1774" s="5" t="s">
        <v>593</v>
      </c>
      <c r="C1774" s="5" t="s">
        <v>7309</v>
      </c>
      <c r="D1774" s="1">
        <v>45531</v>
      </c>
      <c r="E1774" s="17">
        <v>0.75277777777777777</v>
      </c>
      <c r="F1774" s="5" t="s">
        <v>7307</v>
      </c>
      <c r="G1774" s="12">
        <v>496</v>
      </c>
      <c r="H1774" s="12">
        <v>0</v>
      </c>
      <c r="I1774" s="12">
        <v>0</v>
      </c>
      <c r="J1774" s="12">
        <f>SUMIF(order_item!B:B,A1774,order_item!E:E)</f>
        <v>496</v>
      </c>
      <c r="K1774" s="28" t="str">
        <f>_xlfn.XLOOKUP(B1774,customers!A:A,customers!D:D)</f>
        <v>Regular</v>
      </c>
    </row>
    <row r="1775" spans="1:11" x14ac:dyDescent="0.25">
      <c r="A1775" s="5" t="s">
        <v>1099</v>
      </c>
      <c r="B1775" s="5" t="s">
        <v>261</v>
      </c>
      <c r="C1775" s="5" t="s">
        <v>7309</v>
      </c>
      <c r="D1775" s="1">
        <v>45699</v>
      </c>
      <c r="E1775" s="17">
        <v>0.87569444444444444</v>
      </c>
      <c r="F1775" s="5" t="s">
        <v>7305</v>
      </c>
      <c r="G1775" s="12">
        <v>635</v>
      </c>
      <c r="H1775" s="12">
        <v>0</v>
      </c>
      <c r="I1775" s="12">
        <v>635</v>
      </c>
      <c r="J1775" s="12">
        <f>SUMIF(order_item!B:B,A1775,order_item!E:E)</f>
        <v>635</v>
      </c>
      <c r="K1775" s="28" t="str">
        <f>_xlfn.XLOOKUP(B1775,customers!A:A,customers!D:D)</f>
        <v>Regular</v>
      </c>
    </row>
    <row r="1776" spans="1:11" x14ac:dyDescent="0.25">
      <c r="A1776" s="5" t="s">
        <v>1097</v>
      </c>
      <c r="B1776" s="5" t="s">
        <v>96</v>
      </c>
      <c r="C1776" s="5" t="s">
        <v>7308</v>
      </c>
      <c r="D1776" s="1">
        <v>45712</v>
      </c>
      <c r="E1776" s="17">
        <v>0.89861111111111114</v>
      </c>
      <c r="F1776" s="5" t="s">
        <v>7305</v>
      </c>
      <c r="G1776" s="12">
        <v>158</v>
      </c>
      <c r="H1776" s="12">
        <v>0</v>
      </c>
      <c r="I1776" s="12">
        <v>158</v>
      </c>
      <c r="J1776" s="12">
        <f>SUMIF(order_item!B:B,A1776,order_item!E:E)</f>
        <v>158</v>
      </c>
      <c r="K1776" s="28" t="str">
        <f>_xlfn.XLOOKUP(B1776,customers!A:A,customers!D:D)</f>
        <v>Regular</v>
      </c>
    </row>
    <row r="1777" spans="1:11" x14ac:dyDescent="0.25">
      <c r="A1777" s="5" t="s">
        <v>1095</v>
      </c>
      <c r="B1777" s="5" t="s">
        <v>482</v>
      </c>
      <c r="C1777" s="5" t="s">
        <v>7306</v>
      </c>
      <c r="D1777" s="1">
        <v>45710</v>
      </c>
      <c r="E1777" s="17">
        <v>0.51736111111111105</v>
      </c>
      <c r="F1777" s="5" t="s">
        <v>7305</v>
      </c>
      <c r="G1777" s="12">
        <v>119</v>
      </c>
      <c r="H1777" s="12">
        <v>0</v>
      </c>
      <c r="I1777" s="12">
        <v>119</v>
      </c>
      <c r="J1777" s="12">
        <f>SUMIF(order_item!B:B,A1777,order_item!E:E)</f>
        <v>119</v>
      </c>
      <c r="K1777" s="28" t="str">
        <f>_xlfn.XLOOKUP(B1777,customers!A:A,customers!D:D)</f>
        <v>Regular</v>
      </c>
    </row>
    <row r="1778" spans="1:11" x14ac:dyDescent="0.25">
      <c r="A1778" s="5" t="s">
        <v>1092</v>
      </c>
      <c r="B1778" s="5" t="s">
        <v>820</v>
      </c>
      <c r="C1778" s="5" t="s">
        <v>7309</v>
      </c>
      <c r="D1778" s="1">
        <v>45608</v>
      </c>
      <c r="E1778" s="17">
        <v>0.81319444444444444</v>
      </c>
      <c r="F1778" s="5" t="s">
        <v>7305</v>
      </c>
      <c r="G1778" s="12">
        <v>238</v>
      </c>
      <c r="H1778" s="12">
        <v>0</v>
      </c>
      <c r="I1778" s="12">
        <v>238</v>
      </c>
      <c r="J1778" s="12">
        <f>SUMIF(order_item!B:B,A1778,order_item!E:E)</f>
        <v>238</v>
      </c>
      <c r="K1778" s="28" t="str">
        <f>_xlfn.XLOOKUP(B1778,customers!A:A,customers!D:D)</f>
        <v>New</v>
      </c>
    </row>
    <row r="1779" spans="1:11" x14ac:dyDescent="0.25">
      <c r="A1779" s="5" t="s">
        <v>1090</v>
      </c>
      <c r="B1779" s="5" t="s">
        <v>779</v>
      </c>
      <c r="C1779" s="5" t="s">
        <v>7309</v>
      </c>
      <c r="D1779" s="1">
        <v>45599</v>
      </c>
      <c r="E1779" s="17">
        <v>0.8208333333333333</v>
      </c>
      <c r="F1779" s="5" t="s">
        <v>7305</v>
      </c>
      <c r="G1779" s="12">
        <v>99</v>
      </c>
      <c r="H1779" s="12">
        <v>4.95</v>
      </c>
      <c r="I1779" s="12">
        <v>94.05</v>
      </c>
      <c r="J1779" s="12">
        <f>SUMIF(order_item!B:B,A1779,order_item!E:E)</f>
        <v>99</v>
      </c>
      <c r="K1779" s="28" t="str">
        <f>_xlfn.XLOOKUP(B1779,customers!A:A,customers!D:D)</f>
        <v>New</v>
      </c>
    </row>
    <row r="1780" spans="1:11" x14ac:dyDescent="0.25">
      <c r="A1780" s="5" t="s">
        <v>1086</v>
      </c>
      <c r="B1780" s="5" t="s">
        <v>715</v>
      </c>
      <c r="C1780" s="5" t="s">
        <v>7306</v>
      </c>
      <c r="D1780" s="1">
        <v>45595</v>
      </c>
      <c r="E1780" s="17">
        <v>0.46875</v>
      </c>
      <c r="F1780" s="5" t="s">
        <v>7305</v>
      </c>
      <c r="G1780" s="12">
        <v>725</v>
      </c>
      <c r="H1780" s="12">
        <v>72.5</v>
      </c>
      <c r="I1780" s="12">
        <v>652.5</v>
      </c>
      <c r="J1780" s="12">
        <f>SUMIF(order_item!B:B,A1780,order_item!E:E)</f>
        <v>725</v>
      </c>
      <c r="K1780" s="28" t="str">
        <f>_xlfn.XLOOKUP(B1780,customers!A:A,customers!D:D)</f>
        <v>Premium</v>
      </c>
    </row>
    <row r="1781" spans="1:11" x14ac:dyDescent="0.25">
      <c r="A1781" s="5" t="s">
        <v>1083</v>
      </c>
      <c r="B1781" s="5" t="s">
        <v>200</v>
      </c>
      <c r="C1781" s="5" t="s">
        <v>7309</v>
      </c>
      <c r="D1781" s="1">
        <v>45715</v>
      </c>
      <c r="E1781" s="17">
        <v>0.43541666666666662</v>
      </c>
      <c r="F1781" s="5" t="s">
        <v>7305</v>
      </c>
      <c r="G1781" s="12">
        <v>336</v>
      </c>
      <c r="H1781" s="12">
        <v>0</v>
      </c>
      <c r="I1781" s="12">
        <v>336</v>
      </c>
      <c r="J1781" s="12">
        <f>SUMIF(order_item!B:B,A1781,order_item!E:E)</f>
        <v>336</v>
      </c>
      <c r="K1781" s="28" t="str">
        <f>_xlfn.XLOOKUP(B1781,customers!A:A,customers!D:D)</f>
        <v>New</v>
      </c>
    </row>
    <row r="1782" spans="1:11" x14ac:dyDescent="0.25">
      <c r="A1782" s="5" t="s">
        <v>1080</v>
      </c>
      <c r="B1782" s="5" t="s">
        <v>746</v>
      </c>
      <c r="C1782" s="5" t="s">
        <v>7309</v>
      </c>
      <c r="D1782" s="1">
        <v>45509</v>
      </c>
      <c r="E1782" s="17">
        <v>0.58194444444444449</v>
      </c>
      <c r="F1782" s="5" t="s">
        <v>7305</v>
      </c>
      <c r="G1782" s="12">
        <v>496</v>
      </c>
      <c r="H1782" s="12">
        <v>0</v>
      </c>
      <c r="I1782" s="12">
        <v>496</v>
      </c>
      <c r="J1782" s="12">
        <f>SUMIF(order_item!B:B,A1782,order_item!E:E)</f>
        <v>496</v>
      </c>
      <c r="K1782" s="28" t="str">
        <f>_xlfn.XLOOKUP(B1782,customers!A:A,customers!D:D)</f>
        <v>New</v>
      </c>
    </row>
    <row r="1783" spans="1:11" x14ac:dyDescent="0.25">
      <c r="A1783" s="5" t="s">
        <v>1077</v>
      </c>
      <c r="B1783" s="5" t="s">
        <v>549</v>
      </c>
      <c r="C1783" s="5" t="s">
        <v>7309</v>
      </c>
      <c r="D1783" s="1">
        <v>45452</v>
      </c>
      <c r="E1783" s="17">
        <v>0.94861111111111107</v>
      </c>
      <c r="F1783" s="5" t="s">
        <v>7305</v>
      </c>
      <c r="G1783" s="12">
        <v>178</v>
      </c>
      <c r="H1783" s="12">
        <v>0</v>
      </c>
      <c r="I1783" s="12">
        <v>178</v>
      </c>
      <c r="J1783" s="12">
        <f>SUMIF(order_item!B:B,A1783,order_item!E:E)</f>
        <v>178</v>
      </c>
      <c r="K1783" s="28" t="str">
        <f>_xlfn.XLOOKUP(B1783,customers!A:A,customers!D:D)</f>
        <v>New</v>
      </c>
    </row>
    <row r="1784" spans="1:11" x14ac:dyDescent="0.25">
      <c r="A1784" s="5" t="s">
        <v>1074</v>
      </c>
      <c r="B1784" s="5" t="s">
        <v>514</v>
      </c>
      <c r="C1784" s="5" t="s">
        <v>7309</v>
      </c>
      <c r="D1784" s="1">
        <v>45524</v>
      </c>
      <c r="E1784" s="17">
        <v>0.81458333333333333</v>
      </c>
      <c r="F1784" s="5" t="s">
        <v>7305</v>
      </c>
      <c r="G1784" s="12">
        <v>197</v>
      </c>
      <c r="H1784" s="12">
        <v>0</v>
      </c>
      <c r="I1784" s="12">
        <v>197</v>
      </c>
      <c r="J1784" s="12">
        <f>SUMIF(order_item!B:B,A1784,order_item!E:E)</f>
        <v>197</v>
      </c>
      <c r="K1784" s="28" t="str">
        <f>_xlfn.XLOOKUP(B1784,customers!A:A,customers!D:D)</f>
        <v>Premium</v>
      </c>
    </row>
    <row r="1785" spans="1:11" x14ac:dyDescent="0.25">
      <c r="A1785" s="5" t="s">
        <v>1070</v>
      </c>
      <c r="B1785" s="5" t="s">
        <v>116</v>
      </c>
      <c r="C1785" s="5" t="s">
        <v>7306</v>
      </c>
      <c r="D1785" s="1">
        <v>45696</v>
      </c>
      <c r="E1785" s="17">
        <v>0.73541666666666661</v>
      </c>
      <c r="F1785" s="5" t="s">
        <v>7305</v>
      </c>
      <c r="G1785" s="12">
        <v>1270</v>
      </c>
      <c r="H1785" s="12">
        <v>0</v>
      </c>
      <c r="I1785" s="12">
        <v>1270</v>
      </c>
      <c r="J1785" s="12">
        <f>SUMIF(order_item!B:B,A1785,order_item!E:E)</f>
        <v>1270</v>
      </c>
      <c r="K1785" s="28" t="str">
        <f>_xlfn.XLOOKUP(B1785,customers!A:A,customers!D:D)</f>
        <v>Regular</v>
      </c>
    </row>
    <row r="1786" spans="1:11" x14ac:dyDescent="0.25">
      <c r="A1786" s="5" t="s">
        <v>1067</v>
      </c>
      <c r="B1786" s="5" t="s">
        <v>340</v>
      </c>
      <c r="C1786" s="5" t="s">
        <v>7309</v>
      </c>
      <c r="D1786" s="1">
        <v>45600</v>
      </c>
      <c r="E1786" s="17">
        <v>0.68472222222222223</v>
      </c>
      <c r="F1786" s="5" t="s">
        <v>7305</v>
      </c>
      <c r="G1786" s="12">
        <v>366</v>
      </c>
      <c r="H1786" s="12">
        <v>0</v>
      </c>
      <c r="I1786" s="12">
        <v>366</v>
      </c>
      <c r="J1786" s="12">
        <f>SUMIF(order_item!B:B,A1786,order_item!E:E)</f>
        <v>366</v>
      </c>
      <c r="K1786" s="28" t="str">
        <f>_xlfn.XLOOKUP(B1786,customers!A:A,customers!D:D)</f>
        <v>Regular</v>
      </c>
    </row>
    <row r="1787" spans="1:11" x14ac:dyDescent="0.25">
      <c r="A1787" s="5" t="s">
        <v>1064</v>
      </c>
      <c r="B1787" s="5" t="s">
        <v>108</v>
      </c>
      <c r="C1787" s="5" t="s">
        <v>7309</v>
      </c>
      <c r="D1787" s="1">
        <v>45436</v>
      </c>
      <c r="E1787" s="17">
        <v>0.83958333333333324</v>
      </c>
      <c r="F1787" s="5" t="s">
        <v>7307</v>
      </c>
      <c r="G1787" s="12">
        <v>1072</v>
      </c>
      <c r="H1787" s="12">
        <v>0</v>
      </c>
      <c r="I1787" s="12">
        <v>0</v>
      </c>
      <c r="J1787" s="12">
        <f>SUMIF(order_item!B:B,A1787,order_item!E:E)</f>
        <v>1072</v>
      </c>
      <c r="K1787" s="28" t="str">
        <f>_xlfn.XLOOKUP(B1787,customers!A:A,customers!D:D)</f>
        <v>Premium</v>
      </c>
    </row>
    <row r="1788" spans="1:11" x14ac:dyDescent="0.25">
      <c r="A1788" s="5" t="s">
        <v>1061</v>
      </c>
      <c r="B1788" s="5" t="s">
        <v>535</v>
      </c>
      <c r="C1788" s="5" t="s">
        <v>7309</v>
      </c>
      <c r="D1788" s="1">
        <v>45405</v>
      </c>
      <c r="E1788" s="17">
        <v>0.75624999999999998</v>
      </c>
      <c r="F1788" s="5" t="s">
        <v>7305</v>
      </c>
      <c r="G1788" s="12">
        <v>267</v>
      </c>
      <c r="H1788" s="12">
        <v>0</v>
      </c>
      <c r="I1788" s="12">
        <v>267</v>
      </c>
      <c r="J1788" s="12">
        <f>SUMIF(order_item!B:B,A1788,order_item!E:E)</f>
        <v>267</v>
      </c>
      <c r="K1788" s="28" t="str">
        <f>_xlfn.XLOOKUP(B1788,customers!A:A,customers!D:D)</f>
        <v>Regular</v>
      </c>
    </row>
    <row r="1789" spans="1:11" x14ac:dyDescent="0.25">
      <c r="A1789" s="5" t="s">
        <v>1058</v>
      </c>
      <c r="B1789" s="5" t="s">
        <v>859</v>
      </c>
      <c r="C1789" s="5" t="s">
        <v>7306</v>
      </c>
      <c r="D1789" s="1">
        <v>45555</v>
      </c>
      <c r="E1789" s="17">
        <v>0.41388888888888892</v>
      </c>
      <c r="F1789" s="5" t="s">
        <v>7305</v>
      </c>
      <c r="G1789" s="12">
        <v>713</v>
      </c>
      <c r="H1789" s="12">
        <v>0</v>
      </c>
      <c r="I1789" s="12">
        <v>713</v>
      </c>
      <c r="J1789" s="12">
        <f>SUMIF(order_item!B:B,A1789,order_item!E:E)</f>
        <v>713</v>
      </c>
      <c r="K1789" s="28" t="str">
        <f>_xlfn.XLOOKUP(B1789,customers!A:A,customers!D:D)</f>
        <v>Regular</v>
      </c>
    </row>
    <row r="1790" spans="1:11" x14ac:dyDescent="0.25">
      <c r="A1790" s="5" t="s">
        <v>1054</v>
      </c>
      <c r="B1790" s="5" t="s">
        <v>447</v>
      </c>
      <c r="C1790" s="5" t="s">
        <v>7306</v>
      </c>
      <c r="D1790" s="1">
        <v>45496</v>
      </c>
      <c r="E1790" s="17">
        <v>0.46527777777777773</v>
      </c>
      <c r="F1790" s="5" t="s">
        <v>7305</v>
      </c>
      <c r="G1790" s="12">
        <v>1359</v>
      </c>
      <c r="H1790" s="12">
        <v>67.95</v>
      </c>
      <c r="I1790" s="12">
        <v>1291.05</v>
      </c>
      <c r="J1790" s="12">
        <f>SUMIF(order_item!B:B,A1790,order_item!E:E)</f>
        <v>1359</v>
      </c>
      <c r="K1790" s="28" t="str">
        <f>_xlfn.XLOOKUP(B1790,customers!A:A,customers!D:D)</f>
        <v>Regular</v>
      </c>
    </row>
    <row r="1791" spans="1:11" x14ac:dyDescent="0.25">
      <c r="A1791" s="5" t="s">
        <v>1051</v>
      </c>
      <c r="B1791" s="5" t="s">
        <v>564</v>
      </c>
      <c r="C1791" s="5" t="s">
        <v>7306</v>
      </c>
      <c r="D1791" s="1">
        <v>45695</v>
      </c>
      <c r="E1791" s="17">
        <v>0.71527777777777779</v>
      </c>
      <c r="F1791" s="5" t="s">
        <v>7305</v>
      </c>
      <c r="G1791" s="12">
        <v>287</v>
      </c>
      <c r="H1791" s="12">
        <v>43.05</v>
      </c>
      <c r="I1791" s="12">
        <v>243.95</v>
      </c>
      <c r="J1791" s="12">
        <f>SUMIF(order_item!B:B,A1791,order_item!E:E)</f>
        <v>287</v>
      </c>
      <c r="K1791" s="28" t="str">
        <f>_xlfn.XLOOKUP(B1791,customers!A:A,customers!D:D)</f>
        <v>Regular</v>
      </c>
    </row>
    <row r="1792" spans="1:11" x14ac:dyDescent="0.25">
      <c r="A1792" s="5" t="s">
        <v>1049</v>
      </c>
      <c r="B1792" s="5" t="s">
        <v>563</v>
      </c>
      <c r="C1792" s="5" t="s">
        <v>7309</v>
      </c>
      <c r="D1792" s="1">
        <v>45389</v>
      </c>
      <c r="E1792" s="17">
        <v>0.87708333333333333</v>
      </c>
      <c r="F1792" s="5" t="s">
        <v>7305</v>
      </c>
      <c r="G1792" s="12">
        <v>139</v>
      </c>
      <c r="H1792" s="12">
        <v>6.95</v>
      </c>
      <c r="I1792" s="12">
        <v>132.05000000000001</v>
      </c>
      <c r="J1792" s="12">
        <f>SUMIF(order_item!B:B,A1792,order_item!E:E)</f>
        <v>139</v>
      </c>
      <c r="K1792" s="28" t="str">
        <f>_xlfn.XLOOKUP(B1792,customers!A:A,customers!D:D)</f>
        <v>Regular</v>
      </c>
    </row>
    <row r="1793" spans="1:11" x14ac:dyDescent="0.25">
      <c r="A1793" s="5" t="s">
        <v>1046</v>
      </c>
      <c r="B1793" s="5" t="s">
        <v>646</v>
      </c>
      <c r="C1793" s="5" t="s">
        <v>7309</v>
      </c>
      <c r="D1793" s="1">
        <v>45566</v>
      </c>
      <c r="E1793" s="17">
        <v>0.90625</v>
      </c>
      <c r="F1793" s="5" t="s">
        <v>7305</v>
      </c>
      <c r="G1793" s="12">
        <v>287</v>
      </c>
      <c r="H1793" s="12">
        <v>0</v>
      </c>
      <c r="I1793" s="12">
        <v>287</v>
      </c>
      <c r="J1793" s="12">
        <f>SUMIF(order_item!B:B,A1793,order_item!E:E)</f>
        <v>287</v>
      </c>
      <c r="K1793" s="28" t="str">
        <f>_xlfn.XLOOKUP(B1793,customers!A:A,customers!D:D)</f>
        <v>Regular</v>
      </c>
    </row>
    <row r="1794" spans="1:11" x14ac:dyDescent="0.25">
      <c r="A1794" s="5" t="s">
        <v>1043</v>
      </c>
      <c r="B1794" s="5" t="s">
        <v>178</v>
      </c>
      <c r="C1794" s="5" t="s">
        <v>7309</v>
      </c>
      <c r="D1794" s="1">
        <v>45407</v>
      </c>
      <c r="E1794" s="17">
        <v>0.78541666666666676</v>
      </c>
      <c r="F1794" s="5" t="s">
        <v>7307</v>
      </c>
      <c r="G1794" s="12">
        <v>228</v>
      </c>
      <c r="H1794" s="12">
        <v>0</v>
      </c>
      <c r="I1794" s="12">
        <v>0</v>
      </c>
      <c r="J1794" s="12">
        <f>SUMIF(order_item!B:B,A1794,order_item!E:E)</f>
        <v>228</v>
      </c>
      <c r="K1794" s="28" t="str">
        <f>_xlfn.XLOOKUP(B1794,customers!A:A,customers!D:D)</f>
        <v>Regular</v>
      </c>
    </row>
    <row r="1795" spans="1:11" x14ac:dyDescent="0.25">
      <c r="A1795" s="5" t="s">
        <v>1040</v>
      </c>
      <c r="B1795" s="5" t="s">
        <v>746</v>
      </c>
      <c r="C1795" s="5" t="s">
        <v>7306</v>
      </c>
      <c r="D1795" s="1">
        <v>45468</v>
      </c>
      <c r="E1795" s="17">
        <v>3.8194444444444441E-2</v>
      </c>
      <c r="F1795" s="5" t="s">
        <v>7305</v>
      </c>
      <c r="G1795" s="12">
        <v>277</v>
      </c>
      <c r="H1795" s="12">
        <v>0</v>
      </c>
      <c r="I1795" s="12">
        <v>277</v>
      </c>
      <c r="J1795" s="12">
        <f>SUMIF(order_item!B:B,A1795,order_item!E:E)</f>
        <v>277</v>
      </c>
      <c r="K1795" s="28" t="str">
        <f>_xlfn.XLOOKUP(B1795,customers!A:A,customers!D:D)</f>
        <v>New</v>
      </c>
    </row>
    <row r="1796" spans="1:11" x14ac:dyDescent="0.25">
      <c r="A1796" s="5" t="s">
        <v>1037</v>
      </c>
      <c r="B1796" s="5" t="s">
        <v>94</v>
      </c>
      <c r="C1796" s="5" t="s">
        <v>7309</v>
      </c>
      <c r="D1796" s="1">
        <v>45583</v>
      </c>
      <c r="E1796" s="17">
        <v>0.50069444444444444</v>
      </c>
      <c r="F1796" s="5" t="s">
        <v>7305</v>
      </c>
      <c r="G1796" s="12">
        <v>824</v>
      </c>
      <c r="H1796" s="12">
        <v>0</v>
      </c>
      <c r="I1796" s="12">
        <v>824</v>
      </c>
      <c r="J1796" s="12">
        <f>SUMIF(order_item!B:B,A1796,order_item!E:E)</f>
        <v>824</v>
      </c>
      <c r="K1796" s="28" t="str">
        <f>_xlfn.XLOOKUP(B1796,customers!A:A,customers!D:D)</f>
        <v>Premium</v>
      </c>
    </row>
    <row r="1797" spans="1:11" x14ac:dyDescent="0.25">
      <c r="A1797" s="5" t="s">
        <v>1033</v>
      </c>
      <c r="B1797" s="5" t="s">
        <v>526</v>
      </c>
      <c r="C1797" s="5" t="s">
        <v>7308</v>
      </c>
      <c r="D1797" s="1">
        <v>45422</v>
      </c>
      <c r="E1797" s="17">
        <v>0.78333333333333333</v>
      </c>
      <c r="F1797" s="5" t="s">
        <v>7305</v>
      </c>
      <c r="G1797" s="12">
        <v>287</v>
      </c>
      <c r="H1797" s="12">
        <v>14.35</v>
      </c>
      <c r="I1797" s="12">
        <v>272.64999999999998</v>
      </c>
      <c r="J1797" s="12">
        <f>SUMIF(order_item!B:B,A1797,order_item!E:E)</f>
        <v>287</v>
      </c>
      <c r="K1797" s="28" t="str">
        <f>_xlfn.XLOOKUP(B1797,customers!A:A,customers!D:D)</f>
        <v>Regular</v>
      </c>
    </row>
    <row r="1798" spans="1:11" x14ac:dyDescent="0.25">
      <c r="A1798" s="5" t="s">
        <v>1028</v>
      </c>
      <c r="B1798" s="5" t="s">
        <v>224</v>
      </c>
      <c r="C1798" s="5" t="s">
        <v>7309</v>
      </c>
      <c r="D1798" s="1">
        <v>45431</v>
      </c>
      <c r="E1798" s="17">
        <v>0.58750000000000002</v>
      </c>
      <c r="F1798" s="5" t="s">
        <v>7305</v>
      </c>
      <c r="G1798" s="12">
        <v>1250</v>
      </c>
      <c r="H1798" s="12">
        <v>0</v>
      </c>
      <c r="I1798" s="12">
        <v>1250</v>
      </c>
      <c r="J1798" s="12">
        <f>SUMIF(order_item!B:B,A1798,order_item!E:E)</f>
        <v>1250</v>
      </c>
      <c r="K1798" s="28" t="str">
        <f>_xlfn.XLOOKUP(B1798,customers!A:A,customers!D:D)</f>
        <v>New</v>
      </c>
    </row>
    <row r="1799" spans="1:11" x14ac:dyDescent="0.25">
      <c r="A1799" s="5" t="s">
        <v>1025</v>
      </c>
      <c r="B1799" s="5" t="s">
        <v>595</v>
      </c>
      <c r="C1799" s="5" t="s">
        <v>7309</v>
      </c>
      <c r="D1799" s="1">
        <v>45623</v>
      </c>
      <c r="E1799" s="17">
        <v>0.55625000000000002</v>
      </c>
      <c r="F1799" s="5" t="s">
        <v>7307</v>
      </c>
      <c r="G1799" s="12">
        <v>297</v>
      </c>
      <c r="H1799" s="12">
        <v>0</v>
      </c>
      <c r="I1799" s="12">
        <v>0</v>
      </c>
      <c r="J1799" s="12">
        <f>SUMIF(order_item!B:B,A1799,order_item!E:E)</f>
        <v>297</v>
      </c>
      <c r="K1799" s="28" t="str">
        <f>_xlfn.XLOOKUP(B1799,customers!A:A,customers!D:D)</f>
        <v>Regular</v>
      </c>
    </row>
    <row r="1800" spans="1:11" x14ac:dyDescent="0.25">
      <c r="A1800" s="5" t="s">
        <v>1022</v>
      </c>
      <c r="B1800" s="5" t="s">
        <v>811</v>
      </c>
      <c r="C1800" s="5" t="s">
        <v>7306</v>
      </c>
      <c r="D1800" s="1">
        <v>45725</v>
      </c>
      <c r="E1800" s="17">
        <v>0.44236111111111115</v>
      </c>
      <c r="F1800" s="5" t="s">
        <v>7305</v>
      </c>
      <c r="G1800" s="12">
        <v>944</v>
      </c>
      <c r="H1800" s="12">
        <v>0</v>
      </c>
      <c r="I1800" s="12">
        <v>944</v>
      </c>
      <c r="J1800" s="12">
        <f>SUMIF(order_item!B:B,A1800,order_item!E:E)</f>
        <v>944</v>
      </c>
      <c r="K1800" s="28" t="str">
        <f>_xlfn.XLOOKUP(B1800,customers!A:A,customers!D:D)</f>
        <v>New</v>
      </c>
    </row>
    <row r="1801" spans="1:11" x14ac:dyDescent="0.25">
      <c r="A1801" s="5" t="s">
        <v>1019</v>
      </c>
      <c r="B1801" s="5" t="s">
        <v>640</v>
      </c>
      <c r="C1801" s="5" t="s">
        <v>7306</v>
      </c>
      <c r="D1801" s="1">
        <v>45738</v>
      </c>
      <c r="E1801" s="17">
        <v>0.79652777777777783</v>
      </c>
      <c r="F1801" s="5" t="s">
        <v>7305</v>
      </c>
      <c r="G1801" s="12">
        <v>158</v>
      </c>
      <c r="H1801" s="12">
        <v>7.9</v>
      </c>
      <c r="I1801" s="12">
        <v>150.1</v>
      </c>
      <c r="J1801" s="12">
        <f>SUMIF(order_item!B:B,A1801,order_item!E:E)</f>
        <v>158</v>
      </c>
      <c r="K1801" s="28" t="str">
        <f>_xlfn.XLOOKUP(B1801,customers!A:A,customers!D:D)</f>
        <v>Regular</v>
      </c>
    </row>
    <row r="1802" spans="1:11" x14ac:dyDescent="0.25">
      <c r="A1802" s="5" t="s">
        <v>1014</v>
      </c>
      <c r="B1802" s="5" t="s">
        <v>259</v>
      </c>
      <c r="C1802" s="5" t="s">
        <v>7309</v>
      </c>
      <c r="D1802" s="1">
        <v>45740</v>
      </c>
      <c r="E1802" s="17">
        <v>0.70347222222222217</v>
      </c>
      <c r="F1802" s="5" t="s">
        <v>7305</v>
      </c>
      <c r="G1802" s="12">
        <v>743</v>
      </c>
      <c r="H1802" s="12">
        <v>0</v>
      </c>
      <c r="I1802" s="12">
        <v>743</v>
      </c>
      <c r="J1802" s="12">
        <f>SUMIF(order_item!B:B,A1802,order_item!E:E)</f>
        <v>743</v>
      </c>
      <c r="K1802" s="28" t="str">
        <f>_xlfn.XLOOKUP(B1802,customers!A:A,customers!D:D)</f>
        <v>Regular</v>
      </c>
    </row>
    <row r="1803" spans="1:11" x14ac:dyDescent="0.25">
      <c r="A1803" s="5" t="s">
        <v>1010</v>
      </c>
      <c r="B1803" s="5" t="s">
        <v>666</v>
      </c>
      <c r="C1803" s="5" t="s">
        <v>7309</v>
      </c>
      <c r="D1803" s="1">
        <v>45568</v>
      </c>
      <c r="E1803" s="17">
        <v>0.58472222222222225</v>
      </c>
      <c r="F1803" s="5" t="s">
        <v>7307</v>
      </c>
      <c r="G1803" s="12">
        <v>515</v>
      </c>
      <c r="H1803" s="12">
        <v>0</v>
      </c>
      <c r="I1803" s="12">
        <v>0</v>
      </c>
      <c r="J1803" s="12">
        <f>SUMIF(order_item!B:B,A1803,order_item!E:E)</f>
        <v>515</v>
      </c>
      <c r="K1803" s="28" t="str">
        <f>_xlfn.XLOOKUP(B1803,customers!A:A,customers!D:D)</f>
        <v>New</v>
      </c>
    </row>
    <row r="1804" spans="1:11" x14ac:dyDescent="0.25">
      <c r="A1804" s="5" t="s">
        <v>1008</v>
      </c>
      <c r="B1804" s="5" t="s">
        <v>119</v>
      </c>
      <c r="C1804" s="5" t="s">
        <v>7308</v>
      </c>
      <c r="D1804" s="1">
        <v>45634</v>
      </c>
      <c r="E1804" s="17">
        <v>0.62569444444444444</v>
      </c>
      <c r="F1804" s="5" t="s">
        <v>7307</v>
      </c>
      <c r="G1804" s="12">
        <v>396</v>
      </c>
      <c r="H1804" s="12">
        <v>0</v>
      </c>
      <c r="I1804" s="12">
        <v>0</v>
      </c>
      <c r="J1804" s="12">
        <f>SUMIF(order_item!B:B,A1804,order_item!E:E)</f>
        <v>396</v>
      </c>
      <c r="K1804" s="28" t="str">
        <f>_xlfn.XLOOKUP(B1804,customers!A:A,customers!D:D)</f>
        <v>Premium</v>
      </c>
    </row>
    <row r="1805" spans="1:11" x14ac:dyDescent="0.25">
      <c r="A1805" s="5" t="s">
        <v>1005</v>
      </c>
      <c r="B1805" s="5" t="s">
        <v>725</v>
      </c>
      <c r="C1805" s="5" t="s">
        <v>7306</v>
      </c>
      <c r="D1805" s="1">
        <v>45553</v>
      </c>
      <c r="E1805" s="17">
        <v>0.69861111111111107</v>
      </c>
      <c r="F1805" s="5" t="s">
        <v>7305</v>
      </c>
      <c r="G1805" s="12">
        <v>544</v>
      </c>
      <c r="H1805" s="12">
        <v>0</v>
      </c>
      <c r="I1805" s="12">
        <v>544</v>
      </c>
      <c r="J1805" s="12">
        <f>SUMIF(order_item!B:B,A1805,order_item!E:E)</f>
        <v>544</v>
      </c>
      <c r="K1805" s="28" t="str">
        <f>_xlfn.XLOOKUP(B1805,customers!A:A,customers!D:D)</f>
        <v>Premium</v>
      </c>
    </row>
    <row r="1806" spans="1:11" x14ac:dyDescent="0.25">
      <c r="A1806" s="5" t="s">
        <v>1001</v>
      </c>
      <c r="B1806" s="5" t="s">
        <v>793</v>
      </c>
      <c r="C1806" s="5" t="s">
        <v>7309</v>
      </c>
      <c r="D1806" s="1">
        <v>45427</v>
      </c>
      <c r="E1806" s="17">
        <v>0.98125000000000007</v>
      </c>
      <c r="F1806" s="5" t="s">
        <v>7305</v>
      </c>
      <c r="G1806" s="12">
        <v>536</v>
      </c>
      <c r="H1806" s="12">
        <v>0</v>
      </c>
      <c r="I1806" s="12">
        <v>536</v>
      </c>
      <c r="J1806" s="12">
        <f>SUMIF(order_item!B:B,A1806,order_item!E:E)</f>
        <v>536</v>
      </c>
      <c r="K1806" s="28" t="str">
        <f>_xlfn.XLOOKUP(B1806,customers!A:A,customers!D:D)</f>
        <v>Regular</v>
      </c>
    </row>
    <row r="1807" spans="1:11" x14ac:dyDescent="0.25">
      <c r="A1807" s="5" t="s">
        <v>998</v>
      </c>
      <c r="B1807" s="5" t="s">
        <v>592</v>
      </c>
      <c r="C1807" s="5" t="s">
        <v>7306</v>
      </c>
      <c r="D1807" s="1">
        <v>45618</v>
      </c>
      <c r="E1807" s="17">
        <v>0.63958333333333328</v>
      </c>
      <c r="F1807" s="5" t="s">
        <v>7305</v>
      </c>
      <c r="G1807" s="12">
        <v>277</v>
      </c>
      <c r="H1807" s="12">
        <v>27.7</v>
      </c>
      <c r="I1807" s="12">
        <v>249.3</v>
      </c>
      <c r="J1807" s="12">
        <f>SUMIF(order_item!B:B,A1807,order_item!E:E)</f>
        <v>277</v>
      </c>
      <c r="K1807" s="28" t="str">
        <f>_xlfn.XLOOKUP(B1807,customers!A:A,customers!D:D)</f>
        <v>New</v>
      </c>
    </row>
    <row r="1808" spans="1:11" x14ac:dyDescent="0.25">
      <c r="A1808" s="5" t="s">
        <v>995</v>
      </c>
      <c r="B1808" s="5" t="s">
        <v>795</v>
      </c>
      <c r="C1808" s="5" t="s">
        <v>7306</v>
      </c>
      <c r="D1808" s="1">
        <v>45443</v>
      </c>
      <c r="E1808" s="17">
        <v>0.89930555555555547</v>
      </c>
      <c r="F1808" s="5" t="s">
        <v>7305</v>
      </c>
      <c r="G1808" s="12">
        <v>168</v>
      </c>
      <c r="H1808" s="12">
        <v>8.4</v>
      </c>
      <c r="I1808" s="12">
        <v>159.6</v>
      </c>
      <c r="J1808" s="12">
        <f>SUMIF(order_item!B:B,A1808,order_item!E:E)</f>
        <v>168</v>
      </c>
      <c r="K1808" s="28" t="str">
        <f>_xlfn.XLOOKUP(B1808,customers!A:A,customers!D:D)</f>
        <v>Regular</v>
      </c>
    </row>
    <row r="1809" spans="1:11" x14ac:dyDescent="0.25">
      <c r="A1809" s="5" t="s">
        <v>992</v>
      </c>
      <c r="B1809" s="5" t="s">
        <v>720</v>
      </c>
      <c r="C1809" s="5" t="s">
        <v>7309</v>
      </c>
      <c r="D1809" s="1">
        <v>45646</v>
      </c>
      <c r="E1809" s="17">
        <v>0.39861111111111108</v>
      </c>
      <c r="F1809" s="5" t="s">
        <v>7307</v>
      </c>
      <c r="G1809" s="12">
        <v>903</v>
      </c>
      <c r="H1809" s="12">
        <v>0</v>
      </c>
      <c r="I1809" s="12">
        <v>0</v>
      </c>
      <c r="J1809" s="12">
        <f>SUMIF(order_item!B:B,A1809,order_item!E:E)</f>
        <v>903</v>
      </c>
      <c r="K1809" s="28" t="str">
        <f>_xlfn.XLOOKUP(B1809,customers!A:A,customers!D:D)</f>
        <v>Regular</v>
      </c>
    </row>
    <row r="1810" spans="1:11" x14ac:dyDescent="0.25">
      <c r="A1810" s="5" t="s">
        <v>989</v>
      </c>
      <c r="B1810" s="5" t="s">
        <v>470</v>
      </c>
      <c r="C1810" s="5" t="s">
        <v>7309</v>
      </c>
      <c r="D1810" s="1">
        <v>45621</v>
      </c>
      <c r="E1810" s="17">
        <v>0.77638888888888891</v>
      </c>
      <c r="F1810" s="5" t="s">
        <v>7305</v>
      </c>
      <c r="G1810" s="12">
        <v>545</v>
      </c>
      <c r="H1810" s="12">
        <v>0</v>
      </c>
      <c r="I1810" s="12">
        <v>545</v>
      </c>
      <c r="J1810" s="12">
        <f>SUMIF(order_item!B:B,A1810,order_item!E:E)</f>
        <v>545</v>
      </c>
      <c r="K1810" s="28" t="str">
        <f>_xlfn.XLOOKUP(B1810,customers!A:A,customers!D:D)</f>
        <v>New</v>
      </c>
    </row>
    <row r="1811" spans="1:11" x14ac:dyDescent="0.25">
      <c r="A1811" s="5" t="s">
        <v>986</v>
      </c>
      <c r="B1811" s="5" t="s">
        <v>279</v>
      </c>
      <c r="C1811" s="5" t="s">
        <v>7309</v>
      </c>
      <c r="D1811" s="1">
        <v>45553</v>
      </c>
      <c r="E1811" s="17">
        <v>0.84791666666666676</v>
      </c>
      <c r="F1811" s="5" t="s">
        <v>7305</v>
      </c>
      <c r="G1811" s="12">
        <v>455</v>
      </c>
      <c r="H1811" s="12">
        <v>45.5</v>
      </c>
      <c r="I1811" s="12">
        <v>409.5</v>
      </c>
      <c r="J1811" s="12">
        <f>SUMIF(order_item!B:B,A1811,order_item!E:E)</f>
        <v>455</v>
      </c>
      <c r="K1811" s="28" t="str">
        <f>_xlfn.XLOOKUP(B1811,customers!A:A,customers!D:D)</f>
        <v>Regular</v>
      </c>
    </row>
    <row r="1812" spans="1:11" x14ac:dyDescent="0.25">
      <c r="A1812" s="5" t="s">
        <v>983</v>
      </c>
      <c r="B1812" s="5" t="s">
        <v>838</v>
      </c>
      <c r="C1812" s="5" t="s">
        <v>7308</v>
      </c>
      <c r="D1812" s="1">
        <v>45466</v>
      </c>
      <c r="E1812" s="17">
        <v>0.68888888888888899</v>
      </c>
      <c r="F1812" s="5" t="s">
        <v>7305</v>
      </c>
      <c r="G1812" s="12">
        <v>993</v>
      </c>
      <c r="H1812" s="12">
        <v>0</v>
      </c>
      <c r="I1812" s="12">
        <v>993</v>
      </c>
      <c r="J1812" s="12">
        <f>SUMIF(order_item!B:B,A1812,order_item!E:E)</f>
        <v>993</v>
      </c>
      <c r="K1812" s="28" t="str">
        <f>_xlfn.XLOOKUP(B1812,customers!A:A,customers!D:D)</f>
        <v>Regular</v>
      </c>
    </row>
    <row r="1813" spans="1:11" x14ac:dyDescent="0.25">
      <c r="A1813" s="5" t="s">
        <v>979</v>
      </c>
      <c r="B1813" s="5" t="s">
        <v>525</v>
      </c>
      <c r="C1813" s="5" t="s">
        <v>7309</v>
      </c>
      <c r="D1813" s="1">
        <v>45655</v>
      </c>
      <c r="E1813" s="17">
        <v>0.82291666666666663</v>
      </c>
      <c r="F1813" s="5" t="s">
        <v>7305</v>
      </c>
      <c r="G1813" s="12">
        <v>823</v>
      </c>
      <c r="H1813" s="12">
        <v>82.3</v>
      </c>
      <c r="I1813" s="12">
        <v>740.7</v>
      </c>
      <c r="J1813" s="12">
        <f>SUMIF(order_item!B:B,A1813,order_item!E:E)</f>
        <v>823</v>
      </c>
      <c r="K1813" s="28" t="str">
        <f>_xlfn.XLOOKUP(B1813,customers!A:A,customers!D:D)</f>
        <v>Regular</v>
      </c>
    </row>
    <row r="1814" spans="1:11" x14ac:dyDescent="0.25">
      <c r="A1814" s="5" t="s">
        <v>974</v>
      </c>
      <c r="B1814" s="5" t="s">
        <v>801</v>
      </c>
      <c r="C1814" s="5" t="s">
        <v>7309</v>
      </c>
      <c r="D1814" s="1">
        <v>45594</v>
      </c>
      <c r="E1814" s="17">
        <v>0.41250000000000003</v>
      </c>
      <c r="F1814" s="5" t="s">
        <v>7305</v>
      </c>
      <c r="G1814" s="12">
        <v>1017</v>
      </c>
      <c r="H1814" s="12">
        <v>0</v>
      </c>
      <c r="I1814" s="12">
        <v>1017</v>
      </c>
      <c r="J1814" s="12">
        <f>SUMIF(order_item!B:B,A1814,order_item!E:E)</f>
        <v>1017</v>
      </c>
      <c r="K1814" s="28" t="str">
        <f>_xlfn.XLOOKUP(B1814,customers!A:A,customers!D:D)</f>
        <v>Regular</v>
      </c>
    </row>
    <row r="1815" spans="1:11" x14ac:dyDescent="0.25">
      <c r="A1815" s="5" t="s">
        <v>970</v>
      </c>
      <c r="B1815" s="5" t="s">
        <v>729</v>
      </c>
      <c r="C1815" s="5" t="s">
        <v>7306</v>
      </c>
      <c r="D1815" s="1">
        <v>45397</v>
      </c>
      <c r="E1815" s="17">
        <v>0.87013888888888891</v>
      </c>
      <c r="F1815" s="5" t="s">
        <v>7305</v>
      </c>
      <c r="G1815" s="12">
        <v>327</v>
      </c>
      <c r="H1815" s="12">
        <v>32.700000000000003</v>
      </c>
      <c r="I1815" s="12">
        <v>294.3</v>
      </c>
      <c r="J1815" s="12">
        <f>SUMIF(order_item!B:B,A1815,order_item!E:E)</f>
        <v>327</v>
      </c>
      <c r="K1815" s="28" t="str">
        <f>_xlfn.XLOOKUP(B1815,customers!A:A,customers!D:D)</f>
        <v>Regular</v>
      </c>
    </row>
    <row r="1816" spans="1:11" x14ac:dyDescent="0.25">
      <c r="A1816" s="5" t="s">
        <v>967</v>
      </c>
      <c r="B1816" s="5" t="s">
        <v>849</v>
      </c>
      <c r="C1816" s="5" t="s">
        <v>7309</v>
      </c>
      <c r="D1816" s="1">
        <v>45485</v>
      </c>
      <c r="E1816" s="17">
        <v>0.87708333333333333</v>
      </c>
      <c r="F1816" s="5" t="s">
        <v>7305</v>
      </c>
      <c r="G1816" s="12">
        <v>841</v>
      </c>
      <c r="H1816" s="12">
        <v>0</v>
      </c>
      <c r="I1816" s="12">
        <v>841</v>
      </c>
      <c r="J1816" s="12">
        <f>SUMIF(order_item!B:B,A1816,order_item!E:E)</f>
        <v>841</v>
      </c>
      <c r="K1816" s="28" t="str">
        <f>_xlfn.XLOOKUP(B1816,customers!A:A,customers!D:D)</f>
        <v>Premium</v>
      </c>
    </row>
    <row r="1817" spans="1:11" x14ac:dyDescent="0.25">
      <c r="A1817" s="5" t="s">
        <v>963</v>
      </c>
      <c r="B1817" s="5" t="s">
        <v>454</v>
      </c>
      <c r="C1817" s="5" t="s">
        <v>7308</v>
      </c>
      <c r="D1817" s="1">
        <v>45738</v>
      </c>
      <c r="E1817" s="17">
        <v>0.81666666666666676</v>
      </c>
      <c r="F1817" s="5" t="s">
        <v>7305</v>
      </c>
      <c r="G1817" s="12">
        <v>456</v>
      </c>
      <c r="H1817" s="12">
        <v>0</v>
      </c>
      <c r="I1817" s="12">
        <v>456</v>
      </c>
      <c r="J1817" s="12">
        <f>SUMIF(order_item!B:B,A1817,order_item!E:E)</f>
        <v>456</v>
      </c>
      <c r="K1817" s="28" t="str">
        <f>_xlfn.XLOOKUP(B1817,customers!A:A,customers!D:D)</f>
        <v>Regular</v>
      </c>
    </row>
    <row r="1818" spans="1:11" x14ac:dyDescent="0.25">
      <c r="A1818" s="5" t="s">
        <v>960</v>
      </c>
      <c r="B1818" s="5" t="s">
        <v>588</v>
      </c>
      <c r="C1818" s="5" t="s">
        <v>7309</v>
      </c>
      <c r="D1818" s="1">
        <v>45438</v>
      </c>
      <c r="E1818" s="17">
        <v>0.77777777777777779</v>
      </c>
      <c r="F1818" s="5" t="s">
        <v>7305</v>
      </c>
      <c r="G1818" s="12">
        <v>178</v>
      </c>
      <c r="H1818" s="12">
        <v>0</v>
      </c>
      <c r="I1818" s="12">
        <v>178</v>
      </c>
      <c r="J1818" s="12">
        <f>SUMIF(order_item!B:B,A1818,order_item!E:E)</f>
        <v>178</v>
      </c>
      <c r="K1818" s="28" t="str">
        <f>_xlfn.XLOOKUP(B1818,customers!A:A,customers!D:D)</f>
        <v>Premium</v>
      </c>
    </row>
    <row r="1819" spans="1:11" x14ac:dyDescent="0.25">
      <c r="A1819" s="5" t="s">
        <v>956</v>
      </c>
      <c r="B1819" s="5" t="s">
        <v>617</v>
      </c>
      <c r="C1819" s="5" t="s">
        <v>7309</v>
      </c>
      <c r="D1819" s="1">
        <v>45566</v>
      </c>
      <c r="E1819" s="17">
        <v>0.42430555555555555</v>
      </c>
      <c r="F1819" s="5" t="s">
        <v>7305</v>
      </c>
      <c r="G1819" s="12">
        <v>633</v>
      </c>
      <c r="H1819" s="12">
        <v>0</v>
      </c>
      <c r="I1819" s="12">
        <v>633</v>
      </c>
      <c r="J1819" s="12">
        <f>SUMIF(order_item!B:B,A1819,order_item!E:E)</f>
        <v>633</v>
      </c>
      <c r="K1819" s="28" t="str">
        <f>_xlfn.XLOOKUP(B1819,customers!A:A,customers!D:D)</f>
        <v>Premium</v>
      </c>
    </row>
    <row r="1820" spans="1:11" x14ac:dyDescent="0.25">
      <c r="A1820" s="5" t="s">
        <v>953</v>
      </c>
      <c r="B1820" s="5" t="s">
        <v>841</v>
      </c>
      <c r="C1820" s="5" t="s">
        <v>7306</v>
      </c>
      <c r="D1820" s="1">
        <v>45388</v>
      </c>
      <c r="E1820" s="17">
        <v>0.81041666666666667</v>
      </c>
      <c r="F1820" s="5" t="s">
        <v>7305</v>
      </c>
      <c r="G1820" s="12">
        <v>178</v>
      </c>
      <c r="H1820" s="12">
        <v>8.9</v>
      </c>
      <c r="I1820" s="12">
        <v>169.1</v>
      </c>
      <c r="J1820" s="12">
        <f>SUMIF(order_item!B:B,A1820,order_item!E:E)</f>
        <v>178</v>
      </c>
      <c r="K1820" s="28" t="str">
        <f>_xlfn.XLOOKUP(B1820,customers!A:A,customers!D:D)</f>
        <v>Regular</v>
      </c>
    </row>
    <row r="1821" spans="1:11" x14ac:dyDescent="0.25">
      <c r="A1821" s="5" t="s">
        <v>950</v>
      </c>
      <c r="B1821" s="5" t="s">
        <v>815</v>
      </c>
      <c r="C1821" s="5" t="s">
        <v>7309</v>
      </c>
      <c r="D1821" s="1">
        <v>45605</v>
      </c>
      <c r="E1821" s="17">
        <v>0.72638888888888886</v>
      </c>
      <c r="F1821" s="5" t="s">
        <v>7305</v>
      </c>
      <c r="G1821" s="12">
        <v>238</v>
      </c>
      <c r="H1821" s="12">
        <v>11.9</v>
      </c>
      <c r="I1821" s="12">
        <v>226.1</v>
      </c>
      <c r="J1821" s="12">
        <f>SUMIF(order_item!B:B,A1821,order_item!E:E)</f>
        <v>238</v>
      </c>
      <c r="K1821" s="28" t="str">
        <f>_xlfn.XLOOKUP(B1821,customers!A:A,customers!D:D)</f>
        <v>Premium</v>
      </c>
    </row>
    <row r="1822" spans="1:11" x14ac:dyDescent="0.25">
      <c r="A1822" s="5" t="s">
        <v>947</v>
      </c>
      <c r="B1822" s="5" t="s">
        <v>462</v>
      </c>
      <c r="C1822" s="5" t="s">
        <v>7309</v>
      </c>
      <c r="D1822" s="1">
        <v>45438</v>
      </c>
      <c r="E1822" s="17">
        <v>0.57222222222222219</v>
      </c>
      <c r="F1822" s="5" t="s">
        <v>7305</v>
      </c>
      <c r="G1822" s="12">
        <v>218</v>
      </c>
      <c r="H1822" s="12">
        <v>0</v>
      </c>
      <c r="I1822" s="12">
        <v>218</v>
      </c>
      <c r="J1822" s="12">
        <f>SUMIF(order_item!B:B,A1822,order_item!E:E)</f>
        <v>218</v>
      </c>
      <c r="K1822" s="28" t="str">
        <f>_xlfn.XLOOKUP(B1822,customers!A:A,customers!D:D)</f>
        <v>Regular</v>
      </c>
    </row>
    <row r="1823" spans="1:11" x14ac:dyDescent="0.25">
      <c r="A1823" s="5" t="s">
        <v>942</v>
      </c>
      <c r="B1823" s="5" t="s">
        <v>342</v>
      </c>
      <c r="C1823" s="5" t="s">
        <v>7309</v>
      </c>
      <c r="D1823" s="1">
        <v>45685</v>
      </c>
      <c r="E1823" s="17">
        <v>0.95972222222222225</v>
      </c>
      <c r="F1823" s="5" t="s">
        <v>7307</v>
      </c>
      <c r="G1823" s="12">
        <v>525</v>
      </c>
      <c r="H1823" s="12">
        <v>0</v>
      </c>
      <c r="I1823" s="12">
        <v>0</v>
      </c>
      <c r="J1823" s="12">
        <f>SUMIF(order_item!B:B,A1823,order_item!E:E)</f>
        <v>525</v>
      </c>
      <c r="K1823" s="28" t="str">
        <f>_xlfn.XLOOKUP(B1823,customers!A:A,customers!D:D)</f>
        <v>Regular</v>
      </c>
    </row>
    <row r="1824" spans="1:11" x14ac:dyDescent="0.25">
      <c r="A1824" s="5" t="s">
        <v>937</v>
      </c>
      <c r="B1824" s="5" t="s">
        <v>296</v>
      </c>
      <c r="C1824" s="5" t="s">
        <v>7309</v>
      </c>
      <c r="D1824" s="1">
        <v>45667</v>
      </c>
      <c r="E1824" s="17">
        <v>3.6805555555555557E-2</v>
      </c>
      <c r="F1824" s="5" t="s">
        <v>7307</v>
      </c>
      <c r="G1824" s="12">
        <v>1270</v>
      </c>
      <c r="H1824" s="12">
        <v>0</v>
      </c>
      <c r="I1824" s="12">
        <v>0</v>
      </c>
      <c r="J1824" s="12">
        <f>SUMIF(order_item!B:B,A1824,order_item!E:E)</f>
        <v>1270</v>
      </c>
      <c r="K1824" s="28" t="str">
        <f>_xlfn.XLOOKUP(B1824,customers!A:A,customers!D:D)</f>
        <v>Regular</v>
      </c>
    </row>
    <row r="1825" spans="1:11" x14ac:dyDescent="0.25">
      <c r="A1825" s="5" t="s">
        <v>935</v>
      </c>
      <c r="B1825" s="5" t="s">
        <v>839</v>
      </c>
      <c r="C1825" s="5" t="s">
        <v>7309</v>
      </c>
      <c r="D1825" s="1">
        <v>45596</v>
      </c>
      <c r="E1825" s="17">
        <v>0.5444444444444444</v>
      </c>
      <c r="F1825" s="5" t="s">
        <v>7305</v>
      </c>
      <c r="G1825" s="12">
        <v>298</v>
      </c>
      <c r="H1825" s="12">
        <v>44.7</v>
      </c>
      <c r="I1825" s="12">
        <v>253.3</v>
      </c>
      <c r="J1825" s="12">
        <f>SUMIF(order_item!B:B,A1825,order_item!E:E)</f>
        <v>298</v>
      </c>
      <c r="K1825" s="28" t="str">
        <f>_xlfn.XLOOKUP(B1825,customers!A:A,customers!D:D)</f>
        <v>Regular</v>
      </c>
    </row>
    <row r="1826" spans="1:11" x14ac:dyDescent="0.25">
      <c r="A1826" s="5" t="s">
        <v>932</v>
      </c>
      <c r="B1826" s="5" t="s">
        <v>814</v>
      </c>
      <c r="C1826" s="5" t="s">
        <v>7306</v>
      </c>
      <c r="D1826" s="1">
        <v>45619</v>
      </c>
      <c r="E1826" s="17">
        <v>0.79027777777777775</v>
      </c>
      <c r="F1826" s="5" t="s">
        <v>7305</v>
      </c>
      <c r="G1826" s="12">
        <v>297</v>
      </c>
      <c r="H1826" s="12">
        <v>0</v>
      </c>
      <c r="I1826" s="12">
        <v>297</v>
      </c>
      <c r="J1826" s="12">
        <f>SUMIF(order_item!B:B,A1826,order_item!E:E)</f>
        <v>297</v>
      </c>
      <c r="K1826" s="28" t="str">
        <f>_xlfn.XLOOKUP(B1826,customers!A:A,customers!D:D)</f>
        <v>Regular</v>
      </c>
    </row>
    <row r="1827" spans="1:11" x14ac:dyDescent="0.25">
      <c r="A1827" s="5" t="s">
        <v>930</v>
      </c>
      <c r="B1827" s="5" t="s">
        <v>677</v>
      </c>
      <c r="C1827" s="5" t="s">
        <v>7306</v>
      </c>
      <c r="D1827" s="1">
        <v>45581</v>
      </c>
      <c r="E1827" s="17">
        <v>0.86597222222222225</v>
      </c>
      <c r="F1827" s="5" t="s">
        <v>7305</v>
      </c>
      <c r="G1827" s="12">
        <v>298</v>
      </c>
      <c r="H1827" s="12">
        <v>14.9</v>
      </c>
      <c r="I1827" s="12">
        <v>283.10000000000002</v>
      </c>
      <c r="J1827" s="12">
        <f>SUMIF(order_item!B:B,A1827,order_item!E:E)</f>
        <v>298</v>
      </c>
      <c r="K1827" s="28" t="str">
        <f>_xlfn.XLOOKUP(B1827,customers!A:A,customers!D:D)</f>
        <v>Regular</v>
      </c>
    </row>
    <row r="1828" spans="1:11" x14ac:dyDescent="0.25">
      <c r="A1828" s="5" t="s">
        <v>927</v>
      </c>
      <c r="B1828" s="5" t="s">
        <v>236</v>
      </c>
      <c r="C1828" s="5" t="s">
        <v>7309</v>
      </c>
      <c r="D1828" s="1">
        <v>45409</v>
      </c>
      <c r="E1828" s="17">
        <v>0.78541666666666676</v>
      </c>
      <c r="F1828" s="5" t="s">
        <v>7305</v>
      </c>
      <c r="G1828" s="12">
        <v>456</v>
      </c>
      <c r="H1828" s="12">
        <v>0</v>
      </c>
      <c r="I1828" s="12">
        <v>456</v>
      </c>
      <c r="J1828" s="12">
        <f>SUMIF(order_item!B:B,A1828,order_item!E:E)</f>
        <v>456</v>
      </c>
      <c r="K1828" s="28" t="str">
        <f>_xlfn.XLOOKUP(B1828,customers!A:A,customers!D:D)</f>
        <v>Premium</v>
      </c>
    </row>
    <row r="1829" spans="1:11" x14ac:dyDescent="0.25">
      <c r="A1829" s="5" t="s">
        <v>925</v>
      </c>
      <c r="B1829" s="5" t="s">
        <v>850</v>
      </c>
      <c r="C1829" s="5" t="s">
        <v>7309</v>
      </c>
      <c r="D1829" s="1">
        <v>45494</v>
      </c>
      <c r="E1829" s="17">
        <v>0.88680555555555562</v>
      </c>
      <c r="F1829" s="5" t="s">
        <v>7305</v>
      </c>
      <c r="G1829" s="12">
        <v>795</v>
      </c>
      <c r="H1829" s="12">
        <v>0</v>
      </c>
      <c r="I1829" s="12">
        <v>795</v>
      </c>
      <c r="J1829" s="12">
        <f>SUMIF(order_item!B:B,A1829,order_item!E:E)</f>
        <v>795</v>
      </c>
      <c r="K1829" s="28" t="str">
        <f>_xlfn.XLOOKUP(B1829,customers!A:A,customers!D:D)</f>
        <v>New</v>
      </c>
    </row>
    <row r="1830" spans="1:11" x14ac:dyDescent="0.25">
      <c r="A1830" s="5" t="s">
        <v>922</v>
      </c>
      <c r="B1830" s="5" t="s">
        <v>332</v>
      </c>
      <c r="C1830" s="5" t="s">
        <v>7309</v>
      </c>
      <c r="D1830" s="1">
        <v>45611</v>
      </c>
      <c r="E1830" s="17">
        <v>0.83750000000000002</v>
      </c>
      <c r="F1830" s="5" t="s">
        <v>7305</v>
      </c>
      <c r="G1830" s="12">
        <v>556</v>
      </c>
      <c r="H1830" s="12">
        <v>27.8</v>
      </c>
      <c r="I1830" s="12">
        <v>528.20000000000005</v>
      </c>
      <c r="J1830" s="12">
        <f>SUMIF(order_item!B:B,A1830,order_item!E:E)</f>
        <v>556</v>
      </c>
      <c r="K1830" s="28" t="str">
        <f>_xlfn.XLOOKUP(B1830,customers!A:A,customers!D:D)</f>
        <v>New</v>
      </c>
    </row>
    <row r="1831" spans="1:11" x14ac:dyDescent="0.25">
      <c r="A1831" s="5" t="s">
        <v>919</v>
      </c>
      <c r="B1831" s="5" t="s">
        <v>85</v>
      </c>
      <c r="C1831" s="5" t="s">
        <v>7309</v>
      </c>
      <c r="D1831" s="1">
        <v>45556</v>
      </c>
      <c r="E1831" s="17">
        <v>0.59305555555555556</v>
      </c>
      <c r="F1831" s="5" t="s">
        <v>7305</v>
      </c>
      <c r="G1831" s="12">
        <v>237</v>
      </c>
      <c r="H1831" s="12">
        <v>35.549999999999997</v>
      </c>
      <c r="I1831" s="12">
        <v>201.45</v>
      </c>
      <c r="J1831" s="12">
        <f>SUMIF(order_item!B:B,A1831,order_item!E:E)</f>
        <v>237</v>
      </c>
      <c r="K1831" s="28" t="str">
        <f>_xlfn.XLOOKUP(B1831,customers!A:A,customers!D:D)</f>
        <v>Regular</v>
      </c>
    </row>
    <row r="1832" spans="1:11" x14ac:dyDescent="0.25">
      <c r="A1832" s="5" t="s">
        <v>916</v>
      </c>
      <c r="B1832" s="5" t="s">
        <v>257</v>
      </c>
      <c r="C1832" s="5" t="s">
        <v>7309</v>
      </c>
      <c r="D1832" s="1">
        <v>45610</v>
      </c>
      <c r="E1832" s="17">
        <v>0.7680555555555556</v>
      </c>
      <c r="F1832" s="5" t="s">
        <v>7305</v>
      </c>
      <c r="G1832" s="12">
        <v>178</v>
      </c>
      <c r="H1832" s="12">
        <v>17.8</v>
      </c>
      <c r="I1832" s="12">
        <v>160.19999999999999</v>
      </c>
      <c r="J1832" s="12">
        <f>SUMIF(order_item!B:B,A1832,order_item!E:E)</f>
        <v>178</v>
      </c>
      <c r="K1832" s="28" t="str">
        <f>_xlfn.XLOOKUP(B1832,customers!A:A,customers!D:D)</f>
        <v>Regular</v>
      </c>
    </row>
    <row r="1833" spans="1:11" x14ac:dyDescent="0.25">
      <c r="A1833" s="5" t="s">
        <v>913</v>
      </c>
      <c r="B1833" s="5" t="s">
        <v>267</v>
      </c>
      <c r="C1833" s="5" t="s">
        <v>7306</v>
      </c>
      <c r="D1833" s="1">
        <v>45570</v>
      </c>
      <c r="E1833" s="17">
        <v>0.85</v>
      </c>
      <c r="F1833" s="5" t="s">
        <v>7307</v>
      </c>
      <c r="G1833" s="12">
        <v>317</v>
      </c>
      <c r="H1833" s="12">
        <v>31.7</v>
      </c>
      <c r="I1833" s="12">
        <v>0</v>
      </c>
      <c r="J1833" s="12">
        <f>SUMIF(order_item!B:B,A1833,order_item!E:E)</f>
        <v>317</v>
      </c>
      <c r="K1833" s="28" t="str">
        <f>_xlfn.XLOOKUP(B1833,customers!A:A,customers!D:D)</f>
        <v>Regular</v>
      </c>
    </row>
    <row r="1834" spans="1:11" x14ac:dyDescent="0.25">
      <c r="A1834" s="5" t="s">
        <v>909</v>
      </c>
      <c r="B1834" s="5" t="s">
        <v>147</v>
      </c>
      <c r="C1834" s="5" t="s">
        <v>7309</v>
      </c>
      <c r="D1834" s="1">
        <v>45674</v>
      </c>
      <c r="E1834" s="17">
        <v>0.70694444444444438</v>
      </c>
      <c r="F1834" s="5" t="s">
        <v>7305</v>
      </c>
      <c r="G1834" s="12">
        <v>545</v>
      </c>
      <c r="H1834" s="12">
        <v>0</v>
      </c>
      <c r="I1834" s="12">
        <v>545</v>
      </c>
      <c r="J1834" s="12">
        <f>SUMIF(order_item!B:B,A1834,order_item!E:E)</f>
        <v>545</v>
      </c>
      <c r="K1834" s="28" t="str">
        <f>_xlfn.XLOOKUP(B1834,customers!A:A,customers!D:D)</f>
        <v>Regular</v>
      </c>
    </row>
    <row r="1835" spans="1:11" x14ac:dyDescent="0.25">
      <c r="A1835" s="5" t="s">
        <v>907</v>
      </c>
      <c r="B1835" s="5" t="s">
        <v>486</v>
      </c>
      <c r="C1835" s="5" t="s">
        <v>7309</v>
      </c>
      <c r="D1835" s="1">
        <v>45462</v>
      </c>
      <c r="E1835" s="17">
        <v>0.68611111111111101</v>
      </c>
      <c r="F1835" s="5" t="s">
        <v>7305</v>
      </c>
      <c r="G1835" s="12">
        <v>159</v>
      </c>
      <c r="H1835" s="12">
        <v>7.95</v>
      </c>
      <c r="I1835" s="12">
        <v>151.05000000000001</v>
      </c>
      <c r="J1835" s="12">
        <f>SUMIF(order_item!B:B,A1835,order_item!E:E)</f>
        <v>159</v>
      </c>
      <c r="K1835" s="28" t="str">
        <f>_xlfn.XLOOKUP(B1835,customers!A:A,customers!D:D)</f>
        <v>Premium</v>
      </c>
    </row>
    <row r="1836" spans="1:11" x14ac:dyDescent="0.25">
      <c r="A1836" s="5" t="s">
        <v>902</v>
      </c>
      <c r="B1836" s="5" t="s">
        <v>668</v>
      </c>
      <c r="C1836" s="5" t="s">
        <v>7309</v>
      </c>
      <c r="D1836" s="1">
        <v>45499</v>
      </c>
      <c r="E1836" s="17">
        <v>0.67847222222222225</v>
      </c>
      <c r="F1836" s="5" t="s">
        <v>7305</v>
      </c>
      <c r="G1836" s="12">
        <v>1108</v>
      </c>
      <c r="H1836" s="12">
        <v>0</v>
      </c>
      <c r="I1836" s="12">
        <v>1108</v>
      </c>
      <c r="J1836" s="12">
        <f>SUMIF(order_item!B:B,A1836,order_item!E:E)</f>
        <v>1108</v>
      </c>
      <c r="K1836" s="28" t="str">
        <f>_xlfn.XLOOKUP(B1836,customers!A:A,customers!D:D)</f>
        <v>Premium</v>
      </c>
    </row>
    <row r="1837" spans="1:11" x14ac:dyDescent="0.25">
      <c r="A1837" s="5" t="s">
        <v>898</v>
      </c>
      <c r="B1837" s="5" t="s">
        <v>524</v>
      </c>
      <c r="C1837" s="5" t="s">
        <v>7306</v>
      </c>
      <c r="D1837" s="1">
        <v>45536</v>
      </c>
      <c r="E1837" s="17">
        <v>0.83750000000000002</v>
      </c>
      <c r="F1837" s="5" t="s">
        <v>7305</v>
      </c>
      <c r="G1837" s="12">
        <v>474</v>
      </c>
      <c r="H1837" s="12">
        <v>23.7</v>
      </c>
      <c r="I1837" s="12">
        <v>450.3</v>
      </c>
      <c r="J1837" s="12">
        <f>SUMIF(order_item!B:B,A1837,order_item!E:E)</f>
        <v>474</v>
      </c>
      <c r="K1837" s="28" t="str">
        <f>_xlfn.XLOOKUP(B1837,customers!A:A,customers!D:D)</f>
        <v>New</v>
      </c>
    </row>
    <row r="1838" spans="1:11" x14ac:dyDescent="0.25">
      <c r="A1838" s="5" t="s">
        <v>895</v>
      </c>
      <c r="B1838" s="5" t="s">
        <v>321</v>
      </c>
      <c r="C1838" s="5" t="s">
        <v>7309</v>
      </c>
      <c r="D1838" s="1">
        <v>45541</v>
      </c>
      <c r="E1838" s="17">
        <v>0.75902777777777775</v>
      </c>
      <c r="F1838" s="5" t="s">
        <v>7307</v>
      </c>
      <c r="G1838" s="12">
        <v>494</v>
      </c>
      <c r="H1838" s="12">
        <v>0</v>
      </c>
      <c r="I1838" s="12">
        <v>0</v>
      </c>
      <c r="J1838" s="12">
        <f>SUMIF(order_item!B:B,A1838,order_item!E:E)</f>
        <v>494</v>
      </c>
      <c r="K1838" s="28" t="str">
        <f>_xlfn.XLOOKUP(B1838,customers!A:A,customers!D:D)</f>
        <v>Regular</v>
      </c>
    </row>
    <row r="1839" spans="1:11" x14ac:dyDescent="0.25">
      <c r="A1839" s="5" t="s">
        <v>892</v>
      </c>
      <c r="B1839" s="5" t="s">
        <v>505</v>
      </c>
      <c r="C1839" s="5" t="s">
        <v>7309</v>
      </c>
      <c r="D1839" s="1">
        <v>45509</v>
      </c>
      <c r="E1839" s="17">
        <v>0.72013888888888899</v>
      </c>
      <c r="F1839" s="5" t="s">
        <v>7305</v>
      </c>
      <c r="G1839" s="12">
        <v>238</v>
      </c>
      <c r="H1839" s="12">
        <v>0</v>
      </c>
      <c r="I1839" s="12">
        <v>238</v>
      </c>
      <c r="J1839" s="12">
        <f>SUMIF(order_item!B:B,A1839,order_item!E:E)</f>
        <v>238</v>
      </c>
      <c r="K1839" s="28" t="str">
        <f>_xlfn.XLOOKUP(B1839,customers!A:A,customers!D:D)</f>
        <v>Regular</v>
      </c>
    </row>
    <row r="1840" spans="1:11" x14ac:dyDescent="0.25">
      <c r="A1840" s="5" t="s">
        <v>889</v>
      </c>
      <c r="B1840" s="5" t="s">
        <v>232</v>
      </c>
      <c r="C1840" s="5" t="s">
        <v>7309</v>
      </c>
      <c r="D1840" s="1">
        <v>45684</v>
      </c>
      <c r="E1840" s="17">
        <v>0.8208333333333333</v>
      </c>
      <c r="F1840" s="5" t="s">
        <v>7305</v>
      </c>
      <c r="G1840" s="12">
        <v>277</v>
      </c>
      <c r="H1840" s="12">
        <v>0</v>
      </c>
      <c r="I1840" s="12">
        <v>277</v>
      </c>
      <c r="J1840" s="12">
        <f>SUMIF(order_item!B:B,A1840,order_item!E:E)</f>
        <v>277</v>
      </c>
      <c r="K1840" s="28" t="str">
        <f>_xlfn.XLOOKUP(B1840,customers!A:A,customers!D:D)</f>
        <v>Regular</v>
      </c>
    </row>
    <row r="1841" spans="1:11" x14ac:dyDescent="0.25">
      <c r="A1841" s="5" t="s">
        <v>886</v>
      </c>
      <c r="B1841" s="5" t="s">
        <v>556</v>
      </c>
      <c r="C1841" s="5" t="s">
        <v>7308</v>
      </c>
      <c r="D1841" s="1">
        <v>45707</v>
      </c>
      <c r="E1841" s="17">
        <v>0.85</v>
      </c>
      <c r="F1841" s="5" t="s">
        <v>7305</v>
      </c>
      <c r="G1841" s="12">
        <v>534</v>
      </c>
      <c r="H1841" s="12">
        <v>0</v>
      </c>
      <c r="I1841" s="12">
        <v>534</v>
      </c>
      <c r="J1841" s="12">
        <f>SUMIF(order_item!B:B,A1841,order_item!E:E)</f>
        <v>534</v>
      </c>
      <c r="K1841" s="28" t="str">
        <f>_xlfn.XLOOKUP(B1841,customers!A:A,customers!D:D)</f>
        <v>New</v>
      </c>
    </row>
    <row r="1842" spans="1:11" x14ac:dyDescent="0.25">
      <c r="A1842" s="5" t="s">
        <v>882</v>
      </c>
      <c r="B1842" s="5" t="s">
        <v>777</v>
      </c>
      <c r="C1842" s="5" t="s">
        <v>7309</v>
      </c>
      <c r="D1842" s="1">
        <v>45431</v>
      </c>
      <c r="E1842" s="17">
        <v>0.43333333333333335</v>
      </c>
      <c r="F1842" s="5" t="s">
        <v>7307</v>
      </c>
      <c r="G1842" s="12">
        <v>615</v>
      </c>
      <c r="H1842" s="12">
        <v>0</v>
      </c>
      <c r="I1842" s="12">
        <v>0</v>
      </c>
      <c r="J1842" s="12">
        <f>SUMIF(order_item!B:B,A1842,order_item!E:E)</f>
        <v>615</v>
      </c>
      <c r="K1842" s="28" t="str">
        <f>_xlfn.XLOOKUP(B1842,customers!A:A,customers!D:D)</f>
        <v>Premium</v>
      </c>
    </row>
    <row r="1843" spans="1:11" x14ac:dyDescent="0.25">
      <c r="A1843" s="5" t="s">
        <v>880</v>
      </c>
      <c r="B1843" s="5" t="s">
        <v>400</v>
      </c>
      <c r="C1843" s="5" t="s">
        <v>7306</v>
      </c>
      <c r="D1843" s="1">
        <v>45608</v>
      </c>
      <c r="E1843" s="17">
        <v>0.77916666666666667</v>
      </c>
      <c r="F1843" s="5" t="s">
        <v>7305</v>
      </c>
      <c r="G1843" s="12">
        <v>278</v>
      </c>
      <c r="H1843" s="12">
        <v>0</v>
      </c>
      <c r="I1843" s="12">
        <v>278</v>
      </c>
      <c r="J1843" s="12">
        <f>SUMIF(order_item!B:B,A1843,order_item!E:E)</f>
        <v>278</v>
      </c>
      <c r="K1843" s="28" t="str">
        <f>_xlfn.XLOOKUP(B1843,customers!A:A,customers!D:D)</f>
        <v>New</v>
      </c>
    </row>
    <row r="1844" spans="1:11" x14ac:dyDescent="0.25">
      <c r="A1844" s="5" t="s">
        <v>875</v>
      </c>
      <c r="B1844" s="5" t="s">
        <v>477</v>
      </c>
      <c r="C1844" s="5" t="s">
        <v>7308</v>
      </c>
      <c r="D1844" s="1">
        <v>45627</v>
      </c>
      <c r="E1844" s="17">
        <v>0.69861111111111107</v>
      </c>
      <c r="F1844" s="5" t="s">
        <v>7307</v>
      </c>
      <c r="G1844" s="12">
        <v>911</v>
      </c>
      <c r="H1844" s="12">
        <v>136.65</v>
      </c>
      <c r="I1844" s="12">
        <v>0</v>
      </c>
      <c r="J1844" s="12">
        <f>SUMIF(order_item!B:B,A1844,order_item!E:E)</f>
        <v>911</v>
      </c>
      <c r="K1844" s="28" t="str">
        <f>_xlfn.XLOOKUP(B1844,customers!A:A,customers!D:D)</f>
        <v>Regular</v>
      </c>
    </row>
    <row r="1845" spans="1:11" x14ac:dyDescent="0.25">
      <c r="A1845" s="5" t="s">
        <v>872</v>
      </c>
      <c r="B1845" s="5" t="s">
        <v>271</v>
      </c>
      <c r="C1845" s="5" t="s">
        <v>7306</v>
      </c>
      <c r="D1845" s="1">
        <v>45414</v>
      </c>
      <c r="E1845" s="17">
        <v>0.4458333333333333</v>
      </c>
      <c r="F1845" s="5" t="s">
        <v>7305</v>
      </c>
      <c r="G1845" s="12">
        <v>416</v>
      </c>
      <c r="H1845" s="12">
        <v>41.6</v>
      </c>
      <c r="I1845" s="12">
        <v>374.4</v>
      </c>
      <c r="J1845" s="12">
        <f>SUMIF(order_item!B:B,A1845,order_item!E:E)</f>
        <v>416</v>
      </c>
      <c r="K1845" s="28" t="str">
        <f>_xlfn.XLOOKUP(B1845,customers!A:A,customers!D:D)</f>
        <v>Regular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DC64-A132-47DA-A593-35091F4A16EA}">
  <dimension ref="A3:C32"/>
  <sheetViews>
    <sheetView tabSelected="1" topLeftCell="A14" workbookViewId="0">
      <selection activeCell="B22" sqref="A3:C32"/>
    </sheetView>
  </sheetViews>
  <sheetFormatPr defaultRowHeight="15" x14ac:dyDescent="0.25"/>
  <cols>
    <col min="1" max="1" width="19" bestFit="1" customWidth="1"/>
    <col min="2" max="2" width="22.7109375" style="29" bestFit="1" customWidth="1"/>
    <col min="3" max="3" width="15.140625" bestFit="1" customWidth="1"/>
  </cols>
  <sheetData>
    <row r="3" spans="1:3" x14ac:dyDescent="0.25">
      <c r="A3" s="26" t="s">
        <v>7329</v>
      </c>
      <c r="B3" t="s">
        <v>7335</v>
      </c>
      <c r="C3" t="s">
        <v>7356</v>
      </c>
    </row>
    <row r="4" spans="1:3" x14ac:dyDescent="0.25">
      <c r="A4" s="27" t="s">
        <v>66</v>
      </c>
      <c r="B4" s="28">
        <v>10290</v>
      </c>
      <c r="C4" s="28">
        <v>210</v>
      </c>
    </row>
    <row r="5" spans="1:3" x14ac:dyDescent="0.25">
      <c r="A5" s="27" t="s">
        <v>27</v>
      </c>
      <c r="B5" s="28">
        <v>13924</v>
      </c>
      <c r="C5" s="28">
        <v>236</v>
      </c>
    </row>
    <row r="6" spans="1:3" x14ac:dyDescent="0.25">
      <c r="A6" s="27" t="s">
        <v>64</v>
      </c>
      <c r="B6" s="28">
        <v>17696</v>
      </c>
      <c r="C6" s="28">
        <v>224</v>
      </c>
    </row>
    <row r="7" spans="1:3" x14ac:dyDescent="0.25">
      <c r="A7" s="27" t="s">
        <v>60</v>
      </c>
      <c r="B7" s="28">
        <v>17775</v>
      </c>
      <c r="C7" s="28">
        <v>225</v>
      </c>
    </row>
    <row r="8" spans="1:3" x14ac:dyDescent="0.25">
      <c r="A8" s="27" t="s">
        <v>6</v>
      </c>
      <c r="B8" s="28">
        <v>18091</v>
      </c>
      <c r="C8" s="28">
        <v>229</v>
      </c>
    </row>
    <row r="9" spans="1:3" x14ac:dyDescent="0.25">
      <c r="A9" s="27" t="s">
        <v>34</v>
      </c>
      <c r="B9" s="28">
        <v>18285</v>
      </c>
      <c r="C9" s="28">
        <v>265</v>
      </c>
    </row>
    <row r="10" spans="1:3" x14ac:dyDescent="0.25">
      <c r="A10" s="27" t="s">
        <v>30</v>
      </c>
      <c r="B10" s="28">
        <v>18565</v>
      </c>
      <c r="C10" s="28">
        <v>235</v>
      </c>
    </row>
    <row r="11" spans="1:3" x14ac:dyDescent="0.25">
      <c r="A11" s="27" t="s">
        <v>57</v>
      </c>
      <c r="B11" s="28">
        <v>18723</v>
      </c>
      <c r="C11" s="28">
        <v>237</v>
      </c>
    </row>
    <row r="12" spans="1:3" x14ac:dyDescent="0.25">
      <c r="A12" s="27" t="s">
        <v>62</v>
      </c>
      <c r="B12" s="28">
        <v>22199</v>
      </c>
      <c r="C12" s="28">
        <v>281</v>
      </c>
    </row>
    <row r="13" spans="1:3" x14ac:dyDescent="0.25">
      <c r="A13" s="27" t="s">
        <v>20</v>
      </c>
      <c r="B13" s="28">
        <v>24016</v>
      </c>
      <c r="C13" s="28">
        <v>304</v>
      </c>
    </row>
    <row r="14" spans="1:3" x14ac:dyDescent="0.25">
      <c r="A14" s="27" t="s">
        <v>25</v>
      </c>
      <c r="B14" s="28">
        <v>26878</v>
      </c>
      <c r="C14" s="28">
        <v>302</v>
      </c>
    </row>
    <row r="15" spans="1:3" x14ac:dyDescent="0.25">
      <c r="A15" s="27" t="s">
        <v>32</v>
      </c>
      <c r="B15" s="28">
        <v>27234</v>
      </c>
      <c r="C15" s="28">
        <v>306</v>
      </c>
    </row>
    <row r="16" spans="1:3" x14ac:dyDescent="0.25">
      <c r="A16" s="27" t="s">
        <v>9</v>
      </c>
      <c r="B16" s="28">
        <v>28215</v>
      </c>
      <c r="C16" s="28">
        <v>285</v>
      </c>
    </row>
    <row r="17" spans="1:3" x14ac:dyDescent="0.25">
      <c r="A17" s="27" t="s">
        <v>11</v>
      </c>
      <c r="B17" s="28">
        <v>29512</v>
      </c>
      <c r="C17" s="28">
        <v>248</v>
      </c>
    </row>
    <row r="18" spans="1:3" x14ac:dyDescent="0.25">
      <c r="A18" s="27" t="s">
        <v>23</v>
      </c>
      <c r="B18" s="28">
        <v>30096</v>
      </c>
      <c r="C18" s="28">
        <v>304</v>
      </c>
    </row>
    <row r="19" spans="1:3" x14ac:dyDescent="0.25">
      <c r="A19" s="27" t="s">
        <v>13</v>
      </c>
      <c r="B19" s="28">
        <v>31600</v>
      </c>
      <c r="C19" s="28">
        <v>400</v>
      </c>
    </row>
    <row r="20" spans="1:3" x14ac:dyDescent="0.25">
      <c r="A20" s="27" t="s">
        <v>16</v>
      </c>
      <c r="B20" s="28">
        <v>33363</v>
      </c>
      <c r="C20" s="28">
        <v>337</v>
      </c>
    </row>
    <row r="21" spans="1:3" x14ac:dyDescent="0.25">
      <c r="A21" s="27" t="s">
        <v>18</v>
      </c>
      <c r="B21" s="28">
        <v>34443</v>
      </c>
      <c r="C21" s="28">
        <v>387</v>
      </c>
    </row>
    <row r="22" spans="1:3" x14ac:dyDescent="0.25">
      <c r="A22" s="27" t="s">
        <v>41</v>
      </c>
      <c r="B22" s="28">
        <v>36729</v>
      </c>
      <c r="C22" s="28">
        <v>371</v>
      </c>
    </row>
    <row r="23" spans="1:3" x14ac:dyDescent="0.25">
      <c r="A23" s="27" t="s">
        <v>53</v>
      </c>
      <c r="B23" s="28">
        <v>41877</v>
      </c>
      <c r="C23" s="28">
        <v>423</v>
      </c>
    </row>
    <row r="24" spans="1:3" x14ac:dyDescent="0.25">
      <c r="A24" s="27" t="s">
        <v>36</v>
      </c>
      <c r="B24" s="28">
        <v>43435</v>
      </c>
      <c r="C24" s="28">
        <v>365</v>
      </c>
    </row>
    <row r="25" spans="1:3" x14ac:dyDescent="0.25">
      <c r="A25" s="27" t="s">
        <v>39</v>
      </c>
      <c r="B25" s="28">
        <v>54236</v>
      </c>
      <c r="C25" s="28">
        <v>364</v>
      </c>
    </row>
    <row r="26" spans="1:3" x14ac:dyDescent="0.25">
      <c r="A26" s="27" t="s">
        <v>43</v>
      </c>
      <c r="B26" s="28">
        <v>55875</v>
      </c>
      <c r="C26" s="28">
        <v>375</v>
      </c>
    </row>
    <row r="27" spans="1:3" x14ac:dyDescent="0.25">
      <c r="A27" s="27" t="s">
        <v>47</v>
      </c>
      <c r="B27" s="28">
        <v>56620</v>
      </c>
      <c r="C27" s="28">
        <v>380</v>
      </c>
    </row>
    <row r="28" spans="1:3" x14ac:dyDescent="0.25">
      <c r="A28" s="27" t="s">
        <v>55</v>
      </c>
      <c r="B28" s="28">
        <v>59631</v>
      </c>
      <c r="C28" s="28">
        <v>429</v>
      </c>
    </row>
    <row r="29" spans="1:3" x14ac:dyDescent="0.25">
      <c r="A29" s="27" t="s">
        <v>51</v>
      </c>
      <c r="B29" s="28">
        <v>63027</v>
      </c>
      <c r="C29" s="28">
        <v>423</v>
      </c>
    </row>
    <row r="30" spans="1:3" x14ac:dyDescent="0.25">
      <c r="A30" s="27" t="s">
        <v>49</v>
      </c>
      <c r="B30" s="28">
        <v>65826</v>
      </c>
      <c r="C30" s="28">
        <v>414</v>
      </c>
    </row>
    <row r="31" spans="1:3" x14ac:dyDescent="0.25">
      <c r="A31" s="27" t="s">
        <v>45</v>
      </c>
      <c r="B31" s="28">
        <v>67893</v>
      </c>
      <c r="C31" s="28">
        <v>427</v>
      </c>
    </row>
    <row r="32" spans="1:3" x14ac:dyDescent="0.25">
      <c r="A32" s="27" t="s">
        <v>7330</v>
      </c>
      <c r="B32" s="28">
        <v>966054</v>
      </c>
      <c r="C32" s="28">
        <v>8986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87"/>
  <sheetViews>
    <sheetView topLeftCell="B1" workbookViewId="0">
      <selection activeCell="B1" sqref="B1:I4586"/>
    </sheetView>
  </sheetViews>
  <sheetFormatPr defaultRowHeight="15" x14ac:dyDescent="0.25"/>
  <cols>
    <col min="1" max="1" width="15.140625" style="5" bestFit="1" customWidth="1"/>
    <col min="2" max="2" width="11.85546875" style="5" bestFit="1" customWidth="1"/>
    <col min="3" max="3" width="8.42578125" style="5" bestFit="1" customWidth="1"/>
    <col min="4" max="4" width="9.42578125" style="21" bestFit="1" customWidth="1"/>
    <col min="5" max="5" width="17.5703125" style="12" bestFit="1" customWidth="1"/>
    <col min="6" max="6" width="33.5703125" style="10" bestFit="1" customWidth="1"/>
    <col min="7" max="7" width="9.140625" style="10"/>
    <col min="8" max="8" width="33.28515625" style="10" bestFit="1" customWidth="1"/>
    <col min="9" max="9" width="14" style="10" bestFit="1" customWidth="1"/>
    <col min="10" max="10" width="9.140625" style="5"/>
    <col min="11" max="11" width="12.140625" style="5" bestFit="1" customWidth="1"/>
    <col min="12" max="12" width="9.5703125" style="10" bestFit="1" customWidth="1"/>
    <col min="13" max="16384" width="9.140625" style="5"/>
  </cols>
  <sheetData>
    <row r="1" spans="1:12" ht="15.75" x14ac:dyDescent="0.25">
      <c r="A1" s="18" t="s">
        <v>7304</v>
      </c>
      <c r="B1" s="18" t="s">
        <v>7303</v>
      </c>
      <c r="C1" s="18" t="s">
        <v>0</v>
      </c>
      <c r="D1" s="20" t="s">
        <v>7302</v>
      </c>
      <c r="E1" s="19" t="s">
        <v>7301</v>
      </c>
      <c r="F1" s="10" t="s">
        <v>1</v>
      </c>
      <c r="G1" s="10" t="s">
        <v>7318</v>
      </c>
      <c r="H1" s="10" t="s">
        <v>7319</v>
      </c>
      <c r="I1" s="10" t="s">
        <v>7320</v>
      </c>
      <c r="L1" s="5"/>
    </row>
    <row r="2" spans="1:12" x14ac:dyDescent="0.25">
      <c r="A2" s="5" t="s">
        <v>7300</v>
      </c>
      <c r="B2" s="5" t="s">
        <v>7299</v>
      </c>
      <c r="C2" s="5" t="s">
        <v>33</v>
      </c>
      <c r="D2" s="21">
        <v>3</v>
      </c>
      <c r="E2" s="12">
        <v>207</v>
      </c>
      <c r="F2" s="10" t="str">
        <f>_xlfn.XLOOKUP(C2,menu!A:A,menu!B:B)</f>
        <v>Spring Roll</v>
      </c>
      <c r="G2" s="10" t="str">
        <f>_xlfn.XLOOKUP(C2,menu!A:A,menu!C:C)</f>
        <v>Rolls</v>
      </c>
      <c r="H2" s="10">
        <f>_xlfn.XLOOKUP(C2,menu!A:A,menu!E:E)</f>
        <v>21</v>
      </c>
      <c r="I2" s="10">
        <f>D2*H2</f>
        <v>63</v>
      </c>
      <c r="K2" s="10"/>
      <c r="L2" s="5"/>
    </row>
    <row r="3" spans="1:12" x14ac:dyDescent="0.25">
      <c r="A3" s="5" t="s">
        <v>7298</v>
      </c>
      <c r="B3" s="5" t="s">
        <v>7296</v>
      </c>
      <c r="C3" s="5" t="s">
        <v>38</v>
      </c>
      <c r="D3" s="21">
        <v>1</v>
      </c>
      <c r="E3" s="12">
        <v>149</v>
      </c>
      <c r="F3" s="10" t="str">
        <f>_xlfn.XLOOKUP(C3,menu!A:A,menu!B:B)</f>
        <v>Chicken Wings</v>
      </c>
      <c r="G3" s="10" t="str">
        <f>_xlfn.XLOOKUP(C3,menu!A:A,menu!C:C)</f>
        <v>Starters</v>
      </c>
      <c r="H3" s="10">
        <f>_xlfn.XLOOKUP(C3,menu!A:A,menu!E:E)</f>
        <v>45</v>
      </c>
      <c r="I3" s="10">
        <f t="shared" ref="I3:I66" si="0">D3*H3</f>
        <v>45</v>
      </c>
      <c r="K3" s="10"/>
      <c r="L3" s="5"/>
    </row>
    <row r="4" spans="1:12" x14ac:dyDescent="0.25">
      <c r="A4" s="5" t="s">
        <v>7297</v>
      </c>
      <c r="B4" s="5" t="s">
        <v>7296</v>
      </c>
      <c r="C4" s="5" t="s">
        <v>24</v>
      </c>
      <c r="D4" s="21">
        <v>1</v>
      </c>
      <c r="E4" s="12">
        <v>89</v>
      </c>
      <c r="F4" s="10" t="str">
        <f>_xlfn.XLOOKUP(C4,menu!A:A,menu!B:B)</f>
        <v>Paneer Burger</v>
      </c>
      <c r="G4" s="10" t="str">
        <f>_xlfn.XLOOKUP(C4,menu!A:A,menu!C:C)</f>
        <v>Burger</v>
      </c>
      <c r="H4" s="10">
        <f>_xlfn.XLOOKUP(C4,menu!A:A,menu!E:E)</f>
        <v>27</v>
      </c>
      <c r="I4" s="10">
        <f t="shared" si="0"/>
        <v>27</v>
      </c>
      <c r="K4" s="10"/>
      <c r="L4" s="5"/>
    </row>
    <row r="5" spans="1:12" x14ac:dyDescent="0.25">
      <c r="A5" s="5" t="s">
        <v>7295</v>
      </c>
      <c r="B5" s="5" t="s">
        <v>7294</v>
      </c>
      <c r="C5" s="5" t="s">
        <v>24</v>
      </c>
      <c r="D5" s="21">
        <v>4</v>
      </c>
      <c r="E5" s="12">
        <v>356</v>
      </c>
      <c r="F5" s="10" t="str">
        <f>_xlfn.XLOOKUP(C5,menu!A:A,menu!B:B)</f>
        <v>Paneer Burger</v>
      </c>
      <c r="G5" s="10" t="str">
        <f>_xlfn.XLOOKUP(C5,menu!A:A,menu!C:C)</f>
        <v>Burger</v>
      </c>
      <c r="H5" s="10">
        <f>_xlfn.XLOOKUP(C5,menu!A:A,menu!E:E)</f>
        <v>27</v>
      </c>
      <c r="I5" s="10">
        <f t="shared" si="0"/>
        <v>108</v>
      </c>
      <c r="K5" s="10"/>
      <c r="L5" s="5"/>
    </row>
    <row r="6" spans="1:12" x14ac:dyDescent="0.25">
      <c r="A6" s="5" t="s">
        <v>7293</v>
      </c>
      <c r="B6" s="5" t="s">
        <v>7291</v>
      </c>
      <c r="C6" s="5" t="s">
        <v>17</v>
      </c>
      <c r="D6" s="21">
        <v>1</v>
      </c>
      <c r="E6" s="12">
        <v>89</v>
      </c>
      <c r="F6" s="10" t="str">
        <f>_xlfn.XLOOKUP(C6,menu!A:A,menu!B:B)</f>
        <v>Paneer Momos</v>
      </c>
      <c r="G6" s="10" t="str">
        <f>_xlfn.XLOOKUP(C6,menu!A:A,menu!C:C)</f>
        <v>Momos</v>
      </c>
      <c r="H6" s="10">
        <f>_xlfn.XLOOKUP(C6,menu!A:A,menu!E:E)</f>
        <v>27</v>
      </c>
      <c r="I6" s="10">
        <f t="shared" si="0"/>
        <v>27</v>
      </c>
      <c r="K6" s="10"/>
      <c r="L6" s="5"/>
    </row>
    <row r="7" spans="1:12" x14ac:dyDescent="0.25">
      <c r="A7" s="5" t="s">
        <v>7292</v>
      </c>
      <c r="B7" s="5" t="s">
        <v>7291</v>
      </c>
      <c r="C7" s="5" t="s">
        <v>61</v>
      </c>
      <c r="D7" s="21">
        <v>5</v>
      </c>
      <c r="E7" s="12">
        <v>395</v>
      </c>
      <c r="F7" s="10" t="str">
        <f>_xlfn.XLOOKUP(C7,menu!A:A,menu!B:B)</f>
        <v>Watermelon Mojito</v>
      </c>
      <c r="G7" s="10" t="str">
        <f>_xlfn.XLOOKUP(C7,menu!A:A,menu!C:C)</f>
        <v>Beverages</v>
      </c>
      <c r="H7" s="10">
        <f>_xlfn.XLOOKUP(C7,menu!A:A,menu!E:E)</f>
        <v>24</v>
      </c>
      <c r="I7" s="10">
        <f t="shared" si="0"/>
        <v>120</v>
      </c>
      <c r="K7" s="10"/>
      <c r="L7" s="5"/>
    </row>
    <row r="8" spans="1:12" x14ac:dyDescent="0.25">
      <c r="A8" s="5" t="s">
        <v>7290</v>
      </c>
      <c r="B8" s="5" t="s">
        <v>7286</v>
      </c>
      <c r="C8" s="5" t="s">
        <v>12</v>
      </c>
      <c r="D8" s="21">
        <v>2</v>
      </c>
      <c r="E8" s="12">
        <v>158</v>
      </c>
      <c r="F8" s="10" t="str">
        <f>_xlfn.XLOOKUP(C8,menu!A:A,menu!B:B)</f>
        <v>Veg Momos</v>
      </c>
      <c r="G8" s="10" t="str">
        <f>_xlfn.XLOOKUP(C8,menu!A:A,menu!C:C)</f>
        <v>Momos</v>
      </c>
      <c r="H8" s="10">
        <f>_xlfn.XLOOKUP(C8,menu!A:A,menu!E:E)</f>
        <v>24</v>
      </c>
      <c r="I8" s="10">
        <f t="shared" si="0"/>
        <v>48</v>
      </c>
      <c r="K8" s="10"/>
      <c r="L8" s="5"/>
    </row>
    <row r="9" spans="1:12" x14ac:dyDescent="0.25">
      <c r="A9" s="5" t="s">
        <v>7289</v>
      </c>
      <c r="B9" s="5" t="s">
        <v>7286</v>
      </c>
      <c r="C9" s="5" t="s">
        <v>42</v>
      </c>
      <c r="D9" s="21">
        <v>2</v>
      </c>
      <c r="E9" s="12">
        <v>298</v>
      </c>
      <c r="F9" s="10" t="str">
        <f>_xlfn.XLOOKUP(C9,menu!A:A,menu!B:B)</f>
        <v>Chicken Popcorn</v>
      </c>
      <c r="G9" s="10" t="str">
        <f>_xlfn.XLOOKUP(C9,menu!A:A,menu!C:C)</f>
        <v>Starters</v>
      </c>
      <c r="H9" s="10">
        <f>_xlfn.XLOOKUP(C9,menu!A:A,menu!E:E)</f>
        <v>45</v>
      </c>
      <c r="I9" s="10">
        <f t="shared" si="0"/>
        <v>90</v>
      </c>
      <c r="K9" s="10"/>
      <c r="L9" s="5"/>
    </row>
    <row r="10" spans="1:12" x14ac:dyDescent="0.25">
      <c r="A10" s="5" t="s">
        <v>7288</v>
      </c>
      <c r="B10" s="5" t="s">
        <v>7286</v>
      </c>
      <c r="C10" s="5" t="s">
        <v>40</v>
      </c>
      <c r="D10" s="21">
        <v>2</v>
      </c>
      <c r="E10" s="12">
        <v>198</v>
      </c>
      <c r="F10" s="10" t="str">
        <f>_xlfn.XLOOKUP(C10,menu!A:A,menu!B:B)</f>
        <v>Veg Nuggets</v>
      </c>
      <c r="G10" s="10" t="str">
        <f>_xlfn.XLOOKUP(C10,menu!A:A,menu!C:C)</f>
        <v>Starters</v>
      </c>
      <c r="H10" s="10">
        <f>_xlfn.XLOOKUP(C10,menu!A:A,menu!E:E)</f>
        <v>30</v>
      </c>
      <c r="I10" s="10">
        <f t="shared" si="0"/>
        <v>60</v>
      </c>
      <c r="K10" s="10"/>
      <c r="L10" s="5"/>
    </row>
    <row r="11" spans="1:12" x14ac:dyDescent="0.25">
      <c r="A11" s="5" t="s">
        <v>7287</v>
      </c>
      <c r="B11" s="5" t="s">
        <v>7286</v>
      </c>
      <c r="C11" s="5" t="s">
        <v>31</v>
      </c>
      <c r="D11" s="21">
        <v>4</v>
      </c>
      <c r="E11" s="12">
        <v>356</v>
      </c>
      <c r="F11" s="10" t="str">
        <f>_xlfn.XLOOKUP(C11,menu!A:A,menu!B:B)</f>
        <v>Chicken Roll</v>
      </c>
      <c r="G11" s="10" t="str">
        <f>_xlfn.XLOOKUP(C11,menu!A:A,menu!C:C)</f>
        <v>Rolls</v>
      </c>
      <c r="H11" s="10">
        <f>_xlfn.XLOOKUP(C11,menu!A:A,menu!E:E)</f>
        <v>27</v>
      </c>
      <c r="I11" s="10">
        <f t="shared" si="0"/>
        <v>108</v>
      </c>
      <c r="K11" s="10"/>
      <c r="L11" s="5"/>
    </row>
    <row r="12" spans="1:12" x14ac:dyDescent="0.25">
      <c r="A12" s="5" t="s">
        <v>7285</v>
      </c>
      <c r="B12" s="5" t="s">
        <v>7283</v>
      </c>
      <c r="C12" s="5" t="s">
        <v>22</v>
      </c>
      <c r="D12" s="21">
        <v>1</v>
      </c>
      <c r="E12" s="12">
        <v>99</v>
      </c>
      <c r="F12" s="10" t="str">
        <f>_xlfn.XLOOKUP(C12,menu!A:A,menu!B:B)</f>
        <v>Chicken Burger</v>
      </c>
      <c r="G12" s="10" t="str">
        <f>_xlfn.XLOOKUP(C12,menu!A:A,menu!C:C)</f>
        <v>Burger</v>
      </c>
      <c r="H12" s="10">
        <f>_xlfn.XLOOKUP(C12,menu!A:A,menu!E:E)</f>
        <v>30</v>
      </c>
      <c r="I12" s="10">
        <f t="shared" si="0"/>
        <v>30</v>
      </c>
      <c r="K12" s="10"/>
      <c r="L12" s="5"/>
    </row>
    <row r="13" spans="1:12" x14ac:dyDescent="0.25">
      <c r="A13" s="5" t="s">
        <v>7284</v>
      </c>
      <c r="B13" s="5" t="s">
        <v>7283</v>
      </c>
      <c r="C13" s="5" t="s">
        <v>24</v>
      </c>
      <c r="D13" s="21">
        <v>1</v>
      </c>
      <c r="E13" s="12">
        <v>89</v>
      </c>
      <c r="F13" s="10" t="str">
        <f>_xlfn.XLOOKUP(C13,menu!A:A,menu!B:B)</f>
        <v>Paneer Burger</v>
      </c>
      <c r="G13" s="10" t="str">
        <f>_xlfn.XLOOKUP(C13,menu!A:A,menu!C:C)</f>
        <v>Burger</v>
      </c>
      <c r="H13" s="10">
        <f>_xlfn.XLOOKUP(C13,menu!A:A,menu!E:E)</f>
        <v>27</v>
      </c>
      <c r="I13" s="10">
        <f t="shared" si="0"/>
        <v>27</v>
      </c>
      <c r="K13" s="10"/>
      <c r="L13" s="5"/>
    </row>
    <row r="14" spans="1:12" x14ac:dyDescent="0.25">
      <c r="A14" s="5" t="s">
        <v>7282</v>
      </c>
      <c r="B14" s="5" t="s">
        <v>7281</v>
      </c>
      <c r="C14" s="5" t="s">
        <v>63</v>
      </c>
      <c r="D14" s="21">
        <v>2</v>
      </c>
      <c r="E14" s="12">
        <v>158</v>
      </c>
      <c r="F14" s="10" t="str">
        <f>_xlfn.XLOOKUP(C14,menu!A:A,menu!B:B)</f>
        <v>Virgin Mojito</v>
      </c>
      <c r="G14" s="10" t="str">
        <f>_xlfn.XLOOKUP(C14,menu!A:A,menu!C:C)</f>
        <v>Beverages</v>
      </c>
      <c r="H14" s="10">
        <f>_xlfn.XLOOKUP(C14,menu!A:A,menu!E:E)</f>
        <v>24</v>
      </c>
      <c r="I14" s="10">
        <f t="shared" si="0"/>
        <v>48</v>
      </c>
      <c r="K14" s="10"/>
      <c r="L14" s="5"/>
    </row>
    <row r="15" spans="1:12" x14ac:dyDescent="0.25">
      <c r="A15" s="5" t="s">
        <v>7280</v>
      </c>
      <c r="B15" s="5" t="s">
        <v>7277</v>
      </c>
      <c r="C15" s="5" t="s">
        <v>46</v>
      </c>
      <c r="D15" s="21">
        <v>1</v>
      </c>
      <c r="E15" s="12">
        <v>149</v>
      </c>
      <c r="F15" s="10" t="str">
        <f>_xlfn.XLOOKUP(C15,menu!A:A,menu!B:B)</f>
        <v>Fish Finger</v>
      </c>
      <c r="G15" s="10" t="str">
        <f>_xlfn.XLOOKUP(C15,menu!A:A,menu!C:C)</f>
        <v>Starters</v>
      </c>
      <c r="H15" s="10">
        <f>_xlfn.XLOOKUP(C15,menu!A:A,menu!E:E)</f>
        <v>45</v>
      </c>
      <c r="I15" s="10">
        <f t="shared" si="0"/>
        <v>45</v>
      </c>
      <c r="K15" s="10"/>
      <c r="L15" s="5"/>
    </row>
    <row r="16" spans="1:12" x14ac:dyDescent="0.25">
      <c r="A16" s="5" t="s">
        <v>7279</v>
      </c>
      <c r="B16" s="5" t="s">
        <v>7277</v>
      </c>
      <c r="C16" s="5" t="s">
        <v>8</v>
      </c>
      <c r="D16" s="21">
        <v>3</v>
      </c>
      <c r="E16" s="12">
        <v>297</v>
      </c>
      <c r="F16" s="10" t="str">
        <f>_xlfn.XLOOKUP(C16,menu!A:A,menu!B:B)</f>
        <v>Paneer Sandwich</v>
      </c>
      <c r="G16" s="10" t="str">
        <f>_xlfn.XLOOKUP(C16,menu!A:A,menu!C:C)</f>
        <v>Sandwich</v>
      </c>
      <c r="H16" s="10">
        <f>_xlfn.XLOOKUP(C16,menu!A:A,menu!E:E)</f>
        <v>30</v>
      </c>
      <c r="I16" s="10">
        <f t="shared" si="0"/>
        <v>90</v>
      </c>
      <c r="K16" s="10"/>
      <c r="L16" s="5"/>
    </row>
    <row r="17" spans="1:12" x14ac:dyDescent="0.25">
      <c r="A17" s="5" t="s">
        <v>7278</v>
      </c>
      <c r="B17" s="5" t="s">
        <v>7277</v>
      </c>
      <c r="C17" s="5" t="s">
        <v>65</v>
      </c>
      <c r="D17" s="21">
        <v>5</v>
      </c>
      <c r="E17" s="12">
        <v>245</v>
      </c>
      <c r="F17" s="10" t="str">
        <f>_xlfn.XLOOKUP(C17,menu!A:A,menu!B:B)</f>
        <v>Lemon Juice</v>
      </c>
      <c r="G17" s="10" t="str">
        <f>_xlfn.XLOOKUP(C17,menu!A:A,menu!C:C)</f>
        <v>Beverages</v>
      </c>
      <c r="H17" s="10">
        <f>_xlfn.XLOOKUP(C17,menu!A:A,menu!E:E)</f>
        <v>15</v>
      </c>
      <c r="I17" s="10">
        <f t="shared" si="0"/>
        <v>75</v>
      </c>
      <c r="K17" s="10"/>
      <c r="L17" s="5"/>
    </row>
    <row r="18" spans="1:12" x14ac:dyDescent="0.25">
      <c r="A18" s="5" t="s">
        <v>7276</v>
      </c>
      <c r="B18" s="5" t="s">
        <v>7274</v>
      </c>
      <c r="C18" s="5" t="s">
        <v>35</v>
      </c>
      <c r="D18" s="21">
        <v>2</v>
      </c>
      <c r="E18" s="12">
        <v>238</v>
      </c>
      <c r="F18" s="10" t="str">
        <f>_xlfn.XLOOKUP(C18,menu!A:A,menu!B:B)</f>
        <v>Chicken Nuggets</v>
      </c>
      <c r="G18" s="10" t="str">
        <f>_xlfn.XLOOKUP(C18,menu!A:A,menu!C:C)</f>
        <v>Starters</v>
      </c>
      <c r="H18" s="10">
        <f>_xlfn.XLOOKUP(C18,menu!A:A,menu!E:E)</f>
        <v>36</v>
      </c>
      <c r="I18" s="10">
        <f t="shared" si="0"/>
        <v>72</v>
      </c>
      <c r="K18" s="10"/>
      <c r="L18" s="5"/>
    </row>
    <row r="19" spans="1:12" x14ac:dyDescent="0.25">
      <c r="A19" s="5" t="s">
        <v>7275</v>
      </c>
      <c r="B19" s="5" t="s">
        <v>7274</v>
      </c>
      <c r="C19" s="5" t="s">
        <v>46</v>
      </c>
      <c r="D19" s="21">
        <v>1</v>
      </c>
      <c r="E19" s="12">
        <v>149</v>
      </c>
      <c r="F19" s="10" t="str">
        <f>_xlfn.XLOOKUP(C19,menu!A:A,menu!B:B)</f>
        <v>Fish Finger</v>
      </c>
      <c r="G19" s="10" t="str">
        <f>_xlfn.XLOOKUP(C19,menu!A:A,menu!C:C)</f>
        <v>Starters</v>
      </c>
      <c r="H19" s="10">
        <f>_xlfn.XLOOKUP(C19,menu!A:A,menu!E:E)</f>
        <v>45</v>
      </c>
      <c r="I19" s="10">
        <f t="shared" si="0"/>
        <v>45</v>
      </c>
      <c r="K19" s="10"/>
      <c r="L19" s="5"/>
    </row>
    <row r="20" spans="1:12" x14ac:dyDescent="0.25">
      <c r="A20" s="5" t="s">
        <v>7273</v>
      </c>
      <c r="B20" s="5" t="s">
        <v>7271</v>
      </c>
      <c r="C20" s="5" t="s">
        <v>17</v>
      </c>
      <c r="D20" s="21">
        <v>2</v>
      </c>
      <c r="E20" s="12">
        <v>178</v>
      </c>
      <c r="F20" s="10" t="str">
        <f>_xlfn.XLOOKUP(C20,menu!A:A,menu!B:B)</f>
        <v>Paneer Momos</v>
      </c>
      <c r="G20" s="10" t="str">
        <f>_xlfn.XLOOKUP(C20,menu!A:A,menu!C:C)</f>
        <v>Momos</v>
      </c>
      <c r="H20" s="10">
        <f>_xlfn.XLOOKUP(C20,menu!A:A,menu!E:E)</f>
        <v>27</v>
      </c>
      <c r="I20" s="10">
        <f t="shared" si="0"/>
        <v>54</v>
      </c>
      <c r="K20" s="10"/>
      <c r="L20" s="5"/>
    </row>
    <row r="21" spans="1:12" x14ac:dyDescent="0.25">
      <c r="A21" s="5" t="s">
        <v>7272</v>
      </c>
      <c r="B21" s="5" t="s">
        <v>7271</v>
      </c>
      <c r="C21" s="5" t="s">
        <v>35</v>
      </c>
      <c r="D21" s="21">
        <v>2</v>
      </c>
      <c r="E21" s="12">
        <v>238</v>
      </c>
      <c r="F21" s="10" t="str">
        <f>_xlfn.XLOOKUP(C21,menu!A:A,menu!B:B)</f>
        <v>Chicken Nuggets</v>
      </c>
      <c r="G21" s="10" t="str">
        <f>_xlfn.XLOOKUP(C21,menu!A:A,menu!C:C)</f>
        <v>Starters</v>
      </c>
      <c r="H21" s="10">
        <f>_xlfn.XLOOKUP(C21,menu!A:A,menu!E:E)</f>
        <v>36</v>
      </c>
      <c r="I21" s="10">
        <f t="shared" si="0"/>
        <v>72</v>
      </c>
      <c r="K21" s="10"/>
      <c r="L21" s="5"/>
    </row>
    <row r="22" spans="1:12" x14ac:dyDescent="0.25">
      <c r="A22" s="5" t="s">
        <v>7270</v>
      </c>
      <c r="B22" s="5" t="s">
        <v>7266</v>
      </c>
      <c r="C22" s="5" t="s">
        <v>44</v>
      </c>
      <c r="D22" s="21">
        <v>1</v>
      </c>
      <c r="E22" s="12">
        <v>159</v>
      </c>
      <c r="F22" s="10" t="str">
        <f>_xlfn.XLOOKUP(C22,menu!A:A,menu!B:B)</f>
        <v>Fried Chicken</v>
      </c>
      <c r="G22" s="10" t="str">
        <f>_xlfn.XLOOKUP(C22,menu!A:A,menu!C:C)</f>
        <v>Starters</v>
      </c>
      <c r="H22" s="10">
        <f>_xlfn.XLOOKUP(C22,menu!A:A,menu!E:E)</f>
        <v>48</v>
      </c>
      <c r="I22" s="10">
        <f t="shared" si="0"/>
        <v>48</v>
      </c>
      <c r="K22" s="10"/>
      <c r="L22" s="5"/>
    </row>
    <row r="23" spans="1:12" x14ac:dyDescent="0.25">
      <c r="A23" s="5" t="s">
        <v>7269</v>
      </c>
      <c r="B23" s="5" t="s">
        <v>7266</v>
      </c>
      <c r="C23" s="5" t="s">
        <v>46</v>
      </c>
      <c r="D23" s="21">
        <v>1</v>
      </c>
      <c r="E23" s="12">
        <v>149</v>
      </c>
      <c r="F23" s="10" t="str">
        <f>_xlfn.XLOOKUP(C23,menu!A:A,menu!B:B)</f>
        <v>Fish Finger</v>
      </c>
      <c r="G23" s="10" t="str">
        <f>_xlfn.XLOOKUP(C23,menu!A:A,menu!C:C)</f>
        <v>Starters</v>
      </c>
      <c r="H23" s="10">
        <f>_xlfn.XLOOKUP(C23,menu!A:A,menu!E:E)</f>
        <v>45</v>
      </c>
      <c r="I23" s="10">
        <f t="shared" si="0"/>
        <v>45</v>
      </c>
      <c r="K23" s="10"/>
      <c r="L23" s="5"/>
    </row>
    <row r="24" spans="1:12" x14ac:dyDescent="0.25">
      <c r="A24" s="5" t="s">
        <v>7268</v>
      </c>
      <c r="B24" s="5" t="s">
        <v>7266</v>
      </c>
      <c r="C24" s="5" t="s">
        <v>65</v>
      </c>
      <c r="D24" s="21">
        <v>1</v>
      </c>
      <c r="E24" s="12">
        <v>49</v>
      </c>
      <c r="F24" s="10" t="str">
        <f>_xlfn.XLOOKUP(C24,menu!A:A,menu!B:B)</f>
        <v>Lemon Juice</v>
      </c>
      <c r="G24" s="10" t="str">
        <f>_xlfn.XLOOKUP(C24,menu!A:A,menu!C:C)</f>
        <v>Beverages</v>
      </c>
      <c r="H24" s="10">
        <f>_xlfn.XLOOKUP(C24,menu!A:A,menu!E:E)</f>
        <v>15</v>
      </c>
      <c r="I24" s="10">
        <f t="shared" si="0"/>
        <v>15</v>
      </c>
      <c r="K24" s="10"/>
      <c r="L24" s="5"/>
    </row>
    <row r="25" spans="1:12" x14ac:dyDescent="0.25">
      <c r="A25" s="5" t="s">
        <v>7267</v>
      </c>
      <c r="B25" s="5" t="s">
        <v>7266</v>
      </c>
      <c r="C25" s="5" t="s">
        <v>15</v>
      </c>
      <c r="D25" s="21">
        <v>2</v>
      </c>
      <c r="E25" s="12">
        <v>198</v>
      </c>
      <c r="F25" s="10" t="str">
        <f>_xlfn.XLOOKUP(C25,menu!A:A,menu!B:B)</f>
        <v>Chicken Momos</v>
      </c>
      <c r="G25" s="10" t="str">
        <f>_xlfn.XLOOKUP(C25,menu!A:A,menu!C:C)</f>
        <v>Momos</v>
      </c>
      <c r="H25" s="10">
        <f>_xlfn.XLOOKUP(C25,menu!A:A,menu!E:E)</f>
        <v>30</v>
      </c>
      <c r="I25" s="10">
        <f t="shared" si="0"/>
        <v>60</v>
      </c>
      <c r="K25" s="10"/>
      <c r="L25" s="5"/>
    </row>
    <row r="26" spans="1:12" x14ac:dyDescent="0.25">
      <c r="A26" s="5" t="s">
        <v>7265</v>
      </c>
      <c r="B26" s="5" t="s">
        <v>7262</v>
      </c>
      <c r="C26" s="5" t="s">
        <v>56</v>
      </c>
      <c r="D26" s="21">
        <v>1</v>
      </c>
      <c r="E26" s="12">
        <v>79</v>
      </c>
      <c r="F26" s="10" t="str">
        <f>_xlfn.XLOOKUP(C26,menu!A:A,menu!B:B)</f>
        <v>Mint Mojito</v>
      </c>
      <c r="G26" s="10" t="str">
        <f>_xlfn.XLOOKUP(C26,menu!A:A,menu!C:C)</f>
        <v>Beverages</v>
      </c>
      <c r="H26" s="10">
        <f>_xlfn.XLOOKUP(C26,menu!A:A,menu!E:E)</f>
        <v>24</v>
      </c>
      <c r="I26" s="10">
        <f t="shared" si="0"/>
        <v>24</v>
      </c>
      <c r="K26" s="10"/>
      <c r="L26" s="5"/>
    </row>
    <row r="27" spans="1:12" x14ac:dyDescent="0.25">
      <c r="A27" s="5" t="s">
        <v>7264</v>
      </c>
      <c r="B27" s="5" t="s">
        <v>7262</v>
      </c>
      <c r="C27" s="5" t="s">
        <v>35</v>
      </c>
      <c r="D27" s="21">
        <v>1</v>
      </c>
      <c r="E27" s="12">
        <v>119</v>
      </c>
      <c r="F27" s="10" t="str">
        <f>_xlfn.XLOOKUP(C27,menu!A:A,menu!B:B)</f>
        <v>Chicken Nuggets</v>
      </c>
      <c r="G27" s="10" t="str">
        <f>_xlfn.XLOOKUP(C27,menu!A:A,menu!C:C)</f>
        <v>Starters</v>
      </c>
      <c r="H27" s="10">
        <f>_xlfn.XLOOKUP(C27,menu!A:A,menu!E:E)</f>
        <v>36</v>
      </c>
      <c r="I27" s="10">
        <f t="shared" si="0"/>
        <v>36</v>
      </c>
      <c r="K27" s="10"/>
      <c r="L27" s="5"/>
    </row>
    <row r="28" spans="1:12" x14ac:dyDescent="0.25">
      <c r="A28" s="5" t="s">
        <v>7263</v>
      </c>
      <c r="B28" s="5" t="s">
        <v>7262</v>
      </c>
      <c r="C28" s="5" t="s">
        <v>33</v>
      </c>
      <c r="D28" s="21">
        <v>1</v>
      </c>
      <c r="E28" s="12">
        <v>69</v>
      </c>
      <c r="F28" s="10" t="str">
        <f>_xlfn.XLOOKUP(C28,menu!A:A,menu!B:B)</f>
        <v>Spring Roll</v>
      </c>
      <c r="G28" s="10" t="str">
        <f>_xlfn.XLOOKUP(C28,menu!A:A,menu!C:C)</f>
        <v>Rolls</v>
      </c>
      <c r="H28" s="10">
        <f>_xlfn.XLOOKUP(C28,menu!A:A,menu!E:E)</f>
        <v>21</v>
      </c>
      <c r="I28" s="10">
        <f t="shared" si="0"/>
        <v>21</v>
      </c>
      <c r="K28" s="10"/>
      <c r="L28" s="5"/>
    </row>
    <row r="29" spans="1:12" x14ac:dyDescent="0.25">
      <c r="A29" s="5" t="s">
        <v>7261</v>
      </c>
      <c r="B29" s="5" t="s">
        <v>7259</v>
      </c>
      <c r="C29" s="5" t="s">
        <v>40</v>
      </c>
      <c r="D29" s="21">
        <v>2</v>
      </c>
      <c r="E29" s="12">
        <v>198</v>
      </c>
      <c r="F29" s="10" t="str">
        <f>_xlfn.XLOOKUP(C29,menu!A:A,menu!B:B)</f>
        <v>Veg Nuggets</v>
      </c>
      <c r="G29" s="10" t="str">
        <f>_xlfn.XLOOKUP(C29,menu!A:A,menu!C:C)</f>
        <v>Starters</v>
      </c>
      <c r="H29" s="10">
        <f>_xlfn.XLOOKUP(C29,menu!A:A,menu!E:E)</f>
        <v>30</v>
      </c>
      <c r="I29" s="10">
        <f t="shared" si="0"/>
        <v>60</v>
      </c>
      <c r="K29" s="10"/>
      <c r="L29" s="5"/>
    </row>
    <row r="30" spans="1:12" x14ac:dyDescent="0.25">
      <c r="A30" s="5" t="s">
        <v>7260</v>
      </c>
      <c r="B30" s="5" t="s">
        <v>7259</v>
      </c>
      <c r="C30" s="5" t="s">
        <v>54</v>
      </c>
      <c r="D30" s="21">
        <v>2</v>
      </c>
      <c r="E30" s="12">
        <v>278</v>
      </c>
      <c r="F30" s="10" t="str">
        <f>_xlfn.XLOOKUP(C30,menu!A:A,menu!B:B)</f>
        <v>Chicken Strips</v>
      </c>
      <c r="G30" s="10" t="str">
        <f>_xlfn.XLOOKUP(C30,menu!A:A,menu!C:C)</f>
        <v>Starters</v>
      </c>
      <c r="H30" s="10">
        <f>_xlfn.XLOOKUP(C30,menu!A:A,menu!E:E)</f>
        <v>42</v>
      </c>
      <c r="I30" s="10">
        <f t="shared" si="0"/>
        <v>84</v>
      </c>
      <c r="K30" s="10"/>
      <c r="L30" s="5"/>
    </row>
    <row r="31" spans="1:12" x14ac:dyDescent="0.25">
      <c r="A31" s="5" t="s">
        <v>7258</v>
      </c>
      <c r="B31" s="5" t="s">
        <v>7255</v>
      </c>
      <c r="C31" s="5" t="s">
        <v>19</v>
      </c>
      <c r="D31" s="21">
        <v>1</v>
      </c>
      <c r="E31" s="12">
        <v>79</v>
      </c>
      <c r="F31" s="10" t="str">
        <f>_xlfn.XLOOKUP(C31,menu!A:A,menu!B:B)</f>
        <v>Veg Burger</v>
      </c>
      <c r="G31" s="10" t="str">
        <f>_xlfn.XLOOKUP(C31,menu!A:A,menu!C:C)</f>
        <v>Burger</v>
      </c>
      <c r="H31" s="10">
        <f>_xlfn.XLOOKUP(C31,menu!A:A,menu!E:E)</f>
        <v>24</v>
      </c>
      <c r="I31" s="10">
        <f t="shared" si="0"/>
        <v>24</v>
      </c>
      <c r="K31" s="10"/>
      <c r="L31" s="5"/>
    </row>
    <row r="32" spans="1:12" x14ac:dyDescent="0.25">
      <c r="A32" s="5" t="s">
        <v>7257</v>
      </c>
      <c r="B32" s="5" t="s">
        <v>7255</v>
      </c>
      <c r="C32" s="5" t="s">
        <v>46</v>
      </c>
      <c r="D32" s="21">
        <v>1</v>
      </c>
      <c r="E32" s="12">
        <v>149</v>
      </c>
      <c r="F32" s="10" t="str">
        <f>_xlfn.XLOOKUP(C32,menu!A:A,menu!B:B)</f>
        <v>Fish Finger</v>
      </c>
      <c r="G32" s="10" t="str">
        <f>_xlfn.XLOOKUP(C32,menu!A:A,menu!C:C)</f>
        <v>Starters</v>
      </c>
      <c r="H32" s="10">
        <f>_xlfn.XLOOKUP(C32,menu!A:A,menu!E:E)</f>
        <v>45</v>
      </c>
      <c r="I32" s="10">
        <f t="shared" si="0"/>
        <v>45</v>
      </c>
      <c r="K32" s="10"/>
      <c r="L32" s="5"/>
    </row>
    <row r="33" spans="1:12" x14ac:dyDescent="0.25">
      <c r="A33" s="5" t="s">
        <v>7256</v>
      </c>
      <c r="B33" s="5" t="s">
        <v>7255</v>
      </c>
      <c r="C33" s="5" t="s">
        <v>26</v>
      </c>
      <c r="D33" s="21">
        <v>1</v>
      </c>
      <c r="E33" s="12">
        <v>59</v>
      </c>
      <c r="F33" s="10" t="str">
        <f>_xlfn.XLOOKUP(C33,menu!A:A,menu!B:B)</f>
        <v>Veg Roll</v>
      </c>
      <c r="G33" s="10" t="str">
        <f>_xlfn.XLOOKUP(C33,menu!A:A,menu!C:C)</f>
        <v>Rolls</v>
      </c>
      <c r="H33" s="10">
        <f>_xlfn.XLOOKUP(C33,menu!A:A,menu!E:E)</f>
        <v>18</v>
      </c>
      <c r="I33" s="10">
        <f t="shared" si="0"/>
        <v>18</v>
      </c>
      <c r="K33" s="10"/>
      <c r="L33" s="5"/>
    </row>
    <row r="34" spans="1:12" x14ac:dyDescent="0.25">
      <c r="A34" s="5" t="s">
        <v>7254</v>
      </c>
      <c r="B34" s="5" t="s">
        <v>7252</v>
      </c>
      <c r="C34" s="5" t="s">
        <v>17</v>
      </c>
      <c r="D34" s="21">
        <v>3</v>
      </c>
      <c r="E34" s="12">
        <v>267</v>
      </c>
      <c r="F34" s="10" t="str">
        <f>_xlfn.XLOOKUP(C34,menu!A:A,menu!B:B)</f>
        <v>Paneer Momos</v>
      </c>
      <c r="G34" s="10" t="str">
        <f>_xlfn.XLOOKUP(C34,menu!A:A,menu!C:C)</f>
        <v>Momos</v>
      </c>
      <c r="H34" s="10">
        <f>_xlfn.XLOOKUP(C34,menu!A:A,menu!E:E)</f>
        <v>27</v>
      </c>
      <c r="I34" s="10">
        <f t="shared" si="0"/>
        <v>81</v>
      </c>
      <c r="K34" s="10"/>
      <c r="L34" s="5"/>
    </row>
    <row r="35" spans="1:12" x14ac:dyDescent="0.25">
      <c r="A35" s="5" t="s">
        <v>7253</v>
      </c>
      <c r="B35" s="5" t="s">
        <v>7252</v>
      </c>
      <c r="C35" s="5" t="s">
        <v>24</v>
      </c>
      <c r="D35" s="21">
        <v>2</v>
      </c>
      <c r="E35" s="12">
        <v>178</v>
      </c>
      <c r="F35" s="10" t="str">
        <f>_xlfn.XLOOKUP(C35,menu!A:A,menu!B:B)</f>
        <v>Paneer Burger</v>
      </c>
      <c r="G35" s="10" t="str">
        <f>_xlfn.XLOOKUP(C35,menu!A:A,menu!C:C)</f>
        <v>Burger</v>
      </c>
      <c r="H35" s="10">
        <f>_xlfn.XLOOKUP(C35,menu!A:A,menu!E:E)</f>
        <v>27</v>
      </c>
      <c r="I35" s="10">
        <f t="shared" si="0"/>
        <v>54</v>
      </c>
      <c r="K35" s="10"/>
      <c r="L35" s="5"/>
    </row>
    <row r="36" spans="1:12" x14ac:dyDescent="0.25">
      <c r="A36" s="5" t="s">
        <v>7251</v>
      </c>
      <c r="B36" s="5" t="s">
        <v>7249</v>
      </c>
      <c r="C36" s="5" t="s">
        <v>48</v>
      </c>
      <c r="D36" s="21">
        <v>1</v>
      </c>
      <c r="E36" s="12">
        <v>159</v>
      </c>
      <c r="F36" s="10" t="str">
        <f>_xlfn.XLOOKUP(C36,menu!A:A,menu!B:B)</f>
        <v>Chicken Lollipop</v>
      </c>
      <c r="G36" s="10" t="str">
        <f>_xlfn.XLOOKUP(C36,menu!A:A,menu!C:C)</f>
        <v>Starters</v>
      </c>
      <c r="H36" s="10">
        <f>_xlfn.XLOOKUP(C36,menu!A:A,menu!E:E)</f>
        <v>48</v>
      </c>
      <c r="I36" s="10">
        <f t="shared" si="0"/>
        <v>48</v>
      </c>
      <c r="K36" s="10"/>
      <c r="L36" s="5"/>
    </row>
    <row r="37" spans="1:12" x14ac:dyDescent="0.25">
      <c r="A37" s="5" t="s">
        <v>7250</v>
      </c>
      <c r="B37" s="5" t="s">
        <v>7249</v>
      </c>
      <c r="C37" s="5" t="s">
        <v>38</v>
      </c>
      <c r="D37" s="21">
        <v>1</v>
      </c>
      <c r="E37" s="12">
        <v>149</v>
      </c>
      <c r="F37" s="10" t="str">
        <f>_xlfn.XLOOKUP(C37,menu!A:A,menu!B:B)</f>
        <v>Chicken Wings</v>
      </c>
      <c r="G37" s="10" t="str">
        <f>_xlfn.XLOOKUP(C37,menu!A:A,menu!C:C)</f>
        <v>Starters</v>
      </c>
      <c r="H37" s="10">
        <f>_xlfn.XLOOKUP(C37,menu!A:A,menu!E:E)</f>
        <v>45</v>
      </c>
      <c r="I37" s="10">
        <f t="shared" si="0"/>
        <v>45</v>
      </c>
      <c r="K37" s="10"/>
      <c r="L37" s="5"/>
    </row>
    <row r="38" spans="1:12" x14ac:dyDescent="0.25">
      <c r="A38" s="5" t="s">
        <v>7248</v>
      </c>
      <c r="B38" s="5" t="s">
        <v>7246</v>
      </c>
      <c r="C38" s="5" t="s">
        <v>50</v>
      </c>
      <c r="D38" s="21">
        <v>2</v>
      </c>
      <c r="E38" s="12">
        <v>298</v>
      </c>
      <c r="F38" s="10" t="str">
        <f>_xlfn.XLOOKUP(C38,menu!A:A,menu!B:B)</f>
        <v>Grab Lollipop</v>
      </c>
      <c r="G38" s="10" t="str">
        <f>_xlfn.XLOOKUP(C38,menu!A:A,menu!C:C)</f>
        <v>Starters</v>
      </c>
      <c r="H38" s="10">
        <f>_xlfn.XLOOKUP(C38,menu!A:A,menu!E:E)</f>
        <v>45</v>
      </c>
      <c r="I38" s="10">
        <f t="shared" si="0"/>
        <v>90</v>
      </c>
      <c r="K38" s="10"/>
      <c r="L38" s="5"/>
    </row>
    <row r="39" spans="1:12" x14ac:dyDescent="0.25">
      <c r="A39" s="5" t="s">
        <v>7247</v>
      </c>
      <c r="B39" s="5" t="s">
        <v>7246</v>
      </c>
      <c r="C39" s="5" t="s">
        <v>38</v>
      </c>
      <c r="D39" s="21">
        <v>1</v>
      </c>
      <c r="E39" s="12">
        <v>149</v>
      </c>
      <c r="F39" s="10" t="str">
        <f>_xlfn.XLOOKUP(C39,menu!A:A,menu!B:B)</f>
        <v>Chicken Wings</v>
      </c>
      <c r="G39" s="10" t="str">
        <f>_xlfn.XLOOKUP(C39,menu!A:A,menu!C:C)</f>
        <v>Starters</v>
      </c>
      <c r="H39" s="10">
        <f>_xlfn.XLOOKUP(C39,menu!A:A,menu!E:E)</f>
        <v>45</v>
      </c>
      <c r="I39" s="10">
        <f t="shared" si="0"/>
        <v>45</v>
      </c>
      <c r="K39" s="10"/>
      <c r="L39" s="5"/>
    </row>
    <row r="40" spans="1:12" x14ac:dyDescent="0.25">
      <c r="A40" s="5" t="s">
        <v>7245</v>
      </c>
      <c r="B40" s="5" t="s">
        <v>7244</v>
      </c>
      <c r="C40" s="5" t="s">
        <v>52</v>
      </c>
      <c r="D40" s="21">
        <v>3</v>
      </c>
      <c r="E40" s="12">
        <v>297</v>
      </c>
      <c r="F40" s="10" t="str">
        <f>_xlfn.XLOOKUP(C40,menu!A:A,menu!B:B)</f>
        <v>French Fries</v>
      </c>
      <c r="G40" s="10" t="str">
        <f>_xlfn.XLOOKUP(C40,menu!A:A,menu!C:C)</f>
        <v>Starters</v>
      </c>
      <c r="H40" s="10">
        <f>_xlfn.XLOOKUP(C40,menu!A:A,menu!E:E)</f>
        <v>30</v>
      </c>
      <c r="I40" s="10">
        <f t="shared" si="0"/>
        <v>90</v>
      </c>
      <c r="K40" s="10"/>
      <c r="L40" s="5"/>
    </row>
    <row r="41" spans="1:12" x14ac:dyDescent="0.25">
      <c r="A41" s="5" t="s">
        <v>7243</v>
      </c>
      <c r="B41" s="5" t="s">
        <v>7241</v>
      </c>
      <c r="C41" s="5" t="s">
        <v>46</v>
      </c>
      <c r="D41" s="21">
        <v>3</v>
      </c>
      <c r="E41" s="12">
        <v>447</v>
      </c>
      <c r="F41" s="10" t="str">
        <f>_xlfn.XLOOKUP(C41,menu!A:A,menu!B:B)</f>
        <v>Fish Finger</v>
      </c>
      <c r="G41" s="10" t="str">
        <f>_xlfn.XLOOKUP(C41,menu!A:A,menu!C:C)</f>
        <v>Starters</v>
      </c>
      <c r="H41" s="10">
        <f>_xlfn.XLOOKUP(C41,menu!A:A,menu!E:E)</f>
        <v>45</v>
      </c>
      <c r="I41" s="10">
        <f t="shared" si="0"/>
        <v>135</v>
      </c>
      <c r="K41" s="10"/>
      <c r="L41" s="5"/>
    </row>
    <row r="42" spans="1:12" x14ac:dyDescent="0.25">
      <c r="A42" s="5" t="s">
        <v>7242</v>
      </c>
      <c r="B42" s="5" t="s">
        <v>7241</v>
      </c>
      <c r="C42" s="5" t="s">
        <v>48</v>
      </c>
      <c r="D42" s="21">
        <v>2</v>
      </c>
      <c r="E42" s="12">
        <v>318</v>
      </c>
      <c r="F42" s="10" t="str">
        <f>_xlfn.XLOOKUP(C42,menu!A:A,menu!B:B)</f>
        <v>Chicken Lollipop</v>
      </c>
      <c r="G42" s="10" t="str">
        <f>_xlfn.XLOOKUP(C42,menu!A:A,menu!C:C)</f>
        <v>Starters</v>
      </c>
      <c r="H42" s="10">
        <f>_xlfn.XLOOKUP(C42,menu!A:A,menu!E:E)</f>
        <v>48</v>
      </c>
      <c r="I42" s="10">
        <f t="shared" si="0"/>
        <v>96</v>
      </c>
      <c r="K42" s="10"/>
      <c r="L42" s="5"/>
    </row>
    <row r="43" spans="1:12" x14ac:dyDescent="0.25">
      <c r="A43" s="5" t="s">
        <v>7240</v>
      </c>
      <c r="B43" s="5" t="s">
        <v>7237</v>
      </c>
      <c r="C43" s="5" t="s">
        <v>17</v>
      </c>
      <c r="D43" s="21">
        <v>2</v>
      </c>
      <c r="E43" s="12">
        <v>178</v>
      </c>
      <c r="F43" s="10" t="str">
        <f>_xlfn.XLOOKUP(C43,menu!A:A,menu!B:B)</f>
        <v>Paneer Momos</v>
      </c>
      <c r="G43" s="10" t="str">
        <f>_xlfn.XLOOKUP(C43,menu!A:A,menu!C:C)</f>
        <v>Momos</v>
      </c>
      <c r="H43" s="10">
        <f>_xlfn.XLOOKUP(C43,menu!A:A,menu!E:E)</f>
        <v>27</v>
      </c>
      <c r="I43" s="10">
        <f t="shared" si="0"/>
        <v>54</v>
      </c>
      <c r="K43" s="10"/>
      <c r="L43" s="5"/>
    </row>
    <row r="44" spans="1:12" x14ac:dyDescent="0.25">
      <c r="A44" s="5" t="s">
        <v>7239</v>
      </c>
      <c r="B44" s="5" t="s">
        <v>7237</v>
      </c>
      <c r="C44" s="5" t="s">
        <v>65</v>
      </c>
      <c r="D44" s="21">
        <v>4</v>
      </c>
      <c r="E44" s="12">
        <v>196</v>
      </c>
      <c r="F44" s="10" t="str">
        <f>_xlfn.XLOOKUP(C44,menu!A:A,menu!B:B)</f>
        <v>Lemon Juice</v>
      </c>
      <c r="G44" s="10" t="str">
        <f>_xlfn.XLOOKUP(C44,menu!A:A,menu!C:C)</f>
        <v>Beverages</v>
      </c>
      <c r="H44" s="10">
        <f>_xlfn.XLOOKUP(C44,menu!A:A,menu!E:E)</f>
        <v>15</v>
      </c>
      <c r="I44" s="10">
        <f t="shared" si="0"/>
        <v>60</v>
      </c>
      <c r="K44" s="10"/>
      <c r="L44" s="5"/>
    </row>
    <row r="45" spans="1:12" x14ac:dyDescent="0.25">
      <c r="A45" s="5" t="s">
        <v>7238</v>
      </c>
      <c r="B45" s="5" t="s">
        <v>7237</v>
      </c>
      <c r="C45" s="5" t="s">
        <v>24</v>
      </c>
      <c r="D45" s="21">
        <v>2</v>
      </c>
      <c r="E45" s="12">
        <v>178</v>
      </c>
      <c r="F45" s="10" t="str">
        <f>_xlfn.XLOOKUP(C45,menu!A:A,menu!B:B)</f>
        <v>Paneer Burger</v>
      </c>
      <c r="G45" s="10" t="str">
        <f>_xlfn.XLOOKUP(C45,menu!A:A,menu!C:C)</f>
        <v>Burger</v>
      </c>
      <c r="H45" s="10">
        <f>_xlfn.XLOOKUP(C45,menu!A:A,menu!E:E)</f>
        <v>27</v>
      </c>
      <c r="I45" s="10">
        <f t="shared" si="0"/>
        <v>54</v>
      </c>
      <c r="K45" s="10"/>
      <c r="L45" s="5"/>
    </row>
    <row r="46" spans="1:12" x14ac:dyDescent="0.25">
      <c r="A46" s="5" t="s">
        <v>7236</v>
      </c>
      <c r="B46" s="5" t="s">
        <v>7234</v>
      </c>
      <c r="C46" s="5" t="s">
        <v>52</v>
      </c>
      <c r="D46" s="21">
        <v>3</v>
      </c>
      <c r="E46" s="12">
        <v>297</v>
      </c>
      <c r="F46" s="10" t="str">
        <f>_xlfn.XLOOKUP(C46,menu!A:A,menu!B:B)</f>
        <v>French Fries</v>
      </c>
      <c r="G46" s="10" t="str">
        <f>_xlfn.XLOOKUP(C46,menu!A:A,menu!C:C)</f>
        <v>Starters</v>
      </c>
      <c r="H46" s="10">
        <f>_xlfn.XLOOKUP(C46,menu!A:A,menu!E:E)</f>
        <v>30</v>
      </c>
      <c r="I46" s="10">
        <f t="shared" si="0"/>
        <v>90</v>
      </c>
      <c r="K46" s="10"/>
      <c r="L46" s="5"/>
    </row>
    <row r="47" spans="1:12" x14ac:dyDescent="0.25">
      <c r="A47" s="5" t="s">
        <v>7235</v>
      </c>
      <c r="B47" s="5" t="s">
        <v>7234</v>
      </c>
      <c r="C47" s="5" t="s">
        <v>48</v>
      </c>
      <c r="D47" s="21">
        <v>2</v>
      </c>
      <c r="E47" s="12">
        <v>318</v>
      </c>
      <c r="F47" s="10" t="str">
        <f>_xlfn.XLOOKUP(C47,menu!A:A,menu!B:B)</f>
        <v>Chicken Lollipop</v>
      </c>
      <c r="G47" s="10" t="str">
        <f>_xlfn.XLOOKUP(C47,menu!A:A,menu!C:C)</f>
        <v>Starters</v>
      </c>
      <c r="H47" s="10">
        <f>_xlfn.XLOOKUP(C47,menu!A:A,menu!E:E)</f>
        <v>48</v>
      </c>
      <c r="I47" s="10">
        <f t="shared" si="0"/>
        <v>96</v>
      </c>
      <c r="K47" s="10"/>
      <c r="L47" s="5"/>
    </row>
    <row r="48" spans="1:12" x14ac:dyDescent="0.25">
      <c r="A48" s="5" t="s">
        <v>7233</v>
      </c>
      <c r="B48" s="5" t="s">
        <v>7231</v>
      </c>
      <c r="C48" s="5" t="s">
        <v>61</v>
      </c>
      <c r="D48" s="21">
        <v>1</v>
      </c>
      <c r="E48" s="12">
        <v>79</v>
      </c>
      <c r="F48" s="10" t="str">
        <f>_xlfn.XLOOKUP(C48,menu!A:A,menu!B:B)</f>
        <v>Watermelon Mojito</v>
      </c>
      <c r="G48" s="10" t="str">
        <f>_xlfn.XLOOKUP(C48,menu!A:A,menu!C:C)</f>
        <v>Beverages</v>
      </c>
      <c r="H48" s="10">
        <f>_xlfn.XLOOKUP(C48,menu!A:A,menu!E:E)</f>
        <v>24</v>
      </c>
      <c r="I48" s="10">
        <f t="shared" si="0"/>
        <v>24</v>
      </c>
      <c r="K48" s="10"/>
      <c r="L48" s="5"/>
    </row>
    <row r="49" spans="1:12" x14ac:dyDescent="0.25">
      <c r="A49" s="5" t="s">
        <v>7232</v>
      </c>
      <c r="B49" s="5" t="s">
        <v>7231</v>
      </c>
      <c r="C49" s="5" t="s">
        <v>24</v>
      </c>
      <c r="D49" s="21">
        <v>4</v>
      </c>
      <c r="E49" s="12">
        <v>356</v>
      </c>
      <c r="F49" s="10" t="str">
        <f>_xlfn.XLOOKUP(C49,menu!A:A,menu!B:B)</f>
        <v>Paneer Burger</v>
      </c>
      <c r="G49" s="10" t="str">
        <f>_xlfn.XLOOKUP(C49,menu!A:A,menu!C:C)</f>
        <v>Burger</v>
      </c>
      <c r="H49" s="10">
        <f>_xlfn.XLOOKUP(C49,menu!A:A,menu!E:E)</f>
        <v>27</v>
      </c>
      <c r="I49" s="10">
        <f t="shared" si="0"/>
        <v>108</v>
      </c>
      <c r="K49" s="10"/>
      <c r="L49" s="5"/>
    </row>
    <row r="50" spans="1:12" x14ac:dyDescent="0.25">
      <c r="A50" s="5" t="s">
        <v>7230</v>
      </c>
      <c r="B50" s="5" t="s">
        <v>7227</v>
      </c>
      <c r="C50" s="5" t="s">
        <v>63</v>
      </c>
      <c r="D50" s="21">
        <v>2</v>
      </c>
      <c r="E50" s="12">
        <v>158</v>
      </c>
      <c r="F50" s="10" t="str">
        <f>_xlfn.XLOOKUP(C50,menu!A:A,menu!B:B)</f>
        <v>Virgin Mojito</v>
      </c>
      <c r="G50" s="10" t="str">
        <f>_xlfn.XLOOKUP(C50,menu!A:A,menu!C:C)</f>
        <v>Beverages</v>
      </c>
      <c r="H50" s="10">
        <f>_xlfn.XLOOKUP(C50,menu!A:A,menu!E:E)</f>
        <v>24</v>
      </c>
      <c r="I50" s="10">
        <f t="shared" si="0"/>
        <v>48</v>
      </c>
      <c r="K50" s="10"/>
      <c r="L50" s="5"/>
    </row>
    <row r="51" spans="1:12" x14ac:dyDescent="0.25">
      <c r="A51" s="5" t="s">
        <v>7229</v>
      </c>
      <c r="B51" s="5" t="s">
        <v>7227</v>
      </c>
      <c r="C51" s="5" t="s">
        <v>52</v>
      </c>
      <c r="D51" s="21">
        <v>1</v>
      </c>
      <c r="E51" s="12">
        <v>99</v>
      </c>
      <c r="F51" s="10" t="str">
        <f>_xlfn.XLOOKUP(C51,menu!A:A,menu!B:B)</f>
        <v>French Fries</v>
      </c>
      <c r="G51" s="10" t="str">
        <f>_xlfn.XLOOKUP(C51,menu!A:A,menu!C:C)</f>
        <v>Starters</v>
      </c>
      <c r="H51" s="10">
        <f>_xlfn.XLOOKUP(C51,menu!A:A,menu!E:E)</f>
        <v>30</v>
      </c>
      <c r="I51" s="10">
        <f t="shared" si="0"/>
        <v>30</v>
      </c>
      <c r="K51" s="10"/>
      <c r="L51" s="5"/>
    </row>
    <row r="52" spans="1:12" x14ac:dyDescent="0.25">
      <c r="A52" s="5" t="s">
        <v>7228</v>
      </c>
      <c r="B52" s="5" t="s">
        <v>7227</v>
      </c>
      <c r="C52" s="5" t="s">
        <v>31</v>
      </c>
      <c r="D52" s="21">
        <v>1</v>
      </c>
      <c r="E52" s="12">
        <v>89</v>
      </c>
      <c r="F52" s="10" t="str">
        <f>_xlfn.XLOOKUP(C52,menu!A:A,menu!B:B)</f>
        <v>Chicken Roll</v>
      </c>
      <c r="G52" s="10" t="str">
        <f>_xlfn.XLOOKUP(C52,menu!A:A,menu!C:C)</f>
        <v>Rolls</v>
      </c>
      <c r="H52" s="10">
        <f>_xlfn.XLOOKUP(C52,menu!A:A,menu!E:E)</f>
        <v>27</v>
      </c>
      <c r="I52" s="10">
        <f t="shared" si="0"/>
        <v>27</v>
      </c>
      <c r="K52" s="10"/>
      <c r="L52" s="5"/>
    </row>
    <row r="53" spans="1:12" x14ac:dyDescent="0.25">
      <c r="A53" s="5" t="s">
        <v>7226</v>
      </c>
      <c r="B53" s="5" t="s">
        <v>7223</v>
      </c>
      <c r="C53" s="5" t="s">
        <v>5</v>
      </c>
      <c r="D53" s="21">
        <v>1</v>
      </c>
      <c r="E53" s="12">
        <v>79</v>
      </c>
      <c r="F53" s="10" t="str">
        <f>_xlfn.XLOOKUP(C53,menu!A:A,menu!B:B)</f>
        <v>Veg Sandwich</v>
      </c>
      <c r="G53" s="10" t="str">
        <f>_xlfn.XLOOKUP(C53,menu!A:A,menu!C:C)</f>
        <v>Sandwich</v>
      </c>
      <c r="H53" s="10">
        <f>_xlfn.XLOOKUP(C53,menu!A:A,menu!E:E)</f>
        <v>24</v>
      </c>
      <c r="I53" s="10">
        <f t="shared" si="0"/>
        <v>24</v>
      </c>
      <c r="K53" s="10"/>
      <c r="L53" s="5"/>
    </row>
    <row r="54" spans="1:12" x14ac:dyDescent="0.25">
      <c r="A54" s="5" t="s">
        <v>7225</v>
      </c>
      <c r="B54" s="5" t="s">
        <v>7223</v>
      </c>
      <c r="C54" s="5" t="s">
        <v>54</v>
      </c>
      <c r="D54" s="21">
        <v>2</v>
      </c>
      <c r="E54" s="12">
        <v>278</v>
      </c>
      <c r="F54" s="10" t="str">
        <f>_xlfn.XLOOKUP(C54,menu!A:A,menu!B:B)</f>
        <v>Chicken Strips</v>
      </c>
      <c r="G54" s="10" t="str">
        <f>_xlfn.XLOOKUP(C54,menu!A:A,menu!C:C)</f>
        <v>Starters</v>
      </c>
      <c r="H54" s="10">
        <f>_xlfn.XLOOKUP(C54,menu!A:A,menu!E:E)</f>
        <v>42</v>
      </c>
      <c r="I54" s="10">
        <f t="shared" si="0"/>
        <v>84</v>
      </c>
      <c r="K54" s="10"/>
      <c r="L54" s="5"/>
    </row>
    <row r="55" spans="1:12" x14ac:dyDescent="0.25">
      <c r="A55" s="5" t="s">
        <v>7224</v>
      </c>
      <c r="B55" s="5" t="s">
        <v>7223</v>
      </c>
      <c r="C55" s="5" t="s">
        <v>61</v>
      </c>
      <c r="D55" s="21">
        <v>5</v>
      </c>
      <c r="E55" s="12">
        <v>395</v>
      </c>
      <c r="F55" s="10" t="str">
        <f>_xlfn.XLOOKUP(C55,menu!A:A,menu!B:B)</f>
        <v>Watermelon Mojito</v>
      </c>
      <c r="G55" s="10" t="str">
        <f>_xlfn.XLOOKUP(C55,menu!A:A,menu!C:C)</f>
        <v>Beverages</v>
      </c>
      <c r="H55" s="10">
        <f>_xlfn.XLOOKUP(C55,menu!A:A,menu!E:E)</f>
        <v>24</v>
      </c>
      <c r="I55" s="10">
        <f t="shared" si="0"/>
        <v>120</v>
      </c>
      <c r="K55" s="10"/>
      <c r="L55" s="5"/>
    </row>
    <row r="56" spans="1:12" x14ac:dyDescent="0.25">
      <c r="A56" s="5" t="s">
        <v>7222</v>
      </c>
      <c r="B56" s="5" t="s">
        <v>7219</v>
      </c>
      <c r="C56" s="5" t="s">
        <v>59</v>
      </c>
      <c r="D56" s="21">
        <v>1</v>
      </c>
      <c r="E56" s="12">
        <v>79</v>
      </c>
      <c r="F56" s="10" t="str">
        <f>_xlfn.XLOOKUP(C56,menu!A:A,menu!B:B)</f>
        <v>Blue Curacao Mojito</v>
      </c>
      <c r="G56" s="10" t="str">
        <f>_xlfn.XLOOKUP(C56,menu!A:A,menu!C:C)</f>
        <v>Beverages</v>
      </c>
      <c r="H56" s="10">
        <f>_xlfn.XLOOKUP(C56,menu!A:A,menu!E:E)</f>
        <v>24</v>
      </c>
      <c r="I56" s="10">
        <f t="shared" si="0"/>
        <v>24</v>
      </c>
      <c r="K56" s="10"/>
      <c r="L56" s="5"/>
    </row>
    <row r="57" spans="1:12" x14ac:dyDescent="0.25">
      <c r="A57" s="5" t="s">
        <v>7221</v>
      </c>
      <c r="B57" s="5" t="s">
        <v>7219</v>
      </c>
      <c r="C57" s="5" t="s">
        <v>22</v>
      </c>
      <c r="D57" s="21">
        <v>1</v>
      </c>
      <c r="E57" s="12">
        <v>99</v>
      </c>
      <c r="F57" s="10" t="str">
        <f>_xlfn.XLOOKUP(C57,menu!A:A,menu!B:B)</f>
        <v>Chicken Burger</v>
      </c>
      <c r="G57" s="10" t="str">
        <f>_xlfn.XLOOKUP(C57,menu!A:A,menu!C:C)</f>
        <v>Burger</v>
      </c>
      <c r="H57" s="10">
        <f>_xlfn.XLOOKUP(C57,menu!A:A,menu!E:E)</f>
        <v>30</v>
      </c>
      <c r="I57" s="10">
        <f t="shared" si="0"/>
        <v>30</v>
      </c>
      <c r="K57" s="10"/>
      <c r="L57" s="5"/>
    </row>
    <row r="58" spans="1:12" x14ac:dyDescent="0.25">
      <c r="A58" s="5" t="s">
        <v>7220</v>
      </c>
      <c r="B58" s="5" t="s">
        <v>7219</v>
      </c>
      <c r="C58" s="5" t="s">
        <v>31</v>
      </c>
      <c r="D58" s="21">
        <v>1</v>
      </c>
      <c r="E58" s="12">
        <v>89</v>
      </c>
      <c r="F58" s="10" t="str">
        <f>_xlfn.XLOOKUP(C58,menu!A:A,menu!B:B)</f>
        <v>Chicken Roll</v>
      </c>
      <c r="G58" s="10" t="str">
        <f>_xlfn.XLOOKUP(C58,menu!A:A,menu!C:C)</f>
        <v>Rolls</v>
      </c>
      <c r="H58" s="10">
        <f>_xlfn.XLOOKUP(C58,menu!A:A,menu!E:E)</f>
        <v>27</v>
      </c>
      <c r="I58" s="10">
        <f t="shared" si="0"/>
        <v>27</v>
      </c>
      <c r="K58" s="10"/>
      <c r="L58" s="5"/>
    </row>
    <row r="59" spans="1:12" x14ac:dyDescent="0.25">
      <c r="A59" s="5" t="s">
        <v>7218</v>
      </c>
      <c r="B59" s="5" t="s">
        <v>7216</v>
      </c>
      <c r="C59" s="5" t="s">
        <v>5</v>
      </c>
      <c r="D59" s="21">
        <v>2</v>
      </c>
      <c r="E59" s="12">
        <v>158</v>
      </c>
      <c r="F59" s="10" t="str">
        <f>_xlfn.XLOOKUP(C59,menu!A:A,menu!B:B)</f>
        <v>Veg Sandwich</v>
      </c>
      <c r="G59" s="10" t="str">
        <f>_xlfn.XLOOKUP(C59,menu!A:A,menu!C:C)</f>
        <v>Sandwich</v>
      </c>
      <c r="H59" s="10">
        <f>_xlfn.XLOOKUP(C59,menu!A:A,menu!E:E)</f>
        <v>24</v>
      </c>
      <c r="I59" s="10">
        <f t="shared" si="0"/>
        <v>48</v>
      </c>
      <c r="K59" s="10"/>
      <c r="L59" s="5"/>
    </row>
    <row r="60" spans="1:12" x14ac:dyDescent="0.25">
      <c r="A60" s="5" t="s">
        <v>7217</v>
      </c>
      <c r="B60" s="5" t="s">
        <v>7216</v>
      </c>
      <c r="C60" s="5" t="s">
        <v>46</v>
      </c>
      <c r="D60" s="21">
        <v>3</v>
      </c>
      <c r="E60" s="12">
        <v>447</v>
      </c>
      <c r="F60" s="10" t="str">
        <f>_xlfn.XLOOKUP(C60,menu!A:A,menu!B:B)</f>
        <v>Fish Finger</v>
      </c>
      <c r="G60" s="10" t="str">
        <f>_xlfn.XLOOKUP(C60,menu!A:A,menu!C:C)</f>
        <v>Starters</v>
      </c>
      <c r="H60" s="10">
        <f>_xlfn.XLOOKUP(C60,menu!A:A,menu!E:E)</f>
        <v>45</v>
      </c>
      <c r="I60" s="10">
        <f t="shared" si="0"/>
        <v>135</v>
      </c>
      <c r="K60" s="10"/>
      <c r="L60" s="5"/>
    </row>
    <row r="61" spans="1:12" x14ac:dyDescent="0.25">
      <c r="A61" s="5" t="s">
        <v>7215</v>
      </c>
      <c r="B61" s="5" t="s">
        <v>7213</v>
      </c>
      <c r="C61" s="5" t="s">
        <v>56</v>
      </c>
      <c r="D61" s="21">
        <v>3</v>
      </c>
      <c r="E61" s="12">
        <v>237</v>
      </c>
      <c r="F61" s="10" t="str">
        <f>_xlfn.XLOOKUP(C61,menu!A:A,menu!B:B)</f>
        <v>Mint Mojito</v>
      </c>
      <c r="G61" s="10" t="str">
        <f>_xlfn.XLOOKUP(C61,menu!A:A,menu!C:C)</f>
        <v>Beverages</v>
      </c>
      <c r="H61" s="10">
        <f>_xlfn.XLOOKUP(C61,menu!A:A,menu!E:E)</f>
        <v>24</v>
      </c>
      <c r="I61" s="10">
        <f t="shared" si="0"/>
        <v>72</v>
      </c>
      <c r="K61" s="10"/>
      <c r="L61" s="5"/>
    </row>
    <row r="62" spans="1:12" x14ac:dyDescent="0.25">
      <c r="A62" s="5" t="s">
        <v>7214</v>
      </c>
      <c r="B62" s="5" t="s">
        <v>7213</v>
      </c>
      <c r="C62" s="5" t="s">
        <v>15</v>
      </c>
      <c r="D62" s="21">
        <v>3</v>
      </c>
      <c r="E62" s="12">
        <v>297</v>
      </c>
      <c r="F62" s="10" t="str">
        <f>_xlfn.XLOOKUP(C62,menu!A:A,menu!B:B)</f>
        <v>Chicken Momos</v>
      </c>
      <c r="G62" s="10" t="str">
        <f>_xlfn.XLOOKUP(C62,menu!A:A,menu!C:C)</f>
        <v>Momos</v>
      </c>
      <c r="H62" s="10">
        <f>_xlfn.XLOOKUP(C62,menu!A:A,menu!E:E)</f>
        <v>30</v>
      </c>
      <c r="I62" s="10">
        <f t="shared" si="0"/>
        <v>90</v>
      </c>
      <c r="K62" s="10"/>
      <c r="L62" s="5"/>
    </row>
    <row r="63" spans="1:12" x14ac:dyDescent="0.25">
      <c r="A63" s="5" t="s">
        <v>7212</v>
      </c>
      <c r="B63" s="5" t="s">
        <v>7209</v>
      </c>
      <c r="C63" s="5" t="s">
        <v>15</v>
      </c>
      <c r="D63" s="21">
        <v>3</v>
      </c>
      <c r="E63" s="12">
        <v>297</v>
      </c>
      <c r="F63" s="10" t="str">
        <f>_xlfn.XLOOKUP(C63,menu!A:A,menu!B:B)</f>
        <v>Chicken Momos</v>
      </c>
      <c r="G63" s="10" t="str">
        <f>_xlfn.XLOOKUP(C63,menu!A:A,menu!C:C)</f>
        <v>Momos</v>
      </c>
      <c r="H63" s="10">
        <f>_xlfn.XLOOKUP(C63,menu!A:A,menu!E:E)</f>
        <v>30</v>
      </c>
      <c r="I63" s="10">
        <f t="shared" si="0"/>
        <v>90</v>
      </c>
      <c r="K63" s="10"/>
      <c r="L63" s="5"/>
    </row>
    <row r="64" spans="1:12" x14ac:dyDescent="0.25">
      <c r="A64" s="5" t="s">
        <v>7211</v>
      </c>
      <c r="B64" s="5" t="s">
        <v>7209</v>
      </c>
      <c r="C64" s="5" t="s">
        <v>46</v>
      </c>
      <c r="D64" s="21">
        <v>1</v>
      </c>
      <c r="E64" s="12">
        <v>149</v>
      </c>
      <c r="F64" s="10" t="str">
        <f>_xlfn.XLOOKUP(C64,menu!A:A,menu!B:B)</f>
        <v>Fish Finger</v>
      </c>
      <c r="G64" s="10" t="str">
        <f>_xlfn.XLOOKUP(C64,menu!A:A,menu!C:C)</f>
        <v>Starters</v>
      </c>
      <c r="H64" s="10">
        <f>_xlfn.XLOOKUP(C64,menu!A:A,menu!E:E)</f>
        <v>45</v>
      </c>
      <c r="I64" s="10">
        <f t="shared" si="0"/>
        <v>45</v>
      </c>
      <c r="K64" s="10"/>
      <c r="L64" s="5"/>
    </row>
    <row r="65" spans="1:12" x14ac:dyDescent="0.25">
      <c r="A65" s="5" t="s">
        <v>7210</v>
      </c>
      <c r="B65" s="5" t="s">
        <v>7209</v>
      </c>
      <c r="C65" s="5" t="s">
        <v>33</v>
      </c>
      <c r="D65" s="21">
        <v>1</v>
      </c>
      <c r="E65" s="12">
        <v>69</v>
      </c>
      <c r="F65" s="10" t="str">
        <f>_xlfn.XLOOKUP(C65,menu!A:A,menu!B:B)</f>
        <v>Spring Roll</v>
      </c>
      <c r="G65" s="10" t="str">
        <f>_xlfn.XLOOKUP(C65,menu!A:A,menu!C:C)</f>
        <v>Rolls</v>
      </c>
      <c r="H65" s="10">
        <f>_xlfn.XLOOKUP(C65,menu!A:A,menu!E:E)</f>
        <v>21</v>
      </c>
      <c r="I65" s="10">
        <f t="shared" si="0"/>
        <v>21</v>
      </c>
      <c r="K65" s="10"/>
      <c r="L65" s="5"/>
    </row>
    <row r="66" spans="1:12" x14ac:dyDescent="0.25">
      <c r="A66" s="5" t="s">
        <v>7208</v>
      </c>
      <c r="B66" s="5" t="s">
        <v>7206</v>
      </c>
      <c r="C66" s="5" t="s">
        <v>42</v>
      </c>
      <c r="D66" s="21">
        <v>1</v>
      </c>
      <c r="E66" s="12">
        <v>149</v>
      </c>
      <c r="F66" s="10" t="str">
        <f>_xlfn.XLOOKUP(C66,menu!A:A,menu!B:B)</f>
        <v>Chicken Popcorn</v>
      </c>
      <c r="G66" s="10" t="str">
        <f>_xlfn.XLOOKUP(C66,menu!A:A,menu!C:C)</f>
        <v>Starters</v>
      </c>
      <c r="H66" s="10">
        <f>_xlfn.XLOOKUP(C66,menu!A:A,menu!E:E)</f>
        <v>45</v>
      </c>
      <c r="I66" s="10">
        <f t="shared" si="0"/>
        <v>45</v>
      </c>
      <c r="K66" s="10"/>
      <c r="L66" s="5"/>
    </row>
    <row r="67" spans="1:12" x14ac:dyDescent="0.25">
      <c r="A67" s="5" t="s">
        <v>7207</v>
      </c>
      <c r="B67" s="5" t="s">
        <v>7206</v>
      </c>
      <c r="C67" s="5" t="s">
        <v>48</v>
      </c>
      <c r="D67" s="21">
        <v>4</v>
      </c>
      <c r="E67" s="12">
        <v>636</v>
      </c>
      <c r="F67" s="10" t="str">
        <f>_xlfn.XLOOKUP(C67,menu!A:A,menu!B:B)</f>
        <v>Chicken Lollipop</v>
      </c>
      <c r="G67" s="10" t="str">
        <f>_xlfn.XLOOKUP(C67,menu!A:A,menu!C:C)</f>
        <v>Starters</v>
      </c>
      <c r="H67" s="10">
        <f>_xlfn.XLOOKUP(C67,menu!A:A,menu!E:E)</f>
        <v>48</v>
      </c>
      <c r="I67" s="10">
        <f t="shared" ref="I67:I130" si="1">D67*H67</f>
        <v>192</v>
      </c>
      <c r="K67" s="10"/>
      <c r="L67" s="5"/>
    </row>
    <row r="68" spans="1:12" x14ac:dyDescent="0.25">
      <c r="A68" s="5" t="s">
        <v>7205</v>
      </c>
      <c r="B68" s="5" t="s">
        <v>7202</v>
      </c>
      <c r="C68" s="5" t="s">
        <v>19</v>
      </c>
      <c r="D68" s="21">
        <v>1</v>
      </c>
      <c r="E68" s="12">
        <v>79</v>
      </c>
      <c r="F68" s="10" t="str">
        <f>_xlfn.XLOOKUP(C68,menu!A:A,menu!B:B)</f>
        <v>Veg Burger</v>
      </c>
      <c r="G68" s="10" t="str">
        <f>_xlfn.XLOOKUP(C68,menu!A:A,menu!C:C)</f>
        <v>Burger</v>
      </c>
      <c r="H68" s="10">
        <f>_xlfn.XLOOKUP(C68,menu!A:A,menu!E:E)</f>
        <v>24</v>
      </c>
      <c r="I68" s="10">
        <f t="shared" si="1"/>
        <v>24</v>
      </c>
      <c r="K68" s="10"/>
      <c r="L68" s="5"/>
    </row>
    <row r="69" spans="1:12" x14ac:dyDescent="0.25">
      <c r="A69" s="5" t="s">
        <v>7204</v>
      </c>
      <c r="B69" s="5" t="s">
        <v>7202</v>
      </c>
      <c r="C69" s="5" t="s">
        <v>52</v>
      </c>
      <c r="D69" s="21">
        <v>2</v>
      </c>
      <c r="E69" s="12">
        <v>198</v>
      </c>
      <c r="F69" s="10" t="str">
        <f>_xlfn.XLOOKUP(C69,menu!A:A,menu!B:B)</f>
        <v>French Fries</v>
      </c>
      <c r="G69" s="10" t="str">
        <f>_xlfn.XLOOKUP(C69,menu!A:A,menu!C:C)</f>
        <v>Starters</v>
      </c>
      <c r="H69" s="10">
        <f>_xlfn.XLOOKUP(C69,menu!A:A,menu!E:E)</f>
        <v>30</v>
      </c>
      <c r="I69" s="10">
        <f t="shared" si="1"/>
        <v>60</v>
      </c>
      <c r="K69" s="10"/>
      <c r="L69" s="5"/>
    </row>
    <row r="70" spans="1:12" x14ac:dyDescent="0.25">
      <c r="A70" s="5" t="s">
        <v>7203</v>
      </c>
      <c r="B70" s="5" t="s">
        <v>7202</v>
      </c>
      <c r="C70" s="5" t="s">
        <v>31</v>
      </c>
      <c r="D70" s="21">
        <v>1</v>
      </c>
      <c r="E70" s="12">
        <v>89</v>
      </c>
      <c r="F70" s="10" t="str">
        <f>_xlfn.XLOOKUP(C70,menu!A:A,menu!B:B)</f>
        <v>Chicken Roll</v>
      </c>
      <c r="G70" s="10" t="str">
        <f>_xlfn.XLOOKUP(C70,menu!A:A,menu!C:C)</f>
        <v>Rolls</v>
      </c>
      <c r="H70" s="10">
        <f>_xlfn.XLOOKUP(C70,menu!A:A,menu!E:E)</f>
        <v>27</v>
      </c>
      <c r="I70" s="10">
        <f t="shared" si="1"/>
        <v>27</v>
      </c>
      <c r="K70" s="10"/>
      <c r="L70" s="5"/>
    </row>
    <row r="71" spans="1:12" x14ac:dyDescent="0.25">
      <c r="A71" s="5" t="s">
        <v>7201</v>
      </c>
      <c r="B71" s="5" t="s">
        <v>7198</v>
      </c>
      <c r="C71" s="5" t="s">
        <v>17</v>
      </c>
      <c r="D71" s="21">
        <v>1</v>
      </c>
      <c r="E71" s="12">
        <v>89</v>
      </c>
      <c r="F71" s="10" t="str">
        <f>_xlfn.XLOOKUP(C71,menu!A:A,menu!B:B)</f>
        <v>Paneer Momos</v>
      </c>
      <c r="G71" s="10" t="str">
        <f>_xlfn.XLOOKUP(C71,menu!A:A,menu!C:C)</f>
        <v>Momos</v>
      </c>
      <c r="H71" s="10">
        <f>_xlfn.XLOOKUP(C71,menu!A:A,menu!E:E)</f>
        <v>27</v>
      </c>
      <c r="I71" s="10">
        <f t="shared" si="1"/>
        <v>27</v>
      </c>
      <c r="K71" s="10"/>
      <c r="L71" s="5"/>
    </row>
    <row r="72" spans="1:12" x14ac:dyDescent="0.25">
      <c r="A72" s="5" t="s">
        <v>7200</v>
      </c>
      <c r="B72" s="5" t="s">
        <v>7198</v>
      </c>
      <c r="C72" s="5" t="s">
        <v>35</v>
      </c>
      <c r="D72" s="21">
        <v>2</v>
      </c>
      <c r="E72" s="12">
        <v>238</v>
      </c>
      <c r="F72" s="10" t="str">
        <f>_xlfn.XLOOKUP(C72,menu!A:A,menu!B:B)</f>
        <v>Chicken Nuggets</v>
      </c>
      <c r="G72" s="10" t="str">
        <f>_xlfn.XLOOKUP(C72,menu!A:A,menu!C:C)</f>
        <v>Starters</v>
      </c>
      <c r="H72" s="10">
        <f>_xlfn.XLOOKUP(C72,menu!A:A,menu!E:E)</f>
        <v>36</v>
      </c>
      <c r="I72" s="10">
        <f t="shared" si="1"/>
        <v>72</v>
      </c>
      <c r="K72" s="10"/>
      <c r="L72" s="5"/>
    </row>
    <row r="73" spans="1:12" x14ac:dyDescent="0.25">
      <c r="A73" s="5" t="s">
        <v>7199</v>
      </c>
      <c r="B73" s="5" t="s">
        <v>7198</v>
      </c>
      <c r="C73" s="5" t="s">
        <v>65</v>
      </c>
      <c r="D73" s="21">
        <v>1</v>
      </c>
      <c r="E73" s="12">
        <v>49</v>
      </c>
      <c r="F73" s="10" t="str">
        <f>_xlfn.XLOOKUP(C73,menu!A:A,menu!B:B)</f>
        <v>Lemon Juice</v>
      </c>
      <c r="G73" s="10" t="str">
        <f>_xlfn.XLOOKUP(C73,menu!A:A,menu!C:C)</f>
        <v>Beverages</v>
      </c>
      <c r="H73" s="10">
        <f>_xlfn.XLOOKUP(C73,menu!A:A,menu!E:E)</f>
        <v>15</v>
      </c>
      <c r="I73" s="10">
        <f t="shared" si="1"/>
        <v>15</v>
      </c>
      <c r="K73" s="10"/>
      <c r="L73" s="5"/>
    </row>
    <row r="74" spans="1:12" x14ac:dyDescent="0.25">
      <c r="A74" s="5" t="s">
        <v>7197</v>
      </c>
      <c r="B74" s="5" t="s">
        <v>7195</v>
      </c>
      <c r="C74" s="5" t="s">
        <v>44</v>
      </c>
      <c r="D74" s="21">
        <v>2</v>
      </c>
      <c r="E74" s="12">
        <v>318</v>
      </c>
      <c r="F74" s="10" t="str">
        <f>_xlfn.XLOOKUP(C74,menu!A:A,menu!B:B)</f>
        <v>Fried Chicken</v>
      </c>
      <c r="G74" s="10" t="str">
        <f>_xlfn.XLOOKUP(C74,menu!A:A,menu!C:C)</f>
        <v>Starters</v>
      </c>
      <c r="H74" s="10">
        <f>_xlfn.XLOOKUP(C74,menu!A:A,menu!E:E)</f>
        <v>48</v>
      </c>
      <c r="I74" s="10">
        <f t="shared" si="1"/>
        <v>96</v>
      </c>
      <c r="K74" s="10"/>
      <c r="L74" s="5"/>
    </row>
    <row r="75" spans="1:12" x14ac:dyDescent="0.25">
      <c r="A75" s="5" t="s">
        <v>7196</v>
      </c>
      <c r="B75" s="5" t="s">
        <v>7195</v>
      </c>
      <c r="C75" s="5" t="s">
        <v>33</v>
      </c>
      <c r="D75" s="21">
        <v>1</v>
      </c>
      <c r="E75" s="12">
        <v>69</v>
      </c>
      <c r="F75" s="10" t="str">
        <f>_xlfn.XLOOKUP(C75,menu!A:A,menu!B:B)</f>
        <v>Spring Roll</v>
      </c>
      <c r="G75" s="10" t="str">
        <f>_xlfn.XLOOKUP(C75,menu!A:A,menu!C:C)</f>
        <v>Rolls</v>
      </c>
      <c r="H75" s="10">
        <f>_xlfn.XLOOKUP(C75,menu!A:A,menu!E:E)</f>
        <v>21</v>
      </c>
      <c r="I75" s="10">
        <f t="shared" si="1"/>
        <v>21</v>
      </c>
      <c r="K75" s="10"/>
      <c r="L75" s="5"/>
    </row>
    <row r="76" spans="1:12" x14ac:dyDescent="0.25">
      <c r="A76" s="5" t="s">
        <v>7194</v>
      </c>
      <c r="B76" s="5" t="s">
        <v>7191</v>
      </c>
      <c r="C76" s="5" t="s">
        <v>54</v>
      </c>
      <c r="D76" s="21">
        <v>1</v>
      </c>
      <c r="E76" s="12">
        <v>139</v>
      </c>
      <c r="F76" s="10" t="str">
        <f>_xlfn.XLOOKUP(C76,menu!A:A,menu!B:B)</f>
        <v>Chicken Strips</v>
      </c>
      <c r="G76" s="10" t="str">
        <f>_xlfn.XLOOKUP(C76,menu!A:A,menu!C:C)</f>
        <v>Starters</v>
      </c>
      <c r="H76" s="10">
        <f>_xlfn.XLOOKUP(C76,menu!A:A,menu!E:E)</f>
        <v>42</v>
      </c>
      <c r="I76" s="10">
        <f t="shared" si="1"/>
        <v>42</v>
      </c>
      <c r="K76" s="10"/>
      <c r="L76" s="5"/>
    </row>
    <row r="77" spans="1:12" x14ac:dyDescent="0.25">
      <c r="A77" s="5" t="s">
        <v>7193</v>
      </c>
      <c r="B77" s="5" t="s">
        <v>7191</v>
      </c>
      <c r="C77" s="5" t="s">
        <v>8</v>
      </c>
      <c r="D77" s="21">
        <v>1</v>
      </c>
      <c r="E77" s="12">
        <v>99</v>
      </c>
      <c r="F77" s="10" t="str">
        <f>_xlfn.XLOOKUP(C77,menu!A:A,menu!B:B)</f>
        <v>Paneer Sandwich</v>
      </c>
      <c r="G77" s="10" t="str">
        <f>_xlfn.XLOOKUP(C77,menu!A:A,menu!C:C)</f>
        <v>Sandwich</v>
      </c>
      <c r="H77" s="10">
        <f>_xlfn.XLOOKUP(C77,menu!A:A,menu!E:E)</f>
        <v>30</v>
      </c>
      <c r="I77" s="10">
        <f t="shared" si="1"/>
        <v>30</v>
      </c>
      <c r="K77" s="10"/>
      <c r="L77" s="5"/>
    </row>
    <row r="78" spans="1:12" x14ac:dyDescent="0.25">
      <c r="A78" s="5" t="s">
        <v>7192</v>
      </c>
      <c r="B78" s="5" t="s">
        <v>7191</v>
      </c>
      <c r="C78" s="5" t="s">
        <v>48</v>
      </c>
      <c r="D78" s="21">
        <v>2</v>
      </c>
      <c r="E78" s="12">
        <v>318</v>
      </c>
      <c r="F78" s="10" t="str">
        <f>_xlfn.XLOOKUP(C78,menu!A:A,menu!B:B)</f>
        <v>Chicken Lollipop</v>
      </c>
      <c r="G78" s="10" t="str">
        <f>_xlfn.XLOOKUP(C78,menu!A:A,menu!C:C)</f>
        <v>Starters</v>
      </c>
      <c r="H78" s="10">
        <f>_xlfn.XLOOKUP(C78,menu!A:A,menu!E:E)</f>
        <v>48</v>
      </c>
      <c r="I78" s="10">
        <f t="shared" si="1"/>
        <v>96</v>
      </c>
      <c r="K78" s="10"/>
      <c r="L78" s="5"/>
    </row>
    <row r="79" spans="1:12" x14ac:dyDescent="0.25">
      <c r="A79" s="5" t="s">
        <v>7190</v>
      </c>
      <c r="B79" s="5" t="s">
        <v>7188</v>
      </c>
      <c r="C79" s="5" t="s">
        <v>29</v>
      </c>
      <c r="D79" s="21">
        <v>3</v>
      </c>
      <c r="E79" s="12">
        <v>237</v>
      </c>
      <c r="F79" s="10" t="str">
        <f>_xlfn.XLOOKUP(C79,menu!A:A,menu!B:B)</f>
        <v>Paneer Roll</v>
      </c>
      <c r="G79" s="10" t="str">
        <f>_xlfn.XLOOKUP(C79,menu!A:A,menu!C:C)</f>
        <v>Rolls</v>
      </c>
      <c r="H79" s="10">
        <f>_xlfn.XLOOKUP(C79,menu!A:A,menu!E:E)</f>
        <v>24</v>
      </c>
      <c r="I79" s="10">
        <f t="shared" si="1"/>
        <v>72</v>
      </c>
      <c r="K79" s="10"/>
      <c r="L79" s="5"/>
    </row>
    <row r="80" spans="1:12" x14ac:dyDescent="0.25">
      <c r="A80" s="5" t="s">
        <v>7189</v>
      </c>
      <c r="B80" s="5" t="s">
        <v>7188</v>
      </c>
      <c r="C80" s="5" t="s">
        <v>38</v>
      </c>
      <c r="D80" s="21">
        <v>1</v>
      </c>
      <c r="E80" s="12">
        <v>149</v>
      </c>
      <c r="F80" s="10" t="str">
        <f>_xlfn.XLOOKUP(C80,menu!A:A,menu!B:B)</f>
        <v>Chicken Wings</v>
      </c>
      <c r="G80" s="10" t="str">
        <f>_xlfn.XLOOKUP(C80,menu!A:A,menu!C:C)</f>
        <v>Starters</v>
      </c>
      <c r="H80" s="10">
        <f>_xlfn.XLOOKUP(C80,menu!A:A,menu!E:E)</f>
        <v>45</v>
      </c>
      <c r="I80" s="10">
        <f t="shared" si="1"/>
        <v>45</v>
      </c>
      <c r="K80" s="10"/>
      <c r="L80" s="5"/>
    </row>
    <row r="81" spans="1:12" x14ac:dyDescent="0.25">
      <c r="A81" s="5" t="s">
        <v>7187</v>
      </c>
      <c r="B81" s="5" t="s">
        <v>7184</v>
      </c>
      <c r="C81" s="5" t="s">
        <v>63</v>
      </c>
      <c r="D81" s="21">
        <v>2</v>
      </c>
      <c r="E81" s="12">
        <v>158</v>
      </c>
      <c r="F81" s="10" t="str">
        <f>_xlfn.XLOOKUP(C81,menu!A:A,menu!B:B)</f>
        <v>Virgin Mojito</v>
      </c>
      <c r="G81" s="10" t="str">
        <f>_xlfn.XLOOKUP(C81,menu!A:A,menu!C:C)</f>
        <v>Beverages</v>
      </c>
      <c r="H81" s="10">
        <f>_xlfn.XLOOKUP(C81,menu!A:A,menu!E:E)</f>
        <v>24</v>
      </c>
      <c r="I81" s="10">
        <f t="shared" si="1"/>
        <v>48</v>
      </c>
      <c r="K81" s="10"/>
      <c r="L81" s="5"/>
    </row>
    <row r="82" spans="1:12" x14ac:dyDescent="0.25">
      <c r="A82" s="5" t="s">
        <v>7186</v>
      </c>
      <c r="B82" s="5" t="s">
        <v>7184</v>
      </c>
      <c r="C82" s="5" t="s">
        <v>44</v>
      </c>
      <c r="D82" s="21">
        <v>2</v>
      </c>
      <c r="E82" s="12">
        <v>318</v>
      </c>
      <c r="F82" s="10" t="str">
        <f>_xlfn.XLOOKUP(C82,menu!A:A,menu!B:B)</f>
        <v>Fried Chicken</v>
      </c>
      <c r="G82" s="10" t="str">
        <f>_xlfn.XLOOKUP(C82,menu!A:A,menu!C:C)</f>
        <v>Starters</v>
      </c>
      <c r="H82" s="10">
        <f>_xlfn.XLOOKUP(C82,menu!A:A,menu!E:E)</f>
        <v>48</v>
      </c>
      <c r="I82" s="10">
        <f t="shared" si="1"/>
        <v>96</v>
      </c>
      <c r="K82" s="10"/>
      <c r="L82" s="5"/>
    </row>
    <row r="83" spans="1:12" x14ac:dyDescent="0.25">
      <c r="A83" s="5" t="s">
        <v>7185</v>
      </c>
      <c r="B83" s="5" t="s">
        <v>7184</v>
      </c>
      <c r="C83" s="5" t="s">
        <v>22</v>
      </c>
      <c r="D83" s="21">
        <v>1</v>
      </c>
      <c r="E83" s="12">
        <v>99</v>
      </c>
      <c r="F83" s="10" t="str">
        <f>_xlfn.XLOOKUP(C83,menu!A:A,menu!B:B)</f>
        <v>Chicken Burger</v>
      </c>
      <c r="G83" s="10" t="str">
        <f>_xlfn.XLOOKUP(C83,menu!A:A,menu!C:C)</f>
        <v>Burger</v>
      </c>
      <c r="H83" s="10">
        <f>_xlfn.XLOOKUP(C83,menu!A:A,menu!E:E)</f>
        <v>30</v>
      </c>
      <c r="I83" s="10">
        <f t="shared" si="1"/>
        <v>30</v>
      </c>
      <c r="K83" s="10"/>
      <c r="L83" s="5"/>
    </row>
    <row r="84" spans="1:12" x14ac:dyDescent="0.25">
      <c r="A84" s="5" t="s">
        <v>7183</v>
      </c>
      <c r="B84" s="5" t="s">
        <v>7181</v>
      </c>
      <c r="C84" s="5" t="s">
        <v>5</v>
      </c>
      <c r="D84" s="21">
        <v>1</v>
      </c>
      <c r="E84" s="12">
        <v>79</v>
      </c>
      <c r="F84" s="10" t="str">
        <f>_xlfn.XLOOKUP(C84,menu!A:A,menu!B:B)</f>
        <v>Veg Sandwich</v>
      </c>
      <c r="G84" s="10" t="str">
        <f>_xlfn.XLOOKUP(C84,menu!A:A,menu!C:C)</f>
        <v>Sandwich</v>
      </c>
      <c r="H84" s="10">
        <f>_xlfn.XLOOKUP(C84,menu!A:A,menu!E:E)</f>
        <v>24</v>
      </c>
      <c r="I84" s="10">
        <f t="shared" si="1"/>
        <v>24</v>
      </c>
      <c r="K84" s="10"/>
      <c r="L84" s="5"/>
    </row>
    <row r="85" spans="1:12" x14ac:dyDescent="0.25">
      <c r="A85" s="5" t="s">
        <v>7182</v>
      </c>
      <c r="B85" s="5" t="s">
        <v>7181</v>
      </c>
      <c r="C85" s="5" t="s">
        <v>54</v>
      </c>
      <c r="D85" s="21">
        <v>1</v>
      </c>
      <c r="E85" s="12">
        <v>139</v>
      </c>
      <c r="F85" s="10" t="str">
        <f>_xlfn.XLOOKUP(C85,menu!A:A,menu!B:B)</f>
        <v>Chicken Strips</v>
      </c>
      <c r="G85" s="10" t="str">
        <f>_xlfn.XLOOKUP(C85,menu!A:A,menu!C:C)</f>
        <v>Starters</v>
      </c>
      <c r="H85" s="10">
        <f>_xlfn.XLOOKUP(C85,menu!A:A,menu!E:E)</f>
        <v>42</v>
      </c>
      <c r="I85" s="10">
        <f t="shared" si="1"/>
        <v>42</v>
      </c>
      <c r="K85" s="10"/>
      <c r="L85" s="5"/>
    </row>
    <row r="86" spans="1:12" x14ac:dyDescent="0.25">
      <c r="A86" s="5" t="s">
        <v>7180</v>
      </c>
      <c r="B86" s="5" t="s">
        <v>7178</v>
      </c>
      <c r="C86" s="5" t="s">
        <v>33</v>
      </c>
      <c r="D86" s="21">
        <v>1</v>
      </c>
      <c r="E86" s="12">
        <v>69</v>
      </c>
      <c r="F86" s="10" t="str">
        <f>_xlfn.XLOOKUP(C86,menu!A:A,menu!B:B)</f>
        <v>Spring Roll</v>
      </c>
      <c r="G86" s="10" t="str">
        <f>_xlfn.XLOOKUP(C86,menu!A:A,menu!C:C)</f>
        <v>Rolls</v>
      </c>
      <c r="H86" s="10">
        <f>_xlfn.XLOOKUP(C86,menu!A:A,menu!E:E)</f>
        <v>21</v>
      </c>
      <c r="I86" s="10">
        <f t="shared" si="1"/>
        <v>21</v>
      </c>
      <c r="K86" s="10"/>
      <c r="L86" s="5"/>
    </row>
    <row r="87" spans="1:12" x14ac:dyDescent="0.25">
      <c r="A87" s="5" t="s">
        <v>7179</v>
      </c>
      <c r="B87" s="5" t="s">
        <v>7178</v>
      </c>
      <c r="C87" s="5" t="s">
        <v>48</v>
      </c>
      <c r="D87" s="21">
        <v>1</v>
      </c>
      <c r="E87" s="12">
        <v>159</v>
      </c>
      <c r="F87" s="10" t="str">
        <f>_xlfn.XLOOKUP(C87,menu!A:A,menu!B:B)</f>
        <v>Chicken Lollipop</v>
      </c>
      <c r="G87" s="10" t="str">
        <f>_xlfn.XLOOKUP(C87,menu!A:A,menu!C:C)</f>
        <v>Starters</v>
      </c>
      <c r="H87" s="10">
        <f>_xlfn.XLOOKUP(C87,menu!A:A,menu!E:E)</f>
        <v>48</v>
      </c>
      <c r="I87" s="10">
        <f t="shared" si="1"/>
        <v>48</v>
      </c>
      <c r="K87" s="10"/>
      <c r="L87" s="5"/>
    </row>
    <row r="88" spans="1:12" x14ac:dyDescent="0.25">
      <c r="A88" s="5" t="s">
        <v>7177</v>
      </c>
      <c r="B88" s="5" t="s">
        <v>7176</v>
      </c>
      <c r="C88" s="5" t="s">
        <v>35</v>
      </c>
      <c r="D88" s="21">
        <v>1</v>
      </c>
      <c r="E88" s="12">
        <v>119</v>
      </c>
      <c r="F88" s="10" t="str">
        <f>_xlfn.XLOOKUP(C88,menu!A:A,menu!B:B)</f>
        <v>Chicken Nuggets</v>
      </c>
      <c r="G88" s="10" t="str">
        <f>_xlfn.XLOOKUP(C88,menu!A:A,menu!C:C)</f>
        <v>Starters</v>
      </c>
      <c r="H88" s="10">
        <f>_xlfn.XLOOKUP(C88,menu!A:A,menu!E:E)</f>
        <v>36</v>
      </c>
      <c r="I88" s="10">
        <f t="shared" si="1"/>
        <v>36</v>
      </c>
      <c r="K88" s="10"/>
      <c r="L88" s="5"/>
    </row>
    <row r="89" spans="1:12" x14ac:dyDescent="0.25">
      <c r="A89" s="5" t="s">
        <v>7175</v>
      </c>
      <c r="B89" s="5" t="s">
        <v>7173</v>
      </c>
      <c r="C89" s="5" t="s">
        <v>29</v>
      </c>
      <c r="D89" s="21">
        <v>5</v>
      </c>
      <c r="E89" s="12">
        <v>395</v>
      </c>
      <c r="F89" s="10" t="str">
        <f>_xlfn.XLOOKUP(C89,menu!A:A,menu!B:B)</f>
        <v>Paneer Roll</v>
      </c>
      <c r="G89" s="10" t="str">
        <f>_xlfn.XLOOKUP(C89,menu!A:A,menu!C:C)</f>
        <v>Rolls</v>
      </c>
      <c r="H89" s="10">
        <f>_xlfn.XLOOKUP(C89,menu!A:A,menu!E:E)</f>
        <v>24</v>
      </c>
      <c r="I89" s="10">
        <f t="shared" si="1"/>
        <v>120</v>
      </c>
      <c r="K89" s="10"/>
      <c r="L89" s="5"/>
    </row>
    <row r="90" spans="1:12" x14ac:dyDescent="0.25">
      <c r="A90" s="5" t="s">
        <v>7174</v>
      </c>
      <c r="B90" s="5" t="s">
        <v>7173</v>
      </c>
      <c r="C90" s="5" t="s">
        <v>63</v>
      </c>
      <c r="D90" s="21">
        <v>3</v>
      </c>
      <c r="E90" s="12">
        <v>237</v>
      </c>
      <c r="F90" s="10" t="str">
        <f>_xlfn.XLOOKUP(C90,menu!A:A,menu!B:B)</f>
        <v>Virgin Mojito</v>
      </c>
      <c r="G90" s="10" t="str">
        <f>_xlfn.XLOOKUP(C90,menu!A:A,menu!C:C)</f>
        <v>Beverages</v>
      </c>
      <c r="H90" s="10">
        <f>_xlfn.XLOOKUP(C90,menu!A:A,menu!E:E)</f>
        <v>24</v>
      </c>
      <c r="I90" s="10">
        <f t="shared" si="1"/>
        <v>72</v>
      </c>
      <c r="K90" s="10"/>
      <c r="L90" s="5"/>
    </row>
    <row r="91" spans="1:12" x14ac:dyDescent="0.25">
      <c r="A91" s="5" t="s">
        <v>7172</v>
      </c>
      <c r="B91" s="5" t="s">
        <v>7170</v>
      </c>
      <c r="C91" s="5" t="s">
        <v>56</v>
      </c>
      <c r="D91" s="21">
        <v>4</v>
      </c>
      <c r="E91" s="12">
        <v>316</v>
      </c>
      <c r="F91" s="10" t="str">
        <f>_xlfn.XLOOKUP(C91,menu!A:A,menu!B:B)</f>
        <v>Mint Mojito</v>
      </c>
      <c r="G91" s="10" t="str">
        <f>_xlfn.XLOOKUP(C91,menu!A:A,menu!C:C)</f>
        <v>Beverages</v>
      </c>
      <c r="H91" s="10">
        <f>_xlfn.XLOOKUP(C91,menu!A:A,menu!E:E)</f>
        <v>24</v>
      </c>
      <c r="I91" s="10">
        <f t="shared" si="1"/>
        <v>96</v>
      </c>
      <c r="K91" s="10"/>
      <c r="L91" s="5"/>
    </row>
    <row r="92" spans="1:12" x14ac:dyDescent="0.25">
      <c r="A92" s="5" t="s">
        <v>7171</v>
      </c>
      <c r="B92" s="5" t="s">
        <v>7170</v>
      </c>
      <c r="C92" s="5" t="s">
        <v>54</v>
      </c>
      <c r="D92" s="21">
        <v>1</v>
      </c>
      <c r="E92" s="12">
        <v>139</v>
      </c>
      <c r="F92" s="10" t="str">
        <f>_xlfn.XLOOKUP(C92,menu!A:A,menu!B:B)</f>
        <v>Chicken Strips</v>
      </c>
      <c r="G92" s="10" t="str">
        <f>_xlfn.XLOOKUP(C92,menu!A:A,menu!C:C)</f>
        <v>Starters</v>
      </c>
      <c r="H92" s="10">
        <f>_xlfn.XLOOKUP(C92,menu!A:A,menu!E:E)</f>
        <v>42</v>
      </c>
      <c r="I92" s="10">
        <f t="shared" si="1"/>
        <v>42</v>
      </c>
      <c r="K92" s="10"/>
      <c r="L92" s="5"/>
    </row>
    <row r="93" spans="1:12" x14ac:dyDescent="0.25">
      <c r="A93" s="5" t="s">
        <v>7169</v>
      </c>
      <c r="B93" s="5" t="s">
        <v>7165</v>
      </c>
      <c r="C93" s="5" t="s">
        <v>63</v>
      </c>
      <c r="D93" s="21">
        <v>1</v>
      </c>
      <c r="E93" s="12">
        <v>79</v>
      </c>
      <c r="F93" s="10" t="str">
        <f>_xlfn.XLOOKUP(C93,menu!A:A,menu!B:B)</f>
        <v>Virgin Mojito</v>
      </c>
      <c r="G93" s="10" t="str">
        <f>_xlfn.XLOOKUP(C93,menu!A:A,menu!C:C)</f>
        <v>Beverages</v>
      </c>
      <c r="H93" s="10">
        <f>_xlfn.XLOOKUP(C93,menu!A:A,menu!E:E)</f>
        <v>24</v>
      </c>
      <c r="I93" s="10">
        <f t="shared" si="1"/>
        <v>24</v>
      </c>
      <c r="K93" s="10"/>
      <c r="L93" s="5"/>
    </row>
    <row r="94" spans="1:12" x14ac:dyDescent="0.25">
      <c r="A94" s="5" t="s">
        <v>7168</v>
      </c>
      <c r="B94" s="5" t="s">
        <v>7165</v>
      </c>
      <c r="C94" s="5" t="s">
        <v>15</v>
      </c>
      <c r="D94" s="21">
        <v>3</v>
      </c>
      <c r="E94" s="12">
        <v>297</v>
      </c>
      <c r="F94" s="10" t="str">
        <f>_xlfn.XLOOKUP(C94,menu!A:A,menu!B:B)</f>
        <v>Chicken Momos</v>
      </c>
      <c r="G94" s="10" t="str">
        <f>_xlfn.XLOOKUP(C94,menu!A:A,menu!C:C)</f>
        <v>Momos</v>
      </c>
      <c r="H94" s="10">
        <f>_xlfn.XLOOKUP(C94,menu!A:A,menu!E:E)</f>
        <v>30</v>
      </c>
      <c r="I94" s="10">
        <f t="shared" si="1"/>
        <v>90</v>
      </c>
      <c r="K94" s="10"/>
      <c r="L94" s="5"/>
    </row>
    <row r="95" spans="1:12" x14ac:dyDescent="0.25">
      <c r="A95" s="5" t="s">
        <v>7167</v>
      </c>
      <c r="B95" s="5" t="s">
        <v>7165</v>
      </c>
      <c r="C95" s="5" t="s">
        <v>8</v>
      </c>
      <c r="D95" s="21">
        <v>1</v>
      </c>
      <c r="E95" s="12">
        <v>99</v>
      </c>
      <c r="F95" s="10" t="str">
        <f>_xlfn.XLOOKUP(C95,menu!A:A,menu!B:B)</f>
        <v>Paneer Sandwich</v>
      </c>
      <c r="G95" s="10" t="str">
        <f>_xlfn.XLOOKUP(C95,menu!A:A,menu!C:C)</f>
        <v>Sandwich</v>
      </c>
      <c r="H95" s="10">
        <f>_xlfn.XLOOKUP(C95,menu!A:A,menu!E:E)</f>
        <v>30</v>
      </c>
      <c r="I95" s="10">
        <f t="shared" si="1"/>
        <v>30</v>
      </c>
      <c r="K95" s="10"/>
      <c r="L95" s="5"/>
    </row>
    <row r="96" spans="1:12" x14ac:dyDescent="0.25">
      <c r="A96" s="5" t="s">
        <v>7166</v>
      </c>
      <c r="B96" s="5" t="s">
        <v>7165</v>
      </c>
      <c r="C96" s="5" t="s">
        <v>24</v>
      </c>
      <c r="D96" s="21">
        <v>4</v>
      </c>
      <c r="E96" s="12">
        <v>356</v>
      </c>
      <c r="F96" s="10" t="str">
        <f>_xlfn.XLOOKUP(C96,menu!A:A,menu!B:B)</f>
        <v>Paneer Burger</v>
      </c>
      <c r="G96" s="10" t="str">
        <f>_xlfn.XLOOKUP(C96,menu!A:A,menu!C:C)</f>
        <v>Burger</v>
      </c>
      <c r="H96" s="10">
        <f>_xlfn.XLOOKUP(C96,menu!A:A,menu!E:E)</f>
        <v>27</v>
      </c>
      <c r="I96" s="10">
        <f t="shared" si="1"/>
        <v>108</v>
      </c>
      <c r="K96" s="10"/>
      <c r="L96" s="5"/>
    </row>
    <row r="97" spans="1:12" x14ac:dyDescent="0.25">
      <c r="A97" s="5" t="s">
        <v>7164</v>
      </c>
      <c r="B97" s="5" t="s">
        <v>7161</v>
      </c>
      <c r="C97" s="5" t="s">
        <v>19</v>
      </c>
      <c r="D97" s="21">
        <v>1</v>
      </c>
      <c r="E97" s="12">
        <v>79</v>
      </c>
      <c r="F97" s="10" t="str">
        <f>_xlfn.XLOOKUP(C97,menu!A:A,menu!B:B)</f>
        <v>Veg Burger</v>
      </c>
      <c r="G97" s="10" t="str">
        <f>_xlfn.XLOOKUP(C97,menu!A:A,menu!C:C)</f>
        <v>Burger</v>
      </c>
      <c r="H97" s="10">
        <f>_xlfn.XLOOKUP(C97,menu!A:A,menu!E:E)</f>
        <v>24</v>
      </c>
      <c r="I97" s="10">
        <f t="shared" si="1"/>
        <v>24</v>
      </c>
      <c r="K97" s="10"/>
      <c r="L97" s="5"/>
    </row>
    <row r="98" spans="1:12" x14ac:dyDescent="0.25">
      <c r="A98" s="5" t="s">
        <v>7163</v>
      </c>
      <c r="B98" s="5" t="s">
        <v>7161</v>
      </c>
      <c r="C98" s="5" t="s">
        <v>63</v>
      </c>
      <c r="D98" s="21">
        <v>1</v>
      </c>
      <c r="E98" s="12">
        <v>79</v>
      </c>
      <c r="F98" s="10" t="str">
        <f>_xlfn.XLOOKUP(C98,menu!A:A,menu!B:B)</f>
        <v>Virgin Mojito</v>
      </c>
      <c r="G98" s="10" t="str">
        <f>_xlfn.XLOOKUP(C98,menu!A:A,menu!C:C)</f>
        <v>Beverages</v>
      </c>
      <c r="H98" s="10">
        <f>_xlfn.XLOOKUP(C98,menu!A:A,menu!E:E)</f>
        <v>24</v>
      </c>
      <c r="I98" s="10">
        <f t="shared" si="1"/>
        <v>24</v>
      </c>
      <c r="K98" s="10"/>
      <c r="L98" s="5"/>
    </row>
    <row r="99" spans="1:12" x14ac:dyDescent="0.25">
      <c r="A99" s="5" t="s">
        <v>7162</v>
      </c>
      <c r="B99" s="5" t="s">
        <v>7161</v>
      </c>
      <c r="C99" s="5" t="s">
        <v>35</v>
      </c>
      <c r="D99" s="21">
        <v>3</v>
      </c>
      <c r="E99" s="12">
        <v>357</v>
      </c>
      <c r="F99" s="10" t="str">
        <f>_xlfn.XLOOKUP(C99,menu!A:A,menu!B:B)</f>
        <v>Chicken Nuggets</v>
      </c>
      <c r="G99" s="10" t="str">
        <f>_xlfn.XLOOKUP(C99,menu!A:A,menu!C:C)</f>
        <v>Starters</v>
      </c>
      <c r="H99" s="10">
        <f>_xlfn.XLOOKUP(C99,menu!A:A,menu!E:E)</f>
        <v>36</v>
      </c>
      <c r="I99" s="10">
        <f t="shared" si="1"/>
        <v>108</v>
      </c>
      <c r="K99" s="10"/>
      <c r="L99" s="5"/>
    </row>
    <row r="100" spans="1:12" x14ac:dyDescent="0.25">
      <c r="A100" s="5" t="s">
        <v>7160</v>
      </c>
      <c r="B100" s="5" t="s">
        <v>7159</v>
      </c>
      <c r="C100" s="5" t="s">
        <v>12</v>
      </c>
      <c r="D100" s="21">
        <v>1</v>
      </c>
      <c r="E100" s="12">
        <v>79</v>
      </c>
      <c r="F100" s="10" t="str">
        <f>_xlfn.XLOOKUP(C100,menu!A:A,menu!B:B)</f>
        <v>Veg Momos</v>
      </c>
      <c r="G100" s="10" t="str">
        <f>_xlfn.XLOOKUP(C100,menu!A:A,menu!C:C)</f>
        <v>Momos</v>
      </c>
      <c r="H100" s="10">
        <f>_xlfn.XLOOKUP(C100,menu!A:A,menu!E:E)</f>
        <v>24</v>
      </c>
      <c r="I100" s="10">
        <f t="shared" si="1"/>
        <v>24</v>
      </c>
      <c r="K100" s="10"/>
      <c r="L100" s="5"/>
    </row>
    <row r="101" spans="1:12" x14ac:dyDescent="0.25">
      <c r="A101" s="5" t="s">
        <v>7158</v>
      </c>
      <c r="B101" s="5" t="s">
        <v>7156</v>
      </c>
      <c r="C101" s="5" t="s">
        <v>52</v>
      </c>
      <c r="D101" s="21">
        <v>2</v>
      </c>
      <c r="E101" s="12">
        <v>198</v>
      </c>
      <c r="F101" s="10" t="str">
        <f>_xlfn.XLOOKUP(C101,menu!A:A,menu!B:B)</f>
        <v>French Fries</v>
      </c>
      <c r="G101" s="10" t="str">
        <f>_xlfn.XLOOKUP(C101,menu!A:A,menu!C:C)</f>
        <v>Starters</v>
      </c>
      <c r="H101" s="10">
        <f>_xlfn.XLOOKUP(C101,menu!A:A,menu!E:E)</f>
        <v>30</v>
      </c>
      <c r="I101" s="10">
        <f t="shared" si="1"/>
        <v>60</v>
      </c>
      <c r="K101" s="10"/>
      <c r="L101" s="5"/>
    </row>
    <row r="102" spans="1:12" x14ac:dyDescent="0.25">
      <c r="A102" s="5" t="s">
        <v>7157</v>
      </c>
      <c r="B102" s="5" t="s">
        <v>7156</v>
      </c>
      <c r="C102" s="5" t="s">
        <v>46</v>
      </c>
      <c r="D102" s="21">
        <v>1</v>
      </c>
      <c r="E102" s="12">
        <v>149</v>
      </c>
      <c r="F102" s="10" t="str">
        <f>_xlfn.XLOOKUP(C102,menu!A:A,menu!B:B)</f>
        <v>Fish Finger</v>
      </c>
      <c r="G102" s="10" t="str">
        <f>_xlfn.XLOOKUP(C102,menu!A:A,menu!C:C)</f>
        <v>Starters</v>
      </c>
      <c r="H102" s="10">
        <f>_xlfn.XLOOKUP(C102,menu!A:A,menu!E:E)</f>
        <v>45</v>
      </c>
      <c r="I102" s="10">
        <f t="shared" si="1"/>
        <v>45</v>
      </c>
      <c r="K102" s="10"/>
      <c r="L102" s="5"/>
    </row>
    <row r="103" spans="1:12" x14ac:dyDescent="0.25">
      <c r="A103" s="5" t="s">
        <v>7155</v>
      </c>
      <c r="B103" s="5" t="s">
        <v>7151</v>
      </c>
      <c r="C103" s="5" t="s">
        <v>17</v>
      </c>
      <c r="D103" s="21">
        <v>2</v>
      </c>
      <c r="E103" s="12">
        <v>178</v>
      </c>
      <c r="F103" s="10" t="str">
        <f>_xlfn.XLOOKUP(C103,menu!A:A,menu!B:B)</f>
        <v>Paneer Momos</v>
      </c>
      <c r="G103" s="10" t="str">
        <f>_xlfn.XLOOKUP(C103,menu!A:A,menu!C:C)</f>
        <v>Momos</v>
      </c>
      <c r="H103" s="10">
        <f>_xlfn.XLOOKUP(C103,menu!A:A,menu!E:E)</f>
        <v>27</v>
      </c>
      <c r="I103" s="10">
        <f t="shared" si="1"/>
        <v>54</v>
      </c>
      <c r="K103" s="10"/>
      <c r="L103" s="5"/>
    </row>
    <row r="104" spans="1:12" x14ac:dyDescent="0.25">
      <c r="A104" s="5" t="s">
        <v>7154</v>
      </c>
      <c r="B104" s="5" t="s">
        <v>7151</v>
      </c>
      <c r="C104" s="5" t="s">
        <v>63</v>
      </c>
      <c r="D104" s="21">
        <v>1</v>
      </c>
      <c r="E104" s="12">
        <v>79</v>
      </c>
      <c r="F104" s="10" t="str">
        <f>_xlfn.XLOOKUP(C104,menu!A:A,menu!B:B)</f>
        <v>Virgin Mojito</v>
      </c>
      <c r="G104" s="10" t="str">
        <f>_xlfn.XLOOKUP(C104,menu!A:A,menu!C:C)</f>
        <v>Beverages</v>
      </c>
      <c r="H104" s="10">
        <f>_xlfn.XLOOKUP(C104,menu!A:A,menu!E:E)</f>
        <v>24</v>
      </c>
      <c r="I104" s="10">
        <f t="shared" si="1"/>
        <v>24</v>
      </c>
      <c r="K104" s="10"/>
      <c r="L104" s="5"/>
    </row>
    <row r="105" spans="1:12" x14ac:dyDescent="0.25">
      <c r="A105" s="5" t="s">
        <v>7153</v>
      </c>
      <c r="B105" s="5" t="s">
        <v>7151</v>
      </c>
      <c r="C105" s="5" t="s">
        <v>54</v>
      </c>
      <c r="D105" s="21">
        <v>1</v>
      </c>
      <c r="E105" s="12">
        <v>139</v>
      </c>
      <c r="F105" s="10" t="str">
        <f>_xlfn.XLOOKUP(C105,menu!A:A,menu!B:B)</f>
        <v>Chicken Strips</v>
      </c>
      <c r="G105" s="10" t="str">
        <f>_xlfn.XLOOKUP(C105,menu!A:A,menu!C:C)</f>
        <v>Starters</v>
      </c>
      <c r="H105" s="10">
        <f>_xlfn.XLOOKUP(C105,menu!A:A,menu!E:E)</f>
        <v>42</v>
      </c>
      <c r="I105" s="10">
        <f t="shared" si="1"/>
        <v>42</v>
      </c>
      <c r="K105" s="10"/>
      <c r="L105" s="5"/>
    </row>
    <row r="106" spans="1:12" x14ac:dyDescent="0.25">
      <c r="A106" s="5" t="s">
        <v>7152</v>
      </c>
      <c r="B106" s="5" t="s">
        <v>7151</v>
      </c>
      <c r="C106" s="5" t="s">
        <v>40</v>
      </c>
      <c r="D106" s="21">
        <v>3</v>
      </c>
      <c r="E106" s="12">
        <v>297</v>
      </c>
      <c r="F106" s="10" t="str">
        <f>_xlfn.XLOOKUP(C106,menu!A:A,menu!B:B)</f>
        <v>Veg Nuggets</v>
      </c>
      <c r="G106" s="10" t="str">
        <f>_xlfn.XLOOKUP(C106,menu!A:A,menu!C:C)</f>
        <v>Starters</v>
      </c>
      <c r="H106" s="10">
        <f>_xlfn.XLOOKUP(C106,menu!A:A,menu!E:E)</f>
        <v>30</v>
      </c>
      <c r="I106" s="10">
        <f t="shared" si="1"/>
        <v>90</v>
      </c>
      <c r="K106" s="10"/>
      <c r="L106" s="5"/>
    </row>
    <row r="107" spans="1:12" x14ac:dyDescent="0.25">
      <c r="A107" s="5" t="s">
        <v>7150</v>
      </c>
      <c r="B107" s="5" t="s">
        <v>7147</v>
      </c>
      <c r="C107" s="5" t="s">
        <v>10</v>
      </c>
      <c r="D107" s="21">
        <v>1</v>
      </c>
      <c r="E107" s="12">
        <v>119</v>
      </c>
      <c r="F107" s="10" t="str">
        <f>_xlfn.XLOOKUP(C107,menu!A:A,menu!B:B)</f>
        <v>Chicken Sandwich</v>
      </c>
      <c r="G107" s="10" t="str">
        <f>_xlfn.XLOOKUP(C107,menu!A:A,menu!C:C)</f>
        <v>Sandwich</v>
      </c>
      <c r="H107" s="10">
        <f>_xlfn.XLOOKUP(C107,menu!A:A,menu!E:E)</f>
        <v>36</v>
      </c>
      <c r="I107" s="10">
        <f t="shared" si="1"/>
        <v>36</v>
      </c>
      <c r="K107" s="10"/>
      <c r="L107" s="5"/>
    </row>
    <row r="108" spans="1:12" x14ac:dyDescent="0.25">
      <c r="A108" s="5" t="s">
        <v>7149</v>
      </c>
      <c r="B108" s="5" t="s">
        <v>7147</v>
      </c>
      <c r="C108" s="5" t="s">
        <v>65</v>
      </c>
      <c r="D108" s="21">
        <v>2</v>
      </c>
      <c r="E108" s="12">
        <v>98</v>
      </c>
      <c r="F108" s="10" t="str">
        <f>_xlfn.XLOOKUP(C108,menu!A:A,menu!B:B)</f>
        <v>Lemon Juice</v>
      </c>
      <c r="G108" s="10" t="str">
        <f>_xlfn.XLOOKUP(C108,menu!A:A,menu!C:C)</f>
        <v>Beverages</v>
      </c>
      <c r="H108" s="10">
        <f>_xlfn.XLOOKUP(C108,menu!A:A,menu!E:E)</f>
        <v>15</v>
      </c>
      <c r="I108" s="10">
        <f t="shared" si="1"/>
        <v>30</v>
      </c>
      <c r="K108" s="10"/>
      <c r="L108" s="5"/>
    </row>
    <row r="109" spans="1:12" x14ac:dyDescent="0.25">
      <c r="A109" s="5" t="s">
        <v>7148</v>
      </c>
      <c r="B109" s="5" t="s">
        <v>7147</v>
      </c>
      <c r="C109" s="5" t="s">
        <v>59</v>
      </c>
      <c r="D109" s="21">
        <v>3</v>
      </c>
      <c r="E109" s="12">
        <v>237</v>
      </c>
      <c r="F109" s="10" t="str">
        <f>_xlfn.XLOOKUP(C109,menu!A:A,menu!B:B)</f>
        <v>Blue Curacao Mojito</v>
      </c>
      <c r="G109" s="10" t="str">
        <f>_xlfn.XLOOKUP(C109,menu!A:A,menu!C:C)</f>
        <v>Beverages</v>
      </c>
      <c r="H109" s="10">
        <f>_xlfn.XLOOKUP(C109,menu!A:A,menu!E:E)</f>
        <v>24</v>
      </c>
      <c r="I109" s="10">
        <f t="shared" si="1"/>
        <v>72</v>
      </c>
      <c r="K109" s="10"/>
      <c r="L109" s="5"/>
    </row>
    <row r="110" spans="1:12" x14ac:dyDescent="0.25">
      <c r="A110" s="5" t="s">
        <v>7146</v>
      </c>
      <c r="B110" s="5" t="s">
        <v>7145</v>
      </c>
      <c r="C110" s="5" t="s">
        <v>46</v>
      </c>
      <c r="D110" s="21">
        <v>1</v>
      </c>
      <c r="E110" s="12">
        <v>149</v>
      </c>
      <c r="F110" s="10" t="str">
        <f>_xlfn.XLOOKUP(C110,menu!A:A,menu!B:B)</f>
        <v>Fish Finger</v>
      </c>
      <c r="G110" s="10" t="str">
        <f>_xlfn.XLOOKUP(C110,menu!A:A,menu!C:C)</f>
        <v>Starters</v>
      </c>
      <c r="H110" s="10">
        <f>_xlfn.XLOOKUP(C110,menu!A:A,menu!E:E)</f>
        <v>45</v>
      </c>
      <c r="I110" s="10">
        <f t="shared" si="1"/>
        <v>45</v>
      </c>
      <c r="K110" s="10"/>
      <c r="L110" s="5"/>
    </row>
    <row r="111" spans="1:12" x14ac:dyDescent="0.25">
      <c r="A111" s="5" t="s">
        <v>7144</v>
      </c>
      <c r="B111" s="5" t="s">
        <v>7142</v>
      </c>
      <c r="C111" s="5" t="s">
        <v>56</v>
      </c>
      <c r="D111" s="21">
        <v>1</v>
      </c>
      <c r="E111" s="12">
        <v>79</v>
      </c>
      <c r="F111" s="10" t="str">
        <f>_xlfn.XLOOKUP(C111,menu!A:A,menu!B:B)</f>
        <v>Mint Mojito</v>
      </c>
      <c r="G111" s="10" t="str">
        <f>_xlfn.XLOOKUP(C111,menu!A:A,menu!C:C)</f>
        <v>Beverages</v>
      </c>
      <c r="H111" s="10">
        <f>_xlfn.XLOOKUP(C111,menu!A:A,menu!E:E)</f>
        <v>24</v>
      </c>
      <c r="I111" s="10">
        <f t="shared" si="1"/>
        <v>24</v>
      </c>
      <c r="K111" s="10"/>
      <c r="L111" s="5"/>
    </row>
    <row r="112" spans="1:12" x14ac:dyDescent="0.25">
      <c r="A112" s="5" t="s">
        <v>7143</v>
      </c>
      <c r="B112" s="5" t="s">
        <v>7142</v>
      </c>
      <c r="C112" s="5" t="s">
        <v>38</v>
      </c>
      <c r="D112" s="21">
        <v>1</v>
      </c>
      <c r="E112" s="12">
        <v>149</v>
      </c>
      <c r="F112" s="10" t="str">
        <f>_xlfn.XLOOKUP(C112,menu!A:A,menu!B:B)</f>
        <v>Chicken Wings</v>
      </c>
      <c r="G112" s="10" t="str">
        <f>_xlfn.XLOOKUP(C112,menu!A:A,menu!C:C)</f>
        <v>Starters</v>
      </c>
      <c r="H112" s="10">
        <f>_xlfn.XLOOKUP(C112,menu!A:A,menu!E:E)</f>
        <v>45</v>
      </c>
      <c r="I112" s="10">
        <f t="shared" si="1"/>
        <v>45</v>
      </c>
      <c r="K112" s="10"/>
      <c r="L112" s="5"/>
    </row>
    <row r="113" spans="1:12" x14ac:dyDescent="0.25">
      <c r="A113" s="5" t="s">
        <v>7141</v>
      </c>
      <c r="B113" s="5" t="s">
        <v>7138</v>
      </c>
      <c r="C113" s="5" t="s">
        <v>29</v>
      </c>
      <c r="D113" s="21">
        <v>4</v>
      </c>
      <c r="E113" s="12">
        <v>316</v>
      </c>
      <c r="F113" s="10" t="str">
        <f>_xlfn.XLOOKUP(C113,menu!A:A,menu!B:B)</f>
        <v>Paneer Roll</v>
      </c>
      <c r="G113" s="10" t="str">
        <f>_xlfn.XLOOKUP(C113,menu!A:A,menu!C:C)</f>
        <v>Rolls</v>
      </c>
      <c r="H113" s="10">
        <f>_xlfn.XLOOKUP(C113,menu!A:A,menu!E:E)</f>
        <v>24</v>
      </c>
      <c r="I113" s="10">
        <f t="shared" si="1"/>
        <v>96</v>
      </c>
      <c r="K113" s="10"/>
      <c r="L113" s="5"/>
    </row>
    <row r="114" spans="1:12" x14ac:dyDescent="0.25">
      <c r="A114" s="5" t="s">
        <v>7140</v>
      </c>
      <c r="B114" s="5" t="s">
        <v>7138</v>
      </c>
      <c r="C114" s="5" t="s">
        <v>40</v>
      </c>
      <c r="D114" s="21">
        <v>2</v>
      </c>
      <c r="E114" s="12">
        <v>198</v>
      </c>
      <c r="F114" s="10" t="str">
        <f>_xlfn.XLOOKUP(C114,menu!A:A,menu!B:B)</f>
        <v>Veg Nuggets</v>
      </c>
      <c r="G114" s="10" t="str">
        <f>_xlfn.XLOOKUP(C114,menu!A:A,menu!C:C)</f>
        <v>Starters</v>
      </c>
      <c r="H114" s="10">
        <f>_xlfn.XLOOKUP(C114,menu!A:A,menu!E:E)</f>
        <v>30</v>
      </c>
      <c r="I114" s="10">
        <f t="shared" si="1"/>
        <v>60</v>
      </c>
      <c r="K114" s="10"/>
      <c r="L114" s="5"/>
    </row>
    <row r="115" spans="1:12" x14ac:dyDescent="0.25">
      <c r="A115" s="5" t="s">
        <v>7139</v>
      </c>
      <c r="B115" s="5" t="s">
        <v>7138</v>
      </c>
      <c r="C115" s="5" t="s">
        <v>38</v>
      </c>
      <c r="D115" s="21">
        <v>1</v>
      </c>
      <c r="E115" s="12">
        <v>149</v>
      </c>
      <c r="F115" s="10" t="str">
        <f>_xlfn.XLOOKUP(C115,menu!A:A,menu!B:B)</f>
        <v>Chicken Wings</v>
      </c>
      <c r="G115" s="10" t="str">
        <f>_xlfn.XLOOKUP(C115,menu!A:A,menu!C:C)</f>
        <v>Starters</v>
      </c>
      <c r="H115" s="10">
        <f>_xlfn.XLOOKUP(C115,menu!A:A,menu!E:E)</f>
        <v>45</v>
      </c>
      <c r="I115" s="10">
        <f t="shared" si="1"/>
        <v>45</v>
      </c>
      <c r="K115" s="10"/>
      <c r="L115" s="5"/>
    </row>
    <row r="116" spans="1:12" x14ac:dyDescent="0.25">
      <c r="A116" s="5" t="s">
        <v>7137</v>
      </c>
      <c r="B116" s="5" t="s">
        <v>7134</v>
      </c>
      <c r="C116" s="5" t="s">
        <v>12</v>
      </c>
      <c r="D116" s="21">
        <v>2</v>
      </c>
      <c r="E116" s="12">
        <v>158</v>
      </c>
      <c r="F116" s="10" t="str">
        <f>_xlfn.XLOOKUP(C116,menu!A:A,menu!B:B)</f>
        <v>Veg Momos</v>
      </c>
      <c r="G116" s="10" t="str">
        <f>_xlfn.XLOOKUP(C116,menu!A:A,menu!C:C)</f>
        <v>Momos</v>
      </c>
      <c r="H116" s="10">
        <f>_xlfn.XLOOKUP(C116,menu!A:A,menu!E:E)</f>
        <v>24</v>
      </c>
      <c r="I116" s="10">
        <f t="shared" si="1"/>
        <v>48</v>
      </c>
      <c r="K116" s="10"/>
      <c r="L116" s="5"/>
    </row>
    <row r="117" spans="1:12" x14ac:dyDescent="0.25">
      <c r="A117" s="5" t="s">
        <v>7136</v>
      </c>
      <c r="B117" s="5" t="s">
        <v>7134</v>
      </c>
      <c r="C117" s="5" t="s">
        <v>63</v>
      </c>
      <c r="D117" s="21">
        <v>1</v>
      </c>
      <c r="E117" s="12">
        <v>79</v>
      </c>
      <c r="F117" s="10" t="str">
        <f>_xlfn.XLOOKUP(C117,menu!A:A,menu!B:B)</f>
        <v>Virgin Mojito</v>
      </c>
      <c r="G117" s="10" t="str">
        <f>_xlfn.XLOOKUP(C117,menu!A:A,menu!C:C)</f>
        <v>Beverages</v>
      </c>
      <c r="H117" s="10">
        <f>_xlfn.XLOOKUP(C117,menu!A:A,menu!E:E)</f>
        <v>24</v>
      </c>
      <c r="I117" s="10">
        <f t="shared" si="1"/>
        <v>24</v>
      </c>
      <c r="K117" s="10"/>
      <c r="L117" s="5"/>
    </row>
    <row r="118" spans="1:12" x14ac:dyDescent="0.25">
      <c r="A118" s="5" t="s">
        <v>7135</v>
      </c>
      <c r="B118" s="5" t="s">
        <v>7134</v>
      </c>
      <c r="C118" s="5" t="s">
        <v>65</v>
      </c>
      <c r="D118" s="21">
        <v>3</v>
      </c>
      <c r="E118" s="12">
        <v>147</v>
      </c>
      <c r="F118" s="10" t="str">
        <f>_xlfn.XLOOKUP(C118,menu!A:A,menu!B:B)</f>
        <v>Lemon Juice</v>
      </c>
      <c r="G118" s="10" t="str">
        <f>_xlfn.XLOOKUP(C118,menu!A:A,menu!C:C)</f>
        <v>Beverages</v>
      </c>
      <c r="H118" s="10">
        <f>_xlfn.XLOOKUP(C118,menu!A:A,menu!E:E)</f>
        <v>15</v>
      </c>
      <c r="I118" s="10">
        <f t="shared" si="1"/>
        <v>45</v>
      </c>
      <c r="K118" s="10"/>
      <c r="L118" s="5"/>
    </row>
    <row r="119" spans="1:12" x14ac:dyDescent="0.25">
      <c r="A119" s="5" t="s">
        <v>7133</v>
      </c>
      <c r="B119" s="5" t="s">
        <v>7129</v>
      </c>
      <c r="C119" s="5" t="s">
        <v>17</v>
      </c>
      <c r="D119" s="21">
        <v>3</v>
      </c>
      <c r="E119" s="12">
        <v>267</v>
      </c>
      <c r="F119" s="10" t="str">
        <f>_xlfn.XLOOKUP(C119,menu!A:A,menu!B:B)</f>
        <v>Paneer Momos</v>
      </c>
      <c r="G119" s="10" t="str">
        <f>_xlfn.XLOOKUP(C119,menu!A:A,menu!C:C)</f>
        <v>Momos</v>
      </c>
      <c r="H119" s="10">
        <f>_xlfn.XLOOKUP(C119,menu!A:A,menu!E:E)</f>
        <v>27</v>
      </c>
      <c r="I119" s="10">
        <f t="shared" si="1"/>
        <v>81</v>
      </c>
      <c r="K119" s="10"/>
      <c r="L119" s="5"/>
    </row>
    <row r="120" spans="1:12" x14ac:dyDescent="0.25">
      <c r="A120" s="5" t="s">
        <v>7132</v>
      </c>
      <c r="B120" s="5" t="s">
        <v>7129</v>
      </c>
      <c r="C120" s="5" t="s">
        <v>19</v>
      </c>
      <c r="D120" s="21">
        <v>1</v>
      </c>
      <c r="E120" s="12">
        <v>79</v>
      </c>
      <c r="F120" s="10" t="str">
        <f>_xlfn.XLOOKUP(C120,menu!A:A,menu!B:B)</f>
        <v>Veg Burger</v>
      </c>
      <c r="G120" s="10" t="str">
        <f>_xlfn.XLOOKUP(C120,menu!A:A,menu!C:C)</f>
        <v>Burger</v>
      </c>
      <c r="H120" s="10">
        <f>_xlfn.XLOOKUP(C120,menu!A:A,menu!E:E)</f>
        <v>24</v>
      </c>
      <c r="I120" s="10">
        <f t="shared" si="1"/>
        <v>24</v>
      </c>
      <c r="K120" s="10"/>
      <c r="L120" s="5"/>
    </row>
    <row r="121" spans="1:12" x14ac:dyDescent="0.25">
      <c r="A121" s="5" t="s">
        <v>7131</v>
      </c>
      <c r="B121" s="5" t="s">
        <v>7129</v>
      </c>
      <c r="C121" s="5" t="s">
        <v>65</v>
      </c>
      <c r="D121" s="21">
        <v>2</v>
      </c>
      <c r="E121" s="12">
        <v>98</v>
      </c>
      <c r="F121" s="10" t="str">
        <f>_xlfn.XLOOKUP(C121,menu!A:A,menu!B:B)</f>
        <v>Lemon Juice</v>
      </c>
      <c r="G121" s="10" t="str">
        <f>_xlfn.XLOOKUP(C121,menu!A:A,menu!C:C)</f>
        <v>Beverages</v>
      </c>
      <c r="H121" s="10">
        <f>_xlfn.XLOOKUP(C121,menu!A:A,menu!E:E)</f>
        <v>15</v>
      </c>
      <c r="I121" s="10">
        <f t="shared" si="1"/>
        <v>30</v>
      </c>
      <c r="K121" s="10"/>
      <c r="L121" s="5"/>
    </row>
    <row r="122" spans="1:12" x14ac:dyDescent="0.25">
      <c r="A122" s="5" t="s">
        <v>7130</v>
      </c>
      <c r="B122" s="5" t="s">
        <v>7129</v>
      </c>
      <c r="C122" s="5" t="s">
        <v>26</v>
      </c>
      <c r="D122" s="21">
        <v>2</v>
      </c>
      <c r="E122" s="12">
        <v>118</v>
      </c>
      <c r="F122" s="10" t="str">
        <f>_xlfn.XLOOKUP(C122,menu!A:A,menu!B:B)</f>
        <v>Veg Roll</v>
      </c>
      <c r="G122" s="10" t="str">
        <f>_xlfn.XLOOKUP(C122,menu!A:A,menu!C:C)</f>
        <v>Rolls</v>
      </c>
      <c r="H122" s="10">
        <f>_xlfn.XLOOKUP(C122,menu!A:A,menu!E:E)</f>
        <v>18</v>
      </c>
      <c r="I122" s="10">
        <f t="shared" si="1"/>
        <v>36</v>
      </c>
      <c r="K122" s="10"/>
      <c r="L122" s="5"/>
    </row>
    <row r="123" spans="1:12" x14ac:dyDescent="0.25">
      <c r="A123" s="5" t="s">
        <v>7128</v>
      </c>
      <c r="B123" s="5" t="s">
        <v>7126</v>
      </c>
      <c r="C123" s="5" t="s">
        <v>12</v>
      </c>
      <c r="D123" s="21">
        <v>1</v>
      </c>
      <c r="E123" s="12">
        <v>79</v>
      </c>
      <c r="F123" s="10" t="str">
        <f>_xlfn.XLOOKUP(C123,menu!A:A,menu!B:B)</f>
        <v>Veg Momos</v>
      </c>
      <c r="G123" s="10" t="str">
        <f>_xlfn.XLOOKUP(C123,menu!A:A,menu!C:C)</f>
        <v>Momos</v>
      </c>
      <c r="H123" s="10">
        <f>_xlfn.XLOOKUP(C123,menu!A:A,menu!E:E)</f>
        <v>24</v>
      </c>
      <c r="I123" s="10">
        <f t="shared" si="1"/>
        <v>24</v>
      </c>
      <c r="K123" s="10"/>
      <c r="L123" s="5"/>
    </row>
    <row r="124" spans="1:12" x14ac:dyDescent="0.25">
      <c r="A124" s="5" t="s">
        <v>7127</v>
      </c>
      <c r="B124" s="5" t="s">
        <v>7126</v>
      </c>
      <c r="C124" s="5" t="s">
        <v>38</v>
      </c>
      <c r="D124" s="21">
        <v>1</v>
      </c>
      <c r="E124" s="12">
        <v>149</v>
      </c>
      <c r="F124" s="10" t="str">
        <f>_xlfn.XLOOKUP(C124,menu!A:A,menu!B:B)</f>
        <v>Chicken Wings</v>
      </c>
      <c r="G124" s="10" t="str">
        <f>_xlfn.XLOOKUP(C124,menu!A:A,menu!C:C)</f>
        <v>Starters</v>
      </c>
      <c r="H124" s="10">
        <f>_xlfn.XLOOKUP(C124,menu!A:A,menu!E:E)</f>
        <v>45</v>
      </c>
      <c r="I124" s="10">
        <f t="shared" si="1"/>
        <v>45</v>
      </c>
      <c r="K124" s="10"/>
      <c r="L124" s="5"/>
    </row>
    <row r="125" spans="1:12" x14ac:dyDescent="0.25">
      <c r="A125" s="5" t="s">
        <v>7125</v>
      </c>
      <c r="B125" s="5" t="s">
        <v>7124</v>
      </c>
      <c r="C125" s="5" t="s">
        <v>15</v>
      </c>
      <c r="D125" s="21">
        <v>2</v>
      </c>
      <c r="E125" s="12">
        <v>198</v>
      </c>
      <c r="F125" s="10" t="str">
        <f>_xlfn.XLOOKUP(C125,menu!A:A,menu!B:B)</f>
        <v>Chicken Momos</v>
      </c>
      <c r="G125" s="10" t="str">
        <f>_xlfn.XLOOKUP(C125,menu!A:A,menu!C:C)</f>
        <v>Momos</v>
      </c>
      <c r="H125" s="10">
        <f>_xlfn.XLOOKUP(C125,menu!A:A,menu!E:E)</f>
        <v>30</v>
      </c>
      <c r="I125" s="10">
        <f t="shared" si="1"/>
        <v>60</v>
      </c>
      <c r="K125" s="10"/>
      <c r="L125" s="5"/>
    </row>
    <row r="126" spans="1:12" x14ac:dyDescent="0.25">
      <c r="A126" s="5" t="s">
        <v>7123</v>
      </c>
      <c r="B126" s="5" t="s">
        <v>7122</v>
      </c>
      <c r="C126" s="5" t="s">
        <v>24</v>
      </c>
      <c r="D126" s="21">
        <v>1</v>
      </c>
      <c r="E126" s="12">
        <v>89</v>
      </c>
      <c r="F126" s="10" t="str">
        <f>_xlfn.XLOOKUP(C126,menu!A:A,menu!B:B)</f>
        <v>Paneer Burger</v>
      </c>
      <c r="G126" s="10" t="str">
        <f>_xlfn.XLOOKUP(C126,menu!A:A,menu!C:C)</f>
        <v>Burger</v>
      </c>
      <c r="H126" s="10">
        <f>_xlfn.XLOOKUP(C126,menu!A:A,menu!E:E)</f>
        <v>27</v>
      </c>
      <c r="I126" s="10">
        <f t="shared" si="1"/>
        <v>27</v>
      </c>
      <c r="K126" s="10"/>
      <c r="L126" s="5"/>
    </row>
    <row r="127" spans="1:12" x14ac:dyDescent="0.25">
      <c r="A127" s="5" t="s">
        <v>7121</v>
      </c>
      <c r="B127" s="5" t="s">
        <v>7118</v>
      </c>
      <c r="C127" s="5" t="s">
        <v>52</v>
      </c>
      <c r="D127" s="21">
        <v>1</v>
      </c>
      <c r="E127" s="12">
        <v>99</v>
      </c>
      <c r="F127" s="10" t="str">
        <f>_xlfn.XLOOKUP(C127,menu!A:A,menu!B:B)</f>
        <v>French Fries</v>
      </c>
      <c r="G127" s="10" t="str">
        <f>_xlfn.XLOOKUP(C127,menu!A:A,menu!C:C)</f>
        <v>Starters</v>
      </c>
      <c r="H127" s="10">
        <f>_xlfn.XLOOKUP(C127,menu!A:A,menu!E:E)</f>
        <v>30</v>
      </c>
      <c r="I127" s="10">
        <f t="shared" si="1"/>
        <v>30</v>
      </c>
      <c r="K127" s="10"/>
      <c r="L127" s="5"/>
    </row>
    <row r="128" spans="1:12" x14ac:dyDescent="0.25">
      <c r="A128" s="5" t="s">
        <v>7120</v>
      </c>
      <c r="B128" s="5" t="s">
        <v>7118</v>
      </c>
      <c r="C128" s="5" t="s">
        <v>31</v>
      </c>
      <c r="D128" s="21">
        <v>1</v>
      </c>
      <c r="E128" s="12">
        <v>89</v>
      </c>
      <c r="F128" s="10" t="str">
        <f>_xlfn.XLOOKUP(C128,menu!A:A,menu!B:B)</f>
        <v>Chicken Roll</v>
      </c>
      <c r="G128" s="10" t="str">
        <f>_xlfn.XLOOKUP(C128,menu!A:A,menu!C:C)</f>
        <v>Rolls</v>
      </c>
      <c r="H128" s="10">
        <f>_xlfn.XLOOKUP(C128,menu!A:A,menu!E:E)</f>
        <v>27</v>
      </c>
      <c r="I128" s="10">
        <f t="shared" si="1"/>
        <v>27</v>
      </c>
      <c r="K128" s="10"/>
      <c r="L128" s="5"/>
    </row>
    <row r="129" spans="1:12" x14ac:dyDescent="0.25">
      <c r="A129" s="5" t="s">
        <v>7119</v>
      </c>
      <c r="B129" s="5" t="s">
        <v>7118</v>
      </c>
      <c r="C129" s="5" t="s">
        <v>48</v>
      </c>
      <c r="D129" s="21">
        <v>1</v>
      </c>
      <c r="E129" s="12">
        <v>159</v>
      </c>
      <c r="F129" s="10" t="str">
        <f>_xlfn.XLOOKUP(C129,menu!A:A,menu!B:B)</f>
        <v>Chicken Lollipop</v>
      </c>
      <c r="G129" s="10" t="str">
        <f>_xlfn.XLOOKUP(C129,menu!A:A,menu!C:C)</f>
        <v>Starters</v>
      </c>
      <c r="H129" s="10">
        <f>_xlfn.XLOOKUP(C129,menu!A:A,menu!E:E)</f>
        <v>48</v>
      </c>
      <c r="I129" s="10">
        <f t="shared" si="1"/>
        <v>48</v>
      </c>
      <c r="K129" s="10"/>
      <c r="L129" s="5"/>
    </row>
    <row r="130" spans="1:12" x14ac:dyDescent="0.25">
      <c r="A130" s="5" t="s">
        <v>7117</v>
      </c>
      <c r="B130" s="5" t="s">
        <v>7116</v>
      </c>
      <c r="C130" s="5" t="s">
        <v>38</v>
      </c>
      <c r="D130" s="21">
        <v>1</v>
      </c>
      <c r="E130" s="12">
        <v>149</v>
      </c>
      <c r="F130" s="10" t="str">
        <f>_xlfn.XLOOKUP(C130,menu!A:A,menu!B:B)</f>
        <v>Chicken Wings</v>
      </c>
      <c r="G130" s="10" t="str">
        <f>_xlfn.XLOOKUP(C130,menu!A:A,menu!C:C)</f>
        <v>Starters</v>
      </c>
      <c r="H130" s="10">
        <f>_xlfn.XLOOKUP(C130,menu!A:A,menu!E:E)</f>
        <v>45</v>
      </c>
      <c r="I130" s="10">
        <f t="shared" si="1"/>
        <v>45</v>
      </c>
      <c r="K130" s="10"/>
      <c r="L130" s="5"/>
    </row>
    <row r="131" spans="1:12" x14ac:dyDescent="0.25">
      <c r="A131" s="5" t="s">
        <v>7115</v>
      </c>
      <c r="B131" s="5" t="s">
        <v>7114</v>
      </c>
      <c r="C131" s="5" t="s">
        <v>19</v>
      </c>
      <c r="D131" s="21">
        <v>2</v>
      </c>
      <c r="E131" s="12">
        <v>158</v>
      </c>
      <c r="F131" s="10" t="str">
        <f>_xlfn.XLOOKUP(C131,menu!A:A,menu!B:B)</f>
        <v>Veg Burger</v>
      </c>
      <c r="G131" s="10" t="str">
        <f>_xlfn.XLOOKUP(C131,menu!A:A,menu!C:C)</f>
        <v>Burger</v>
      </c>
      <c r="H131" s="10">
        <f>_xlfn.XLOOKUP(C131,menu!A:A,menu!E:E)</f>
        <v>24</v>
      </c>
      <c r="I131" s="10">
        <f t="shared" ref="I131:I194" si="2">D131*H131</f>
        <v>48</v>
      </c>
      <c r="K131" s="10"/>
      <c r="L131" s="5"/>
    </row>
    <row r="132" spans="1:12" x14ac:dyDescent="0.25">
      <c r="A132" s="5" t="s">
        <v>7113</v>
      </c>
      <c r="B132" s="5" t="s">
        <v>7111</v>
      </c>
      <c r="C132" s="5" t="s">
        <v>40</v>
      </c>
      <c r="D132" s="21">
        <v>1</v>
      </c>
      <c r="E132" s="12">
        <v>99</v>
      </c>
      <c r="F132" s="10" t="str">
        <f>_xlfn.XLOOKUP(C132,menu!A:A,menu!B:B)</f>
        <v>Veg Nuggets</v>
      </c>
      <c r="G132" s="10" t="str">
        <f>_xlfn.XLOOKUP(C132,menu!A:A,menu!C:C)</f>
        <v>Starters</v>
      </c>
      <c r="H132" s="10">
        <f>_xlfn.XLOOKUP(C132,menu!A:A,menu!E:E)</f>
        <v>30</v>
      </c>
      <c r="I132" s="10">
        <f t="shared" si="2"/>
        <v>30</v>
      </c>
      <c r="K132" s="10"/>
      <c r="L132" s="5"/>
    </row>
    <row r="133" spans="1:12" x14ac:dyDescent="0.25">
      <c r="A133" s="5" t="s">
        <v>7112</v>
      </c>
      <c r="B133" s="5" t="s">
        <v>7111</v>
      </c>
      <c r="C133" s="5" t="s">
        <v>31</v>
      </c>
      <c r="D133" s="21">
        <v>2</v>
      </c>
      <c r="E133" s="12">
        <v>178</v>
      </c>
      <c r="F133" s="10" t="str">
        <f>_xlfn.XLOOKUP(C133,menu!A:A,menu!B:B)</f>
        <v>Chicken Roll</v>
      </c>
      <c r="G133" s="10" t="str">
        <f>_xlfn.XLOOKUP(C133,menu!A:A,menu!C:C)</f>
        <v>Rolls</v>
      </c>
      <c r="H133" s="10">
        <f>_xlfn.XLOOKUP(C133,menu!A:A,menu!E:E)</f>
        <v>27</v>
      </c>
      <c r="I133" s="10">
        <f t="shared" si="2"/>
        <v>54</v>
      </c>
      <c r="K133" s="10"/>
      <c r="L133" s="5"/>
    </row>
    <row r="134" spans="1:12" x14ac:dyDescent="0.25">
      <c r="A134" s="5" t="s">
        <v>7110</v>
      </c>
      <c r="B134" s="5" t="s">
        <v>7109</v>
      </c>
      <c r="C134" s="5" t="s">
        <v>22</v>
      </c>
      <c r="D134" s="21">
        <v>1</v>
      </c>
      <c r="E134" s="12">
        <v>99</v>
      </c>
      <c r="F134" s="10" t="str">
        <f>_xlfn.XLOOKUP(C134,menu!A:A,menu!B:B)</f>
        <v>Chicken Burger</v>
      </c>
      <c r="G134" s="10" t="str">
        <f>_xlfn.XLOOKUP(C134,menu!A:A,menu!C:C)</f>
        <v>Burger</v>
      </c>
      <c r="H134" s="10">
        <f>_xlfn.XLOOKUP(C134,menu!A:A,menu!E:E)</f>
        <v>30</v>
      </c>
      <c r="I134" s="10">
        <f t="shared" si="2"/>
        <v>30</v>
      </c>
      <c r="K134" s="10"/>
      <c r="L134" s="5"/>
    </row>
    <row r="135" spans="1:12" x14ac:dyDescent="0.25">
      <c r="A135" s="5" t="s">
        <v>7108</v>
      </c>
      <c r="B135" s="5" t="s">
        <v>7105</v>
      </c>
      <c r="C135" s="5" t="s">
        <v>44</v>
      </c>
      <c r="D135" s="21">
        <v>4</v>
      </c>
      <c r="E135" s="12">
        <v>636</v>
      </c>
      <c r="F135" s="10" t="str">
        <f>_xlfn.XLOOKUP(C135,menu!A:A,menu!B:B)</f>
        <v>Fried Chicken</v>
      </c>
      <c r="G135" s="10" t="str">
        <f>_xlfn.XLOOKUP(C135,menu!A:A,menu!C:C)</f>
        <v>Starters</v>
      </c>
      <c r="H135" s="10">
        <f>_xlfn.XLOOKUP(C135,menu!A:A,menu!E:E)</f>
        <v>48</v>
      </c>
      <c r="I135" s="10">
        <f t="shared" si="2"/>
        <v>192</v>
      </c>
      <c r="K135" s="10"/>
      <c r="L135" s="5"/>
    </row>
    <row r="136" spans="1:12" x14ac:dyDescent="0.25">
      <c r="A136" s="5" t="s">
        <v>7107</v>
      </c>
      <c r="B136" s="5" t="s">
        <v>7105</v>
      </c>
      <c r="C136" s="5" t="s">
        <v>8</v>
      </c>
      <c r="D136" s="21">
        <v>1</v>
      </c>
      <c r="E136" s="12">
        <v>99</v>
      </c>
      <c r="F136" s="10" t="str">
        <f>_xlfn.XLOOKUP(C136,menu!A:A,menu!B:B)</f>
        <v>Paneer Sandwich</v>
      </c>
      <c r="G136" s="10" t="str">
        <f>_xlfn.XLOOKUP(C136,menu!A:A,menu!C:C)</f>
        <v>Sandwich</v>
      </c>
      <c r="H136" s="10">
        <f>_xlfn.XLOOKUP(C136,menu!A:A,menu!E:E)</f>
        <v>30</v>
      </c>
      <c r="I136" s="10">
        <f t="shared" si="2"/>
        <v>30</v>
      </c>
      <c r="K136" s="10"/>
      <c r="L136" s="5"/>
    </row>
    <row r="137" spans="1:12" x14ac:dyDescent="0.25">
      <c r="A137" s="5" t="s">
        <v>7106</v>
      </c>
      <c r="B137" s="5" t="s">
        <v>7105</v>
      </c>
      <c r="C137" s="5" t="s">
        <v>38</v>
      </c>
      <c r="D137" s="21">
        <v>4</v>
      </c>
      <c r="E137" s="12">
        <v>596</v>
      </c>
      <c r="F137" s="10" t="str">
        <f>_xlfn.XLOOKUP(C137,menu!A:A,menu!B:B)</f>
        <v>Chicken Wings</v>
      </c>
      <c r="G137" s="10" t="str">
        <f>_xlfn.XLOOKUP(C137,menu!A:A,menu!C:C)</f>
        <v>Starters</v>
      </c>
      <c r="H137" s="10">
        <f>_xlfn.XLOOKUP(C137,menu!A:A,menu!E:E)</f>
        <v>45</v>
      </c>
      <c r="I137" s="10">
        <f t="shared" si="2"/>
        <v>180</v>
      </c>
      <c r="K137" s="10"/>
      <c r="L137" s="5"/>
    </row>
    <row r="138" spans="1:12" x14ac:dyDescent="0.25">
      <c r="A138" s="5" t="s">
        <v>7104</v>
      </c>
      <c r="B138" s="5" t="s">
        <v>7102</v>
      </c>
      <c r="C138" s="5" t="s">
        <v>12</v>
      </c>
      <c r="D138" s="21">
        <v>2</v>
      </c>
      <c r="E138" s="12">
        <v>158</v>
      </c>
      <c r="F138" s="10" t="str">
        <f>_xlfn.XLOOKUP(C138,menu!A:A,menu!B:B)</f>
        <v>Veg Momos</v>
      </c>
      <c r="G138" s="10" t="str">
        <f>_xlfn.XLOOKUP(C138,menu!A:A,menu!C:C)</f>
        <v>Momos</v>
      </c>
      <c r="H138" s="10">
        <f>_xlfn.XLOOKUP(C138,menu!A:A,menu!E:E)</f>
        <v>24</v>
      </c>
      <c r="I138" s="10">
        <f t="shared" si="2"/>
        <v>48</v>
      </c>
      <c r="K138" s="10"/>
      <c r="L138" s="5"/>
    </row>
    <row r="139" spans="1:12" x14ac:dyDescent="0.25">
      <c r="A139" s="5" t="s">
        <v>7103</v>
      </c>
      <c r="B139" s="5" t="s">
        <v>7102</v>
      </c>
      <c r="C139" s="5" t="s">
        <v>31</v>
      </c>
      <c r="D139" s="21">
        <v>2</v>
      </c>
      <c r="E139" s="12">
        <v>178</v>
      </c>
      <c r="F139" s="10" t="str">
        <f>_xlfn.XLOOKUP(C139,menu!A:A,menu!B:B)</f>
        <v>Chicken Roll</v>
      </c>
      <c r="G139" s="10" t="str">
        <f>_xlfn.XLOOKUP(C139,menu!A:A,menu!C:C)</f>
        <v>Rolls</v>
      </c>
      <c r="H139" s="10">
        <f>_xlfn.XLOOKUP(C139,menu!A:A,menu!E:E)</f>
        <v>27</v>
      </c>
      <c r="I139" s="10">
        <f t="shared" si="2"/>
        <v>54</v>
      </c>
      <c r="K139" s="10"/>
      <c r="L139" s="5"/>
    </row>
    <row r="140" spans="1:12" x14ac:dyDescent="0.25">
      <c r="A140" s="5" t="s">
        <v>7101</v>
      </c>
      <c r="B140" s="5" t="s">
        <v>7099</v>
      </c>
      <c r="C140" s="5" t="s">
        <v>44</v>
      </c>
      <c r="D140" s="21">
        <v>2</v>
      </c>
      <c r="E140" s="12">
        <v>318</v>
      </c>
      <c r="F140" s="10" t="str">
        <f>_xlfn.XLOOKUP(C140,menu!A:A,menu!B:B)</f>
        <v>Fried Chicken</v>
      </c>
      <c r="G140" s="10" t="str">
        <f>_xlfn.XLOOKUP(C140,menu!A:A,menu!C:C)</f>
        <v>Starters</v>
      </c>
      <c r="H140" s="10">
        <f>_xlfn.XLOOKUP(C140,menu!A:A,menu!E:E)</f>
        <v>48</v>
      </c>
      <c r="I140" s="10">
        <f t="shared" si="2"/>
        <v>96</v>
      </c>
      <c r="K140" s="10"/>
      <c r="L140" s="5"/>
    </row>
    <row r="141" spans="1:12" x14ac:dyDescent="0.25">
      <c r="A141" s="5" t="s">
        <v>7100</v>
      </c>
      <c r="B141" s="5" t="s">
        <v>7099</v>
      </c>
      <c r="C141" s="5" t="s">
        <v>65</v>
      </c>
      <c r="D141" s="21">
        <v>1</v>
      </c>
      <c r="E141" s="12">
        <v>49</v>
      </c>
      <c r="F141" s="10" t="str">
        <f>_xlfn.XLOOKUP(C141,menu!A:A,menu!B:B)</f>
        <v>Lemon Juice</v>
      </c>
      <c r="G141" s="10" t="str">
        <f>_xlfn.XLOOKUP(C141,menu!A:A,menu!C:C)</f>
        <v>Beverages</v>
      </c>
      <c r="H141" s="10">
        <f>_xlfn.XLOOKUP(C141,menu!A:A,menu!E:E)</f>
        <v>15</v>
      </c>
      <c r="I141" s="10">
        <f t="shared" si="2"/>
        <v>15</v>
      </c>
      <c r="K141" s="10"/>
      <c r="L141" s="5"/>
    </row>
    <row r="142" spans="1:12" x14ac:dyDescent="0.25">
      <c r="A142" s="5" t="s">
        <v>7098</v>
      </c>
      <c r="B142" s="5" t="s">
        <v>7095</v>
      </c>
      <c r="C142" s="5" t="s">
        <v>29</v>
      </c>
      <c r="D142" s="21">
        <v>1</v>
      </c>
      <c r="E142" s="12">
        <v>79</v>
      </c>
      <c r="F142" s="10" t="str">
        <f>_xlfn.XLOOKUP(C142,menu!A:A,menu!B:B)</f>
        <v>Paneer Roll</v>
      </c>
      <c r="G142" s="10" t="str">
        <f>_xlfn.XLOOKUP(C142,menu!A:A,menu!C:C)</f>
        <v>Rolls</v>
      </c>
      <c r="H142" s="10">
        <f>_xlfn.XLOOKUP(C142,menu!A:A,menu!E:E)</f>
        <v>24</v>
      </c>
      <c r="I142" s="10">
        <f t="shared" si="2"/>
        <v>24</v>
      </c>
      <c r="K142" s="10"/>
      <c r="L142" s="5"/>
    </row>
    <row r="143" spans="1:12" x14ac:dyDescent="0.25">
      <c r="A143" s="5" t="s">
        <v>7097</v>
      </c>
      <c r="B143" s="5" t="s">
        <v>7095</v>
      </c>
      <c r="C143" s="5" t="s">
        <v>35</v>
      </c>
      <c r="D143" s="21">
        <v>1</v>
      </c>
      <c r="E143" s="12">
        <v>119</v>
      </c>
      <c r="F143" s="10" t="str">
        <f>_xlfn.XLOOKUP(C143,menu!A:A,menu!B:B)</f>
        <v>Chicken Nuggets</v>
      </c>
      <c r="G143" s="10" t="str">
        <f>_xlfn.XLOOKUP(C143,menu!A:A,menu!C:C)</f>
        <v>Starters</v>
      </c>
      <c r="H143" s="10">
        <f>_xlfn.XLOOKUP(C143,menu!A:A,menu!E:E)</f>
        <v>36</v>
      </c>
      <c r="I143" s="10">
        <f t="shared" si="2"/>
        <v>36</v>
      </c>
      <c r="K143" s="10"/>
      <c r="L143" s="5"/>
    </row>
    <row r="144" spans="1:12" x14ac:dyDescent="0.25">
      <c r="A144" s="5" t="s">
        <v>7096</v>
      </c>
      <c r="B144" s="5" t="s">
        <v>7095</v>
      </c>
      <c r="C144" s="5" t="s">
        <v>22</v>
      </c>
      <c r="D144" s="21">
        <v>1</v>
      </c>
      <c r="E144" s="12">
        <v>99</v>
      </c>
      <c r="F144" s="10" t="str">
        <f>_xlfn.XLOOKUP(C144,menu!A:A,menu!B:B)</f>
        <v>Chicken Burger</v>
      </c>
      <c r="G144" s="10" t="str">
        <f>_xlfn.XLOOKUP(C144,menu!A:A,menu!C:C)</f>
        <v>Burger</v>
      </c>
      <c r="H144" s="10">
        <f>_xlfn.XLOOKUP(C144,menu!A:A,menu!E:E)</f>
        <v>30</v>
      </c>
      <c r="I144" s="10">
        <f t="shared" si="2"/>
        <v>30</v>
      </c>
      <c r="K144" s="10"/>
      <c r="L144" s="5"/>
    </row>
    <row r="145" spans="1:12" x14ac:dyDescent="0.25">
      <c r="A145" s="5" t="s">
        <v>7094</v>
      </c>
      <c r="B145" s="5" t="s">
        <v>7093</v>
      </c>
      <c r="C145" s="5" t="s">
        <v>31</v>
      </c>
      <c r="D145" s="21">
        <v>2</v>
      </c>
      <c r="E145" s="12">
        <v>178</v>
      </c>
      <c r="F145" s="10" t="str">
        <f>_xlfn.XLOOKUP(C145,menu!A:A,menu!B:B)</f>
        <v>Chicken Roll</v>
      </c>
      <c r="G145" s="10" t="str">
        <f>_xlfn.XLOOKUP(C145,menu!A:A,menu!C:C)</f>
        <v>Rolls</v>
      </c>
      <c r="H145" s="10">
        <f>_xlfn.XLOOKUP(C145,menu!A:A,menu!E:E)</f>
        <v>27</v>
      </c>
      <c r="I145" s="10">
        <f t="shared" si="2"/>
        <v>54</v>
      </c>
      <c r="K145" s="10"/>
      <c r="L145" s="5"/>
    </row>
    <row r="146" spans="1:12" x14ac:dyDescent="0.25">
      <c r="A146" s="5" t="s">
        <v>7092</v>
      </c>
      <c r="B146" s="5" t="s">
        <v>7089</v>
      </c>
      <c r="C146" s="5" t="s">
        <v>42</v>
      </c>
      <c r="D146" s="21">
        <v>1</v>
      </c>
      <c r="E146" s="12">
        <v>149</v>
      </c>
      <c r="F146" s="10" t="str">
        <f>_xlfn.XLOOKUP(C146,menu!A:A,menu!B:B)</f>
        <v>Chicken Popcorn</v>
      </c>
      <c r="G146" s="10" t="str">
        <f>_xlfn.XLOOKUP(C146,menu!A:A,menu!C:C)</f>
        <v>Starters</v>
      </c>
      <c r="H146" s="10">
        <f>_xlfn.XLOOKUP(C146,menu!A:A,menu!E:E)</f>
        <v>45</v>
      </c>
      <c r="I146" s="10">
        <f t="shared" si="2"/>
        <v>45</v>
      </c>
      <c r="K146" s="10"/>
      <c r="L146" s="5"/>
    </row>
    <row r="147" spans="1:12" x14ac:dyDescent="0.25">
      <c r="A147" s="5" t="s">
        <v>7091</v>
      </c>
      <c r="B147" s="5" t="s">
        <v>7089</v>
      </c>
      <c r="C147" s="5" t="s">
        <v>65</v>
      </c>
      <c r="D147" s="21">
        <v>4</v>
      </c>
      <c r="E147" s="12">
        <v>196</v>
      </c>
      <c r="F147" s="10" t="str">
        <f>_xlfn.XLOOKUP(C147,menu!A:A,menu!B:B)</f>
        <v>Lemon Juice</v>
      </c>
      <c r="G147" s="10" t="str">
        <f>_xlfn.XLOOKUP(C147,menu!A:A,menu!C:C)</f>
        <v>Beverages</v>
      </c>
      <c r="H147" s="10">
        <f>_xlfn.XLOOKUP(C147,menu!A:A,menu!E:E)</f>
        <v>15</v>
      </c>
      <c r="I147" s="10">
        <f t="shared" si="2"/>
        <v>60</v>
      </c>
      <c r="K147" s="10"/>
      <c r="L147" s="5"/>
    </row>
    <row r="148" spans="1:12" x14ac:dyDescent="0.25">
      <c r="A148" s="5" t="s">
        <v>7090</v>
      </c>
      <c r="B148" s="5" t="s">
        <v>7089</v>
      </c>
      <c r="C148" s="5" t="s">
        <v>38</v>
      </c>
      <c r="D148" s="21">
        <v>1</v>
      </c>
      <c r="E148" s="12">
        <v>149</v>
      </c>
      <c r="F148" s="10" t="str">
        <f>_xlfn.XLOOKUP(C148,menu!A:A,menu!B:B)</f>
        <v>Chicken Wings</v>
      </c>
      <c r="G148" s="10" t="str">
        <f>_xlfn.XLOOKUP(C148,menu!A:A,menu!C:C)</f>
        <v>Starters</v>
      </c>
      <c r="H148" s="10">
        <f>_xlfn.XLOOKUP(C148,menu!A:A,menu!E:E)</f>
        <v>45</v>
      </c>
      <c r="I148" s="10">
        <f t="shared" si="2"/>
        <v>45</v>
      </c>
      <c r="K148" s="10"/>
      <c r="L148" s="5"/>
    </row>
    <row r="149" spans="1:12" x14ac:dyDescent="0.25">
      <c r="A149" s="5" t="s">
        <v>7088</v>
      </c>
      <c r="B149" s="5" t="s">
        <v>7084</v>
      </c>
      <c r="C149" s="5" t="s">
        <v>44</v>
      </c>
      <c r="D149" s="21">
        <v>4</v>
      </c>
      <c r="E149" s="12">
        <v>636</v>
      </c>
      <c r="F149" s="10" t="str">
        <f>_xlfn.XLOOKUP(C149,menu!A:A,menu!B:B)</f>
        <v>Fried Chicken</v>
      </c>
      <c r="G149" s="10" t="str">
        <f>_xlfn.XLOOKUP(C149,menu!A:A,menu!C:C)</f>
        <v>Starters</v>
      </c>
      <c r="H149" s="10">
        <f>_xlfn.XLOOKUP(C149,menu!A:A,menu!E:E)</f>
        <v>48</v>
      </c>
      <c r="I149" s="10">
        <f t="shared" si="2"/>
        <v>192</v>
      </c>
      <c r="K149" s="10"/>
      <c r="L149" s="5"/>
    </row>
    <row r="150" spans="1:12" x14ac:dyDescent="0.25">
      <c r="A150" s="5" t="s">
        <v>7087</v>
      </c>
      <c r="B150" s="5" t="s">
        <v>7084</v>
      </c>
      <c r="C150" s="5" t="s">
        <v>22</v>
      </c>
      <c r="D150" s="21">
        <v>1</v>
      </c>
      <c r="E150" s="12">
        <v>99</v>
      </c>
      <c r="F150" s="10" t="str">
        <f>_xlfn.XLOOKUP(C150,menu!A:A,menu!B:B)</f>
        <v>Chicken Burger</v>
      </c>
      <c r="G150" s="10" t="str">
        <f>_xlfn.XLOOKUP(C150,menu!A:A,menu!C:C)</f>
        <v>Burger</v>
      </c>
      <c r="H150" s="10">
        <f>_xlfn.XLOOKUP(C150,menu!A:A,menu!E:E)</f>
        <v>30</v>
      </c>
      <c r="I150" s="10">
        <f t="shared" si="2"/>
        <v>30</v>
      </c>
      <c r="K150" s="10"/>
      <c r="L150" s="5"/>
    </row>
    <row r="151" spans="1:12" x14ac:dyDescent="0.25">
      <c r="A151" s="5" t="s">
        <v>7086</v>
      </c>
      <c r="B151" s="5" t="s">
        <v>7084</v>
      </c>
      <c r="C151" s="5" t="s">
        <v>59</v>
      </c>
      <c r="D151" s="21">
        <v>1</v>
      </c>
      <c r="E151" s="12">
        <v>79</v>
      </c>
      <c r="F151" s="10" t="str">
        <f>_xlfn.XLOOKUP(C151,menu!A:A,menu!B:B)</f>
        <v>Blue Curacao Mojito</v>
      </c>
      <c r="G151" s="10" t="str">
        <f>_xlfn.XLOOKUP(C151,menu!A:A,menu!C:C)</f>
        <v>Beverages</v>
      </c>
      <c r="H151" s="10">
        <f>_xlfn.XLOOKUP(C151,menu!A:A,menu!E:E)</f>
        <v>24</v>
      </c>
      <c r="I151" s="10">
        <f t="shared" si="2"/>
        <v>24</v>
      </c>
      <c r="K151" s="10"/>
      <c r="L151" s="5"/>
    </row>
    <row r="152" spans="1:12" x14ac:dyDescent="0.25">
      <c r="A152" s="5" t="s">
        <v>7085</v>
      </c>
      <c r="B152" s="5" t="s">
        <v>7084</v>
      </c>
      <c r="C152" s="5" t="s">
        <v>54</v>
      </c>
      <c r="D152" s="21">
        <v>1</v>
      </c>
      <c r="E152" s="12">
        <v>139</v>
      </c>
      <c r="F152" s="10" t="str">
        <f>_xlfn.XLOOKUP(C152,menu!A:A,menu!B:B)</f>
        <v>Chicken Strips</v>
      </c>
      <c r="G152" s="10" t="str">
        <f>_xlfn.XLOOKUP(C152,menu!A:A,menu!C:C)</f>
        <v>Starters</v>
      </c>
      <c r="H152" s="10">
        <f>_xlfn.XLOOKUP(C152,menu!A:A,menu!E:E)</f>
        <v>42</v>
      </c>
      <c r="I152" s="10">
        <f t="shared" si="2"/>
        <v>42</v>
      </c>
      <c r="K152" s="10"/>
      <c r="L152" s="5"/>
    </row>
    <row r="153" spans="1:12" x14ac:dyDescent="0.25">
      <c r="A153" s="5" t="s">
        <v>7083</v>
      </c>
      <c r="B153" s="5" t="s">
        <v>7082</v>
      </c>
      <c r="C153" s="5" t="s">
        <v>15</v>
      </c>
      <c r="D153" s="21">
        <v>2</v>
      </c>
      <c r="E153" s="12">
        <v>198</v>
      </c>
      <c r="F153" s="10" t="str">
        <f>_xlfn.XLOOKUP(C153,menu!A:A,menu!B:B)</f>
        <v>Chicken Momos</v>
      </c>
      <c r="G153" s="10" t="str">
        <f>_xlfn.XLOOKUP(C153,menu!A:A,menu!C:C)</f>
        <v>Momos</v>
      </c>
      <c r="H153" s="10">
        <f>_xlfn.XLOOKUP(C153,menu!A:A,menu!E:E)</f>
        <v>30</v>
      </c>
      <c r="I153" s="10">
        <f t="shared" si="2"/>
        <v>60</v>
      </c>
      <c r="K153" s="10"/>
      <c r="L153" s="5"/>
    </row>
    <row r="154" spans="1:12" x14ac:dyDescent="0.25">
      <c r="A154" s="5" t="s">
        <v>7081</v>
      </c>
      <c r="B154" s="5" t="s">
        <v>7079</v>
      </c>
      <c r="C154" s="5" t="s">
        <v>46</v>
      </c>
      <c r="D154" s="21">
        <v>2</v>
      </c>
      <c r="E154" s="12">
        <v>298</v>
      </c>
      <c r="F154" s="10" t="str">
        <f>_xlfn.XLOOKUP(C154,menu!A:A,menu!B:B)</f>
        <v>Fish Finger</v>
      </c>
      <c r="G154" s="10" t="str">
        <f>_xlfn.XLOOKUP(C154,menu!A:A,menu!C:C)</f>
        <v>Starters</v>
      </c>
      <c r="H154" s="10">
        <f>_xlfn.XLOOKUP(C154,menu!A:A,menu!E:E)</f>
        <v>45</v>
      </c>
      <c r="I154" s="10">
        <f t="shared" si="2"/>
        <v>90</v>
      </c>
      <c r="K154" s="10"/>
      <c r="L154" s="5"/>
    </row>
    <row r="155" spans="1:12" x14ac:dyDescent="0.25">
      <c r="A155" s="5" t="s">
        <v>7080</v>
      </c>
      <c r="B155" s="5" t="s">
        <v>7079</v>
      </c>
      <c r="C155" s="5" t="s">
        <v>42</v>
      </c>
      <c r="D155" s="21">
        <v>1</v>
      </c>
      <c r="E155" s="12">
        <v>149</v>
      </c>
      <c r="F155" s="10" t="str">
        <f>_xlfn.XLOOKUP(C155,menu!A:A,menu!B:B)</f>
        <v>Chicken Popcorn</v>
      </c>
      <c r="G155" s="10" t="str">
        <f>_xlfn.XLOOKUP(C155,menu!A:A,menu!C:C)</f>
        <v>Starters</v>
      </c>
      <c r="H155" s="10">
        <f>_xlfn.XLOOKUP(C155,menu!A:A,menu!E:E)</f>
        <v>45</v>
      </c>
      <c r="I155" s="10">
        <f t="shared" si="2"/>
        <v>45</v>
      </c>
      <c r="K155" s="10"/>
      <c r="L155" s="5"/>
    </row>
    <row r="156" spans="1:12" x14ac:dyDescent="0.25">
      <c r="A156" s="5" t="s">
        <v>7078</v>
      </c>
      <c r="B156" s="5" t="s">
        <v>7077</v>
      </c>
      <c r="C156" s="5" t="s">
        <v>35</v>
      </c>
      <c r="D156" s="21">
        <v>1</v>
      </c>
      <c r="E156" s="12">
        <v>119</v>
      </c>
      <c r="F156" s="10" t="str">
        <f>_xlfn.XLOOKUP(C156,menu!A:A,menu!B:B)</f>
        <v>Chicken Nuggets</v>
      </c>
      <c r="G156" s="10" t="str">
        <f>_xlfn.XLOOKUP(C156,menu!A:A,menu!C:C)</f>
        <v>Starters</v>
      </c>
      <c r="H156" s="10">
        <f>_xlfn.XLOOKUP(C156,menu!A:A,menu!E:E)</f>
        <v>36</v>
      </c>
      <c r="I156" s="10">
        <f t="shared" si="2"/>
        <v>36</v>
      </c>
      <c r="K156" s="10"/>
      <c r="L156" s="5"/>
    </row>
    <row r="157" spans="1:12" x14ac:dyDescent="0.25">
      <c r="A157" s="5" t="s">
        <v>7076</v>
      </c>
      <c r="B157" s="5" t="s">
        <v>7074</v>
      </c>
      <c r="C157" s="5" t="s">
        <v>63</v>
      </c>
      <c r="D157" s="21">
        <v>3</v>
      </c>
      <c r="E157" s="12">
        <v>237</v>
      </c>
      <c r="F157" s="10" t="str">
        <f>_xlfn.XLOOKUP(C157,menu!A:A,menu!B:B)</f>
        <v>Virgin Mojito</v>
      </c>
      <c r="G157" s="10" t="str">
        <f>_xlfn.XLOOKUP(C157,menu!A:A,menu!C:C)</f>
        <v>Beverages</v>
      </c>
      <c r="H157" s="10">
        <f>_xlfn.XLOOKUP(C157,menu!A:A,menu!E:E)</f>
        <v>24</v>
      </c>
      <c r="I157" s="10">
        <f t="shared" si="2"/>
        <v>72</v>
      </c>
      <c r="K157" s="10"/>
      <c r="L157" s="5"/>
    </row>
    <row r="158" spans="1:12" x14ac:dyDescent="0.25">
      <c r="A158" s="5" t="s">
        <v>7075</v>
      </c>
      <c r="B158" s="5" t="s">
        <v>7074</v>
      </c>
      <c r="C158" s="5" t="s">
        <v>35</v>
      </c>
      <c r="D158" s="21">
        <v>1</v>
      </c>
      <c r="E158" s="12">
        <v>119</v>
      </c>
      <c r="F158" s="10" t="str">
        <f>_xlfn.XLOOKUP(C158,menu!A:A,menu!B:B)</f>
        <v>Chicken Nuggets</v>
      </c>
      <c r="G158" s="10" t="str">
        <f>_xlfn.XLOOKUP(C158,menu!A:A,menu!C:C)</f>
        <v>Starters</v>
      </c>
      <c r="H158" s="10">
        <f>_xlfn.XLOOKUP(C158,menu!A:A,menu!E:E)</f>
        <v>36</v>
      </c>
      <c r="I158" s="10">
        <f t="shared" si="2"/>
        <v>36</v>
      </c>
      <c r="K158" s="10"/>
      <c r="L158" s="5"/>
    </row>
    <row r="159" spans="1:12" x14ac:dyDescent="0.25">
      <c r="A159" s="5" t="s">
        <v>7073</v>
      </c>
      <c r="B159" s="5" t="s">
        <v>7069</v>
      </c>
      <c r="C159" s="5" t="s">
        <v>52</v>
      </c>
      <c r="D159" s="21">
        <v>2</v>
      </c>
      <c r="E159" s="12">
        <v>198</v>
      </c>
      <c r="F159" s="10" t="str">
        <f>_xlfn.XLOOKUP(C159,menu!A:A,menu!B:B)</f>
        <v>French Fries</v>
      </c>
      <c r="G159" s="10" t="str">
        <f>_xlfn.XLOOKUP(C159,menu!A:A,menu!C:C)</f>
        <v>Starters</v>
      </c>
      <c r="H159" s="10">
        <f>_xlfn.XLOOKUP(C159,menu!A:A,menu!E:E)</f>
        <v>30</v>
      </c>
      <c r="I159" s="10">
        <f t="shared" si="2"/>
        <v>60</v>
      </c>
      <c r="K159" s="10"/>
      <c r="L159" s="5"/>
    </row>
    <row r="160" spans="1:12" x14ac:dyDescent="0.25">
      <c r="A160" s="5" t="s">
        <v>7072</v>
      </c>
      <c r="B160" s="5" t="s">
        <v>7069</v>
      </c>
      <c r="C160" s="5" t="s">
        <v>15</v>
      </c>
      <c r="D160" s="21">
        <v>1</v>
      </c>
      <c r="E160" s="12">
        <v>99</v>
      </c>
      <c r="F160" s="10" t="str">
        <f>_xlfn.XLOOKUP(C160,menu!A:A,menu!B:B)</f>
        <v>Chicken Momos</v>
      </c>
      <c r="G160" s="10" t="str">
        <f>_xlfn.XLOOKUP(C160,menu!A:A,menu!C:C)</f>
        <v>Momos</v>
      </c>
      <c r="H160" s="10">
        <f>_xlfn.XLOOKUP(C160,menu!A:A,menu!E:E)</f>
        <v>30</v>
      </c>
      <c r="I160" s="10">
        <f t="shared" si="2"/>
        <v>30</v>
      </c>
      <c r="K160" s="10"/>
      <c r="L160" s="5"/>
    </row>
    <row r="161" spans="1:12" x14ac:dyDescent="0.25">
      <c r="A161" s="5" t="s">
        <v>7071</v>
      </c>
      <c r="B161" s="5" t="s">
        <v>7069</v>
      </c>
      <c r="C161" s="5" t="s">
        <v>24</v>
      </c>
      <c r="D161" s="21">
        <v>3</v>
      </c>
      <c r="E161" s="12">
        <v>267</v>
      </c>
      <c r="F161" s="10" t="str">
        <f>_xlfn.XLOOKUP(C161,menu!A:A,menu!B:B)</f>
        <v>Paneer Burger</v>
      </c>
      <c r="G161" s="10" t="str">
        <f>_xlfn.XLOOKUP(C161,menu!A:A,menu!C:C)</f>
        <v>Burger</v>
      </c>
      <c r="H161" s="10">
        <f>_xlfn.XLOOKUP(C161,menu!A:A,menu!E:E)</f>
        <v>27</v>
      </c>
      <c r="I161" s="10">
        <f t="shared" si="2"/>
        <v>81</v>
      </c>
      <c r="K161" s="10"/>
      <c r="L161" s="5"/>
    </row>
    <row r="162" spans="1:12" x14ac:dyDescent="0.25">
      <c r="A162" s="5" t="s">
        <v>7070</v>
      </c>
      <c r="B162" s="5" t="s">
        <v>7069</v>
      </c>
      <c r="C162" s="5" t="s">
        <v>38</v>
      </c>
      <c r="D162" s="21">
        <v>3</v>
      </c>
      <c r="E162" s="12">
        <v>447</v>
      </c>
      <c r="F162" s="10" t="str">
        <f>_xlfn.XLOOKUP(C162,menu!A:A,menu!B:B)</f>
        <v>Chicken Wings</v>
      </c>
      <c r="G162" s="10" t="str">
        <f>_xlfn.XLOOKUP(C162,menu!A:A,menu!C:C)</f>
        <v>Starters</v>
      </c>
      <c r="H162" s="10">
        <f>_xlfn.XLOOKUP(C162,menu!A:A,menu!E:E)</f>
        <v>45</v>
      </c>
      <c r="I162" s="10">
        <f t="shared" si="2"/>
        <v>135</v>
      </c>
      <c r="K162" s="10"/>
      <c r="L162" s="5"/>
    </row>
    <row r="163" spans="1:12" x14ac:dyDescent="0.25">
      <c r="A163" s="5" t="s">
        <v>7068</v>
      </c>
      <c r="B163" s="5" t="s">
        <v>7066</v>
      </c>
      <c r="C163" s="5" t="s">
        <v>52</v>
      </c>
      <c r="D163" s="21">
        <v>2</v>
      </c>
      <c r="E163" s="12">
        <v>198</v>
      </c>
      <c r="F163" s="10" t="str">
        <f>_xlfn.XLOOKUP(C163,menu!A:A,menu!B:B)</f>
        <v>French Fries</v>
      </c>
      <c r="G163" s="10" t="str">
        <f>_xlfn.XLOOKUP(C163,menu!A:A,menu!C:C)</f>
        <v>Starters</v>
      </c>
      <c r="H163" s="10">
        <f>_xlfn.XLOOKUP(C163,menu!A:A,menu!E:E)</f>
        <v>30</v>
      </c>
      <c r="I163" s="10">
        <f t="shared" si="2"/>
        <v>60</v>
      </c>
      <c r="K163" s="10"/>
      <c r="L163" s="5"/>
    </row>
    <row r="164" spans="1:12" x14ac:dyDescent="0.25">
      <c r="A164" s="5" t="s">
        <v>7067</v>
      </c>
      <c r="B164" s="5" t="s">
        <v>7066</v>
      </c>
      <c r="C164" s="5" t="s">
        <v>38</v>
      </c>
      <c r="D164" s="21">
        <v>1</v>
      </c>
      <c r="E164" s="12">
        <v>149</v>
      </c>
      <c r="F164" s="10" t="str">
        <f>_xlfn.XLOOKUP(C164,menu!A:A,menu!B:B)</f>
        <v>Chicken Wings</v>
      </c>
      <c r="G164" s="10" t="str">
        <f>_xlfn.XLOOKUP(C164,menu!A:A,menu!C:C)</f>
        <v>Starters</v>
      </c>
      <c r="H164" s="10">
        <f>_xlfn.XLOOKUP(C164,menu!A:A,menu!E:E)</f>
        <v>45</v>
      </c>
      <c r="I164" s="10">
        <f t="shared" si="2"/>
        <v>45</v>
      </c>
      <c r="K164" s="10"/>
      <c r="L164" s="5"/>
    </row>
    <row r="165" spans="1:12" x14ac:dyDescent="0.25">
      <c r="A165" s="5" t="s">
        <v>7065</v>
      </c>
      <c r="B165" s="5" t="s">
        <v>7062</v>
      </c>
      <c r="C165" s="5" t="s">
        <v>46</v>
      </c>
      <c r="D165" s="21">
        <v>1</v>
      </c>
      <c r="E165" s="12">
        <v>149</v>
      </c>
      <c r="F165" s="10" t="str">
        <f>_xlfn.XLOOKUP(C165,menu!A:A,menu!B:B)</f>
        <v>Fish Finger</v>
      </c>
      <c r="G165" s="10" t="str">
        <f>_xlfn.XLOOKUP(C165,menu!A:A,menu!C:C)</f>
        <v>Starters</v>
      </c>
      <c r="H165" s="10">
        <f>_xlfn.XLOOKUP(C165,menu!A:A,menu!E:E)</f>
        <v>45</v>
      </c>
      <c r="I165" s="10">
        <f t="shared" si="2"/>
        <v>45</v>
      </c>
      <c r="K165" s="10"/>
      <c r="L165" s="5"/>
    </row>
    <row r="166" spans="1:12" x14ac:dyDescent="0.25">
      <c r="A166" s="5" t="s">
        <v>7064</v>
      </c>
      <c r="B166" s="5" t="s">
        <v>7062</v>
      </c>
      <c r="C166" s="5" t="s">
        <v>31</v>
      </c>
      <c r="D166" s="21">
        <v>2</v>
      </c>
      <c r="E166" s="12">
        <v>178</v>
      </c>
      <c r="F166" s="10" t="str">
        <f>_xlfn.XLOOKUP(C166,menu!A:A,menu!B:B)</f>
        <v>Chicken Roll</v>
      </c>
      <c r="G166" s="10" t="str">
        <f>_xlfn.XLOOKUP(C166,menu!A:A,menu!C:C)</f>
        <v>Rolls</v>
      </c>
      <c r="H166" s="10">
        <f>_xlfn.XLOOKUP(C166,menu!A:A,menu!E:E)</f>
        <v>27</v>
      </c>
      <c r="I166" s="10">
        <f t="shared" si="2"/>
        <v>54</v>
      </c>
      <c r="K166" s="10"/>
      <c r="L166" s="5"/>
    </row>
    <row r="167" spans="1:12" x14ac:dyDescent="0.25">
      <c r="A167" s="5" t="s">
        <v>7063</v>
      </c>
      <c r="B167" s="5" t="s">
        <v>7062</v>
      </c>
      <c r="C167" s="5" t="s">
        <v>24</v>
      </c>
      <c r="D167" s="21">
        <v>5</v>
      </c>
      <c r="E167" s="12">
        <v>445</v>
      </c>
      <c r="F167" s="10" t="str">
        <f>_xlfn.XLOOKUP(C167,menu!A:A,menu!B:B)</f>
        <v>Paneer Burger</v>
      </c>
      <c r="G167" s="10" t="str">
        <f>_xlfn.XLOOKUP(C167,menu!A:A,menu!C:C)</f>
        <v>Burger</v>
      </c>
      <c r="H167" s="10">
        <f>_xlfn.XLOOKUP(C167,menu!A:A,menu!E:E)</f>
        <v>27</v>
      </c>
      <c r="I167" s="10">
        <f t="shared" si="2"/>
        <v>135</v>
      </c>
      <c r="K167" s="10"/>
      <c r="L167" s="5"/>
    </row>
    <row r="168" spans="1:12" x14ac:dyDescent="0.25">
      <c r="A168" s="5" t="s">
        <v>7061</v>
      </c>
      <c r="B168" s="5" t="s">
        <v>7057</v>
      </c>
      <c r="C168" s="5" t="s">
        <v>5</v>
      </c>
      <c r="D168" s="21">
        <v>3</v>
      </c>
      <c r="E168" s="12">
        <v>237</v>
      </c>
      <c r="F168" s="10" t="str">
        <f>_xlfn.XLOOKUP(C168,menu!A:A,menu!B:B)</f>
        <v>Veg Sandwich</v>
      </c>
      <c r="G168" s="10" t="str">
        <f>_xlfn.XLOOKUP(C168,menu!A:A,menu!C:C)</f>
        <v>Sandwich</v>
      </c>
      <c r="H168" s="10">
        <f>_xlfn.XLOOKUP(C168,menu!A:A,menu!E:E)</f>
        <v>24</v>
      </c>
      <c r="I168" s="10">
        <f t="shared" si="2"/>
        <v>72</v>
      </c>
      <c r="K168" s="10"/>
      <c r="L168" s="5"/>
    </row>
    <row r="169" spans="1:12" x14ac:dyDescent="0.25">
      <c r="A169" s="5" t="s">
        <v>7060</v>
      </c>
      <c r="B169" s="5" t="s">
        <v>7057</v>
      </c>
      <c r="C169" s="5" t="s">
        <v>44</v>
      </c>
      <c r="D169" s="21">
        <v>1</v>
      </c>
      <c r="E169" s="12">
        <v>159</v>
      </c>
      <c r="F169" s="10" t="str">
        <f>_xlfn.XLOOKUP(C169,menu!A:A,menu!B:B)</f>
        <v>Fried Chicken</v>
      </c>
      <c r="G169" s="10" t="str">
        <f>_xlfn.XLOOKUP(C169,menu!A:A,menu!C:C)</f>
        <v>Starters</v>
      </c>
      <c r="H169" s="10">
        <f>_xlfn.XLOOKUP(C169,menu!A:A,menu!E:E)</f>
        <v>48</v>
      </c>
      <c r="I169" s="10">
        <f t="shared" si="2"/>
        <v>48</v>
      </c>
      <c r="K169" s="10"/>
      <c r="L169" s="5"/>
    </row>
    <row r="170" spans="1:12" x14ac:dyDescent="0.25">
      <c r="A170" s="5" t="s">
        <v>7059</v>
      </c>
      <c r="B170" s="5" t="s">
        <v>7057</v>
      </c>
      <c r="C170" s="5" t="s">
        <v>42</v>
      </c>
      <c r="D170" s="21">
        <v>5</v>
      </c>
      <c r="E170" s="12">
        <v>745</v>
      </c>
      <c r="F170" s="10" t="str">
        <f>_xlfn.XLOOKUP(C170,menu!A:A,menu!B:B)</f>
        <v>Chicken Popcorn</v>
      </c>
      <c r="G170" s="10" t="str">
        <f>_xlfn.XLOOKUP(C170,menu!A:A,menu!C:C)</f>
        <v>Starters</v>
      </c>
      <c r="H170" s="10">
        <f>_xlfn.XLOOKUP(C170,menu!A:A,menu!E:E)</f>
        <v>45</v>
      </c>
      <c r="I170" s="10">
        <f t="shared" si="2"/>
        <v>225</v>
      </c>
      <c r="K170" s="10"/>
      <c r="L170" s="5"/>
    </row>
    <row r="171" spans="1:12" x14ac:dyDescent="0.25">
      <c r="A171" s="5" t="s">
        <v>7058</v>
      </c>
      <c r="B171" s="5" t="s">
        <v>7057</v>
      </c>
      <c r="C171" s="5" t="s">
        <v>22</v>
      </c>
      <c r="D171" s="21">
        <v>2</v>
      </c>
      <c r="E171" s="12">
        <v>198</v>
      </c>
      <c r="F171" s="10" t="str">
        <f>_xlfn.XLOOKUP(C171,menu!A:A,menu!B:B)</f>
        <v>Chicken Burger</v>
      </c>
      <c r="G171" s="10" t="str">
        <f>_xlfn.XLOOKUP(C171,menu!A:A,menu!C:C)</f>
        <v>Burger</v>
      </c>
      <c r="H171" s="10">
        <f>_xlfn.XLOOKUP(C171,menu!A:A,menu!E:E)</f>
        <v>30</v>
      </c>
      <c r="I171" s="10">
        <f t="shared" si="2"/>
        <v>60</v>
      </c>
      <c r="K171" s="10"/>
      <c r="L171" s="5"/>
    </row>
    <row r="172" spans="1:12" x14ac:dyDescent="0.25">
      <c r="A172" s="5" t="s">
        <v>7056</v>
      </c>
      <c r="B172" s="5" t="s">
        <v>7054</v>
      </c>
      <c r="C172" s="5" t="s">
        <v>12</v>
      </c>
      <c r="D172" s="21">
        <v>2</v>
      </c>
      <c r="E172" s="12">
        <v>158</v>
      </c>
      <c r="F172" s="10" t="str">
        <f>_xlfn.XLOOKUP(C172,menu!A:A,menu!B:B)</f>
        <v>Veg Momos</v>
      </c>
      <c r="G172" s="10" t="str">
        <f>_xlfn.XLOOKUP(C172,menu!A:A,menu!C:C)</f>
        <v>Momos</v>
      </c>
      <c r="H172" s="10">
        <f>_xlfn.XLOOKUP(C172,menu!A:A,menu!E:E)</f>
        <v>24</v>
      </c>
      <c r="I172" s="10">
        <f t="shared" si="2"/>
        <v>48</v>
      </c>
      <c r="K172" s="10"/>
      <c r="L172" s="5"/>
    </row>
    <row r="173" spans="1:12" x14ac:dyDescent="0.25">
      <c r="A173" s="5" t="s">
        <v>7055</v>
      </c>
      <c r="B173" s="5" t="s">
        <v>7054</v>
      </c>
      <c r="C173" s="5" t="s">
        <v>38</v>
      </c>
      <c r="D173" s="21">
        <v>3</v>
      </c>
      <c r="E173" s="12">
        <v>447</v>
      </c>
      <c r="F173" s="10" t="str">
        <f>_xlfn.XLOOKUP(C173,menu!A:A,menu!B:B)</f>
        <v>Chicken Wings</v>
      </c>
      <c r="G173" s="10" t="str">
        <f>_xlfn.XLOOKUP(C173,menu!A:A,menu!C:C)</f>
        <v>Starters</v>
      </c>
      <c r="H173" s="10">
        <f>_xlfn.XLOOKUP(C173,menu!A:A,menu!E:E)</f>
        <v>45</v>
      </c>
      <c r="I173" s="10">
        <f t="shared" si="2"/>
        <v>135</v>
      </c>
      <c r="K173" s="10"/>
      <c r="L173" s="5"/>
    </row>
    <row r="174" spans="1:12" x14ac:dyDescent="0.25">
      <c r="A174" s="5" t="s">
        <v>7053</v>
      </c>
      <c r="B174" s="5" t="s">
        <v>7050</v>
      </c>
      <c r="C174" s="5" t="s">
        <v>54</v>
      </c>
      <c r="D174" s="21">
        <v>4</v>
      </c>
      <c r="E174" s="12">
        <v>556</v>
      </c>
      <c r="F174" s="10" t="str">
        <f>_xlfn.XLOOKUP(C174,menu!A:A,menu!B:B)</f>
        <v>Chicken Strips</v>
      </c>
      <c r="G174" s="10" t="str">
        <f>_xlfn.XLOOKUP(C174,menu!A:A,menu!C:C)</f>
        <v>Starters</v>
      </c>
      <c r="H174" s="10">
        <f>_xlfn.XLOOKUP(C174,menu!A:A,menu!E:E)</f>
        <v>42</v>
      </c>
      <c r="I174" s="10">
        <f t="shared" si="2"/>
        <v>168</v>
      </c>
      <c r="K174" s="10"/>
      <c r="L174" s="5"/>
    </row>
    <row r="175" spans="1:12" x14ac:dyDescent="0.25">
      <c r="A175" s="5" t="s">
        <v>7052</v>
      </c>
      <c r="B175" s="5" t="s">
        <v>7050</v>
      </c>
      <c r="C175" s="5" t="s">
        <v>22</v>
      </c>
      <c r="D175" s="21">
        <v>1</v>
      </c>
      <c r="E175" s="12">
        <v>99</v>
      </c>
      <c r="F175" s="10" t="str">
        <f>_xlfn.XLOOKUP(C175,menu!A:A,menu!B:B)</f>
        <v>Chicken Burger</v>
      </c>
      <c r="G175" s="10" t="str">
        <f>_xlfn.XLOOKUP(C175,menu!A:A,menu!C:C)</f>
        <v>Burger</v>
      </c>
      <c r="H175" s="10">
        <f>_xlfn.XLOOKUP(C175,menu!A:A,menu!E:E)</f>
        <v>30</v>
      </c>
      <c r="I175" s="10">
        <f t="shared" si="2"/>
        <v>30</v>
      </c>
      <c r="K175" s="10"/>
      <c r="L175" s="5"/>
    </row>
    <row r="176" spans="1:12" x14ac:dyDescent="0.25">
      <c r="A176" s="5" t="s">
        <v>7051</v>
      </c>
      <c r="B176" s="5" t="s">
        <v>7050</v>
      </c>
      <c r="C176" s="5" t="s">
        <v>48</v>
      </c>
      <c r="D176" s="21">
        <v>1</v>
      </c>
      <c r="E176" s="12">
        <v>159</v>
      </c>
      <c r="F176" s="10" t="str">
        <f>_xlfn.XLOOKUP(C176,menu!A:A,menu!B:B)</f>
        <v>Chicken Lollipop</v>
      </c>
      <c r="G176" s="10" t="str">
        <f>_xlfn.XLOOKUP(C176,menu!A:A,menu!C:C)</f>
        <v>Starters</v>
      </c>
      <c r="H176" s="10">
        <f>_xlfn.XLOOKUP(C176,menu!A:A,menu!E:E)</f>
        <v>48</v>
      </c>
      <c r="I176" s="10">
        <f t="shared" si="2"/>
        <v>48</v>
      </c>
      <c r="K176" s="10"/>
      <c r="L176" s="5"/>
    </row>
    <row r="177" spans="1:12" x14ac:dyDescent="0.25">
      <c r="A177" s="5" t="s">
        <v>7049</v>
      </c>
      <c r="B177" s="5" t="s">
        <v>7046</v>
      </c>
      <c r="C177" s="5" t="s">
        <v>22</v>
      </c>
      <c r="D177" s="21">
        <v>1</v>
      </c>
      <c r="E177" s="12">
        <v>99</v>
      </c>
      <c r="F177" s="10" t="str">
        <f>_xlfn.XLOOKUP(C177,menu!A:A,menu!B:B)</f>
        <v>Chicken Burger</v>
      </c>
      <c r="G177" s="10" t="str">
        <f>_xlfn.XLOOKUP(C177,menu!A:A,menu!C:C)</f>
        <v>Burger</v>
      </c>
      <c r="H177" s="10">
        <f>_xlfn.XLOOKUP(C177,menu!A:A,menu!E:E)</f>
        <v>30</v>
      </c>
      <c r="I177" s="10">
        <f t="shared" si="2"/>
        <v>30</v>
      </c>
      <c r="K177" s="10"/>
      <c r="L177" s="5"/>
    </row>
    <row r="178" spans="1:12" x14ac:dyDescent="0.25">
      <c r="A178" s="5" t="s">
        <v>7048</v>
      </c>
      <c r="B178" s="5" t="s">
        <v>7046</v>
      </c>
      <c r="C178" s="5" t="s">
        <v>65</v>
      </c>
      <c r="D178" s="21">
        <v>1</v>
      </c>
      <c r="E178" s="12">
        <v>49</v>
      </c>
      <c r="F178" s="10" t="str">
        <f>_xlfn.XLOOKUP(C178,menu!A:A,menu!B:B)</f>
        <v>Lemon Juice</v>
      </c>
      <c r="G178" s="10" t="str">
        <f>_xlfn.XLOOKUP(C178,menu!A:A,menu!C:C)</f>
        <v>Beverages</v>
      </c>
      <c r="H178" s="10">
        <f>_xlfn.XLOOKUP(C178,menu!A:A,menu!E:E)</f>
        <v>15</v>
      </c>
      <c r="I178" s="10">
        <f t="shared" si="2"/>
        <v>15</v>
      </c>
      <c r="K178" s="10"/>
      <c r="L178" s="5"/>
    </row>
    <row r="179" spans="1:12" x14ac:dyDescent="0.25">
      <c r="A179" s="5" t="s">
        <v>7047</v>
      </c>
      <c r="B179" s="5" t="s">
        <v>7046</v>
      </c>
      <c r="C179" s="5" t="s">
        <v>33</v>
      </c>
      <c r="D179" s="21">
        <v>2</v>
      </c>
      <c r="E179" s="12">
        <v>138</v>
      </c>
      <c r="F179" s="10" t="str">
        <f>_xlfn.XLOOKUP(C179,menu!A:A,menu!B:B)</f>
        <v>Spring Roll</v>
      </c>
      <c r="G179" s="10" t="str">
        <f>_xlfn.XLOOKUP(C179,menu!A:A,menu!C:C)</f>
        <v>Rolls</v>
      </c>
      <c r="H179" s="10">
        <f>_xlfn.XLOOKUP(C179,menu!A:A,menu!E:E)</f>
        <v>21</v>
      </c>
      <c r="I179" s="10">
        <f t="shared" si="2"/>
        <v>42</v>
      </c>
      <c r="K179" s="10"/>
      <c r="L179" s="5"/>
    </row>
    <row r="180" spans="1:12" x14ac:dyDescent="0.25">
      <c r="A180" s="5" t="s">
        <v>7045</v>
      </c>
      <c r="B180" s="5" t="s">
        <v>7044</v>
      </c>
      <c r="C180" s="5" t="s">
        <v>54</v>
      </c>
      <c r="D180" s="21">
        <v>3</v>
      </c>
      <c r="E180" s="12">
        <v>417</v>
      </c>
      <c r="F180" s="10" t="str">
        <f>_xlfn.XLOOKUP(C180,menu!A:A,menu!B:B)</f>
        <v>Chicken Strips</v>
      </c>
      <c r="G180" s="10" t="str">
        <f>_xlfn.XLOOKUP(C180,menu!A:A,menu!C:C)</f>
        <v>Starters</v>
      </c>
      <c r="H180" s="10">
        <f>_xlfn.XLOOKUP(C180,menu!A:A,menu!E:E)</f>
        <v>42</v>
      </c>
      <c r="I180" s="10">
        <f t="shared" si="2"/>
        <v>126</v>
      </c>
      <c r="K180" s="10"/>
      <c r="L180" s="5"/>
    </row>
    <row r="181" spans="1:12" x14ac:dyDescent="0.25">
      <c r="A181" s="5" t="s">
        <v>7043</v>
      </c>
      <c r="B181" s="5" t="s">
        <v>7041</v>
      </c>
      <c r="C181" s="5" t="s">
        <v>19</v>
      </c>
      <c r="D181" s="21">
        <v>1</v>
      </c>
      <c r="E181" s="12">
        <v>79</v>
      </c>
      <c r="F181" s="10" t="str">
        <f>_xlfn.XLOOKUP(C181,menu!A:A,menu!B:B)</f>
        <v>Veg Burger</v>
      </c>
      <c r="G181" s="10" t="str">
        <f>_xlfn.XLOOKUP(C181,menu!A:A,menu!C:C)</f>
        <v>Burger</v>
      </c>
      <c r="H181" s="10">
        <f>_xlfn.XLOOKUP(C181,menu!A:A,menu!E:E)</f>
        <v>24</v>
      </c>
      <c r="I181" s="10">
        <f t="shared" si="2"/>
        <v>24</v>
      </c>
      <c r="K181" s="10"/>
      <c r="L181" s="5"/>
    </row>
    <row r="182" spans="1:12" x14ac:dyDescent="0.25">
      <c r="A182" s="5" t="s">
        <v>7042</v>
      </c>
      <c r="B182" s="5" t="s">
        <v>7041</v>
      </c>
      <c r="C182" s="5" t="s">
        <v>54</v>
      </c>
      <c r="D182" s="21">
        <v>4</v>
      </c>
      <c r="E182" s="12">
        <v>556</v>
      </c>
      <c r="F182" s="10" t="str">
        <f>_xlfn.XLOOKUP(C182,menu!A:A,menu!B:B)</f>
        <v>Chicken Strips</v>
      </c>
      <c r="G182" s="10" t="str">
        <f>_xlfn.XLOOKUP(C182,menu!A:A,menu!C:C)</f>
        <v>Starters</v>
      </c>
      <c r="H182" s="10">
        <f>_xlfn.XLOOKUP(C182,menu!A:A,menu!E:E)</f>
        <v>42</v>
      </c>
      <c r="I182" s="10">
        <f t="shared" si="2"/>
        <v>168</v>
      </c>
      <c r="K182" s="10"/>
      <c r="L182" s="5"/>
    </row>
    <row r="183" spans="1:12" x14ac:dyDescent="0.25">
      <c r="A183" s="5" t="s">
        <v>7040</v>
      </c>
      <c r="B183" s="5" t="s">
        <v>7036</v>
      </c>
      <c r="C183" s="5" t="s">
        <v>24</v>
      </c>
      <c r="D183" s="21">
        <v>1</v>
      </c>
      <c r="E183" s="12">
        <v>89</v>
      </c>
      <c r="F183" s="10" t="str">
        <f>_xlfn.XLOOKUP(C183,menu!A:A,menu!B:B)</f>
        <v>Paneer Burger</v>
      </c>
      <c r="G183" s="10" t="str">
        <f>_xlfn.XLOOKUP(C183,menu!A:A,menu!C:C)</f>
        <v>Burger</v>
      </c>
      <c r="H183" s="10">
        <f>_xlfn.XLOOKUP(C183,menu!A:A,menu!E:E)</f>
        <v>27</v>
      </c>
      <c r="I183" s="10">
        <f t="shared" si="2"/>
        <v>27</v>
      </c>
      <c r="K183" s="10"/>
      <c r="L183" s="5"/>
    </row>
    <row r="184" spans="1:12" x14ac:dyDescent="0.25">
      <c r="A184" s="5" t="s">
        <v>7039</v>
      </c>
      <c r="B184" s="5" t="s">
        <v>7036</v>
      </c>
      <c r="C184" s="5" t="s">
        <v>54</v>
      </c>
      <c r="D184" s="21">
        <v>3</v>
      </c>
      <c r="E184" s="12">
        <v>417</v>
      </c>
      <c r="F184" s="10" t="str">
        <f>_xlfn.XLOOKUP(C184,menu!A:A,menu!B:B)</f>
        <v>Chicken Strips</v>
      </c>
      <c r="G184" s="10" t="str">
        <f>_xlfn.XLOOKUP(C184,menu!A:A,menu!C:C)</f>
        <v>Starters</v>
      </c>
      <c r="H184" s="10">
        <f>_xlfn.XLOOKUP(C184,menu!A:A,menu!E:E)</f>
        <v>42</v>
      </c>
      <c r="I184" s="10">
        <f t="shared" si="2"/>
        <v>126</v>
      </c>
      <c r="K184" s="10"/>
      <c r="L184" s="5"/>
    </row>
    <row r="185" spans="1:12" x14ac:dyDescent="0.25">
      <c r="A185" s="5" t="s">
        <v>7038</v>
      </c>
      <c r="B185" s="5" t="s">
        <v>7036</v>
      </c>
      <c r="C185" s="5" t="s">
        <v>31</v>
      </c>
      <c r="D185" s="21">
        <v>1</v>
      </c>
      <c r="E185" s="12">
        <v>89</v>
      </c>
      <c r="F185" s="10" t="str">
        <f>_xlfn.XLOOKUP(C185,menu!A:A,menu!B:B)</f>
        <v>Chicken Roll</v>
      </c>
      <c r="G185" s="10" t="str">
        <f>_xlfn.XLOOKUP(C185,menu!A:A,menu!C:C)</f>
        <v>Rolls</v>
      </c>
      <c r="H185" s="10">
        <f>_xlfn.XLOOKUP(C185,menu!A:A,menu!E:E)</f>
        <v>27</v>
      </c>
      <c r="I185" s="10">
        <f t="shared" si="2"/>
        <v>27</v>
      </c>
      <c r="K185" s="10"/>
      <c r="L185" s="5"/>
    </row>
    <row r="186" spans="1:12" x14ac:dyDescent="0.25">
      <c r="A186" s="5" t="s">
        <v>7037</v>
      </c>
      <c r="B186" s="5" t="s">
        <v>7036</v>
      </c>
      <c r="C186" s="5" t="s">
        <v>38</v>
      </c>
      <c r="D186" s="21">
        <v>1</v>
      </c>
      <c r="E186" s="12">
        <v>149</v>
      </c>
      <c r="F186" s="10" t="str">
        <f>_xlfn.XLOOKUP(C186,menu!A:A,menu!B:B)</f>
        <v>Chicken Wings</v>
      </c>
      <c r="G186" s="10" t="str">
        <f>_xlfn.XLOOKUP(C186,menu!A:A,menu!C:C)</f>
        <v>Starters</v>
      </c>
      <c r="H186" s="10">
        <f>_xlfn.XLOOKUP(C186,menu!A:A,menu!E:E)</f>
        <v>45</v>
      </c>
      <c r="I186" s="10">
        <f t="shared" si="2"/>
        <v>45</v>
      </c>
      <c r="K186" s="10"/>
      <c r="L186" s="5"/>
    </row>
    <row r="187" spans="1:12" x14ac:dyDescent="0.25">
      <c r="A187" s="5" t="s">
        <v>7035</v>
      </c>
      <c r="B187" s="5" t="s">
        <v>7033</v>
      </c>
      <c r="C187" s="5" t="s">
        <v>17</v>
      </c>
      <c r="D187" s="21">
        <v>2</v>
      </c>
      <c r="E187" s="12">
        <v>178</v>
      </c>
      <c r="F187" s="10" t="str">
        <f>_xlfn.XLOOKUP(C187,menu!A:A,menu!B:B)</f>
        <v>Paneer Momos</v>
      </c>
      <c r="G187" s="10" t="str">
        <f>_xlfn.XLOOKUP(C187,menu!A:A,menu!C:C)</f>
        <v>Momos</v>
      </c>
      <c r="H187" s="10">
        <f>_xlfn.XLOOKUP(C187,menu!A:A,menu!E:E)</f>
        <v>27</v>
      </c>
      <c r="I187" s="10">
        <f t="shared" si="2"/>
        <v>54</v>
      </c>
      <c r="K187" s="10"/>
      <c r="L187" s="5"/>
    </row>
    <row r="188" spans="1:12" x14ac:dyDescent="0.25">
      <c r="A188" s="5" t="s">
        <v>7034</v>
      </c>
      <c r="B188" s="5" t="s">
        <v>7033</v>
      </c>
      <c r="C188" s="5" t="s">
        <v>44</v>
      </c>
      <c r="D188" s="21">
        <v>1</v>
      </c>
      <c r="E188" s="12">
        <v>159</v>
      </c>
      <c r="F188" s="10" t="str">
        <f>_xlfn.XLOOKUP(C188,menu!A:A,menu!B:B)</f>
        <v>Fried Chicken</v>
      </c>
      <c r="G188" s="10" t="str">
        <f>_xlfn.XLOOKUP(C188,menu!A:A,menu!C:C)</f>
        <v>Starters</v>
      </c>
      <c r="H188" s="10">
        <f>_xlfn.XLOOKUP(C188,menu!A:A,menu!E:E)</f>
        <v>48</v>
      </c>
      <c r="I188" s="10">
        <f t="shared" si="2"/>
        <v>48</v>
      </c>
      <c r="K188" s="10"/>
      <c r="L188" s="5"/>
    </row>
    <row r="189" spans="1:12" x14ac:dyDescent="0.25">
      <c r="A189" s="5" t="s">
        <v>7032</v>
      </c>
      <c r="B189" s="5" t="s">
        <v>7029</v>
      </c>
      <c r="C189" s="5" t="s">
        <v>63</v>
      </c>
      <c r="D189" s="21">
        <v>1</v>
      </c>
      <c r="E189" s="12">
        <v>79</v>
      </c>
      <c r="F189" s="10" t="str">
        <f>_xlfn.XLOOKUP(C189,menu!A:A,menu!B:B)</f>
        <v>Virgin Mojito</v>
      </c>
      <c r="G189" s="10" t="str">
        <f>_xlfn.XLOOKUP(C189,menu!A:A,menu!C:C)</f>
        <v>Beverages</v>
      </c>
      <c r="H189" s="10">
        <f>_xlfn.XLOOKUP(C189,menu!A:A,menu!E:E)</f>
        <v>24</v>
      </c>
      <c r="I189" s="10">
        <f t="shared" si="2"/>
        <v>24</v>
      </c>
      <c r="K189" s="10"/>
      <c r="L189" s="5"/>
    </row>
    <row r="190" spans="1:12" x14ac:dyDescent="0.25">
      <c r="A190" s="5" t="s">
        <v>7031</v>
      </c>
      <c r="B190" s="5" t="s">
        <v>7029</v>
      </c>
      <c r="C190" s="5" t="s">
        <v>44</v>
      </c>
      <c r="D190" s="21">
        <v>1</v>
      </c>
      <c r="E190" s="12">
        <v>159</v>
      </c>
      <c r="F190" s="10" t="str">
        <f>_xlfn.XLOOKUP(C190,menu!A:A,menu!B:B)</f>
        <v>Fried Chicken</v>
      </c>
      <c r="G190" s="10" t="str">
        <f>_xlfn.XLOOKUP(C190,menu!A:A,menu!C:C)</f>
        <v>Starters</v>
      </c>
      <c r="H190" s="10">
        <f>_xlfn.XLOOKUP(C190,menu!A:A,menu!E:E)</f>
        <v>48</v>
      </c>
      <c r="I190" s="10">
        <f t="shared" si="2"/>
        <v>48</v>
      </c>
      <c r="K190" s="10"/>
      <c r="L190" s="5"/>
    </row>
    <row r="191" spans="1:12" x14ac:dyDescent="0.25">
      <c r="A191" s="5" t="s">
        <v>7030</v>
      </c>
      <c r="B191" s="5" t="s">
        <v>7029</v>
      </c>
      <c r="C191" s="5" t="s">
        <v>33</v>
      </c>
      <c r="D191" s="21">
        <v>1</v>
      </c>
      <c r="E191" s="12">
        <v>69</v>
      </c>
      <c r="F191" s="10" t="str">
        <f>_xlfn.XLOOKUP(C191,menu!A:A,menu!B:B)</f>
        <v>Spring Roll</v>
      </c>
      <c r="G191" s="10" t="str">
        <f>_xlfn.XLOOKUP(C191,menu!A:A,menu!C:C)</f>
        <v>Rolls</v>
      </c>
      <c r="H191" s="10">
        <f>_xlfn.XLOOKUP(C191,menu!A:A,menu!E:E)</f>
        <v>21</v>
      </c>
      <c r="I191" s="10">
        <f t="shared" si="2"/>
        <v>21</v>
      </c>
      <c r="K191" s="10"/>
      <c r="L191" s="5"/>
    </row>
    <row r="192" spans="1:12" x14ac:dyDescent="0.25">
      <c r="A192" s="5" t="s">
        <v>7028</v>
      </c>
      <c r="B192" s="5" t="s">
        <v>7025</v>
      </c>
      <c r="C192" s="5" t="s">
        <v>29</v>
      </c>
      <c r="D192" s="21">
        <v>2</v>
      </c>
      <c r="E192" s="12">
        <v>158</v>
      </c>
      <c r="F192" s="10" t="str">
        <f>_xlfn.XLOOKUP(C192,menu!A:A,menu!B:B)</f>
        <v>Paneer Roll</v>
      </c>
      <c r="G192" s="10" t="str">
        <f>_xlfn.XLOOKUP(C192,menu!A:A,menu!C:C)</f>
        <v>Rolls</v>
      </c>
      <c r="H192" s="10">
        <f>_xlfn.XLOOKUP(C192,menu!A:A,menu!E:E)</f>
        <v>24</v>
      </c>
      <c r="I192" s="10">
        <f t="shared" si="2"/>
        <v>48</v>
      </c>
      <c r="K192" s="10"/>
      <c r="L192" s="5"/>
    </row>
    <row r="193" spans="1:12" x14ac:dyDescent="0.25">
      <c r="A193" s="5" t="s">
        <v>7027</v>
      </c>
      <c r="B193" s="5" t="s">
        <v>7025</v>
      </c>
      <c r="C193" s="5" t="s">
        <v>15</v>
      </c>
      <c r="D193" s="21">
        <v>1</v>
      </c>
      <c r="E193" s="12">
        <v>99</v>
      </c>
      <c r="F193" s="10" t="str">
        <f>_xlfn.XLOOKUP(C193,menu!A:A,menu!B:B)</f>
        <v>Chicken Momos</v>
      </c>
      <c r="G193" s="10" t="str">
        <f>_xlfn.XLOOKUP(C193,menu!A:A,menu!C:C)</f>
        <v>Momos</v>
      </c>
      <c r="H193" s="10">
        <f>_xlfn.XLOOKUP(C193,menu!A:A,menu!E:E)</f>
        <v>30</v>
      </c>
      <c r="I193" s="10">
        <f t="shared" si="2"/>
        <v>30</v>
      </c>
      <c r="K193" s="10"/>
      <c r="L193" s="5"/>
    </row>
    <row r="194" spans="1:12" x14ac:dyDescent="0.25">
      <c r="A194" s="5" t="s">
        <v>7026</v>
      </c>
      <c r="B194" s="5" t="s">
        <v>7025</v>
      </c>
      <c r="C194" s="5" t="s">
        <v>31</v>
      </c>
      <c r="D194" s="21">
        <v>3</v>
      </c>
      <c r="E194" s="12">
        <v>267</v>
      </c>
      <c r="F194" s="10" t="str">
        <f>_xlfn.XLOOKUP(C194,menu!A:A,menu!B:B)</f>
        <v>Chicken Roll</v>
      </c>
      <c r="G194" s="10" t="str">
        <f>_xlfn.XLOOKUP(C194,menu!A:A,menu!C:C)</f>
        <v>Rolls</v>
      </c>
      <c r="H194" s="10">
        <f>_xlfn.XLOOKUP(C194,menu!A:A,menu!E:E)</f>
        <v>27</v>
      </c>
      <c r="I194" s="10">
        <f t="shared" si="2"/>
        <v>81</v>
      </c>
      <c r="K194" s="10"/>
      <c r="L194" s="5"/>
    </row>
    <row r="195" spans="1:12" x14ac:dyDescent="0.25">
      <c r="A195" s="5" t="s">
        <v>7024</v>
      </c>
      <c r="B195" s="5" t="s">
        <v>7020</v>
      </c>
      <c r="C195" s="5" t="s">
        <v>50</v>
      </c>
      <c r="D195" s="21">
        <v>3</v>
      </c>
      <c r="E195" s="12">
        <v>447</v>
      </c>
      <c r="F195" s="10" t="str">
        <f>_xlfn.XLOOKUP(C195,menu!A:A,menu!B:B)</f>
        <v>Grab Lollipop</v>
      </c>
      <c r="G195" s="10" t="str">
        <f>_xlfn.XLOOKUP(C195,menu!A:A,menu!C:C)</f>
        <v>Starters</v>
      </c>
      <c r="H195" s="10">
        <f>_xlfn.XLOOKUP(C195,menu!A:A,menu!E:E)</f>
        <v>45</v>
      </c>
      <c r="I195" s="10">
        <f t="shared" ref="I195:I258" si="3">D195*H195</f>
        <v>135</v>
      </c>
      <c r="K195" s="10"/>
      <c r="L195" s="5"/>
    </row>
    <row r="196" spans="1:12" x14ac:dyDescent="0.25">
      <c r="A196" s="5" t="s">
        <v>7023</v>
      </c>
      <c r="B196" s="5" t="s">
        <v>7020</v>
      </c>
      <c r="C196" s="5" t="s">
        <v>15</v>
      </c>
      <c r="D196" s="21">
        <v>1</v>
      </c>
      <c r="E196" s="12">
        <v>99</v>
      </c>
      <c r="F196" s="10" t="str">
        <f>_xlfn.XLOOKUP(C196,menu!A:A,menu!B:B)</f>
        <v>Chicken Momos</v>
      </c>
      <c r="G196" s="10" t="str">
        <f>_xlfn.XLOOKUP(C196,menu!A:A,menu!C:C)</f>
        <v>Momos</v>
      </c>
      <c r="H196" s="10">
        <f>_xlfn.XLOOKUP(C196,menu!A:A,menu!E:E)</f>
        <v>30</v>
      </c>
      <c r="I196" s="10">
        <f t="shared" si="3"/>
        <v>30</v>
      </c>
      <c r="K196" s="10"/>
      <c r="L196" s="5"/>
    </row>
    <row r="197" spans="1:12" x14ac:dyDescent="0.25">
      <c r="A197" s="5" t="s">
        <v>7022</v>
      </c>
      <c r="B197" s="5" t="s">
        <v>7020</v>
      </c>
      <c r="C197" s="5" t="s">
        <v>59</v>
      </c>
      <c r="D197" s="21">
        <v>1</v>
      </c>
      <c r="E197" s="12">
        <v>79</v>
      </c>
      <c r="F197" s="10" t="str">
        <f>_xlfn.XLOOKUP(C197,menu!A:A,menu!B:B)</f>
        <v>Blue Curacao Mojito</v>
      </c>
      <c r="G197" s="10" t="str">
        <f>_xlfn.XLOOKUP(C197,menu!A:A,menu!C:C)</f>
        <v>Beverages</v>
      </c>
      <c r="H197" s="10">
        <f>_xlfn.XLOOKUP(C197,menu!A:A,menu!E:E)</f>
        <v>24</v>
      </c>
      <c r="I197" s="10">
        <f t="shared" si="3"/>
        <v>24</v>
      </c>
      <c r="K197" s="10"/>
      <c r="L197" s="5"/>
    </row>
    <row r="198" spans="1:12" x14ac:dyDescent="0.25">
      <c r="A198" s="5" t="s">
        <v>7021</v>
      </c>
      <c r="B198" s="5" t="s">
        <v>7020</v>
      </c>
      <c r="C198" s="5" t="s">
        <v>38</v>
      </c>
      <c r="D198" s="21">
        <v>5</v>
      </c>
      <c r="E198" s="12">
        <v>745</v>
      </c>
      <c r="F198" s="10" t="str">
        <f>_xlfn.XLOOKUP(C198,menu!A:A,menu!B:B)</f>
        <v>Chicken Wings</v>
      </c>
      <c r="G198" s="10" t="str">
        <f>_xlfn.XLOOKUP(C198,menu!A:A,menu!C:C)</f>
        <v>Starters</v>
      </c>
      <c r="H198" s="10">
        <f>_xlfn.XLOOKUP(C198,menu!A:A,menu!E:E)</f>
        <v>45</v>
      </c>
      <c r="I198" s="10">
        <f t="shared" si="3"/>
        <v>225</v>
      </c>
      <c r="K198" s="10"/>
      <c r="L198" s="5"/>
    </row>
    <row r="199" spans="1:12" x14ac:dyDescent="0.25">
      <c r="A199" s="5" t="s">
        <v>7019</v>
      </c>
      <c r="B199" s="5" t="s">
        <v>7015</v>
      </c>
      <c r="C199" s="5" t="s">
        <v>40</v>
      </c>
      <c r="D199" s="21">
        <v>2</v>
      </c>
      <c r="E199" s="12">
        <v>198</v>
      </c>
      <c r="F199" s="10" t="str">
        <f>_xlfn.XLOOKUP(C199,menu!A:A,menu!B:B)</f>
        <v>Veg Nuggets</v>
      </c>
      <c r="G199" s="10" t="str">
        <f>_xlfn.XLOOKUP(C199,menu!A:A,menu!C:C)</f>
        <v>Starters</v>
      </c>
      <c r="H199" s="10">
        <f>_xlfn.XLOOKUP(C199,menu!A:A,menu!E:E)</f>
        <v>30</v>
      </c>
      <c r="I199" s="10">
        <f t="shared" si="3"/>
        <v>60</v>
      </c>
      <c r="K199" s="10"/>
      <c r="L199" s="5"/>
    </row>
    <row r="200" spans="1:12" x14ac:dyDescent="0.25">
      <c r="A200" s="5" t="s">
        <v>7018</v>
      </c>
      <c r="B200" s="5" t="s">
        <v>7015</v>
      </c>
      <c r="C200" s="5" t="s">
        <v>8</v>
      </c>
      <c r="D200" s="21">
        <v>2</v>
      </c>
      <c r="E200" s="12">
        <v>198</v>
      </c>
      <c r="F200" s="10" t="str">
        <f>_xlfn.XLOOKUP(C200,menu!A:A,menu!B:B)</f>
        <v>Paneer Sandwich</v>
      </c>
      <c r="G200" s="10" t="str">
        <f>_xlfn.XLOOKUP(C200,menu!A:A,menu!C:C)</f>
        <v>Sandwich</v>
      </c>
      <c r="H200" s="10">
        <f>_xlfn.XLOOKUP(C200,menu!A:A,menu!E:E)</f>
        <v>30</v>
      </c>
      <c r="I200" s="10">
        <f t="shared" si="3"/>
        <v>60</v>
      </c>
      <c r="K200" s="10"/>
      <c r="L200" s="5"/>
    </row>
    <row r="201" spans="1:12" x14ac:dyDescent="0.25">
      <c r="A201" s="5" t="s">
        <v>7017</v>
      </c>
      <c r="B201" s="5" t="s">
        <v>7015</v>
      </c>
      <c r="C201" s="5" t="s">
        <v>22</v>
      </c>
      <c r="D201" s="21">
        <v>1</v>
      </c>
      <c r="E201" s="12">
        <v>99</v>
      </c>
      <c r="F201" s="10" t="str">
        <f>_xlfn.XLOOKUP(C201,menu!A:A,menu!B:B)</f>
        <v>Chicken Burger</v>
      </c>
      <c r="G201" s="10" t="str">
        <f>_xlfn.XLOOKUP(C201,menu!A:A,menu!C:C)</f>
        <v>Burger</v>
      </c>
      <c r="H201" s="10">
        <f>_xlfn.XLOOKUP(C201,menu!A:A,menu!E:E)</f>
        <v>30</v>
      </c>
      <c r="I201" s="10">
        <f t="shared" si="3"/>
        <v>30</v>
      </c>
      <c r="K201" s="10"/>
      <c r="L201" s="5"/>
    </row>
    <row r="202" spans="1:12" x14ac:dyDescent="0.25">
      <c r="A202" s="5" t="s">
        <v>7016</v>
      </c>
      <c r="B202" s="5" t="s">
        <v>7015</v>
      </c>
      <c r="C202" s="5" t="s">
        <v>65</v>
      </c>
      <c r="D202" s="21">
        <v>2</v>
      </c>
      <c r="E202" s="12">
        <v>98</v>
      </c>
      <c r="F202" s="10" t="str">
        <f>_xlfn.XLOOKUP(C202,menu!A:A,menu!B:B)</f>
        <v>Lemon Juice</v>
      </c>
      <c r="G202" s="10" t="str">
        <f>_xlfn.XLOOKUP(C202,menu!A:A,menu!C:C)</f>
        <v>Beverages</v>
      </c>
      <c r="H202" s="10">
        <f>_xlfn.XLOOKUP(C202,menu!A:A,menu!E:E)</f>
        <v>15</v>
      </c>
      <c r="I202" s="10">
        <f t="shared" si="3"/>
        <v>30</v>
      </c>
      <c r="K202" s="10"/>
      <c r="L202" s="5"/>
    </row>
    <row r="203" spans="1:12" x14ac:dyDescent="0.25">
      <c r="A203" s="5" t="s">
        <v>7014</v>
      </c>
      <c r="B203" s="5" t="s">
        <v>7012</v>
      </c>
      <c r="C203" s="5" t="s">
        <v>12</v>
      </c>
      <c r="D203" s="21">
        <v>2</v>
      </c>
      <c r="E203" s="12">
        <v>158</v>
      </c>
      <c r="F203" s="10" t="str">
        <f>_xlfn.XLOOKUP(C203,menu!A:A,menu!B:B)</f>
        <v>Veg Momos</v>
      </c>
      <c r="G203" s="10" t="str">
        <f>_xlfn.XLOOKUP(C203,menu!A:A,menu!C:C)</f>
        <v>Momos</v>
      </c>
      <c r="H203" s="10">
        <f>_xlfn.XLOOKUP(C203,menu!A:A,menu!E:E)</f>
        <v>24</v>
      </c>
      <c r="I203" s="10">
        <f t="shared" si="3"/>
        <v>48</v>
      </c>
      <c r="K203" s="10"/>
      <c r="L203" s="5"/>
    </row>
    <row r="204" spans="1:12" x14ac:dyDescent="0.25">
      <c r="A204" s="5" t="s">
        <v>7013</v>
      </c>
      <c r="B204" s="5" t="s">
        <v>7012</v>
      </c>
      <c r="C204" s="5" t="s">
        <v>40</v>
      </c>
      <c r="D204" s="21">
        <v>2</v>
      </c>
      <c r="E204" s="12">
        <v>198</v>
      </c>
      <c r="F204" s="10" t="str">
        <f>_xlfn.XLOOKUP(C204,menu!A:A,menu!B:B)</f>
        <v>Veg Nuggets</v>
      </c>
      <c r="G204" s="10" t="str">
        <f>_xlfn.XLOOKUP(C204,menu!A:A,menu!C:C)</f>
        <v>Starters</v>
      </c>
      <c r="H204" s="10">
        <f>_xlfn.XLOOKUP(C204,menu!A:A,menu!E:E)</f>
        <v>30</v>
      </c>
      <c r="I204" s="10">
        <f t="shared" si="3"/>
        <v>60</v>
      </c>
      <c r="K204" s="10"/>
      <c r="L204" s="5"/>
    </row>
    <row r="205" spans="1:12" x14ac:dyDescent="0.25">
      <c r="A205" s="5" t="s">
        <v>7011</v>
      </c>
      <c r="B205" s="5" t="s">
        <v>7009</v>
      </c>
      <c r="C205" s="5" t="s">
        <v>17</v>
      </c>
      <c r="D205" s="21">
        <v>2</v>
      </c>
      <c r="E205" s="12">
        <v>178</v>
      </c>
      <c r="F205" s="10" t="str">
        <f>_xlfn.XLOOKUP(C205,menu!A:A,menu!B:B)</f>
        <v>Paneer Momos</v>
      </c>
      <c r="G205" s="10" t="str">
        <f>_xlfn.XLOOKUP(C205,menu!A:A,menu!C:C)</f>
        <v>Momos</v>
      </c>
      <c r="H205" s="10">
        <f>_xlfn.XLOOKUP(C205,menu!A:A,menu!E:E)</f>
        <v>27</v>
      </c>
      <c r="I205" s="10">
        <f t="shared" si="3"/>
        <v>54</v>
      </c>
      <c r="K205" s="10"/>
      <c r="L205" s="5"/>
    </row>
    <row r="206" spans="1:12" x14ac:dyDescent="0.25">
      <c r="A206" s="5" t="s">
        <v>7010</v>
      </c>
      <c r="B206" s="5" t="s">
        <v>7009</v>
      </c>
      <c r="C206" s="5" t="s">
        <v>22</v>
      </c>
      <c r="D206" s="21">
        <v>1</v>
      </c>
      <c r="E206" s="12">
        <v>99</v>
      </c>
      <c r="F206" s="10" t="str">
        <f>_xlfn.XLOOKUP(C206,menu!A:A,menu!B:B)</f>
        <v>Chicken Burger</v>
      </c>
      <c r="G206" s="10" t="str">
        <f>_xlfn.XLOOKUP(C206,menu!A:A,menu!C:C)</f>
        <v>Burger</v>
      </c>
      <c r="H206" s="10">
        <f>_xlfn.XLOOKUP(C206,menu!A:A,menu!E:E)</f>
        <v>30</v>
      </c>
      <c r="I206" s="10">
        <f t="shared" si="3"/>
        <v>30</v>
      </c>
      <c r="K206" s="10"/>
      <c r="L206" s="5"/>
    </row>
    <row r="207" spans="1:12" x14ac:dyDescent="0.25">
      <c r="A207" s="5" t="s">
        <v>7008</v>
      </c>
      <c r="B207" s="5" t="s">
        <v>7006</v>
      </c>
      <c r="C207" s="5" t="s">
        <v>5</v>
      </c>
      <c r="D207" s="21">
        <v>1</v>
      </c>
      <c r="E207" s="12">
        <v>79</v>
      </c>
      <c r="F207" s="10" t="str">
        <f>_xlfn.XLOOKUP(C207,menu!A:A,menu!B:B)</f>
        <v>Veg Sandwich</v>
      </c>
      <c r="G207" s="10" t="str">
        <f>_xlfn.XLOOKUP(C207,menu!A:A,menu!C:C)</f>
        <v>Sandwich</v>
      </c>
      <c r="H207" s="10">
        <f>_xlfn.XLOOKUP(C207,menu!A:A,menu!E:E)</f>
        <v>24</v>
      </c>
      <c r="I207" s="10">
        <f t="shared" si="3"/>
        <v>24</v>
      </c>
      <c r="K207" s="10"/>
      <c r="L207" s="5"/>
    </row>
    <row r="208" spans="1:12" x14ac:dyDescent="0.25">
      <c r="A208" s="5" t="s">
        <v>7007</v>
      </c>
      <c r="B208" s="5" t="s">
        <v>7006</v>
      </c>
      <c r="C208" s="5" t="s">
        <v>10</v>
      </c>
      <c r="D208" s="21">
        <v>2</v>
      </c>
      <c r="E208" s="12">
        <v>238</v>
      </c>
      <c r="F208" s="10" t="str">
        <f>_xlfn.XLOOKUP(C208,menu!A:A,menu!B:B)</f>
        <v>Chicken Sandwich</v>
      </c>
      <c r="G208" s="10" t="str">
        <f>_xlfn.XLOOKUP(C208,menu!A:A,menu!C:C)</f>
        <v>Sandwich</v>
      </c>
      <c r="H208" s="10">
        <f>_xlfn.XLOOKUP(C208,menu!A:A,menu!E:E)</f>
        <v>36</v>
      </c>
      <c r="I208" s="10">
        <f t="shared" si="3"/>
        <v>72</v>
      </c>
      <c r="K208" s="10"/>
      <c r="L208" s="5"/>
    </row>
    <row r="209" spans="1:12" x14ac:dyDescent="0.25">
      <c r="A209" s="5" t="s">
        <v>7005</v>
      </c>
      <c r="B209" s="5" t="s">
        <v>7003</v>
      </c>
      <c r="C209" s="5" t="s">
        <v>22</v>
      </c>
      <c r="D209" s="21">
        <v>1</v>
      </c>
      <c r="E209" s="12">
        <v>99</v>
      </c>
      <c r="F209" s="10" t="str">
        <f>_xlfn.XLOOKUP(C209,menu!A:A,menu!B:B)</f>
        <v>Chicken Burger</v>
      </c>
      <c r="G209" s="10" t="str">
        <f>_xlfn.XLOOKUP(C209,menu!A:A,menu!C:C)</f>
        <v>Burger</v>
      </c>
      <c r="H209" s="10">
        <f>_xlfn.XLOOKUP(C209,menu!A:A,menu!E:E)</f>
        <v>30</v>
      </c>
      <c r="I209" s="10">
        <f t="shared" si="3"/>
        <v>30</v>
      </c>
      <c r="K209" s="10"/>
      <c r="L209" s="5"/>
    </row>
    <row r="210" spans="1:12" x14ac:dyDescent="0.25">
      <c r="A210" s="5" t="s">
        <v>7004</v>
      </c>
      <c r="B210" s="5" t="s">
        <v>7003</v>
      </c>
      <c r="C210" s="5" t="s">
        <v>65</v>
      </c>
      <c r="D210" s="21">
        <v>3</v>
      </c>
      <c r="E210" s="12">
        <v>147</v>
      </c>
      <c r="F210" s="10" t="str">
        <f>_xlfn.XLOOKUP(C210,menu!A:A,menu!B:B)</f>
        <v>Lemon Juice</v>
      </c>
      <c r="G210" s="10" t="str">
        <f>_xlfn.XLOOKUP(C210,menu!A:A,menu!C:C)</f>
        <v>Beverages</v>
      </c>
      <c r="H210" s="10">
        <f>_xlfn.XLOOKUP(C210,menu!A:A,menu!E:E)</f>
        <v>15</v>
      </c>
      <c r="I210" s="10">
        <f t="shared" si="3"/>
        <v>45</v>
      </c>
      <c r="K210" s="10"/>
      <c r="L210" s="5"/>
    </row>
    <row r="211" spans="1:12" x14ac:dyDescent="0.25">
      <c r="A211" s="5" t="s">
        <v>7002</v>
      </c>
      <c r="B211" s="5" t="s">
        <v>7001</v>
      </c>
      <c r="C211" s="5" t="s">
        <v>15</v>
      </c>
      <c r="D211" s="21">
        <v>2</v>
      </c>
      <c r="E211" s="12">
        <v>198</v>
      </c>
      <c r="F211" s="10" t="str">
        <f>_xlfn.XLOOKUP(C211,menu!A:A,menu!B:B)</f>
        <v>Chicken Momos</v>
      </c>
      <c r="G211" s="10" t="str">
        <f>_xlfn.XLOOKUP(C211,menu!A:A,menu!C:C)</f>
        <v>Momos</v>
      </c>
      <c r="H211" s="10">
        <f>_xlfn.XLOOKUP(C211,menu!A:A,menu!E:E)</f>
        <v>30</v>
      </c>
      <c r="I211" s="10">
        <f t="shared" si="3"/>
        <v>60</v>
      </c>
      <c r="K211" s="10"/>
      <c r="L211" s="5"/>
    </row>
    <row r="212" spans="1:12" x14ac:dyDescent="0.25">
      <c r="A212" s="5" t="s">
        <v>7000</v>
      </c>
      <c r="B212" s="5" t="s">
        <v>6998</v>
      </c>
      <c r="C212" s="5" t="s">
        <v>63</v>
      </c>
      <c r="D212" s="21">
        <v>1</v>
      </c>
      <c r="E212" s="12">
        <v>79</v>
      </c>
      <c r="F212" s="10" t="str">
        <f>_xlfn.XLOOKUP(C212,menu!A:A,menu!B:B)</f>
        <v>Virgin Mojito</v>
      </c>
      <c r="G212" s="10" t="str">
        <f>_xlfn.XLOOKUP(C212,menu!A:A,menu!C:C)</f>
        <v>Beverages</v>
      </c>
      <c r="H212" s="10">
        <f>_xlfn.XLOOKUP(C212,menu!A:A,menu!E:E)</f>
        <v>24</v>
      </c>
      <c r="I212" s="10">
        <f t="shared" si="3"/>
        <v>24</v>
      </c>
      <c r="K212" s="10"/>
      <c r="L212" s="5"/>
    </row>
    <row r="213" spans="1:12" x14ac:dyDescent="0.25">
      <c r="A213" s="5" t="s">
        <v>6999</v>
      </c>
      <c r="B213" s="5" t="s">
        <v>6998</v>
      </c>
      <c r="C213" s="5" t="s">
        <v>31</v>
      </c>
      <c r="D213" s="21">
        <v>1</v>
      </c>
      <c r="E213" s="12">
        <v>89</v>
      </c>
      <c r="F213" s="10" t="str">
        <f>_xlfn.XLOOKUP(C213,menu!A:A,menu!B:B)</f>
        <v>Chicken Roll</v>
      </c>
      <c r="G213" s="10" t="str">
        <f>_xlfn.XLOOKUP(C213,menu!A:A,menu!C:C)</f>
        <v>Rolls</v>
      </c>
      <c r="H213" s="10">
        <f>_xlfn.XLOOKUP(C213,menu!A:A,menu!E:E)</f>
        <v>27</v>
      </c>
      <c r="I213" s="10">
        <f t="shared" si="3"/>
        <v>27</v>
      </c>
      <c r="K213" s="10"/>
      <c r="L213" s="5"/>
    </row>
    <row r="214" spans="1:12" x14ac:dyDescent="0.25">
      <c r="A214" s="5" t="s">
        <v>6997</v>
      </c>
      <c r="B214" s="5" t="s">
        <v>6996</v>
      </c>
      <c r="C214" s="5" t="s">
        <v>59</v>
      </c>
      <c r="D214" s="21">
        <v>2</v>
      </c>
      <c r="E214" s="12">
        <v>158</v>
      </c>
      <c r="F214" s="10" t="str">
        <f>_xlfn.XLOOKUP(C214,menu!A:A,menu!B:B)</f>
        <v>Blue Curacao Mojito</v>
      </c>
      <c r="G214" s="10" t="str">
        <f>_xlfn.XLOOKUP(C214,menu!A:A,menu!C:C)</f>
        <v>Beverages</v>
      </c>
      <c r="H214" s="10">
        <f>_xlfn.XLOOKUP(C214,menu!A:A,menu!E:E)</f>
        <v>24</v>
      </c>
      <c r="I214" s="10">
        <f t="shared" si="3"/>
        <v>48</v>
      </c>
      <c r="K214" s="10"/>
      <c r="L214" s="5"/>
    </row>
    <row r="215" spans="1:12" x14ac:dyDescent="0.25">
      <c r="A215" s="5" t="s">
        <v>6995</v>
      </c>
      <c r="B215" s="5" t="s">
        <v>6991</v>
      </c>
      <c r="C215" s="5" t="s">
        <v>12</v>
      </c>
      <c r="D215" s="21">
        <v>1</v>
      </c>
      <c r="E215" s="12">
        <v>79</v>
      </c>
      <c r="F215" s="10" t="str">
        <f>_xlfn.XLOOKUP(C215,menu!A:A,menu!B:B)</f>
        <v>Veg Momos</v>
      </c>
      <c r="G215" s="10" t="str">
        <f>_xlfn.XLOOKUP(C215,menu!A:A,menu!C:C)</f>
        <v>Momos</v>
      </c>
      <c r="H215" s="10">
        <f>_xlfn.XLOOKUP(C215,menu!A:A,menu!E:E)</f>
        <v>24</v>
      </c>
      <c r="I215" s="10">
        <f t="shared" si="3"/>
        <v>24</v>
      </c>
      <c r="K215" s="10"/>
      <c r="L215" s="5"/>
    </row>
    <row r="216" spans="1:12" x14ac:dyDescent="0.25">
      <c r="A216" s="5" t="s">
        <v>6994</v>
      </c>
      <c r="B216" s="5" t="s">
        <v>6991</v>
      </c>
      <c r="C216" s="5" t="s">
        <v>22</v>
      </c>
      <c r="D216" s="21">
        <v>2</v>
      </c>
      <c r="E216" s="12">
        <v>198</v>
      </c>
      <c r="F216" s="10" t="str">
        <f>_xlfn.XLOOKUP(C216,menu!A:A,menu!B:B)</f>
        <v>Chicken Burger</v>
      </c>
      <c r="G216" s="10" t="str">
        <f>_xlfn.XLOOKUP(C216,menu!A:A,menu!C:C)</f>
        <v>Burger</v>
      </c>
      <c r="H216" s="10">
        <f>_xlfn.XLOOKUP(C216,menu!A:A,menu!E:E)</f>
        <v>30</v>
      </c>
      <c r="I216" s="10">
        <f t="shared" si="3"/>
        <v>60</v>
      </c>
      <c r="K216" s="10"/>
      <c r="L216" s="5"/>
    </row>
    <row r="217" spans="1:12" x14ac:dyDescent="0.25">
      <c r="A217" s="5" t="s">
        <v>6993</v>
      </c>
      <c r="B217" s="5" t="s">
        <v>6991</v>
      </c>
      <c r="C217" s="5" t="s">
        <v>8</v>
      </c>
      <c r="D217" s="21">
        <v>2</v>
      </c>
      <c r="E217" s="12">
        <v>198</v>
      </c>
      <c r="F217" s="10" t="str">
        <f>_xlfn.XLOOKUP(C217,menu!A:A,menu!B:B)</f>
        <v>Paneer Sandwich</v>
      </c>
      <c r="G217" s="10" t="str">
        <f>_xlfn.XLOOKUP(C217,menu!A:A,menu!C:C)</f>
        <v>Sandwich</v>
      </c>
      <c r="H217" s="10">
        <f>_xlfn.XLOOKUP(C217,menu!A:A,menu!E:E)</f>
        <v>30</v>
      </c>
      <c r="I217" s="10">
        <f t="shared" si="3"/>
        <v>60</v>
      </c>
      <c r="K217" s="10"/>
      <c r="L217" s="5"/>
    </row>
    <row r="218" spans="1:12" x14ac:dyDescent="0.25">
      <c r="A218" s="5" t="s">
        <v>6992</v>
      </c>
      <c r="B218" s="5" t="s">
        <v>6991</v>
      </c>
      <c r="C218" s="5" t="s">
        <v>33</v>
      </c>
      <c r="D218" s="21">
        <v>3</v>
      </c>
      <c r="E218" s="12">
        <v>207</v>
      </c>
      <c r="F218" s="10" t="str">
        <f>_xlfn.XLOOKUP(C218,menu!A:A,menu!B:B)</f>
        <v>Spring Roll</v>
      </c>
      <c r="G218" s="10" t="str">
        <f>_xlfn.XLOOKUP(C218,menu!A:A,menu!C:C)</f>
        <v>Rolls</v>
      </c>
      <c r="H218" s="10">
        <f>_xlfn.XLOOKUP(C218,menu!A:A,menu!E:E)</f>
        <v>21</v>
      </c>
      <c r="I218" s="10">
        <f t="shared" si="3"/>
        <v>63</v>
      </c>
      <c r="K218" s="10"/>
      <c r="L218" s="5"/>
    </row>
    <row r="219" spans="1:12" x14ac:dyDescent="0.25">
      <c r="A219" s="5" t="s">
        <v>6990</v>
      </c>
      <c r="B219" s="5" t="s">
        <v>6987</v>
      </c>
      <c r="C219" s="5" t="s">
        <v>29</v>
      </c>
      <c r="D219" s="21">
        <v>1</v>
      </c>
      <c r="E219" s="12">
        <v>79</v>
      </c>
      <c r="F219" s="10" t="str">
        <f>_xlfn.XLOOKUP(C219,menu!A:A,menu!B:B)</f>
        <v>Paneer Roll</v>
      </c>
      <c r="G219" s="10" t="str">
        <f>_xlfn.XLOOKUP(C219,menu!A:A,menu!C:C)</f>
        <v>Rolls</v>
      </c>
      <c r="H219" s="10">
        <f>_xlfn.XLOOKUP(C219,menu!A:A,menu!E:E)</f>
        <v>24</v>
      </c>
      <c r="I219" s="10">
        <f t="shared" si="3"/>
        <v>24</v>
      </c>
      <c r="K219" s="10"/>
      <c r="L219" s="5"/>
    </row>
    <row r="220" spans="1:12" x14ac:dyDescent="0.25">
      <c r="A220" s="5" t="s">
        <v>6989</v>
      </c>
      <c r="B220" s="5" t="s">
        <v>6987</v>
      </c>
      <c r="C220" s="5" t="s">
        <v>46</v>
      </c>
      <c r="D220" s="21">
        <v>3</v>
      </c>
      <c r="E220" s="12">
        <v>447</v>
      </c>
      <c r="F220" s="10" t="str">
        <f>_xlfn.XLOOKUP(C220,menu!A:A,menu!B:B)</f>
        <v>Fish Finger</v>
      </c>
      <c r="G220" s="10" t="str">
        <f>_xlfn.XLOOKUP(C220,menu!A:A,menu!C:C)</f>
        <v>Starters</v>
      </c>
      <c r="H220" s="10">
        <f>_xlfn.XLOOKUP(C220,menu!A:A,menu!E:E)</f>
        <v>45</v>
      </c>
      <c r="I220" s="10">
        <f t="shared" si="3"/>
        <v>135</v>
      </c>
      <c r="K220" s="10"/>
      <c r="L220" s="5"/>
    </row>
    <row r="221" spans="1:12" x14ac:dyDescent="0.25">
      <c r="A221" s="5" t="s">
        <v>6988</v>
      </c>
      <c r="B221" s="5" t="s">
        <v>6987</v>
      </c>
      <c r="C221" s="5" t="s">
        <v>22</v>
      </c>
      <c r="D221" s="21">
        <v>2</v>
      </c>
      <c r="E221" s="12">
        <v>198</v>
      </c>
      <c r="F221" s="10" t="str">
        <f>_xlfn.XLOOKUP(C221,menu!A:A,menu!B:B)</f>
        <v>Chicken Burger</v>
      </c>
      <c r="G221" s="10" t="str">
        <f>_xlfn.XLOOKUP(C221,menu!A:A,menu!C:C)</f>
        <v>Burger</v>
      </c>
      <c r="H221" s="10">
        <f>_xlfn.XLOOKUP(C221,menu!A:A,menu!E:E)</f>
        <v>30</v>
      </c>
      <c r="I221" s="10">
        <f t="shared" si="3"/>
        <v>60</v>
      </c>
      <c r="K221" s="10"/>
      <c r="L221" s="5"/>
    </row>
    <row r="222" spans="1:12" x14ac:dyDescent="0.25">
      <c r="A222" s="5" t="s">
        <v>6986</v>
      </c>
      <c r="B222" s="5" t="s">
        <v>6985</v>
      </c>
      <c r="C222" s="5" t="s">
        <v>38</v>
      </c>
      <c r="D222" s="21">
        <v>1</v>
      </c>
      <c r="E222" s="12">
        <v>149</v>
      </c>
      <c r="F222" s="10" t="str">
        <f>_xlfn.XLOOKUP(C222,menu!A:A,menu!B:B)</f>
        <v>Chicken Wings</v>
      </c>
      <c r="G222" s="10" t="str">
        <f>_xlfn.XLOOKUP(C222,menu!A:A,menu!C:C)</f>
        <v>Starters</v>
      </c>
      <c r="H222" s="10">
        <f>_xlfn.XLOOKUP(C222,menu!A:A,menu!E:E)</f>
        <v>45</v>
      </c>
      <c r="I222" s="10">
        <f t="shared" si="3"/>
        <v>45</v>
      </c>
      <c r="K222" s="10"/>
      <c r="L222" s="5"/>
    </row>
    <row r="223" spans="1:12" x14ac:dyDescent="0.25">
      <c r="A223" s="5" t="s">
        <v>6984</v>
      </c>
      <c r="B223" s="5" t="s">
        <v>6982</v>
      </c>
      <c r="C223" s="5" t="s">
        <v>10</v>
      </c>
      <c r="D223" s="21">
        <v>2</v>
      </c>
      <c r="E223" s="12">
        <v>238</v>
      </c>
      <c r="F223" s="10" t="str">
        <f>_xlfn.XLOOKUP(C223,menu!A:A,menu!B:B)</f>
        <v>Chicken Sandwich</v>
      </c>
      <c r="G223" s="10" t="str">
        <f>_xlfn.XLOOKUP(C223,menu!A:A,menu!C:C)</f>
        <v>Sandwich</v>
      </c>
      <c r="H223" s="10">
        <f>_xlfn.XLOOKUP(C223,menu!A:A,menu!E:E)</f>
        <v>36</v>
      </c>
      <c r="I223" s="10">
        <f t="shared" si="3"/>
        <v>72</v>
      </c>
      <c r="K223" s="10"/>
      <c r="L223" s="5"/>
    </row>
    <row r="224" spans="1:12" x14ac:dyDescent="0.25">
      <c r="A224" s="5" t="s">
        <v>6983</v>
      </c>
      <c r="B224" s="5" t="s">
        <v>6982</v>
      </c>
      <c r="C224" s="5" t="s">
        <v>42</v>
      </c>
      <c r="D224" s="21">
        <v>1</v>
      </c>
      <c r="E224" s="12">
        <v>149</v>
      </c>
      <c r="F224" s="10" t="str">
        <f>_xlfn.XLOOKUP(C224,menu!A:A,menu!B:B)</f>
        <v>Chicken Popcorn</v>
      </c>
      <c r="G224" s="10" t="str">
        <f>_xlfn.XLOOKUP(C224,menu!A:A,menu!C:C)</f>
        <v>Starters</v>
      </c>
      <c r="H224" s="10">
        <f>_xlfn.XLOOKUP(C224,menu!A:A,menu!E:E)</f>
        <v>45</v>
      </c>
      <c r="I224" s="10">
        <f t="shared" si="3"/>
        <v>45</v>
      </c>
      <c r="K224" s="10"/>
      <c r="L224" s="5"/>
    </row>
    <row r="225" spans="1:12" x14ac:dyDescent="0.25">
      <c r="A225" s="5" t="s">
        <v>6981</v>
      </c>
      <c r="B225" s="5" t="s">
        <v>6978</v>
      </c>
      <c r="C225" s="5" t="s">
        <v>63</v>
      </c>
      <c r="D225" s="21">
        <v>2</v>
      </c>
      <c r="E225" s="12">
        <v>158</v>
      </c>
      <c r="F225" s="10" t="str">
        <f>_xlfn.XLOOKUP(C225,menu!A:A,menu!B:B)</f>
        <v>Virgin Mojito</v>
      </c>
      <c r="G225" s="10" t="str">
        <f>_xlfn.XLOOKUP(C225,menu!A:A,menu!C:C)</f>
        <v>Beverages</v>
      </c>
      <c r="H225" s="10">
        <f>_xlfn.XLOOKUP(C225,menu!A:A,menu!E:E)</f>
        <v>24</v>
      </c>
      <c r="I225" s="10">
        <f t="shared" si="3"/>
        <v>48</v>
      </c>
      <c r="K225" s="10"/>
      <c r="L225" s="5"/>
    </row>
    <row r="226" spans="1:12" x14ac:dyDescent="0.25">
      <c r="A226" s="5" t="s">
        <v>6980</v>
      </c>
      <c r="B226" s="5" t="s">
        <v>6978</v>
      </c>
      <c r="C226" s="5" t="s">
        <v>44</v>
      </c>
      <c r="D226" s="21">
        <v>2</v>
      </c>
      <c r="E226" s="12">
        <v>318</v>
      </c>
      <c r="F226" s="10" t="str">
        <f>_xlfn.XLOOKUP(C226,menu!A:A,menu!B:B)</f>
        <v>Fried Chicken</v>
      </c>
      <c r="G226" s="10" t="str">
        <f>_xlfn.XLOOKUP(C226,menu!A:A,menu!C:C)</f>
        <v>Starters</v>
      </c>
      <c r="H226" s="10">
        <f>_xlfn.XLOOKUP(C226,menu!A:A,menu!E:E)</f>
        <v>48</v>
      </c>
      <c r="I226" s="10">
        <f t="shared" si="3"/>
        <v>96</v>
      </c>
      <c r="K226" s="10"/>
      <c r="L226" s="5"/>
    </row>
    <row r="227" spans="1:12" x14ac:dyDescent="0.25">
      <c r="A227" s="5" t="s">
        <v>6979</v>
      </c>
      <c r="B227" s="5" t="s">
        <v>6978</v>
      </c>
      <c r="C227" s="5" t="s">
        <v>56</v>
      </c>
      <c r="D227" s="21">
        <v>2</v>
      </c>
      <c r="E227" s="12">
        <v>158</v>
      </c>
      <c r="F227" s="10" t="str">
        <f>_xlfn.XLOOKUP(C227,menu!A:A,menu!B:B)</f>
        <v>Mint Mojito</v>
      </c>
      <c r="G227" s="10" t="str">
        <f>_xlfn.XLOOKUP(C227,menu!A:A,menu!C:C)</f>
        <v>Beverages</v>
      </c>
      <c r="H227" s="10">
        <f>_xlfn.XLOOKUP(C227,menu!A:A,menu!E:E)</f>
        <v>24</v>
      </c>
      <c r="I227" s="10">
        <f t="shared" si="3"/>
        <v>48</v>
      </c>
      <c r="K227" s="10"/>
      <c r="L227" s="5"/>
    </row>
    <row r="228" spans="1:12" x14ac:dyDescent="0.25">
      <c r="A228" s="5" t="s">
        <v>6977</v>
      </c>
      <c r="B228" s="5" t="s">
        <v>6974</v>
      </c>
      <c r="C228" s="5" t="s">
        <v>12</v>
      </c>
      <c r="D228" s="21">
        <v>1</v>
      </c>
      <c r="E228" s="12">
        <v>79</v>
      </c>
      <c r="F228" s="10" t="str">
        <f>_xlfn.XLOOKUP(C228,menu!A:A,menu!B:B)</f>
        <v>Veg Momos</v>
      </c>
      <c r="G228" s="10" t="str">
        <f>_xlfn.XLOOKUP(C228,menu!A:A,menu!C:C)</f>
        <v>Momos</v>
      </c>
      <c r="H228" s="10">
        <f>_xlfn.XLOOKUP(C228,menu!A:A,menu!E:E)</f>
        <v>24</v>
      </c>
      <c r="I228" s="10">
        <f t="shared" si="3"/>
        <v>24</v>
      </c>
      <c r="K228" s="10"/>
      <c r="L228" s="5"/>
    </row>
    <row r="229" spans="1:12" x14ac:dyDescent="0.25">
      <c r="A229" s="5" t="s">
        <v>6976</v>
      </c>
      <c r="B229" s="5" t="s">
        <v>6974</v>
      </c>
      <c r="C229" s="5" t="s">
        <v>50</v>
      </c>
      <c r="D229" s="21">
        <v>3</v>
      </c>
      <c r="E229" s="12">
        <v>447</v>
      </c>
      <c r="F229" s="10" t="str">
        <f>_xlfn.XLOOKUP(C229,menu!A:A,menu!B:B)</f>
        <v>Grab Lollipop</v>
      </c>
      <c r="G229" s="10" t="str">
        <f>_xlfn.XLOOKUP(C229,menu!A:A,menu!C:C)</f>
        <v>Starters</v>
      </c>
      <c r="H229" s="10">
        <f>_xlfn.XLOOKUP(C229,menu!A:A,menu!E:E)</f>
        <v>45</v>
      </c>
      <c r="I229" s="10">
        <f t="shared" si="3"/>
        <v>135</v>
      </c>
      <c r="K229" s="10"/>
      <c r="L229" s="5"/>
    </row>
    <row r="230" spans="1:12" x14ac:dyDescent="0.25">
      <c r="A230" s="5" t="s">
        <v>6975</v>
      </c>
      <c r="B230" s="5" t="s">
        <v>6974</v>
      </c>
      <c r="C230" s="5" t="s">
        <v>19</v>
      </c>
      <c r="D230" s="21">
        <v>5</v>
      </c>
      <c r="E230" s="12">
        <v>395</v>
      </c>
      <c r="F230" s="10" t="str">
        <f>_xlfn.XLOOKUP(C230,menu!A:A,menu!B:B)</f>
        <v>Veg Burger</v>
      </c>
      <c r="G230" s="10" t="str">
        <f>_xlfn.XLOOKUP(C230,menu!A:A,menu!C:C)</f>
        <v>Burger</v>
      </c>
      <c r="H230" s="10">
        <f>_xlfn.XLOOKUP(C230,menu!A:A,menu!E:E)</f>
        <v>24</v>
      </c>
      <c r="I230" s="10">
        <f t="shared" si="3"/>
        <v>120</v>
      </c>
      <c r="K230" s="10"/>
      <c r="L230" s="5"/>
    </row>
    <row r="231" spans="1:12" x14ac:dyDescent="0.25">
      <c r="A231" s="5" t="s">
        <v>6973</v>
      </c>
      <c r="B231" s="5" t="s">
        <v>6971</v>
      </c>
      <c r="C231" s="5" t="s">
        <v>17</v>
      </c>
      <c r="D231" s="21">
        <v>3</v>
      </c>
      <c r="E231" s="12">
        <v>267</v>
      </c>
      <c r="F231" s="10" t="str">
        <f>_xlfn.XLOOKUP(C231,menu!A:A,menu!B:B)</f>
        <v>Paneer Momos</v>
      </c>
      <c r="G231" s="10" t="str">
        <f>_xlfn.XLOOKUP(C231,menu!A:A,menu!C:C)</f>
        <v>Momos</v>
      </c>
      <c r="H231" s="10">
        <f>_xlfn.XLOOKUP(C231,menu!A:A,menu!E:E)</f>
        <v>27</v>
      </c>
      <c r="I231" s="10">
        <f t="shared" si="3"/>
        <v>81</v>
      </c>
      <c r="K231" s="10"/>
      <c r="L231" s="5"/>
    </row>
    <row r="232" spans="1:12" x14ac:dyDescent="0.25">
      <c r="A232" s="5" t="s">
        <v>6972</v>
      </c>
      <c r="B232" s="5" t="s">
        <v>6971</v>
      </c>
      <c r="C232" s="5" t="s">
        <v>12</v>
      </c>
      <c r="D232" s="21">
        <v>1</v>
      </c>
      <c r="E232" s="12">
        <v>79</v>
      </c>
      <c r="F232" s="10" t="str">
        <f>_xlfn.XLOOKUP(C232,menu!A:A,menu!B:B)</f>
        <v>Veg Momos</v>
      </c>
      <c r="G232" s="10" t="str">
        <f>_xlfn.XLOOKUP(C232,menu!A:A,menu!C:C)</f>
        <v>Momos</v>
      </c>
      <c r="H232" s="10">
        <f>_xlfn.XLOOKUP(C232,menu!A:A,menu!E:E)</f>
        <v>24</v>
      </c>
      <c r="I232" s="10">
        <f t="shared" si="3"/>
        <v>24</v>
      </c>
      <c r="K232" s="10"/>
      <c r="L232" s="5"/>
    </row>
    <row r="233" spans="1:12" x14ac:dyDescent="0.25">
      <c r="A233" s="5" t="s">
        <v>6970</v>
      </c>
      <c r="B233" s="5" t="s">
        <v>6968</v>
      </c>
      <c r="C233" s="5" t="s">
        <v>42</v>
      </c>
      <c r="D233" s="21">
        <v>5</v>
      </c>
      <c r="E233" s="12">
        <v>745</v>
      </c>
      <c r="F233" s="10" t="str">
        <f>_xlfn.XLOOKUP(C233,menu!A:A,menu!B:B)</f>
        <v>Chicken Popcorn</v>
      </c>
      <c r="G233" s="10" t="str">
        <f>_xlfn.XLOOKUP(C233,menu!A:A,menu!C:C)</f>
        <v>Starters</v>
      </c>
      <c r="H233" s="10">
        <f>_xlfn.XLOOKUP(C233,menu!A:A,menu!E:E)</f>
        <v>45</v>
      </c>
      <c r="I233" s="10">
        <f t="shared" si="3"/>
        <v>225</v>
      </c>
      <c r="K233" s="10"/>
      <c r="L233" s="5"/>
    </row>
    <row r="234" spans="1:12" x14ac:dyDescent="0.25">
      <c r="A234" s="5" t="s">
        <v>6969</v>
      </c>
      <c r="B234" s="5" t="s">
        <v>6968</v>
      </c>
      <c r="C234" s="5" t="s">
        <v>38</v>
      </c>
      <c r="D234" s="21">
        <v>1</v>
      </c>
      <c r="E234" s="12">
        <v>149</v>
      </c>
      <c r="F234" s="10" t="str">
        <f>_xlfn.XLOOKUP(C234,menu!A:A,menu!B:B)</f>
        <v>Chicken Wings</v>
      </c>
      <c r="G234" s="10" t="str">
        <f>_xlfn.XLOOKUP(C234,menu!A:A,menu!C:C)</f>
        <v>Starters</v>
      </c>
      <c r="H234" s="10">
        <f>_xlfn.XLOOKUP(C234,menu!A:A,menu!E:E)</f>
        <v>45</v>
      </c>
      <c r="I234" s="10">
        <f t="shared" si="3"/>
        <v>45</v>
      </c>
      <c r="K234" s="10"/>
      <c r="L234" s="5"/>
    </row>
    <row r="235" spans="1:12" x14ac:dyDescent="0.25">
      <c r="A235" s="5" t="s">
        <v>6967</v>
      </c>
      <c r="B235" s="5" t="s">
        <v>6965</v>
      </c>
      <c r="C235" s="5" t="s">
        <v>12</v>
      </c>
      <c r="D235" s="21">
        <v>2</v>
      </c>
      <c r="E235" s="12">
        <v>158</v>
      </c>
      <c r="F235" s="10" t="str">
        <f>_xlfn.XLOOKUP(C235,menu!A:A,menu!B:B)</f>
        <v>Veg Momos</v>
      </c>
      <c r="G235" s="10" t="str">
        <f>_xlfn.XLOOKUP(C235,menu!A:A,menu!C:C)</f>
        <v>Momos</v>
      </c>
      <c r="H235" s="10">
        <f>_xlfn.XLOOKUP(C235,menu!A:A,menu!E:E)</f>
        <v>24</v>
      </c>
      <c r="I235" s="10">
        <f t="shared" si="3"/>
        <v>48</v>
      </c>
      <c r="K235" s="10"/>
      <c r="L235" s="5"/>
    </row>
    <row r="236" spans="1:12" x14ac:dyDescent="0.25">
      <c r="A236" s="5" t="s">
        <v>6966</v>
      </c>
      <c r="B236" s="5" t="s">
        <v>6965</v>
      </c>
      <c r="C236" s="5" t="s">
        <v>52</v>
      </c>
      <c r="D236" s="21">
        <v>2</v>
      </c>
      <c r="E236" s="12">
        <v>198</v>
      </c>
      <c r="F236" s="10" t="str">
        <f>_xlfn.XLOOKUP(C236,menu!A:A,menu!B:B)</f>
        <v>French Fries</v>
      </c>
      <c r="G236" s="10" t="str">
        <f>_xlfn.XLOOKUP(C236,menu!A:A,menu!C:C)</f>
        <v>Starters</v>
      </c>
      <c r="H236" s="10">
        <f>_xlfn.XLOOKUP(C236,menu!A:A,menu!E:E)</f>
        <v>30</v>
      </c>
      <c r="I236" s="10">
        <f t="shared" si="3"/>
        <v>60</v>
      </c>
      <c r="K236" s="10"/>
      <c r="L236" s="5"/>
    </row>
    <row r="237" spans="1:12" x14ac:dyDescent="0.25">
      <c r="A237" s="5" t="s">
        <v>6964</v>
      </c>
      <c r="B237" s="5" t="s">
        <v>6960</v>
      </c>
      <c r="C237" s="5" t="s">
        <v>63</v>
      </c>
      <c r="D237" s="21">
        <v>2</v>
      </c>
      <c r="E237" s="12">
        <v>158</v>
      </c>
      <c r="F237" s="10" t="str">
        <f>_xlfn.XLOOKUP(C237,menu!A:A,menu!B:B)</f>
        <v>Virgin Mojito</v>
      </c>
      <c r="G237" s="10" t="str">
        <f>_xlfn.XLOOKUP(C237,menu!A:A,menu!C:C)</f>
        <v>Beverages</v>
      </c>
      <c r="H237" s="10">
        <f>_xlfn.XLOOKUP(C237,menu!A:A,menu!E:E)</f>
        <v>24</v>
      </c>
      <c r="I237" s="10">
        <f t="shared" si="3"/>
        <v>48</v>
      </c>
      <c r="K237" s="10"/>
      <c r="L237" s="5"/>
    </row>
    <row r="238" spans="1:12" x14ac:dyDescent="0.25">
      <c r="A238" s="5" t="s">
        <v>6963</v>
      </c>
      <c r="B238" s="5" t="s">
        <v>6960</v>
      </c>
      <c r="C238" s="5" t="s">
        <v>35</v>
      </c>
      <c r="D238" s="21">
        <v>3</v>
      </c>
      <c r="E238" s="12">
        <v>357</v>
      </c>
      <c r="F238" s="10" t="str">
        <f>_xlfn.XLOOKUP(C238,menu!A:A,menu!B:B)</f>
        <v>Chicken Nuggets</v>
      </c>
      <c r="G238" s="10" t="str">
        <f>_xlfn.XLOOKUP(C238,menu!A:A,menu!C:C)</f>
        <v>Starters</v>
      </c>
      <c r="H238" s="10">
        <f>_xlfn.XLOOKUP(C238,menu!A:A,menu!E:E)</f>
        <v>36</v>
      </c>
      <c r="I238" s="10">
        <f t="shared" si="3"/>
        <v>108</v>
      </c>
      <c r="K238" s="10"/>
      <c r="L238" s="5"/>
    </row>
    <row r="239" spans="1:12" x14ac:dyDescent="0.25">
      <c r="A239" s="5" t="s">
        <v>6962</v>
      </c>
      <c r="B239" s="5" t="s">
        <v>6960</v>
      </c>
      <c r="C239" s="5" t="s">
        <v>15</v>
      </c>
      <c r="D239" s="21">
        <v>1</v>
      </c>
      <c r="E239" s="12">
        <v>99</v>
      </c>
      <c r="F239" s="10" t="str">
        <f>_xlfn.XLOOKUP(C239,menu!A:A,menu!B:B)</f>
        <v>Chicken Momos</v>
      </c>
      <c r="G239" s="10" t="str">
        <f>_xlfn.XLOOKUP(C239,menu!A:A,menu!C:C)</f>
        <v>Momos</v>
      </c>
      <c r="H239" s="10">
        <f>_xlfn.XLOOKUP(C239,menu!A:A,menu!E:E)</f>
        <v>30</v>
      </c>
      <c r="I239" s="10">
        <f t="shared" si="3"/>
        <v>30</v>
      </c>
      <c r="K239" s="10"/>
      <c r="L239" s="5"/>
    </row>
    <row r="240" spans="1:12" x14ac:dyDescent="0.25">
      <c r="A240" s="5" t="s">
        <v>6961</v>
      </c>
      <c r="B240" s="5" t="s">
        <v>6960</v>
      </c>
      <c r="C240" s="5" t="s">
        <v>33</v>
      </c>
      <c r="D240" s="21">
        <v>2</v>
      </c>
      <c r="E240" s="12">
        <v>138</v>
      </c>
      <c r="F240" s="10" t="str">
        <f>_xlfn.XLOOKUP(C240,menu!A:A,menu!B:B)</f>
        <v>Spring Roll</v>
      </c>
      <c r="G240" s="10" t="str">
        <f>_xlfn.XLOOKUP(C240,menu!A:A,menu!C:C)</f>
        <v>Rolls</v>
      </c>
      <c r="H240" s="10">
        <f>_xlfn.XLOOKUP(C240,menu!A:A,menu!E:E)</f>
        <v>21</v>
      </c>
      <c r="I240" s="10">
        <f t="shared" si="3"/>
        <v>42</v>
      </c>
      <c r="K240" s="10"/>
      <c r="L240" s="5"/>
    </row>
    <row r="241" spans="1:12" x14ac:dyDescent="0.25">
      <c r="A241" s="5" t="s">
        <v>6959</v>
      </c>
      <c r="B241" s="5" t="s">
        <v>6955</v>
      </c>
      <c r="C241" s="5" t="s">
        <v>17</v>
      </c>
      <c r="D241" s="21">
        <v>2</v>
      </c>
      <c r="E241" s="12">
        <v>178</v>
      </c>
      <c r="F241" s="10" t="str">
        <f>_xlfn.XLOOKUP(C241,menu!A:A,menu!B:B)</f>
        <v>Paneer Momos</v>
      </c>
      <c r="G241" s="10" t="str">
        <f>_xlfn.XLOOKUP(C241,menu!A:A,menu!C:C)</f>
        <v>Momos</v>
      </c>
      <c r="H241" s="10">
        <f>_xlfn.XLOOKUP(C241,menu!A:A,menu!E:E)</f>
        <v>27</v>
      </c>
      <c r="I241" s="10">
        <f t="shared" si="3"/>
        <v>54</v>
      </c>
      <c r="K241" s="10"/>
      <c r="L241" s="5"/>
    </row>
    <row r="242" spans="1:12" x14ac:dyDescent="0.25">
      <c r="A242" s="5" t="s">
        <v>6958</v>
      </c>
      <c r="B242" s="5" t="s">
        <v>6955</v>
      </c>
      <c r="C242" s="5" t="s">
        <v>63</v>
      </c>
      <c r="D242" s="21">
        <v>2</v>
      </c>
      <c r="E242" s="12">
        <v>158</v>
      </c>
      <c r="F242" s="10" t="str">
        <f>_xlfn.XLOOKUP(C242,menu!A:A,menu!B:B)</f>
        <v>Virgin Mojito</v>
      </c>
      <c r="G242" s="10" t="str">
        <f>_xlfn.XLOOKUP(C242,menu!A:A,menu!C:C)</f>
        <v>Beverages</v>
      </c>
      <c r="H242" s="10">
        <f>_xlfn.XLOOKUP(C242,menu!A:A,menu!E:E)</f>
        <v>24</v>
      </c>
      <c r="I242" s="10">
        <f t="shared" si="3"/>
        <v>48</v>
      </c>
      <c r="K242" s="10"/>
      <c r="L242" s="5"/>
    </row>
    <row r="243" spans="1:12" x14ac:dyDescent="0.25">
      <c r="A243" s="5" t="s">
        <v>6957</v>
      </c>
      <c r="B243" s="5" t="s">
        <v>6955</v>
      </c>
      <c r="C243" s="5" t="s">
        <v>15</v>
      </c>
      <c r="D243" s="21">
        <v>2</v>
      </c>
      <c r="E243" s="12">
        <v>198</v>
      </c>
      <c r="F243" s="10" t="str">
        <f>_xlfn.XLOOKUP(C243,menu!A:A,menu!B:B)</f>
        <v>Chicken Momos</v>
      </c>
      <c r="G243" s="10" t="str">
        <f>_xlfn.XLOOKUP(C243,menu!A:A,menu!C:C)</f>
        <v>Momos</v>
      </c>
      <c r="H243" s="10">
        <f>_xlfn.XLOOKUP(C243,menu!A:A,menu!E:E)</f>
        <v>30</v>
      </c>
      <c r="I243" s="10">
        <f t="shared" si="3"/>
        <v>60</v>
      </c>
      <c r="K243" s="10"/>
      <c r="L243" s="5"/>
    </row>
    <row r="244" spans="1:12" x14ac:dyDescent="0.25">
      <c r="A244" s="5" t="s">
        <v>6956</v>
      </c>
      <c r="B244" s="5" t="s">
        <v>6955</v>
      </c>
      <c r="C244" s="5" t="s">
        <v>48</v>
      </c>
      <c r="D244" s="21">
        <v>3</v>
      </c>
      <c r="E244" s="12">
        <v>477</v>
      </c>
      <c r="F244" s="10" t="str">
        <f>_xlfn.XLOOKUP(C244,menu!A:A,menu!B:B)</f>
        <v>Chicken Lollipop</v>
      </c>
      <c r="G244" s="10" t="str">
        <f>_xlfn.XLOOKUP(C244,menu!A:A,menu!C:C)</f>
        <v>Starters</v>
      </c>
      <c r="H244" s="10">
        <f>_xlfn.XLOOKUP(C244,menu!A:A,menu!E:E)</f>
        <v>48</v>
      </c>
      <c r="I244" s="10">
        <f t="shared" si="3"/>
        <v>144</v>
      </c>
      <c r="K244" s="10"/>
      <c r="L244" s="5"/>
    </row>
    <row r="245" spans="1:12" x14ac:dyDescent="0.25">
      <c r="A245" s="5" t="s">
        <v>6954</v>
      </c>
      <c r="B245" s="5" t="s">
        <v>6950</v>
      </c>
      <c r="C245" s="5" t="s">
        <v>5</v>
      </c>
      <c r="D245" s="21">
        <v>1</v>
      </c>
      <c r="E245" s="12">
        <v>79</v>
      </c>
      <c r="F245" s="10" t="str">
        <f>_xlfn.XLOOKUP(C245,menu!A:A,menu!B:B)</f>
        <v>Veg Sandwich</v>
      </c>
      <c r="G245" s="10" t="str">
        <f>_xlfn.XLOOKUP(C245,menu!A:A,menu!C:C)</f>
        <v>Sandwich</v>
      </c>
      <c r="H245" s="10">
        <f>_xlfn.XLOOKUP(C245,menu!A:A,menu!E:E)</f>
        <v>24</v>
      </c>
      <c r="I245" s="10">
        <f t="shared" si="3"/>
        <v>24</v>
      </c>
      <c r="K245" s="10"/>
      <c r="L245" s="5"/>
    </row>
    <row r="246" spans="1:12" x14ac:dyDescent="0.25">
      <c r="A246" s="5" t="s">
        <v>6953</v>
      </c>
      <c r="B246" s="5" t="s">
        <v>6950</v>
      </c>
      <c r="C246" s="5" t="s">
        <v>33</v>
      </c>
      <c r="D246" s="21">
        <v>1</v>
      </c>
      <c r="E246" s="12">
        <v>69</v>
      </c>
      <c r="F246" s="10" t="str">
        <f>_xlfn.XLOOKUP(C246,menu!A:A,menu!B:B)</f>
        <v>Spring Roll</v>
      </c>
      <c r="G246" s="10" t="str">
        <f>_xlfn.XLOOKUP(C246,menu!A:A,menu!C:C)</f>
        <v>Rolls</v>
      </c>
      <c r="H246" s="10">
        <f>_xlfn.XLOOKUP(C246,menu!A:A,menu!E:E)</f>
        <v>21</v>
      </c>
      <c r="I246" s="10">
        <f t="shared" si="3"/>
        <v>21</v>
      </c>
      <c r="K246" s="10"/>
      <c r="L246" s="5"/>
    </row>
    <row r="247" spans="1:12" x14ac:dyDescent="0.25">
      <c r="A247" s="5" t="s">
        <v>6952</v>
      </c>
      <c r="B247" s="5" t="s">
        <v>6950</v>
      </c>
      <c r="C247" s="5" t="s">
        <v>31</v>
      </c>
      <c r="D247" s="21">
        <v>1</v>
      </c>
      <c r="E247" s="12">
        <v>89</v>
      </c>
      <c r="F247" s="10" t="str">
        <f>_xlfn.XLOOKUP(C247,menu!A:A,menu!B:B)</f>
        <v>Chicken Roll</v>
      </c>
      <c r="G247" s="10" t="str">
        <f>_xlfn.XLOOKUP(C247,menu!A:A,menu!C:C)</f>
        <v>Rolls</v>
      </c>
      <c r="H247" s="10">
        <f>_xlfn.XLOOKUP(C247,menu!A:A,menu!E:E)</f>
        <v>27</v>
      </c>
      <c r="I247" s="10">
        <f t="shared" si="3"/>
        <v>27</v>
      </c>
      <c r="K247" s="10"/>
      <c r="L247" s="5"/>
    </row>
    <row r="248" spans="1:12" x14ac:dyDescent="0.25">
      <c r="A248" s="5" t="s">
        <v>6951</v>
      </c>
      <c r="B248" s="5" t="s">
        <v>6950</v>
      </c>
      <c r="C248" s="5" t="s">
        <v>12</v>
      </c>
      <c r="D248" s="21">
        <v>3</v>
      </c>
      <c r="E248" s="12">
        <v>237</v>
      </c>
      <c r="F248" s="10" t="str">
        <f>_xlfn.XLOOKUP(C248,menu!A:A,menu!B:B)</f>
        <v>Veg Momos</v>
      </c>
      <c r="G248" s="10" t="str">
        <f>_xlfn.XLOOKUP(C248,menu!A:A,menu!C:C)</f>
        <v>Momos</v>
      </c>
      <c r="H248" s="10">
        <f>_xlfn.XLOOKUP(C248,menu!A:A,menu!E:E)</f>
        <v>24</v>
      </c>
      <c r="I248" s="10">
        <f t="shared" si="3"/>
        <v>72</v>
      </c>
      <c r="K248" s="10"/>
      <c r="L248" s="5"/>
    </row>
    <row r="249" spans="1:12" x14ac:dyDescent="0.25">
      <c r="A249" s="5" t="s">
        <v>6949</v>
      </c>
      <c r="B249" s="5" t="s">
        <v>6946</v>
      </c>
      <c r="C249" s="5" t="s">
        <v>12</v>
      </c>
      <c r="D249" s="21">
        <v>3</v>
      </c>
      <c r="E249" s="12">
        <v>237</v>
      </c>
      <c r="F249" s="10" t="str">
        <f>_xlfn.XLOOKUP(C249,menu!A:A,menu!B:B)</f>
        <v>Veg Momos</v>
      </c>
      <c r="G249" s="10" t="str">
        <f>_xlfn.XLOOKUP(C249,menu!A:A,menu!C:C)</f>
        <v>Momos</v>
      </c>
      <c r="H249" s="10">
        <f>_xlfn.XLOOKUP(C249,menu!A:A,menu!E:E)</f>
        <v>24</v>
      </c>
      <c r="I249" s="10">
        <f t="shared" si="3"/>
        <v>72</v>
      </c>
      <c r="K249" s="10"/>
      <c r="L249" s="5"/>
    </row>
    <row r="250" spans="1:12" x14ac:dyDescent="0.25">
      <c r="A250" s="5" t="s">
        <v>6948</v>
      </c>
      <c r="B250" s="5" t="s">
        <v>6946</v>
      </c>
      <c r="C250" s="5" t="s">
        <v>54</v>
      </c>
      <c r="D250" s="21">
        <v>2</v>
      </c>
      <c r="E250" s="12">
        <v>278</v>
      </c>
      <c r="F250" s="10" t="str">
        <f>_xlfn.XLOOKUP(C250,menu!A:A,menu!B:B)</f>
        <v>Chicken Strips</v>
      </c>
      <c r="G250" s="10" t="str">
        <f>_xlfn.XLOOKUP(C250,menu!A:A,menu!C:C)</f>
        <v>Starters</v>
      </c>
      <c r="H250" s="10">
        <f>_xlfn.XLOOKUP(C250,menu!A:A,menu!E:E)</f>
        <v>42</v>
      </c>
      <c r="I250" s="10">
        <f t="shared" si="3"/>
        <v>84</v>
      </c>
      <c r="K250" s="10"/>
      <c r="L250" s="5"/>
    </row>
    <row r="251" spans="1:12" x14ac:dyDescent="0.25">
      <c r="A251" s="5" t="s">
        <v>6947</v>
      </c>
      <c r="B251" s="5" t="s">
        <v>6946</v>
      </c>
      <c r="C251" s="5" t="s">
        <v>48</v>
      </c>
      <c r="D251" s="21">
        <v>1</v>
      </c>
      <c r="E251" s="12">
        <v>159</v>
      </c>
      <c r="F251" s="10" t="str">
        <f>_xlfn.XLOOKUP(C251,menu!A:A,menu!B:B)</f>
        <v>Chicken Lollipop</v>
      </c>
      <c r="G251" s="10" t="str">
        <f>_xlfn.XLOOKUP(C251,menu!A:A,menu!C:C)</f>
        <v>Starters</v>
      </c>
      <c r="H251" s="10">
        <f>_xlfn.XLOOKUP(C251,menu!A:A,menu!E:E)</f>
        <v>48</v>
      </c>
      <c r="I251" s="10">
        <f t="shared" si="3"/>
        <v>48</v>
      </c>
      <c r="K251" s="10"/>
      <c r="L251" s="5"/>
    </row>
    <row r="252" spans="1:12" x14ac:dyDescent="0.25">
      <c r="A252" s="5" t="s">
        <v>6945</v>
      </c>
      <c r="B252" s="5" t="s">
        <v>6941</v>
      </c>
      <c r="C252" s="5" t="s">
        <v>17</v>
      </c>
      <c r="D252" s="21">
        <v>3</v>
      </c>
      <c r="E252" s="12">
        <v>267</v>
      </c>
      <c r="F252" s="10" t="str">
        <f>_xlfn.XLOOKUP(C252,menu!A:A,menu!B:B)</f>
        <v>Paneer Momos</v>
      </c>
      <c r="G252" s="10" t="str">
        <f>_xlfn.XLOOKUP(C252,menu!A:A,menu!C:C)</f>
        <v>Momos</v>
      </c>
      <c r="H252" s="10">
        <f>_xlfn.XLOOKUP(C252,menu!A:A,menu!E:E)</f>
        <v>27</v>
      </c>
      <c r="I252" s="10">
        <f t="shared" si="3"/>
        <v>81</v>
      </c>
      <c r="K252" s="10"/>
      <c r="L252" s="5"/>
    </row>
    <row r="253" spans="1:12" x14ac:dyDescent="0.25">
      <c r="A253" s="5" t="s">
        <v>6944</v>
      </c>
      <c r="B253" s="5" t="s">
        <v>6941</v>
      </c>
      <c r="C253" s="5" t="s">
        <v>50</v>
      </c>
      <c r="D253" s="21">
        <v>1</v>
      </c>
      <c r="E253" s="12">
        <v>149</v>
      </c>
      <c r="F253" s="10" t="str">
        <f>_xlfn.XLOOKUP(C253,menu!A:A,menu!B:B)</f>
        <v>Grab Lollipop</v>
      </c>
      <c r="G253" s="10" t="str">
        <f>_xlfn.XLOOKUP(C253,menu!A:A,menu!C:C)</f>
        <v>Starters</v>
      </c>
      <c r="H253" s="10">
        <f>_xlfn.XLOOKUP(C253,menu!A:A,menu!E:E)</f>
        <v>45</v>
      </c>
      <c r="I253" s="10">
        <f t="shared" si="3"/>
        <v>45</v>
      </c>
      <c r="K253" s="10"/>
      <c r="L253" s="5"/>
    </row>
    <row r="254" spans="1:12" x14ac:dyDescent="0.25">
      <c r="A254" s="5" t="s">
        <v>6943</v>
      </c>
      <c r="B254" s="5" t="s">
        <v>6941</v>
      </c>
      <c r="C254" s="5" t="s">
        <v>8</v>
      </c>
      <c r="D254" s="21">
        <v>1</v>
      </c>
      <c r="E254" s="12">
        <v>99</v>
      </c>
      <c r="F254" s="10" t="str">
        <f>_xlfn.XLOOKUP(C254,menu!A:A,menu!B:B)</f>
        <v>Paneer Sandwich</v>
      </c>
      <c r="G254" s="10" t="str">
        <f>_xlfn.XLOOKUP(C254,menu!A:A,menu!C:C)</f>
        <v>Sandwich</v>
      </c>
      <c r="H254" s="10">
        <f>_xlfn.XLOOKUP(C254,menu!A:A,menu!E:E)</f>
        <v>30</v>
      </c>
      <c r="I254" s="10">
        <f t="shared" si="3"/>
        <v>30</v>
      </c>
      <c r="K254" s="10"/>
      <c r="L254" s="5"/>
    </row>
    <row r="255" spans="1:12" x14ac:dyDescent="0.25">
      <c r="A255" s="5" t="s">
        <v>6942</v>
      </c>
      <c r="B255" s="5" t="s">
        <v>6941</v>
      </c>
      <c r="C255" s="5" t="s">
        <v>54</v>
      </c>
      <c r="D255" s="21">
        <v>2</v>
      </c>
      <c r="E255" s="12">
        <v>278</v>
      </c>
      <c r="F255" s="10" t="str">
        <f>_xlfn.XLOOKUP(C255,menu!A:A,menu!B:B)</f>
        <v>Chicken Strips</v>
      </c>
      <c r="G255" s="10" t="str">
        <f>_xlfn.XLOOKUP(C255,menu!A:A,menu!C:C)</f>
        <v>Starters</v>
      </c>
      <c r="H255" s="10">
        <f>_xlfn.XLOOKUP(C255,menu!A:A,menu!E:E)</f>
        <v>42</v>
      </c>
      <c r="I255" s="10">
        <f t="shared" si="3"/>
        <v>84</v>
      </c>
      <c r="K255" s="10"/>
      <c r="L255" s="5"/>
    </row>
    <row r="256" spans="1:12" x14ac:dyDescent="0.25">
      <c r="A256" s="5" t="s">
        <v>6940</v>
      </c>
      <c r="B256" s="5" t="s">
        <v>6938</v>
      </c>
      <c r="C256" s="5" t="s">
        <v>10</v>
      </c>
      <c r="D256" s="21">
        <v>5</v>
      </c>
      <c r="E256" s="12">
        <v>595</v>
      </c>
      <c r="F256" s="10" t="str">
        <f>_xlfn.XLOOKUP(C256,menu!A:A,menu!B:B)</f>
        <v>Chicken Sandwich</v>
      </c>
      <c r="G256" s="10" t="str">
        <f>_xlfn.XLOOKUP(C256,menu!A:A,menu!C:C)</f>
        <v>Sandwich</v>
      </c>
      <c r="H256" s="10">
        <f>_xlfn.XLOOKUP(C256,menu!A:A,menu!E:E)</f>
        <v>36</v>
      </c>
      <c r="I256" s="10">
        <f t="shared" si="3"/>
        <v>180</v>
      </c>
      <c r="K256" s="10"/>
      <c r="L256" s="5"/>
    </row>
    <row r="257" spans="1:12" x14ac:dyDescent="0.25">
      <c r="A257" s="5" t="s">
        <v>6939</v>
      </c>
      <c r="B257" s="5" t="s">
        <v>6938</v>
      </c>
      <c r="C257" s="5" t="s">
        <v>65</v>
      </c>
      <c r="D257" s="21">
        <v>3</v>
      </c>
      <c r="E257" s="12">
        <v>147</v>
      </c>
      <c r="F257" s="10" t="str">
        <f>_xlfn.XLOOKUP(C257,menu!A:A,menu!B:B)</f>
        <v>Lemon Juice</v>
      </c>
      <c r="G257" s="10" t="str">
        <f>_xlfn.XLOOKUP(C257,menu!A:A,menu!C:C)</f>
        <v>Beverages</v>
      </c>
      <c r="H257" s="10">
        <f>_xlfn.XLOOKUP(C257,menu!A:A,menu!E:E)</f>
        <v>15</v>
      </c>
      <c r="I257" s="10">
        <f t="shared" si="3"/>
        <v>45</v>
      </c>
      <c r="K257" s="10"/>
      <c r="L257" s="5"/>
    </row>
    <row r="258" spans="1:12" x14ac:dyDescent="0.25">
      <c r="A258" s="5" t="s">
        <v>6937</v>
      </c>
      <c r="B258" s="5" t="s">
        <v>6935</v>
      </c>
      <c r="C258" s="5" t="s">
        <v>8</v>
      </c>
      <c r="D258" s="21">
        <v>4</v>
      </c>
      <c r="E258" s="12">
        <v>396</v>
      </c>
      <c r="F258" s="10" t="str">
        <f>_xlfn.XLOOKUP(C258,menu!A:A,menu!B:B)</f>
        <v>Paneer Sandwich</v>
      </c>
      <c r="G258" s="10" t="str">
        <f>_xlfn.XLOOKUP(C258,menu!A:A,menu!C:C)</f>
        <v>Sandwich</v>
      </c>
      <c r="H258" s="10">
        <f>_xlfn.XLOOKUP(C258,menu!A:A,menu!E:E)</f>
        <v>30</v>
      </c>
      <c r="I258" s="10">
        <f t="shared" si="3"/>
        <v>120</v>
      </c>
      <c r="K258" s="10"/>
      <c r="L258" s="5"/>
    </row>
    <row r="259" spans="1:12" x14ac:dyDescent="0.25">
      <c r="A259" s="5" t="s">
        <v>6936</v>
      </c>
      <c r="B259" s="5" t="s">
        <v>6935</v>
      </c>
      <c r="C259" s="5" t="s">
        <v>61</v>
      </c>
      <c r="D259" s="21">
        <v>2</v>
      </c>
      <c r="E259" s="12">
        <v>158</v>
      </c>
      <c r="F259" s="10" t="str">
        <f>_xlfn.XLOOKUP(C259,menu!A:A,menu!B:B)</f>
        <v>Watermelon Mojito</v>
      </c>
      <c r="G259" s="10" t="str">
        <f>_xlfn.XLOOKUP(C259,menu!A:A,menu!C:C)</f>
        <v>Beverages</v>
      </c>
      <c r="H259" s="10">
        <f>_xlfn.XLOOKUP(C259,menu!A:A,menu!E:E)</f>
        <v>24</v>
      </c>
      <c r="I259" s="10">
        <f t="shared" ref="I259:I322" si="4">D259*H259</f>
        <v>48</v>
      </c>
      <c r="K259" s="10"/>
      <c r="L259" s="5"/>
    </row>
    <row r="260" spans="1:12" x14ac:dyDescent="0.25">
      <c r="A260" s="5" t="s">
        <v>6934</v>
      </c>
      <c r="B260" s="5" t="s">
        <v>6931</v>
      </c>
      <c r="C260" s="5" t="s">
        <v>19</v>
      </c>
      <c r="D260" s="21">
        <v>1</v>
      </c>
      <c r="E260" s="12">
        <v>79</v>
      </c>
      <c r="F260" s="10" t="str">
        <f>_xlfn.XLOOKUP(C260,menu!A:A,menu!B:B)</f>
        <v>Veg Burger</v>
      </c>
      <c r="G260" s="10" t="str">
        <f>_xlfn.XLOOKUP(C260,menu!A:A,menu!C:C)</f>
        <v>Burger</v>
      </c>
      <c r="H260" s="10">
        <f>_xlfn.XLOOKUP(C260,menu!A:A,menu!E:E)</f>
        <v>24</v>
      </c>
      <c r="I260" s="10">
        <f t="shared" si="4"/>
        <v>24</v>
      </c>
      <c r="K260" s="10"/>
      <c r="L260" s="5"/>
    </row>
    <row r="261" spans="1:12" x14ac:dyDescent="0.25">
      <c r="A261" s="5" t="s">
        <v>6933</v>
      </c>
      <c r="B261" s="5" t="s">
        <v>6931</v>
      </c>
      <c r="C261" s="5" t="s">
        <v>17</v>
      </c>
      <c r="D261" s="21">
        <v>2</v>
      </c>
      <c r="E261" s="12">
        <v>178</v>
      </c>
      <c r="F261" s="10" t="str">
        <f>_xlfn.XLOOKUP(C261,menu!A:A,menu!B:B)</f>
        <v>Paneer Momos</v>
      </c>
      <c r="G261" s="10" t="str">
        <f>_xlfn.XLOOKUP(C261,menu!A:A,menu!C:C)</f>
        <v>Momos</v>
      </c>
      <c r="H261" s="10">
        <f>_xlfn.XLOOKUP(C261,menu!A:A,menu!E:E)</f>
        <v>27</v>
      </c>
      <c r="I261" s="10">
        <f t="shared" si="4"/>
        <v>54</v>
      </c>
      <c r="K261" s="10"/>
      <c r="L261" s="5"/>
    </row>
    <row r="262" spans="1:12" x14ac:dyDescent="0.25">
      <c r="A262" s="5" t="s">
        <v>6932</v>
      </c>
      <c r="B262" s="5" t="s">
        <v>6931</v>
      </c>
      <c r="C262" s="5" t="s">
        <v>26</v>
      </c>
      <c r="D262" s="21">
        <v>1</v>
      </c>
      <c r="E262" s="12">
        <v>59</v>
      </c>
      <c r="F262" s="10" t="str">
        <f>_xlfn.XLOOKUP(C262,menu!A:A,menu!B:B)</f>
        <v>Veg Roll</v>
      </c>
      <c r="G262" s="10" t="str">
        <f>_xlfn.XLOOKUP(C262,menu!A:A,menu!C:C)</f>
        <v>Rolls</v>
      </c>
      <c r="H262" s="10">
        <f>_xlfn.XLOOKUP(C262,menu!A:A,menu!E:E)</f>
        <v>18</v>
      </c>
      <c r="I262" s="10">
        <f t="shared" si="4"/>
        <v>18</v>
      </c>
      <c r="K262" s="10"/>
      <c r="L262" s="5"/>
    </row>
    <row r="263" spans="1:12" x14ac:dyDescent="0.25">
      <c r="A263" s="5" t="s">
        <v>6930</v>
      </c>
      <c r="B263" s="5" t="s">
        <v>6926</v>
      </c>
      <c r="C263" s="5" t="s">
        <v>35</v>
      </c>
      <c r="D263" s="21">
        <v>2</v>
      </c>
      <c r="E263" s="12">
        <v>238</v>
      </c>
      <c r="F263" s="10" t="str">
        <f>_xlfn.XLOOKUP(C263,menu!A:A,menu!B:B)</f>
        <v>Chicken Nuggets</v>
      </c>
      <c r="G263" s="10" t="str">
        <f>_xlfn.XLOOKUP(C263,menu!A:A,menu!C:C)</f>
        <v>Starters</v>
      </c>
      <c r="H263" s="10">
        <f>_xlfn.XLOOKUP(C263,menu!A:A,menu!E:E)</f>
        <v>36</v>
      </c>
      <c r="I263" s="10">
        <f t="shared" si="4"/>
        <v>72</v>
      </c>
      <c r="K263" s="10"/>
      <c r="L263" s="5"/>
    </row>
    <row r="264" spans="1:12" x14ac:dyDescent="0.25">
      <c r="A264" s="5" t="s">
        <v>6929</v>
      </c>
      <c r="B264" s="5" t="s">
        <v>6926</v>
      </c>
      <c r="C264" s="5" t="s">
        <v>50</v>
      </c>
      <c r="D264" s="21">
        <v>1</v>
      </c>
      <c r="E264" s="12">
        <v>149</v>
      </c>
      <c r="F264" s="10" t="str">
        <f>_xlfn.XLOOKUP(C264,menu!A:A,menu!B:B)</f>
        <v>Grab Lollipop</v>
      </c>
      <c r="G264" s="10" t="str">
        <f>_xlfn.XLOOKUP(C264,menu!A:A,menu!C:C)</f>
        <v>Starters</v>
      </c>
      <c r="H264" s="10">
        <f>_xlfn.XLOOKUP(C264,menu!A:A,menu!E:E)</f>
        <v>45</v>
      </c>
      <c r="I264" s="10">
        <f t="shared" si="4"/>
        <v>45</v>
      </c>
      <c r="K264" s="10"/>
      <c r="L264" s="5"/>
    </row>
    <row r="265" spans="1:12" x14ac:dyDescent="0.25">
      <c r="A265" s="5" t="s">
        <v>6928</v>
      </c>
      <c r="B265" s="5" t="s">
        <v>6926</v>
      </c>
      <c r="C265" s="5" t="s">
        <v>44</v>
      </c>
      <c r="D265" s="21">
        <v>1</v>
      </c>
      <c r="E265" s="12">
        <v>159</v>
      </c>
      <c r="F265" s="10" t="str">
        <f>_xlfn.XLOOKUP(C265,menu!A:A,menu!B:B)</f>
        <v>Fried Chicken</v>
      </c>
      <c r="G265" s="10" t="str">
        <f>_xlfn.XLOOKUP(C265,menu!A:A,menu!C:C)</f>
        <v>Starters</v>
      </c>
      <c r="H265" s="10">
        <f>_xlfn.XLOOKUP(C265,menu!A:A,menu!E:E)</f>
        <v>48</v>
      </c>
      <c r="I265" s="10">
        <f t="shared" si="4"/>
        <v>48</v>
      </c>
      <c r="K265" s="10"/>
      <c r="L265" s="5"/>
    </row>
    <row r="266" spans="1:12" x14ac:dyDescent="0.25">
      <c r="A266" s="5" t="s">
        <v>6927</v>
      </c>
      <c r="B266" s="5" t="s">
        <v>6926</v>
      </c>
      <c r="C266" s="5" t="s">
        <v>40</v>
      </c>
      <c r="D266" s="21">
        <v>1</v>
      </c>
      <c r="E266" s="12">
        <v>99</v>
      </c>
      <c r="F266" s="10" t="str">
        <f>_xlfn.XLOOKUP(C266,menu!A:A,menu!B:B)</f>
        <v>Veg Nuggets</v>
      </c>
      <c r="G266" s="10" t="str">
        <f>_xlfn.XLOOKUP(C266,menu!A:A,menu!C:C)</f>
        <v>Starters</v>
      </c>
      <c r="H266" s="10">
        <f>_xlfn.XLOOKUP(C266,menu!A:A,menu!E:E)</f>
        <v>30</v>
      </c>
      <c r="I266" s="10">
        <f t="shared" si="4"/>
        <v>30</v>
      </c>
      <c r="K266" s="10"/>
      <c r="L266" s="5"/>
    </row>
    <row r="267" spans="1:12" x14ac:dyDescent="0.25">
      <c r="A267" s="5" t="s">
        <v>6925</v>
      </c>
      <c r="B267" s="5" t="s">
        <v>6923</v>
      </c>
      <c r="C267" s="5" t="s">
        <v>5</v>
      </c>
      <c r="D267" s="21">
        <v>2</v>
      </c>
      <c r="E267" s="12">
        <v>158</v>
      </c>
      <c r="F267" s="10" t="str">
        <f>_xlfn.XLOOKUP(C267,menu!A:A,menu!B:B)</f>
        <v>Veg Sandwich</v>
      </c>
      <c r="G267" s="10" t="str">
        <f>_xlfn.XLOOKUP(C267,menu!A:A,menu!C:C)</f>
        <v>Sandwich</v>
      </c>
      <c r="H267" s="10">
        <f>_xlfn.XLOOKUP(C267,menu!A:A,menu!E:E)</f>
        <v>24</v>
      </c>
      <c r="I267" s="10">
        <f t="shared" si="4"/>
        <v>48</v>
      </c>
      <c r="K267" s="10"/>
      <c r="L267" s="5"/>
    </row>
    <row r="268" spans="1:12" x14ac:dyDescent="0.25">
      <c r="A268" s="5" t="s">
        <v>6924</v>
      </c>
      <c r="B268" s="5" t="s">
        <v>6923</v>
      </c>
      <c r="C268" s="5" t="s">
        <v>48</v>
      </c>
      <c r="D268" s="21">
        <v>3</v>
      </c>
      <c r="E268" s="12">
        <v>477</v>
      </c>
      <c r="F268" s="10" t="str">
        <f>_xlfn.XLOOKUP(C268,menu!A:A,menu!B:B)</f>
        <v>Chicken Lollipop</v>
      </c>
      <c r="G268" s="10" t="str">
        <f>_xlfn.XLOOKUP(C268,menu!A:A,menu!C:C)</f>
        <v>Starters</v>
      </c>
      <c r="H268" s="10">
        <f>_xlfn.XLOOKUP(C268,menu!A:A,menu!E:E)</f>
        <v>48</v>
      </c>
      <c r="I268" s="10">
        <f t="shared" si="4"/>
        <v>144</v>
      </c>
      <c r="K268" s="10"/>
      <c r="L268" s="5"/>
    </row>
    <row r="269" spans="1:12" x14ac:dyDescent="0.25">
      <c r="A269" s="5" t="s">
        <v>6922</v>
      </c>
      <c r="B269" s="5" t="s">
        <v>6918</v>
      </c>
      <c r="C269" s="5" t="s">
        <v>40</v>
      </c>
      <c r="D269" s="21">
        <v>1</v>
      </c>
      <c r="E269" s="12">
        <v>99</v>
      </c>
      <c r="F269" s="10" t="str">
        <f>_xlfn.XLOOKUP(C269,menu!A:A,menu!B:B)</f>
        <v>Veg Nuggets</v>
      </c>
      <c r="G269" s="10" t="str">
        <f>_xlfn.XLOOKUP(C269,menu!A:A,menu!C:C)</f>
        <v>Starters</v>
      </c>
      <c r="H269" s="10">
        <f>_xlfn.XLOOKUP(C269,menu!A:A,menu!E:E)</f>
        <v>30</v>
      </c>
      <c r="I269" s="10">
        <f t="shared" si="4"/>
        <v>30</v>
      </c>
      <c r="K269" s="10"/>
      <c r="L269" s="5"/>
    </row>
    <row r="270" spans="1:12" x14ac:dyDescent="0.25">
      <c r="A270" s="5" t="s">
        <v>6921</v>
      </c>
      <c r="B270" s="5" t="s">
        <v>6918</v>
      </c>
      <c r="C270" s="5" t="s">
        <v>63</v>
      </c>
      <c r="D270" s="21">
        <v>2</v>
      </c>
      <c r="E270" s="12">
        <v>158</v>
      </c>
      <c r="F270" s="10" t="str">
        <f>_xlfn.XLOOKUP(C270,menu!A:A,menu!B:B)</f>
        <v>Virgin Mojito</v>
      </c>
      <c r="G270" s="10" t="str">
        <f>_xlfn.XLOOKUP(C270,menu!A:A,menu!C:C)</f>
        <v>Beverages</v>
      </c>
      <c r="H270" s="10">
        <f>_xlfn.XLOOKUP(C270,menu!A:A,menu!E:E)</f>
        <v>24</v>
      </c>
      <c r="I270" s="10">
        <f t="shared" si="4"/>
        <v>48</v>
      </c>
      <c r="K270" s="10"/>
      <c r="L270" s="5"/>
    </row>
    <row r="271" spans="1:12" x14ac:dyDescent="0.25">
      <c r="A271" s="5" t="s">
        <v>6920</v>
      </c>
      <c r="B271" s="5" t="s">
        <v>6918</v>
      </c>
      <c r="C271" s="5" t="s">
        <v>15</v>
      </c>
      <c r="D271" s="21">
        <v>3</v>
      </c>
      <c r="E271" s="12">
        <v>297</v>
      </c>
      <c r="F271" s="10" t="str">
        <f>_xlfn.XLOOKUP(C271,menu!A:A,menu!B:B)</f>
        <v>Chicken Momos</v>
      </c>
      <c r="G271" s="10" t="str">
        <f>_xlfn.XLOOKUP(C271,menu!A:A,menu!C:C)</f>
        <v>Momos</v>
      </c>
      <c r="H271" s="10">
        <f>_xlfn.XLOOKUP(C271,menu!A:A,menu!E:E)</f>
        <v>30</v>
      </c>
      <c r="I271" s="10">
        <f t="shared" si="4"/>
        <v>90</v>
      </c>
      <c r="K271" s="10"/>
      <c r="L271" s="5"/>
    </row>
    <row r="272" spans="1:12" x14ac:dyDescent="0.25">
      <c r="A272" s="5" t="s">
        <v>6919</v>
      </c>
      <c r="B272" s="5" t="s">
        <v>6918</v>
      </c>
      <c r="C272" s="5" t="s">
        <v>5</v>
      </c>
      <c r="D272" s="21">
        <v>3</v>
      </c>
      <c r="E272" s="12">
        <v>237</v>
      </c>
      <c r="F272" s="10" t="str">
        <f>_xlfn.XLOOKUP(C272,menu!A:A,menu!B:B)</f>
        <v>Veg Sandwich</v>
      </c>
      <c r="G272" s="10" t="str">
        <f>_xlfn.XLOOKUP(C272,menu!A:A,menu!C:C)</f>
        <v>Sandwich</v>
      </c>
      <c r="H272" s="10">
        <f>_xlfn.XLOOKUP(C272,menu!A:A,menu!E:E)</f>
        <v>24</v>
      </c>
      <c r="I272" s="10">
        <f t="shared" si="4"/>
        <v>72</v>
      </c>
      <c r="K272" s="10"/>
      <c r="L272" s="5"/>
    </row>
    <row r="273" spans="1:12" x14ac:dyDescent="0.25">
      <c r="A273" s="5" t="s">
        <v>6917</v>
      </c>
      <c r="B273" s="5" t="s">
        <v>6916</v>
      </c>
      <c r="C273" s="5" t="s">
        <v>48</v>
      </c>
      <c r="D273" s="21">
        <v>1</v>
      </c>
      <c r="E273" s="12">
        <v>159</v>
      </c>
      <c r="F273" s="10" t="str">
        <f>_xlfn.XLOOKUP(C273,menu!A:A,menu!B:B)</f>
        <v>Chicken Lollipop</v>
      </c>
      <c r="G273" s="10" t="str">
        <f>_xlfn.XLOOKUP(C273,menu!A:A,menu!C:C)</f>
        <v>Starters</v>
      </c>
      <c r="H273" s="10">
        <f>_xlfn.XLOOKUP(C273,menu!A:A,menu!E:E)</f>
        <v>48</v>
      </c>
      <c r="I273" s="10">
        <f t="shared" si="4"/>
        <v>48</v>
      </c>
      <c r="K273" s="10"/>
      <c r="L273" s="5"/>
    </row>
    <row r="274" spans="1:12" x14ac:dyDescent="0.25">
      <c r="A274" s="5" t="s">
        <v>6915</v>
      </c>
      <c r="B274" s="5" t="s">
        <v>6913</v>
      </c>
      <c r="C274" s="5" t="s">
        <v>33</v>
      </c>
      <c r="D274" s="21">
        <v>1</v>
      </c>
      <c r="E274" s="12">
        <v>69</v>
      </c>
      <c r="F274" s="10" t="str">
        <f>_xlfn.XLOOKUP(C274,menu!A:A,menu!B:B)</f>
        <v>Spring Roll</v>
      </c>
      <c r="G274" s="10" t="str">
        <f>_xlfn.XLOOKUP(C274,menu!A:A,menu!C:C)</f>
        <v>Rolls</v>
      </c>
      <c r="H274" s="10">
        <f>_xlfn.XLOOKUP(C274,menu!A:A,menu!E:E)</f>
        <v>21</v>
      </c>
      <c r="I274" s="10">
        <f t="shared" si="4"/>
        <v>21</v>
      </c>
      <c r="K274" s="10"/>
      <c r="L274" s="5"/>
    </row>
    <row r="275" spans="1:12" x14ac:dyDescent="0.25">
      <c r="A275" s="5" t="s">
        <v>6914</v>
      </c>
      <c r="B275" s="5" t="s">
        <v>6913</v>
      </c>
      <c r="C275" s="5" t="s">
        <v>26</v>
      </c>
      <c r="D275" s="21">
        <v>1</v>
      </c>
      <c r="E275" s="12">
        <v>59</v>
      </c>
      <c r="F275" s="10" t="str">
        <f>_xlfn.XLOOKUP(C275,menu!A:A,menu!B:B)</f>
        <v>Veg Roll</v>
      </c>
      <c r="G275" s="10" t="str">
        <f>_xlfn.XLOOKUP(C275,menu!A:A,menu!C:C)</f>
        <v>Rolls</v>
      </c>
      <c r="H275" s="10">
        <f>_xlfn.XLOOKUP(C275,menu!A:A,menu!E:E)</f>
        <v>18</v>
      </c>
      <c r="I275" s="10">
        <f t="shared" si="4"/>
        <v>18</v>
      </c>
      <c r="K275" s="10"/>
      <c r="L275" s="5"/>
    </row>
    <row r="276" spans="1:12" x14ac:dyDescent="0.25">
      <c r="A276" s="5" t="s">
        <v>6912</v>
      </c>
      <c r="B276" s="5" t="s">
        <v>6908</v>
      </c>
      <c r="C276" s="5" t="s">
        <v>12</v>
      </c>
      <c r="D276" s="21">
        <v>3</v>
      </c>
      <c r="E276" s="12">
        <v>237</v>
      </c>
      <c r="F276" s="10" t="str">
        <f>_xlfn.XLOOKUP(C276,menu!A:A,menu!B:B)</f>
        <v>Veg Momos</v>
      </c>
      <c r="G276" s="10" t="str">
        <f>_xlfn.XLOOKUP(C276,menu!A:A,menu!C:C)</f>
        <v>Momos</v>
      </c>
      <c r="H276" s="10">
        <f>_xlfn.XLOOKUP(C276,menu!A:A,menu!E:E)</f>
        <v>24</v>
      </c>
      <c r="I276" s="10">
        <f t="shared" si="4"/>
        <v>72</v>
      </c>
      <c r="K276" s="10"/>
      <c r="L276" s="5"/>
    </row>
    <row r="277" spans="1:12" x14ac:dyDescent="0.25">
      <c r="A277" s="5" t="s">
        <v>6911</v>
      </c>
      <c r="B277" s="5" t="s">
        <v>6908</v>
      </c>
      <c r="C277" s="5" t="s">
        <v>10</v>
      </c>
      <c r="D277" s="21">
        <v>1</v>
      </c>
      <c r="E277" s="12">
        <v>119</v>
      </c>
      <c r="F277" s="10" t="str">
        <f>_xlfn.XLOOKUP(C277,menu!A:A,menu!B:B)</f>
        <v>Chicken Sandwich</v>
      </c>
      <c r="G277" s="10" t="str">
        <f>_xlfn.XLOOKUP(C277,menu!A:A,menu!C:C)</f>
        <v>Sandwich</v>
      </c>
      <c r="H277" s="10">
        <f>_xlfn.XLOOKUP(C277,menu!A:A,menu!E:E)</f>
        <v>36</v>
      </c>
      <c r="I277" s="10">
        <f t="shared" si="4"/>
        <v>36</v>
      </c>
      <c r="K277" s="10"/>
      <c r="L277" s="5"/>
    </row>
    <row r="278" spans="1:12" x14ac:dyDescent="0.25">
      <c r="A278" s="5" t="s">
        <v>6910</v>
      </c>
      <c r="B278" s="5" t="s">
        <v>6908</v>
      </c>
      <c r="C278" s="5" t="s">
        <v>50</v>
      </c>
      <c r="D278" s="21">
        <v>1</v>
      </c>
      <c r="E278" s="12">
        <v>149</v>
      </c>
      <c r="F278" s="10" t="str">
        <f>_xlfn.XLOOKUP(C278,menu!A:A,menu!B:B)</f>
        <v>Grab Lollipop</v>
      </c>
      <c r="G278" s="10" t="str">
        <f>_xlfn.XLOOKUP(C278,menu!A:A,menu!C:C)</f>
        <v>Starters</v>
      </c>
      <c r="H278" s="10">
        <f>_xlfn.XLOOKUP(C278,menu!A:A,menu!E:E)</f>
        <v>45</v>
      </c>
      <c r="I278" s="10">
        <f t="shared" si="4"/>
        <v>45</v>
      </c>
      <c r="K278" s="10"/>
      <c r="L278" s="5"/>
    </row>
    <row r="279" spans="1:12" x14ac:dyDescent="0.25">
      <c r="A279" s="5" t="s">
        <v>6909</v>
      </c>
      <c r="B279" s="5" t="s">
        <v>6908</v>
      </c>
      <c r="C279" s="5" t="s">
        <v>24</v>
      </c>
      <c r="D279" s="21">
        <v>2</v>
      </c>
      <c r="E279" s="12">
        <v>178</v>
      </c>
      <c r="F279" s="10" t="str">
        <f>_xlfn.XLOOKUP(C279,menu!A:A,menu!B:B)</f>
        <v>Paneer Burger</v>
      </c>
      <c r="G279" s="10" t="str">
        <f>_xlfn.XLOOKUP(C279,menu!A:A,menu!C:C)</f>
        <v>Burger</v>
      </c>
      <c r="H279" s="10">
        <f>_xlfn.XLOOKUP(C279,menu!A:A,menu!E:E)</f>
        <v>27</v>
      </c>
      <c r="I279" s="10">
        <f t="shared" si="4"/>
        <v>54</v>
      </c>
      <c r="K279" s="10"/>
      <c r="L279" s="5"/>
    </row>
    <row r="280" spans="1:12" x14ac:dyDescent="0.25">
      <c r="A280" s="5" t="s">
        <v>6907</v>
      </c>
      <c r="B280" s="5" t="s">
        <v>6905</v>
      </c>
      <c r="C280" s="5" t="s">
        <v>56</v>
      </c>
      <c r="D280" s="21">
        <v>3</v>
      </c>
      <c r="E280" s="12">
        <v>237</v>
      </c>
      <c r="F280" s="10" t="str">
        <f>_xlfn.XLOOKUP(C280,menu!A:A,menu!B:B)</f>
        <v>Mint Mojito</v>
      </c>
      <c r="G280" s="10" t="str">
        <f>_xlfn.XLOOKUP(C280,menu!A:A,menu!C:C)</f>
        <v>Beverages</v>
      </c>
      <c r="H280" s="10">
        <f>_xlfn.XLOOKUP(C280,menu!A:A,menu!E:E)</f>
        <v>24</v>
      </c>
      <c r="I280" s="10">
        <f t="shared" si="4"/>
        <v>72</v>
      </c>
      <c r="K280" s="10"/>
      <c r="L280" s="5"/>
    </row>
    <row r="281" spans="1:12" x14ac:dyDescent="0.25">
      <c r="A281" s="5" t="s">
        <v>6906</v>
      </c>
      <c r="B281" s="5" t="s">
        <v>6905</v>
      </c>
      <c r="C281" s="5" t="s">
        <v>63</v>
      </c>
      <c r="D281" s="21">
        <v>2</v>
      </c>
      <c r="E281" s="12">
        <v>158</v>
      </c>
      <c r="F281" s="10" t="str">
        <f>_xlfn.XLOOKUP(C281,menu!A:A,menu!B:B)</f>
        <v>Virgin Mojito</v>
      </c>
      <c r="G281" s="10" t="str">
        <f>_xlfn.XLOOKUP(C281,menu!A:A,menu!C:C)</f>
        <v>Beverages</v>
      </c>
      <c r="H281" s="10">
        <f>_xlfn.XLOOKUP(C281,menu!A:A,menu!E:E)</f>
        <v>24</v>
      </c>
      <c r="I281" s="10">
        <f t="shared" si="4"/>
        <v>48</v>
      </c>
      <c r="K281" s="10"/>
      <c r="L281" s="5"/>
    </row>
    <row r="282" spans="1:12" x14ac:dyDescent="0.25">
      <c r="A282" s="5" t="s">
        <v>6904</v>
      </c>
      <c r="B282" s="5" t="s">
        <v>6901</v>
      </c>
      <c r="C282" s="5" t="s">
        <v>19</v>
      </c>
      <c r="D282" s="21">
        <v>2</v>
      </c>
      <c r="E282" s="12">
        <v>158</v>
      </c>
      <c r="F282" s="10" t="str">
        <f>_xlfn.XLOOKUP(C282,menu!A:A,menu!B:B)</f>
        <v>Veg Burger</v>
      </c>
      <c r="G282" s="10" t="str">
        <f>_xlfn.XLOOKUP(C282,menu!A:A,menu!C:C)</f>
        <v>Burger</v>
      </c>
      <c r="H282" s="10">
        <f>_xlfn.XLOOKUP(C282,menu!A:A,menu!E:E)</f>
        <v>24</v>
      </c>
      <c r="I282" s="10">
        <f t="shared" si="4"/>
        <v>48</v>
      </c>
      <c r="K282" s="10"/>
      <c r="L282" s="5"/>
    </row>
    <row r="283" spans="1:12" x14ac:dyDescent="0.25">
      <c r="A283" s="5" t="s">
        <v>6903</v>
      </c>
      <c r="B283" s="5" t="s">
        <v>6901</v>
      </c>
      <c r="C283" s="5" t="s">
        <v>10</v>
      </c>
      <c r="D283" s="21">
        <v>1</v>
      </c>
      <c r="E283" s="12">
        <v>119</v>
      </c>
      <c r="F283" s="10" t="str">
        <f>_xlfn.XLOOKUP(C283,menu!A:A,menu!B:B)</f>
        <v>Chicken Sandwich</v>
      </c>
      <c r="G283" s="10" t="str">
        <f>_xlfn.XLOOKUP(C283,menu!A:A,menu!C:C)</f>
        <v>Sandwich</v>
      </c>
      <c r="H283" s="10">
        <f>_xlfn.XLOOKUP(C283,menu!A:A,menu!E:E)</f>
        <v>36</v>
      </c>
      <c r="I283" s="10">
        <f t="shared" si="4"/>
        <v>36</v>
      </c>
      <c r="K283" s="10"/>
      <c r="L283" s="5"/>
    </row>
    <row r="284" spans="1:12" x14ac:dyDescent="0.25">
      <c r="A284" s="5" t="s">
        <v>6902</v>
      </c>
      <c r="B284" s="5" t="s">
        <v>6901</v>
      </c>
      <c r="C284" s="5" t="s">
        <v>48</v>
      </c>
      <c r="D284" s="21">
        <v>4</v>
      </c>
      <c r="E284" s="12">
        <v>636</v>
      </c>
      <c r="F284" s="10" t="str">
        <f>_xlfn.XLOOKUP(C284,menu!A:A,menu!B:B)</f>
        <v>Chicken Lollipop</v>
      </c>
      <c r="G284" s="10" t="str">
        <f>_xlfn.XLOOKUP(C284,menu!A:A,menu!C:C)</f>
        <v>Starters</v>
      </c>
      <c r="H284" s="10">
        <f>_xlfn.XLOOKUP(C284,menu!A:A,menu!E:E)</f>
        <v>48</v>
      </c>
      <c r="I284" s="10">
        <f t="shared" si="4"/>
        <v>192</v>
      </c>
      <c r="K284" s="10"/>
      <c r="L284" s="5"/>
    </row>
    <row r="285" spans="1:12" x14ac:dyDescent="0.25">
      <c r="A285" s="5" t="s">
        <v>6900</v>
      </c>
      <c r="B285" s="5" t="s">
        <v>6896</v>
      </c>
      <c r="C285" s="5" t="s">
        <v>35</v>
      </c>
      <c r="D285" s="21">
        <v>2</v>
      </c>
      <c r="E285" s="12">
        <v>238</v>
      </c>
      <c r="F285" s="10" t="str">
        <f>_xlfn.XLOOKUP(C285,menu!A:A,menu!B:B)</f>
        <v>Chicken Nuggets</v>
      </c>
      <c r="G285" s="10" t="str">
        <f>_xlfn.XLOOKUP(C285,menu!A:A,menu!C:C)</f>
        <v>Starters</v>
      </c>
      <c r="H285" s="10">
        <f>_xlfn.XLOOKUP(C285,menu!A:A,menu!E:E)</f>
        <v>36</v>
      </c>
      <c r="I285" s="10">
        <f t="shared" si="4"/>
        <v>72</v>
      </c>
      <c r="K285" s="10"/>
      <c r="L285" s="5"/>
    </row>
    <row r="286" spans="1:12" x14ac:dyDescent="0.25">
      <c r="A286" s="5" t="s">
        <v>6899</v>
      </c>
      <c r="B286" s="5" t="s">
        <v>6896</v>
      </c>
      <c r="C286" s="5" t="s">
        <v>54</v>
      </c>
      <c r="D286" s="21">
        <v>1</v>
      </c>
      <c r="E286" s="12">
        <v>139</v>
      </c>
      <c r="F286" s="10" t="str">
        <f>_xlfn.XLOOKUP(C286,menu!A:A,menu!B:B)</f>
        <v>Chicken Strips</v>
      </c>
      <c r="G286" s="10" t="str">
        <f>_xlfn.XLOOKUP(C286,menu!A:A,menu!C:C)</f>
        <v>Starters</v>
      </c>
      <c r="H286" s="10">
        <f>_xlfn.XLOOKUP(C286,menu!A:A,menu!E:E)</f>
        <v>42</v>
      </c>
      <c r="I286" s="10">
        <f t="shared" si="4"/>
        <v>42</v>
      </c>
      <c r="K286" s="10"/>
      <c r="L286" s="5"/>
    </row>
    <row r="287" spans="1:12" x14ac:dyDescent="0.25">
      <c r="A287" s="5" t="s">
        <v>6898</v>
      </c>
      <c r="B287" s="5" t="s">
        <v>6896</v>
      </c>
      <c r="C287" s="5" t="s">
        <v>65</v>
      </c>
      <c r="D287" s="21">
        <v>1</v>
      </c>
      <c r="E287" s="12">
        <v>49</v>
      </c>
      <c r="F287" s="10" t="str">
        <f>_xlfn.XLOOKUP(C287,menu!A:A,menu!B:B)</f>
        <v>Lemon Juice</v>
      </c>
      <c r="G287" s="10" t="str">
        <f>_xlfn.XLOOKUP(C287,menu!A:A,menu!C:C)</f>
        <v>Beverages</v>
      </c>
      <c r="H287" s="10">
        <f>_xlfn.XLOOKUP(C287,menu!A:A,menu!E:E)</f>
        <v>15</v>
      </c>
      <c r="I287" s="10">
        <f t="shared" si="4"/>
        <v>15</v>
      </c>
      <c r="K287" s="10"/>
      <c r="L287" s="5"/>
    </row>
    <row r="288" spans="1:12" x14ac:dyDescent="0.25">
      <c r="A288" s="5" t="s">
        <v>6897</v>
      </c>
      <c r="B288" s="5" t="s">
        <v>6896</v>
      </c>
      <c r="C288" s="5" t="s">
        <v>61</v>
      </c>
      <c r="D288" s="21">
        <v>1</v>
      </c>
      <c r="E288" s="12">
        <v>79</v>
      </c>
      <c r="F288" s="10" t="str">
        <f>_xlfn.XLOOKUP(C288,menu!A:A,menu!B:B)</f>
        <v>Watermelon Mojito</v>
      </c>
      <c r="G288" s="10" t="str">
        <f>_xlfn.XLOOKUP(C288,menu!A:A,menu!C:C)</f>
        <v>Beverages</v>
      </c>
      <c r="H288" s="10">
        <f>_xlfn.XLOOKUP(C288,menu!A:A,menu!E:E)</f>
        <v>24</v>
      </c>
      <c r="I288" s="10">
        <f t="shared" si="4"/>
        <v>24</v>
      </c>
      <c r="K288" s="10"/>
      <c r="L288" s="5"/>
    </row>
    <row r="289" spans="1:12" x14ac:dyDescent="0.25">
      <c r="A289" s="5" t="s">
        <v>6895</v>
      </c>
      <c r="B289" s="5" t="s">
        <v>6894</v>
      </c>
      <c r="C289" s="5" t="s">
        <v>17</v>
      </c>
      <c r="D289" s="21">
        <v>2</v>
      </c>
      <c r="E289" s="12">
        <v>178</v>
      </c>
      <c r="F289" s="10" t="str">
        <f>_xlfn.XLOOKUP(C289,menu!A:A,menu!B:B)</f>
        <v>Paneer Momos</v>
      </c>
      <c r="G289" s="10" t="str">
        <f>_xlfn.XLOOKUP(C289,menu!A:A,menu!C:C)</f>
        <v>Momos</v>
      </c>
      <c r="H289" s="10">
        <f>_xlfn.XLOOKUP(C289,menu!A:A,menu!E:E)</f>
        <v>27</v>
      </c>
      <c r="I289" s="10">
        <f t="shared" si="4"/>
        <v>54</v>
      </c>
      <c r="K289" s="10"/>
      <c r="L289" s="5"/>
    </row>
    <row r="290" spans="1:12" x14ac:dyDescent="0.25">
      <c r="A290" s="5" t="s">
        <v>6893</v>
      </c>
      <c r="B290" s="5" t="s">
        <v>6891</v>
      </c>
      <c r="C290" s="5" t="s">
        <v>50</v>
      </c>
      <c r="D290" s="21">
        <v>2</v>
      </c>
      <c r="E290" s="12">
        <v>298</v>
      </c>
      <c r="F290" s="10" t="str">
        <f>_xlfn.XLOOKUP(C290,menu!A:A,menu!B:B)</f>
        <v>Grab Lollipop</v>
      </c>
      <c r="G290" s="10" t="str">
        <f>_xlfn.XLOOKUP(C290,menu!A:A,menu!C:C)</f>
        <v>Starters</v>
      </c>
      <c r="H290" s="10">
        <f>_xlfn.XLOOKUP(C290,menu!A:A,menu!E:E)</f>
        <v>45</v>
      </c>
      <c r="I290" s="10">
        <f t="shared" si="4"/>
        <v>90</v>
      </c>
      <c r="K290" s="10"/>
      <c r="L290" s="5"/>
    </row>
    <row r="291" spans="1:12" x14ac:dyDescent="0.25">
      <c r="A291" s="5" t="s">
        <v>6892</v>
      </c>
      <c r="B291" s="5" t="s">
        <v>6891</v>
      </c>
      <c r="C291" s="5" t="s">
        <v>26</v>
      </c>
      <c r="D291" s="21">
        <v>2</v>
      </c>
      <c r="E291" s="12">
        <v>118</v>
      </c>
      <c r="F291" s="10" t="str">
        <f>_xlfn.XLOOKUP(C291,menu!A:A,menu!B:B)</f>
        <v>Veg Roll</v>
      </c>
      <c r="G291" s="10" t="str">
        <f>_xlfn.XLOOKUP(C291,menu!A:A,menu!C:C)</f>
        <v>Rolls</v>
      </c>
      <c r="H291" s="10">
        <f>_xlfn.XLOOKUP(C291,menu!A:A,menu!E:E)</f>
        <v>18</v>
      </c>
      <c r="I291" s="10">
        <f t="shared" si="4"/>
        <v>36</v>
      </c>
      <c r="K291" s="10"/>
      <c r="L291" s="5"/>
    </row>
    <row r="292" spans="1:12" x14ac:dyDescent="0.25">
      <c r="A292" s="5" t="s">
        <v>6890</v>
      </c>
      <c r="B292" s="5" t="s">
        <v>6888</v>
      </c>
      <c r="C292" s="5" t="s">
        <v>12</v>
      </c>
      <c r="D292" s="21">
        <v>1</v>
      </c>
      <c r="E292" s="12">
        <v>79</v>
      </c>
      <c r="F292" s="10" t="str">
        <f>_xlfn.XLOOKUP(C292,menu!A:A,menu!B:B)</f>
        <v>Veg Momos</v>
      </c>
      <c r="G292" s="10" t="str">
        <f>_xlfn.XLOOKUP(C292,menu!A:A,menu!C:C)</f>
        <v>Momos</v>
      </c>
      <c r="H292" s="10">
        <f>_xlfn.XLOOKUP(C292,menu!A:A,menu!E:E)</f>
        <v>24</v>
      </c>
      <c r="I292" s="10">
        <f t="shared" si="4"/>
        <v>24</v>
      </c>
      <c r="K292" s="10"/>
      <c r="L292" s="5"/>
    </row>
    <row r="293" spans="1:12" x14ac:dyDescent="0.25">
      <c r="A293" s="5" t="s">
        <v>6889</v>
      </c>
      <c r="B293" s="5" t="s">
        <v>6888</v>
      </c>
      <c r="C293" s="5" t="s">
        <v>44</v>
      </c>
      <c r="D293" s="21">
        <v>1</v>
      </c>
      <c r="E293" s="12">
        <v>159</v>
      </c>
      <c r="F293" s="10" t="str">
        <f>_xlfn.XLOOKUP(C293,menu!A:A,menu!B:B)</f>
        <v>Fried Chicken</v>
      </c>
      <c r="G293" s="10" t="str">
        <f>_xlfn.XLOOKUP(C293,menu!A:A,menu!C:C)</f>
        <v>Starters</v>
      </c>
      <c r="H293" s="10">
        <f>_xlfn.XLOOKUP(C293,menu!A:A,menu!E:E)</f>
        <v>48</v>
      </c>
      <c r="I293" s="10">
        <f t="shared" si="4"/>
        <v>48</v>
      </c>
      <c r="K293" s="10"/>
      <c r="L293" s="5"/>
    </row>
    <row r="294" spans="1:12" x14ac:dyDescent="0.25">
      <c r="A294" s="5" t="s">
        <v>6887</v>
      </c>
      <c r="B294" s="5" t="s">
        <v>6883</v>
      </c>
      <c r="C294" s="5" t="s">
        <v>52</v>
      </c>
      <c r="D294" s="21">
        <v>1</v>
      </c>
      <c r="E294" s="12">
        <v>99</v>
      </c>
      <c r="F294" s="10" t="str">
        <f>_xlfn.XLOOKUP(C294,menu!A:A,menu!B:B)</f>
        <v>French Fries</v>
      </c>
      <c r="G294" s="10" t="str">
        <f>_xlfn.XLOOKUP(C294,menu!A:A,menu!C:C)</f>
        <v>Starters</v>
      </c>
      <c r="H294" s="10">
        <f>_xlfn.XLOOKUP(C294,menu!A:A,menu!E:E)</f>
        <v>30</v>
      </c>
      <c r="I294" s="10">
        <f t="shared" si="4"/>
        <v>30</v>
      </c>
      <c r="K294" s="10"/>
      <c r="L294" s="5"/>
    </row>
    <row r="295" spans="1:12" x14ac:dyDescent="0.25">
      <c r="A295" s="5" t="s">
        <v>6886</v>
      </c>
      <c r="B295" s="5" t="s">
        <v>6883</v>
      </c>
      <c r="C295" s="5" t="s">
        <v>44</v>
      </c>
      <c r="D295" s="21">
        <v>1</v>
      </c>
      <c r="E295" s="12">
        <v>159</v>
      </c>
      <c r="F295" s="10" t="str">
        <f>_xlfn.XLOOKUP(C295,menu!A:A,menu!B:B)</f>
        <v>Fried Chicken</v>
      </c>
      <c r="G295" s="10" t="str">
        <f>_xlfn.XLOOKUP(C295,menu!A:A,menu!C:C)</f>
        <v>Starters</v>
      </c>
      <c r="H295" s="10">
        <f>_xlfn.XLOOKUP(C295,menu!A:A,menu!E:E)</f>
        <v>48</v>
      </c>
      <c r="I295" s="10">
        <f t="shared" si="4"/>
        <v>48</v>
      </c>
      <c r="K295" s="10"/>
      <c r="L295" s="5"/>
    </row>
    <row r="296" spans="1:12" x14ac:dyDescent="0.25">
      <c r="A296" s="5" t="s">
        <v>6885</v>
      </c>
      <c r="B296" s="5" t="s">
        <v>6883</v>
      </c>
      <c r="C296" s="5" t="s">
        <v>42</v>
      </c>
      <c r="D296" s="21">
        <v>1</v>
      </c>
      <c r="E296" s="12">
        <v>149</v>
      </c>
      <c r="F296" s="10" t="str">
        <f>_xlfn.XLOOKUP(C296,menu!A:A,menu!B:B)</f>
        <v>Chicken Popcorn</v>
      </c>
      <c r="G296" s="10" t="str">
        <f>_xlfn.XLOOKUP(C296,menu!A:A,menu!C:C)</f>
        <v>Starters</v>
      </c>
      <c r="H296" s="10">
        <f>_xlfn.XLOOKUP(C296,menu!A:A,menu!E:E)</f>
        <v>45</v>
      </c>
      <c r="I296" s="10">
        <f t="shared" si="4"/>
        <v>45</v>
      </c>
      <c r="K296" s="10"/>
      <c r="L296" s="5"/>
    </row>
    <row r="297" spans="1:12" x14ac:dyDescent="0.25">
      <c r="A297" s="5" t="s">
        <v>6884</v>
      </c>
      <c r="B297" s="5" t="s">
        <v>6883</v>
      </c>
      <c r="C297" s="5" t="s">
        <v>50</v>
      </c>
      <c r="D297" s="21">
        <v>4</v>
      </c>
      <c r="E297" s="12">
        <v>596</v>
      </c>
      <c r="F297" s="10" t="str">
        <f>_xlfn.XLOOKUP(C297,menu!A:A,menu!B:B)</f>
        <v>Grab Lollipop</v>
      </c>
      <c r="G297" s="10" t="str">
        <f>_xlfn.XLOOKUP(C297,menu!A:A,menu!C:C)</f>
        <v>Starters</v>
      </c>
      <c r="H297" s="10">
        <f>_xlfn.XLOOKUP(C297,menu!A:A,menu!E:E)</f>
        <v>45</v>
      </c>
      <c r="I297" s="10">
        <f t="shared" si="4"/>
        <v>180</v>
      </c>
      <c r="K297" s="10"/>
      <c r="L297" s="5"/>
    </row>
    <row r="298" spans="1:12" x14ac:dyDescent="0.25">
      <c r="A298" s="5" t="s">
        <v>6882</v>
      </c>
      <c r="B298" s="5" t="s">
        <v>6880</v>
      </c>
      <c r="C298" s="5" t="s">
        <v>31</v>
      </c>
      <c r="D298" s="21">
        <v>2</v>
      </c>
      <c r="E298" s="12">
        <v>178</v>
      </c>
      <c r="F298" s="10" t="str">
        <f>_xlfn.XLOOKUP(C298,menu!A:A,menu!B:B)</f>
        <v>Chicken Roll</v>
      </c>
      <c r="G298" s="10" t="str">
        <f>_xlfn.XLOOKUP(C298,menu!A:A,menu!C:C)</f>
        <v>Rolls</v>
      </c>
      <c r="H298" s="10">
        <f>_xlfn.XLOOKUP(C298,menu!A:A,menu!E:E)</f>
        <v>27</v>
      </c>
      <c r="I298" s="10">
        <f t="shared" si="4"/>
        <v>54</v>
      </c>
      <c r="K298" s="10"/>
      <c r="L298" s="5"/>
    </row>
    <row r="299" spans="1:12" x14ac:dyDescent="0.25">
      <c r="A299" s="5" t="s">
        <v>6881</v>
      </c>
      <c r="B299" s="5" t="s">
        <v>6880</v>
      </c>
      <c r="C299" s="5" t="s">
        <v>38</v>
      </c>
      <c r="D299" s="21">
        <v>2</v>
      </c>
      <c r="E299" s="12">
        <v>298</v>
      </c>
      <c r="F299" s="10" t="str">
        <f>_xlfn.XLOOKUP(C299,menu!A:A,menu!B:B)</f>
        <v>Chicken Wings</v>
      </c>
      <c r="G299" s="10" t="str">
        <f>_xlfn.XLOOKUP(C299,menu!A:A,menu!C:C)</f>
        <v>Starters</v>
      </c>
      <c r="H299" s="10">
        <f>_xlfn.XLOOKUP(C299,menu!A:A,menu!E:E)</f>
        <v>45</v>
      </c>
      <c r="I299" s="10">
        <f t="shared" si="4"/>
        <v>90</v>
      </c>
      <c r="K299" s="10"/>
      <c r="L299" s="5"/>
    </row>
    <row r="300" spans="1:12" x14ac:dyDescent="0.25">
      <c r="A300" s="5" t="s">
        <v>6879</v>
      </c>
      <c r="B300" s="5" t="s">
        <v>6876</v>
      </c>
      <c r="C300" s="5" t="s">
        <v>54</v>
      </c>
      <c r="D300" s="21">
        <v>3</v>
      </c>
      <c r="E300" s="12">
        <v>417</v>
      </c>
      <c r="F300" s="10" t="str">
        <f>_xlfn.XLOOKUP(C300,menu!A:A,menu!B:B)</f>
        <v>Chicken Strips</v>
      </c>
      <c r="G300" s="10" t="str">
        <f>_xlfn.XLOOKUP(C300,menu!A:A,menu!C:C)</f>
        <v>Starters</v>
      </c>
      <c r="H300" s="10">
        <f>_xlfn.XLOOKUP(C300,menu!A:A,menu!E:E)</f>
        <v>42</v>
      </c>
      <c r="I300" s="10">
        <f t="shared" si="4"/>
        <v>126</v>
      </c>
      <c r="K300" s="10"/>
      <c r="L300" s="5"/>
    </row>
    <row r="301" spans="1:12" x14ac:dyDescent="0.25">
      <c r="A301" s="5" t="s">
        <v>6878</v>
      </c>
      <c r="B301" s="5" t="s">
        <v>6876</v>
      </c>
      <c r="C301" s="5" t="s">
        <v>15</v>
      </c>
      <c r="D301" s="21">
        <v>4</v>
      </c>
      <c r="E301" s="12">
        <v>396</v>
      </c>
      <c r="F301" s="10" t="str">
        <f>_xlfn.XLOOKUP(C301,menu!A:A,menu!B:B)</f>
        <v>Chicken Momos</v>
      </c>
      <c r="G301" s="10" t="str">
        <f>_xlfn.XLOOKUP(C301,menu!A:A,menu!C:C)</f>
        <v>Momos</v>
      </c>
      <c r="H301" s="10">
        <f>_xlfn.XLOOKUP(C301,menu!A:A,menu!E:E)</f>
        <v>30</v>
      </c>
      <c r="I301" s="10">
        <f t="shared" si="4"/>
        <v>120</v>
      </c>
      <c r="K301" s="10"/>
      <c r="L301" s="5"/>
    </row>
    <row r="302" spans="1:12" x14ac:dyDescent="0.25">
      <c r="A302" s="5" t="s">
        <v>6877</v>
      </c>
      <c r="B302" s="5" t="s">
        <v>6876</v>
      </c>
      <c r="C302" s="5" t="s">
        <v>42</v>
      </c>
      <c r="D302" s="21">
        <v>1</v>
      </c>
      <c r="E302" s="12">
        <v>149</v>
      </c>
      <c r="F302" s="10" t="str">
        <f>_xlfn.XLOOKUP(C302,menu!A:A,menu!B:B)</f>
        <v>Chicken Popcorn</v>
      </c>
      <c r="G302" s="10" t="str">
        <f>_xlfn.XLOOKUP(C302,menu!A:A,menu!C:C)</f>
        <v>Starters</v>
      </c>
      <c r="H302" s="10">
        <f>_xlfn.XLOOKUP(C302,menu!A:A,menu!E:E)</f>
        <v>45</v>
      </c>
      <c r="I302" s="10">
        <f t="shared" si="4"/>
        <v>45</v>
      </c>
      <c r="K302" s="10"/>
      <c r="L302" s="5"/>
    </row>
    <row r="303" spans="1:12" x14ac:dyDescent="0.25">
      <c r="A303" s="5" t="s">
        <v>6875</v>
      </c>
      <c r="B303" s="5" t="s">
        <v>6873</v>
      </c>
      <c r="C303" s="5" t="s">
        <v>35</v>
      </c>
      <c r="D303" s="21">
        <v>5</v>
      </c>
      <c r="E303" s="12">
        <v>595</v>
      </c>
      <c r="F303" s="10" t="str">
        <f>_xlfn.XLOOKUP(C303,menu!A:A,menu!B:B)</f>
        <v>Chicken Nuggets</v>
      </c>
      <c r="G303" s="10" t="str">
        <f>_xlfn.XLOOKUP(C303,menu!A:A,menu!C:C)</f>
        <v>Starters</v>
      </c>
      <c r="H303" s="10">
        <f>_xlfn.XLOOKUP(C303,menu!A:A,menu!E:E)</f>
        <v>36</v>
      </c>
      <c r="I303" s="10">
        <f t="shared" si="4"/>
        <v>180</v>
      </c>
      <c r="K303" s="10"/>
      <c r="L303" s="5"/>
    </row>
    <row r="304" spans="1:12" x14ac:dyDescent="0.25">
      <c r="A304" s="5" t="s">
        <v>6874</v>
      </c>
      <c r="B304" s="5" t="s">
        <v>6873</v>
      </c>
      <c r="C304" s="5" t="s">
        <v>8</v>
      </c>
      <c r="D304" s="21">
        <v>1</v>
      </c>
      <c r="E304" s="12">
        <v>99</v>
      </c>
      <c r="F304" s="10" t="str">
        <f>_xlfn.XLOOKUP(C304,menu!A:A,menu!B:B)</f>
        <v>Paneer Sandwich</v>
      </c>
      <c r="G304" s="10" t="str">
        <f>_xlfn.XLOOKUP(C304,menu!A:A,menu!C:C)</f>
        <v>Sandwich</v>
      </c>
      <c r="H304" s="10">
        <f>_xlfn.XLOOKUP(C304,menu!A:A,menu!E:E)</f>
        <v>30</v>
      </c>
      <c r="I304" s="10">
        <f t="shared" si="4"/>
        <v>30</v>
      </c>
      <c r="K304" s="10"/>
      <c r="L304" s="5"/>
    </row>
    <row r="305" spans="1:12" x14ac:dyDescent="0.25">
      <c r="A305" s="5" t="s">
        <v>6872</v>
      </c>
      <c r="B305" s="5" t="s">
        <v>6870</v>
      </c>
      <c r="C305" s="5" t="s">
        <v>44</v>
      </c>
      <c r="D305" s="21">
        <v>2</v>
      </c>
      <c r="E305" s="12">
        <v>318</v>
      </c>
      <c r="F305" s="10" t="str">
        <f>_xlfn.XLOOKUP(C305,menu!A:A,menu!B:B)</f>
        <v>Fried Chicken</v>
      </c>
      <c r="G305" s="10" t="str">
        <f>_xlfn.XLOOKUP(C305,menu!A:A,menu!C:C)</f>
        <v>Starters</v>
      </c>
      <c r="H305" s="10">
        <f>_xlfn.XLOOKUP(C305,menu!A:A,menu!E:E)</f>
        <v>48</v>
      </c>
      <c r="I305" s="10">
        <f t="shared" si="4"/>
        <v>96</v>
      </c>
      <c r="K305" s="10"/>
      <c r="L305" s="5"/>
    </row>
    <row r="306" spans="1:12" x14ac:dyDescent="0.25">
      <c r="A306" s="5" t="s">
        <v>6871</v>
      </c>
      <c r="B306" s="5" t="s">
        <v>6870</v>
      </c>
      <c r="C306" s="5" t="s">
        <v>54</v>
      </c>
      <c r="D306" s="21">
        <v>1</v>
      </c>
      <c r="E306" s="12">
        <v>139</v>
      </c>
      <c r="F306" s="10" t="str">
        <f>_xlfn.XLOOKUP(C306,menu!A:A,menu!B:B)</f>
        <v>Chicken Strips</v>
      </c>
      <c r="G306" s="10" t="str">
        <f>_xlfn.XLOOKUP(C306,menu!A:A,menu!C:C)</f>
        <v>Starters</v>
      </c>
      <c r="H306" s="10">
        <f>_xlfn.XLOOKUP(C306,menu!A:A,menu!E:E)</f>
        <v>42</v>
      </c>
      <c r="I306" s="10">
        <f t="shared" si="4"/>
        <v>42</v>
      </c>
      <c r="K306" s="10"/>
      <c r="L306" s="5"/>
    </row>
    <row r="307" spans="1:12" x14ac:dyDescent="0.25">
      <c r="A307" s="5" t="s">
        <v>6869</v>
      </c>
      <c r="B307" s="5" t="s">
        <v>6865</v>
      </c>
      <c r="C307" s="5" t="s">
        <v>19</v>
      </c>
      <c r="D307" s="21">
        <v>1</v>
      </c>
      <c r="E307" s="12">
        <v>79</v>
      </c>
      <c r="F307" s="10" t="str">
        <f>_xlfn.XLOOKUP(C307,menu!A:A,menu!B:B)</f>
        <v>Veg Burger</v>
      </c>
      <c r="G307" s="10" t="str">
        <f>_xlfn.XLOOKUP(C307,menu!A:A,menu!C:C)</f>
        <v>Burger</v>
      </c>
      <c r="H307" s="10">
        <f>_xlfn.XLOOKUP(C307,menu!A:A,menu!E:E)</f>
        <v>24</v>
      </c>
      <c r="I307" s="10">
        <f t="shared" si="4"/>
        <v>24</v>
      </c>
      <c r="K307" s="10"/>
      <c r="L307" s="5"/>
    </row>
    <row r="308" spans="1:12" x14ac:dyDescent="0.25">
      <c r="A308" s="5" t="s">
        <v>6868</v>
      </c>
      <c r="B308" s="5" t="s">
        <v>6865</v>
      </c>
      <c r="C308" s="5" t="s">
        <v>24</v>
      </c>
      <c r="D308" s="21">
        <v>1</v>
      </c>
      <c r="E308" s="12">
        <v>89</v>
      </c>
      <c r="F308" s="10" t="str">
        <f>_xlfn.XLOOKUP(C308,menu!A:A,menu!B:B)</f>
        <v>Paneer Burger</v>
      </c>
      <c r="G308" s="10" t="str">
        <f>_xlfn.XLOOKUP(C308,menu!A:A,menu!C:C)</f>
        <v>Burger</v>
      </c>
      <c r="H308" s="10">
        <f>_xlfn.XLOOKUP(C308,menu!A:A,menu!E:E)</f>
        <v>27</v>
      </c>
      <c r="I308" s="10">
        <f t="shared" si="4"/>
        <v>27</v>
      </c>
      <c r="K308" s="10"/>
      <c r="L308" s="5"/>
    </row>
    <row r="309" spans="1:12" x14ac:dyDescent="0.25">
      <c r="A309" s="5" t="s">
        <v>6867</v>
      </c>
      <c r="B309" s="5" t="s">
        <v>6865</v>
      </c>
      <c r="C309" s="5" t="s">
        <v>35</v>
      </c>
      <c r="D309" s="21">
        <v>2</v>
      </c>
      <c r="E309" s="12">
        <v>238</v>
      </c>
      <c r="F309" s="10" t="str">
        <f>_xlfn.XLOOKUP(C309,menu!A:A,menu!B:B)</f>
        <v>Chicken Nuggets</v>
      </c>
      <c r="G309" s="10" t="str">
        <f>_xlfn.XLOOKUP(C309,menu!A:A,menu!C:C)</f>
        <v>Starters</v>
      </c>
      <c r="H309" s="10">
        <f>_xlfn.XLOOKUP(C309,menu!A:A,menu!E:E)</f>
        <v>36</v>
      </c>
      <c r="I309" s="10">
        <f t="shared" si="4"/>
        <v>72</v>
      </c>
      <c r="K309" s="10"/>
      <c r="L309" s="5"/>
    </row>
    <row r="310" spans="1:12" x14ac:dyDescent="0.25">
      <c r="A310" s="5" t="s">
        <v>6866</v>
      </c>
      <c r="B310" s="5" t="s">
        <v>6865</v>
      </c>
      <c r="C310" s="5" t="s">
        <v>38</v>
      </c>
      <c r="D310" s="21">
        <v>3</v>
      </c>
      <c r="E310" s="12">
        <v>447</v>
      </c>
      <c r="F310" s="10" t="str">
        <f>_xlfn.XLOOKUP(C310,menu!A:A,menu!B:B)</f>
        <v>Chicken Wings</v>
      </c>
      <c r="G310" s="10" t="str">
        <f>_xlfn.XLOOKUP(C310,menu!A:A,menu!C:C)</f>
        <v>Starters</v>
      </c>
      <c r="H310" s="10">
        <f>_xlfn.XLOOKUP(C310,menu!A:A,menu!E:E)</f>
        <v>45</v>
      </c>
      <c r="I310" s="10">
        <f t="shared" si="4"/>
        <v>135</v>
      </c>
      <c r="K310" s="10"/>
      <c r="L310" s="5"/>
    </row>
    <row r="311" spans="1:12" x14ac:dyDescent="0.25">
      <c r="A311" s="5" t="s">
        <v>6864</v>
      </c>
      <c r="B311" s="5" t="s">
        <v>6862</v>
      </c>
      <c r="C311" s="5" t="s">
        <v>5</v>
      </c>
      <c r="D311" s="21">
        <v>1</v>
      </c>
      <c r="E311" s="12">
        <v>79</v>
      </c>
      <c r="F311" s="10" t="str">
        <f>_xlfn.XLOOKUP(C311,menu!A:A,menu!B:B)</f>
        <v>Veg Sandwich</v>
      </c>
      <c r="G311" s="10" t="str">
        <f>_xlfn.XLOOKUP(C311,menu!A:A,menu!C:C)</f>
        <v>Sandwich</v>
      </c>
      <c r="H311" s="10">
        <f>_xlfn.XLOOKUP(C311,menu!A:A,menu!E:E)</f>
        <v>24</v>
      </c>
      <c r="I311" s="10">
        <f t="shared" si="4"/>
        <v>24</v>
      </c>
      <c r="K311" s="10"/>
      <c r="L311" s="5"/>
    </row>
    <row r="312" spans="1:12" x14ac:dyDescent="0.25">
      <c r="A312" s="5" t="s">
        <v>6863</v>
      </c>
      <c r="B312" s="5" t="s">
        <v>6862</v>
      </c>
      <c r="C312" s="5" t="s">
        <v>54</v>
      </c>
      <c r="D312" s="21">
        <v>2</v>
      </c>
      <c r="E312" s="12">
        <v>278</v>
      </c>
      <c r="F312" s="10" t="str">
        <f>_xlfn.XLOOKUP(C312,menu!A:A,menu!B:B)</f>
        <v>Chicken Strips</v>
      </c>
      <c r="G312" s="10" t="str">
        <f>_xlfn.XLOOKUP(C312,menu!A:A,menu!C:C)</f>
        <v>Starters</v>
      </c>
      <c r="H312" s="10">
        <f>_xlfn.XLOOKUP(C312,menu!A:A,menu!E:E)</f>
        <v>42</v>
      </c>
      <c r="I312" s="10">
        <f t="shared" si="4"/>
        <v>84</v>
      </c>
      <c r="K312" s="10"/>
      <c r="L312" s="5"/>
    </row>
    <row r="313" spans="1:12" x14ac:dyDescent="0.25">
      <c r="A313" s="5" t="s">
        <v>6861</v>
      </c>
      <c r="B313" s="5" t="s">
        <v>6857</v>
      </c>
      <c r="C313" s="5" t="s">
        <v>40</v>
      </c>
      <c r="D313" s="21">
        <v>2</v>
      </c>
      <c r="E313" s="12">
        <v>198</v>
      </c>
      <c r="F313" s="10" t="str">
        <f>_xlfn.XLOOKUP(C313,menu!A:A,menu!B:B)</f>
        <v>Veg Nuggets</v>
      </c>
      <c r="G313" s="10" t="str">
        <f>_xlfn.XLOOKUP(C313,menu!A:A,menu!C:C)</f>
        <v>Starters</v>
      </c>
      <c r="H313" s="10">
        <f>_xlfn.XLOOKUP(C313,menu!A:A,menu!E:E)</f>
        <v>30</v>
      </c>
      <c r="I313" s="10">
        <f t="shared" si="4"/>
        <v>60</v>
      </c>
      <c r="K313" s="10"/>
      <c r="L313" s="5"/>
    </row>
    <row r="314" spans="1:12" x14ac:dyDescent="0.25">
      <c r="A314" s="5" t="s">
        <v>6860</v>
      </c>
      <c r="B314" s="5" t="s">
        <v>6857</v>
      </c>
      <c r="C314" s="5" t="s">
        <v>42</v>
      </c>
      <c r="D314" s="21">
        <v>1</v>
      </c>
      <c r="E314" s="12">
        <v>149</v>
      </c>
      <c r="F314" s="10" t="str">
        <f>_xlfn.XLOOKUP(C314,menu!A:A,menu!B:B)</f>
        <v>Chicken Popcorn</v>
      </c>
      <c r="G314" s="10" t="str">
        <f>_xlfn.XLOOKUP(C314,menu!A:A,menu!C:C)</f>
        <v>Starters</v>
      </c>
      <c r="H314" s="10">
        <f>_xlfn.XLOOKUP(C314,menu!A:A,menu!E:E)</f>
        <v>45</v>
      </c>
      <c r="I314" s="10">
        <f t="shared" si="4"/>
        <v>45</v>
      </c>
      <c r="K314" s="10"/>
      <c r="L314" s="5"/>
    </row>
    <row r="315" spans="1:12" x14ac:dyDescent="0.25">
      <c r="A315" s="5" t="s">
        <v>6859</v>
      </c>
      <c r="B315" s="5" t="s">
        <v>6857</v>
      </c>
      <c r="C315" s="5" t="s">
        <v>48</v>
      </c>
      <c r="D315" s="21">
        <v>1</v>
      </c>
      <c r="E315" s="12">
        <v>159</v>
      </c>
      <c r="F315" s="10" t="str">
        <f>_xlfn.XLOOKUP(C315,menu!A:A,menu!B:B)</f>
        <v>Chicken Lollipop</v>
      </c>
      <c r="G315" s="10" t="str">
        <f>_xlfn.XLOOKUP(C315,menu!A:A,menu!C:C)</f>
        <v>Starters</v>
      </c>
      <c r="H315" s="10">
        <f>_xlfn.XLOOKUP(C315,menu!A:A,menu!E:E)</f>
        <v>48</v>
      </c>
      <c r="I315" s="10">
        <f t="shared" si="4"/>
        <v>48</v>
      </c>
      <c r="K315" s="10"/>
      <c r="L315" s="5"/>
    </row>
    <row r="316" spans="1:12" x14ac:dyDescent="0.25">
      <c r="A316" s="5" t="s">
        <v>6858</v>
      </c>
      <c r="B316" s="5" t="s">
        <v>6857</v>
      </c>
      <c r="C316" s="5" t="s">
        <v>5</v>
      </c>
      <c r="D316" s="21">
        <v>1</v>
      </c>
      <c r="E316" s="12">
        <v>79</v>
      </c>
      <c r="F316" s="10" t="str">
        <f>_xlfn.XLOOKUP(C316,menu!A:A,menu!B:B)</f>
        <v>Veg Sandwich</v>
      </c>
      <c r="G316" s="10" t="str">
        <f>_xlfn.XLOOKUP(C316,menu!A:A,menu!C:C)</f>
        <v>Sandwich</v>
      </c>
      <c r="H316" s="10">
        <f>_xlfn.XLOOKUP(C316,menu!A:A,menu!E:E)</f>
        <v>24</v>
      </c>
      <c r="I316" s="10">
        <f t="shared" si="4"/>
        <v>24</v>
      </c>
      <c r="K316" s="10"/>
      <c r="L316" s="5"/>
    </row>
    <row r="317" spans="1:12" x14ac:dyDescent="0.25">
      <c r="A317" s="5" t="s">
        <v>6856</v>
      </c>
      <c r="B317" s="5" t="s">
        <v>6853</v>
      </c>
      <c r="C317" s="5" t="s">
        <v>29</v>
      </c>
      <c r="D317" s="21">
        <v>2</v>
      </c>
      <c r="E317" s="12">
        <v>158</v>
      </c>
      <c r="F317" s="10" t="str">
        <f>_xlfn.XLOOKUP(C317,menu!A:A,menu!B:B)</f>
        <v>Paneer Roll</v>
      </c>
      <c r="G317" s="10" t="str">
        <f>_xlfn.XLOOKUP(C317,menu!A:A,menu!C:C)</f>
        <v>Rolls</v>
      </c>
      <c r="H317" s="10">
        <f>_xlfn.XLOOKUP(C317,menu!A:A,menu!E:E)</f>
        <v>24</v>
      </c>
      <c r="I317" s="10">
        <f t="shared" si="4"/>
        <v>48</v>
      </c>
      <c r="K317" s="10"/>
      <c r="L317" s="5"/>
    </row>
    <row r="318" spans="1:12" x14ac:dyDescent="0.25">
      <c r="A318" s="5" t="s">
        <v>6855</v>
      </c>
      <c r="B318" s="5" t="s">
        <v>6853</v>
      </c>
      <c r="C318" s="5" t="s">
        <v>22</v>
      </c>
      <c r="D318" s="21">
        <v>2</v>
      </c>
      <c r="E318" s="12">
        <v>198</v>
      </c>
      <c r="F318" s="10" t="str">
        <f>_xlfn.XLOOKUP(C318,menu!A:A,menu!B:B)</f>
        <v>Chicken Burger</v>
      </c>
      <c r="G318" s="10" t="str">
        <f>_xlfn.XLOOKUP(C318,menu!A:A,menu!C:C)</f>
        <v>Burger</v>
      </c>
      <c r="H318" s="10">
        <f>_xlfn.XLOOKUP(C318,menu!A:A,menu!E:E)</f>
        <v>30</v>
      </c>
      <c r="I318" s="10">
        <f t="shared" si="4"/>
        <v>60</v>
      </c>
      <c r="K318" s="10"/>
      <c r="L318" s="5"/>
    </row>
    <row r="319" spans="1:12" x14ac:dyDescent="0.25">
      <c r="A319" s="5" t="s">
        <v>6854</v>
      </c>
      <c r="B319" s="5" t="s">
        <v>6853</v>
      </c>
      <c r="C319" s="5" t="s">
        <v>48</v>
      </c>
      <c r="D319" s="21">
        <v>1</v>
      </c>
      <c r="E319" s="12">
        <v>159</v>
      </c>
      <c r="F319" s="10" t="str">
        <f>_xlfn.XLOOKUP(C319,menu!A:A,menu!B:B)</f>
        <v>Chicken Lollipop</v>
      </c>
      <c r="G319" s="10" t="str">
        <f>_xlfn.XLOOKUP(C319,menu!A:A,menu!C:C)</f>
        <v>Starters</v>
      </c>
      <c r="H319" s="10">
        <f>_xlfn.XLOOKUP(C319,menu!A:A,menu!E:E)</f>
        <v>48</v>
      </c>
      <c r="I319" s="10">
        <f t="shared" si="4"/>
        <v>48</v>
      </c>
      <c r="K319" s="10"/>
      <c r="L319" s="5"/>
    </row>
    <row r="320" spans="1:12" x14ac:dyDescent="0.25">
      <c r="A320" s="5" t="s">
        <v>6852</v>
      </c>
      <c r="B320" s="5" t="s">
        <v>6849</v>
      </c>
      <c r="C320" s="5" t="s">
        <v>17</v>
      </c>
      <c r="D320" s="21">
        <v>3</v>
      </c>
      <c r="E320" s="12">
        <v>267</v>
      </c>
      <c r="F320" s="10" t="str">
        <f>_xlfn.XLOOKUP(C320,menu!A:A,menu!B:B)</f>
        <v>Paneer Momos</v>
      </c>
      <c r="G320" s="10" t="str">
        <f>_xlfn.XLOOKUP(C320,menu!A:A,menu!C:C)</f>
        <v>Momos</v>
      </c>
      <c r="H320" s="10">
        <f>_xlfn.XLOOKUP(C320,menu!A:A,menu!E:E)</f>
        <v>27</v>
      </c>
      <c r="I320" s="10">
        <f t="shared" si="4"/>
        <v>81</v>
      </c>
      <c r="K320" s="10"/>
      <c r="L320" s="5"/>
    </row>
    <row r="321" spans="1:12" x14ac:dyDescent="0.25">
      <c r="A321" s="5" t="s">
        <v>6851</v>
      </c>
      <c r="B321" s="5" t="s">
        <v>6849</v>
      </c>
      <c r="C321" s="5" t="s">
        <v>42</v>
      </c>
      <c r="D321" s="21">
        <v>2</v>
      </c>
      <c r="E321" s="12">
        <v>298</v>
      </c>
      <c r="F321" s="10" t="str">
        <f>_xlfn.XLOOKUP(C321,menu!A:A,menu!B:B)</f>
        <v>Chicken Popcorn</v>
      </c>
      <c r="G321" s="10" t="str">
        <f>_xlfn.XLOOKUP(C321,menu!A:A,menu!C:C)</f>
        <v>Starters</v>
      </c>
      <c r="H321" s="10">
        <f>_xlfn.XLOOKUP(C321,menu!A:A,menu!E:E)</f>
        <v>45</v>
      </c>
      <c r="I321" s="10">
        <f t="shared" si="4"/>
        <v>90</v>
      </c>
      <c r="K321" s="10"/>
      <c r="L321" s="5"/>
    </row>
    <row r="322" spans="1:12" x14ac:dyDescent="0.25">
      <c r="A322" s="5" t="s">
        <v>6850</v>
      </c>
      <c r="B322" s="5" t="s">
        <v>6849</v>
      </c>
      <c r="C322" s="5" t="s">
        <v>59</v>
      </c>
      <c r="D322" s="21">
        <v>3</v>
      </c>
      <c r="E322" s="12">
        <v>237</v>
      </c>
      <c r="F322" s="10" t="str">
        <f>_xlfn.XLOOKUP(C322,menu!A:A,menu!B:B)</f>
        <v>Blue Curacao Mojito</v>
      </c>
      <c r="G322" s="10" t="str">
        <f>_xlfn.XLOOKUP(C322,menu!A:A,menu!C:C)</f>
        <v>Beverages</v>
      </c>
      <c r="H322" s="10">
        <f>_xlfn.XLOOKUP(C322,menu!A:A,menu!E:E)</f>
        <v>24</v>
      </c>
      <c r="I322" s="10">
        <f t="shared" si="4"/>
        <v>72</v>
      </c>
      <c r="K322" s="10"/>
      <c r="L322" s="5"/>
    </row>
    <row r="323" spans="1:12" x14ac:dyDescent="0.25">
      <c r="A323" s="5" t="s">
        <v>6848</v>
      </c>
      <c r="B323" s="5" t="s">
        <v>6846</v>
      </c>
      <c r="C323" s="5" t="s">
        <v>54</v>
      </c>
      <c r="D323" s="21">
        <v>1</v>
      </c>
      <c r="E323" s="12">
        <v>139</v>
      </c>
      <c r="F323" s="10" t="str">
        <f>_xlfn.XLOOKUP(C323,menu!A:A,menu!B:B)</f>
        <v>Chicken Strips</v>
      </c>
      <c r="G323" s="10" t="str">
        <f>_xlfn.XLOOKUP(C323,menu!A:A,menu!C:C)</f>
        <v>Starters</v>
      </c>
      <c r="H323" s="10">
        <f>_xlfn.XLOOKUP(C323,menu!A:A,menu!E:E)</f>
        <v>42</v>
      </c>
      <c r="I323" s="10">
        <f t="shared" ref="I323:I386" si="5">D323*H323</f>
        <v>42</v>
      </c>
      <c r="K323" s="10"/>
      <c r="L323" s="5"/>
    </row>
    <row r="324" spans="1:12" x14ac:dyDescent="0.25">
      <c r="A324" s="5" t="s">
        <v>6847</v>
      </c>
      <c r="B324" s="5" t="s">
        <v>6846</v>
      </c>
      <c r="C324" s="5" t="s">
        <v>46</v>
      </c>
      <c r="D324" s="21">
        <v>4</v>
      </c>
      <c r="E324" s="12">
        <v>596</v>
      </c>
      <c r="F324" s="10" t="str">
        <f>_xlfn.XLOOKUP(C324,menu!A:A,menu!B:B)</f>
        <v>Fish Finger</v>
      </c>
      <c r="G324" s="10" t="str">
        <f>_xlfn.XLOOKUP(C324,menu!A:A,menu!C:C)</f>
        <v>Starters</v>
      </c>
      <c r="H324" s="10">
        <f>_xlfn.XLOOKUP(C324,menu!A:A,menu!E:E)</f>
        <v>45</v>
      </c>
      <c r="I324" s="10">
        <f t="shared" si="5"/>
        <v>180</v>
      </c>
      <c r="K324" s="10"/>
      <c r="L324" s="5"/>
    </row>
    <row r="325" spans="1:12" x14ac:dyDescent="0.25">
      <c r="A325" s="5" t="s">
        <v>6845</v>
      </c>
      <c r="B325" s="5" t="s">
        <v>6843</v>
      </c>
      <c r="C325" s="5" t="s">
        <v>19</v>
      </c>
      <c r="D325" s="21">
        <v>3</v>
      </c>
      <c r="E325" s="12">
        <v>237</v>
      </c>
      <c r="F325" s="10" t="str">
        <f>_xlfn.XLOOKUP(C325,menu!A:A,menu!B:B)</f>
        <v>Veg Burger</v>
      </c>
      <c r="G325" s="10" t="str">
        <f>_xlfn.XLOOKUP(C325,menu!A:A,menu!C:C)</f>
        <v>Burger</v>
      </c>
      <c r="H325" s="10">
        <f>_xlfn.XLOOKUP(C325,menu!A:A,menu!E:E)</f>
        <v>24</v>
      </c>
      <c r="I325" s="10">
        <f t="shared" si="5"/>
        <v>72</v>
      </c>
      <c r="K325" s="10"/>
      <c r="L325" s="5"/>
    </row>
    <row r="326" spans="1:12" x14ac:dyDescent="0.25">
      <c r="A326" s="5" t="s">
        <v>6844</v>
      </c>
      <c r="B326" s="5" t="s">
        <v>6843</v>
      </c>
      <c r="C326" s="5" t="s">
        <v>38</v>
      </c>
      <c r="D326" s="21">
        <v>1</v>
      </c>
      <c r="E326" s="12">
        <v>149</v>
      </c>
      <c r="F326" s="10" t="str">
        <f>_xlfn.XLOOKUP(C326,menu!A:A,menu!B:B)</f>
        <v>Chicken Wings</v>
      </c>
      <c r="G326" s="10" t="str">
        <f>_xlfn.XLOOKUP(C326,menu!A:A,menu!C:C)</f>
        <v>Starters</v>
      </c>
      <c r="H326" s="10">
        <f>_xlfn.XLOOKUP(C326,menu!A:A,menu!E:E)</f>
        <v>45</v>
      </c>
      <c r="I326" s="10">
        <f t="shared" si="5"/>
        <v>45</v>
      </c>
      <c r="K326" s="10"/>
      <c r="L326" s="5"/>
    </row>
    <row r="327" spans="1:12" x14ac:dyDescent="0.25">
      <c r="A327" s="5" t="s">
        <v>6842</v>
      </c>
      <c r="B327" s="5" t="s">
        <v>6840</v>
      </c>
      <c r="C327" s="5" t="s">
        <v>17</v>
      </c>
      <c r="D327" s="21">
        <v>3</v>
      </c>
      <c r="E327" s="12">
        <v>267</v>
      </c>
      <c r="F327" s="10" t="str">
        <f>_xlfn.XLOOKUP(C327,menu!A:A,menu!B:B)</f>
        <v>Paneer Momos</v>
      </c>
      <c r="G327" s="10" t="str">
        <f>_xlfn.XLOOKUP(C327,menu!A:A,menu!C:C)</f>
        <v>Momos</v>
      </c>
      <c r="H327" s="10">
        <f>_xlfn.XLOOKUP(C327,menu!A:A,menu!E:E)</f>
        <v>27</v>
      </c>
      <c r="I327" s="10">
        <f t="shared" si="5"/>
        <v>81</v>
      </c>
      <c r="K327" s="10"/>
      <c r="L327" s="5"/>
    </row>
    <row r="328" spans="1:12" x14ac:dyDescent="0.25">
      <c r="A328" s="5" t="s">
        <v>6841</v>
      </c>
      <c r="B328" s="5" t="s">
        <v>6840</v>
      </c>
      <c r="C328" s="5" t="s">
        <v>31</v>
      </c>
      <c r="D328" s="21">
        <v>1</v>
      </c>
      <c r="E328" s="12">
        <v>89</v>
      </c>
      <c r="F328" s="10" t="str">
        <f>_xlfn.XLOOKUP(C328,menu!A:A,menu!B:B)</f>
        <v>Chicken Roll</v>
      </c>
      <c r="G328" s="10" t="str">
        <f>_xlfn.XLOOKUP(C328,menu!A:A,menu!C:C)</f>
        <v>Rolls</v>
      </c>
      <c r="H328" s="10">
        <f>_xlfn.XLOOKUP(C328,menu!A:A,menu!E:E)</f>
        <v>27</v>
      </c>
      <c r="I328" s="10">
        <f t="shared" si="5"/>
        <v>27</v>
      </c>
      <c r="K328" s="10"/>
      <c r="L328" s="5"/>
    </row>
    <row r="329" spans="1:12" x14ac:dyDescent="0.25">
      <c r="A329" s="5" t="s">
        <v>6839</v>
      </c>
      <c r="B329" s="5" t="s">
        <v>6836</v>
      </c>
      <c r="C329" s="5" t="s">
        <v>50</v>
      </c>
      <c r="D329" s="21">
        <v>1</v>
      </c>
      <c r="E329" s="12">
        <v>149</v>
      </c>
      <c r="F329" s="10" t="str">
        <f>_xlfn.XLOOKUP(C329,menu!A:A,menu!B:B)</f>
        <v>Grab Lollipop</v>
      </c>
      <c r="G329" s="10" t="str">
        <f>_xlfn.XLOOKUP(C329,menu!A:A,menu!C:C)</f>
        <v>Starters</v>
      </c>
      <c r="H329" s="10">
        <f>_xlfn.XLOOKUP(C329,menu!A:A,menu!E:E)</f>
        <v>45</v>
      </c>
      <c r="I329" s="10">
        <f t="shared" si="5"/>
        <v>45</v>
      </c>
      <c r="K329" s="10"/>
      <c r="L329" s="5"/>
    </row>
    <row r="330" spans="1:12" x14ac:dyDescent="0.25">
      <c r="A330" s="5" t="s">
        <v>6838</v>
      </c>
      <c r="B330" s="5" t="s">
        <v>6836</v>
      </c>
      <c r="C330" s="5" t="s">
        <v>33</v>
      </c>
      <c r="D330" s="21">
        <v>2</v>
      </c>
      <c r="E330" s="12">
        <v>138</v>
      </c>
      <c r="F330" s="10" t="str">
        <f>_xlfn.XLOOKUP(C330,menu!A:A,menu!B:B)</f>
        <v>Spring Roll</v>
      </c>
      <c r="G330" s="10" t="str">
        <f>_xlfn.XLOOKUP(C330,menu!A:A,menu!C:C)</f>
        <v>Rolls</v>
      </c>
      <c r="H330" s="10">
        <f>_xlfn.XLOOKUP(C330,menu!A:A,menu!E:E)</f>
        <v>21</v>
      </c>
      <c r="I330" s="10">
        <f t="shared" si="5"/>
        <v>42</v>
      </c>
      <c r="K330" s="10"/>
      <c r="L330" s="5"/>
    </row>
    <row r="331" spans="1:12" x14ac:dyDescent="0.25">
      <c r="A331" s="5" t="s">
        <v>6837</v>
      </c>
      <c r="B331" s="5" t="s">
        <v>6836</v>
      </c>
      <c r="C331" s="5" t="s">
        <v>38</v>
      </c>
      <c r="D331" s="21">
        <v>1</v>
      </c>
      <c r="E331" s="12">
        <v>149</v>
      </c>
      <c r="F331" s="10" t="str">
        <f>_xlfn.XLOOKUP(C331,menu!A:A,menu!B:B)</f>
        <v>Chicken Wings</v>
      </c>
      <c r="G331" s="10" t="str">
        <f>_xlfn.XLOOKUP(C331,menu!A:A,menu!C:C)</f>
        <v>Starters</v>
      </c>
      <c r="H331" s="10">
        <f>_xlfn.XLOOKUP(C331,menu!A:A,menu!E:E)</f>
        <v>45</v>
      </c>
      <c r="I331" s="10">
        <f t="shared" si="5"/>
        <v>45</v>
      </c>
      <c r="K331" s="10"/>
      <c r="L331" s="5"/>
    </row>
    <row r="332" spans="1:12" x14ac:dyDescent="0.25">
      <c r="A332" s="5" t="s">
        <v>6835</v>
      </c>
      <c r="B332" s="5" t="s">
        <v>6832</v>
      </c>
      <c r="C332" s="5" t="s">
        <v>12</v>
      </c>
      <c r="D332" s="21">
        <v>3</v>
      </c>
      <c r="E332" s="12">
        <v>237</v>
      </c>
      <c r="F332" s="10" t="str">
        <f>_xlfn.XLOOKUP(C332,menu!A:A,menu!B:B)</f>
        <v>Veg Momos</v>
      </c>
      <c r="G332" s="10" t="str">
        <f>_xlfn.XLOOKUP(C332,menu!A:A,menu!C:C)</f>
        <v>Momos</v>
      </c>
      <c r="H332" s="10">
        <f>_xlfn.XLOOKUP(C332,menu!A:A,menu!E:E)</f>
        <v>24</v>
      </c>
      <c r="I332" s="10">
        <f t="shared" si="5"/>
        <v>72</v>
      </c>
      <c r="K332" s="10"/>
      <c r="L332" s="5"/>
    </row>
    <row r="333" spans="1:12" x14ac:dyDescent="0.25">
      <c r="A333" s="5" t="s">
        <v>6834</v>
      </c>
      <c r="B333" s="5" t="s">
        <v>6832</v>
      </c>
      <c r="C333" s="5" t="s">
        <v>38</v>
      </c>
      <c r="D333" s="21">
        <v>3</v>
      </c>
      <c r="E333" s="12">
        <v>447</v>
      </c>
      <c r="F333" s="10" t="str">
        <f>_xlfn.XLOOKUP(C333,menu!A:A,menu!B:B)</f>
        <v>Chicken Wings</v>
      </c>
      <c r="G333" s="10" t="str">
        <f>_xlfn.XLOOKUP(C333,menu!A:A,menu!C:C)</f>
        <v>Starters</v>
      </c>
      <c r="H333" s="10">
        <f>_xlfn.XLOOKUP(C333,menu!A:A,menu!E:E)</f>
        <v>45</v>
      </c>
      <c r="I333" s="10">
        <f t="shared" si="5"/>
        <v>135</v>
      </c>
      <c r="K333" s="10"/>
      <c r="L333" s="5"/>
    </row>
    <row r="334" spans="1:12" x14ac:dyDescent="0.25">
      <c r="A334" s="5" t="s">
        <v>6833</v>
      </c>
      <c r="B334" s="5" t="s">
        <v>6832</v>
      </c>
      <c r="C334" s="5" t="s">
        <v>61</v>
      </c>
      <c r="D334" s="21">
        <v>2</v>
      </c>
      <c r="E334" s="12">
        <v>158</v>
      </c>
      <c r="F334" s="10" t="str">
        <f>_xlfn.XLOOKUP(C334,menu!A:A,menu!B:B)</f>
        <v>Watermelon Mojito</v>
      </c>
      <c r="G334" s="10" t="str">
        <f>_xlfn.XLOOKUP(C334,menu!A:A,menu!C:C)</f>
        <v>Beverages</v>
      </c>
      <c r="H334" s="10">
        <f>_xlfn.XLOOKUP(C334,menu!A:A,menu!E:E)</f>
        <v>24</v>
      </c>
      <c r="I334" s="10">
        <f t="shared" si="5"/>
        <v>48</v>
      </c>
      <c r="K334" s="10"/>
      <c r="L334" s="5"/>
    </row>
    <row r="335" spans="1:12" x14ac:dyDescent="0.25">
      <c r="A335" s="5" t="s">
        <v>6831</v>
      </c>
      <c r="B335" s="5" t="s">
        <v>6828</v>
      </c>
      <c r="C335" s="5" t="s">
        <v>19</v>
      </c>
      <c r="D335" s="21">
        <v>1</v>
      </c>
      <c r="E335" s="12">
        <v>79</v>
      </c>
      <c r="F335" s="10" t="str">
        <f>_xlfn.XLOOKUP(C335,menu!A:A,menu!B:B)</f>
        <v>Veg Burger</v>
      </c>
      <c r="G335" s="10" t="str">
        <f>_xlfn.XLOOKUP(C335,menu!A:A,menu!C:C)</f>
        <v>Burger</v>
      </c>
      <c r="H335" s="10">
        <f>_xlfn.XLOOKUP(C335,menu!A:A,menu!E:E)</f>
        <v>24</v>
      </c>
      <c r="I335" s="10">
        <f t="shared" si="5"/>
        <v>24</v>
      </c>
      <c r="K335" s="10"/>
      <c r="L335" s="5"/>
    </row>
    <row r="336" spans="1:12" x14ac:dyDescent="0.25">
      <c r="A336" s="5" t="s">
        <v>6830</v>
      </c>
      <c r="B336" s="5" t="s">
        <v>6828</v>
      </c>
      <c r="C336" s="5" t="s">
        <v>10</v>
      </c>
      <c r="D336" s="21">
        <v>1</v>
      </c>
      <c r="E336" s="12">
        <v>119</v>
      </c>
      <c r="F336" s="10" t="str">
        <f>_xlfn.XLOOKUP(C336,menu!A:A,menu!B:B)</f>
        <v>Chicken Sandwich</v>
      </c>
      <c r="G336" s="10" t="str">
        <f>_xlfn.XLOOKUP(C336,menu!A:A,menu!C:C)</f>
        <v>Sandwich</v>
      </c>
      <c r="H336" s="10">
        <f>_xlfn.XLOOKUP(C336,menu!A:A,menu!E:E)</f>
        <v>36</v>
      </c>
      <c r="I336" s="10">
        <f t="shared" si="5"/>
        <v>36</v>
      </c>
      <c r="K336" s="10"/>
      <c r="L336" s="5"/>
    </row>
    <row r="337" spans="1:12" x14ac:dyDescent="0.25">
      <c r="A337" s="5" t="s">
        <v>6829</v>
      </c>
      <c r="B337" s="5" t="s">
        <v>6828</v>
      </c>
      <c r="C337" s="5" t="s">
        <v>35</v>
      </c>
      <c r="D337" s="21">
        <v>5</v>
      </c>
      <c r="E337" s="12">
        <v>595</v>
      </c>
      <c r="F337" s="10" t="str">
        <f>_xlfn.XLOOKUP(C337,menu!A:A,menu!B:B)</f>
        <v>Chicken Nuggets</v>
      </c>
      <c r="G337" s="10" t="str">
        <f>_xlfn.XLOOKUP(C337,menu!A:A,menu!C:C)</f>
        <v>Starters</v>
      </c>
      <c r="H337" s="10">
        <f>_xlfn.XLOOKUP(C337,menu!A:A,menu!E:E)</f>
        <v>36</v>
      </c>
      <c r="I337" s="10">
        <f t="shared" si="5"/>
        <v>180</v>
      </c>
      <c r="K337" s="10"/>
      <c r="L337" s="5"/>
    </row>
    <row r="338" spans="1:12" x14ac:dyDescent="0.25">
      <c r="A338" s="5" t="s">
        <v>6827</v>
      </c>
      <c r="B338" s="5" t="s">
        <v>6825</v>
      </c>
      <c r="C338" s="5" t="s">
        <v>17</v>
      </c>
      <c r="D338" s="21">
        <v>3</v>
      </c>
      <c r="E338" s="12">
        <v>267</v>
      </c>
      <c r="F338" s="10" t="str">
        <f>_xlfn.XLOOKUP(C338,menu!A:A,menu!B:B)</f>
        <v>Paneer Momos</v>
      </c>
      <c r="G338" s="10" t="str">
        <f>_xlfn.XLOOKUP(C338,menu!A:A,menu!C:C)</f>
        <v>Momos</v>
      </c>
      <c r="H338" s="10">
        <f>_xlfn.XLOOKUP(C338,menu!A:A,menu!E:E)</f>
        <v>27</v>
      </c>
      <c r="I338" s="10">
        <f t="shared" si="5"/>
        <v>81</v>
      </c>
      <c r="K338" s="10"/>
      <c r="L338" s="5"/>
    </row>
    <row r="339" spans="1:12" x14ac:dyDescent="0.25">
      <c r="A339" s="5" t="s">
        <v>6826</v>
      </c>
      <c r="B339" s="5" t="s">
        <v>6825</v>
      </c>
      <c r="C339" s="5" t="s">
        <v>46</v>
      </c>
      <c r="D339" s="21">
        <v>1</v>
      </c>
      <c r="E339" s="12">
        <v>149</v>
      </c>
      <c r="F339" s="10" t="str">
        <f>_xlfn.XLOOKUP(C339,menu!A:A,menu!B:B)</f>
        <v>Fish Finger</v>
      </c>
      <c r="G339" s="10" t="str">
        <f>_xlfn.XLOOKUP(C339,menu!A:A,menu!C:C)</f>
        <v>Starters</v>
      </c>
      <c r="H339" s="10">
        <f>_xlfn.XLOOKUP(C339,menu!A:A,menu!E:E)</f>
        <v>45</v>
      </c>
      <c r="I339" s="10">
        <f t="shared" si="5"/>
        <v>45</v>
      </c>
      <c r="K339" s="10"/>
      <c r="L339" s="5"/>
    </row>
    <row r="340" spans="1:12" x14ac:dyDescent="0.25">
      <c r="A340" s="5" t="s">
        <v>6824</v>
      </c>
      <c r="B340" s="5" t="s">
        <v>6820</v>
      </c>
      <c r="C340" s="5" t="s">
        <v>10</v>
      </c>
      <c r="D340" s="21">
        <v>1</v>
      </c>
      <c r="E340" s="12">
        <v>119</v>
      </c>
      <c r="F340" s="10" t="str">
        <f>_xlfn.XLOOKUP(C340,menu!A:A,menu!B:B)</f>
        <v>Chicken Sandwich</v>
      </c>
      <c r="G340" s="10" t="str">
        <f>_xlfn.XLOOKUP(C340,menu!A:A,menu!C:C)</f>
        <v>Sandwich</v>
      </c>
      <c r="H340" s="10">
        <f>_xlfn.XLOOKUP(C340,menu!A:A,menu!E:E)</f>
        <v>36</v>
      </c>
      <c r="I340" s="10">
        <f t="shared" si="5"/>
        <v>36</v>
      </c>
      <c r="K340" s="10"/>
      <c r="L340" s="5"/>
    </row>
    <row r="341" spans="1:12" x14ac:dyDescent="0.25">
      <c r="A341" s="5" t="s">
        <v>6823</v>
      </c>
      <c r="B341" s="5" t="s">
        <v>6820</v>
      </c>
      <c r="C341" s="5" t="s">
        <v>46</v>
      </c>
      <c r="D341" s="21">
        <v>1</v>
      </c>
      <c r="E341" s="12">
        <v>149</v>
      </c>
      <c r="F341" s="10" t="str">
        <f>_xlfn.XLOOKUP(C341,menu!A:A,menu!B:B)</f>
        <v>Fish Finger</v>
      </c>
      <c r="G341" s="10" t="str">
        <f>_xlfn.XLOOKUP(C341,menu!A:A,menu!C:C)</f>
        <v>Starters</v>
      </c>
      <c r="H341" s="10">
        <f>_xlfn.XLOOKUP(C341,menu!A:A,menu!E:E)</f>
        <v>45</v>
      </c>
      <c r="I341" s="10">
        <f t="shared" si="5"/>
        <v>45</v>
      </c>
      <c r="K341" s="10"/>
      <c r="L341" s="5"/>
    </row>
    <row r="342" spans="1:12" x14ac:dyDescent="0.25">
      <c r="A342" s="5" t="s">
        <v>6822</v>
      </c>
      <c r="B342" s="5" t="s">
        <v>6820</v>
      </c>
      <c r="C342" s="5" t="s">
        <v>22</v>
      </c>
      <c r="D342" s="21">
        <v>1</v>
      </c>
      <c r="E342" s="12">
        <v>99</v>
      </c>
      <c r="F342" s="10" t="str">
        <f>_xlfn.XLOOKUP(C342,menu!A:A,menu!B:B)</f>
        <v>Chicken Burger</v>
      </c>
      <c r="G342" s="10" t="str">
        <f>_xlfn.XLOOKUP(C342,menu!A:A,menu!C:C)</f>
        <v>Burger</v>
      </c>
      <c r="H342" s="10">
        <f>_xlfn.XLOOKUP(C342,menu!A:A,menu!E:E)</f>
        <v>30</v>
      </c>
      <c r="I342" s="10">
        <f t="shared" si="5"/>
        <v>30</v>
      </c>
      <c r="K342" s="10"/>
      <c r="L342" s="5"/>
    </row>
    <row r="343" spans="1:12" x14ac:dyDescent="0.25">
      <c r="A343" s="5" t="s">
        <v>6821</v>
      </c>
      <c r="B343" s="5" t="s">
        <v>6820</v>
      </c>
      <c r="C343" s="5" t="s">
        <v>31</v>
      </c>
      <c r="D343" s="21">
        <v>2</v>
      </c>
      <c r="E343" s="12">
        <v>178</v>
      </c>
      <c r="F343" s="10" t="str">
        <f>_xlfn.XLOOKUP(C343,menu!A:A,menu!B:B)</f>
        <v>Chicken Roll</v>
      </c>
      <c r="G343" s="10" t="str">
        <f>_xlfn.XLOOKUP(C343,menu!A:A,menu!C:C)</f>
        <v>Rolls</v>
      </c>
      <c r="H343" s="10">
        <f>_xlfn.XLOOKUP(C343,menu!A:A,menu!E:E)</f>
        <v>27</v>
      </c>
      <c r="I343" s="10">
        <f t="shared" si="5"/>
        <v>54</v>
      </c>
      <c r="K343" s="10"/>
      <c r="L343" s="5"/>
    </row>
    <row r="344" spans="1:12" x14ac:dyDescent="0.25">
      <c r="A344" s="5" t="s">
        <v>6819</v>
      </c>
      <c r="B344" s="5" t="s">
        <v>6816</v>
      </c>
      <c r="C344" s="5" t="s">
        <v>17</v>
      </c>
      <c r="D344" s="21">
        <v>1</v>
      </c>
      <c r="E344" s="12">
        <v>89</v>
      </c>
      <c r="F344" s="10" t="str">
        <f>_xlfn.XLOOKUP(C344,menu!A:A,menu!B:B)</f>
        <v>Paneer Momos</v>
      </c>
      <c r="G344" s="10" t="str">
        <f>_xlfn.XLOOKUP(C344,menu!A:A,menu!C:C)</f>
        <v>Momos</v>
      </c>
      <c r="H344" s="10">
        <f>_xlfn.XLOOKUP(C344,menu!A:A,menu!E:E)</f>
        <v>27</v>
      </c>
      <c r="I344" s="10">
        <f t="shared" si="5"/>
        <v>27</v>
      </c>
      <c r="K344" s="10"/>
      <c r="L344" s="5"/>
    </row>
    <row r="345" spans="1:12" x14ac:dyDescent="0.25">
      <c r="A345" s="5" t="s">
        <v>6818</v>
      </c>
      <c r="B345" s="5" t="s">
        <v>6816</v>
      </c>
      <c r="C345" s="5" t="s">
        <v>42</v>
      </c>
      <c r="D345" s="21">
        <v>1</v>
      </c>
      <c r="E345" s="12">
        <v>149</v>
      </c>
      <c r="F345" s="10" t="str">
        <f>_xlfn.XLOOKUP(C345,menu!A:A,menu!B:B)</f>
        <v>Chicken Popcorn</v>
      </c>
      <c r="G345" s="10" t="str">
        <f>_xlfn.XLOOKUP(C345,menu!A:A,menu!C:C)</f>
        <v>Starters</v>
      </c>
      <c r="H345" s="10">
        <f>_xlfn.XLOOKUP(C345,menu!A:A,menu!E:E)</f>
        <v>45</v>
      </c>
      <c r="I345" s="10">
        <f t="shared" si="5"/>
        <v>45</v>
      </c>
      <c r="K345" s="10"/>
      <c r="L345" s="5"/>
    </row>
    <row r="346" spans="1:12" x14ac:dyDescent="0.25">
      <c r="A346" s="5" t="s">
        <v>6817</v>
      </c>
      <c r="B346" s="5" t="s">
        <v>6816</v>
      </c>
      <c r="C346" s="5" t="s">
        <v>61</v>
      </c>
      <c r="D346" s="21">
        <v>1</v>
      </c>
      <c r="E346" s="12">
        <v>79</v>
      </c>
      <c r="F346" s="10" t="str">
        <f>_xlfn.XLOOKUP(C346,menu!A:A,menu!B:B)</f>
        <v>Watermelon Mojito</v>
      </c>
      <c r="G346" s="10" t="str">
        <f>_xlfn.XLOOKUP(C346,menu!A:A,menu!C:C)</f>
        <v>Beverages</v>
      </c>
      <c r="H346" s="10">
        <f>_xlfn.XLOOKUP(C346,menu!A:A,menu!E:E)</f>
        <v>24</v>
      </c>
      <c r="I346" s="10">
        <f t="shared" si="5"/>
        <v>24</v>
      </c>
      <c r="K346" s="10"/>
      <c r="L346" s="5"/>
    </row>
    <row r="347" spans="1:12" x14ac:dyDescent="0.25">
      <c r="A347" s="5" t="s">
        <v>6815</v>
      </c>
      <c r="B347" s="5" t="s">
        <v>6812</v>
      </c>
      <c r="C347" s="5" t="s">
        <v>40</v>
      </c>
      <c r="D347" s="21">
        <v>2</v>
      </c>
      <c r="E347" s="12">
        <v>198</v>
      </c>
      <c r="F347" s="10" t="str">
        <f>_xlfn.XLOOKUP(C347,menu!A:A,menu!B:B)</f>
        <v>Veg Nuggets</v>
      </c>
      <c r="G347" s="10" t="str">
        <f>_xlfn.XLOOKUP(C347,menu!A:A,menu!C:C)</f>
        <v>Starters</v>
      </c>
      <c r="H347" s="10">
        <f>_xlfn.XLOOKUP(C347,menu!A:A,menu!E:E)</f>
        <v>30</v>
      </c>
      <c r="I347" s="10">
        <f t="shared" si="5"/>
        <v>60</v>
      </c>
      <c r="K347" s="10"/>
      <c r="L347" s="5"/>
    </row>
    <row r="348" spans="1:12" x14ac:dyDescent="0.25">
      <c r="A348" s="5" t="s">
        <v>6814</v>
      </c>
      <c r="B348" s="5" t="s">
        <v>6812</v>
      </c>
      <c r="C348" s="5" t="s">
        <v>63</v>
      </c>
      <c r="D348" s="21">
        <v>2</v>
      </c>
      <c r="E348" s="12">
        <v>158</v>
      </c>
      <c r="F348" s="10" t="str">
        <f>_xlfn.XLOOKUP(C348,menu!A:A,menu!B:B)</f>
        <v>Virgin Mojito</v>
      </c>
      <c r="G348" s="10" t="str">
        <f>_xlfn.XLOOKUP(C348,menu!A:A,menu!C:C)</f>
        <v>Beverages</v>
      </c>
      <c r="H348" s="10">
        <f>_xlfn.XLOOKUP(C348,menu!A:A,menu!E:E)</f>
        <v>24</v>
      </c>
      <c r="I348" s="10">
        <f t="shared" si="5"/>
        <v>48</v>
      </c>
      <c r="K348" s="10"/>
      <c r="L348" s="5"/>
    </row>
    <row r="349" spans="1:12" x14ac:dyDescent="0.25">
      <c r="A349" s="5" t="s">
        <v>6813</v>
      </c>
      <c r="B349" s="5" t="s">
        <v>6812</v>
      </c>
      <c r="C349" s="5" t="s">
        <v>50</v>
      </c>
      <c r="D349" s="21">
        <v>2</v>
      </c>
      <c r="E349" s="12">
        <v>298</v>
      </c>
      <c r="F349" s="10" t="str">
        <f>_xlfn.XLOOKUP(C349,menu!A:A,menu!B:B)</f>
        <v>Grab Lollipop</v>
      </c>
      <c r="G349" s="10" t="str">
        <f>_xlfn.XLOOKUP(C349,menu!A:A,menu!C:C)</f>
        <v>Starters</v>
      </c>
      <c r="H349" s="10">
        <f>_xlfn.XLOOKUP(C349,menu!A:A,menu!E:E)</f>
        <v>45</v>
      </c>
      <c r="I349" s="10">
        <f t="shared" si="5"/>
        <v>90</v>
      </c>
      <c r="K349" s="10"/>
      <c r="L349" s="5"/>
    </row>
    <row r="350" spans="1:12" x14ac:dyDescent="0.25">
      <c r="A350" s="5" t="s">
        <v>6811</v>
      </c>
      <c r="B350" s="5" t="s">
        <v>6807</v>
      </c>
      <c r="C350" s="5" t="s">
        <v>5</v>
      </c>
      <c r="D350" s="21">
        <v>1</v>
      </c>
      <c r="E350" s="12">
        <v>79</v>
      </c>
      <c r="F350" s="10" t="str">
        <f>_xlfn.XLOOKUP(C350,menu!A:A,menu!B:B)</f>
        <v>Veg Sandwich</v>
      </c>
      <c r="G350" s="10" t="str">
        <f>_xlfn.XLOOKUP(C350,menu!A:A,menu!C:C)</f>
        <v>Sandwich</v>
      </c>
      <c r="H350" s="10">
        <f>_xlfn.XLOOKUP(C350,menu!A:A,menu!E:E)</f>
        <v>24</v>
      </c>
      <c r="I350" s="10">
        <f t="shared" si="5"/>
        <v>24</v>
      </c>
      <c r="K350" s="10"/>
      <c r="L350" s="5"/>
    </row>
    <row r="351" spans="1:12" x14ac:dyDescent="0.25">
      <c r="A351" s="5" t="s">
        <v>6810</v>
      </c>
      <c r="B351" s="5" t="s">
        <v>6807</v>
      </c>
      <c r="C351" s="5" t="s">
        <v>54</v>
      </c>
      <c r="D351" s="21">
        <v>2</v>
      </c>
      <c r="E351" s="12">
        <v>278</v>
      </c>
      <c r="F351" s="10" t="str">
        <f>_xlfn.XLOOKUP(C351,menu!A:A,menu!B:B)</f>
        <v>Chicken Strips</v>
      </c>
      <c r="G351" s="10" t="str">
        <f>_xlfn.XLOOKUP(C351,menu!A:A,menu!C:C)</f>
        <v>Starters</v>
      </c>
      <c r="H351" s="10">
        <f>_xlfn.XLOOKUP(C351,menu!A:A,menu!E:E)</f>
        <v>42</v>
      </c>
      <c r="I351" s="10">
        <f t="shared" si="5"/>
        <v>84</v>
      </c>
      <c r="K351" s="10"/>
      <c r="L351" s="5"/>
    </row>
    <row r="352" spans="1:12" x14ac:dyDescent="0.25">
      <c r="A352" s="5" t="s">
        <v>6809</v>
      </c>
      <c r="B352" s="5" t="s">
        <v>6807</v>
      </c>
      <c r="C352" s="5" t="s">
        <v>22</v>
      </c>
      <c r="D352" s="21">
        <v>3</v>
      </c>
      <c r="E352" s="12">
        <v>297</v>
      </c>
      <c r="F352" s="10" t="str">
        <f>_xlfn.XLOOKUP(C352,menu!A:A,menu!B:B)</f>
        <v>Chicken Burger</v>
      </c>
      <c r="G352" s="10" t="str">
        <f>_xlfn.XLOOKUP(C352,menu!A:A,menu!C:C)</f>
        <v>Burger</v>
      </c>
      <c r="H352" s="10">
        <f>_xlfn.XLOOKUP(C352,menu!A:A,menu!E:E)</f>
        <v>30</v>
      </c>
      <c r="I352" s="10">
        <f t="shared" si="5"/>
        <v>90</v>
      </c>
      <c r="K352" s="10"/>
      <c r="L352" s="5"/>
    </row>
    <row r="353" spans="1:12" x14ac:dyDescent="0.25">
      <c r="A353" s="5" t="s">
        <v>6808</v>
      </c>
      <c r="B353" s="5" t="s">
        <v>6807</v>
      </c>
      <c r="C353" s="5" t="s">
        <v>38</v>
      </c>
      <c r="D353" s="21">
        <v>1</v>
      </c>
      <c r="E353" s="12">
        <v>149</v>
      </c>
      <c r="F353" s="10" t="str">
        <f>_xlfn.XLOOKUP(C353,menu!A:A,menu!B:B)</f>
        <v>Chicken Wings</v>
      </c>
      <c r="G353" s="10" t="str">
        <f>_xlfn.XLOOKUP(C353,menu!A:A,menu!C:C)</f>
        <v>Starters</v>
      </c>
      <c r="H353" s="10">
        <f>_xlfn.XLOOKUP(C353,menu!A:A,menu!E:E)</f>
        <v>45</v>
      </c>
      <c r="I353" s="10">
        <f t="shared" si="5"/>
        <v>45</v>
      </c>
      <c r="K353" s="10"/>
      <c r="L353" s="5"/>
    </row>
    <row r="354" spans="1:12" x14ac:dyDescent="0.25">
      <c r="A354" s="5" t="s">
        <v>6806</v>
      </c>
      <c r="B354" s="5" t="s">
        <v>6804</v>
      </c>
      <c r="C354" s="5" t="s">
        <v>19</v>
      </c>
      <c r="D354" s="21">
        <v>1</v>
      </c>
      <c r="E354" s="12">
        <v>79</v>
      </c>
      <c r="F354" s="10" t="str">
        <f>_xlfn.XLOOKUP(C354,menu!A:A,menu!B:B)</f>
        <v>Veg Burger</v>
      </c>
      <c r="G354" s="10" t="str">
        <f>_xlfn.XLOOKUP(C354,menu!A:A,menu!C:C)</f>
        <v>Burger</v>
      </c>
      <c r="H354" s="10">
        <f>_xlfn.XLOOKUP(C354,menu!A:A,menu!E:E)</f>
        <v>24</v>
      </c>
      <c r="I354" s="10">
        <f t="shared" si="5"/>
        <v>24</v>
      </c>
      <c r="K354" s="10"/>
      <c r="L354" s="5"/>
    </row>
    <row r="355" spans="1:12" x14ac:dyDescent="0.25">
      <c r="A355" s="5" t="s">
        <v>6805</v>
      </c>
      <c r="B355" s="5" t="s">
        <v>6804</v>
      </c>
      <c r="C355" s="5" t="s">
        <v>22</v>
      </c>
      <c r="D355" s="21">
        <v>3</v>
      </c>
      <c r="E355" s="12">
        <v>297</v>
      </c>
      <c r="F355" s="10" t="str">
        <f>_xlfn.XLOOKUP(C355,menu!A:A,menu!B:B)</f>
        <v>Chicken Burger</v>
      </c>
      <c r="G355" s="10" t="str">
        <f>_xlfn.XLOOKUP(C355,menu!A:A,menu!C:C)</f>
        <v>Burger</v>
      </c>
      <c r="H355" s="10">
        <f>_xlfn.XLOOKUP(C355,menu!A:A,menu!E:E)</f>
        <v>30</v>
      </c>
      <c r="I355" s="10">
        <f t="shared" si="5"/>
        <v>90</v>
      </c>
      <c r="K355" s="10"/>
      <c r="L355" s="5"/>
    </row>
    <row r="356" spans="1:12" x14ac:dyDescent="0.25">
      <c r="A356" s="5" t="s">
        <v>6803</v>
      </c>
      <c r="B356" s="5" t="s">
        <v>6802</v>
      </c>
      <c r="C356" s="5" t="s">
        <v>54</v>
      </c>
      <c r="D356" s="21">
        <v>4</v>
      </c>
      <c r="E356" s="12">
        <v>556</v>
      </c>
      <c r="F356" s="10" t="str">
        <f>_xlfn.XLOOKUP(C356,menu!A:A,menu!B:B)</f>
        <v>Chicken Strips</v>
      </c>
      <c r="G356" s="10" t="str">
        <f>_xlfn.XLOOKUP(C356,menu!A:A,menu!C:C)</f>
        <v>Starters</v>
      </c>
      <c r="H356" s="10">
        <f>_xlfn.XLOOKUP(C356,menu!A:A,menu!E:E)</f>
        <v>42</v>
      </c>
      <c r="I356" s="10">
        <f t="shared" si="5"/>
        <v>168</v>
      </c>
      <c r="K356" s="10"/>
      <c r="L356" s="5"/>
    </row>
    <row r="357" spans="1:12" x14ac:dyDescent="0.25">
      <c r="A357" s="5" t="s">
        <v>6801</v>
      </c>
      <c r="B357" s="5" t="s">
        <v>6799</v>
      </c>
      <c r="C357" s="5" t="s">
        <v>12</v>
      </c>
      <c r="D357" s="21">
        <v>2</v>
      </c>
      <c r="E357" s="12">
        <v>158</v>
      </c>
      <c r="F357" s="10" t="str">
        <f>_xlfn.XLOOKUP(C357,menu!A:A,menu!B:B)</f>
        <v>Veg Momos</v>
      </c>
      <c r="G357" s="10" t="str">
        <f>_xlfn.XLOOKUP(C357,menu!A:A,menu!C:C)</f>
        <v>Momos</v>
      </c>
      <c r="H357" s="10">
        <f>_xlfn.XLOOKUP(C357,menu!A:A,menu!E:E)</f>
        <v>24</v>
      </c>
      <c r="I357" s="10">
        <f t="shared" si="5"/>
        <v>48</v>
      </c>
      <c r="K357" s="10"/>
      <c r="L357" s="5"/>
    </row>
    <row r="358" spans="1:12" x14ac:dyDescent="0.25">
      <c r="A358" s="5" t="s">
        <v>6800</v>
      </c>
      <c r="B358" s="5" t="s">
        <v>6799</v>
      </c>
      <c r="C358" s="5" t="s">
        <v>50</v>
      </c>
      <c r="D358" s="21">
        <v>1</v>
      </c>
      <c r="E358" s="12">
        <v>149</v>
      </c>
      <c r="F358" s="10" t="str">
        <f>_xlfn.XLOOKUP(C358,menu!A:A,menu!B:B)</f>
        <v>Grab Lollipop</v>
      </c>
      <c r="G358" s="10" t="str">
        <f>_xlfn.XLOOKUP(C358,menu!A:A,menu!C:C)</f>
        <v>Starters</v>
      </c>
      <c r="H358" s="10">
        <f>_xlfn.XLOOKUP(C358,menu!A:A,menu!E:E)</f>
        <v>45</v>
      </c>
      <c r="I358" s="10">
        <f t="shared" si="5"/>
        <v>45</v>
      </c>
      <c r="K358" s="10"/>
      <c r="L358" s="5"/>
    </row>
    <row r="359" spans="1:12" x14ac:dyDescent="0.25">
      <c r="A359" s="5" t="s">
        <v>6798</v>
      </c>
      <c r="B359" s="5" t="s">
        <v>6796</v>
      </c>
      <c r="C359" s="5" t="s">
        <v>5</v>
      </c>
      <c r="D359" s="21">
        <v>1</v>
      </c>
      <c r="E359" s="12">
        <v>79</v>
      </c>
      <c r="F359" s="10" t="str">
        <f>_xlfn.XLOOKUP(C359,menu!A:A,menu!B:B)</f>
        <v>Veg Sandwich</v>
      </c>
      <c r="G359" s="10" t="str">
        <f>_xlfn.XLOOKUP(C359,menu!A:A,menu!C:C)</f>
        <v>Sandwich</v>
      </c>
      <c r="H359" s="10">
        <f>_xlfn.XLOOKUP(C359,menu!A:A,menu!E:E)</f>
        <v>24</v>
      </c>
      <c r="I359" s="10">
        <f t="shared" si="5"/>
        <v>24</v>
      </c>
      <c r="K359" s="10"/>
      <c r="L359" s="5"/>
    </row>
    <row r="360" spans="1:12" x14ac:dyDescent="0.25">
      <c r="A360" s="5" t="s">
        <v>6797</v>
      </c>
      <c r="B360" s="5" t="s">
        <v>6796</v>
      </c>
      <c r="C360" s="5" t="s">
        <v>46</v>
      </c>
      <c r="D360" s="21">
        <v>2</v>
      </c>
      <c r="E360" s="12">
        <v>298</v>
      </c>
      <c r="F360" s="10" t="str">
        <f>_xlfn.XLOOKUP(C360,menu!A:A,menu!B:B)</f>
        <v>Fish Finger</v>
      </c>
      <c r="G360" s="10" t="str">
        <f>_xlfn.XLOOKUP(C360,menu!A:A,menu!C:C)</f>
        <v>Starters</v>
      </c>
      <c r="H360" s="10">
        <f>_xlfn.XLOOKUP(C360,menu!A:A,menu!E:E)</f>
        <v>45</v>
      </c>
      <c r="I360" s="10">
        <f t="shared" si="5"/>
        <v>90</v>
      </c>
      <c r="K360" s="10"/>
      <c r="L360" s="5"/>
    </row>
    <row r="361" spans="1:12" x14ac:dyDescent="0.25">
      <c r="A361" s="5" t="s">
        <v>6795</v>
      </c>
      <c r="B361" s="5" t="s">
        <v>6794</v>
      </c>
      <c r="C361" s="5" t="s">
        <v>33</v>
      </c>
      <c r="D361" s="21">
        <v>3</v>
      </c>
      <c r="E361" s="12">
        <v>207</v>
      </c>
      <c r="F361" s="10" t="str">
        <f>_xlfn.XLOOKUP(C361,menu!A:A,menu!B:B)</f>
        <v>Spring Roll</v>
      </c>
      <c r="G361" s="10" t="str">
        <f>_xlfn.XLOOKUP(C361,menu!A:A,menu!C:C)</f>
        <v>Rolls</v>
      </c>
      <c r="H361" s="10">
        <f>_xlfn.XLOOKUP(C361,menu!A:A,menu!E:E)</f>
        <v>21</v>
      </c>
      <c r="I361" s="10">
        <f t="shared" si="5"/>
        <v>63</v>
      </c>
      <c r="K361" s="10"/>
      <c r="L361" s="5"/>
    </row>
    <row r="362" spans="1:12" x14ac:dyDescent="0.25">
      <c r="A362" s="5" t="s">
        <v>6793</v>
      </c>
      <c r="B362" s="5" t="s">
        <v>6789</v>
      </c>
      <c r="C362" s="5" t="s">
        <v>40</v>
      </c>
      <c r="D362" s="21">
        <v>3</v>
      </c>
      <c r="E362" s="12">
        <v>297</v>
      </c>
      <c r="F362" s="10" t="str">
        <f>_xlfn.XLOOKUP(C362,menu!A:A,menu!B:B)</f>
        <v>Veg Nuggets</v>
      </c>
      <c r="G362" s="10" t="str">
        <f>_xlfn.XLOOKUP(C362,menu!A:A,menu!C:C)</f>
        <v>Starters</v>
      </c>
      <c r="H362" s="10">
        <f>_xlfn.XLOOKUP(C362,menu!A:A,menu!E:E)</f>
        <v>30</v>
      </c>
      <c r="I362" s="10">
        <f t="shared" si="5"/>
        <v>90</v>
      </c>
      <c r="K362" s="10"/>
      <c r="L362" s="5"/>
    </row>
    <row r="363" spans="1:12" x14ac:dyDescent="0.25">
      <c r="A363" s="5" t="s">
        <v>6792</v>
      </c>
      <c r="B363" s="5" t="s">
        <v>6789</v>
      </c>
      <c r="C363" s="5" t="s">
        <v>52</v>
      </c>
      <c r="D363" s="21">
        <v>2</v>
      </c>
      <c r="E363" s="12">
        <v>198</v>
      </c>
      <c r="F363" s="10" t="str">
        <f>_xlfn.XLOOKUP(C363,menu!A:A,menu!B:B)</f>
        <v>French Fries</v>
      </c>
      <c r="G363" s="10" t="str">
        <f>_xlfn.XLOOKUP(C363,menu!A:A,menu!C:C)</f>
        <v>Starters</v>
      </c>
      <c r="H363" s="10">
        <f>_xlfn.XLOOKUP(C363,menu!A:A,menu!E:E)</f>
        <v>30</v>
      </c>
      <c r="I363" s="10">
        <f t="shared" si="5"/>
        <v>60</v>
      </c>
      <c r="K363" s="10"/>
      <c r="L363" s="5"/>
    </row>
    <row r="364" spans="1:12" x14ac:dyDescent="0.25">
      <c r="A364" s="5" t="s">
        <v>6791</v>
      </c>
      <c r="B364" s="5" t="s">
        <v>6789</v>
      </c>
      <c r="C364" s="5" t="s">
        <v>54</v>
      </c>
      <c r="D364" s="21">
        <v>1</v>
      </c>
      <c r="E364" s="12">
        <v>139</v>
      </c>
      <c r="F364" s="10" t="str">
        <f>_xlfn.XLOOKUP(C364,menu!A:A,menu!B:B)</f>
        <v>Chicken Strips</v>
      </c>
      <c r="G364" s="10" t="str">
        <f>_xlfn.XLOOKUP(C364,menu!A:A,menu!C:C)</f>
        <v>Starters</v>
      </c>
      <c r="H364" s="10">
        <f>_xlfn.XLOOKUP(C364,menu!A:A,menu!E:E)</f>
        <v>42</v>
      </c>
      <c r="I364" s="10">
        <f t="shared" si="5"/>
        <v>42</v>
      </c>
      <c r="K364" s="10"/>
      <c r="L364" s="5"/>
    </row>
    <row r="365" spans="1:12" x14ac:dyDescent="0.25">
      <c r="A365" s="5" t="s">
        <v>6790</v>
      </c>
      <c r="B365" s="5" t="s">
        <v>6789</v>
      </c>
      <c r="C365" s="5" t="s">
        <v>17</v>
      </c>
      <c r="D365" s="21">
        <v>1</v>
      </c>
      <c r="E365" s="12">
        <v>89</v>
      </c>
      <c r="F365" s="10" t="str">
        <f>_xlfn.XLOOKUP(C365,menu!A:A,menu!B:B)</f>
        <v>Paneer Momos</v>
      </c>
      <c r="G365" s="10" t="str">
        <f>_xlfn.XLOOKUP(C365,menu!A:A,menu!C:C)</f>
        <v>Momos</v>
      </c>
      <c r="H365" s="10">
        <f>_xlfn.XLOOKUP(C365,menu!A:A,menu!E:E)</f>
        <v>27</v>
      </c>
      <c r="I365" s="10">
        <f t="shared" si="5"/>
        <v>27</v>
      </c>
      <c r="K365" s="10"/>
      <c r="L365" s="5"/>
    </row>
    <row r="366" spans="1:12" x14ac:dyDescent="0.25">
      <c r="A366" s="5" t="s">
        <v>6788</v>
      </c>
      <c r="B366" s="5" t="s">
        <v>6786</v>
      </c>
      <c r="C366" s="5" t="s">
        <v>54</v>
      </c>
      <c r="D366" s="21">
        <v>1</v>
      </c>
      <c r="E366" s="12">
        <v>139</v>
      </c>
      <c r="F366" s="10" t="str">
        <f>_xlfn.XLOOKUP(C366,menu!A:A,menu!B:B)</f>
        <v>Chicken Strips</v>
      </c>
      <c r="G366" s="10" t="str">
        <f>_xlfn.XLOOKUP(C366,menu!A:A,menu!C:C)</f>
        <v>Starters</v>
      </c>
      <c r="H366" s="10">
        <f>_xlfn.XLOOKUP(C366,menu!A:A,menu!E:E)</f>
        <v>42</v>
      </c>
      <c r="I366" s="10">
        <f t="shared" si="5"/>
        <v>42</v>
      </c>
      <c r="K366" s="10"/>
      <c r="L366" s="5"/>
    </row>
    <row r="367" spans="1:12" x14ac:dyDescent="0.25">
      <c r="A367" s="5" t="s">
        <v>6787</v>
      </c>
      <c r="B367" s="5" t="s">
        <v>6786</v>
      </c>
      <c r="C367" s="5" t="s">
        <v>8</v>
      </c>
      <c r="D367" s="21">
        <v>1</v>
      </c>
      <c r="E367" s="12">
        <v>99</v>
      </c>
      <c r="F367" s="10" t="str">
        <f>_xlfn.XLOOKUP(C367,menu!A:A,menu!B:B)</f>
        <v>Paneer Sandwich</v>
      </c>
      <c r="G367" s="10" t="str">
        <f>_xlfn.XLOOKUP(C367,menu!A:A,menu!C:C)</f>
        <v>Sandwich</v>
      </c>
      <c r="H367" s="10">
        <f>_xlfn.XLOOKUP(C367,menu!A:A,menu!E:E)</f>
        <v>30</v>
      </c>
      <c r="I367" s="10">
        <f t="shared" si="5"/>
        <v>30</v>
      </c>
      <c r="K367" s="10"/>
      <c r="L367" s="5"/>
    </row>
    <row r="368" spans="1:12" x14ac:dyDescent="0.25">
      <c r="A368" s="5" t="s">
        <v>6785</v>
      </c>
      <c r="B368" s="5" t="s">
        <v>6782</v>
      </c>
      <c r="C368" s="5" t="s">
        <v>5</v>
      </c>
      <c r="D368" s="21">
        <v>1</v>
      </c>
      <c r="E368" s="12">
        <v>79</v>
      </c>
      <c r="F368" s="10" t="str">
        <f>_xlfn.XLOOKUP(C368,menu!A:A,menu!B:B)</f>
        <v>Veg Sandwich</v>
      </c>
      <c r="G368" s="10" t="str">
        <f>_xlfn.XLOOKUP(C368,menu!A:A,menu!C:C)</f>
        <v>Sandwich</v>
      </c>
      <c r="H368" s="10">
        <f>_xlfn.XLOOKUP(C368,menu!A:A,menu!E:E)</f>
        <v>24</v>
      </c>
      <c r="I368" s="10">
        <f t="shared" si="5"/>
        <v>24</v>
      </c>
      <c r="K368" s="10"/>
      <c r="L368" s="5"/>
    </row>
    <row r="369" spans="1:12" x14ac:dyDescent="0.25">
      <c r="A369" s="5" t="s">
        <v>6784</v>
      </c>
      <c r="B369" s="5" t="s">
        <v>6782</v>
      </c>
      <c r="C369" s="5" t="s">
        <v>22</v>
      </c>
      <c r="D369" s="21">
        <v>3</v>
      </c>
      <c r="E369" s="12">
        <v>297</v>
      </c>
      <c r="F369" s="10" t="str">
        <f>_xlfn.XLOOKUP(C369,menu!A:A,menu!B:B)</f>
        <v>Chicken Burger</v>
      </c>
      <c r="G369" s="10" t="str">
        <f>_xlfn.XLOOKUP(C369,menu!A:A,menu!C:C)</f>
        <v>Burger</v>
      </c>
      <c r="H369" s="10">
        <f>_xlfn.XLOOKUP(C369,menu!A:A,menu!E:E)</f>
        <v>30</v>
      </c>
      <c r="I369" s="10">
        <f t="shared" si="5"/>
        <v>90</v>
      </c>
      <c r="K369" s="10"/>
      <c r="L369" s="5"/>
    </row>
    <row r="370" spans="1:12" x14ac:dyDescent="0.25">
      <c r="A370" s="5" t="s">
        <v>6783</v>
      </c>
      <c r="B370" s="5" t="s">
        <v>6782</v>
      </c>
      <c r="C370" s="5" t="s">
        <v>61</v>
      </c>
      <c r="D370" s="21">
        <v>5</v>
      </c>
      <c r="E370" s="12">
        <v>395</v>
      </c>
      <c r="F370" s="10" t="str">
        <f>_xlfn.XLOOKUP(C370,menu!A:A,menu!B:B)</f>
        <v>Watermelon Mojito</v>
      </c>
      <c r="G370" s="10" t="str">
        <f>_xlfn.XLOOKUP(C370,menu!A:A,menu!C:C)</f>
        <v>Beverages</v>
      </c>
      <c r="H370" s="10">
        <f>_xlfn.XLOOKUP(C370,menu!A:A,menu!E:E)</f>
        <v>24</v>
      </c>
      <c r="I370" s="10">
        <f t="shared" si="5"/>
        <v>120</v>
      </c>
      <c r="K370" s="10"/>
      <c r="L370" s="5"/>
    </row>
    <row r="371" spans="1:12" x14ac:dyDescent="0.25">
      <c r="A371" s="5" t="s">
        <v>6781</v>
      </c>
      <c r="B371" s="5" t="s">
        <v>6778</v>
      </c>
      <c r="C371" s="5" t="s">
        <v>10</v>
      </c>
      <c r="D371" s="21">
        <v>2</v>
      </c>
      <c r="E371" s="12">
        <v>238</v>
      </c>
      <c r="F371" s="10" t="str">
        <f>_xlfn.XLOOKUP(C371,menu!A:A,menu!B:B)</f>
        <v>Chicken Sandwich</v>
      </c>
      <c r="G371" s="10" t="str">
        <f>_xlfn.XLOOKUP(C371,menu!A:A,menu!C:C)</f>
        <v>Sandwich</v>
      </c>
      <c r="H371" s="10">
        <f>_xlfn.XLOOKUP(C371,menu!A:A,menu!E:E)</f>
        <v>36</v>
      </c>
      <c r="I371" s="10">
        <f t="shared" si="5"/>
        <v>72</v>
      </c>
      <c r="K371" s="10"/>
      <c r="L371" s="5"/>
    </row>
    <row r="372" spans="1:12" x14ac:dyDescent="0.25">
      <c r="A372" s="5" t="s">
        <v>6780</v>
      </c>
      <c r="B372" s="5" t="s">
        <v>6778</v>
      </c>
      <c r="C372" s="5" t="s">
        <v>35</v>
      </c>
      <c r="D372" s="21">
        <v>4</v>
      </c>
      <c r="E372" s="12">
        <v>476</v>
      </c>
      <c r="F372" s="10" t="str">
        <f>_xlfn.XLOOKUP(C372,menu!A:A,menu!B:B)</f>
        <v>Chicken Nuggets</v>
      </c>
      <c r="G372" s="10" t="str">
        <f>_xlfn.XLOOKUP(C372,menu!A:A,menu!C:C)</f>
        <v>Starters</v>
      </c>
      <c r="H372" s="10">
        <f>_xlfn.XLOOKUP(C372,menu!A:A,menu!E:E)</f>
        <v>36</v>
      </c>
      <c r="I372" s="10">
        <f t="shared" si="5"/>
        <v>144</v>
      </c>
      <c r="K372" s="10"/>
      <c r="L372" s="5"/>
    </row>
    <row r="373" spans="1:12" x14ac:dyDescent="0.25">
      <c r="A373" s="5" t="s">
        <v>6779</v>
      </c>
      <c r="B373" s="5" t="s">
        <v>6778</v>
      </c>
      <c r="C373" s="5" t="s">
        <v>44</v>
      </c>
      <c r="D373" s="21">
        <v>3</v>
      </c>
      <c r="E373" s="12">
        <v>477</v>
      </c>
      <c r="F373" s="10" t="str">
        <f>_xlfn.XLOOKUP(C373,menu!A:A,menu!B:B)</f>
        <v>Fried Chicken</v>
      </c>
      <c r="G373" s="10" t="str">
        <f>_xlfn.XLOOKUP(C373,menu!A:A,menu!C:C)</f>
        <v>Starters</v>
      </c>
      <c r="H373" s="10">
        <f>_xlfn.XLOOKUP(C373,menu!A:A,menu!E:E)</f>
        <v>48</v>
      </c>
      <c r="I373" s="10">
        <f t="shared" si="5"/>
        <v>144</v>
      </c>
      <c r="K373" s="10"/>
      <c r="L373" s="5"/>
    </row>
    <row r="374" spans="1:12" x14ac:dyDescent="0.25">
      <c r="A374" s="5" t="s">
        <v>6777</v>
      </c>
      <c r="B374" s="5" t="s">
        <v>6775</v>
      </c>
      <c r="C374" s="5" t="s">
        <v>19</v>
      </c>
      <c r="D374" s="21">
        <v>1</v>
      </c>
      <c r="E374" s="12">
        <v>79</v>
      </c>
      <c r="F374" s="10" t="str">
        <f>_xlfn.XLOOKUP(C374,menu!A:A,menu!B:B)</f>
        <v>Veg Burger</v>
      </c>
      <c r="G374" s="10" t="str">
        <f>_xlfn.XLOOKUP(C374,menu!A:A,menu!C:C)</f>
        <v>Burger</v>
      </c>
      <c r="H374" s="10">
        <f>_xlfn.XLOOKUP(C374,menu!A:A,menu!E:E)</f>
        <v>24</v>
      </c>
      <c r="I374" s="10">
        <f t="shared" si="5"/>
        <v>24</v>
      </c>
      <c r="K374" s="10"/>
      <c r="L374" s="5"/>
    </row>
    <row r="375" spans="1:12" x14ac:dyDescent="0.25">
      <c r="A375" s="5" t="s">
        <v>6776</v>
      </c>
      <c r="B375" s="5" t="s">
        <v>6775</v>
      </c>
      <c r="C375" s="5" t="s">
        <v>26</v>
      </c>
      <c r="D375" s="21">
        <v>1</v>
      </c>
      <c r="E375" s="12">
        <v>59</v>
      </c>
      <c r="F375" s="10" t="str">
        <f>_xlfn.XLOOKUP(C375,menu!A:A,menu!B:B)</f>
        <v>Veg Roll</v>
      </c>
      <c r="G375" s="10" t="str">
        <f>_xlfn.XLOOKUP(C375,menu!A:A,menu!C:C)</f>
        <v>Rolls</v>
      </c>
      <c r="H375" s="10">
        <f>_xlfn.XLOOKUP(C375,menu!A:A,menu!E:E)</f>
        <v>18</v>
      </c>
      <c r="I375" s="10">
        <f t="shared" si="5"/>
        <v>18</v>
      </c>
      <c r="K375" s="10"/>
      <c r="L375" s="5"/>
    </row>
    <row r="376" spans="1:12" x14ac:dyDescent="0.25">
      <c r="A376" s="5" t="s">
        <v>6774</v>
      </c>
      <c r="B376" s="5" t="s">
        <v>6772</v>
      </c>
      <c r="C376" s="5" t="s">
        <v>12</v>
      </c>
      <c r="D376" s="21">
        <v>1</v>
      </c>
      <c r="E376" s="12">
        <v>79</v>
      </c>
      <c r="F376" s="10" t="str">
        <f>_xlfn.XLOOKUP(C376,menu!A:A,menu!B:B)</f>
        <v>Veg Momos</v>
      </c>
      <c r="G376" s="10" t="str">
        <f>_xlfn.XLOOKUP(C376,menu!A:A,menu!C:C)</f>
        <v>Momos</v>
      </c>
      <c r="H376" s="10">
        <f>_xlfn.XLOOKUP(C376,menu!A:A,menu!E:E)</f>
        <v>24</v>
      </c>
      <c r="I376" s="10">
        <f t="shared" si="5"/>
        <v>24</v>
      </c>
      <c r="K376" s="10"/>
      <c r="L376" s="5"/>
    </row>
    <row r="377" spans="1:12" x14ac:dyDescent="0.25">
      <c r="A377" s="5" t="s">
        <v>6773</v>
      </c>
      <c r="B377" s="5" t="s">
        <v>6772</v>
      </c>
      <c r="C377" s="5" t="s">
        <v>54</v>
      </c>
      <c r="D377" s="21">
        <v>1</v>
      </c>
      <c r="E377" s="12">
        <v>139</v>
      </c>
      <c r="F377" s="10" t="str">
        <f>_xlfn.XLOOKUP(C377,menu!A:A,menu!B:B)</f>
        <v>Chicken Strips</v>
      </c>
      <c r="G377" s="10" t="str">
        <f>_xlfn.XLOOKUP(C377,menu!A:A,menu!C:C)</f>
        <v>Starters</v>
      </c>
      <c r="H377" s="10">
        <f>_xlfn.XLOOKUP(C377,menu!A:A,menu!E:E)</f>
        <v>42</v>
      </c>
      <c r="I377" s="10">
        <f t="shared" si="5"/>
        <v>42</v>
      </c>
      <c r="K377" s="10"/>
      <c r="L377" s="5"/>
    </row>
    <row r="378" spans="1:12" x14ac:dyDescent="0.25">
      <c r="A378" s="5" t="s">
        <v>6771</v>
      </c>
      <c r="B378" s="5" t="s">
        <v>6768</v>
      </c>
      <c r="C378" s="5" t="s">
        <v>40</v>
      </c>
      <c r="D378" s="21">
        <v>2</v>
      </c>
      <c r="E378" s="12">
        <v>198</v>
      </c>
      <c r="F378" s="10" t="str">
        <f>_xlfn.XLOOKUP(C378,menu!A:A,menu!B:B)</f>
        <v>Veg Nuggets</v>
      </c>
      <c r="G378" s="10" t="str">
        <f>_xlfn.XLOOKUP(C378,menu!A:A,menu!C:C)</f>
        <v>Starters</v>
      </c>
      <c r="H378" s="10">
        <f>_xlfn.XLOOKUP(C378,menu!A:A,menu!E:E)</f>
        <v>30</v>
      </c>
      <c r="I378" s="10">
        <f t="shared" si="5"/>
        <v>60</v>
      </c>
      <c r="K378" s="10"/>
      <c r="L378" s="5"/>
    </row>
    <row r="379" spans="1:12" x14ac:dyDescent="0.25">
      <c r="A379" s="5" t="s">
        <v>6770</v>
      </c>
      <c r="B379" s="5" t="s">
        <v>6768</v>
      </c>
      <c r="C379" s="5" t="s">
        <v>65</v>
      </c>
      <c r="D379" s="21">
        <v>1</v>
      </c>
      <c r="E379" s="12">
        <v>49</v>
      </c>
      <c r="F379" s="10" t="str">
        <f>_xlfn.XLOOKUP(C379,menu!A:A,menu!B:B)</f>
        <v>Lemon Juice</v>
      </c>
      <c r="G379" s="10" t="str">
        <f>_xlfn.XLOOKUP(C379,menu!A:A,menu!C:C)</f>
        <v>Beverages</v>
      </c>
      <c r="H379" s="10">
        <f>_xlfn.XLOOKUP(C379,menu!A:A,menu!E:E)</f>
        <v>15</v>
      </c>
      <c r="I379" s="10">
        <f t="shared" si="5"/>
        <v>15</v>
      </c>
      <c r="K379" s="10"/>
      <c r="L379" s="5"/>
    </row>
    <row r="380" spans="1:12" x14ac:dyDescent="0.25">
      <c r="A380" s="5" t="s">
        <v>6769</v>
      </c>
      <c r="B380" s="5" t="s">
        <v>6768</v>
      </c>
      <c r="C380" s="5" t="s">
        <v>12</v>
      </c>
      <c r="D380" s="21">
        <v>4</v>
      </c>
      <c r="E380" s="12">
        <v>316</v>
      </c>
      <c r="F380" s="10" t="str">
        <f>_xlfn.XLOOKUP(C380,menu!A:A,menu!B:B)</f>
        <v>Veg Momos</v>
      </c>
      <c r="G380" s="10" t="str">
        <f>_xlfn.XLOOKUP(C380,menu!A:A,menu!C:C)</f>
        <v>Momos</v>
      </c>
      <c r="H380" s="10">
        <f>_xlfn.XLOOKUP(C380,menu!A:A,menu!E:E)</f>
        <v>24</v>
      </c>
      <c r="I380" s="10">
        <f t="shared" si="5"/>
        <v>96</v>
      </c>
      <c r="K380" s="10"/>
      <c r="L380" s="5"/>
    </row>
    <row r="381" spans="1:12" x14ac:dyDescent="0.25">
      <c r="A381" s="5" t="s">
        <v>6767</v>
      </c>
      <c r="B381" s="5" t="s">
        <v>6766</v>
      </c>
      <c r="C381" s="5" t="s">
        <v>29</v>
      </c>
      <c r="D381" s="21">
        <v>4</v>
      </c>
      <c r="E381" s="12">
        <v>316</v>
      </c>
      <c r="F381" s="10" t="str">
        <f>_xlfn.XLOOKUP(C381,menu!A:A,menu!B:B)</f>
        <v>Paneer Roll</v>
      </c>
      <c r="G381" s="10" t="str">
        <f>_xlfn.XLOOKUP(C381,menu!A:A,menu!C:C)</f>
        <v>Rolls</v>
      </c>
      <c r="H381" s="10">
        <f>_xlfn.XLOOKUP(C381,menu!A:A,menu!E:E)</f>
        <v>24</v>
      </c>
      <c r="I381" s="10">
        <f t="shared" si="5"/>
        <v>96</v>
      </c>
      <c r="K381" s="10"/>
      <c r="L381" s="5"/>
    </row>
    <row r="382" spans="1:12" x14ac:dyDescent="0.25">
      <c r="A382" s="5" t="s">
        <v>6765</v>
      </c>
      <c r="B382" s="5" t="s">
        <v>6763</v>
      </c>
      <c r="C382" s="5" t="s">
        <v>40</v>
      </c>
      <c r="D382" s="21">
        <v>2</v>
      </c>
      <c r="E382" s="12">
        <v>198</v>
      </c>
      <c r="F382" s="10" t="str">
        <f>_xlfn.XLOOKUP(C382,menu!A:A,menu!B:B)</f>
        <v>Veg Nuggets</v>
      </c>
      <c r="G382" s="10" t="str">
        <f>_xlfn.XLOOKUP(C382,menu!A:A,menu!C:C)</f>
        <v>Starters</v>
      </c>
      <c r="H382" s="10">
        <f>_xlfn.XLOOKUP(C382,menu!A:A,menu!E:E)</f>
        <v>30</v>
      </c>
      <c r="I382" s="10">
        <f t="shared" si="5"/>
        <v>60</v>
      </c>
      <c r="K382" s="10"/>
      <c r="L382" s="5"/>
    </row>
    <row r="383" spans="1:12" x14ac:dyDescent="0.25">
      <c r="A383" s="5" t="s">
        <v>6764</v>
      </c>
      <c r="B383" s="5" t="s">
        <v>6763</v>
      </c>
      <c r="C383" s="5" t="s">
        <v>44</v>
      </c>
      <c r="D383" s="21">
        <v>2</v>
      </c>
      <c r="E383" s="12">
        <v>318</v>
      </c>
      <c r="F383" s="10" t="str">
        <f>_xlfn.XLOOKUP(C383,menu!A:A,menu!B:B)</f>
        <v>Fried Chicken</v>
      </c>
      <c r="G383" s="10" t="str">
        <f>_xlfn.XLOOKUP(C383,menu!A:A,menu!C:C)</f>
        <v>Starters</v>
      </c>
      <c r="H383" s="10">
        <f>_xlfn.XLOOKUP(C383,menu!A:A,menu!E:E)</f>
        <v>48</v>
      </c>
      <c r="I383" s="10">
        <f t="shared" si="5"/>
        <v>96</v>
      </c>
      <c r="K383" s="10"/>
      <c r="L383" s="5"/>
    </row>
    <row r="384" spans="1:12" x14ac:dyDescent="0.25">
      <c r="A384" s="5" t="s">
        <v>6762</v>
      </c>
      <c r="B384" s="5" t="s">
        <v>6760</v>
      </c>
      <c r="C384" s="5" t="s">
        <v>5</v>
      </c>
      <c r="D384" s="21">
        <v>3</v>
      </c>
      <c r="E384" s="12">
        <v>237</v>
      </c>
      <c r="F384" s="10" t="str">
        <f>_xlfn.XLOOKUP(C384,menu!A:A,menu!B:B)</f>
        <v>Veg Sandwich</v>
      </c>
      <c r="G384" s="10" t="str">
        <f>_xlfn.XLOOKUP(C384,menu!A:A,menu!C:C)</f>
        <v>Sandwich</v>
      </c>
      <c r="H384" s="10">
        <f>_xlfn.XLOOKUP(C384,menu!A:A,menu!E:E)</f>
        <v>24</v>
      </c>
      <c r="I384" s="10">
        <f t="shared" si="5"/>
        <v>72</v>
      </c>
      <c r="K384" s="10"/>
      <c r="L384" s="5"/>
    </row>
    <row r="385" spans="1:12" x14ac:dyDescent="0.25">
      <c r="A385" s="5" t="s">
        <v>6761</v>
      </c>
      <c r="B385" s="5" t="s">
        <v>6760</v>
      </c>
      <c r="C385" s="5" t="s">
        <v>52</v>
      </c>
      <c r="D385" s="21">
        <v>1</v>
      </c>
      <c r="E385" s="12">
        <v>99</v>
      </c>
      <c r="F385" s="10" t="str">
        <f>_xlfn.XLOOKUP(C385,menu!A:A,menu!B:B)</f>
        <v>French Fries</v>
      </c>
      <c r="G385" s="10" t="str">
        <f>_xlfn.XLOOKUP(C385,menu!A:A,menu!C:C)</f>
        <v>Starters</v>
      </c>
      <c r="H385" s="10">
        <f>_xlfn.XLOOKUP(C385,menu!A:A,menu!E:E)</f>
        <v>30</v>
      </c>
      <c r="I385" s="10">
        <f t="shared" si="5"/>
        <v>30</v>
      </c>
      <c r="K385" s="10"/>
      <c r="L385" s="5"/>
    </row>
    <row r="386" spans="1:12" x14ac:dyDescent="0.25">
      <c r="A386" s="5" t="s">
        <v>6759</v>
      </c>
      <c r="B386" s="5" t="s">
        <v>6756</v>
      </c>
      <c r="C386" s="5" t="s">
        <v>40</v>
      </c>
      <c r="D386" s="21">
        <v>4</v>
      </c>
      <c r="E386" s="12">
        <v>396</v>
      </c>
      <c r="F386" s="10" t="str">
        <f>_xlfn.XLOOKUP(C386,menu!A:A,menu!B:B)</f>
        <v>Veg Nuggets</v>
      </c>
      <c r="G386" s="10" t="str">
        <f>_xlfn.XLOOKUP(C386,menu!A:A,menu!C:C)</f>
        <v>Starters</v>
      </c>
      <c r="H386" s="10">
        <f>_xlfn.XLOOKUP(C386,menu!A:A,menu!E:E)</f>
        <v>30</v>
      </c>
      <c r="I386" s="10">
        <f t="shared" si="5"/>
        <v>120</v>
      </c>
      <c r="K386" s="10"/>
      <c r="L386" s="5"/>
    </row>
    <row r="387" spans="1:12" x14ac:dyDescent="0.25">
      <c r="A387" s="5" t="s">
        <v>6758</v>
      </c>
      <c r="B387" s="5" t="s">
        <v>6756</v>
      </c>
      <c r="C387" s="5" t="s">
        <v>52</v>
      </c>
      <c r="D387" s="21">
        <v>1</v>
      </c>
      <c r="E387" s="12">
        <v>99</v>
      </c>
      <c r="F387" s="10" t="str">
        <f>_xlfn.XLOOKUP(C387,menu!A:A,menu!B:B)</f>
        <v>French Fries</v>
      </c>
      <c r="G387" s="10" t="str">
        <f>_xlfn.XLOOKUP(C387,menu!A:A,menu!C:C)</f>
        <v>Starters</v>
      </c>
      <c r="H387" s="10">
        <f>_xlfn.XLOOKUP(C387,menu!A:A,menu!E:E)</f>
        <v>30</v>
      </c>
      <c r="I387" s="10">
        <f t="shared" ref="I387:I450" si="6">D387*H387</f>
        <v>30</v>
      </c>
      <c r="K387" s="10"/>
      <c r="L387" s="5"/>
    </row>
    <row r="388" spans="1:12" x14ac:dyDescent="0.25">
      <c r="A388" s="5" t="s">
        <v>6757</v>
      </c>
      <c r="B388" s="5" t="s">
        <v>6756</v>
      </c>
      <c r="C388" s="5" t="s">
        <v>17</v>
      </c>
      <c r="D388" s="21">
        <v>1</v>
      </c>
      <c r="E388" s="12">
        <v>89</v>
      </c>
      <c r="F388" s="10" t="str">
        <f>_xlfn.XLOOKUP(C388,menu!A:A,menu!B:B)</f>
        <v>Paneer Momos</v>
      </c>
      <c r="G388" s="10" t="str">
        <f>_xlfn.XLOOKUP(C388,menu!A:A,menu!C:C)</f>
        <v>Momos</v>
      </c>
      <c r="H388" s="10">
        <f>_xlfn.XLOOKUP(C388,menu!A:A,menu!E:E)</f>
        <v>27</v>
      </c>
      <c r="I388" s="10">
        <f t="shared" si="6"/>
        <v>27</v>
      </c>
      <c r="K388" s="10"/>
      <c r="L388" s="5"/>
    </row>
    <row r="389" spans="1:12" x14ac:dyDescent="0.25">
      <c r="A389" s="5" t="s">
        <v>6755</v>
      </c>
      <c r="B389" s="5" t="s">
        <v>6752</v>
      </c>
      <c r="C389" s="5" t="s">
        <v>52</v>
      </c>
      <c r="D389" s="21">
        <v>1</v>
      </c>
      <c r="E389" s="12">
        <v>99</v>
      </c>
      <c r="F389" s="10" t="str">
        <f>_xlfn.XLOOKUP(C389,menu!A:A,menu!B:B)</f>
        <v>French Fries</v>
      </c>
      <c r="G389" s="10" t="str">
        <f>_xlfn.XLOOKUP(C389,menu!A:A,menu!C:C)</f>
        <v>Starters</v>
      </c>
      <c r="H389" s="10">
        <f>_xlfn.XLOOKUP(C389,menu!A:A,menu!E:E)</f>
        <v>30</v>
      </c>
      <c r="I389" s="10">
        <f t="shared" si="6"/>
        <v>30</v>
      </c>
      <c r="K389" s="10"/>
      <c r="L389" s="5"/>
    </row>
    <row r="390" spans="1:12" x14ac:dyDescent="0.25">
      <c r="A390" s="5" t="s">
        <v>6754</v>
      </c>
      <c r="B390" s="5" t="s">
        <v>6752</v>
      </c>
      <c r="C390" s="5" t="s">
        <v>46</v>
      </c>
      <c r="D390" s="21">
        <v>3</v>
      </c>
      <c r="E390" s="12">
        <v>447</v>
      </c>
      <c r="F390" s="10" t="str">
        <f>_xlfn.XLOOKUP(C390,menu!A:A,menu!B:B)</f>
        <v>Fish Finger</v>
      </c>
      <c r="G390" s="10" t="str">
        <f>_xlfn.XLOOKUP(C390,menu!A:A,menu!C:C)</f>
        <v>Starters</v>
      </c>
      <c r="H390" s="10">
        <f>_xlfn.XLOOKUP(C390,menu!A:A,menu!E:E)</f>
        <v>45</v>
      </c>
      <c r="I390" s="10">
        <f t="shared" si="6"/>
        <v>135</v>
      </c>
      <c r="K390" s="10"/>
      <c r="L390" s="5"/>
    </row>
    <row r="391" spans="1:12" x14ac:dyDescent="0.25">
      <c r="A391" s="5" t="s">
        <v>6753</v>
      </c>
      <c r="B391" s="5" t="s">
        <v>6752</v>
      </c>
      <c r="C391" s="5" t="s">
        <v>59</v>
      </c>
      <c r="D391" s="21">
        <v>3</v>
      </c>
      <c r="E391" s="12">
        <v>237</v>
      </c>
      <c r="F391" s="10" t="str">
        <f>_xlfn.XLOOKUP(C391,menu!A:A,menu!B:B)</f>
        <v>Blue Curacao Mojito</v>
      </c>
      <c r="G391" s="10" t="str">
        <f>_xlfn.XLOOKUP(C391,menu!A:A,menu!C:C)</f>
        <v>Beverages</v>
      </c>
      <c r="H391" s="10">
        <f>_xlfn.XLOOKUP(C391,menu!A:A,menu!E:E)</f>
        <v>24</v>
      </c>
      <c r="I391" s="10">
        <f t="shared" si="6"/>
        <v>72</v>
      </c>
      <c r="K391" s="10"/>
      <c r="L391" s="5"/>
    </row>
    <row r="392" spans="1:12" x14ac:dyDescent="0.25">
      <c r="A392" s="5" t="s">
        <v>6751</v>
      </c>
      <c r="B392" s="5" t="s">
        <v>6748</v>
      </c>
      <c r="C392" s="5" t="s">
        <v>15</v>
      </c>
      <c r="D392" s="21">
        <v>5</v>
      </c>
      <c r="E392" s="12">
        <v>495</v>
      </c>
      <c r="F392" s="10" t="str">
        <f>_xlfn.XLOOKUP(C392,menu!A:A,menu!B:B)</f>
        <v>Chicken Momos</v>
      </c>
      <c r="G392" s="10" t="str">
        <f>_xlfn.XLOOKUP(C392,menu!A:A,menu!C:C)</f>
        <v>Momos</v>
      </c>
      <c r="H392" s="10">
        <f>_xlfn.XLOOKUP(C392,menu!A:A,menu!E:E)</f>
        <v>30</v>
      </c>
      <c r="I392" s="10">
        <f t="shared" si="6"/>
        <v>150</v>
      </c>
      <c r="K392" s="10"/>
      <c r="L392" s="5"/>
    </row>
    <row r="393" spans="1:12" x14ac:dyDescent="0.25">
      <c r="A393" s="5" t="s">
        <v>6750</v>
      </c>
      <c r="B393" s="5" t="s">
        <v>6748</v>
      </c>
      <c r="C393" s="5" t="s">
        <v>26</v>
      </c>
      <c r="D393" s="21">
        <v>1</v>
      </c>
      <c r="E393" s="12">
        <v>59</v>
      </c>
      <c r="F393" s="10" t="str">
        <f>_xlfn.XLOOKUP(C393,menu!A:A,menu!B:B)</f>
        <v>Veg Roll</v>
      </c>
      <c r="G393" s="10" t="str">
        <f>_xlfn.XLOOKUP(C393,menu!A:A,menu!C:C)</f>
        <v>Rolls</v>
      </c>
      <c r="H393" s="10">
        <f>_xlfn.XLOOKUP(C393,menu!A:A,menu!E:E)</f>
        <v>18</v>
      </c>
      <c r="I393" s="10">
        <f t="shared" si="6"/>
        <v>18</v>
      </c>
      <c r="K393" s="10"/>
      <c r="L393" s="5"/>
    </row>
    <row r="394" spans="1:12" x14ac:dyDescent="0.25">
      <c r="A394" s="5" t="s">
        <v>6749</v>
      </c>
      <c r="B394" s="5" t="s">
        <v>6748</v>
      </c>
      <c r="C394" s="5" t="s">
        <v>38</v>
      </c>
      <c r="D394" s="21">
        <v>5</v>
      </c>
      <c r="E394" s="12">
        <v>745</v>
      </c>
      <c r="F394" s="10" t="str">
        <f>_xlfn.XLOOKUP(C394,menu!A:A,menu!B:B)</f>
        <v>Chicken Wings</v>
      </c>
      <c r="G394" s="10" t="str">
        <f>_xlfn.XLOOKUP(C394,menu!A:A,menu!C:C)</f>
        <v>Starters</v>
      </c>
      <c r="H394" s="10">
        <f>_xlfn.XLOOKUP(C394,menu!A:A,menu!E:E)</f>
        <v>45</v>
      </c>
      <c r="I394" s="10">
        <f t="shared" si="6"/>
        <v>225</v>
      </c>
      <c r="K394" s="10"/>
      <c r="L394" s="5"/>
    </row>
    <row r="395" spans="1:12" x14ac:dyDescent="0.25">
      <c r="A395" s="5" t="s">
        <v>6747</v>
      </c>
      <c r="B395" s="5" t="s">
        <v>6745</v>
      </c>
      <c r="C395" s="5" t="s">
        <v>52</v>
      </c>
      <c r="D395" s="21">
        <v>5</v>
      </c>
      <c r="E395" s="12">
        <v>495</v>
      </c>
      <c r="F395" s="10" t="str">
        <f>_xlfn.XLOOKUP(C395,menu!A:A,menu!B:B)</f>
        <v>French Fries</v>
      </c>
      <c r="G395" s="10" t="str">
        <f>_xlfn.XLOOKUP(C395,menu!A:A,menu!C:C)</f>
        <v>Starters</v>
      </c>
      <c r="H395" s="10">
        <f>_xlfn.XLOOKUP(C395,menu!A:A,menu!E:E)</f>
        <v>30</v>
      </c>
      <c r="I395" s="10">
        <f t="shared" si="6"/>
        <v>150</v>
      </c>
      <c r="K395" s="10"/>
      <c r="L395" s="5"/>
    </row>
    <row r="396" spans="1:12" x14ac:dyDescent="0.25">
      <c r="A396" s="5" t="s">
        <v>6746</v>
      </c>
      <c r="B396" s="5" t="s">
        <v>6745</v>
      </c>
      <c r="C396" s="5" t="s">
        <v>24</v>
      </c>
      <c r="D396" s="21">
        <v>2</v>
      </c>
      <c r="E396" s="12">
        <v>178</v>
      </c>
      <c r="F396" s="10" t="str">
        <f>_xlfn.XLOOKUP(C396,menu!A:A,menu!B:B)</f>
        <v>Paneer Burger</v>
      </c>
      <c r="G396" s="10" t="str">
        <f>_xlfn.XLOOKUP(C396,menu!A:A,menu!C:C)</f>
        <v>Burger</v>
      </c>
      <c r="H396" s="10">
        <f>_xlfn.XLOOKUP(C396,menu!A:A,menu!E:E)</f>
        <v>27</v>
      </c>
      <c r="I396" s="10">
        <f t="shared" si="6"/>
        <v>54</v>
      </c>
      <c r="K396" s="10"/>
      <c r="L396" s="5"/>
    </row>
    <row r="397" spans="1:12" x14ac:dyDescent="0.25">
      <c r="A397" s="5" t="s">
        <v>6744</v>
      </c>
      <c r="B397" s="5" t="s">
        <v>6742</v>
      </c>
      <c r="C397" s="5" t="s">
        <v>17</v>
      </c>
      <c r="D397" s="21">
        <v>3</v>
      </c>
      <c r="E397" s="12">
        <v>267</v>
      </c>
      <c r="F397" s="10" t="str">
        <f>_xlfn.XLOOKUP(C397,menu!A:A,menu!B:B)</f>
        <v>Paneer Momos</v>
      </c>
      <c r="G397" s="10" t="str">
        <f>_xlfn.XLOOKUP(C397,menu!A:A,menu!C:C)</f>
        <v>Momos</v>
      </c>
      <c r="H397" s="10">
        <f>_xlfn.XLOOKUP(C397,menu!A:A,menu!E:E)</f>
        <v>27</v>
      </c>
      <c r="I397" s="10">
        <f t="shared" si="6"/>
        <v>81</v>
      </c>
      <c r="K397" s="10"/>
      <c r="L397" s="5"/>
    </row>
    <row r="398" spans="1:12" x14ac:dyDescent="0.25">
      <c r="A398" s="5" t="s">
        <v>6743</v>
      </c>
      <c r="B398" s="5" t="s">
        <v>6742</v>
      </c>
      <c r="C398" s="5" t="s">
        <v>54</v>
      </c>
      <c r="D398" s="21">
        <v>3</v>
      </c>
      <c r="E398" s="12">
        <v>417</v>
      </c>
      <c r="F398" s="10" t="str">
        <f>_xlfn.XLOOKUP(C398,menu!A:A,menu!B:B)</f>
        <v>Chicken Strips</v>
      </c>
      <c r="G398" s="10" t="str">
        <f>_xlfn.XLOOKUP(C398,menu!A:A,menu!C:C)</f>
        <v>Starters</v>
      </c>
      <c r="H398" s="10">
        <f>_xlfn.XLOOKUP(C398,menu!A:A,menu!E:E)</f>
        <v>42</v>
      </c>
      <c r="I398" s="10">
        <f t="shared" si="6"/>
        <v>126</v>
      </c>
      <c r="K398" s="10"/>
      <c r="L398" s="5"/>
    </row>
    <row r="399" spans="1:12" x14ac:dyDescent="0.25">
      <c r="A399" s="5" t="s">
        <v>6741</v>
      </c>
      <c r="B399" s="5" t="s">
        <v>6738</v>
      </c>
      <c r="C399" s="5" t="s">
        <v>12</v>
      </c>
      <c r="D399" s="21">
        <v>1</v>
      </c>
      <c r="E399" s="12">
        <v>79</v>
      </c>
      <c r="F399" s="10" t="str">
        <f>_xlfn.XLOOKUP(C399,menu!A:A,menu!B:B)</f>
        <v>Veg Momos</v>
      </c>
      <c r="G399" s="10" t="str">
        <f>_xlfn.XLOOKUP(C399,menu!A:A,menu!C:C)</f>
        <v>Momos</v>
      </c>
      <c r="H399" s="10">
        <f>_xlfn.XLOOKUP(C399,menu!A:A,menu!E:E)</f>
        <v>24</v>
      </c>
      <c r="I399" s="10">
        <f t="shared" si="6"/>
        <v>24</v>
      </c>
      <c r="K399" s="10"/>
      <c r="L399" s="5"/>
    </row>
    <row r="400" spans="1:12" x14ac:dyDescent="0.25">
      <c r="A400" s="5" t="s">
        <v>6740</v>
      </c>
      <c r="B400" s="5" t="s">
        <v>6738</v>
      </c>
      <c r="C400" s="5" t="s">
        <v>19</v>
      </c>
      <c r="D400" s="21">
        <v>5</v>
      </c>
      <c r="E400" s="12">
        <v>395</v>
      </c>
      <c r="F400" s="10" t="str">
        <f>_xlfn.XLOOKUP(C400,menu!A:A,menu!B:B)</f>
        <v>Veg Burger</v>
      </c>
      <c r="G400" s="10" t="str">
        <f>_xlfn.XLOOKUP(C400,menu!A:A,menu!C:C)</f>
        <v>Burger</v>
      </c>
      <c r="H400" s="10">
        <f>_xlfn.XLOOKUP(C400,menu!A:A,menu!E:E)</f>
        <v>24</v>
      </c>
      <c r="I400" s="10">
        <f t="shared" si="6"/>
        <v>120</v>
      </c>
      <c r="K400" s="10"/>
      <c r="L400" s="5"/>
    </row>
    <row r="401" spans="1:12" x14ac:dyDescent="0.25">
      <c r="A401" s="5" t="s">
        <v>6739</v>
      </c>
      <c r="B401" s="5" t="s">
        <v>6738</v>
      </c>
      <c r="C401" s="5" t="s">
        <v>46</v>
      </c>
      <c r="D401" s="21">
        <v>4</v>
      </c>
      <c r="E401" s="12">
        <v>596</v>
      </c>
      <c r="F401" s="10" t="str">
        <f>_xlfn.XLOOKUP(C401,menu!A:A,menu!B:B)</f>
        <v>Fish Finger</v>
      </c>
      <c r="G401" s="10" t="str">
        <f>_xlfn.XLOOKUP(C401,menu!A:A,menu!C:C)</f>
        <v>Starters</v>
      </c>
      <c r="H401" s="10">
        <f>_xlfn.XLOOKUP(C401,menu!A:A,menu!E:E)</f>
        <v>45</v>
      </c>
      <c r="I401" s="10">
        <f t="shared" si="6"/>
        <v>180</v>
      </c>
      <c r="K401" s="10"/>
      <c r="L401" s="5"/>
    </row>
    <row r="402" spans="1:12" x14ac:dyDescent="0.25">
      <c r="A402" s="5" t="s">
        <v>6737</v>
      </c>
      <c r="B402" s="5" t="s">
        <v>6735</v>
      </c>
      <c r="C402" s="5" t="s">
        <v>46</v>
      </c>
      <c r="D402" s="21">
        <v>5</v>
      </c>
      <c r="E402" s="12">
        <v>745</v>
      </c>
      <c r="F402" s="10" t="str">
        <f>_xlfn.XLOOKUP(C402,menu!A:A,menu!B:B)</f>
        <v>Fish Finger</v>
      </c>
      <c r="G402" s="10" t="str">
        <f>_xlfn.XLOOKUP(C402,menu!A:A,menu!C:C)</f>
        <v>Starters</v>
      </c>
      <c r="H402" s="10">
        <f>_xlfn.XLOOKUP(C402,menu!A:A,menu!E:E)</f>
        <v>45</v>
      </c>
      <c r="I402" s="10">
        <f t="shared" si="6"/>
        <v>225</v>
      </c>
      <c r="K402" s="10"/>
      <c r="L402" s="5"/>
    </row>
    <row r="403" spans="1:12" x14ac:dyDescent="0.25">
      <c r="A403" s="5" t="s">
        <v>6736</v>
      </c>
      <c r="B403" s="5" t="s">
        <v>6735</v>
      </c>
      <c r="C403" s="5" t="s">
        <v>8</v>
      </c>
      <c r="D403" s="21">
        <v>1</v>
      </c>
      <c r="E403" s="12">
        <v>99</v>
      </c>
      <c r="F403" s="10" t="str">
        <f>_xlfn.XLOOKUP(C403,menu!A:A,menu!B:B)</f>
        <v>Paneer Sandwich</v>
      </c>
      <c r="G403" s="10" t="str">
        <f>_xlfn.XLOOKUP(C403,menu!A:A,menu!C:C)</f>
        <v>Sandwich</v>
      </c>
      <c r="H403" s="10">
        <f>_xlfn.XLOOKUP(C403,menu!A:A,menu!E:E)</f>
        <v>30</v>
      </c>
      <c r="I403" s="10">
        <f t="shared" si="6"/>
        <v>30</v>
      </c>
      <c r="K403" s="10"/>
      <c r="L403" s="5"/>
    </row>
    <row r="404" spans="1:12" x14ac:dyDescent="0.25">
      <c r="A404" s="5" t="s">
        <v>6734</v>
      </c>
      <c r="B404" s="5" t="s">
        <v>6732</v>
      </c>
      <c r="C404" s="5" t="s">
        <v>46</v>
      </c>
      <c r="D404" s="21">
        <v>3</v>
      </c>
      <c r="E404" s="12">
        <v>447</v>
      </c>
      <c r="F404" s="10" t="str">
        <f>_xlfn.XLOOKUP(C404,menu!A:A,menu!B:B)</f>
        <v>Fish Finger</v>
      </c>
      <c r="G404" s="10" t="str">
        <f>_xlfn.XLOOKUP(C404,menu!A:A,menu!C:C)</f>
        <v>Starters</v>
      </c>
      <c r="H404" s="10">
        <f>_xlfn.XLOOKUP(C404,menu!A:A,menu!E:E)</f>
        <v>45</v>
      </c>
      <c r="I404" s="10">
        <f t="shared" si="6"/>
        <v>135</v>
      </c>
      <c r="K404" s="10"/>
      <c r="L404" s="5"/>
    </row>
    <row r="405" spans="1:12" x14ac:dyDescent="0.25">
      <c r="A405" s="5" t="s">
        <v>6733</v>
      </c>
      <c r="B405" s="5" t="s">
        <v>6732</v>
      </c>
      <c r="C405" s="5" t="s">
        <v>15</v>
      </c>
      <c r="D405" s="21">
        <v>1</v>
      </c>
      <c r="E405" s="12">
        <v>99</v>
      </c>
      <c r="F405" s="10" t="str">
        <f>_xlfn.XLOOKUP(C405,menu!A:A,menu!B:B)</f>
        <v>Chicken Momos</v>
      </c>
      <c r="G405" s="10" t="str">
        <f>_xlfn.XLOOKUP(C405,menu!A:A,menu!C:C)</f>
        <v>Momos</v>
      </c>
      <c r="H405" s="10">
        <f>_xlfn.XLOOKUP(C405,menu!A:A,menu!E:E)</f>
        <v>30</v>
      </c>
      <c r="I405" s="10">
        <f t="shared" si="6"/>
        <v>30</v>
      </c>
      <c r="K405" s="10"/>
      <c r="L405" s="5"/>
    </row>
    <row r="406" spans="1:12" x14ac:dyDescent="0.25">
      <c r="A406" s="5" t="s">
        <v>6731</v>
      </c>
      <c r="B406" s="5" t="s">
        <v>6728</v>
      </c>
      <c r="C406" s="5" t="s">
        <v>12</v>
      </c>
      <c r="D406" s="21">
        <v>3</v>
      </c>
      <c r="E406" s="12">
        <v>237</v>
      </c>
      <c r="F406" s="10" t="str">
        <f>_xlfn.XLOOKUP(C406,menu!A:A,menu!B:B)</f>
        <v>Veg Momos</v>
      </c>
      <c r="G406" s="10" t="str">
        <f>_xlfn.XLOOKUP(C406,menu!A:A,menu!C:C)</f>
        <v>Momos</v>
      </c>
      <c r="H406" s="10">
        <f>_xlfn.XLOOKUP(C406,menu!A:A,menu!E:E)</f>
        <v>24</v>
      </c>
      <c r="I406" s="10">
        <f t="shared" si="6"/>
        <v>72</v>
      </c>
      <c r="K406" s="10"/>
      <c r="L406" s="5"/>
    </row>
    <row r="407" spans="1:12" x14ac:dyDescent="0.25">
      <c r="A407" s="5" t="s">
        <v>6730</v>
      </c>
      <c r="B407" s="5" t="s">
        <v>6728</v>
      </c>
      <c r="C407" s="5" t="s">
        <v>19</v>
      </c>
      <c r="D407" s="21">
        <v>3</v>
      </c>
      <c r="E407" s="12">
        <v>237</v>
      </c>
      <c r="F407" s="10" t="str">
        <f>_xlfn.XLOOKUP(C407,menu!A:A,menu!B:B)</f>
        <v>Veg Burger</v>
      </c>
      <c r="G407" s="10" t="str">
        <f>_xlfn.XLOOKUP(C407,menu!A:A,menu!C:C)</f>
        <v>Burger</v>
      </c>
      <c r="H407" s="10">
        <f>_xlfn.XLOOKUP(C407,menu!A:A,menu!E:E)</f>
        <v>24</v>
      </c>
      <c r="I407" s="10">
        <f t="shared" si="6"/>
        <v>72</v>
      </c>
      <c r="K407" s="10"/>
      <c r="L407" s="5"/>
    </row>
    <row r="408" spans="1:12" x14ac:dyDescent="0.25">
      <c r="A408" s="5" t="s">
        <v>6729</v>
      </c>
      <c r="B408" s="5" t="s">
        <v>6728</v>
      </c>
      <c r="C408" s="5" t="s">
        <v>65</v>
      </c>
      <c r="D408" s="21">
        <v>3</v>
      </c>
      <c r="E408" s="12">
        <v>147</v>
      </c>
      <c r="F408" s="10" t="str">
        <f>_xlfn.XLOOKUP(C408,menu!A:A,menu!B:B)</f>
        <v>Lemon Juice</v>
      </c>
      <c r="G408" s="10" t="str">
        <f>_xlfn.XLOOKUP(C408,menu!A:A,menu!C:C)</f>
        <v>Beverages</v>
      </c>
      <c r="H408" s="10">
        <f>_xlfn.XLOOKUP(C408,menu!A:A,menu!E:E)</f>
        <v>15</v>
      </c>
      <c r="I408" s="10">
        <f t="shared" si="6"/>
        <v>45</v>
      </c>
      <c r="K408" s="10"/>
      <c r="L408" s="5"/>
    </row>
    <row r="409" spans="1:12" x14ac:dyDescent="0.25">
      <c r="A409" s="5" t="s">
        <v>6727</v>
      </c>
      <c r="B409" s="5" t="s">
        <v>6725</v>
      </c>
      <c r="C409" s="5" t="s">
        <v>40</v>
      </c>
      <c r="D409" s="21">
        <v>2</v>
      </c>
      <c r="E409" s="12">
        <v>198</v>
      </c>
      <c r="F409" s="10" t="str">
        <f>_xlfn.XLOOKUP(C409,menu!A:A,menu!B:B)</f>
        <v>Veg Nuggets</v>
      </c>
      <c r="G409" s="10" t="str">
        <f>_xlfn.XLOOKUP(C409,menu!A:A,menu!C:C)</f>
        <v>Starters</v>
      </c>
      <c r="H409" s="10">
        <f>_xlfn.XLOOKUP(C409,menu!A:A,menu!E:E)</f>
        <v>30</v>
      </c>
      <c r="I409" s="10">
        <f t="shared" si="6"/>
        <v>60</v>
      </c>
      <c r="K409" s="10"/>
      <c r="L409" s="5"/>
    </row>
    <row r="410" spans="1:12" x14ac:dyDescent="0.25">
      <c r="A410" s="5" t="s">
        <v>6726</v>
      </c>
      <c r="B410" s="5" t="s">
        <v>6725</v>
      </c>
      <c r="C410" s="5" t="s">
        <v>38</v>
      </c>
      <c r="D410" s="21">
        <v>2</v>
      </c>
      <c r="E410" s="12">
        <v>298</v>
      </c>
      <c r="F410" s="10" t="str">
        <f>_xlfn.XLOOKUP(C410,menu!A:A,menu!B:B)</f>
        <v>Chicken Wings</v>
      </c>
      <c r="G410" s="10" t="str">
        <f>_xlfn.XLOOKUP(C410,menu!A:A,menu!C:C)</f>
        <v>Starters</v>
      </c>
      <c r="H410" s="10">
        <f>_xlfn.XLOOKUP(C410,menu!A:A,menu!E:E)</f>
        <v>45</v>
      </c>
      <c r="I410" s="10">
        <f t="shared" si="6"/>
        <v>90</v>
      </c>
      <c r="K410" s="10"/>
      <c r="L410" s="5"/>
    </row>
    <row r="411" spans="1:12" x14ac:dyDescent="0.25">
      <c r="A411" s="5" t="s">
        <v>6724</v>
      </c>
      <c r="B411" s="5" t="s">
        <v>6722</v>
      </c>
      <c r="C411" s="5" t="s">
        <v>22</v>
      </c>
      <c r="D411" s="21">
        <v>1</v>
      </c>
      <c r="E411" s="12">
        <v>99</v>
      </c>
      <c r="F411" s="10" t="str">
        <f>_xlfn.XLOOKUP(C411,menu!A:A,menu!B:B)</f>
        <v>Chicken Burger</v>
      </c>
      <c r="G411" s="10" t="str">
        <f>_xlfn.XLOOKUP(C411,menu!A:A,menu!C:C)</f>
        <v>Burger</v>
      </c>
      <c r="H411" s="10">
        <f>_xlfn.XLOOKUP(C411,menu!A:A,menu!E:E)</f>
        <v>30</v>
      </c>
      <c r="I411" s="10">
        <f t="shared" si="6"/>
        <v>30</v>
      </c>
      <c r="K411" s="10"/>
      <c r="L411" s="5"/>
    </row>
    <row r="412" spans="1:12" x14ac:dyDescent="0.25">
      <c r="A412" s="5" t="s">
        <v>6723</v>
      </c>
      <c r="B412" s="5" t="s">
        <v>6722</v>
      </c>
      <c r="C412" s="5" t="s">
        <v>24</v>
      </c>
      <c r="D412" s="21">
        <v>1</v>
      </c>
      <c r="E412" s="12">
        <v>89</v>
      </c>
      <c r="F412" s="10" t="str">
        <f>_xlfn.XLOOKUP(C412,menu!A:A,menu!B:B)</f>
        <v>Paneer Burger</v>
      </c>
      <c r="G412" s="10" t="str">
        <f>_xlfn.XLOOKUP(C412,menu!A:A,menu!C:C)</f>
        <v>Burger</v>
      </c>
      <c r="H412" s="10">
        <f>_xlfn.XLOOKUP(C412,menu!A:A,menu!E:E)</f>
        <v>27</v>
      </c>
      <c r="I412" s="10">
        <f t="shared" si="6"/>
        <v>27</v>
      </c>
      <c r="K412" s="10"/>
      <c r="L412" s="5"/>
    </row>
    <row r="413" spans="1:12" x14ac:dyDescent="0.25">
      <c r="A413" s="5" t="s">
        <v>6721</v>
      </c>
      <c r="B413" s="5" t="s">
        <v>6718</v>
      </c>
      <c r="C413" s="5" t="s">
        <v>40</v>
      </c>
      <c r="D413" s="21">
        <v>2</v>
      </c>
      <c r="E413" s="12">
        <v>198</v>
      </c>
      <c r="F413" s="10" t="str">
        <f>_xlfn.XLOOKUP(C413,menu!A:A,menu!B:B)</f>
        <v>Veg Nuggets</v>
      </c>
      <c r="G413" s="10" t="str">
        <f>_xlfn.XLOOKUP(C413,menu!A:A,menu!C:C)</f>
        <v>Starters</v>
      </c>
      <c r="H413" s="10">
        <f>_xlfn.XLOOKUP(C413,menu!A:A,menu!E:E)</f>
        <v>30</v>
      </c>
      <c r="I413" s="10">
        <f t="shared" si="6"/>
        <v>60</v>
      </c>
      <c r="K413" s="10"/>
      <c r="L413" s="5"/>
    </row>
    <row r="414" spans="1:12" x14ac:dyDescent="0.25">
      <c r="A414" s="5" t="s">
        <v>6720</v>
      </c>
      <c r="B414" s="5" t="s">
        <v>6718</v>
      </c>
      <c r="C414" s="5" t="s">
        <v>46</v>
      </c>
      <c r="D414" s="21">
        <v>2</v>
      </c>
      <c r="E414" s="12">
        <v>298</v>
      </c>
      <c r="F414" s="10" t="str">
        <f>_xlfn.XLOOKUP(C414,menu!A:A,menu!B:B)</f>
        <v>Fish Finger</v>
      </c>
      <c r="G414" s="10" t="str">
        <f>_xlfn.XLOOKUP(C414,menu!A:A,menu!C:C)</f>
        <v>Starters</v>
      </c>
      <c r="H414" s="10">
        <f>_xlfn.XLOOKUP(C414,menu!A:A,menu!E:E)</f>
        <v>45</v>
      </c>
      <c r="I414" s="10">
        <f t="shared" si="6"/>
        <v>90</v>
      </c>
      <c r="K414" s="10"/>
      <c r="L414" s="5"/>
    </row>
    <row r="415" spans="1:12" x14ac:dyDescent="0.25">
      <c r="A415" s="5" t="s">
        <v>6719</v>
      </c>
      <c r="B415" s="5" t="s">
        <v>6718</v>
      </c>
      <c r="C415" s="5" t="s">
        <v>31</v>
      </c>
      <c r="D415" s="21">
        <v>2</v>
      </c>
      <c r="E415" s="12">
        <v>178</v>
      </c>
      <c r="F415" s="10" t="str">
        <f>_xlfn.XLOOKUP(C415,menu!A:A,menu!B:B)</f>
        <v>Chicken Roll</v>
      </c>
      <c r="G415" s="10" t="str">
        <f>_xlfn.XLOOKUP(C415,menu!A:A,menu!C:C)</f>
        <v>Rolls</v>
      </c>
      <c r="H415" s="10">
        <f>_xlfn.XLOOKUP(C415,menu!A:A,menu!E:E)</f>
        <v>27</v>
      </c>
      <c r="I415" s="10">
        <f t="shared" si="6"/>
        <v>54</v>
      </c>
      <c r="K415" s="10"/>
      <c r="L415" s="5"/>
    </row>
    <row r="416" spans="1:12" x14ac:dyDescent="0.25">
      <c r="A416" s="5" t="s">
        <v>6717</v>
      </c>
      <c r="B416" s="5" t="s">
        <v>6715</v>
      </c>
      <c r="C416" s="5" t="s">
        <v>12</v>
      </c>
      <c r="D416" s="21">
        <v>1</v>
      </c>
      <c r="E416" s="12">
        <v>79</v>
      </c>
      <c r="F416" s="10" t="str">
        <f>_xlfn.XLOOKUP(C416,menu!A:A,menu!B:B)</f>
        <v>Veg Momos</v>
      </c>
      <c r="G416" s="10" t="str">
        <f>_xlfn.XLOOKUP(C416,menu!A:A,menu!C:C)</f>
        <v>Momos</v>
      </c>
      <c r="H416" s="10">
        <f>_xlfn.XLOOKUP(C416,menu!A:A,menu!E:E)</f>
        <v>24</v>
      </c>
      <c r="I416" s="10">
        <f t="shared" si="6"/>
        <v>24</v>
      </c>
      <c r="K416" s="10"/>
      <c r="L416" s="5"/>
    </row>
    <row r="417" spans="1:12" x14ac:dyDescent="0.25">
      <c r="A417" s="5" t="s">
        <v>6716</v>
      </c>
      <c r="B417" s="5" t="s">
        <v>6715</v>
      </c>
      <c r="C417" s="5" t="s">
        <v>8</v>
      </c>
      <c r="D417" s="21">
        <v>1</v>
      </c>
      <c r="E417" s="12">
        <v>99</v>
      </c>
      <c r="F417" s="10" t="str">
        <f>_xlfn.XLOOKUP(C417,menu!A:A,menu!B:B)</f>
        <v>Paneer Sandwich</v>
      </c>
      <c r="G417" s="10" t="str">
        <f>_xlfn.XLOOKUP(C417,menu!A:A,menu!C:C)</f>
        <v>Sandwich</v>
      </c>
      <c r="H417" s="10">
        <f>_xlfn.XLOOKUP(C417,menu!A:A,menu!E:E)</f>
        <v>30</v>
      </c>
      <c r="I417" s="10">
        <f t="shared" si="6"/>
        <v>30</v>
      </c>
      <c r="K417" s="10"/>
      <c r="L417" s="5"/>
    </row>
    <row r="418" spans="1:12" x14ac:dyDescent="0.25">
      <c r="A418" s="5" t="s">
        <v>6714</v>
      </c>
      <c r="B418" s="5" t="s">
        <v>6711</v>
      </c>
      <c r="C418" s="5" t="s">
        <v>19</v>
      </c>
      <c r="D418" s="21">
        <v>2</v>
      </c>
      <c r="E418" s="12">
        <v>158</v>
      </c>
      <c r="F418" s="10" t="str">
        <f>_xlfn.XLOOKUP(C418,menu!A:A,menu!B:B)</f>
        <v>Veg Burger</v>
      </c>
      <c r="G418" s="10" t="str">
        <f>_xlfn.XLOOKUP(C418,menu!A:A,menu!C:C)</f>
        <v>Burger</v>
      </c>
      <c r="H418" s="10">
        <f>_xlfn.XLOOKUP(C418,menu!A:A,menu!E:E)</f>
        <v>24</v>
      </c>
      <c r="I418" s="10">
        <f t="shared" si="6"/>
        <v>48</v>
      </c>
      <c r="K418" s="10"/>
      <c r="L418" s="5"/>
    </row>
    <row r="419" spans="1:12" x14ac:dyDescent="0.25">
      <c r="A419" s="5" t="s">
        <v>6713</v>
      </c>
      <c r="B419" s="5" t="s">
        <v>6711</v>
      </c>
      <c r="C419" s="5" t="s">
        <v>10</v>
      </c>
      <c r="D419" s="21">
        <v>4</v>
      </c>
      <c r="E419" s="12">
        <v>476</v>
      </c>
      <c r="F419" s="10" t="str">
        <f>_xlfn.XLOOKUP(C419,menu!A:A,menu!B:B)</f>
        <v>Chicken Sandwich</v>
      </c>
      <c r="G419" s="10" t="str">
        <f>_xlfn.XLOOKUP(C419,menu!A:A,menu!C:C)</f>
        <v>Sandwich</v>
      </c>
      <c r="H419" s="10">
        <f>_xlfn.XLOOKUP(C419,menu!A:A,menu!E:E)</f>
        <v>36</v>
      </c>
      <c r="I419" s="10">
        <f t="shared" si="6"/>
        <v>144</v>
      </c>
      <c r="K419" s="10"/>
      <c r="L419" s="5"/>
    </row>
    <row r="420" spans="1:12" x14ac:dyDescent="0.25">
      <c r="A420" s="5" t="s">
        <v>6712</v>
      </c>
      <c r="B420" s="5" t="s">
        <v>6711</v>
      </c>
      <c r="C420" s="5" t="s">
        <v>61</v>
      </c>
      <c r="D420" s="21">
        <v>1</v>
      </c>
      <c r="E420" s="12">
        <v>79</v>
      </c>
      <c r="F420" s="10" t="str">
        <f>_xlfn.XLOOKUP(C420,menu!A:A,menu!B:B)</f>
        <v>Watermelon Mojito</v>
      </c>
      <c r="G420" s="10" t="str">
        <f>_xlfn.XLOOKUP(C420,menu!A:A,menu!C:C)</f>
        <v>Beverages</v>
      </c>
      <c r="H420" s="10">
        <f>_xlfn.XLOOKUP(C420,menu!A:A,menu!E:E)</f>
        <v>24</v>
      </c>
      <c r="I420" s="10">
        <f t="shared" si="6"/>
        <v>24</v>
      </c>
      <c r="K420" s="10"/>
      <c r="L420" s="5"/>
    </row>
    <row r="421" spans="1:12" x14ac:dyDescent="0.25">
      <c r="A421" s="5" t="s">
        <v>6710</v>
      </c>
      <c r="B421" s="5" t="s">
        <v>6708</v>
      </c>
      <c r="C421" s="5" t="s">
        <v>10</v>
      </c>
      <c r="D421" s="21">
        <v>1</v>
      </c>
      <c r="E421" s="12">
        <v>119</v>
      </c>
      <c r="F421" s="10" t="str">
        <f>_xlfn.XLOOKUP(C421,menu!A:A,menu!B:B)</f>
        <v>Chicken Sandwich</v>
      </c>
      <c r="G421" s="10" t="str">
        <f>_xlfn.XLOOKUP(C421,menu!A:A,menu!C:C)</f>
        <v>Sandwich</v>
      </c>
      <c r="H421" s="10">
        <f>_xlfn.XLOOKUP(C421,menu!A:A,menu!E:E)</f>
        <v>36</v>
      </c>
      <c r="I421" s="10">
        <f t="shared" si="6"/>
        <v>36</v>
      </c>
      <c r="K421" s="10"/>
      <c r="L421" s="5"/>
    </row>
    <row r="422" spans="1:12" x14ac:dyDescent="0.25">
      <c r="A422" s="5" t="s">
        <v>6709</v>
      </c>
      <c r="B422" s="5" t="s">
        <v>6708</v>
      </c>
      <c r="C422" s="5" t="s">
        <v>8</v>
      </c>
      <c r="D422" s="21">
        <v>4</v>
      </c>
      <c r="E422" s="12">
        <v>396</v>
      </c>
      <c r="F422" s="10" t="str">
        <f>_xlfn.XLOOKUP(C422,menu!A:A,menu!B:B)</f>
        <v>Paneer Sandwich</v>
      </c>
      <c r="G422" s="10" t="str">
        <f>_xlfn.XLOOKUP(C422,menu!A:A,menu!C:C)</f>
        <v>Sandwich</v>
      </c>
      <c r="H422" s="10">
        <f>_xlfn.XLOOKUP(C422,menu!A:A,menu!E:E)</f>
        <v>30</v>
      </c>
      <c r="I422" s="10">
        <f t="shared" si="6"/>
        <v>120</v>
      </c>
      <c r="K422" s="10"/>
      <c r="L422" s="5"/>
    </row>
    <row r="423" spans="1:12" x14ac:dyDescent="0.25">
      <c r="A423" s="5" t="s">
        <v>6707</v>
      </c>
      <c r="B423" s="5" t="s">
        <v>6704</v>
      </c>
      <c r="C423" s="5" t="s">
        <v>17</v>
      </c>
      <c r="D423" s="21">
        <v>1</v>
      </c>
      <c r="E423" s="12">
        <v>89</v>
      </c>
      <c r="F423" s="10" t="str">
        <f>_xlfn.XLOOKUP(C423,menu!A:A,menu!B:B)</f>
        <v>Paneer Momos</v>
      </c>
      <c r="G423" s="10" t="str">
        <f>_xlfn.XLOOKUP(C423,menu!A:A,menu!C:C)</f>
        <v>Momos</v>
      </c>
      <c r="H423" s="10">
        <f>_xlfn.XLOOKUP(C423,menu!A:A,menu!E:E)</f>
        <v>27</v>
      </c>
      <c r="I423" s="10">
        <f t="shared" si="6"/>
        <v>27</v>
      </c>
      <c r="K423" s="10"/>
      <c r="L423" s="5"/>
    </row>
    <row r="424" spans="1:12" x14ac:dyDescent="0.25">
      <c r="A424" s="5" t="s">
        <v>6706</v>
      </c>
      <c r="B424" s="5" t="s">
        <v>6704</v>
      </c>
      <c r="C424" s="5" t="s">
        <v>50</v>
      </c>
      <c r="D424" s="21">
        <v>2</v>
      </c>
      <c r="E424" s="12">
        <v>298</v>
      </c>
      <c r="F424" s="10" t="str">
        <f>_xlfn.XLOOKUP(C424,menu!A:A,menu!B:B)</f>
        <v>Grab Lollipop</v>
      </c>
      <c r="G424" s="10" t="str">
        <f>_xlfn.XLOOKUP(C424,menu!A:A,menu!C:C)</f>
        <v>Starters</v>
      </c>
      <c r="H424" s="10">
        <f>_xlfn.XLOOKUP(C424,menu!A:A,menu!E:E)</f>
        <v>45</v>
      </c>
      <c r="I424" s="10">
        <f t="shared" si="6"/>
        <v>90</v>
      </c>
      <c r="K424" s="10"/>
      <c r="L424" s="5"/>
    </row>
    <row r="425" spans="1:12" x14ac:dyDescent="0.25">
      <c r="A425" s="5" t="s">
        <v>6705</v>
      </c>
      <c r="B425" s="5" t="s">
        <v>6704</v>
      </c>
      <c r="C425" s="5" t="s">
        <v>33</v>
      </c>
      <c r="D425" s="21">
        <v>1</v>
      </c>
      <c r="E425" s="12">
        <v>69</v>
      </c>
      <c r="F425" s="10" t="str">
        <f>_xlfn.XLOOKUP(C425,menu!A:A,menu!B:B)</f>
        <v>Spring Roll</v>
      </c>
      <c r="G425" s="10" t="str">
        <f>_xlfn.XLOOKUP(C425,menu!A:A,menu!C:C)</f>
        <v>Rolls</v>
      </c>
      <c r="H425" s="10">
        <f>_xlfn.XLOOKUP(C425,menu!A:A,menu!E:E)</f>
        <v>21</v>
      </c>
      <c r="I425" s="10">
        <f t="shared" si="6"/>
        <v>21</v>
      </c>
      <c r="K425" s="10"/>
      <c r="L425" s="5"/>
    </row>
    <row r="426" spans="1:12" x14ac:dyDescent="0.25">
      <c r="A426" s="5" t="s">
        <v>6703</v>
      </c>
      <c r="B426" s="5" t="s">
        <v>6700</v>
      </c>
      <c r="C426" s="5" t="s">
        <v>40</v>
      </c>
      <c r="D426" s="21">
        <v>4</v>
      </c>
      <c r="E426" s="12">
        <v>396</v>
      </c>
      <c r="F426" s="10" t="str">
        <f>_xlfn.XLOOKUP(C426,menu!A:A,menu!B:B)</f>
        <v>Veg Nuggets</v>
      </c>
      <c r="G426" s="10" t="str">
        <f>_xlfn.XLOOKUP(C426,menu!A:A,menu!C:C)</f>
        <v>Starters</v>
      </c>
      <c r="H426" s="10">
        <f>_xlfn.XLOOKUP(C426,menu!A:A,menu!E:E)</f>
        <v>30</v>
      </c>
      <c r="I426" s="10">
        <f t="shared" si="6"/>
        <v>120</v>
      </c>
      <c r="K426" s="10"/>
      <c r="L426" s="5"/>
    </row>
    <row r="427" spans="1:12" x14ac:dyDescent="0.25">
      <c r="A427" s="5" t="s">
        <v>6702</v>
      </c>
      <c r="B427" s="5" t="s">
        <v>6700</v>
      </c>
      <c r="C427" s="5" t="s">
        <v>42</v>
      </c>
      <c r="D427" s="21">
        <v>2</v>
      </c>
      <c r="E427" s="12">
        <v>298</v>
      </c>
      <c r="F427" s="10" t="str">
        <f>_xlfn.XLOOKUP(C427,menu!A:A,menu!B:B)</f>
        <v>Chicken Popcorn</v>
      </c>
      <c r="G427" s="10" t="str">
        <f>_xlfn.XLOOKUP(C427,menu!A:A,menu!C:C)</f>
        <v>Starters</v>
      </c>
      <c r="H427" s="10">
        <f>_xlfn.XLOOKUP(C427,menu!A:A,menu!E:E)</f>
        <v>45</v>
      </c>
      <c r="I427" s="10">
        <f t="shared" si="6"/>
        <v>90</v>
      </c>
      <c r="K427" s="10"/>
      <c r="L427" s="5"/>
    </row>
    <row r="428" spans="1:12" x14ac:dyDescent="0.25">
      <c r="A428" s="5" t="s">
        <v>6701</v>
      </c>
      <c r="B428" s="5" t="s">
        <v>6700</v>
      </c>
      <c r="C428" s="5" t="s">
        <v>61</v>
      </c>
      <c r="D428" s="21">
        <v>5</v>
      </c>
      <c r="E428" s="12">
        <v>395</v>
      </c>
      <c r="F428" s="10" t="str">
        <f>_xlfn.XLOOKUP(C428,menu!A:A,menu!B:B)</f>
        <v>Watermelon Mojito</v>
      </c>
      <c r="G428" s="10" t="str">
        <f>_xlfn.XLOOKUP(C428,menu!A:A,menu!C:C)</f>
        <v>Beverages</v>
      </c>
      <c r="H428" s="10">
        <f>_xlfn.XLOOKUP(C428,menu!A:A,menu!E:E)</f>
        <v>24</v>
      </c>
      <c r="I428" s="10">
        <f t="shared" si="6"/>
        <v>120</v>
      </c>
      <c r="K428" s="10"/>
      <c r="L428" s="5"/>
    </row>
    <row r="429" spans="1:12" x14ac:dyDescent="0.25">
      <c r="A429" s="5" t="s">
        <v>6699</v>
      </c>
      <c r="B429" s="5" t="s">
        <v>6696</v>
      </c>
      <c r="C429" s="5" t="s">
        <v>63</v>
      </c>
      <c r="D429" s="21">
        <v>1</v>
      </c>
      <c r="E429" s="12">
        <v>79</v>
      </c>
      <c r="F429" s="10" t="str">
        <f>_xlfn.XLOOKUP(C429,menu!A:A,menu!B:B)</f>
        <v>Virgin Mojito</v>
      </c>
      <c r="G429" s="10" t="str">
        <f>_xlfn.XLOOKUP(C429,menu!A:A,menu!C:C)</f>
        <v>Beverages</v>
      </c>
      <c r="H429" s="10">
        <f>_xlfn.XLOOKUP(C429,menu!A:A,menu!E:E)</f>
        <v>24</v>
      </c>
      <c r="I429" s="10">
        <f t="shared" si="6"/>
        <v>24</v>
      </c>
      <c r="K429" s="10"/>
      <c r="L429" s="5"/>
    </row>
    <row r="430" spans="1:12" x14ac:dyDescent="0.25">
      <c r="A430" s="5" t="s">
        <v>6698</v>
      </c>
      <c r="B430" s="5" t="s">
        <v>6696</v>
      </c>
      <c r="C430" s="5" t="s">
        <v>22</v>
      </c>
      <c r="D430" s="21">
        <v>1</v>
      </c>
      <c r="E430" s="12">
        <v>99</v>
      </c>
      <c r="F430" s="10" t="str">
        <f>_xlfn.XLOOKUP(C430,menu!A:A,menu!B:B)</f>
        <v>Chicken Burger</v>
      </c>
      <c r="G430" s="10" t="str">
        <f>_xlfn.XLOOKUP(C430,menu!A:A,menu!C:C)</f>
        <v>Burger</v>
      </c>
      <c r="H430" s="10">
        <f>_xlfn.XLOOKUP(C430,menu!A:A,menu!E:E)</f>
        <v>30</v>
      </c>
      <c r="I430" s="10">
        <f t="shared" si="6"/>
        <v>30</v>
      </c>
      <c r="K430" s="10"/>
      <c r="L430" s="5"/>
    </row>
    <row r="431" spans="1:12" x14ac:dyDescent="0.25">
      <c r="A431" s="5" t="s">
        <v>6697</v>
      </c>
      <c r="B431" s="5" t="s">
        <v>6696</v>
      </c>
      <c r="C431" s="5" t="s">
        <v>61</v>
      </c>
      <c r="D431" s="21">
        <v>2</v>
      </c>
      <c r="E431" s="12">
        <v>158</v>
      </c>
      <c r="F431" s="10" t="str">
        <f>_xlfn.XLOOKUP(C431,menu!A:A,menu!B:B)</f>
        <v>Watermelon Mojito</v>
      </c>
      <c r="G431" s="10" t="str">
        <f>_xlfn.XLOOKUP(C431,menu!A:A,menu!C:C)</f>
        <v>Beverages</v>
      </c>
      <c r="H431" s="10">
        <f>_xlfn.XLOOKUP(C431,menu!A:A,menu!E:E)</f>
        <v>24</v>
      </c>
      <c r="I431" s="10">
        <f t="shared" si="6"/>
        <v>48</v>
      </c>
      <c r="K431" s="10"/>
      <c r="L431" s="5"/>
    </row>
    <row r="432" spans="1:12" x14ac:dyDescent="0.25">
      <c r="A432" s="5" t="s">
        <v>6695</v>
      </c>
      <c r="B432" s="5" t="s">
        <v>6694</v>
      </c>
      <c r="C432" s="5" t="s">
        <v>52</v>
      </c>
      <c r="D432" s="21">
        <v>2</v>
      </c>
      <c r="E432" s="12">
        <v>198</v>
      </c>
      <c r="F432" s="10" t="str">
        <f>_xlfn.XLOOKUP(C432,menu!A:A,menu!B:B)</f>
        <v>French Fries</v>
      </c>
      <c r="G432" s="10" t="str">
        <f>_xlfn.XLOOKUP(C432,menu!A:A,menu!C:C)</f>
        <v>Starters</v>
      </c>
      <c r="H432" s="10">
        <f>_xlfn.XLOOKUP(C432,menu!A:A,menu!E:E)</f>
        <v>30</v>
      </c>
      <c r="I432" s="10">
        <f t="shared" si="6"/>
        <v>60</v>
      </c>
      <c r="K432" s="10"/>
      <c r="L432" s="5"/>
    </row>
    <row r="433" spans="1:12" x14ac:dyDescent="0.25">
      <c r="A433" s="5" t="s">
        <v>6693</v>
      </c>
      <c r="B433" s="5" t="s">
        <v>6691</v>
      </c>
      <c r="C433" s="5" t="s">
        <v>29</v>
      </c>
      <c r="D433" s="21">
        <v>1</v>
      </c>
      <c r="E433" s="12">
        <v>79</v>
      </c>
      <c r="F433" s="10" t="str">
        <f>_xlfn.XLOOKUP(C433,menu!A:A,menu!B:B)</f>
        <v>Paneer Roll</v>
      </c>
      <c r="G433" s="10" t="str">
        <f>_xlfn.XLOOKUP(C433,menu!A:A,menu!C:C)</f>
        <v>Rolls</v>
      </c>
      <c r="H433" s="10">
        <f>_xlfn.XLOOKUP(C433,menu!A:A,menu!E:E)</f>
        <v>24</v>
      </c>
      <c r="I433" s="10">
        <f t="shared" si="6"/>
        <v>24</v>
      </c>
      <c r="K433" s="10"/>
      <c r="L433" s="5"/>
    </row>
    <row r="434" spans="1:12" x14ac:dyDescent="0.25">
      <c r="A434" s="5" t="s">
        <v>6692</v>
      </c>
      <c r="B434" s="5" t="s">
        <v>6691</v>
      </c>
      <c r="C434" s="5" t="s">
        <v>42</v>
      </c>
      <c r="D434" s="21">
        <v>3</v>
      </c>
      <c r="E434" s="12">
        <v>447</v>
      </c>
      <c r="F434" s="10" t="str">
        <f>_xlfn.XLOOKUP(C434,menu!A:A,menu!B:B)</f>
        <v>Chicken Popcorn</v>
      </c>
      <c r="G434" s="10" t="str">
        <f>_xlfn.XLOOKUP(C434,menu!A:A,menu!C:C)</f>
        <v>Starters</v>
      </c>
      <c r="H434" s="10">
        <f>_xlfn.XLOOKUP(C434,menu!A:A,menu!E:E)</f>
        <v>45</v>
      </c>
      <c r="I434" s="10">
        <f t="shared" si="6"/>
        <v>135</v>
      </c>
      <c r="K434" s="10"/>
      <c r="L434" s="5"/>
    </row>
    <row r="435" spans="1:12" x14ac:dyDescent="0.25">
      <c r="A435" s="5" t="s">
        <v>6690</v>
      </c>
      <c r="B435" s="5" t="s">
        <v>6687</v>
      </c>
      <c r="C435" s="5" t="s">
        <v>46</v>
      </c>
      <c r="D435" s="21">
        <v>1</v>
      </c>
      <c r="E435" s="12">
        <v>149</v>
      </c>
      <c r="F435" s="10" t="str">
        <f>_xlfn.XLOOKUP(C435,menu!A:A,menu!B:B)</f>
        <v>Fish Finger</v>
      </c>
      <c r="G435" s="10" t="str">
        <f>_xlfn.XLOOKUP(C435,menu!A:A,menu!C:C)</f>
        <v>Starters</v>
      </c>
      <c r="H435" s="10">
        <f>_xlfn.XLOOKUP(C435,menu!A:A,menu!E:E)</f>
        <v>45</v>
      </c>
      <c r="I435" s="10">
        <f t="shared" si="6"/>
        <v>45</v>
      </c>
      <c r="K435" s="10"/>
      <c r="L435" s="5"/>
    </row>
    <row r="436" spans="1:12" x14ac:dyDescent="0.25">
      <c r="A436" s="5" t="s">
        <v>6689</v>
      </c>
      <c r="B436" s="5" t="s">
        <v>6687</v>
      </c>
      <c r="C436" s="5" t="s">
        <v>42</v>
      </c>
      <c r="D436" s="21">
        <v>3</v>
      </c>
      <c r="E436" s="12">
        <v>447</v>
      </c>
      <c r="F436" s="10" t="str">
        <f>_xlfn.XLOOKUP(C436,menu!A:A,menu!B:B)</f>
        <v>Chicken Popcorn</v>
      </c>
      <c r="G436" s="10" t="str">
        <f>_xlfn.XLOOKUP(C436,menu!A:A,menu!C:C)</f>
        <v>Starters</v>
      </c>
      <c r="H436" s="10">
        <f>_xlfn.XLOOKUP(C436,menu!A:A,menu!E:E)</f>
        <v>45</v>
      </c>
      <c r="I436" s="10">
        <f t="shared" si="6"/>
        <v>135</v>
      </c>
      <c r="K436" s="10"/>
      <c r="L436" s="5"/>
    </row>
    <row r="437" spans="1:12" x14ac:dyDescent="0.25">
      <c r="A437" s="5" t="s">
        <v>6688</v>
      </c>
      <c r="B437" s="5" t="s">
        <v>6687</v>
      </c>
      <c r="C437" s="5" t="s">
        <v>59</v>
      </c>
      <c r="D437" s="21">
        <v>2</v>
      </c>
      <c r="E437" s="12">
        <v>158</v>
      </c>
      <c r="F437" s="10" t="str">
        <f>_xlfn.XLOOKUP(C437,menu!A:A,menu!B:B)</f>
        <v>Blue Curacao Mojito</v>
      </c>
      <c r="G437" s="10" t="str">
        <f>_xlfn.XLOOKUP(C437,menu!A:A,menu!C:C)</f>
        <v>Beverages</v>
      </c>
      <c r="H437" s="10">
        <f>_xlfn.XLOOKUP(C437,menu!A:A,menu!E:E)</f>
        <v>24</v>
      </c>
      <c r="I437" s="10">
        <f t="shared" si="6"/>
        <v>48</v>
      </c>
      <c r="K437" s="10"/>
      <c r="L437" s="5"/>
    </row>
    <row r="438" spans="1:12" x14ac:dyDescent="0.25">
      <c r="A438" s="5" t="s">
        <v>6686</v>
      </c>
      <c r="B438" s="5" t="s">
        <v>6683</v>
      </c>
      <c r="C438" s="5" t="s">
        <v>40</v>
      </c>
      <c r="D438" s="21">
        <v>1</v>
      </c>
      <c r="E438" s="12">
        <v>99</v>
      </c>
      <c r="F438" s="10" t="str">
        <f>_xlfn.XLOOKUP(C438,menu!A:A,menu!B:B)</f>
        <v>Veg Nuggets</v>
      </c>
      <c r="G438" s="10" t="str">
        <f>_xlfn.XLOOKUP(C438,menu!A:A,menu!C:C)</f>
        <v>Starters</v>
      </c>
      <c r="H438" s="10">
        <f>_xlfn.XLOOKUP(C438,menu!A:A,menu!E:E)</f>
        <v>30</v>
      </c>
      <c r="I438" s="10">
        <f t="shared" si="6"/>
        <v>30</v>
      </c>
      <c r="K438" s="10"/>
      <c r="L438" s="5"/>
    </row>
    <row r="439" spans="1:12" x14ac:dyDescent="0.25">
      <c r="A439" s="5" t="s">
        <v>6685</v>
      </c>
      <c r="B439" s="5" t="s">
        <v>6683</v>
      </c>
      <c r="C439" s="5" t="s">
        <v>44</v>
      </c>
      <c r="D439" s="21">
        <v>2</v>
      </c>
      <c r="E439" s="12">
        <v>318</v>
      </c>
      <c r="F439" s="10" t="str">
        <f>_xlfn.XLOOKUP(C439,menu!A:A,menu!B:B)</f>
        <v>Fried Chicken</v>
      </c>
      <c r="G439" s="10" t="str">
        <f>_xlfn.XLOOKUP(C439,menu!A:A,menu!C:C)</f>
        <v>Starters</v>
      </c>
      <c r="H439" s="10">
        <f>_xlfn.XLOOKUP(C439,menu!A:A,menu!E:E)</f>
        <v>48</v>
      </c>
      <c r="I439" s="10">
        <f t="shared" si="6"/>
        <v>96</v>
      </c>
      <c r="K439" s="10"/>
      <c r="L439" s="5"/>
    </row>
    <row r="440" spans="1:12" x14ac:dyDescent="0.25">
      <c r="A440" s="5" t="s">
        <v>6684</v>
      </c>
      <c r="B440" s="5" t="s">
        <v>6683</v>
      </c>
      <c r="C440" s="5" t="s">
        <v>8</v>
      </c>
      <c r="D440" s="21">
        <v>1</v>
      </c>
      <c r="E440" s="12">
        <v>99</v>
      </c>
      <c r="F440" s="10" t="str">
        <f>_xlfn.XLOOKUP(C440,menu!A:A,menu!B:B)</f>
        <v>Paneer Sandwich</v>
      </c>
      <c r="G440" s="10" t="str">
        <f>_xlfn.XLOOKUP(C440,menu!A:A,menu!C:C)</f>
        <v>Sandwich</v>
      </c>
      <c r="H440" s="10">
        <f>_xlfn.XLOOKUP(C440,menu!A:A,menu!E:E)</f>
        <v>30</v>
      </c>
      <c r="I440" s="10">
        <f t="shared" si="6"/>
        <v>30</v>
      </c>
      <c r="K440" s="10"/>
      <c r="L440" s="5"/>
    </row>
    <row r="441" spans="1:12" x14ac:dyDescent="0.25">
      <c r="A441" s="5" t="s">
        <v>6682</v>
      </c>
      <c r="B441" s="5" t="s">
        <v>6680</v>
      </c>
      <c r="C441" s="5" t="s">
        <v>31</v>
      </c>
      <c r="D441" s="21">
        <v>1</v>
      </c>
      <c r="E441" s="12">
        <v>89</v>
      </c>
      <c r="F441" s="10" t="str">
        <f>_xlfn.XLOOKUP(C441,menu!A:A,menu!B:B)</f>
        <v>Chicken Roll</v>
      </c>
      <c r="G441" s="10" t="str">
        <f>_xlfn.XLOOKUP(C441,menu!A:A,menu!C:C)</f>
        <v>Rolls</v>
      </c>
      <c r="H441" s="10">
        <f>_xlfn.XLOOKUP(C441,menu!A:A,menu!E:E)</f>
        <v>27</v>
      </c>
      <c r="I441" s="10">
        <f t="shared" si="6"/>
        <v>27</v>
      </c>
      <c r="K441" s="10"/>
      <c r="L441" s="5"/>
    </row>
    <row r="442" spans="1:12" x14ac:dyDescent="0.25">
      <c r="A442" s="5" t="s">
        <v>6681</v>
      </c>
      <c r="B442" s="5" t="s">
        <v>6680</v>
      </c>
      <c r="C442" s="5" t="s">
        <v>24</v>
      </c>
      <c r="D442" s="21">
        <v>1</v>
      </c>
      <c r="E442" s="12">
        <v>89</v>
      </c>
      <c r="F442" s="10" t="str">
        <f>_xlfn.XLOOKUP(C442,menu!A:A,menu!B:B)</f>
        <v>Paneer Burger</v>
      </c>
      <c r="G442" s="10" t="str">
        <f>_xlfn.XLOOKUP(C442,menu!A:A,menu!C:C)</f>
        <v>Burger</v>
      </c>
      <c r="H442" s="10">
        <f>_xlfn.XLOOKUP(C442,menu!A:A,menu!E:E)</f>
        <v>27</v>
      </c>
      <c r="I442" s="10">
        <f t="shared" si="6"/>
        <v>27</v>
      </c>
      <c r="K442" s="10"/>
      <c r="L442" s="5"/>
    </row>
    <row r="443" spans="1:12" x14ac:dyDescent="0.25">
      <c r="A443" s="5" t="s">
        <v>6679</v>
      </c>
      <c r="B443" s="5" t="s">
        <v>6677</v>
      </c>
      <c r="C443" s="5" t="s">
        <v>17</v>
      </c>
      <c r="D443" s="21">
        <v>2</v>
      </c>
      <c r="E443" s="12">
        <v>178</v>
      </c>
      <c r="F443" s="10" t="str">
        <f>_xlfn.XLOOKUP(C443,menu!A:A,menu!B:B)</f>
        <v>Paneer Momos</v>
      </c>
      <c r="G443" s="10" t="str">
        <f>_xlfn.XLOOKUP(C443,menu!A:A,menu!C:C)</f>
        <v>Momos</v>
      </c>
      <c r="H443" s="10">
        <f>_xlfn.XLOOKUP(C443,menu!A:A,menu!E:E)</f>
        <v>27</v>
      </c>
      <c r="I443" s="10">
        <f t="shared" si="6"/>
        <v>54</v>
      </c>
      <c r="K443" s="10"/>
      <c r="L443" s="5"/>
    </row>
    <row r="444" spans="1:12" x14ac:dyDescent="0.25">
      <c r="A444" s="5" t="s">
        <v>6678</v>
      </c>
      <c r="B444" s="5" t="s">
        <v>6677</v>
      </c>
      <c r="C444" s="5" t="s">
        <v>31</v>
      </c>
      <c r="D444" s="21">
        <v>2</v>
      </c>
      <c r="E444" s="12">
        <v>178</v>
      </c>
      <c r="F444" s="10" t="str">
        <f>_xlfn.XLOOKUP(C444,menu!A:A,menu!B:B)</f>
        <v>Chicken Roll</v>
      </c>
      <c r="G444" s="10" t="str">
        <f>_xlfn.XLOOKUP(C444,menu!A:A,menu!C:C)</f>
        <v>Rolls</v>
      </c>
      <c r="H444" s="10">
        <f>_xlfn.XLOOKUP(C444,menu!A:A,menu!E:E)</f>
        <v>27</v>
      </c>
      <c r="I444" s="10">
        <f t="shared" si="6"/>
        <v>54</v>
      </c>
      <c r="K444" s="10"/>
      <c r="L444" s="5"/>
    </row>
    <row r="445" spans="1:12" x14ac:dyDescent="0.25">
      <c r="A445" s="5" t="s">
        <v>6676</v>
      </c>
      <c r="B445" s="5" t="s">
        <v>6673</v>
      </c>
      <c r="C445" s="5" t="s">
        <v>29</v>
      </c>
      <c r="D445" s="21">
        <v>2</v>
      </c>
      <c r="E445" s="12">
        <v>158</v>
      </c>
      <c r="F445" s="10" t="str">
        <f>_xlfn.XLOOKUP(C445,menu!A:A,menu!B:B)</f>
        <v>Paneer Roll</v>
      </c>
      <c r="G445" s="10" t="str">
        <f>_xlfn.XLOOKUP(C445,menu!A:A,menu!C:C)</f>
        <v>Rolls</v>
      </c>
      <c r="H445" s="10">
        <f>_xlfn.XLOOKUP(C445,menu!A:A,menu!E:E)</f>
        <v>24</v>
      </c>
      <c r="I445" s="10">
        <f t="shared" si="6"/>
        <v>48</v>
      </c>
      <c r="K445" s="10"/>
      <c r="L445" s="5"/>
    </row>
    <row r="446" spans="1:12" x14ac:dyDescent="0.25">
      <c r="A446" s="5" t="s">
        <v>6675</v>
      </c>
      <c r="B446" s="5" t="s">
        <v>6673</v>
      </c>
      <c r="C446" s="5" t="s">
        <v>33</v>
      </c>
      <c r="D446" s="21">
        <v>1</v>
      </c>
      <c r="E446" s="12">
        <v>69</v>
      </c>
      <c r="F446" s="10" t="str">
        <f>_xlfn.XLOOKUP(C446,menu!A:A,menu!B:B)</f>
        <v>Spring Roll</v>
      </c>
      <c r="G446" s="10" t="str">
        <f>_xlfn.XLOOKUP(C446,menu!A:A,menu!C:C)</f>
        <v>Rolls</v>
      </c>
      <c r="H446" s="10">
        <f>_xlfn.XLOOKUP(C446,menu!A:A,menu!E:E)</f>
        <v>21</v>
      </c>
      <c r="I446" s="10">
        <f t="shared" si="6"/>
        <v>21</v>
      </c>
      <c r="K446" s="10"/>
      <c r="L446" s="5"/>
    </row>
    <row r="447" spans="1:12" x14ac:dyDescent="0.25">
      <c r="A447" s="5" t="s">
        <v>6674</v>
      </c>
      <c r="B447" s="5" t="s">
        <v>6673</v>
      </c>
      <c r="C447" s="5" t="s">
        <v>26</v>
      </c>
      <c r="D447" s="21">
        <v>1</v>
      </c>
      <c r="E447" s="12">
        <v>59</v>
      </c>
      <c r="F447" s="10" t="str">
        <f>_xlfn.XLOOKUP(C447,menu!A:A,menu!B:B)</f>
        <v>Veg Roll</v>
      </c>
      <c r="G447" s="10" t="str">
        <f>_xlfn.XLOOKUP(C447,menu!A:A,menu!C:C)</f>
        <v>Rolls</v>
      </c>
      <c r="H447" s="10">
        <f>_xlfn.XLOOKUP(C447,menu!A:A,menu!E:E)</f>
        <v>18</v>
      </c>
      <c r="I447" s="10">
        <f t="shared" si="6"/>
        <v>18</v>
      </c>
      <c r="K447" s="10"/>
      <c r="L447" s="5"/>
    </row>
    <row r="448" spans="1:12" x14ac:dyDescent="0.25">
      <c r="A448" s="5" t="s">
        <v>6672</v>
      </c>
      <c r="B448" s="5" t="s">
        <v>6669</v>
      </c>
      <c r="C448" s="5" t="s">
        <v>10</v>
      </c>
      <c r="D448" s="21">
        <v>3</v>
      </c>
      <c r="E448" s="12">
        <v>357</v>
      </c>
      <c r="F448" s="10" t="str">
        <f>_xlfn.XLOOKUP(C448,menu!A:A,menu!B:B)</f>
        <v>Chicken Sandwich</v>
      </c>
      <c r="G448" s="10" t="str">
        <f>_xlfn.XLOOKUP(C448,menu!A:A,menu!C:C)</f>
        <v>Sandwich</v>
      </c>
      <c r="H448" s="10">
        <f>_xlfn.XLOOKUP(C448,menu!A:A,menu!E:E)</f>
        <v>36</v>
      </c>
      <c r="I448" s="10">
        <f t="shared" si="6"/>
        <v>108</v>
      </c>
      <c r="K448" s="10"/>
      <c r="L448" s="5"/>
    </row>
    <row r="449" spans="1:12" x14ac:dyDescent="0.25">
      <c r="A449" s="5" t="s">
        <v>6671</v>
      </c>
      <c r="B449" s="5" t="s">
        <v>6669</v>
      </c>
      <c r="C449" s="5" t="s">
        <v>15</v>
      </c>
      <c r="D449" s="21">
        <v>1</v>
      </c>
      <c r="E449" s="12">
        <v>99</v>
      </c>
      <c r="F449" s="10" t="str">
        <f>_xlfn.XLOOKUP(C449,menu!A:A,menu!B:B)</f>
        <v>Chicken Momos</v>
      </c>
      <c r="G449" s="10" t="str">
        <f>_xlfn.XLOOKUP(C449,menu!A:A,menu!C:C)</f>
        <v>Momos</v>
      </c>
      <c r="H449" s="10">
        <f>_xlfn.XLOOKUP(C449,menu!A:A,menu!E:E)</f>
        <v>30</v>
      </c>
      <c r="I449" s="10">
        <f t="shared" si="6"/>
        <v>30</v>
      </c>
      <c r="K449" s="10"/>
      <c r="L449" s="5"/>
    </row>
    <row r="450" spans="1:12" x14ac:dyDescent="0.25">
      <c r="A450" s="5" t="s">
        <v>6670</v>
      </c>
      <c r="B450" s="5" t="s">
        <v>6669</v>
      </c>
      <c r="C450" s="5" t="s">
        <v>48</v>
      </c>
      <c r="D450" s="21">
        <v>2</v>
      </c>
      <c r="E450" s="12">
        <v>318</v>
      </c>
      <c r="F450" s="10" t="str">
        <f>_xlfn.XLOOKUP(C450,menu!A:A,menu!B:B)</f>
        <v>Chicken Lollipop</v>
      </c>
      <c r="G450" s="10" t="str">
        <f>_xlfn.XLOOKUP(C450,menu!A:A,menu!C:C)</f>
        <v>Starters</v>
      </c>
      <c r="H450" s="10">
        <f>_xlfn.XLOOKUP(C450,menu!A:A,menu!E:E)</f>
        <v>48</v>
      </c>
      <c r="I450" s="10">
        <f t="shared" si="6"/>
        <v>96</v>
      </c>
      <c r="K450" s="10"/>
      <c r="L450" s="5"/>
    </row>
    <row r="451" spans="1:12" x14ac:dyDescent="0.25">
      <c r="A451" s="5" t="s">
        <v>6668</v>
      </c>
      <c r="B451" s="5" t="s">
        <v>6666</v>
      </c>
      <c r="C451" s="5" t="s">
        <v>26</v>
      </c>
      <c r="D451" s="21">
        <v>1</v>
      </c>
      <c r="E451" s="12">
        <v>59</v>
      </c>
      <c r="F451" s="10" t="str">
        <f>_xlfn.XLOOKUP(C451,menu!A:A,menu!B:B)</f>
        <v>Veg Roll</v>
      </c>
      <c r="G451" s="10" t="str">
        <f>_xlfn.XLOOKUP(C451,menu!A:A,menu!C:C)</f>
        <v>Rolls</v>
      </c>
      <c r="H451" s="10">
        <f>_xlfn.XLOOKUP(C451,menu!A:A,menu!E:E)</f>
        <v>18</v>
      </c>
      <c r="I451" s="10">
        <f t="shared" ref="I451:I514" si="7">D451*H451</f>
        <v>18</v>
      </c>
      <c r="K451" s="10"/>
      <c r="L451" s="5"/>
    </row>
    <row r="452" spans="1:12" x14ac:dyDescent="0.25">
      <c r="A452" s="5" t="s">
        <v>6667</v>
      </c>
      <c r="B452" s="5" t="s">
        <v>6666</v>
      </c>
      <c r="C452" s="5" t="s">
        <v>48</v>
      </c>
      <c r="D452" s="21">
        <v>2</v>
      </c>
      <c r="E452" s="12">
        <v>318</v>
      </c>
      <c r="F452" s="10" t="str">
        <f>_xlfn.XLOOKUP(C452,menu!A:A,menu!B:B)</f>
        <v>Chicken Lollipop</v>
      </c>
      <c r="G452" s="10" t="str">
        <f>_xlfn.XLOOKUP(C452,menu!A:A,menu!C:C)</f>
        <v>Starters</v>
      </c>
      <c r="H452" s="10">
        <f>_xlfn.XLOOKUP(C452,menu!A:A,menu!E:E)</f>
        <v>48</v>
      </c>
      <c r="I452" s="10">
        <f t="shared" si="7"/>
        <v>96</v>
      </c>
      <c r="K452" s="10"/>
      <c r="L452" s="5"/>
    </row>
    <row r="453" spans="1:12" x14ac:dyDescent="0.25">
      <c r="A453" s="5" t="s">
        <v>6665</v>
      </c>
      <c r="B453" s="5" t="s">
        <v>6661</v>
      </c>
      <c r="C453" s="5" t="s">
        <v>40</v>
      </c>
      <c r="D453" s="21">
        <v>2</v>
      </c>
      <c r="E453" s="12">
        <v>198</v>
      </c>
      <c r="F453" s="10" t="str">
        <f>_xlfn.XLOOKUP(C453,menu!A:A,menu!B:B)</f>
        <v>Veg Nuggets</v>
      </c>
      <c r="G453" s="10" t="str">
        <f>_xlfn.XLOOKUP(C453,menu!A:A,menu!C:C)</f>
        <v>Starters</v>
      </c>
      <c r="H453" s="10">
        <f>_xlfn.XLOOKUP(C453,menu!A:A,menu!E:E)</f>
        <v>30</v>
      </c>
      <c r="I453" s="10">
        <f t="shared" si="7"/>
        <v>60</v>
      </c>
      <c r="K453" s="10"/>
      <c r="L453" s="5"/>
    </row>
    <row r="454" spans="1:12" x14ac:dyDescent="0.25">
      <c r="A454" s="5" t="s">
        <v>6664</v>
      </c>
      <c r="B454" s="5" t="s">
        <v>6661</v>
      </c>
      <c r="C454" s="5" t="s">
        <v>10</v>
      </c>
      <c r="D454" s="21">
        <v>1</v>
      </c>
      <c r="E454" s="12">
        <v>119</v>
      </c>
      <c r="F454" s="10" t="str">
        <f>_xlfn.XLOOKUP(C454,menu!A:A,menu!B:B)</f>
        <v>Chicken Sandwich</v>
      </c>
      <c r="G454" s="10" t="str">
        <f>_xlfn.XLOOKUP(C454,menu!A:A,menu!C:C)</f>
        <v>Sandwich</v>
      </c>
      <c r="H454" s="10">
        <f>_xlfn.XLOOKUP(C454,menu!A:A,menu!E:E)</f>
        <v>36</v>
      </c>
      <c r="I454" s="10">
        <f t="shared" si="7"/>
        <v>36</v>
      </c>
      <c r="K454" s="10"/>
      <c r="L454" s="5"/>
    </row>
    <row r="455" spans="1:12" x14ac:dyDescent="0.25">
      <c r="A455" s="5" t="s">
        <v>6663</v>
      </c>
      <c r="B455" s="5" t="s">
        <v>6661</v>
      </c>
      <c r="C455" s="5" t="s">
        <v>22</v>
      </c>
      <c r="D455" s="21">
        <v>2</v>
      </c>
      <c r="E455" s="12">
        <v>198</v>
      </c>
      <c r="F455" s="10" t="str">
        <f>_xlfn.XLOOKUP(C455,menu!A:A,menu!B:B)</f>
        <v>Chicken Burger</v>
      </c>
      <c r="G455" s="10" t="str">
        <f>_xlfn.XLOOKUP(C455,menu!A:A,menu!C:C)</f>
        <v>Burger</v>
      </c>
      <c r="H455" s="10">
        <f>_xlfn.XLOOKUP(C455,menu!A:A,menu!E:E)</f>
        <v>30</v>
      </c>
      <c r="I455" s="10">
        <f t="shared" si="7"/>
        <v>60</v>
      </c>
      <c r="K455" s="10"/>
      <c r="L455" s="5"/>
    </row>
    <row r="456" spans="1:12" x14ac:dyDescent="0.25">
      <c r="A456" s="5" t="s">
        <v>6662</v>
      </c>
      <c r="B456" s="5" t="s">
        <v>6661</v>
      </c>
      <c r="C456" s="5" t="s">
        <v>17</v>
      </c>
      <c r="D456" s="21">
        <v>4</v>
      </c>
      <c r="E456" s="12">
        <v>356</v>
      </c>
      <c r="F456" s="10" t="str">
        <f>_xlfn.XLOOKUP(C456,menu!A:A,menu!B:B)</f>
        <v>Paneer Momos</v>
      </c>
      <c r="G456" s="10" t="str">
        <f>_xlfn.XLOOKUP(C456,menu!A:A,menu!C:C)</f>
        <v>Momos</v>
      </c>
      <c r="H456" s="10">
        <f>_xlfn.XLOOKUP(C456,menu!A:A,menu!E:E)</f>
        <v>27</v>
      </c>
      <c r="I456" s="10">
        <f t="shared" si="7"/>
        <v>108</v>
      </c>
      <c r="K456" s="10"/>
      <c r="L456" s="5"/>
    </row>
    <row r="457" spans="1:12" x14ac:dyDescent="0.25">
      <c r="A457" s="5" t="s">
        <v>6660</v>
      </c>
      <c r="B457" s="5" t="s">
        <v>6658</v>
      </c>
      <c r="C457" s="5" t="s">
        <v>65</v>
      </c>
      <c r="D457" s="21">
        <v>1</v>
      </c>
      <c r="E457" s="12">
        <v>49</v>
      </c>
      <c r="F457" s="10" t="str">
        <f>_xlfn.XLOOKUP(C457,menu!A:A,menu!B:B)</f>
        <v>Lemon Juice</v>
      </c>
      <c r="G457" s="10" t="str">
        <f>_xlfn.XLOOKUP(C457,menu!A:A,menu!C:C)</f>
        <v>Beverages</v>
      </c>
      <c r="H457" s="10">
        <f>_xlfn.XLOOKUP(C457,menu!A:A,menu!E:E)</f>
        <v>15</v>
      </c>
      <c r="I457" s="10">
        <f t="shared" si="7"/>
        <v>15</v>
      </c>
      <c r="K457" s="10"/>
      <c r="L457" s="5"/>
    </row>
    <row r="458" spans="1:12" x14ac:dyDescent="0.25">
      <c r="A458" s="5" t="s">
        <v>6659</v>
      </c>
      <c r="B458" s="5" t="s">
        <v>6658</v>
      </c>
      <c r="C458" s="5" t="s">
        <v>31</v>
      </c>
      <c r="D458" s="21">
        <v>1</v>
      </c>
      <c r="E458" s="12">
        <v>89</v>
      </c>
      <c r="F458" s="10" t="str">
        <f>_xlfn.XLOOKUP(C458,menu!A:A,menu!B:B)</f>
        <v>Chicken Roll</v>
      </c>
      <c r="G458" s="10" t="str">
        <f>_xlfn.XLOOKUP(C458,menu!A:A,menu!C:C)</f>
        <v>Rolls</v>
      </c>
      <c r="H458" s="10">
        <f>_xlfn.XLOOKUP(C458,menu!A:A,menu!E:E)</f>
        <v>27</v>
      </c>
      <c r="I458" s="10">
        <f t="shared" si="7"/>
        <v>27</v>
      </c>
      <c r="K458" s="10"/>
      <c r="L458" s="5"/>
    </row>
    <row r="459" spans="1:12" x14ac:dyDescent="0.25">
      <c r="A459" s="5" t="s">
        <v>6657</v>
      </c>
      <c r="B459" s="5" t="s">
        <v>6655</v>
      </c>
      <c r="C459" s="5" t="s">
        <v>40</v>
      </c>
      <c r="D459" s="21">
        <v>1</v>
      </c>
      <c r="E459" s="12">
        <v>99</v>
      </c>
      <c r="F459" s="10" t="str">
        <f>_xlfn.XLOOKUP(C459,menu!A:A,menu!B:B)</f>
        <v>Veg Nuggets</v>
      </c>
      <c r="G459" s="10" t="str">
        <f>_xlfn.XLOOKUP(C459,menu!A:A,menu!C:C)</f>
        <v>Starters</v>
      </c>
      <c r="H459" s="10">
        <f>_xlfn.XLOOKUP(C459,menu!A:A,menu!E:E)</f>
        <v>30</v>
      </c>
      <c r="I459" s="10">
        <f t="shared" si="7"/>
        <v>30</v>
      </c>
      <c r="K459" s="10"/>
      <c r="L459" s="5"/>
    </row>
    <row r="460" spans="1:12" x14ac:dyDescent="0.25">
      <c r="A460" s="5" t="s">
        <v>6656</v>
      </c>
      <c r="B460" s="5" t="s">
        <v>6655</v>
      </c>
      <c r="C460" s="5" t="s">
        <v>26</v>
      </c>
      <c r="D460" s="21">
        <v>1</v>
      </c>
      <c r="E460" s="12">
        <v>59</v>
      </c>
      <c r="F460" s="10" t="str">
        <f>_xlfn.XLOOKUP(C460,menu!A:A,menu!B:B)</f>
        <v>Veg Roll</v>
      </c>
      <c r="G460" s="10" t="str">
        <f>_xlfn.XLOOKUP(C460,menu!A:A,menu!C:C)</f>
        <v>Rolls</v>
      </c>
      <c r="H460" s="10">
        <f>_xlfn.XLOOKUP(C460,menu!A:A,menu!E:E)</f>
        <v>18</v>
      </c>
      <c r="I460" s="10">
        <f t="shared" si="7"/>
        <v>18</v>
      </c>
      <c r="K460" s="10"/>
      <c r="L460" s="5"/>
    </row>
    <row r="461" spans="1:12" x14ac:dyDescent="0.25">
      <c r="A461" s="5" t="s">
        <v>6654</v>
      </c>
      <c r="B461" s="5" t="s">
        <v>6650</v>
      </c>
      <c r="C461" s="5" t="s">
        <v>5</v>
      </c>
      <c r="D461" s="21">
        <v>1</v>
      </c>
      <c r="E461" s="12">
        <v>79</v>
      </c>
      <c r="F461" s="10" t="str">
        <f>_xlfn.XLOOKUP(C461,menu!A:A,menu!B:B)</f>
        <v>Veg Sandwich</v>
      </c>
      <c r="G461" s="10" t="str">
        <f>_xlfn.XLOOKUP(C461,menu!A:A,menu!C:C)</f>
        <v>Sandwich</v>
      </c>
      <c r="H461" s="10">
        <f>_xlfn.XLOOKUP(C461,menu!A:A,menu!E:E)</f>
        <v>24</v>
      </c>
      <c r="I461" s="10">
        <f t="shared" si="7"/>
        <v>24</v>
      </c>
      <c r="K461" s="10"/>
      <c r="L461" s="5"/>
    </row>
    <row r="462" spans="1:12" x14ac:dyDescent="0.25">
      <c r="A462" s="5" t="s">
        <v>6653</v>
      </c>
      <c r="B462" s="5" t="s">
        <v>6650</v>
      </c>
      <c r="C462" s="5" t="s">
        <v>52</v>
      </c>
      <c r="D462" s="21">
        <v>4</v>
      </c>
      <c r="E462" s="12">
        <v>396</v>
      </c>
      <c r="F462" s="10" t="str">
        <f>_xlfn.XLOOKUP(C462,menu!A:A,menu!B:B)</f>
        <v>French Fries</v>
      </c>
      <c r="G462" s="10" t="str">
        <f>_xlfn.XLOOKUP(C462,menu!A:A,menu!C:C)</f>
        <v>Starters</v>
      </c>
      <c r="H462" s="10">
        <f>_xlfn.XLOOKUP(C462,menu!A:A,menu!E:E)</f>
        <v>30</v>
      </c>
      <c r="I462" s="10">
        <f t="shared" si="7"/>
        <v>120</v>
      </c>
      <c r="K462" s="10"/>
      <c r="L462" s="5"/>
    </row>
    <row r="463" spans="1:12" x14ac:dyDescent="0.25">
      <c r="A463" s="5" t="s">
        <v>6652</v>
      </c>
      <c r="B463" s="5" t="s">
        <v>6650</v>
      </c>
      <c r="C463" s="5" t="s">
        <v>40</v>
      </c>
      <c r="D463" s="21">
        <v>2</v>
      </c>
      <c r="E463" s="12">
        <v>198</v>
      </c>
      <c r="F463" s="10" t="str">
        <f>_xlfn.XLOOKUP(C463,menu!A:A,menu!B:B)</f>
        <v>Veg Nuggets</v>
      </c>
      <c r="G463" s="10" t="str">
        <f>_xlfn.XLOOKUP(C463,menu!A:A,menu!C:C)</f>
        <v>Starters</v>
      </c>
      <c r="H463" s="10">
        <f>_xlfn.XLOOKUP(C463,menu!A:A,menu!E:E)</f>
        <v>30</v>
      </c>
      <c r="I463" s="10">
        <f t="shared" si="7"/>
        <v>60</v>
      </c>
      <c r="K463" s="10"/>
      <c r="L463" s="5"/>
    </row>
    <row r="464" spans="1:12" x14ac:dyDescent="0.25">
      <c r="A464" s="5" t="s">
        <v>6651</v>
      </c>
      <c r="B464" s="5" t="s">
        <v>6650</v>
      </c>
      <c r="C464" s="5" t="s">
        <v>24</v>
      </c>
      <c r="D464" s="21">
        <v>1</v>
      </c>
      <c r="E464" s="12">
        <v>89</v>
      </c>
      <c r="F464" s="10" t="str">
        <f>_xlfn.XLOOKUP(C464,menu!A:A,menu!B:B)</f>
        <v>Paneer Burger</v>
      </c>
      <c r="G464" s="10" t="str">
        <f>_xlfn.XLOOKUP(C464,menu!A:A,menu!C:C)</f>
        <v>Burger</v>
      </c>
      <c r="H464" s="10">
        <f>_xlfn.XLOOKUP(C464,menu!A:A,menu!E:E)</f>
        <v>27</v>
      </c>
      <c r="I464" s="10">
        <f t="shared" si="7"/>
        <v>27</v>
      </c>
      <c r="K464" s="10"/>
      <c r="L464" s="5"/>
    </row>
    <row r="465" spans="1:12" x14ac:dyDescent="0.25">
      <c r="A465" s="5" t="s">
        <v>6649</v>
      </c>
      <c r="B465" s="5" t="s">
        <v>6645</v>
      </c>
      <c r="C465" s="5" t="s">
        <v>26</v>
      </c>
      <c r="D465" s="21">
        <v>1</v>
      </c>
      <c r="E465" s="12">
        <v>59</v>
      </c>
      <c r="F465" s="10" t="str">
        <f>_xlfn.XLOOKUP(C465,menu!A:A,menu!B:B)</f>
        <v>Veg Roll</v>
      </c>
      <c r="G465" s="10" t="str">
        <f>_xlfn.XLOOKUP(C465,menu!A:A,menu!C:C)</f>
        <v>Rolls</v>
      </c>
      <c r="H465" s="10">
        <f>_xlfn.XLOOKUP(C465,menu!A:A,menu!E:E)</f>
        <v>18</v>
      </c>
      <c r="I465" s="10">
        <f t="shared" si="7"/>
        <v>18</v>
      </c>
      <c r="K465" s="10"/>
      <c r="L465" s="5"/>
    </row>
    <row r="466" spans="1:12" x14ac:dyDescent="0.25">
      <c r="A466" s="5" t="s">
        <v>6648</v>
      </c>
      <c r="B466" s="5" t="s">
        <v>6645</v>
      </c>
      <c r="C466" s="5" t="s">
        <v>17</v>
      </c>
      <c r="D466" s="21">
        <v>2</v>
      </c>
      <c r="E466" s="12">
        <v>178</v>
      </c>
      <c r="F466" s="10" t="str">
        <f>_xlfn.XLOOKUP(C466,menu!A:A,menu!B:B)</f>
        <v>Paneer Momos</v>
      </c>
      <c r="G466" s="10" t="str">
        <f>_xlfn.XLOOKUP(C466,menu!A:A,menu!C:C)</f>
        <v>Momos</v>
      </c>
      <c r="H466" s="10">
        <f>_xlfn.XLOOKUP(C466,menu!A:A,menu!E:E)</f>
        <v>27</v>
      </c>
      <c r="I466" s="10">
        <f t="shared" si="7"/>
        <v>54</v>
      </c>
      <c r="K466" s="10"/>
      <c r="L466" s="5"/>
    </row>
    <row r="467" spans="1:12" x14ac:dyDescent="0.25">
      <c r="A467" s="5" t="s">
        <v>6647</v>
      </c>
      <c r="B467" s="5" t="s">
        <v>6645</v>
      </c>
      <c r="C467" s="5" t="s">
        <v>40</v>
      </c>
      <c r="D467" s="21">
        <v>3</v>
      </c>
      <c r="E467" s="12">
        <v>297</v>
      </c>
      <c r="F467" s="10" t="str">
        <f>_xlfn.XLOOKUP(C467,menu!A:A,menu!B:B)</f>
        <v>Veg Nuggets</v>
      </c>
      <c r="G467" s="10" t="str">
        <f>_xlfn.XLOOKUP(C467,menu!A:A,menu!C:C)</f>
        <v>Starters</v>
      </c>
      <c r="H467" s="10">
        <f>_xlfn.XLOOKUP(C467,menu!A:A,menu!E:E)</f>
        <v>30</v>
      </c>
      <c r="I467" s="10">
        <f t="shared" si="7"/>
        <v>90</v>
      </c>
      <c r="K467" s="10"/>
      <c r="L467" s="5"/>
    </row>
    <row r="468" spans="1:12" x14ac:dyDescent="0.25">
      <c r="A468" s="5" t="s">
        <v>6646</v>
      </c>
      <c r="B468" s="5" t="s">
        <v>6645</v>
      </c>
      <c r="C468" s="5" t="s">
        <v>59</v>
      </c>
      <c r="D468" s="21">
        <v>3</v>
      </c>
      <c r="E468" s="12">
        <v>237</v>
      </c>
      <c r="F468" s="10" t="str">
        <f>_xlfn.XLOOKUP(C468,menu!A:A,menu!B:B)</f>
        <v>Blue Curacao Mojito</v>
      </c>
      <c r="G468" s="10" t="str">
        <f>_xlfn.XLOOKUP(C468,menu!A:A,menu!C:C)</f>
        <v>Beverages</v>
      </c>
      <c r="H468" s="10">
        <f>_xlfn.XLOOKUP(C468,menu!A:A,menu!E:E)</f>
        <v>24</v>
      </c>
      <c r="I468" s="10">
        <f t="shared" si="7"/>
        <v>72</v>
      </c>
      <c r="K468" s="10"/>
      <c r="L468" s="5"/>
    </row>
    <row r="469" spans="1:12" x14ac:dyDescent="0.25">
      <c r="A469" s="5" t="s">
        <v>6644</v>
      </c>
      <c r="B469" s="5" t="s">
        <v>6640</v>
      </c>
      <c r="C469" s="5" t="s">
        <v>40</v>
      </c>
      <c r="D469" s="21">
        <v>1</v>
      </c>
      <c r="E469" s="12">
        <v>99</v>
      </c>
      <c r="F469" s="10" t="str">
        <f>_xlfn.XLOOKUP(C469,menu!A:A,menu!B:B)</f>
        <v>Veg Nuggets</v>
      </c>
      <c r="G469" s="10" t="str">
        <f>_xlfn.XLOOKUP(C469,menu!A:A,menu!C:C)</f>
        <v>Starters</v>
      </c>
      <c r="H469" s="10">
        <f>_xlfn.XLOOKUP(C469,menu!A:A,menu!E:E)</f>
        <v>30</v>
      </c>
      <c r="I469" s="10">
        <f t="shared" si="7"/>
        <v>30</v>
      </c>
      <c r="K469" s="10"/>
      <c r="L469" s="5"/>
    </row>
    <row r="470" spans="1:12" x14ac:dyDescent="0.25">
      <c r="A470" s="5" t="s">
        <v>6643</v>
      </c>
      <c r="B470" s="5" t="s">
        <v>6640</v>
      </c>
      <c r="C470" s="5" t="s">
        <v>12</v>
      </c>
      <c r="D470" s="21">
        <v>3</v>
      </c>
      <c r="E470" s="12">
        <v>237</v>
      </c>
      <c r="F470" s="10" t="str">
        <f>_xlfn.XLOOKUP(C470,menu!A:A,menu!B:B)</f>
        <v>Veg Momos</v>
      </c>
      <c r="G470" s="10" t="str">
        <f>_xlfn.XLOOKUP(C470,menu!A:A,menu!C:C)</f>
        <v>Momos</v>
      </c>
      <c r="H470" s="10">
        <f>_xlfn.XLOOKUP(C470,menu!A:A,menu!E:E)</f>
        <v>24</v>
      </c>
      <c r="I470" s="10">
        <f t="shared" si="7"/>
        <v>72</v>
      </c>
      <c r="K470" s="10"/>
      <c r="L470" s="5"/>
    </row>
    <row r="471" spans="1:12" x14ac:dyDescent="0.25">
      <c r="A471" s="5" t="s">
        <v>6642</v>
      </c>
      <c r="B471" s="5" t="s">
        <v>6640</v>
      </c>
      <c r="C471" s="5" t="s">
        <v>26</v>
      </c>
      <c r="D471" s="21">
        <v>2</v>
      </c>
      <c r="E471" s="12">
        <v>118</v>
      </c>
      <c r="F471" s="10" t="str">
        <f>_xlfn.XLOOKUP(C471,menu!A:A,menu!B:B)</f>
        <v>Veg Roll</v>
      </c>
      <c r="G471" s="10" t="str">
        <f>_xlfn.XLOOKUP(C471,menu!A:A,menu!C:C)</f>
        <v>Rolls</v>
      </c>
      <c r="H471" s="10">
        <f>_xlfn.XLOOKUP(C471,menu!A:A,menu!E:E)</f>
        <v>18</v>
      </c>
      <c r="I471" s="10">
        <f t="shared" si="7"/>
        <v>36</v>
      </c>
      <c r="K471" s="10"/>
      <c r="L471" s="5"/>
    </row>
    <row r="472" spans="1:12" x14ac:dyDescent="0.25">
      <c r="A472" s="5" t="s">
        <v>6641</v>
      </c>
      <c r="B472" s="5" t="s">
        <v>6640</v>
      </c>
      <c r="C472" s="5" t="s">
        <v>61</v>
      </c>
      <c r="D472" s="21">
        <v>3</v>
      </c>
      <c r="E472" s="12">
        <v>237</v>
      </c>
      <c r="F472" s="10" t="str">
        <f>_xlfn.XLOOKUP(C472,menu!A:A,menu!B:B)</f>
        <v>Watermelon Mojito</v>
      </c>
      <c r="G472" s="10" t="str">
        <f>_xlfn.XLOOKUP(C472,menu!A:A,menu!C:C)</f>
        <v>Beverages</v>
      </c>
      <c r="H472" s="10">
        <f>_xlfn.XLOOKUP(C472,menu!A:A,menu!E:E)</f>
        <v>24</v>
      </c>
      <c r="I472" s="10">
        <f t="shared" si="7"/>
        <v>72</v>
      </c>
      <c r="K472" s="10"/>
      <c r="L472" s="5"/>
    </row>
    <row r="473" spans="1:12" x14ac:dyDescent="0.25">
      <c r="A473" s="5" t="s">
        <v>6639</v>
      </c>
      <c r="B473" s="5" t="s">
        <v>6636</v>
      </c>
      <c r="C473" s="5" t="s">
        <v>12</v>
      </c>
      <c r="D473" s="21">
        <v>2</v>
      </c>
      <c r="E473" s="12">
        <v>158</v>
      </c>
      <c r="F473" s="10" t="str">
        <f>_xlfn.XLOOKUP(C473,menu!A:A,menu!B:B)</f>
        <v>Veg Momos</v>
      </c>
      <c r="G473" s="10" t="str">
        <f>_xlfn.XLOOKUP(C473,menu!A:A,menu!C:C)</f>
        <v>Momos</v>
      </c>
      <c r="H473" s="10">
        <f>_xlfn.XLOOKUP(C473,menu!A:A,menu!E:E)</f>
        <v>24</v>
      </c>
      <c r="I473" s="10">
        <f t="shared" si="7"/>
        <v>48</v>
      </c>
      <c r="K473" s="10"/>
      <c r="L473" s="5"/>
    </row>
    <row r="474" spans="1:12" x14ac:dyDescent="0.25">
      <c r="A474" s="5" t="s">
        <v>6638</v>
      </c>
      <c r="B474" s="5" t="s">
        <v>6636</v>
      </c>
      <c r="C474" s="5" t="s">
        <v>50</v>
      </c>
      <c r="D474" s="21">
        <v>1</v>
      </c>
      <c r="E474" s="12">
        <v>149</v>
      </c>
      <c r="F474" s="10" t="str">
        <f>_xlfn.XLOOKUP(C474,menu!A:A,menu!B:B)</f>
        <v>Grab Lollipop</v>
      </c>
      <c r="G474" s="10" t="str">
        <f>_xlfn.XLOOKUP(C474,menu!A:A,menu!C:C)</f>
        <v>Starters</v>
      </c>
      <c r="H474" s="10">
        <f>_xlfn.XLOOKUP(C474,menu!A:A,menu!E:E)</f>
        <v>45</v>
      </c>
      <c r="I474" s="10">
        <f t="shared" si="7"/>
        <v>45</v>
      </c>
      <c r="K474" s="10"/>
      <c r="L474" s="5"/>
    </row>
    <row r="475" spans="1:12" x14ac:dyDescent="0.25">
      <c r="A475" s="5" t="s">
        <v>6637</v>
      </c>
      <c r="B475" s="5" t="s">
        <v>6636</v>
      </c>
      <c r="C475" s="5" t="s">
        <v>17</v>
      </c>
      <c r="D475" s="21">
        <v>2</v>
      </c>
      <c r="E475" s="12">
        <v>178</v>
      </c>
      <c r="F475" s="10" t="str">
        <f>_xlfn.XLOOKUP(C475,menu!A:A,menu!B:B)</f>
        <v>Paneer Momos</v>
      </c>
      <c r="G475" s="10" t="str">
        <f>_xlfn.XLOOKUP(C475,menu!A:A,menu!C:C)</f>
        <v>Momos</v>
      </c>
      <c r="H475" s="10">
        <f>_xlfn.XLOOKUP(C475,menu!A:A,menu!E:E)</f>
        <v>27</v>
      </c>
      <c r="I475" s="10">
        <f t="shared" si="7"/>
        <v>54</v>
      </c>
      <c r="K475" s="10"/>
      <c r="L475" s="5"/>
    </row>
    <row r="476" spans="1:12" x14ac:dyDescent="0.25">
      <c r="A476" s="5" t="s">
        <v>6635</v>
      </c>
      <c r="B476" s="5" t="s">
        <v>6631</v>
      </c>
      <c r="C476" s="5" t="s">
        <v>17</v>
      </c>
      <c r="D476" s="21">
        <v>2</v>
      </c>
      <c r="E476" s="12">
        <v>178</v>
      </c>
      <c r="F476" s="10" t="str">
        <f>_xlfn.XLOOKUP(C476,menu!A:A,menu!B:B)</f>
        <v>Paneer Momos</v>
      </c>
      <c r="G476" s="10" t="str">
        <f>_xlfn.XLOOKUP(C476,menu!A:A,menu!C:C)</f>
        <v>Momos</v>
      </c>
      <c r="H476" s="10">
        <f>_xlfn.XLOOKUP(C476,menu!A:A,menu!E:E)</f>
        <v>27</v>
      </c>
      <c r="I476" s="10">
        <f t="shared" si="7"/>
        <v>54</v>
      </c>
      <c r="K476" s="10"/>
      <c r="L476" s="5"/>
    </row>
    <row r="477" spans="1:12" x14ac:dyDescent="0.25">
      <c r="A477" s="5" t="s">
        <v>6634</v>
      </c>
      <c r="B477" s="5" t="s">
        <v>6631</v>
      </c>
      <c r="C477" s="5" t="s">
        <v>35</v>
      </c>
      <c r="D477" s="21">
        <v>1</v>
      </c>
      <c r="E477" s="12">
        <v>119</v>
      </c>
      <c r="F477" s="10" t="str">
        <f>_xlfn.XLOOKUP(C477,menu!A:A,menu!B:B)</f>
        <v>Chicken Nuggets</v>
      </c>
      <c r="G477" s="10" t="str">
        <f>_xlfn.XLOOKUP(C477,menu!A:A,menu!C:C)</f>
        <v>Starters</v>
      </c>
      <c r="H477" s="10">
        <f>_xlfn.XLOOKUP(C477,menu!A:A,menu!E:E)</f>
        <v>36</v>
      </c>
      <c r="I477" s="10">
        <f t="shared" si="7"/>
        <v>36</v>
      </c>
      <c r="K477" s="10"/>
      <c r="L477" s="5"/>
    </row>
    <row r="478" spans="1:12" x14ac:dyDescent="0.25">
      <c r="A478" s="5" t="s">
        <v>6633</v>
      </c>
      <c r="B478" s="5" t="s">
        <v>6631</v>
      </c>
      <c r="C478" s="5" t="s">
        <v>44</v>
      </c>
      <c r="D478" s="21">
        <v>1</v>
      </c>
      <c r="E478" s="12">
        <v>159</v>
      </c>
      <c r="F478" s="10" t="str">
        <f>_xlfn.XLOOKUP(C478,menu!A:A,menu!B:B)</f>
        <v>Fried Chicken</v>
      </c>
      <c r="G478" s="10" t="str">
        <f>_xlfn.XLOOKUP(C478,menu!A:A,menu!C:C)</f>
        <v>Starters</v>
      </c>
      <c r="H478" s="10">
        <f>_xlfn.XLOOKUP(C478,menu!A:A,menu!E:E)</f>
        <v>48</v>
      </c>
      <c r="I478" s="10">
        <f t="shared" si="7"/>
        <v>48</v>
      </c>
      <c r="K478" s="10"/>
      <c r="L478" s="5"/>
    </row>
    <row r="479" spans="1:12" x14ac:dyDescent="0.25">
      <c r="A479" s="5" t="s">
        <v>6632</v>
      </c>
      <c r="B479" s="5" t="s">
        <v>6631</v>
      </c>
      <c r="C479" s="5" t="s">
        <v>31</v>
      </c>
      <c r="D479" s="21">
        <v>1</v>
      </c>
      <c r="E479" s="12">
        <v>89</v>
      </c>
      <c r="F479" s="10" t="str">
        <f>_xlfn.XLOOKUP(C479,menu!A:A,menu!B:B)</f>
        <v>Chicken Roll</v>
      </c>
      <c r="G479" s="10" t="str">
        <f>_xlfn.XLOOKUP(C479,menu!A:A,menu!C:C)</f>
        <v>Rolls</v>
      </c>
      <c r="H479" s="10">
        <f>_xlfn.XLOOKUP(C479,menu!A:A,menu!E:E)</f>
        <v>27</v>
      </c>
      <c r="I479" s="10">
        <f t="shared" si="7"/>
        <v>27</v>
      </c>
      <c r="K479" s="10"/>
      <c r="L479" s="5"/>
    </row>
    <row r="480" spans="1:12" x14ac:dyDescent="0.25">
      <c r="A480" s="5" t="s">
        <v>6630</v>
      </c>
      <c r="B480" s="5" t="s">
        <v>6628</v>
      </c>
      <c r="C480" s="5" t="s">
        <v>63</v>
      </c>
      <c r="D480" s="21">
        <v>2</v>
      </c>
      <c r="E480" s="12">
        <v>158</v>
      </c>
      <c r="F480" s="10" t="str">
        <f>_xlfn.XLOOKUP(C480,menu!A:A,menu!B:B)</f>
        <v>Virgin Mojito</v>
      </c>
      <c r="G480" s="10" t="str">
        <f>_xlfn.XLOOKUP(C480,menu!A:A,menu!C:C)</f>
        <v>Beverages</v>
      </c>
      <c r="H480" s="10">
        <f>_xlfn.XLOOKUP(C480,menu!A:A,menu!E:E)</f>
        <v>24</v>
      </c>
      <c r="I480" s="10">
        <f t="shared" si="7"/>
        <v>48</v>
      </c>
      <c r="K480" s="10"/>
      <c r="L480" s="5"/>
    </row>
    <row r="481" spans="1:12" x14ac:dyDescent="0.25">
      <c r="A481" s="5" t="s">
        <v>6629</v>
      </c>
      <c r="B481" s="5" t="s">
        <v>6628</v>
      </c>
      <c r="C481" s="5" t="s">
        <v>35</v>
      </c>
      <c r="D481" s="21">
        <v>2</v>
      </c>
      <c r="E481" s="12">
        <v>238</v>
      </c>
      <c r="F481" s="10" t="str">
        <f>_xlfn.XLOOKUP(C481,menu!A:A,menu!B:B)</f>
        <v>Chicken Nuggets</v>
      </c>
      <c r="G481" s="10" t="str">
        <f>_xlfn.XLOOKUP(C481,menu!A:A,menu!C:C)</f>
        <v>Starters</v>
      </c>
      <c r="H481" s="10">
        <f>_xlfn.XLOOKUP(C481,menu!A:A,menu!E:E)</f>
        <v>36</v>
      </c>
      <c r="I481" s="10">
        <f t="shared" si="7"/>
        <v>72</v>
      </c>
      <c r="K481" s="10"/>
      <c r="L481" s="5"/>
    </row>
    <row r="482" spans="1:12" x14ac:dyDescent="0.25">
      <c r="A482" s="5" t="s">
        <v>6627</v>
      </c>
      <c r="B482" s="5" t="s">
        <v>6624</v>
      </c>
      <c r="C482" s="5" t="s">
        <v>40</v>
      </c>
      <c r="D482" s="21">
        <v>3</v>
      </c>
      <c r="E482" s="12">
        <v>297</v>
      </c>
      <c r="F482" s="10" t="str">
        <f>_xlfn.XLOOKUP(C482,menu!A:A,menu!B:B)</f>
        <v>Veg Nuggets</v>
      </c>
      <c r="G482" s="10" t="str">
        <f>_xlfn.XLOOKUP(C482,menu!A:A,menu!C:C)</f>
        <v>Starters</v>
      </c>
      <c r="H482" s="10">
        <f>_xlfn.XLOOKUP(C482,menu!A:A,menu!E:E)</f>
        <v>30</v>
      </c>
      <c r="I482" s="10">
        <f t="shared" si="7"/>
        <v>90</v>
      </c>
      <c r="K482" s="10"/>
      <c r="L482" s="5"/>
    </row>
    <row r="483" spans="1:12" x14ac:dyDescent="0.25">
      <c r="A483" s="5" t="s">
        <v>6626</v>
      </c>
      <c r="B483" s="5" t="s">
        <v>6624</v>
      </c>
      <c r="C483" s="5" t="s">
        <v>42</v>
      </c>
      <c r="D483" s="21">
        <v>3</v>
      </c>
      <c r="E483" s="12">
        <v>447</v>
      </c>
      <c r="F483" s="10" t="str">
        <f>_xlfn.XLOOKUP(C483,menu!A:A,menu!B:B)</f>
        <v>Chicken Popcorn</v>
      </c>
      <c r="G483" s="10" t="str">
        <f>_xlfn.XLOOKUP(C483,menu!A:A,menu!C:C)</f>
        <v>Starters</v>
      </c>
      <c r="H483" s="10">
        <f>_xlfn.XLOOKUP(C483,menu!A:A,menu!E:E)</f>
        <v>45</v>
      </c>
      <c r="I483" s="10">
        <f t="shared" si="7"/>
        <v>135</v>
      </c>
      <c r="K483" s="10"/>
      <c r="L483" s="5"/>
    </row>
    <row r="484" spans="1:12" x14ac:dyDescent="0.25">
      <c r="A484" s="5" t="s">
        <v>6625</v>
      </c>
      <c r="B484" s="5" t="s">
        <v>6624</v>
      </c>
      <c r="C484" s="5" t="s">
        <v>48</v>
      </c>
      <c r="D484" s="21">
        <v>2</v>
      </c>
      <c r="E484" s="12">
        <v>318</v>
      </c>
      <c r="F484" s="10" t="str">
        <f>_xlfn.XLOOKUP(C484,menu!A:A,menu!B:B)</f>
        <v>Chicken Lollipop</v>
      </c>
      <c r="G484" s="10" t="str">
        <f>_xlfn.XLOOKUP(C484,menu!A:A,menu!C:C)</f>
        <v>Starters</v>
      </c>
      <c r="H484" s="10">
        <f>_xlfn.XLOOKUP(C484,menu!A:A,menu!E:E)</f>
        <v>48</v>
      </c>
      <c r="I484" s="10">
        <f t="shared" si="7"/>
        <v>96</v>
      </c>
      <c r="K484" s="10"/>
      <c r="L484" s="5"/>
    </row>
    <row r="485" spans="1:12" x14ac:dyDescent="0.25">
      <c r="A485" s="5" t="s">
        <v>6623</v>
      </c>
      <c r="B485" s="5" t="s">
        <v>6621</v>
      </c>
      <c r="C485" s="5" t="s">
        <v>63</v>
      </c>
      <c r="D485" s="21">
        <v>1</v>
      </c>
      <c r="E485" s="12">
        <v>79</v>
      </c>
      <c r="F485" s="10" t="str">
        <f>_xlfn.XLOOKUP(C485,menu!A:A,menu!B:B)</f>
        <v>Virgin Mojito</v>
      </c>
      <c r="G485" s="10" t="str">
        <f>_xlfn.XLOOKUP(C485,menu!A:A,menu!C:C)</f>
        <v>Beverages</v>
      </c>
      <c r="H485" s="10">
        <f>_xlfn.XLOOKUP(C485,menu!A:A,menu!E:E)</f>
        <v>24</v>
      </c>
      <c r="I485" s="10">
        <f t="shared" si="7"/>
        <v>24</v>
      </c>
      <c r="K485" s="10"/>
      <c r="L485" s="5"/>
    </row>
    <row r="486" spans="1:12" x14ac:dyDescent="0.25">
      <c r="A486" s="5" t="s">
        <v>6622</v>
      </c>
      <c r="B486" s="5" t="s">
        <v>6621</v>
      </c>
      <c r="C486" s="5" t="s">
        <v>50</v>
      </c>
      <c r="D486" s="21">
        <v>1</v>
      </c>
      <c r="E486" s="12">
        <v>149</v>
      </c>
      <c r="F486" s="10" t="str">
        <f>_xlfn.XLOOKUP(C486,menu!A:A,menu!B:B)</f>
        <v>Grab Lollipop</v>
      </c>
      <c r="G486" s="10" t="str">
        <f>_xlfn.XLOOKUP(C486,menu!A:A,menu!C:C)</f>
        <v>Starters</v>
      </c>
      <c r="H486" s="10">
        <f>_xlfn.XLOOKUP(C486,menu!A:A,menu!E:E)</f>
        <v>45</v>
      </c>
      <c r="I486" s="10">
        <f t="shared" si="7"/>
        <v>45</v>
      </c>
      <c r="K486" s="10"/>
      <c r="L486" s="5"/>
    </row>
    <row r="487" spans="1:12" x14ac:dyDescent="0.25">
      <c r="A487" s="5" t="s">
        <v>6620</v>
      </c>
      <c r="B487" s="5" t="s">
        <v>6616</v>
      </c>
      <c r="C487" s="5" t="s">
        <v>12</v>
      </c>
      <c r="D487" s="21">
        <v>1</v>
      </c>
      <c r="E487" s="12">
        <v>79</v>
      </c>
      <c r="F487" s="10" t="str">
        <f>_xlfn.XLOOKUP(C487,menu!A:A,menu!B:B)</f>
        <v>Veg Momos</v>
      </c>
      <c r="G487" s="10" t="str">
        <f>_xlfn.XLOOKUP(C487,menu!A:A,menu!C:C)</f>
        <v>Momos</v>
      </c>
      <c r="H487" s="10">
        <f>_xlfn.XLOOKUP(C487,menu!A:A,menu!E:E)</f>
        <v>24</v>
      </c>
      <c r="I487" s="10">
        <f t="shared" si="7"/>
        <v>24</v>
      </c>
      <c r="K487" s="10"/>
      <c r="L487" s="5"/>
    </row>
    <row r="488" spans="1:12" x14ac:dyDescent="0.25">
      <c r="A488" s="5" t="s">
        <v>6619</v>
      </c>
      <c r="B488" s="5" t="s">
        <v>6616</v>
      </c>
      <c r="C488" s="5" t="s">
        <v>35</v>
      </c>
      <c r="D488" s="21">
        <v>2</v>
      </c>
      <c r="E488" s="12">
        <v>238</v>
      </c>
      <c r="F488" s="10" t="str">
        <f>_xlfn.XLOOKUP(C488,menu!A:A,menu!B:B)</f>
        <v>Chicken Nuggets</v>
      </c>
      <c r="G488" s="10" t="str">
        <f>_xlfn.XLOOKUP(C488,menu!A:A,menu!C:C)</f>
        <v>Starters</v>
      </c>
      <c r="H488" s="10">
        <f>_xlfn.XLOOKUP(C488,menu!A:A,menu!E:E)</f>
        <v>36</v>
      </c>
      <c r="I488" s="10">
        <f t="shared" si="7"/>
        <v>72</v>
      </c>
      <c r="K488" s="10"/>
      <c r="L488" s="5"/>
    </row>
    <row r="489" spans="1:12" x14ac:dyDescent="0.25">
      <c r="A489" s="5" t="s">
        <v>6618</v>
      </c>
      <c r="B489" s="5" t="s">
        <v>6616</v>
      </c>
      <c r="C489" s="5" t="s">
        <v>44</v>
      </c>
      <c r="D489" s="21">
        <v>4</v>
      </c>
      <c r="E489" s="12">
        <v>636</v>
      </c>
      <c r="F489" s="10" t="str">
        <f>_xlfn.XLOOKUP(C489,menu!A:A,menu!B:B)</f>
        <v>Fried Chicken</v>
      </c>
      <c r="G489" s="10" t="str">
        <f>_xlfn.XLOOKUP(C489,menu!A:A,menu!C:C)</f>
        <v>Starters</v>
      </c>
      <c r="H489" s="10">
        <f>_xlfn.XLOOKUP(C489,menu!A:A,menu!E:E)</f>
        <v>48</v>
      </c>
      <c r="I489" s="10">
        <f t="shared" si="7"/>
        <v>192</v>
      </c>
      <c r="K489" s="10"/>
      <c r="L489" s="5"/>
    </row>
    <row r="490" spans="1:12" x14ac:dyDescent="0.25">
      <c r="A490" s="5" t="s">
        <v>6617</v>
      </c>
      <c r="B490" s="5" t="s">
        <v>6616</v>
      </c>
      <c r="C490" s="5" t="s">
        <v>38</v>
      </c>
      <c r="D490" s="21">
        <v>2</v>
      </c>
      <c r="E490" s="12">
        <v>298</v>
      </c>
      <c r="F490" s="10" t="str">
        <f>_xlfn.XLOOKUP(C490,menu!A:A,menu!B:B)</f>
        <v>Chicken Wings</v>
      </c>
      <c r="G490" s="10" t="str">
        <f>_xlfn.XLOOKUP(C490,menu!A:A,menu!C:C)</f>
        <v>Starters</v>
      </c>
      <c r="H490" s="10">
        <f>_xlfn.XLOOKUP(C490,menu!A:A,menu!E:E)</f>
        <v>45</v>
      </c>
      <c r="I490" s="10">
        <f t="shared" si="7"/>
        <v>90</v>
      </c>
      <c r="K490" s="10"/>
      <c r="L490" s="5"/>
    </row>
    <row r="491" spans="1:12" x14ac:dyDescent="0.25">
      <c r="A491" s="5" t="s">
        <v>6615</v>
      </c>
      <c r="B491" s="5" t="s">
        <v>6614</v>
      </c>
      <c r="C491" s="5" t="s">
        <v>26</v>
      </c>
      <c r="D491" s="21">
        <v>2</v>
      </c>
      <c r="E491" s="12">
        <v>118</v>
      </c>
      <c r="F491" s="10" t="str">
        <f>_xlfn.XLOOKUP(C491,menu!A:A,menu!B:B)</f>
        <v>Veg Roll</v>
      </c>
      <c r="G491" s="10" t="str">
        <f>_xlfn.XLOOKUP(C491,menu!A:A,menu!C:C)</f>
        <v>Rolls</v>
      </c>
      <c r="H491" s="10">
        <f>_xlfn.XLOOKUP(C491,menu!A:A,menu!E:E)</f>
        <v>18</v>
      </c>
      <c r="I491" s="10">
        <f t="shared" si="7"/>
        <v>36</v>
      </c>
      <c r="K491" s="10"/>
      <c r="L491" s="5"/>
    </row>
    <row r="492" spans="1:12" x14ac:dyDescent="0.25">
      <c r="A492" s="5" t="s">
        <v>6613</v>
      </c>
      <c r="B492" s="5" t="s">
        <v>6610</v>
      </c>
      <c r="C492" s="5" t="s">
        <v>52</v>
      </c>
      <c r="D492" s="21">
        <v>4</v>
      </c>
      <c r="E492" s="12">
        <v>396</v>
      </c>
      <c r="F492" s="10" t="str">
        <f>_xlfn.XLOOKUP(C492,menu!A:A,menu!B:B)</f>
        <v>French Fries</v>
      </c>
      <c r="G492" s="10" t="str">
        <f>_xlfn.XLOOKUP(C492,menu!A:A,menu!C:C)</f>
        <v>Starters</v>
      </c>
      <c r="H492" s="10">
        <f>_xlfn.XLOOKUP(C492,menu!A:A,menu!E:E)</f>
        <v>30</v>
      </c>
      <c r="I492" s="10">
        <f t="shared" si="7"/>
        <v>120</v>
      </c>
      <c r="K492" s="10"/>
      <c r="L492" s="5"/>
    </row>
    <row r="493" spans="1:12" x14ac:dyDescent="0.25">
      <c r="A493" s="5" t="s">
        <v>6612</v>
      </c>
      <c r="B493" s="5" t="s">
        <v>6610</v>
      </c>
      <c r="C493" s="5" t="s">
        <v>31</v>
      </c>
      <c r="D493" s="21">
        <v>1</v>
      </c>
      <c r="E493" s="12">
        <v>89</v>
      </c>
      <c r="F493" s="10" t="str">
        <f>_xlfn.XLOOKUP(C493,menu!A:A,menu!B:B)</f>
        <v>Chicken Roll</v>
      </c>
      <c r="G493" s="10" t="str">
        <f>_xlfn.XLOOKUP(C493,menu!A:A,menu!C:C)</f>
        <v>Rolls</v>
      </c>
      <c r="H493" s="10">
        <f>_xlfn.XLOOKUP(C493,menu!A:A,menu!E:E)</f>
        <v>27</v>
      </c>
      <c r="I493" s="10">
        <f t="shared" si="7"/>
        <v>27</v>
      </c>
      <c r="K493" s="10"/>
      <c r="L493" s="5"/>
    </row>
    <row r="494" spans="1:12" x14ac:dyDescent="0.25">
      <c r="A494" s="5" t="s">
        <v>6611</v>
      </c>
      <c r="B494" s="5" t="s">
        <v>6610</v>
      </c>
      <c r="C494" s="5" t="s">
        <v>38</v>
      </c>
      <c r="D494" s="21">
        <v>1</v>
      </c>
      <c r="E494" s="12">
        <v>149</v>
      </c>
      <c r="F494" s="10" t="str">
        <f>_xlfn.XLOOKUP(C494,menu!A:A,menu!B:B)</f>
        <v>Chicken Wings</v>
      </c>
      <c r="G494" s="10" t="str">
        <f>_xlfn.XLOOKUP(C494,menu!A:A,menu!C:C)</f>
        <v>Starters</v>
      </c>
      <c r="H494" s="10">
        <f>_xlfn.XLOOKUP(C494,menu!A:A,menu!E:E)</f>
        <v>45</v>
      </c>
      <c r="I494" s="10">
        <f t="shared" si="7"/>
        <v>45</v>
      </c>
      <c r="K494" s="10"/>
      <c r="L494" s="5"/>
    </row>
    <row r="495" spans="1:12" x14ac:dyDescent="0.25">
      <c r="A495" s="5" t="s">
        <v>6609</v>
      </c>
      <c r="B495" s="5" t="s">
        <v>6606</v>
      </c>
      <c r="C495" s="5" t="s">
        <v>48</v>
      </c>
      <c r="D495" s="21">
        <v>5</v>
      </c>
      <c r="E495" s="12">
        <v>795</v>
      </c>
      <c r="F495" s="10" t="str">
        <f>_xlfn.XLOOKUP(C495,menu!A:A,menu!B:B)</f>
        <v>Chicken Lollipop</v>
      </c>
      <c r="G495" s="10" t="str">
        <f>_xlfn.XLOOKUP(C495,menu!A:A,menu!C:C)</f>
        <v>Starters</v>
      </c>
      <c r="H495" s="10">
        <f>_xlfn.XLOOKUP(C495,menu!A:A,menu!E:E)</f>
        <v>48</v>
      </c>
      <c r="I495" s="10">
        <f t="shared" si="7"/>
        <v>240</v>
      </c>
      <c r="K495" s="10"/>
      <c r="L495" s="5"/>
    </row>
    <row r="496" spans="1:12" x14ac:dyDescent="0.25">
      <c r="A496" s="5" t="s">
        <v>6608</v>
      </c>
      <c r="B496" s="5" t="s">
        <v>6606</v>
      </c>
      <c r="C496" s="5" t="s">
        <v>8</v>
      </c>
      <c r="D496" s="21">
        <v>1</v>
      </c>
      <c r="E496" s="12">
        <v>99</v>
      </c>
      <c r="F496" s="10" t="str">
        <f>_xlfn.XLOOKUP(C496,menu!A:A,menu!B:B)</f>
        <v>Paneer Sandwich</v>
      </c>
      <c r="G496" s="10" t="str">
        <f>_xlfn.XLOOKUP(C496,menu!A:A,menu!C:C)</f>
        <v>Sandwich</v>
      </c>
      <c r="H496" s="10">
        <f>_xlfn.XLOOKUP(C496,menu!A:A,menu!E:E)</f>
        <v>30</v>
      </c>
      <c r="I496" s="10">
        <f t="shared" si="7"/>
        <v>30</v>
      </c>
      <c r="K496" s="10"/>
      <c r="L496" s="5"/>
    </row>
    <row r="497" spans="1:12" x14ac:dyDescent="0.25">
      <c r="A497" s="5" t="s">
        <v>6607</v>
      </c>
      <c r="B497" s="5" t="s">
        <v>6606</v>
      </c>
      <c r="C497" s="5" t="s">
        <v>24</v>
      </c>
      <c r="D497" s="21">
        <v>1</v>
      </c>
      <c r="E497" s="12">
        <v>89</v>
      </c>
      <c r="F497" s="10" t="str">
        <f>_xlfn.XLOOKUP(C497,menu!A:A,menu!B:B)</f>
        <v>Paneer Burger</v>
      </c>
      <c r="G497" s="10" t="str">
        <f>_xlfn.XLOOKUP(C497,menu!A:A,menu!C:C)</f>
        <v>Burger</v>
      </c>
      <c r="H497" s="10">
        <f>_xlfn.XLOOKUP(C497,menu!A:A,menu!E:E)</f>
        <v>27</v>
      </c>
      <c r="I497" s="10">
        <f t="shared" si="7"/>
        <v>27</v>
      </c>
      <c r="K497" s="10"/>
      <c r="L497" s="5"/>
    </row>
    <row r="498" spans="1:12" x14ac:dyDescent="0.25">
      <c r="A498" s="5" t="s">
        <v>6605</v>
      </c>
      <c r="B498" s="5" t="s">
        <v>6601</v>
      </c>
      <c r="C498" s="5" t="s">
        <v>19</v>
      </c>
      <c r="D498" s="21">
        <v>2</v>
      </c>
      <c r="E498" s="12">
        <v>158</v>
      </c>
      <c r="F498" s="10" t="str">
        <f>_xlfn.XLOOKUP(C498,menu!A:A,menu!B:B)</f>
        <v>Veg Burger</v>
      </c>
      <c r="G498" s="10" t="str">
        <f>_xlfn.XLOOKUP(C498,menu!A:A,menu!C:C)</f>
        <v>Burger</v>
      </c>
      <c r="H498" s="10">
        <f>_xlfn.XLOOKUP(C498,menu!A:A,menu!E:E)</f>
        <v>24</v>
      </c>
      <c r="I498" s="10">
        <f t="shared" si="7"/>
        <v>48</v>
      </c>
      <c r="K498" s="10"/>
      <c r="L498" s="5"/>
    </row>
    <row r="499" spans="1:12" x14ac:dyDescent="0.25">
      <c r="A499" s="5" t="s">
        <v>6604</v>
      </c>
      <c r="B499" s="5" t="s">
        <v>6601</v>
      </c>
      <c r="C499" s="5" t="s">
        <v>46</v>
      </c>
      <c r="D499" s="21">
        <v>1</v>
      </c>
      <c r="E499" s="12">
        <v>149</v>
      </c>
      <c r="F499" s="10" t="str">
        <f>_xlfn.XLOOKUP(C499,menu!A:A,menu!B:B)</f>
        <v>Fish Finger</v>
      </c>
      <c r="G499" s="10" t="str">
        <f>_xlfn.XLOOKUP(C499,menu!A:A,menu!C:C)</f>
        <v>Starters</v>
      </c>
      <c r="H499" s="10">
        <f>_xlfn.XLOOKUP(C499,menu!A:A,menu!E:E)</f>
        <v>45</v>
      </c>
      <c r="I499" s="10">
        <f t="shared" si="7"/>
        <v>45</v>
      </c>
      <c r="K499" s="10"/>
      <c r="L499" s="5"/>
    </row>
    <row r="500" spans="1:12" x14ac:dyDescent="0.25">
      <c r="A500" s="5" t="s">
        <v>6603</v>
      </c>
      <c r="B500" s="5" t="s">
        <v>6601</v>
      </c>
      <c r="C500" s="5" t="s">
        <v>42</v>
      </c>
      <c r="D500" s="21">
        <v>2</v>
      </c>
      <c r="E500" s="12">
        <v>298</v>
      </c>
      <c r="F500" s="10" t="str">
        <f>_xlfn.XLOOKUP(C500,menu!A:A,menu!B:B)</f>
        <v>Chicken Popcorn</v>
      </c>
      <c r="G500" s="10" t="str">
        <f>_xlfn.XLOOKUP(C500,menu!A:A,menu!C:C)</f>
        <v>Starters</v>
      </c>
      <c r="H500" s="10">
        <f>_xlfn.XLOOKUP(C500,menu!A:A,menu!E:E)</f>
        <v>45</v>
      </c>
      <c r="I500" s="10">
        <f t="shared" si="7"/>
        <v>90</v>
      </c>
      <c r="K500" s="10"/>
      <c r="L500" s="5"/>
    </row>
    <row r="501" spans="1:12" x14ac:dyDescent="0.25">
      <c r="A501" s="5" t="s">
        <v>6602</v>
      </c>
      <c r="B501" s="5" t="s">
        <v>6601</v>
      </c>
      <c r="C501" s="5" t="s">
        <v>38</v>
      </c>
      <c r="D501" s="21">
        <v>1</v>
      </c>
      <c r="E501" s="12">
        <v>149</v>
      </c>
      <c r="F501" s="10" t="str">
        <f>_xlfn.XLOOKUP(C501,menu!A:A,menu!B:B)</f>
        <v>Chicken Wings</v>
      </c>
      <c r="G501" s="10" t="str">
        <f>_xlfn.XLOOKUP(C501,menu!A:A,menu!C:C)</f>
        <v>Starters</v>
      </c>
      <c r="H501" s="10">
        <f>_xlfn.XLOOKUP(C501,menu!A:A,menu!E:E)</f>
        <v>45</v>
      </c>
      <c r="I501" s="10">
        <f t="shared" si="7"/>
        <v>45</v>
      </c>
      <c r="K501" s="10"/>
      <c r="L501" s="5"/>
    </row>
    <row r="502" spans="1:12" x14ac:dyDescent="0.25">
      <c r="A502" s="5" t="s">
        <v>6600</v>
      </c>
      <c r="B502" s="5" t="s">
        <v>6598</v>
      </c>
      <c r="C502" s="5" t="s">
        <v>42</v>
      </c>
      <c r="D502" s="21">
        <v>2</v>
      </c>
      <c r="E502" s="12">
        <v>298</v>
      </c>
      <c r="F502" s="10" t="str">
        <f>_xlfn.XLOOKUP(C502,menu!A:A,menu!B:B)</f>
        <v>Chicken Popcorn</v>
      </c>
      <c r="G502" s="10" t="str">
        <f>_xlfn.XLOOKUP(C502,menu!A:A,menu!C:C)</f>
        <v>Starters</v>
      </c>
      <c r="H502" s="10">
        <f>_xlfn.XLOOKUP(C502,menu!A:A,menu!E:E)</f>
        <v>45</v>
      </c>
      <c r="I502" s="10">
        <f t="shared" si="7"/>
        <v>90</v>
      </c>
      <c r="K502" s="10"/>
      <c r="L502" s="5"/>
    </row>
    <row r="503" spans="1:12" x14ac:dyDescent="0.25">
      <c r="A503" s="5" t="s">
        <v>6599</v>
      </c>
      <c r="B503" s="5" t="s">
        <v>6598</v>
      </c>
      <c r="C503" s="5" t="s">
        <v>8</v>
      </c>
      <c r="D503" s="21">
        <v>1</v>
      </c>
      <c r="E503" s="12">
        <v>99</v>
      </c>
      <c r="F503" s="10" t="str">
        <f>_xlfn.XLOOKUP(C503,menu!A:A,menu!B:B)</f>
        <v>Paneer Sandwich</v>
      </c>
      <c r="G503" s="10" t="str">
        <f>_xlfn.XLOOKUP(C503,menu!A:A,menu!C:C)</f>
        <v>Sandwich</v>
      </c>
      <c r="H503" s="10">
        <f>_xlfn.XLOOKUP(C503,menu!A:A,menu!E:E)</f>
        <v>30</v>
      </c>
      <c r="I503" s="10">
        <f t="shared" si="7"/>
        <v>30</v>
      </c>
      <c r="K503" s="10"/>
      <c r="L503" s="5"/>
    </row>
    <row r="504" spans="1:12" x14ac:dyDescent="0.25">
      <c r="A504" s="5" t="s">
        <v>6597</v>
      </c>
      <c r="B504" s="5" t="s">
        <v>6594</v>
      </c>
      <c r="C504" s="5" t="s">
        <v>29</v>
      </c>
      <c r="D504" s="21">
        <v>1</v>
      </c>
      <c r="E504" s="12">
        <v>79</v>
      </c>
      <c r="F504" s="10" t="str">
        <f>_xlfn.XLOOKUP(C504,menu!A:A,menu!B:B)</f>
        <v>Paneer Roll</v>
      </c>
      <c r="G504" s="10" t="str">
        <f>_xlfn.XLOOKUP(C504,menu!A:A,menu!C:C)</f>
        <v>Rolls</v>
      </c>
      <c r="H504" s="10">
        <f>_xlfn.XLOOKUP(C504,menu!A:A,menu!E:E)</f>
        <v>24</v>
      </c>
      <c r="I504" s="10">
        <f t="shared" si="7"/>
        <v>24</v>
      </c>
      <c r="K504" s="10"/>
      <c r="L504" s="5"/>
    </row>
    <row r="505" spans="1:12" x14ac:dyDescent="0.25">
      <c r="A505" s="5" t="s">
        <v>6596</v>
      </c>
      <c r="B505" s="5" t="s">
        <v>6594</v>
      </c>
      <c r="C505" s="5" t="s">
        <v>50</v>
      </c>
      <c r="D505" s="21">
        <v>4</v>
      </c>
      <c r="E505" s="12">
        <v>596</v>
      </c>
      <c r="F505" s="10" t="str">
        <f>_xlfn.XLOOKUP(C505,menu!A:A,menu!B:B)</f>
        <v>Grab Lollipop</v>
      </c>
      <c r="G505" s="10" t="str">
        <f>_xlfn.XLOOKUP(C505,menu!A:A,menu!C:C)</f>
        <v>Starters</v>
      </c>
      <c r="H505" s="10">
        <f>_xlfn.XLOOKUP(C505,menu!A:A,menu!E:E)</f>
        <v>45</v>
      </c>
      <c r="I505" s="10">
        <f t="shared" si="7"/>
        <v>180</v>
      </c>
      <c r="K505" s="10"/>
      <c r="L505" s="5"/>
    </row>
    <row r="506" spans="1:12" x14ac:dyDescent="0.25">
      <c r="A506" s="5" t="s">
        <v>6595</v>
      </c>
      <c r="B506" s="5" t="s">
        <v>6594</v>
      </c>
      <c r="C506" s="5" t="s">
        <v>8</v>
      </c>
      <c r="D506" s="21">
        <v>3</v>
      </c>
      <c r="E506" s="12">
        <v>297</v>
      </c>
      <c r="F506" s="10" t="str">
        <f>_xlfn.XLOOKUP(C506,menu!A:A,menu!B:B)</f>
        <v>Paneer Sandwich</v>
      </c>
      <c r="G506" s="10" t="str">
        <f>_xlfn.XLOOKUP(C506,menu!A:A,menu!C:C)</f>
        <v>Sandwich</v>
      </c>
      <c r="H506" s="10">
        <f>_xlfn.XLOOKUP(C506,menu!A:A,menu!E:E)</f>
        <v>30</v>
      </c>
      <c r="I506" s="10">
        <f t="shared" si="7"/>
        <v>90</v>
      </c>
      <c r="K506" s="10"/>
      <c r="L506" s="5"/>
    </row>
    <row r="507" spans="1:12" x14ac:dyDescent="0.25">
      <c r="A507" s="5" t="s">
        <v>6593</v>
      </c>
      <c r="B507" s="5" t="s">
        <v>6590</v>
      </c>
      <c r="C507" s="5" t="s">
        <v>40</v>
      </c>
      <c r="D507" s="21">
        <v>1</v>
      </c>
      <c r="E507" s="12">
        <v>99</v>
      </c>
      <c r="F507" s="10" t="str">
        <f>_xlfn.XLOOKUP(C507,menu!A:A,menu!B:B)</f>
        <v>Veg Nuggets</v>
      </c>
      <c r="G507" s="10" t="str">
        <f>_xlfn.XLOOKUP(C507,menu!A:A,menu!C:C)</f>
        <v>Starters</v>
      </c>
      <c r="H507" s="10">
        <f>_xlfn.XLOOKUP(C507,menu!A:A,menu!E:E)</f>
        <v>30</v>
      </c>
      <c r="I507" s="10">
        <f t="shared" si="7"/>
        <v>30</v>
      </c>
      <c r="K507" s="10"/>
      <c r="L507" s="5"/>
    </row>
    <row r="508" spans="1:12" x14ac:dyDescent="0.25">
      <c r="A508" s="5" t="s">
        <v>6592</v>
      </c>
      <c r="B508" s="5" t="s">
        <v>6590</v>
      </c>
      <c r="C508" s="5" t="s">
        <v>44</v>
      </c>
      <c r="D508" s="21">
        <v>2</v>
      </c>
      <c r="E508" s="12">
        <v>318</v>
      </c>
      <c r="F508" s="10" t="str">
        <f>_xlfn.XLOOKUP(C508,menu!A:A,menu!B:B)</f>
        <v>Fried Chicken</v>
      </c>
      <c r="G508" s="10" t="str">
        <f>_xlfn.XLOOKUP(C508,menu!A:A,menu!C:C)</f>
        <v>Starters</v>
      </c>
      <c r="H508" s="10">
        <f>_xlfn.XLOOKUP(C508,menu!A:A,menu!E:E)</f>
        <v>48</v>
      </c>
      <c r="I508" s="10">
        <f t="shared" si="7"/>
        <v>96</v>
      </c>
      <c r="K508" s="10"/>
      <c r="L508" s="5"/>
    </row>
    <row r="509" spans="1:12" x14ac:dyDescent="0.25">
      <c r="A509" s="5" t="s">
        <v>6591</v>
      </c>
      <c r="B509" s="5" t="s">
        <v>6590</v>
      </c>
      <c r="C509" s="5" t="s">
        <v>46</v>
      </c>
      <c r="D509" s="21">
        <v>2</v>
      </c>
      <c r="E509" s="12">
        <v>298</v>
      </c>
      <c r="F509" s="10" t="str">
        <f>_xlfn.XLOOKUP(C509,menu!A:A,menu!B:B)</f>
        <v>Fish Finger</v>
      </c>
      <c r="G509" s="10" t="str">
        <f>_xlfn.XLOOKUP(C509,menu!A:A,menu!C:C)</f>
        <v>Starters</v>
      </c>
      <c r="H509" s="10">
        <f>_xlfn.XLOOKUP(C509,menu!A:A,menu!E:E)</f>
        <v>45</v>
      </c>
      <c r="I509" s="10">
        <f t="shared" si="7"/>
        <v>90</v>
      </c>
      <c r="K509" s="10"/>
      <c r="L509" s="5"/>
    </row>
    <row r="510" spans="1:12" x14ac:dyDescent="0.25">
      <c r="A510" s="5" t="s">
        <v>6589</v>
      </c>
      <c r="B510" s="5" t="s">
        <v>6587</v>
      </c>
      <c r="C510" s="5" t="s">
        <v>44</v>
      </c>
      <c r="D510" s="21">
        <v>2</v>
      </c>
      <c r="E510" s="12">
        <v>318</v>
      </c>
      <c r="F510" s="10" t="str">
        <f>_xlfn.XLOOKUP(C510,menu!A:A,menu!B:B)</f>
        <v>Fried Chicken</v>
      </c>
      <c r="G510" s="10" t="str">
        <f>_xlfn.XLOOKUP(C510,menu!A:A,menu!C:C)</f>
        <v>Starters</v>
      </c>
      <c r="H510" s="10">
        <f>_xlfn.XLOOKUP(C510,menu!A:A,menu!E:E)</f>
        <v>48</v>
      </c>
      <c r="I510" s="10">
        <f t="shared" si="7"/>
        <v>96</v>
      </c>
      <c r="K510" s="10"/>
      <c r="L510" s="5"/>
    </row>
    <row r="511" spans="1:12" x14ac:dyDescent="0.25">
      <c r="A511" s="5" t="s">
        <v>6588</v>
      </c>
      <c r="B511" s="5" t="s">
        <v>6587</v>
      </c>
      <c r="C511" s="5" t="s">
        <v>61</v>
      </c>
      <c r="D511" s="21">
        <v>2</v>
      </c>
      <c r="E511" s="12">
        <v>158</v>
      </c>
      <c r="F511" s="10" t="str">
        <f>_xlfn.XLOOKUP(C511,menu!A:A,menu!B:B)</f>
        <v>Watermelon Mojito</v>
      </c>
      <c r="G511" s="10" t="str">
        <f>_xlfn.XLOOKUP(C511,menu!A:A,menu!C:C)</f>
        <v>Beverages</v>
      </c>
      <c r="H511" s="10">
        <f>_xlfn.XLOOKUP(C511,menu!A:A,menu!E:E)</f>
        <v>24</v>
      </c>
      <c r="I511" s="10">
        <f t="shared" si="7"/>
        <v>48</v>
      </c>
      <c r="K511" s="10"/>
      <c r="L511" s="5"/>
    </row>
    <row r="512" spans="1:12" x14ac:dyDescent="0.25">
      <c r="A512" s="5" t="s">
        <v>6586</v>
      </c>
      <c r="B512" s="5" t="s">
        <v>6585</v>
      </c>
      <c r="C512" s="5" t="s">
        <v>44</v>
      </c>
      <c r="D512" s="21">
        <v>1</v>
      </c>
      <c r="E512" s="12">
        <v>159</v>
      </c>
      <c r="F512" s="10" t="str">
        <f>_xlfn.XLOOKUP(C512,menu!A:A,menu!B:B)</f>
        <v>Fried Chicken</v>
      </c>
      <c r="G512" s="10" t="str">
        <f>_xlfn.XLOOKUP(C512,menu!A:A,menu!C:C)</f>
        <v>Starters</v>
      </c>
      <c r="H512" s="10">
        <f>_xlfn.XLOOKUP(C512,menu!A:A,menu!E:E)</f>
        <v>48</v>
      </c>
      <c r="I512" s="10">
        <f t="shared" si="7"/>
        <v>48</v>
      </c>
      <c r="K512" s="10"/>
      <c r="L512" s="5"/>
    </row>
    <row r="513" spans="1:12" x14ac:dyDescent="0.25">
      <c r="A513" s="5" t="s">
        <v>6584</v>
      </c>
      <c r="B513" s="5" t="s">
        <v>6581</v>
      </c>
      <c r="C513" s="5" t="s">
        <v>10</v>
      </c>
      <c r="D513" s="21">
        <v>1</v>
      </c>
      <c r="E513" s="12">
        <v>119</v>
      </c>
      <c r="F513" s="10" t="str">
        <f>_xlfn.XLOOKUP(C513,menu!A:A,menu!B:B)</f>
        <v>Chicken Sandwich</v>
      </c>
      <c r="G513" s="10" t="str">
        <f>_xlfn.XLOOKUP(C513,menu!A:A,menu!C:C)</f>
        <v>Sandwich</v>
      </c>
      <c r="H513" s="10">
        <f>_xlfn.XLOOKUP(C513,menu!A:A,menu!E:E)</f>
        <v>36</v>
      </c>
      <c r="I513" s="10">
        <f t="shared" si="7"/>
        <v>36</v>
      </c>
      <c r="K513" s="10"/>
      <c r="L513" s="5"/>
    </row>
    <row r="514" spans="1:12" x14ac:dyDescent="0.25">
      <c r="A514" s="5" t="s">
        <v>6583</v>
      </c>
      <c r="B514" s="5" t="s">
        <v>6581</v>
      </c>
      <c r="C514" s="5" t="s">
        <v>46</v>
      </c>
      <c r="D514" s="21">
        <v>2</v>
      </c>
      <c r="E514" s="12">
        <v>298</v>
      </c>
      <c r="F514" s="10" t="str">
        <f>_xlfn.XLOOKUP(C514,menu!A:A,menu!B:B)</f>
        <v>Fish Finger</v>
      </c>
      <c r="G514" s="10" t="str">
        <f>_xlfn.XLOOKUP(C514,menu!A:A,menu!C:C)</f>
        <v>Starters</v>
      </c>
      <c r="H514" s="10">
        <f>_xlfn.XLOOKUP(C514,menu!A:A,menu!E:E)</f>
        <v>45</v>
      </c>
      <c r="I514" s="10">
        <f t="shared" si="7"/>
        <v>90</v>
      </c>
      <c r="K514" s="10"/>
      <c r="L514" s="5"/>
    </row>
    <row r="515" spans="1:12" x14ac:dyDescent="0.25">
      <c r="A515" s="5" t="s">
        <v>6582</v>
      </c>
      <c r="B515" s="5" t="s">
        <v>6581</v>
      </c>
      <c r="C515" s="5" t="s">
        <v>22</v>
      </c>
      <c r="D515" s="21">
        <v>3</v>
      </c>
      <c r="E515" s="12">
        <v>297</v>
      </c>
      <c r="F515" s="10" t="str">
        <f>_xlfn.XLOOKUP(C515,menu!A:A,menu!B:B)</f>
        <v>Chicken Burger</v>
      </c>
      <c r="G515" s="10" t="str">
        <f>_xlfn.XLOOKUP(C515,menu!A:A,menu!C:C)</f>
        <v>Burger</v>
      </c>
      <c r="H515" s="10">
        <f>_xlfn.XLOOKUP(C515,menu!A:A,menu!E:E)</f>
        <v>30</v>
      </c>
      <c r="I515" s="10">
        <f t="shared" ref="I515:I578" si="8">D515*H515</f>
        <v>90</v>
      </c>
      <c r="K515" s="10"/>
      <c r="L515" s="5"/>
    </row>
    <row r="516" spans="1:12" x14ac:dyDescent="0.25">
      <c r="A516" s="5" t="s">
        <v>6580</v>
      </c>
      <c r="B516" s="5" t="s">
        <v>6578</v>
      </c>
      <c r="C516" s="5" t="s">
        <v>46</v>
      </c>
      <c r="D516" s="21">
        <v>4</v>
      </c>
      <c r="E516" s="12">
        <v>596</v>
      </c>
      <c r="F516" s="10" t="str">
        <f>_xlfn.XLOOKUP(C516,menu!A:A,menu!B:B)</f>
        <v>Fish Finger</v>
      </c>
      <c r="G516" s="10" t="str">
        <f>_xlfn.XLOOKUP(C516,menu!A:A,menu!C:C)</f>
        <v>Starters</v>
      </c>
      <c r="H516" s="10">
        <f>_xlfn.XLOOKUP(C516,menu!A:A,menu!E:E)</f>
        <v>45</v>
      </c>
      <c r="I516" s="10">
        <f t="shared" si="8"/>
        <v>180</v>
      </c>
      <c r="K516" s="10"/>
      <c r="L516" s="5"/>
    </row>
    <row r="517" spans="1:12" x14ac:dyDescent="0.25">
      <c r="A517" s="5" t="s">
        <v>6579</v>
      </c>
      <c r="B517" s="5" t="s">
        <v>6578</v>
      </c>
      <c r="C517" s="5" t="s">
        <v>26</v>
      </c>
      <c r="D517" s="21">
        <v>3</v>
      </c>
      <c r="E517" s="12">
        <v>177</v>
      </c>
      <c r="F517" s="10" t="str">
        <f>_xlfn.XLOOKUP(C517,menu!A:A,menu!B:B)</f>
        <v>Veg Roll</v>
      </c>
      <c r="G517" s="10" t="str">
        <f>_xlfn.XLOOKUP(C517,menu!A:A,menu!C:C)</f>
        <v>Rolls</v>
      </c>
      <c r="H517" s="10">
        <f>_xlfn.XLOOKUP(C517,menu!A:A,menu!E:E)</f>
        <v>18</v>
      </c>
      <c r="I517" s="10">
        <f t="shared" si="8"/>
        <v>54</v>
      </c>
      <c r="K517" s="10"/>
      <c r="L517" s="5"/>
    </row>
    <row r="518" spans="1:12" x14ac:dyDescent="0.25">
      <c r="A518" s="5" t="s">
        <v>6577</v>
      </c>
      <c r="B518" s="5" t="s">
        <v>6573</v>
      </c>
      <c r="C518" s="5" t="s">
        <v>48</v>
      </c>
      <c r="D518" s="21">
        <v>1</v>
      </c>
      <c r="E518" s="12">
        <v>159</v>
      </c>
      <c r="F518" s="10" t="str">
        <f>_xlfn.XLOOKUP(C518,menu!A:A,menu!B:B)</f>
        <v>Chicken Lollipop</v>
      </c>
      <c r="G518" s="10" t="str">
        <f>_xlfn.XLOOKUP(C518,menu!A:A,menu!C:C)</f>
        <v>Starters</v>
      </c>
      <c r="H518" s="10">
        <f>_xlfn.XLOOKUP(C518,menu!A:A,menu!E:E)</f>
        <v>48</v>
      </c>
      <c r="I518" s="10">
        <f t="shared" si="8"/>
        <v>48</v>
      </c>
      <c r="K518" s="10"/>
      <c r="L518" s="5"/>
    </row>
    <row r="519" spans="1:12" x14ac:dyDescent="0.25">
      <c r="A519" s="5" t="s">
        <v>6576</v>
      </c>
      <c r="B519" s="5" t="s">
        <v>6573</v>
      </c>
      <c r="C519" s="5" t="s">
        <v>40</v>
      </c>
      <c r="D519" s="21">
        <v>2</v>
      </c>
      <c r="E519" s="12">
        <v>198</v>
      </c>
      <c r="F519" s="10" t="str">
        <f>_xlfn.XLOOKUP(C519,menu!A:A,menu!B:B)</f>
        <v>Veg Nuggets</v>
      </c>
      <c r="G519" s="10" t="str">
        <f>_xlfn.XLOOKUP(C519,menu!A:A,menu!C:C)</f>
        <v>Starters</v>
      </c>
      <c r="H519" s="10">
        <f>_xlfn.XLOOKUP(C519,menu!A:A,menu!E:E)</f>
        <v>30</v>
      </c>
      <c r="I519" s="10">
        <f t="shared" si="8"/>
        <v>60</v>
      </c>
      <c r="K519" s="10"/>
      <c r="L519" s="5"/>
    </row>
    <row r="520" spans="1:12" x14ac:dyDescent="0.25">
      <c r="A520" s="5" t="s">
        <v>6575</v>
      </c>
      <c r="B520" s="5" t="s">
        <v>6573</v>
      </c>
      <c r="C520" s="5" t="s">
        <v>26</v>
      </c>
      <c r="D520" s="21">
        <v>3</v>
      </c>
      <c r="E520" s="12">
        <v>177</v>
      </c>
      <c r="F520" s="10" t="str">
        <f>_xlfn.XLOOKUP(C520,menu!A:A,menu!B:B)</f>
        <v>Veg Roll</v>
      </c>
      <c r="G520" s="10" t="str">
        <f>_xlfn.XLOOKUP(C520,menu!A:A,menu!C:C)</f>
        <v>Rolls</v>
      </c>
      <c r="H520" s="10">
        <f>_xlfn.XLOOKUP(C520,menu!A:A,menu!E:E)</f>
        <v>18</v>
      </c>
      <c r="I520" s="10">
        <f t="shared" si="8"/>
        <v>54</v>
      </c>
      <c r="K520" s="10"/>
      <c r="L520" s="5"/>
    </row>
    <row r="521" spans="1:12" x14ac:dyDescent="0.25">
      <c r="A521" s="5" t="s">
        <v>6574</v>
      </c>
      <c r="B521" s="5" t="s">
        <v>6573</v>
      </c>
      <c r="C521" s="5" t="s">
        <v>24</v>
      </c>
      <c r="D521" s="21">
        <v>4</v>
      </c>
      <c r="E521" s="12">
        <v>356</v>
      </c>
      <c r="F521" s="10" t="str">
        <f>_xlfn.XLOOKUP(C521,menu!A:A,menu!B:B)</f>
        <v>Paneer Burger</v>
      </c>
      <c r="G521" s="10" t="str">
        <f>_xlfn.XLOOKUP(C521,menu!A:A,menu!C:C)</f>
        <v>Burger</v>
      </c>
      <c r="H521" s="10">
        <f>_xlfn.XLOOKUP(C521,menu!A:A,menu!E:E)</f>
        <v>27</v>
      </c>
      <c r="I521" s="10">
        <f t="shared" si="8"/>
        <v>108</v>
      </c>
      <c r="K521" s="10"/>
      <c r="L521" s="5"/>
    </row>
    <row r="522" spans="1:12" x14ac:dyDescent="0.25">
      <c r="A522" s="5" t="s">
        <v>6572</v>
      </c>
      <c r="B522" s="5" t="s">
        <v>6569</v>
      </c>
      <c r="C522" s="5" t="s">
        <v>17</v>
      </c>
      <c r="D522" s="21">
        <v>1</v>
      </c>
      <c r="E522" s="12">
        <v>89</v>
      </c>
      <c r="F522" s="10" t="str">
        <f>_xlfn.XLOOKUP(C522,menu!A:A,menu!B:B)</f>
        <v>Paneer Momos</v>
      </c>
      <c r="G522" s="10" t="str">
        <f>_xlfn.XLOOKUP(C522,menu!A:A,menu!C:C)</f>
        <v>Momos</v>
      </c>
      <c r="H522" s="10">
        <f>_xlfn.XLOOKUP(C522,menu!A:A,menu!E:E)</f>
        <v>27</v>
      </c>
      <c r="I522" s="10">
        <f t="shared" si="8"/>
        <v>27</v>
      </c>
      <c r="K522" s="10"/>
      <c r="L522" s="5"/>
    </row>
    <row r="523" spans="1:12" x14ac:dyDescent="0.25">
      <c r="A523" s="5" t="s">
        <v>6571</v>
      </c>
      <c r="B523" s="5" t="s">
        <v>6569</v>
      </c>
      <c r="C523" s="5" t="s">
        <v>50</v>
      </c>
      <c r="D523" s="21">
        <v>3</v>
      </c>
      <c r="E523" s="12">
        <v>447</v>
      </c>
      <c r="F523" s="10" t="str">
        <f>_xlfn.XLOOKUP(C523,menu!A:A,menu!B:B)</f>
        <v>Grab Lollipop</v>
      </c>
      <c r="G523" s="10" t="str">
        <f>_xlfn.XLOOKUP(C523,menu!A:A,menu!C:C)</f>
        <v>Starters</v>
      </c>
      <c r="H523" s="10">
        <f>_xlfn.XLOOKUP(C523,menu!A:A,menu!E:E)</f>
        <v>45</v>
      </c>
      <c r="I523" s="10">
        <f t="shared" si="8"/>
        <v>135</v>
      </c>
      <c r="K523" s="10"/>
      <c r="L523" s="5"/>
    </row>
    <row r="524" spans="1:12" x14ac:dyDescent="0.25">
      <c r="A524" s="5" t="s">
        <v>6570</v>
      </c>
      <c r="B524" s="5" t="s">
        <v>6569</v>
      </c>
      <c r="C524" s="5" t="s">
        <v>12</v>
      </c>
      <c r="D524" s="21">
        <v>2</v>
      </c>
      <c r="E524" s="12">
        <v>158</v>
      </c>
      <c r="F524" s="10" t="str">
        <f>_xlfn.XLOOKUP(C524,menu!A:A,menu!B:B)</f>
        <v>Veg Momos</v>
      </c>
      <c r="G524" s="10" t="str">
        <f>_xlfn.XLOOKUP(C524,menu!A:A,menu!C:C)</f>
        <v>Momos</v>
      </c>
      <c r="H524" s="10">
        <f>_xlfn.XLOOKUP(C524,menu!A:A,menu!E:E)</f>
        <v>24</v>
      </c>
      <c r="I524" s="10">
        <f t="shared" si="8"/>
        <v>48</v>
      </c>
      <c r="K524" s="10"/>
      <c r="L524" s="5"/>
    </row>
    <row r="525" spans="1:12" x14ac:dyDescent="0.25">
      <c r="A525" s="5" t="s">
        <v>6568</v>
      </c>
      <c r="B525" s="5" t="s">
        <v>6566</v>
      </c>
      <c r="C525" s="5" t="s">
        <v>12</v>
      </c>
      <c r="D525" s="21">
        <v>3</v>
      </c>
      <c r="E525" s="12">
        <v>237</v>
      </c>
      <c r="F525" s="10" t="str">
        <f>_xlfn.XLOOKUP(C525,menu!A:A,menu!B:B)</f>
        <v>Veg Momos</v>
      </c>
      <c r="G525" s="10" t="str">
        <f>_xlfn.XLOOKUP(C525,menu!A:A,menu!C:C)</f>
        <v>Momos</v>
      </c>
      <c r="H525" s="10">
        <f>_xlfn.XLOOKUP(C525,menu!A:A,menu!E:E)</f>
        <v>24</v>
      </c>
      <c r="I525" s="10">
        <f t="shared" si="8"/>
        <v>72</v>
      </c>
      <c r="K525" s="10"/>
      <c r="L525" s="5"/>
    </row>
    <row r="526" spans="1:12" x14ac:dyDescent="0.25">
      <c r="A526" s="5" t="s">
        <v>6567</v>
      </c>
      <c r="B526" s="5" t="s">
        <v>6566</v>
      </c>
      <c r="C526" s="5" t="s">
        <v>50</v>
      </c>
      <c r="D526" s="21">
        <v>4</v>
      </c>
      <c r="E526" s="12">
        <v>596</v>
      </c>
      <c r="F526" s="10" t="str">
        <f>_xlfn.XLOOKUP(C526,menu!A:A,menu!B:B)</f>
        <v>Grab Lollipop</v>
      </c>
      <c r="G526" s="10" t="str">
        <f>_xlfn.XLOOKUP(C526,menu!A:A,menu!C:C)</f>
        <v>Starters</v>
      </c>
      <c r="H526" s="10">
        <f>_xlfn.XLOOKUP(C526,menu!A:A,menu!E:E)</f>
        <v>45</v>
      </c>
      <c r="I526" s="10">
        <f t="shared" si="8"/>
        <v>180</v>
      </c>
      <c r="K526" s="10"/>
      <c r="L526" s="5"/>
    </row>
    <row r="527" spans="1:12" x14ac:dyDescent="0.25">
      <c r="A527" s="5" t="s">
        <v>6565</v>
      </c>
      <c r="B527" s="5" t="s">
        <v>6563</v>
      </c>
      <c r="C527" s="5" t="s">
        <v>50</v>
      </c>
      <c r="D527" s="21">
        <v>1</v>
      </c>
      <c r="E527" s="12">
        <v>149</v>
      </c>
      <c r="F527" s="10" t="str">
        <f>_xlfn.XLOOKUP(C527,menu!A:A,menu!B:B)</f>
        <v>Grab Lollipop</v>
      </c>
      <c r="G527" s="10" t="str">
        <f>_xlfn.XLOOKUP(C527,menu!A:A,menu!C:C)</f>
        <v>Starters</v>
      </c>
      <c r="H527" s="10">
        <f>_xlfn.XLOOKUP(C527,menu!A:A,menu!E:E)</f>
        <v>45</v>
      </c>
      <c r="I527" s="10">
        <f t="shared" si="8"/>
        <v>45</v>
      </c>
      <c r="K527" s="10"/>
      <c r="L527" s="5"/>
    </row>
    <row r="528" spans="1:12" x14ac:dyDescent="0.25">
      <c r="A528" s="5" t="s">
        <v>6564</v>
      </c>
      <c r="B528" s="5" t="s">
        <v>6563</v>
      </c>
      <c r="C528" s="5" t="s">
        <v>26</v>
      </c>
      <c r="D528" s="21">
        <v>5</v>
      </c>
      <c r="E528" s="12">
        <v>295</v>
      </c>
      <c r="F528" s="10" t="str">
        <f>_xlfn.XLOOKUP(C528,menu!A:A,menu!B:B)</f>
        <v>Veg Roll</v>
      </c>
      <c r="G528" s="10" t="str">
        <f>_xlfn.XLOOKUP(C528,menu!A:A,menu!C:C)</f>
        <v>Rolls</v>
      </c>
      <c r="H528" s="10">
        <f>_xlfn.XLOOKUP(C528,menu!A:A,menu!E:E)</f>
        <v>18</v>
      </c>
      <c r="I528" s="10">
        <f t="shared" si="8"/>
        <v>90</v>
      </c>
      <c r="K528" s="10"/>
      <c r="L528" s="5"/>
    </row>
    <row r="529" spans="1:12" x14ac:dyDescent="0.25">
      <c r="A529" s="5" t="s">
        <v>6562</v>
      </c>
      <c r="B529" s="5" t="s">
        <v>6561</v>
      </c>
      <c r="C529" s="5" t="s">
        <v>61</v>
      </c>
      <c r="D529" s="21">
        <v>2</v>
      </c>
      <c r="E529" s="12">
        <v>158</v>
      </c>
      <c r="F529" s="10" t="str">
        <f>_xlfn.XLOOKUP(C529,menu!A:A,menu!B:B)</f>
        <v>Watermelon Mojito</v>
      </c>
      <c r="G529" s="10" t="str">
        <f>_xlfn.XLOOKUP(C529,menu!A:A,menu!C:C)</f>
        <v>Beverages</v>
      </c>
      <c r="H529" s="10">
        <f>_xlfn.XLOOKUP(C529,menu!A:A,menu!E:E)</f>
        <v>24</v>
      </c>
      <c r="I529" s="10">
        <f t="shared" si="8"/>
        <v>48</v>
      </c>
      <c r="K529" s="10"/>
      <c r="L529" s="5"/>
    </row>
    <row r="530" spans="1:12" x14ac:dyDescent="0.25">
      <c r="A530" s="5" t="s">
        <v>6560</v>
      </c>
      <c r="B530" s="5" t="s">
        <v>6558</v>
      </c>
      <c r="C530" s="5" t="s">
        <v>56</v>
      </c>
      <c r="D530" s="21">
        <v>1</v>
      </c>
      <c r="E530" s="12">
        <v>79</v>
      </c>
      <c r="F530" s="10" t="str">
        <f>_xlfn.XLOOKUP(C530,menu!A:A,menu!B:B)</f>
        <v>Mint Mojito</v>
      </c>
      <c r="G530" s="10" t="str">
        <f>_xlfn.XLOOKUP(C530,menu!A:A,menu!C:C)</f>
        <v>Beverages</v>
      </c>
      <c r="H530" s="10">
        <f>_xlfn.XLOOKUP(C530,menu!A:A,menu!E:E)</f>
        <v>24</v>
      </c>
      <c r="I530" s="10">
        <f t="shared" si="8"/>
        <v>24</v>
      </c>
      <c r="K530" s="10"/>
      <c r="L530" s="5"/>
    </row>
    <row r="531" spans="1:12" x14ac:dyDescent="0.25">
      <c r="A531" s="5" t="s">
        <v>6559</v>
      </c>
      <c r="B531" s="5" t="s">
        <v>6558</v>
      </c>
      <c r="C531" s="5" t="s">
        <v>26</v>
      </c>
      <c r="D531" s="21">
        <v>1</v>
      </c>
      <c r="E531" s="12">
        <v>59</v>
      </c>
      <c r="F531" s="10" t="str">
        <f>_xlfn.XLOOKUP(C531,menu!A:A,menu!B:B)</f>
        <v>Veg Roll</v>
      </c>
      <c r="G531" s="10" t="str">
        <f>_xlfn.XLOOKUP(C531,menu!A:A,menu!C:C)</f>
        <v>Rolls</v>
      </c>
      <c r="H531" s="10">
        <f>_xlfn.XLOOKUP(C531,menu!A:A,menu!E:E)</f>
        <v>18</v>
      </c>
      <c r="I531" s="10">
        <f t="shared" si="8"/>
        <v>18</v>
      </c>
      <c r="K531" s="10"/>
      <c r="L531" s="5"/>
    </row>
    <row r="532" spans="1:12" x14ac:dyDescent="0.25">
      <c r="A532" s="5" t="s">
        <v>6557</v>
      </c>
      <c r="B532" s="5" t="s">
        <v>6555</v>
      </c>
      <c r="C532" s="5" t="s">
        <v>29</v>
      </c>
      <c r="D532" s="21">
        <v>1</v>
      </c>
      <c r="E532" s="12">
        <v>79</v>
      </c>
      <c r="F532" s="10" t="str">
        <f>_xlfn.XLOOKUP(C532,menu!A:A,menu!B:B)</f>
        <v>Paneer Roll</v>
      </c>
      <c r="G532" s="10" t="str">
        <f>_xlfn.XLOOKUP(C532,menu!A:A,menu!C:C)</f>
        <v>Rolls</v>
      </c>
      <c r="H532" s="10">
        <f>_xlfn.XLOOKUP(C532,menu!A:A,menu!E:E)</f>
        <v>24</v>
      </c>
      <c r="I532" s="10">
        <f t="shared" si="8"/>
        <v>24</v>
      </c>
      <c r="K532" s="10"/>
      <c r="L532" s="5"/>
    </row>
    <row r="533" spans="1:12" x14ac:dyDescent="0.25">
      <c r="A533" s="5" t="s">
        <v>6556</v>
      </c>
      <c r="B533" s="5" t="s">
        <v>6555</v>
      </c>
      <c r="C533" s="5" t="s">
        <v>26</v>
      </c>
      <c r="D533" s="21">
        <v>2</v>
      </c>
      <c r="E533" s="12">
        <v>118</v>
      </c>
      <c r="F533" s="10" t="str">
        <f>_xlfn.XLOOKUP(C533,menu!A:A,menu!B:B)</f>
        <v>Veg Roll</v>
      </c>
      <c r="G533" s="10" t="str">
        <f>_xlfn.XLOOKUP(C533,menu!A:A,menu!C:C)</f>
        <v>Rolls</v>
      </c>
      <c r="H533" s="10">
        <f>_xlfn.XLOOKUP(C533,menu!A:A,menu!E:E)</f>
        <v>18</v>
      </c>
      <c r="I533" s="10">
        <f t="shared" si="8"/>
        <v>36</v>
      </c>
      <c r="K533" s="10"/>
      <c r="L533" s="5"/>
    </row>
    <row r="534" spans="1:12" x14ac:dyDescent="0.25">
      <c r="A534" s="5" t="s">
        <v>6554</v>
      </c>
      <c r="B534" s="5" t="s">
        <v>6552</v>
      </c>
      <c r="C534" s="5" t="s">
        <v>35</v>
      </c>
      <c r="D534" s="21">
        <v>1</v>
      </c>
      <c r="E534" s="12">
        <v>119</v>
      </c>
      <c r="F534" s="10" t="str">
        <f>_xlfn.XLOOKUP(C534,menu!A:A,menu!B:B)</f>
        <v>Chicken Nuggets</v>
      </c>
      <c r="G534" s="10" t="str">
        <f>_xlfn.XLOOKUP(C534,menu!A:A,menu!C:C)</f>
        <v>Starters</v>
      </c>
      <c r="H534" s="10">
        <f>_xlfn.XLOOKUP(C534,menu!A:A,menu!E:E)</f>
        <v>36</v>
      </c>
      <c r="I534" s="10">
        <f t="shared" si="8"/>
        <v>36</v>
      </c>
      <c r="K534" s="10"/>
      <c r="L534" s="5"/>
    </row>
    <row r="535" spans="1:12" x14ac:dyDescent="0.25">
      <c r="A535" s="5" t="s">
        <v>6553</v>
      </c>
      <c r="B535" s="5" t="s">
        <v>6552</v>
      </c>
      <c r="C535" s="5" t="s">
        <v>46</v>
      </c>
      <c r="D535" s="21">
        <v>1</v>
      </c>
      <c r="E535" s="12">
        <v>149</v>
      </c>
      <c r="F535" s="10" t="str">
        <f>_xlfn.XLOOKUP(C535,menu!A:A,menu!B:B)</f>
        <v>Fish Finger</v>
      </c>
      <c r="G535" s="10" t="str">
        <f>_xlfn.XLOOKUP(C535,menu!A:A,menu!C:C)</f>
        <v>Starters</v>
      </c>
      <c r="H535" s="10">
        <f>_xlfn.XLOOKUP(C535,menu!A:A,menu!E:E)</f>
        <v>45</v>
      </c>
      <c r="I535" s="10">
        <f t="shared" si="8"/>
        <v>45</v>
      </c>
      <c r="K535" s="10"/>
      <c r="L535" s="5"/>
    </row>
    <row r="536" spans="1:12" x14ac:dyDescent="0.25">
      <c r="A536" s="5" t="s">
        <v>6551</v>
      </c>
      <c r="B536" s="5" t="s">
        <v>6549</v>
      </c>
      <c r="C536" s="5" t="s">
        <v>17</v>
      </c>
      <c r="D536" s="21">
        <v>3</v>
      </c>
      <c r="E536" s="12">
        <v>267</v>
      </c>
      <c r="F536" s="10" t="str">
        <f>_xlfn.XLOOKUP(C536,menu!A:A,menu!B:B)</f>
        <v>Paneer Momos</v>
      </c>
      <c r="G536" s="10" t="str">
        <f>_xlfn.XLOOKUP(C536,menu!A:A,menu!C:C)</f>
        <v>Momos</v>
      </c>
      <c r="H536" s="10">
        <f>_xlfn.XLOOKUP(C536,menu!A:A,menu!E:E)</f>
        <v>27</v>
      </c>
      <c r="I536" s="10">
        <f t="shared" si="8"/>
        <v>81</v>
      </c>
      <c r="K536" s="10"/>
      <c r="L536" s="5"/>
    </row>
    <row r="537" spans="1:12" x14ac:dyDescent="0.25">
      <c r="A537" s="5" t="s">
        <v>6550</v>
      </c>
      <c r="B537" s="5" t="s">
        <v>6549</v>
      </c>
      <c r="C537" s="5" t="s">
        <v>26</v>
      </c>
      <c r="D537" s="21">
        <v>3</v>
      </c>
      <c r="E537" s="12">
        <v>177</v>
      </c>
      <c r="F537" s="10" t="str">
        <f>_xlfn.XLOOKUP(C537,menu!A:A,menu!B:B)</f>
        <v>Veg Roll</v>
      </c>
      <c r="G537" s="10" t="str">
        <f>_xlfn.XLOOKUP(C537,menu!A:A,menu!C:C)</f>
        <v>Rolls</v>
      </c>
      <c r="H537" s="10">
        <f>_xlfn.XLOOKUP(C537,menu!A:A,menu!E:E)</f>
        <v>18</v>
      </c>
      <c r="I537" s="10">
        <f t="shared" si="8"/>
        <v>54</v>
      </c>
      <c r="K537" s="10"/>
      <c r="L537" s="5"/>
    </row>
    <row r="538" spans="1:12" x14ac:dyDescent="0.25">
      <c r="A538" s="5" t="s">
        <v>6548</v>
      </c>
      <c r="B538" s="5" t="s">
        <v>6546</v>
      </c>
      <c r="C538" s="5" t="s">
        <v>19</v>
      </c>
      <c r="D538" s="21">
        <v>2</v>
      </c>
      <c r="E538" s="12">
        <v>158</v>
      </c>
      <c r="F538" s="10" t="str">
        <f>_xlfn.XLOOKUP(C538,menu!A:A,menu!B:B)</f>
        <v>Veg Burger</v>
      </c>
      <c r="G538" s="10" t="str">
        <f>_xlfn.XLOOKUP(C538,menu!A:A,menu!C:C)</f>
        <v>Burger</v>
      </c>
      <c r="H538" s="10">
        <f>_xlfn.XLOOKUP(C538,menu!A:A,menu!E:E)</f>
        <v>24</v>
      </c>
      <c r="I538" s="10">
        <f t="shared" si="8"/>
        <v>48</v>
      </c>
      <c r="K538" s="10"/>
      <c r="L538" s="5"/>
    </row>
    <row r="539" spans="1:12" x14ac:dyDescent="0.25">
      <c r="A539" s="5" t="s">
        <v>6547</v>
      </c>
      <c r="B539" s="5" t="s">
        <v>6546</v>
      </c>
      <c r="C539" s="5" t="s">
        <v>54</v>
      </c>
      <c r="D539" s="21">
        <v>4</v>
      </c>
      <c r="E539" s="12">
        <v>556</v>
      </c>
      <c r="F539" s="10" t="str">
        <f>_xlfn.XLOOKUP(C539,menu!A:A,menu!B:B)</f>
        <v>Chicken Strips</v>
      </c>
      <c r="G539" s="10" t="str">
        <f>_xlfn.XLOOKUP(C539,menu!A:A,menu!C:C)</f>
        <v>Starters</v>
      </c>
      <c r="H539" s="10">
        <f>_xlfn.XLOOKUP(C539,menu!A:A,menu!E:E)</f>
        <v>42</v>
      </c>
      <c r="I539" s="10">
        <f t="shared" si="8"/>
        <v>168</v>
      </c>
      <c r="K539" s="10"/>
      <c r="L539" s="5"/>
    </row>
    <row r="540" spans="1:12" x14ac:dyDescent="0.25">
      <c r="A540" s="5" t="s">
        <v>6545</v>
      </c>
      <c r="B540" s="5" t="s">
        <v>6544</v>
      </c>
      <c r="C540" s="5" t="s">
        <v>38</v>
      </c>
      <c r="D540" s="21">
        <v>1</v>
      </c>
      <c r="E540" s="12">
        <v>149</v>
      </c>
      <c r="F540" s="10" t="str">
        <f>_xlfn.XLOOKUP(C540,menu!A:A,menu!B:B)</f>
        <v>Chicken Wings</v>
      </c>
      <c r="G540" s="10" t="str">
        <f>_xlfn.XLOOKUP(C540,menu!A:A,menu!C:C)</f>
        <v>Starters</v>
      </c>
      <c r="H540" s="10">
        <f>_xlfn.XLOOKUP(C540,menu!A:A,menu!E:E)</f>
        <v>45</v>
      </c>
      <c r="I540" s="10">
        <f t="shared" si="8"/>
        <v>45</v>
      </c>
      <c r="K540" s="10"/>
      <c r="L540" s="5"/>
    </row>
    <row r="541" spans="1:12" x14ac:dyDescent="0.25">
      <c r="A541" s="5" t="s">
        <v>6543</v>
      </c>
      <c r="B541" s="5" t="s">
        <v>6541</v>
      </c>
      <c r="C541" s="5" t="s">
        <v>52</v>
      </c>
      <c r="D541" s="21">
        <v>2</v>
      </c>
      <c r="E541" s="12">
        <v>198</v>
      </c>
      <c r="F541" s="10" t="str">
        <f>_xlfn.XLOOKUP(C541,menu!A:A,menu!B:B)</f>
        <v>French Fries</v>
      </c>
      <c r="G541" s="10" t="str">
        <f>_xlfn.XLOOKUP(C541,menu!A:A,menu!C:C)</f>
        <v>Starters</v>
      </c>
      <c r="H541" s="10">
        <f>_xlfn.XLOOKUP(C541,menu!A:A,menu!E:E)</f>
        <v>30</v>
      </c>
      <c r="I541" s="10">
        <f t="shared" si="8"/>
        <v>60</v>
      </c>
      <c r="K541" s="10"/>
      <c r="L541" s="5"/>
    </row>
    <row r="542" spans="1:12" x14ac:dyDescent="0.25">
      <c r="A542" s="5" t="s">
        <v>6542</v>
      </c>
      <c r="B542" s="5" t="s">
        <v>6541</v>
      </c>
      <c r="C542" s="5" t="s">
        <v>44</v>
      </c>
      <c r="D542" s="21">
        <v>1</v>
      </c>
      <c r="E542" s="12">
        <v>159</v>
      </c>
      <c r="F542" s="10" t="str">
        <f>_xlfn.XLOOKUP(C542,menu!A:A,menu!B:B)</f>
        <v>Fried Chicken</v>
      </c>
      <c r="G542" s="10" t="str">
        <f>_xlfn.XLOOKUP(C542,menu!A:A,menu!C:C)</f>
        <v>Starters</v>
      </c>
      <c r="H542" s="10">
        <f>_xlfn.XLOOKUP(C542,menu!A:A,menu!E:E)</f>
        <v>48</v>
      </c>
      <c r="I542" s="10">
        <f t="shared" si="8"/>
        <v>48</v>
      </c>
      <c r="K542" s="10"/>
      <c r="L542" s="5"/>
    </row>
    <row r="543" spans="1:12" x14ac:dyDescent="0.25">
      <c r="A543" s="5" t="s">
        <v>6540</v>
      </c>
      <c r="B543" s="5" t="s">
        <v>6537</v>
      </c>
      <c r="C543" s="5" t="s">
        <v>29</v>
      </c>
      <c r="D543" s="21">
        <v>2</v>
      </c>
      <c r="E543" s="12">
        <v>158</v>
      </c>
      <c r="F543" s="10" t="str">
        <f>_xlfn.XLOOKUP(C543,menu!A:A,menu!B:B)</f>
        <v>Paneer Roll</v>
      </c>
      <c r="G543" s="10" t="str">
        <f>_xlfn.XLOOKUP(C543,menu!A:A,menu!C:C)</f>
        <v>Rolls</v>
      </c>
      <c r="H543" s="10">
        <f>_xlfn.XLOOKUP(C543,menu!A:A,menu!E:E)</f>
        <v>24</v>
      </c>
      <c r="I543" s="10">
        <f t="shared" si="8"/>
        <v>48</v>
      </c>
      <c r="K543" s="10"/>
      <c r="L543" s="5"/>
    </row>
    <row r="544" spans="1:12" x14ac:dyDescent="0.25">
      <c r="A544" s="5" t="s">
        <v>6539</v>
      </c>
      <c r="B544" s="5" t="s">
        <v>6537</v>
      </c>
      <c r="C544" s="5" t="s">
        <v>46</v>
      </c>
      <c r="D544" s="21">
        <v>3</v>
      </c>
      <c r="E544" s="12">
        <v>447</v>
      </c>
      <c r="F544" s="10" t="str">
        <f>_xlfn.XLOOKUP(C544,menu!A:A,menu!B:B)</f>
        <v>Fish Finger</v>
      </c>
      <c r="G544" s="10" t="str">
        <f>_xlfn.XLOOKUP(C544,menu!A:A,menu!C:C)</f>
        <v>Starters</v>
      </c>
      <c r="H544" s="10">
        <f>_xlfn.XLOOKUP(C544,menu!A:A,menu!E:E)</f>
        <v>45</v>
      </c>
      <c r="I544" s="10">
        <f t="shared" si="8"/>
        <v>135</v>
      </c>
      <c r="K544" s="10"/>
      <c r="L544" s="5"/>
    </row>
    <row r="545" spans="1:12" x14ac:dyDescent="0.25">
      <c r="A545" s="5" t="s">
        <v>6538</v>
      </c>
      <c r="B545" s="5" t="s">
        <v>6537</v>
      </c>
      <c r="C545" s="5" t="s">
        <v>17</v>
      </c>
      <c r="D545" s="21">
        <v>2</v>
      </c>
      <c r="E545" s="12">
        <v>178</v>
      </c>
      <c r="F545" s="10" t="str">
        <f>_xlfn.XLOOKUP(C545,menu!A:A,menu!B:B)</f>
        <v>Paneer Momos</v>
      </c>
      <c r="G545" s="10" t="str">
        <f>_xlfn.XLOOKUP(C545,menu!A:A,menu!C:C)</f>
        <v>Momos</v>
      </c>
      <c r="H545" s="10">
        <f>_xlfn.XLOOKUP(C545,menu!A:A,menu!E:E)</f>
        <v>27</v>
      </c>
      <c r="I545" s="10">
        <f t="shared" si="8"/>
        <v>54</v>
      </c>
      <c r="K545" s="10"/>
      <c r="L545" s="5"/>
    </row>
    <row r="546" spans="1:12" x14ac:dyDescent="0.25">
      <c r="A546" s="5" t="s">
        <v>6536</v>
      </c>
      <c r="B546" s="5" t="s">
        <v>6532</v>
      </c>
      <c r="C546" s="5" t="s">
        <v>12</v>
      </c>
      <c r="D546" s="21">
        <v>1</v>
      </c>
      <c r="E546" s="12">
        <v>79</v>
      </c>
      <c r="F546" s="10" t="str">
        <f>_xlfn.XLOOKUP(C546,menu!A:A,menu!B:B)</f>
        <v>Veg Momos</v>
      </c>
      <c r="G546" s="10" t="str">
        <f>_xlfn.XLOOKUP(C546,menu!A:A,menu!C:C)</f>
        <v>Momos</v>
      </c>
      <c r="H546" s="10">
        <f>_xlfn.XLOOKUP(C546,menu!A:A,menu!E:E)</f>
        <v>24</v>
      </c>
      <c r="I546" s="10">
        <f t="shared" si="8"/>
        <v>24</v>
      </c>
      <c r="K546" s="10"/>
      <c r="L546" s="5"/>
    </row>
    <row r="547" spans="1:12" x14ac:dyDescent="0.25">
      <c r="A547" s="5" t="s">
        <v>6535</v>
      </c>
      <c r="B547" s="5" t="s">
        <v>6532</v>
      </c>
      <c r="C547" s="5" t="s">
        <v>10</v>
      </c>
      <c r="D547" s="21">
        <v>2</v>
      </c>
      <c r="E547" s="12">
        <v>238</v>
      </c>
      <c r="F547" s="10" t="str">
        <f>_xlfn.XLOOKUP(C547,menu!A:A,menu!B:B)</f>
        <v>Chicken Sandwich</v>
      </c>
      <c r="G547" s="10" t="str">
        <f>_xlfn.XLOOKUP(C547,menu!A:A,menu!C:C)</f>
        <v>Sandwich</v>
      </c>
      <c r="H547" s="10">
        <f>_xlfn.XLOOKUP(C547,menu!A:A,menu!E:E)</f>
        <v>36</v>
      </c>
      <c r="I547" s="10">
        <f t="shared" si="8"/>
        <v>72</v>
      </c>
      <c r="K547" s="10"/>
      <c r="L547" s="5"/>
    </row>
    <row r="548" spans="1:12" x14ac:dyDescent="0.25">
      <c r="A548" s="5" t="s">
        <v>6534</v>
      </c>
      <c r="B548" s="5" t="s">
        <v>6532</v>
      </c>
      <c r="C548" s="5" t="s">
        <v>50</v>
      </c>
      <c r="D548" s="21">
        <v>2</v>
      </c>
      <c r="E548" s="12">
        <v>298</v>
      </c>
      <c r="F548" s="10" t="str">
        <f>_xlfn.XLOOKUP(C548,menu!A:A,menu!B:B)</f>
        <v>Grab Lollipop</v>
      </c>
      <c r="G548" s="10" t="str">
        <f>_xlfn.XLOOKUP(C548,menu!A:A,menu!C:C)</f>
        <v>Starters</v>
      </c>
      <c r="H548" s="10">
        <f>_xlfn.XLOOKUP(C548,menu!A:A,menu!E:E)</f>
        <v>45</v>
      </c>
      <c r="I548" s="10">
        <f t="shared" si="8"/>
        <v>90</v>
      </c>
      <c r="K548" s="10"/>
      <c r="L548" s="5"/>
    </row>
    <row r="549" spans="1:12" x14ac:dyDescent="0.25">
      <c r="A549" s="5" t="s">
        <v>6533</v>
      </c>
      <c r="B549" s="5" t="s">
        <v>6532</v>
      </c>
      <c r="C549" s="5" t="s">
        <v>52</v>
      </c>
      <c r="D549" s="21">
        <v>1</v>
      </c>
      <c r="E549" s="12">
        <v>99</v>
      </c>
      <c r="F549" s="10" t="str">
        <f>_xlfn.XLOOKUP(C549,menu!A:A,menu!B:B)</f>
        <v>French Fries</v>
      </c>
      <c r="G549" s="10" t="str">
        <f>_xlfn.XLOOKUP(C549,menu!A:A,menu!C:C)</f>
        <v>Starters</v>
      </c>
      <c r="H549" s="10">
        <f>_xlfn.XLOOKUP(C549,menu!A:A,menu!E:E)</f>
        <v>30</v>
      </c>
      <c r="I549" s="10">
        <f t="shared" si="8"/>
        <v>30</v>
      </c>
      <c r="K549" s="10"/>
      <c r="L549" s="5"/>
    </row>
    <row r="550" spans="1:12" x14ac:dyDescent="0.25">
      <c r="A550" s="5" t="s">
        <v>6531</v>
      </c>
      <c r="B550" s="5" t="s">
        <v>6528</v>
      </c>
      <c r="C550" s="5" t="s">
        <v>17</v>
      </c>
      <c r="D550" s="21">
        <v>2</v>
      </c>
      <c r="E550" s="12">
        <v>178</v>
      </c>
      <c r="F550" s="10" t="str">
        <f>_xlfn.XLOOKUP(C550,menu!A:A,menu!B:B)</f>
        <v>Paneer Momos</v>
      </c>
      <c r="G550" s="10" t="str">
        <f>_xlfn.XLOOKUP(C550,menu!A:A,menu!C:C)</f>
        <v>Momos</v>
      </c>
      <c r="H550" s="10">
        <f>_xlfn.XLOOKUP(C550,menu!A:A,menu!E:E)</f>
        <v>27</v>
      </c>
      <c r="I550" s="10">
        <f t="shared" si="8"/>
        <v>54</v>
      </c>
      <c r="K550" s="10"/>
      <c r="L550" s="5"/>
    </row>
    <row r="551" spans="1:12" x14ac:dyDescent="0.25">
      <c r="A551" s="5" t="s">
        <v>6530</v>
      </c>
      <c r="B551" s="5" t="s">
        <v>6528</v>
      </c>
      <c r="C551" s="5" t="s">
        <v>42</v>
      </c>
      <c r="D551" s="21">
        <v>1</v>
      </c>
      <c r="E551" s="12">
        <v>149</v>
      </c>
      <c r="F551" s="10" t="str">
        <f>_xlfn.XLOOKUP(C551,menu!A:A,menu!B:B)</f>
        <v>Chicken Popcorn</v>
      </c>
      <c r="G551" s="10" t="str">
        <f>_xlfn.XLOOKUP(C551,menu!A:A,menu!C:C)</f>
        <v>Starters</v>
      </c>
      <c r="H551" s="10">
        <f>_xlfn.XLOOKUP(C551,menu!A:A,menu!E:E)</f>
        <v>45</v>
      </c>
      <c r="I551" s="10">
        <f t="shared" si="8"/>
        <v>45</v>
      </c>
      <c r="K551" s="10"/>
      <c r="L551" s="5"/>
    </row>
    <row r="552" spans="1:12" x14ac:dyDescent="0.25">
      <c r="A552" s="5" t="s">
        <v>6529</v>
      </c>
      <c r="B552" s="5" t="s">
        <v>6528</v>
      </c>
      <c r="C552" s="5" t="s">
        <v>31</v>
      </c>
      <c r="D552" s="21">
        <v>2</v>
      </c>
      <c r="E552" s="12">
        <v>178</v>
      </c>
      <c r="F552" s="10" t="str">
        <f>_xlfn.XLOOKUP(C552,menu!A:A,menu!B:B)</f>
        <v>Chicken Roll</v>
      </c>
      <c r="G552" s="10" t="str">
        <f>_xlfn.XLOOKUP(C552,menu!A:A,menu!C:C)</f>
        <v>Rolls</v>
      </c>
      <c r="H552" s="10">
        <f>_xlfn.XLOOKUP(C552,menu!A:A,menu!E:E)</f>
        <v>27</v>
      </c>
      <c r="I552" s="10">
        <f t="shared" si="8"/>
        <v>54</v>
      </c>
      <c r="K552" s="10"/>
      <c r="L552" s="5"/>
    </row>
    <row r="553" spans="1:12" x14ac:dyDescent="0.25">
      <c r="A553" s="5" t="s">
        <v>6527</v>
      </c>
      <c r="B553" s="5" t="s">
        <v>6526</v>
      </c>
      <c r="C553" s="5" t="s">
        <v>65</v>
      </c>
      <c r="D553" s="21">
        <v>1</v>
      </c>
      <c r="E553" s="12">
        <v>49</v>
      </c>
      <c r="F553" s="10" t="str">
        <f>_xlfn.XLOOKUP(C553,menu!A:A,menu!B:B)</f>
        <v>Lemon Juice</v>
      </c>
      <c r="G553" s="10" t="str">
        <f>_xlfn.XLOOKUP(C553,menu!A:A,menu!C:C)</f>
        <v>Beverages</v>
      </c>
      <c r="H553" s="10">
        <f>_xlfn.XLOOKUP(C553,menu!A:A,menu!E:E)</f>
        <v>15</v>
      </c>
      <c r="I553" s="10">
        <f t="shared" si="8"/>
        <v>15</v>
      </c>
      <c r="K553" s="10"/>
      <c r="L553" s="5"/>
    </row>
    <row r="554" spans="1:12" x14ac:dyDescent="0.25">
      <c r="A554" s="5" t="s">
        <v>6525</v>
      </c>
      <c r="B554" s="5" t="s">
        <v>6521</v>
      </c>
      <c r="C554" s="5" t="s">
        <v>19</v>
      </c>
      <c r="D554" s="21">
        <v>1</v>
      </c>
      <c r="E554" s="12">
        <v>79</v>
      </c>
      <c r="F554" s="10" t="str">
        <f>_xlfn.XLOOKUP(C554,menu!A:A,menu!B:B)</f>
        <v>Veg Burger</v>
      </c>
      <c r="G554" s="10" t="str">
        <f>_xlfn.XLOOKUP(C554,menu!A:A,menu!C:C)</f>
        <v>Burger</v>
      </c>
      <c r="H554" s="10">
        <f>_xlfn.XLOOKUP(C554,menu!A:A,menu!E:E)</f>
        <v>24</v>
      </c>
      <c r="I554" s="10">
        <f t="shared" si="8"/>
        <v>24</v>
      </c>
      <c r="K554" s="10"/>
      <c r="L554" s="5"/>
    </row>
    <row r="555" spans="1:12" x14ac:dyDescent="0.25">
      <c r="A555" s="5" t="s">
        <v>6524</v>
      </c>
      <c r="B555" s="5" t="s">
        <v>6521</v>
      </c>
      <c r="C555" s="5" t="s">
        <v>54</v>
      </c>
      <c r="D555" s="21">
        <v>1</v>
      </c>
      <c r="E555" s="12">
        <v>139</v>
      </c>
      <c r="F555" s="10" t="str">
        <f>_xlfn.XLOOKUP(C555,menu!A:A,menu!B:B)</f>
        <v>Chicken Strips</v>
      </c>
      <c r="G555" s="10" t="str">
        <f>_xlfn.XLOOKUP(C555,menu!A:A,menu!C:C)</f>
        <v>Starters</v>
      </c>
      <c r="H555" s="10">
        <f>_xlfn.XLOOKUP(C555,menu!A:A,menu!E:E)</f>
        <v>42</v>
      </c>
      <c r="I555" s="10">
        <f t="shared" si="8"/>
        <v>42</v>
      </c>
      <c r="K555" s="10"/>
      <c r="L555" s="5"/>
    </row>
    <row r="556" spans="1:12" x14ac:dyDescent="0.25">
      <c r="A556" s="5" t="s">
        <v>6523</v>
      </c>
      <c r="B556" s="5" t="s">
        <v>6521</v>
      </c>
      <c r="C556" s="5" t="s">
        <v>31</v>
      </c>
      <c r="D556" s="21">
        <v>1</v>
      </c>
      <c r="E556" s="12">
        <v>89</v>
      </c>
      <c r="F556" s="10" t="str">
        <f>_xlfn.XLOOKUP(C556,menu!A:A,menu!B:B)</f>
        <v>Chicken Roll</v>
      </c>
      <c r="G556" s="10" t="str">
        <f>_xlfn.XLOOKUP(C556,menu!A:A,menu!C:C)</f>
        <v>Rolls</v>
      </c>
      <c r="H556" s="10">
        <f>_xlfn.XLOOKUP(C556,menu!A:A,menu!E:E)</f>
        <v>27</v>
      </c>
      <c r="I556" s="10">
        <f t="shared" si="8"/>
        <v>27</v>
      </c>
      <c r="K556" s="10"/>
      <c r="L556" s="5"/>
    </row>
    <row r="557" spans="1:12" x14ac:dyDescent="0.25">
      <c r="A557" s="5" t="s">
        <v>6522</v>
      </c>
      <c r="B557" s="5" t="s">
        <v>6521</v>
      </c>
      <c r="C557" s="5" t="s">
        <v>48</v>
      </c>
      <c r="D557" s="21">
        <v>2</v>
      </c>
      <c r="E557" s="12">
        <v>318</v>
      </c>
      <c r="F557" s="10" t="str">
        <f>_xlfn.XLOOKUP(C557,menu!A:A,menu!B:B)</f>
        <v>Chicken Lollipop</v>
      </c>
      <c r="G557" s="10" t="str">
        <f>_xlfn.XLOOKUP(C557,menu!A:A,menu!C:C)</f>
        <v>Starters</v>
      </c>
      <c r="H557" s="10">
        <f>_xlfn.XLOOKUP(C557,menu!A:A,menu!E:E)</f>
        <v>48</v>
      </c>
      <c r="I557" s="10">
        <f t="shared" si="8"/>
        <v>96</v>
      </c>
      <c r="K557" s="10"/>
      <c r="L557" s="5"/>
    </row>
    <row r="558" spans="1:12" x14ac:dyDescent="0.25">
      <c r="A558" s="5" t="s">
        <v>6520</v>
      </c>
      <c r="B558" s="5" t="s">
        <v>6518</v>
      </c>
      <c r="C558" s="5" t="s">
        <v>12</v>
      </c>
      <c r="D558" s="21">
        <v>1</v>
      </c>
      <c r="E558" s="12">
        <v>79</v>
      </c>
      <c r="F558" s="10" t="str">
        <f>_xlfn.XLOOKUP(C558,menu!A:A,menu!B:B)</f>
        <v>Veg Momos</v>
      </c>
      <c r="G558" s="10" t="str">
        <f>_xlfn.XLOOKUP(C558,menu!A:A,menu!C:C)</f>
        <v>Momos</v>
      </c>
      <c r="H558" s="10">
        <f>_xlfn.XLOOKUP(C558,menu!A:A,menu!E:E)</f>
        <v>24</v>
      </c>
      <c r="I558" s="10">
        <f t="shared" si="8"/>
        <v>24</v>
      </c>
      <c r="K558" s="10"/>
      <c r="L558" s="5"/>
    </row>
    <row r="559" spans="1:12" x14ac:dyDescent="0.25">
      <c r="A559" s="5" t="s">
        <v>6519</v>
      </c>
      <c r="B559" s="5" t="s">
        <v>6518</v>
      </c>
      <c r="C559" s="5" t="s">
        <v>54</v>
      </c>
      <c r="D559" s="21">
        <v>2</v>
      </c>
      <c r="E559" s="12">
        <v>278</v>
      </c>
      <c r="F559" s="10" t="str">
        <f>_xlfn.XLOOKUP(C559,menu!A:A,menu!B:B)</f>
        <v>Chicken Strips</v>
      </c>
      <c r="G559" s="10" t="str">
        <f>_xlfn.XLOOKUP(C559,menu!A:A,menu!C:C)</f>
        <v>Starters</v>
      </c>
      <c r="H559" s="10">
        <f>_xlfn.XLOOKUP(C559,menu!A:A,menu!E:E)</f>
        <v>42</v>
      </c>
      <c r="I559" s="10">
        <f t="shared" si="8"/>
        <v>84</v>
      </c>
      <c r="K559" s="10"/>
      <c r="L559" s="5"/>
    </row>
    <row r="560" spans="1:12" x14ac:dyDescent="0.25">
      <c r="A560" s="5" t="s">
        <v>6517</v>
      </c>
      <c r="B560" s="5" t="s">
        <v>6513</v>
      </c>
      <c r="C560" s="5" t="s">
        <v>35</v>
      </c>
      <c r="D560" s="21">
        <v>1</v>
      </c>
      <c r="E560" s="12">
        <v>119</v>
      </c>
      <c r="F560" s="10" t="str">
        <f>_xlfn.XLOOKUP(C560,menu!A:A,menu!B:B)</f>
        <v>Chicken Nuggets</v>
      </c>
      <c r="G560" s="10" t="str">
        <f>_xlfn.XLOOKUP(C560,menu!A:A,menu!C:C)</f>
        <v>Starters</v>
      </c>
      <c r="H560" s="10">
        <f>_xlfn.XLOOKUP(C560,menu!A:A,menu!E:E)</f>
        <v>36</v>
      </c>
      <c r="I560" s="10">
        <f t="shared" si="8"/>
        <v>36</v>
      </c>
      <c r="K560" s="10"/>
      <c r="L560" s="5"/>
    </row>
    <row r="561" spans="1:12" x14ac:dyDescent="0.25">
      <c r="A561" s="5" t="s">
        <v>6516</v>
      </c>
      <c r="B561" s="5" t="s">
        <v>6513</v>
      </c>
      <c r="C561" s="5" t="s">
        <v>44</v>
      </c>
      <c r="D561" s="21">
        <v>3</v>
      </c>
      <c r="E561" s="12">
        <v>477</v>
      </c>
      <c r="F561" s="10" t="str">
        <f>_xlfn.XLOOKUP(C561,menu!A:A,menu!B:B)</f>
        <v>Fried Chicken</v>
      </c>
      <c r="G561" s="10" t="str">
        <f>_xlfn.XLOOKUP(C561,menu!A:A,menu!C:C)</f>
        <v>Starters</v>
      </c>
      <c r="H561" s="10">
        <f>_xlfn.XLOOKUP(C561,menu!A:A,menu!E:E)</f>
        <v>48</v>
      </c>
      <c r="I561" s="10">
        <f t="shared" si="8"/>
        <v>144</v>
      </c>
      <c r="K561" s="10"/>
      <c r="L561" s="5"/>
    </row>
    <row r="562" spans="1:12" x14ac:dyDescent="0.25">
      <c r="A562" s="5" t="s">
        <v>6515</v>
      </c>
      <c r="B562" s="5" t="s">
        <v>6513</v>
      </c>
      <c r="C562" s="5" t="s">
        <v>46</v>
      </c>
      <c r="D562" s="21">
        <v>1</v>
      </c>
      <c r="E562" s="12">
        <v>149</v>
      </c>
      <c r="F562" s="10" t="str">
        <f>_xlfn.XLOOKUP(C562,menu!A:A,menu!B:B)</f>
        <v>Fish Finger</v>
      </c>
      <c r="G562" s="10" t="str">
        <f>_xlfn.XLOOKUP(C562,menu!A:A,menu!C:C)</f>
        <v>Starters</v>
      </c>
      <c r="H562" s="10">
        <f>_xlfn.XLOOKUP(C562,menu!A:A,menu!E:E)</f>
        <v>45</v>
      </c>
      <c r="I562" s="10">
        <f t="shared" si="8"/>
        <v>45</v>
      </c>
      <c r="K562" s="10"/>
      <c r="L562" s="5"/>
    </row>
    <row r="563" spans="1:12" x14ac:dyDescent="0.25">
      <c r="A563" s="5" t="s">
        <v>6514</v>
      </c>
      <c r="B563" s="5" t="s">
        <v>6513</v>
      </c>
      <c r="C563" s="5" t="s">
        <v>61</v>
      </c>
      <c r="D563" s="21">
        <v>1</v>
      </c>
      <c r="E563" s="12">
        <v>79</v>
      </c>
      <c r="F563" s="10" t="str">
        <f>_xlfn.XLOOKUP(C563,menu!A:A,menu!B:B)</f>
        <v>Watermelon Mojito</v>
      </c>
      <c r="G563" s="10" t="str">
        <f>_xlfn.XLOOKUP(C563,menu!A:A,menu!C:C)</f>
        <v>Beverages</v>
      </c>
      <c r="H563" s="10">
        <f>_xlfn.XLOOKUP(C563,menu!A:A,menu!E:E)</f>
        <v>24</v>
      </c>
      <c r="I563" s="10">
        <f t="shared" si="8"/>
        <v>24</v>
      </c>
      <c r="K563" s="10"/>
      <c r="L563" s="5"/>
    </row>
    <row r="564" spans="1:12" x14ac:dyDescent="0.25">
      <c r="A564" s="5" t="s">
        <v>6512</v>
      </c>
      <c r="B564" s="5" t="s">
        <v>6510</v>
      </c>
      <c r="C564" s="5" t="s">
        <v>8</v>
      </c>
      <c r="D564" s="21">
        <v>1</v>
      </c>
      <c r="E564" s="12">
        <v>99</v>
      </c>
      <c r="F564" s="10" t="str">
        <f>_xlfn.XLOOKUP(C564,menu!A:A,menu!B:B)</f>
        <v>Paneer Sandwich</v>
      </c>
      <c r="G564" s="10" t="str">
        <f>_xlfn.XLOOKUP(C564,menu!A:A,menu!C:C)</f>
        <v>Sandwich</v>
      </c>
      <c r="H564" s="10">
        <f>_xlfn.XLOOKUP(C564,menu!A:A,menu!E:E)</f>
        <v>30</v>
      </c>
      <c r="I564" s="10">
        <f t="shared" si="8"/>
        <v>30</v>
      </c>
      <c r="K564" s="10"/>
      <c r="L564" s="5"/>
    </row>
    <row r="565" spans="1:12" x14ac:dyDescent="0.25">
      <c r="A565" s="5" t="s">
        <v>6511</v>
      </c>
      <c r="B565" s="5" t="s">
        <v>6510</v>
      </c>
      <c r="C565" s="5" t="s">
        <v>38</v>
      </c>
      <c r="D565" s="21">
        <v>2</v>
      </c>
      <c r="E565" s="12">
        <v>298</v>
      </c>
      <c r="F565" s="10" t="str">
        <f>_xlfn.XLOOKUP(C565,menu!A:A,menu!B:B)</f>
        <v>Chicken Wings</v>
      </c>
      <c r="G565" s="10" t="str">
        <f>_xlfn.XLOOKUP(C565,menu!A:A,menu!C:C)</f>
        <v>Starters</v>
      </c>
      <c r="H565" s="10">
        <f>_xlfn.XLOOKUP(C565,menu!A:A,menu!E:E)</f>
        <v>45</v>
      </c>
      <c r="I565" s="10">
        <f t="shared" si="8"/>
        <v>90</v>
      </c>
      <c r="K565" s="10"/>
      <c r="L565" s="5"/>
    </row>
    <row r="566" spans="1:12" x14ac:dyDescent="0.25">
      <c r="A566" s="5" t="s">
        <v>6509</v>
      </c>
      <c r="B566" s="5" t="s">
        <v>6508</v>
      </c>
      <c r="C566" s="5" t="s">
        <v>56</v>
      </c>
      <c r="D566" s="21">
        <v>1</v>
      </c>
      <c r="E566" s="12">
        <v>79</v>
      </c>
      <c r="F566" s="10" t="str">
        <f>_xlfn.XLOOKUP(C566,menu!A:A,menu!B:B)</f>
        <v>Mint Mojito</v>
      </c>
      <c r="G566" s="10" t="str">
        <f>_xlfn.XLOOKUP(C566,menu!A:A,menu!C:C)</f>
        <v>Beverages</v>
      </c>
      <c r="H566" s="10">
        <f>_xlfn.XLOOKUP(C566,menu!A:A,menu!E:E)</f>
        <v>24</v>
      </c>
      <c r="I566" s="10">
        <f t="shared" si="8"/>
        <v>24</v>
      </c>
      <c r="K566" s="10"/>
      <c r="L566" s="5"/>
    </row>
    <row r="567" spans="1:12" x14ac:dyDescent="0.25">
      <c r="A567" s="5" t="s">
        <v>6507</v>
      </c>
      <c r="B567" s="5" t="s">
        <v>6506</v>
      </c>
      <c r="C567" s="5" t="s">
        <v>29</v>
      </c>
      <c r="D567" s="21">
        <v>3</v>
      </c>
      <c r="E567" s="12">
        <v>237</v>
      </c>
      <c r="F567" s="10" t="str">
        <f>_xlfn.XLOOKUP(C567,menu!A:A,menu!B:B)</f>
        <v>Paneer Roll</v>
      </c>
      <c r="G567" s="10" t="str">
        <f>_xlfn.XLOOKUP(C567,menu!A:A,menu!C:C)</f>
        <v>Rolls</v>
      </c>
      <c r="H567" s="10">
        <f>_xlfn.XLOOKUP(C567,menu!A:A,menu!E:E)</f>
        <v>24</v>
      </c>
      <c r="I567" s="10">
        <f t="shared" si="8"/>
        <v>72</v>
      </c>
      <c r="K567" s="10"/>
      <c r="L567" s="5"/>
    </row>
    <row r="568" spans="1:12" x14ac:dyDescent="0.25">
      <c r="A568" s="5" t="s">
        <v>6505</v>
      </c>
      <c r="B568" s="5" t="s">
        <v>6503</v>
      </c>
      <c r="C568" s="5" t="s">
        <v>46</v>
      </c>
      <c r="D568" s="21">
        <v>1</v>
      </c>
      <c r="E568" s="12">
        <v>149</v>
      </c>
      <c r="F568" s="10" t="str">
        <f>_xlfn.XLOOKUP(C568,menu!A:A,menu!B:B)</f>
        <v>Fish Finger</v>
      </c>
      <c r="G568" s="10" t="str">
        <f>_xlfn.XLOOKUP(C568,menu!A:A,menu!C:C)</f>
        <v>Starters</v>
      </c>
      <c r="H568" s="10">
        <f>_xlfn.XLOOKUP(C568,menu!A:A,menu!E:E)</f>
        <v>45</v>
      </c>
      <c r="I568" s="10">
        <f t="shared" si="8"/>
        <v>45</v>
      </c>
      <c r="K568" s="10"/>
      <c r="L568" s="5"/>
    </row>
    <row r="569" spans="1:12" x14ac:dyDescent="0.25">
      <c r="A569" s="5" t="s">
        <v>6504</v>
      </c>
      <c r="B569" s="5" t="s">
        <v>6503</v>
      </c>
      <c r="C569" s="5" t="s">
        <v>42</v>
      </c>
      <c r="D569" s="21">
        <v>3</v>
      </c>
      <c r="E569" s="12">
        <v>447</v>
      </c>
      <c r="F569" s="10" t="str">
        <f>_xlfn.XLOOKUP(C569,menu!A:A,menu!B:B)</f>
        <v>Chicken Popcorn</v>
      </c>
      <c r="G569" s="10" t="str">
        <f>_xlfn.XLOOKUP(C569,menu!A:A,menu!C:C)</f>
        <v>Starters</v>
      </c>
      <c r="H569" s="10">
        <f>_xlfn.XLOOKUP(C569,menu!A:A,menu!E:E)</f>
        <v>45</v>
      </c>
      <c r="I569" s="10">
        <f t="shared" si="8"/>
        <v>135</v>
      </c>
      <c r="K569" s="10"/>
      <c r="L569" s="5"/>
    </row>
    <row r="570" spans="1:12" x14ac:dyDescent="0.25">
      <c r="A570" s="5" t="s">
        <v>6502</v>
      </c>
      <c r="B570" s="5" t="s">
        <v>6500</v>
      </c>
      <c r="C570" s="5" t="s">
        <v>12</v>
      </c>
      <c r="D570" s="21">
        <v>3</v>
      </c>
      <c r="E570" s="12">
        <v>237</v>
      </c>
      <c r="F570" s="10" t="str">
        <f>_xlfn.XLOOKUP(C570,menu!A:A,menu!B:B)</f>
        <v>Veg Momos</v>
      </c>
      <c r="G570" s="10" t="str">
        <f>_xlfn.XLOOKUP(C570,menu!A:A,menu!C:C)</f>
        <v>Momos</v>
      </c>
      <c r="H570" s="10">
        <f>_xlfn.XLOOKUP(C570,menu!A:A,menu!E:E)</f>
        <v>24</v>
      </c>
      <c r="I570" s="10">
        <f t="shared" si="8"/>
        <v>72</v>
      </c>
      <c r="K570" s="10"/>
      <c r="L570" s="5"/>
    </row>
    <row r="571" spans="1:12" x14ac:dyDescent="0.25">
      <c r="A571" s="5" t="s">
        <v>6501</v>
      </c>
      <c r="B571" s="5" t="s">
        <v>6500</v>
      </c>
      <c r="C571" s="5" t="s">
        <v>10</v>
      </c>
      <c r="D571" s="21">
        <v>1</v>
      </c>
      <c r="E571" s="12">
        <v>119</v>
      </c>
      <c r="F571" s="10" t="str">
        <f>_xlfn.XLOOKUP(C571,menu!A:A,menu!B:B)</f>
        <v>Chicken Sandwich</v>
      </c>
      <c r="G571" s="10" t="str">
        <f>_xlfn.XLOOKUP(C571,menu!A:A,menu!C:C)</f>
        <v>Sandwich</v>
      </c>
      <c r="H571" s="10">
        <f>_xlfn.XLOOKUP(C571,menu!A:A,menu!E:E)</f>
        <v>36</v>
      </c>
      <c r="I571" s="10">
        <f t="shared" si="8"/>
        <v>36</v>
      </c>
      <c r="K571" s="10"/>
      <c r="L571" s="5"/>
    </row>
    <row r="572" spans="1:12" x14ac:dyDescent="0.25">
      <c r="A572" s="5" t="s">
        <v>6499</v>
      </c>
      <c r="B572" s="5" t="s">
        <v>6497</v>
      </c>
      <c r="C572" s="5" t="s">
        <v>17</v>
      </c>
      <c r="D572" s="21">
        <v>1</v>
      </c>
      <c r="E572" s="12">
        <v>89</v>
      </c>
      <c r="F572" s="10" t="str">
        <f>_xlfn.XLOOKUP(C572,menu!A:A,menu!B:B)</f>
        <v>Paneer Momos</v>
      </c>
      <c r="G572" s="10" t="str">
        <f>_xlfn.XLOOKUP(C572,menu!A:A,menu!C:C)</f>
        <v>Momos</v>
      </c>
      <c r="H572" s="10">
        <f>_xlfn.XLOOKUP(C572,menu!A:A,menu!E:E)</f>
        <v>27</v>
      </c>
      <c r="I572" s="10">
        <f t="shared" si="8"/>
        <v>27</v>
      </c>
      <c r="K572" s="10"/>
      <c r="L572" s="5"/>
    </row>
    <row r="573" spans="1:12" x14ac:dyDescent="0.25">
      <c r="A573" s="5" t="s">
        <v>6498</v>
      </c>
      <c r="B573" s="5" t="s">
        <v>6497</v>
      </c>
      <c r="C573" s="5" t="s">
        <v>50</v>
      </c>
      <c r="D573" s="21">
        <v>1</v>
      </c>
      <c r="E573" s="12">
        <v>149</v>
      </c>
      <c r="F573" s="10" t="str">
        <f>_xlfn.XLOOKUP(C573,menu!A:A,menu!B:B)</f>
        <v>Grab Lollipop</v>
      </c>
      <c r="G573" s="10" t="str">
        <f>_xlfn.XLOOKUP(C573,menu!A:A,menu!C:C)</f>
        <v>Starters</v>
      </c>
      <c r="H573" s="10">
        <f>_xlfn.XLOOKUP(C573,menu!A:A,menu!E:E)</f>
        <v>45</v>
      </c>
      <c r="I573" s="10">
        <f t="shared" si="8"/>
        <v>45</v>
      </c>
      <c r="K573" s="10"/>
      <c r="L573" s="5"/>
    </row>
    <row r="574" spans="1:12" x14ac:dyDescent="0.25">
      <c r="A574" s="5" t="s">
        <v>6496</v>
      </c>
      <c r="B574" s="5" t="s">
        <v>6493</v>
      </c>
      <c r="C574" s="5" t="s">
        <v>19</v>
      </c>
      <c r="D574" s="21">
        <v>1</v>
      </c>
      <c r="E574" s="12">
        <v>79</v>
      </c>
      <c r="F574" s="10" t="str">
        <f>_xlfn.XLOOKUP(C574,menu!A:A,menu!B:B)</f>
        <v>Veg Burger</v>
      </c>
      <c r="G574" s="10" t="str">
        <f>_xlfn.XLOOKUP(C574,menu!A:A,menu!C:C)</f>
        <v>Burger</v>
      </c>
      <c r="H574" s="10">
        <f>_xlfn.XLOOKUP(C574,menu!A:A,menu!E:E)</f>
        <v>24</v>
      </c>
      <c r="I574" s="10">
        <f t="shared" si="8"/>
        <v>24</v>
      </c>
      <c r="K574" s="10"/>
      <c r="L574" s="5"/>
    </row>
    <row r="575" spans="1:12" x14ac:dyDescent="0.25">
      <c r="A575" s="5" t="s">
        <v>6495</v>
      </c>
      <c r="B575" s="5" t="s">
        <v>6493</v>
      </c>
      <c r="C575" s="5" t="s">
        <v>35</v>
      </c>
      <c r="D575" s="21">
        <v>3</v>
      </c>
      <c r="E575" s="12">
        <v>357</v>
      </c>
      <c r="F575" s="10" t="str">
        <f>_xlfn.XLOOKUP(C575,menu!A:A,menu!B:B)</f>
        <v>Chicken Nuggets</v>
      </c>
      <c r="G575" s="10" t="str">
        <f>_xlfn.XLOOKUP(C575,menu!A:A,menu!C:C)</f>
        <v>Starters</v>
      </c>
      <c r="H575" s="10">
        <f>_xlfn.XLOOKUP(C575,menu!A:A,menu!E:E)</f>
        <v>36</v>
      </c>
      <c r="I575" s="10">
        <f t="shared" si="8"/>
        <v>108</v>
      </c>
      <c r="K575" s="10"/>
      <c r="L575" s="5"/>
    </row>
    <row r="576" spans="1:12" x14ac:dyDescent="0.25">
      <c r="A576" s="5" t="s">
        <v>6494</v>
      </c>
      <c r="B576" s="5" t="s">
        <v>6493</v>
      </c>
      <c r="C576" s="5" t="s">
        <v>44</v>
      </c>
      <c r="D576" s="21">
        <v>1</v>
      </c>
      <c r="E576" s="12">
        <v>159</v>
      </c>
      <c r="F576" s="10" t="str">
        <f>_xlfn.XLOOKUP(C576,menu!A:A,menu!B:B)</f>
        <v>Fried Chicken</v>
      </c>
      <c r="G576" s="10" t="str">
        <f>_xlfn.XLOOKUP(C576,menu!A:A,menu!C:C)</f>
        <v>Starters</v>
      </c>
      <c r="H576" s="10">
        <f>_xlfn.XLOOKUP(C576,menu!A:A,menu!E:E)</f>
        <v>48</v>
      </c>
      <c r="I576" s="10">
        <f t="shared" si="8"/>
        <v>48</v>
      </c>
      <c r="K576" s="10"/>
      <c r="L576" s="5"/>
    </row>
    <row r="577" spans="1:12" x14ac:dyDescent="0.25">
      <c r="A577" s="5" t="s">
        <v>6492</v>
      </c>
      <c r="B577" s="5" t="s">
        <v>6490</v>
      </c>
      <c r="C577" s="5" t="s">
        <v>46</v>
      </c>
      <c r="D577" s="21">
        <v>1</v>
      </c>
      <c r="E577" s="12">
        <v>149</v>
      </c>
      <c r="F577" s="10" t="str">
        <f>_xlfn.XLOOKUP(C577,menu!A:A,menu!B:B)</f>
        <v>Fish Finger</v>
      </c>
      <c r="G577" s="10" t="str">
        <f>_xlfn.XLOOKUP(C577,menu!A:A,menu!C:C)</f>
        <v>Starters</v>
      </c>
      <c r="H577" s="10">
        <f>_xlfn.XLOOKUP(C577,menu!A:A,menu!E:E)</f>
        <v>45</v>
      </c>
      <c r="I577" s="10">
        <f t="shared" si="8"/>
        <v>45</v>
      </c>
      <c r="K577" s="10"/>
      <c r="L577" s="5"/>
    </row>
    <row r="578" spans="1:12" x14ac:dyDescent="0.25">
      <c r="A578" s="5" t="s">
        <v>6491</v>
      </c>
      <c r="B578" s="5" t="s">
        <v>6490</v>
      </c>
      <c r="C578" s="5" t="s">
        <v>31</v>
      </c>
      <c r="D578" s="21">
        <v>2</v>
      </c>
      <c r="E578" s="12">
        <v>178</v>
      </c>
      <c r="F578" s="10" t="str">
        <f>_xlfn.XLOOKUP(C578,menu!A:A,menu!B:B)</f>
        <v>Chicken Roll</v>
      </c>
      <c r="G578" s="10" t="str">
        <f>_xlfn.XLOOKUP(C578,menu!A:A,menu!C:C)</f>
        <v>Rolls</v>
      </c>
      <c r="H578" s="10">
        <f>_xlfn.XLOOKUP(C578,menu!A:A,menu!E:E)</f>
        <v>27</v>
      </c>
      <c r="I578" s="10">
        <f t="shared" si="8"/>
        <v>54</v>
      </c>
      <c r="K578" s="10"/>
      <c r="L578" s="5"/>
    </row>
    <row r="579" spans="1:12" x14ac:dyDescent="0.25">
      <c r="A579" s="5" t="s">
        <v>6489</v>
      </c>
      <c r="B579" s="5" t="s">
        <v>6488</v>
      </c>
      <c r="C579" s="5" t="s">
        <v>40</v>
      </c>
      <c r="D579" s="21">
        <v>1</v>
      </c>
      <c r="E579" s="12">
        <v>99</v>
      </c>
      <c r="F579" s="10" t="str">
        <f>_xlfn.XLOOKUP(C579,menu!A:A,menu!B:B)</f>
        <v>Veg Nuggets</v>
      </c>
      <c r="G579" s="10" t="str">
        <f>_xlfn.XLOOKUP(C579,menu!A:A,menu!C:C)</f>
        <v>Starters</v>
      </c>
      <c r="H579" s="10">
        <f>_xlfn.XLOOKUP(C579,menu!A:A,menu!E:E)</f>
        <v>30</v>
      </c>
      <c r="I579" s="10">
        <f t="shared" ref="I579:I642" si="9">D579*H579</f>
        <v>30</v>
      </c>
      <c r="K579" s="10"/>
      <c r="L579" s="5"/>
    </row>
    <row r="580" spans="1:12" x14ac:dyDescent="0.25">
      <c r="A580" s="5" t="s">
        <v>6487</v>
      </c>
      <c r="B580" s="5" t="s">
        <v>6485</v>
      </c>
      <c r="C580" s="5" t="s">
        <v>50</v>
      </c>
      <c r="D580" s="21">
        <v>3</v>
      </c>
      <c r="E580" s="12">
        <v>447</v>
      </c>
      <c r="F580" s="10" t="str">
        <f>_xlfn.XLOOKUP(C580,menu!A:A,menu!B:B)</f>
        <v>Grab Lollipop</v>
      </c>
      <c r="G580" s="10" t="str">
        <f>_xlfn.XLOOKUP(C580,menu!A:A,menu!C:C)</f>
        <v>Starters</v>
      </c>
      <c r="H580" s="10">
        <f>_xlfn.XLOOKUP(C580,menu!A:A,menu!E:E)</f>
        <v>45</v>
      </c>
      <c r="I580" s="10">
        <f t="shared" si="9"/>
        <v>135</v>
      </c>
      <c r="K580" s="10"/>
      <c r="L580" s="5"/>
    </row>
    <row r="581" spans="1:12" x14ac:dyDescent="0.25">
      <c r="A581" s="5" t="s">
        <v>6486</v>
      </c>
      <c r="B581" s="5" t="s">
        <v>6485</v>
      </c>
      <c r="C581" s="5" t="s">
        <v>31</v>
      </c>
      <c r="D581" s="21">
        <v>2</v>
      </c>
      <c r="E581" s="12">
        <v>178</v>
      </c>
      <c r="F581" s="10" t="str">
        <f>_xlfn.XLOOKUP(C581,menu!A:A,menu!B:B)</f>
        <v>Chicken Roll</v>
      </c>
      <c r="G581" s="10" t="str">
        <f>_xlfn.XLOOKUP(C581,menu!A:A,menu!C:C)</f>
        <v>Rolls</v>
      </c>
      <c r="H581" s="10">
        <f>_xlfn.XLOOKUP(C581,menu!A:A,menu!E:E)</f>
        <v>27</v>
      </c>
      <c r="I581" s="10">
        <f t="shared" si="9"/>
        <v>54</v>
      </c>
      <c r="K581" s="10"/>
      <c r="L581" s="5"/>
    </row>
    <row r="582" spans="1:12" x14ac:dyDescent="0.25">
      <c r="A582" s="5" t="s">
        <v>6484</v>
      </c>
      <c r="B582" s="5" t="s">
        <v>6483</v>
      </c>
      <c r="C582" s="5" t="s">
        <v>12</v>
      </c>
      <c r="D582" s="21">
        <v>1</v>
      </c>
      <c r="E582" s="12">
        <v>79</v>
      </c>
      <c r="F582" s="10" t="str">
        <f>_xlfn.XLOOKUP(C582,menu!A:A,menu!B:B)</f>
        <v>Veg Momos</v>
      </c>
      <c r="G582" s="10" t="str">
        <f>_xlfn.XLOOKUP(C582,menu!A:A,menu!C:C)</f>
        <v>Momos</v>
      </c>
      <c r="H582" s="10">
        <f>_xlfn.XLOOKUP(C582,menu!A:A,menu!E:E)</f>
        <v>24</v>
      </c>
      <c r="I582" s="10">
        <f t="shared" si="9"/>
        <v>24</v>
      </c>
      <c r="K582" s="10"/>
      <c r="L582" s="5"/>
    </row>
    <row r="583" spans="1:12" x14ac:dyDescent="0.25">
      <c r="A583" s="5" t="s">
        <v>6482</v>
      </c>
      <c r="B583" s="5" t="s">
        <v>6479</v>
      </c>
      <c r="C583" s="5" t="s">
        <v>54</v>
      </c>
      <c r="D583" s="21">
        <v>2</v>
      </c>
      <c r="E583" s="12">
        <v>278</v>
      </c>
      <c r="F583" s="10" t="str">
        <f>_xlfn.XLOOKUP(C583,menu!A:A,menu!B:B)</f>
        <v>Chicken Strips</v>
      </c>
      <c r="G583" s="10" t="str">
        <f>_xlfn.XLOOKUP(C583,menu!A:A,menu!C:C)</f>
        <v>Starters</v>
      </c>
      <c r="H583" s="10">
        <f>_xlfn.XLOOKUP(C583,menu!A:A,menu!E:E)</f>
        <v>42</v>
      </c>
      <c r="I583" s="10">
        <f t="shared" si="9"/>
        <v>84</v>
      </c>
      <c r="K583" s="10"/>
      <c r="L583" s="5"/>
    </row>
    <row r="584" spans="1:12" x14ac:dyDescent="0.25">
      <c r="A584" s="5" t="s">
        <v>6481</v>
      </c>
      <c r="B584" s="5" t="s">
        <v>6479</v>
      </c>
      <c r="C584" s="5" t="s">
        <v>44</v>
      </c>
      <c r="D584" s="21">
        <v>1</v>
      </c>
      <c r="E584" s="12">
        <v>159</v>
      </c>
      <c r="F584" s="10" t="str">
        <f>_xlfn.XLOOKUP(C584,menu!A:A,menu!B:B)</f>
        <v>Fried Chicken</v>
      </c>
      <c r="G584" s="10" t="str">
        <f>_xlfn.XLOOKUP(C584,menu!A:A,menu!C:C)</f>
        <v>Starters</v>
      </c>
      <c r="H584" s="10">
        <f>_xlfn.XLOOKUP(C584,menu!A:A,menu!E:E)</f>
        <v>48</v>
      </c>
      <c r="I584" s="10">
        <f t="shared" si="9"/>
        <v>48</v>
      </c>
      <c r="K584" s="10"/>
      <c r="L584" s="5"/>
    </row>
    <row r="585" spans="1:12" x14ac:dyDescent="0.25">
      <c r="A585" s="5" t="s">
        <v>6480</v>
      </c>
      <c r="B585" s="5" t="s">
        <v>6479</v>
      </c>
      <c r="C585" s="5" t="s">
        <v>61</v>
      </c>
      <c r="D585" s="21">
        <v>3</v>
      </c>
      <c r="E585" s="12">
        <v>237</v>
      </c>
      <c r="F585" s="10" t="str">
        <f>_xlfn.XLOOKUP(C585,menu!A:A,menu!B:B)</f>
        <v>Watermelon Mojito</v>
      </c>
      <c r="G585" s="10" t="str">
        <f>_xlfn.XLOOKUP(C585,menu!A:A,menu!C:C)</f>
        <v>Beverages</v>
      </c>
      <c r="H585" s="10">
        <f>_xlfn.XLOOKUP(C585,menu!A:A,menu!E:E)</f>
        <v>24</v>
      </c>
      <c r="I585" s="10">
        <f t="shared" si="9"/>
        <v>72</v>
      </c>
      <c r="K585" s="10"/>
      <c r="L585" s="5"/>
    </row>
    <row r="586" spans="1:12" x14ac:dyDescent="0.25">
      <c r="A586" s="5" t="s">
        <v>6478</v>
      </c>
      <c r="B586" s="5" t="s">
        <v>6476</v>
      </c>
      <c r="C586" s="5" t="s">
        <v>44</v>
      </c>
      <c r="D586" s="21">
        <v>4</v>
      </c>
      <c r="E586" s="12">
        <v>636</v>
      </c>
      <c r="F586" s="10" t="str">
        <f>_xlfn.XLOOKUP(C586,menu!A:A,menu!B:B)</f>
        <v>Fried Chicken</v>
      </c>
      <c r="G586" s="10" t="str">
        <f>_xlfn.XLOOKUP(C586,menu!A:A,menu!C:C)</f>
        <v>Starters</v>
      </c>
      <c r="H586" s="10">
        <f>_xlfn.XLOOKUP(C586,menu!A:A,menu!E:E)</f>
        <v>48</v>
      </c>
      <c r="I586" s="10">
        <f t="shared" si="9"/>
        <v>192</v>
      </c>
      <c r="K586" s="10"/>
      <c r="L586" s="5"/>
    </row>
    <row r="587" spans="1:12" x14ac:dyDescent="0.25">
      <c r="A587" s="5" t="s">
        <v>6477</v>
      </c>
      <c r="B587" s="5" t="s">
        <v>6476</v>
      </c>
      <c r="C587" s="5" t="s">
        <v>61</v>
      </c>
      <c r="D587" s="21">
        <v>1</v>
      </c>
      <c r="E587" s="12">
        <v>79</v>
      </c>
      <c r="F587" s="10" t="str">
        <f>_xlfn.XLOOKUP(C587,menu!A:A,menu!B:B)</f>
        <v>Watermelon Mojito</v>
      </c>
      <c r="G587" s="10" t="str">
        <f>_xlfn.XLOOKUP(C587,menu!A:A,menu!C:C)</f>
        <v>Beverages</v>
      </c>
      <c r="H587" s="10">
        <f>_xlfn.XLOOKUP(C587,menu!A:A,menu!E:E)</f>
        <v>24</v>
      </c>
      <c r="I587" s="10">
        <f t="shared" si="9"/>
        <v>24</v>
      </c>
      <c r="K587" s="10"/>
      <c r="L587" s="5"/>
    </row>
    <row r="588" spans="1:12" x14ac:dyDescent="0.25">
      <c r="A588" s="5" t="s">
        <v>6475</v>
      </c>
      <c r="B588" s="5" t="s">
        <v>6473</v>
      </c>
      <c r="C588" s="5" t="s">
        <v>10</v>
      </c>
      <c r="D588" s="21">
        <v>4</v>
      </c>
      <c r="E588" s="12">
        <v>476</v>
      </c>
      <c r="F588" s="10" t="str">
        <f>_xlfn.XLOOKUP(C588,menu!A:A,menu!B:B)</f>
        <v>Chicken Sandwich</v>
      </c>
      <c r="G588" s="10" t="str">
        <f>_xlfn.XLOOKUP(C588,menu!A:A,menu!C:C)</f>
        <v>Sandwich</v>
      </c>
      <c r="H588" s="10">
        <f>_xlfn.XLOOKUP(C588,menu!A:A,menu!E:E)</f>
        <v>36</v>
      </c>
      <c r="I588" s="10">
        <f t="shared" si="9"/>
        <v>144</v>
      </c>
      <c r="K588" s="10"/>
      <c r="L588" s="5"/>
    </row>
    <row r="589" spans="1:12" x14ac:dyDescent="0.25">
      <c r="A589" s="5" t="s">
        <v>6474</v>
      </c>
      <c r="B589" s="5" t="s">
        <v>6473</v>
      </c>
      <c r="C589" s="5" t="s">
        <v>26</v>
      </c>
      <c r="D589" s="21">
        <v>1</v>
      </c>
      <c r="E589" s="12">
        <v>59</v>
      </c>
      <c r="F589" s="10" t="str">
        <f>_xlfn.XLOOKUP(C589,menu!A:A,menu!B:B)</f>
        <v>Veg Roll</v>
      </c>
      <c r="G589" s="10" t="str">
        <f>_xlfn.XLOOKUP(C589,menu!A:A,menu!C:C)</f>
        <v>Rolls</v>
      </c>
      <c r="H589" s="10">
        <f>_xlfn.XLOOKUP(C589,menu!A:A,menu!E:E)</f>
        <v>18</v>
      </c>
      <c r="I589" s="10">
        <f t="shared" si="9"/>
        <v>18</v>
      </c>
      <c r="K589" s="10"/>
      <c r="L589" s="5"/>
    </row>
    <row r="590" spans="1:12" x14ac:dyDescent="0.25">
      <c r="A590" s="5" t="s">
        <v>6472</v>
      </c>
      <c r="B590" s="5" t="s">
        <v>6469</v>
      </c>
      <c r="C590" s="5" t="s">
        <v>12</v>
      </c>
      <c r="D590" s="21">
        <v>1</v>
      </c>
      <c r="E590" s="12">
        <v>79</v>
      </c>
      <c r="F590" s="10" t="str">
        <f>_xlfn.XLOOKUP(C590,menu!A:A,menu!B:B)</f>
        <v>Veg Momos</v>
      </c>
      <c r="G590" s="10" t="str">
        <f>_xlfn.XLOOKUP(C590,menu!A:A,menu!C:C)</f>
        <v>Momos</v>
      </c>
      <c r="H590" s="10">
        <f>_xlfn.XLOOKUP(C590,menu!A:A,menu!E:E)</f>
        <v>24</v>
      </c>
      <c r="I590" s="10">
        <f t="shared" si="9"/>
        <v>24</v>
      </c>
      <c r="K590" s="10"/>
      <c r="L590" s="5"/>
    </row>
    <row r="591" spans="1:12" x14ac:dyDescent="0.25">
      <c r="A591" s="5" t="s">
        <v>6471</v>
      </c>
      <c r="B591" s="5" t="s">
        <v>6469</v>
      </c>
      <c r="C591" s="5" t="s">
        <v>35</v>
      </c>
      <c r="D591" s="21">
        <v>1</v>
      </c>
      <c r="E591" s="12">
        <v>119</v>
      </c>
      <c r="F591" s="10" t="str">
        <f>_xlfn.XLOOKUP(C591,menu!A:A,menu!B:B)</f>
        <v>Chicken Nuggets</v>
      </c>
      <c r="G591" s="10" t="str">
        <f>_xlfn.XLOOKUP(C591,menu!A:A,menu!C:C)</f>
        <v>Starters</v>
      </c>
      <c r="H591" s="10">
        <f>_xlfn.XLOOKUP(C591,menu!A:A,menu!E:E)</f>
        <v>36</v>
      </c>
      <c r="I591" s="10">
        <f t="shared" si="9"/>
        <v>36</v>
      </c>
      <c r="K591" s="10"/>
      <c r="L591" s="5"/>
    </row>
    <row r="592" spans="1:12" x14ac:dyDescent="0.25">
      <c r="A592" s="5" t="s">
        <v>6470</v>
      </c>
      <c r="B592" s="5" t="s">
        <v>6469</v>
      </c>
      <c r="C592" s="5" t="s">
        <v>44</v>
      </c>
      <c r="D592" s="21">
        <v>1</v>
      </c>
      <c r="E592" s="12">
        <v>159</v>
      </c>
      <c r="F592" s="10" t="str">
        <f>_xlfn.XLOOKUP(C592,menu!A:A,menu!B:B)</f>
        <v>Fried Chicken</v>
      </c>
      <c r="G592" s="10" t="str">
        <f>_xlfn.XLOOKUP(C592,menu!A:A,menu!C:C)</f>
        <v>Starters</v>
      </c>
      <c r="H592" s="10">
        <f>_xlfn.XLOOKUP(C592,menu!A:A,menu!E:E)</f>
        <v>48</v>
      </c>
      <c r="I592" s="10">
        <f t="shared" si="9"/>
        <v>48</v>
      </c>
      <c r="K592" s="10"/>
      <c r="L592" s="5"/>
    </row>
    <row r="593" spans="1:12" x14ac:dyDescent="0.25">
      <c r="A593" s="5" t="s">
        <v>6468</v>
      </c>
      <c r="B593" s="5" t="s">
        <v>6466</v>
      </c>
      <c r="C593" s="5" t="s">
        <v>59</v>
      </c>
      <c r="D593" s="21">
        <v>2</v>
      </c>
      <c r="E593" s="12">
        <v>158</v>
      </c>
      <c r="F593" s="10" t="str">
        <f>_xlfn.XLOOKUP(C593,menu!A:A,menu!B:B)</f>
        <v>Blue Curacao Mojito</v>
      </c>
      <c r="G593" s="10" t="str">
        <f>_xlfn.XLOOKUP(C593,menu!A:A,menu!C:C)</f>
        <v>Beverages</v>
      </c>
      <c r="H593" s="10">
        <f>_xlfn.XLOOKUP(C593,menu!A:A,menu!E:E)</f>
        <v>24</v>
      </c>
      <c r="I593" s="10">
        <f t="shared" si="9"/>
        <v>48</v>
      </c>
      <c r="K593" s="10"/>
      <c r="L593" s="5"/>
    </row>
    <row r="594" spans="1:12" x14ac:dyDescent="0.25">
      <c r="A594" s="5" t="s">
        <v>6467</v>
      </c>
      <c r="B594" s="5" t="s">
        <v>6466</v>
      </c>
      <c r="C594" s="5" t="s">
        <v>48</v>
      </c>
      <c r="D594" s="21">
        <v>2</v>
      </c>
      <c r="E594" s="12">
        <v>318</v>
      </c>
      <c r="F594" s="10" t="str">
        <f>_xlfn.XLOOKUP(C594,menu!A:A,menu!B:B)</f>
        <v>Chicken Lollipop</v>
      </c>
      <c r="G594" s="10" t="str">
        <f>_xlfn.XLOOKUP(C594,menu!A:A,menu!C:C)</f>
        <v>Starters</v>
      </c>
      <c r="H594" s="10">
        <f>_xlfn.XLOOKUP(C594,menu!A:A,menu!E:E)</f>
        <v>48</v>
      </c>
      <c r="I594" s="10">
        <f t="shared" si="9"/>
        <v>96</v>
      </c>
      <c r="K594" s="10"/>
      <c r="L594" s="5"/>
    </row>
    <row r="595" spans="1:12" x14ac:dyDescent="0.25">
      <c r="A595" s="5" t="s">
        <v>6465</v>
      </c>
      <c r="B595" s="5" t="s">
        <v>6463</v>
      </c>
      <c r="C595" s="5" t="s">
        <v>50</v>
      </c>
      <c r="D595" s="21">
        <v>1</v>
      </c>
      <c r="E595" s="12">
        <v>149</v>
      </c>
      <c r="F595" s="10" t="str">
        <f>_xlfn.XLOOKUP(C595,menu!A:A,menu!B:B)</f>
        <v>Grab Lollipop</v>
      </c>
      <c r="G595" s="10" t="str">
        <f>_xlfn.XLOOKUP(C595,menu!A:A,menu!C:C)</f>
        <v>Starters</v>
      </c>
      <c r="H595" s="10">
        <f>_xlfn.XLOOKUP(C595,menu!A:A,menu!E:E)</f>
        <v>45</v>
      </c>
      <c r="I595" s="10">
        <f t="shared" si="9"/>
        <v>45</v>
      </c>
      <c r="K595" s="10"/>
      <c r="L595" s="5"/>
    </row>
    <row r="596" spans="1:12" x14ac:dyDescent="0.25">
      <c r="A596" s="5" t="s">
        <v>6464</v>
      </c>
      <c r="B596" s="5" t="s">
        <v>6463</v>
      </c>
      <c r="C596" s="5" t="s">
        <v>46</v>
      </c>
      <c r="D596" s="21">
        <v>2</v>
      </c>
      <c r="E596" s="12">
        <v>298</v>
      </c>
      <c r="F596" s="10" t="str">
        <f>_xlfn.XLOOKUP(C596,menu!A:A,menu!B:B)</f>
        <v>Fish Finger</v>
      </c>
      <c r="G596" s="10" t="str">
        <f>_xlfn.XLOOKUP(C596,menu!A:A,menu!C:C)</f>
        <v>Starters</v>
      </c>
      <c r="H596" s="10">
        <f>_xlfn.XLOOKUP(C596,menu!A:A,menu!E:E)</f>
        <v>45</v>
      </c>
      <c r="I596" s="10">
        <f t="shared" si="9"/>
        <v>90</v>
      </c>
      <c r="K596" s="10"/>
      <c r="L596" s="5"/>
    </row>
    <row r="597" spans="1:12" x14ac:dyDescent="0.25">
      <c r="A597" s="5" t="s">
        <v>6462</v>
      </c>
      <c r="B597" s="5" t="s">
        <v>6461</v>
      </c>
      <c r="C597" s="5" t="s">
        <v>35</v>
      </c>
      <c r="D597" s="21">
        <v>3</v>
      </c>
      <c r="E597" s="12">
        <v>357</v>
      </c>
      <c r="F597" s="10" t="str">
        <f>_xlfn.XLOOKUP(C597,menu!A:A,menu!B:B)</f>
        <v>Chicken Nuggets</v>
      </c>
      <c r="G597" s="10" t="str">
        <f>_xlfn.XLOOKUP(C597,menu!A:A,menu!C:C)</f>
        <v>Starters</v>
      </c>
      <c r="H597" s="10">
        <f>_xlfn.XLOOKUP(C597,menu!A:A,menu!E:E)</f>
        <v>36</v>
      </c>
      <c r="I597" s="10">
        <f t="shared" si="9"/>
        <v>108</v>
      </c>
      <c r="K597" s="10"/>
      <c r="L597" s="5"/>
    </row>
    <row r="598" spans="1:12" x14ac:dyDescent="0.25">
      <c r="A598" s="5" t="s">
        <v>6460</v>
      </c>
      <c r="B598" s="5" t="s">
        <v>6457</v>
      </c>
      <c r="C598" s="5" t="s">
        <v>29</v>
      </c>
      <c r="D598" s="21">
        <v>3</v>
      </c>
      <c r="E598" s="12">
        <v>237</v>
      </c>
      <c r="F598" s="10" t="str">
        <f>_xlfn.XLOOKUP(C598,menu!A:A,menu!B:B)</f>
        <v>Paneer Roll</v>
      </c>
      <c r="G598" s="10" t="str">
        <f>_xlfn.XLOOKUP(C598,menu!A:A,menu!C:C)</f>
        <v>Rolls</v>
      </c>
      <c r="H598" s="10">
        <f>_xlfn.XLOOKUP(C598,menu!A:A,menu!E:E)</f>
        <v>24</v>
      </c>
      <c r="I598" s="10">
        <f t="shared" si="9"/>
        <v>72</v>
      </c>
      <c r="K598" s="10"/>
      <c r="L598" s="5"/>
    </row>
    <row r="599" spans="1:12" x14ac:dyDescent="0.25">
      <c r="A599" s="5" t="s">
        <v>6459</v>
      </c>
      <c r="B599" s="5" t="s">
        <v>6457</v>
      </c>
      <c r="C599" s="5" t="s">
        <v>10</v>
      </c>
      <c r="D599" s="21">
        <v>1</v>
      </c>
      <c r="E599" s="12">
        <v>119</v>
      </c>
      <c r="F599" s="10" t="str">
        <f>_xlfn.XLOOKUP(C599,menu!A:A,menu!B:B)</f>
        <v>Chicken Sandwich</v>
      </c>
      <c r="G599" s="10" t="str">
        <f>_xlfn.XLOOKUP(C599,menu!A:A,menu!C:C)</f>
        <v>Sandwich</v>
      </c>
      <c r="H599" s="10">
        <f>_xlfn.XLOOKUP(C599,menu!A:A,menu!E:E)</f>
        <v>36</v>
      </c>
      <c r="I599" s="10">
        <f t="shared" si="9"/>
        <v>36</v>
      </c>
      <c r="K599" s="10"/>
      <c r="L599" s="5"/>
    </row>
    <row r="600" spans="1:12" x14ac:dyDescent="0.25">
      <c r="A600" s="5" t="s">
        <v>6458</v>
      </c>
      <c r="B600" s="5" t="s">
        <v>6457</v>
      </c>
      <c r="C600" s="5" t="s">
        <v>44</v>
      </c>
      <c r="D600" s="21">
        <v>1</v>
      </c>
      <c r="E600" s="12">
        <v>159</v>
      </c>
      <c r="F600" s="10" t="str">
        <f>_xlfn.XLOOKUP(C600,menu!A:A,menu!B:B)</f>
        <v>Fried Chicken</v>
      </c>
      <c r="G600" s="10" t="str">
        <f>_xlfn.XLOOKUP(C600,menu!A:A,menu!C:C)</f>
        <v>Starters</v>
      </c>
      <c r="H600" s="10">
        <f>_xlfn.XLOOKUP(C600,menu!A:A,menu!E:E)</f>
        <v>48</v>
      </c>
      <c r="I600" s="10">
        <f t="shared" si="9"/>
        <v>48</v>
      </c>
      <c r="K600" s="10"/>
      <c r="L600" s="5"/>
    </row>
    <row r="601" spans="1:12" x14ac:dyDescent="0.25">
      <c r="A601" s="5" t="s">
        <v>6456</v>
      </c>
      <c r="B601" s="5" t="s">
        <v>6452</v>
      </c>
      <c r="C601" s="5" t="s">
        <v>5</v>
      </c>
      <c r="D601" s="21">
        <v>1</v>
      </c>
      <c r="E601" s="12">
        <v>79</v>
      </c>
      <c r="F601" s="10" t="str">
        <f>_xlfn.XLOOKUP(C601,menu!A:A,menu!B:B)</f>
        <v>Veg Sandwich</v>
      </c>
      <c r="G601" s="10" t="str">
        <f>_xlfn.XLOOKUP(C601,menu!A:A,menu!C:C)</f>
        <v>Sandwich</v>
      </c>
      <c r="H601" s="10">
        <f>_xlfn.XLOOKUP(C601,menu!A:A,menu!E:E)</f>
        <v>24</v>
      </c>
      <c r="I601" s="10">
        <f t="shared" si="9"/>
        <v>24</v>
      </c>
      <c r="K601" s="10"/>
      <c r="L601" s="5"/>
    </row>
    <row r="602" spans="1:12" x14ac:dyDescent="0.25">
      <c r="A602" s="5" t="s">
        <v>6455</v>
      </c>
      <c r="B602" s="5" t="s">
        <v>6452</v>
      </c>
      <c r="C602" s="5" t="s">
        <v>52</v>
      </c>
      <c r="D602" s="21">
        <v>2</v>
      </c>
      <c r="E602" s="12">
        <v>198</v>
      </c>
      <c r="F602" s="10" t="str">
        <f>_xlfn.XLOOKUP(C602,menu!A:A,menu!B:B)</f>
        <v>French Fries</v>
      </c>
      <c r="G602" s="10" t="str">
        <f>_xlfn.XLOOKUP(C602,menu!A:A,menu!C:C)</f>
        <v>Starters</v>
      </c>
      <c r="H602" s="10">
        <f>_xlfn.XLOOKUP(C602,menu!A:A,menu!E:E)</f>
        <v>30</v>
      </c>
      <c r="I602" s="10">
        <f t="shared" si="9"/>
        <v>60</v>
      </c>
      <c r="K602" s="10"/>
      <c r="L602" s="5"/>
    </row>
    <row r="603" spans="1:12" x14ac:dyDescent="0.25">
      <c r="A603" s="5" t="s">
        <v>6454</v>
      </c>
      <c r="B603" s="5" t="s">
        <v>6452</v>
      </c>
      <c r="C603" s="5" t="s">
        <v>63</v>
      </c>
      <c r="D603" s="21">
        <v>1</v>
      </c>
      <c r="E603" s="12">
        <v>79</v>
      </c>
      <c r="F603" s="10" t="str">
        <f>_xlfn.XLOOKUP(C603,menu!A:A,menu!B:B)</f>
        <v>Virgin Mojito</v>
      </c>
      <c r="G603" s="10" t="str">
        <f>_xlfn.XLOOKUP(C603,menu!A:A,menu!C:C)</f>
        <v>Beverages</v>
      </c>
      <c r="H603" s="10">
        <f>_xlfn.XLOOKUP(C603,menu!A:A,menu!E:E)</f>
        <v>24</v>
      </c>
      <c r="I603" s="10">
        <f t="shared" si="9"/>
        <v>24</v>
      </c>
      <c r="K603" s="10"/>
      <c r="L603" s="5"/>
    </row>
    <row r="604" spans="1:12" x14ac:dyDescent="0.25">
      <c r="A604" s="5" t="s">
        <v>6453</v>
      </c>
      <c r="B604" s="5" t="s">
        <v>6452</v>
      </c>
      <c r="C604" s="5" t="s">
        <v>26</v>
      </c>
      <c r="D604" s="21">
        <v>1</v>
      </c>
      <c r="E604" s="12">
        <v>59</v>
      </c>
      <c r="F604" s="10" t="str">
        <f>_xlfn.XLOOKUP(C604,menu!A:A,menu!B:B)</f>
        <v>Veg Roll</v>
      </c>
      <c r="G604" s="10" t="str">
        <f>_xlfn.XLOOKUP(C604,menu!A:A,menu!C:C)</f>
        <v>Rolls</v>
      </c>
      <c r="H604" s="10">
        <f>_xlfn.XLOOKUP(C604,menu!A:A,menu!E:E)</f>
        <v>18</v>
      </c>
      <c r="I604" s="10">
        <f t="shared" si="9"/>
        <v>18</v>
      </c>
      <c r="K604" s="10"/>
      <c r="L604" s="5"/>
    </row>
    <row r="605" spans="1:12" x14ac:dyDescent="0.25">
      <c r="A605" s="5" t="s">
        <v>6451</v>
      </c>
      <c r="B605" s="5" t="s">
        <v>6448</v>
      </c>
      <c r="C605" s="5" t="s">
        <v>5</v>
      </c>
      <c r="D605" s="21">
        <v>2</v>
      </c>
      <c r="E605" s="12">
        <v>158</v>
      </c>
      <c r="F605" s="10" t="str">
        <f>_xlfn.XLOOKUP(C605,menu!A:A,menu!B:B)</f>
        <v>Veg Sandwich</v>
      </c>
      <c r="G605" s="10" t="str">
        <f>_xlfn.XLOOKUP(C605,menu!A:A,menu!C:C)</f>
        <v>Sandwich</v>
      </c>
      <c r="H605" s="10">
        <f>_xlfn.XLOOKUP(C605,menu!A:A,menu!E:E)</f>
        <v>24</v>
      </c>
      <c r="I605" s="10">
        <f t="shared" si="9"/>
        <v>48</v>
      </c>
      <c r="K605" s="10"/>
      <c r="L605" s="5"/>
    </row>
    <row r="606" spans="1:12" x14ac:dyDescent="0.25">
      <c r="A606" s="5" t="s">
        <v>6450</v>
      </c>
      <c r="B606" s="5" t="s">
        <v>6448</v>
      </c>
      <c r="C606" s="5" t="s">
        <v>59</v>
      </c>
      <c r="D606" s="21">
        <v>1</v>
      </c>
      <c r="E606" s="12">
        <v>79</v>
      </c>
      <c r="F606" s="10" t="str">
        <f>_xlfn.XLOOKUP(C606,menu!A:A,menu!B:B)</f>
        <v>Blue Curacao Mojito</v>
      </c>
      <c r="G606" s="10" t="str">
        <f>_xlfn.XLOOKUP(C606,menu!A:A,menu!C:C)</f>
        <v>Beverages</v>
      </c>
      <c r="H606" s="10">
        <f>_xlfn.XLOOKUP(C606,menu!A:A,menu!E:E)</f>
        <v>24</v>
      </c>
      <c r="I606" s="10">
        <f t="shared" si="9"/>
        <v>24</v>
      </c>
      <c r="K606" s="10"/>
      <c r="L606" s="5"/>
    </row>
    <row r="607" spans="1:12" x14ac:dyDescent="0.25">
      <c r="A607" s="5" t="s">
        <v>6449</v>
      </c>
      <c r="B607" s="5" t="s">
        <v>6448</v>
      </c>
      <c r="C607" s="5" t="s">
        <v>38</v>
      </c>
      <c r="D607" s="21">
        <v>2</v>
      </c>
      <c r="E607" s="12">
        <v>298</v>
      </c>
      <c r="F607" s="10" t="str">
        <f>_xlfn.XLOOKUP(C607,menu!A:A,menu!B:B)</f>
        <v>Chicken Wings</v>
      </c>
      <c r="G607" s="10" t="str">
        <f>_xlfn.XLOOKUP(C607,menu!A:A,menu!C:C)</f>
        <v>Starters</v>
      </c>
      <c r="H607" s="10">
        <f>_xlfn.XLOOKUP(C607,menu!A:A,menu!E:E)</f>
        <v>45</v>
      </c>
      <c r="I607" s="10">
        <f t="shared" si="9"/>
        <v>90</v>
      </c>
      <c r="K607" s="10"/>
      <c r="L607" s="5"/>
    </row>
    <row r="608" spans="1:12" x14ac:dyDescent="0.25">
      <c r="A608" s="5" t="s">
        <v>6447</v>
      </c>
      <c r="B608" s="5" t="s">
        <v>6446</v>
      </c>
      <c r="C608" s="5" t="s">
        <v>42</v>
      </c>
      <c r="D608" s="21">
        <v>2</v>
      </c>
      <c r="E608" s="12">
        <v>298</v>
      </c>
      <c r="F608" s="10" t="str">
        <f>_xlfn.XLOOKUP(C608,menu!A:A,menu!B:B)</f>
        <v>Chicken Popcorn</v>
      </c>
      <c r="G608" s="10" t="str">
        <f>_xlfn.XLOOKUP(C608,menu!A:A,menu!C:C)</f>
        <v>Starters</v>
      </c>
      <c r="H608" s="10">
        <f>_xlfn.XLOOKUP(C608,menu!A:A,menu!E:E)</f>
        <v>45</v>
      </c>
      <c r="I608" s="10">
        <f t="shared" si="9"/>
        <v>90</v>
      </c>
      <c r="K608" s="10"/>
      <c r="L608" s="5"/>
    </row>
    <row r="609" spans="1:12" x14ac:dyDescent="0.25">
      <c r="A609" s="5" t="s">
        <v>6445</v>
      </c>
      <c r="B609" s="5" t="s">
        <v>6441</v>
      </c>
      <c r="C609" s="5" t="s">
        <v>52</v>
      </c>
      <c r="D609" s="21">
        <v>1</v>
      </c>
      <c r="E609" s="12">
        <v>99</v>
      </c>
      <c r="F609" s="10" t="str">
        <f>_xlfn.XLOOKUP(C609,menu!A:A,menu!B:B)</f>
        <v>French Fries</v>
      </c>
      <c r="G609" s="10" t="str">
        <f>_xlfn.XLOOKUP(C609,menu!A:A,menu!C:C)</f>
        <v>Starters</v>
      </c>
      <c r="H609" s="10">
        <f>_xlfn.XLOOKUP(C609,menu!A:A,menu!E:E)</f>
        <v>30</v>
      </c>
      <c r="I609" s="10">
        <f t="shared" si="9"/>
        <v>30</v>
      </c>
      <c r="K609" s="10"/>
      <c r="L609" s="5"/>
    </row>
    <row r="610" spans="1:12" x14ac:dyDescent="0.25">
      <c r="A610" s="5" t="s">
        <v>6444</v>
      </c>
      <c r="B610" s="5" t="s">
        <v>6441</v>
      </c>
      <c r="C610" s="5" t="s">
        <v>50</v>
      </c>
      <c r="D610" s="21">
        <v>1</v>
      </c>
      <c r="E610" s="12">
        <v>149</v>
      </c>
      <c r="F610" s="10" t="str">
        <f>_xlfn.XLOOKUP(C610,menu!A:A,menu!B:B)</f>
        <v>Grab Lollipop</v>
      </c>
      <c r="G610" s="10" t="str">
        <f>_xlfn.XLOOKUP(C610,menu!A:A,menu!C:C)</f>
        <v>Starters</v>
      </c>
      <c r="H610" s="10">
        <f>_xlfn.XLOOKUP(C610,menu!A:A,menu!E:E)</f>
        <v>45</v>
      </c>
      <c r="I610" s="10">
        <f t="shared" si="9"/>
        <v>45</v>
      </c>
      <c r="K610" s="10"/>
      <c r="L610" s="5"/>
    </row>
    <row r="611" spans="1:12" x14ac:dyDescent="0.25">
      <c r="A611" s="5" t="s">
        <v>6443</v>
      </c>
      <c r="B611" s="5" t="s">
        <v>6441</v>
      </c>
      <c r="C611" s="5" t="s">
        <v>42</v>
      </c>
      <c r="D611" s="21">
        <v>1</v>
      </c>
      <c r="E611" s="12">
        <v>149</v>
      </c>
      <c r="F611" s="10" t="str">
        <f>_xlfn.XLOOKUP(C611,menu!A:A,menu!B:B)</f>
        <v>Chicken Popcorn</v>
      </c>
      <c r="G611" s="10" t="str">
        <f>_xlfn.XLOOKUP(C611,menu!A:A,menu!C:C)</f>
        <v>Starters</v>
      </c>
      <c r="H611" s="10">
        <f>_xlfn.XLOOKUP(C611,menu!A:A,menu!E:E)</f>
        <v>45</v>
      </c>
      <c r="I611" s="10">
        <f t="shared" si="9"/>
        <v>45</v>
      </c>
      <c r="K611" s="10"/>
      <c r="L611" s="5"/>
    </row>
    <row r="612" spans="1:12" x14ac:dyDescent="0.25">
      <c r="A612" s="5" t="s">
        <v>6442</v>
      </c>
      <c r="B612" s="5" t="s">
        <v>6441</v>
      </c>
      <c r="C612" s="5" t="s">
        <v>26</v>
      </c>
      <c r="D612" s="21">
        <v>2</v>
      </c>
      <c r="E612" s="12">
        <v>118</v>
      </c>
      <c r="F612" s="10" t="str">
        <f>_xlfn.XLOOKUP(C612,menu!A:A,menu!B:B)</f>
        <v>Veg Roll</v>
      </c>
      <c r="G612" s="10" t="str">
        <f>_xlfn.XLOOKUP(C612,menu!A:A,menu!C:C)</f>
        <v>Rolls</v>
      </c>
      <c r="H612" s="10">
        <f>_xlfn.XLOOKUP(C612,menu!A:A,menu!E:E)</f>
        <v>18</v>
      </c>
      <c r="I612" s="10">
        <f t="shared" si="9"/>
        <v>36</v>
      </c>
      <c r="K612" s="10"/>
      <c r="L612" s="5"/>
    </row>
    <row r="613" spans="1:12" x14ac:dyDescent="0.25">
      <c r="A613" s="5" t="s">
        <v>6440</v>
      </c>
      <c r="B613" s="5" t="s">
        <v>6439</v>
      </c>
      <c r="C613" s="5" t="s">
        <v>38</v>
      </c>
      <c r="D613" s="21">
        <v>1</v>
      </c>
      <c r="E613" s="12">
        <v>149</v>
      </c>
      <c r="F613" s="10" t="str">
        <f>_xlfn.XLOOKUP(C613,menu!A:A,menu!B:B)</f>
        <v>Chicken Wings</v>
      </c>
      <c r="G613" s="10" t="str">
        <f>_xlfn.XLOOKUP(C613,menu!A:A,menu!C:C)</f>
        <v>Starters</v>
      </c>
      <c r="H613" s="10">
        <f>_xlfn.XLOOKUP(C613,menu!A:A,menu!E:E)</f>
        <v>45</v>
      </c>
      <c r="I613" s="10">
        <f t="shared" si="9"/>
        <v>45</v>
      </c>
      <c r="K613" s="10"/>
      <c r="L613" s="5"/>
    </row>
    <row r="614" spans="1:12" x14ac:dyDescent="0.25">
      <c r="A614" s="5" t="s">
        <v>6438</v>
      </c>
      <c r="B614" s="5" t="s">
        <v>6436</v>
      </c>
      <c r="C614" s="5" t="s">
        <v>40</v>
      </c>
      <c r="D614" s="21">
        <v>1</v>
      </c>
      <c r="E614" s="12">
        <v>99</v>
      </c>
      <c r="F614" s="10" t="str">
        <f>_xlfn.XLOOKUP(C614,menu!A:A,menu!B:B)</f>
        <v>Veg Nuggets</v>
      </c>
      <c r="G614" s="10" t="str">
        <f>_xlfn.XLOOKUP(C614,menu!A:A,menu!C:C)</f>
        <v>Starters</v>
      </c>
      <c r="H614" s="10">
        <f>_xlfn.XLOOKUP(C614,menu!A:A,menu!E:E)</f>
        <v>30</v>
      </c>
      <c r="I614" s="10">
        <f t="shared" si="9"/>
        <v>30</v>
      </c>
      <c r="K614" s="10"/>
      <c r="L614" s="5"/>
    </row>
    <row r="615" spans="1:12" x14ac:dyDescent="0.25">
      <c r="A615" s="5" t="s">
        <v>6437</v>
      </c>
      <c r="B615" s="5" t="s">
        <v>6436</v>
      </c>
      <c r="C615" s="5" t="s">
        <v>44</v>
      </c>
      <c r="D615" s="21">
        <v>4</v>
      </c>
      <c r="E615" s="12">
        <v>636</v>
      </c>
      <c r="F615" s="10" t="str">
        <f>_xlfn.XLOOKUP(C615,menu!A:A,menu!B:B)</f>
        <v>Fried Chicken</v>
      </c>
      <c r="G615" s="10" t="str">
        <f>_xlfn.XLOOKUP(C615,menu!A:A,menu!C:C)</f>
        <v>Starters</v>
      </c>
      <c r="H615" s="10">
        <f>_xlfn.XLOOKUP(C615,menu!A:A,menu!E:E)</f>
        <v>48</v>
      </c>
      <c r="I615" s="10">
        <f t="shared" si="9"/>
        <v>192</v>
      </c>
      <c r="K615" s="10"/>
      <c r="L615" s="5"/>
    </row>
    <row r="616" spans="1:12" x14ac:dyDescent="0.25">
      <c r="A616" s="5" t="s">
        <v>6435</v>
      </c>
      <c r="B616" s="5" t="s">
        <v>6433</v>
      </c>
      <c r="C616" s="5" t="s">
        <v>40</v>
      </c>
      <c r="D616" s="21">
        <v>5</v>
      </c>
      <c r="E616" s="12">
        <v>495</v>
      </c>
      <c r="F616" s="10" t="str">
        <f>_xlfn.XLOOKUP(C616,menu!A:A,menu!B:B)</f>
        <v>Veg Nuggets</v>
      </c>
      <c r="G616" s="10" t="str">
        <f>_xlfn.XLOOKUP(C616,menu!A:A,menu!C:C)</f>
        <v>Starters</v>
      </c>
      <c r="H616" s="10">
        <f>_xlfn.XLOOKUP(C616,menu!A:A,menu!E:E)</f>
        <v>30</v>
      </c>
      <c r="I616" s="10">
        <f t="shared" si="9"/>
        <v>150</v>
      </c>
      <c r="K616" s="10"/>
      <c r="L616" s="5"/>
    </row>
    <row r="617" spans="1:12" x14ac:dyDescent="0.25">
      <c r="A617" s="5" t="s">
        <v>6434</v>
      </c>
      <c r="B617" s="5" t="s">
        <v>6433</v>
      </c>
      <c r="C617" s="5" t="s">
        <v>17</v>
      </c>
      <c r="D617" s="21">
        <v>5</v>
      </c>
      <c r="E617" s="12">
        <v>445</v>
      </c>
      <c r="F617" s="10" t="str">
        <f>_xlfn.XLOOKUP(C617,menu!A:A,menu!B:B)</f>
        <v>Paneer Momos</v>
      </c>
      <c r="G617" s="10" t="str">
        <f>_xlfn.XLOOKUP(C617,menu!A:A,menu!C:C)</f>
        <v>Momos</v>
      </c>
      <c r="H617" s="10">
        <f>_xlfn.XLOOKUP(C617,menu!A:A,menu!E:E)</f>
        <v>27</v>
      </c>
      <c r="I617" s="10">
        <f t="shared" si="9"/>
        <v>135</v>
      </c>
      <c r="K617" s="10"/>
      <c r="L617" s="5"/>
    </row>
    <row r="618" spans="1:12" x14ac:dyDescent="0.25">
      <c r="A618" s="5" t="s">
        <v>6432</v>
      </c>
      <c r="B618" s="5" t="s">
        <v>6431</v>
      </c>
      <c r="C618" s="5" t="s">
        <v>12</v>
      </c>
      <c r="D618" s="21">
        <v>1</v>
      </c>
      <c r="E618" s="12">
        <v>79</v>
      </c>
      <c r="F618" s="10" t="str">
        <f>_xlfn.XLOOKUP(C618,menu!A:A,menu!B:B)</f>
        <v>Veg Momos</v>
      </c>
      <c r="G618" s="10" t="str">
        <f>_xlfn.XLOOKUP(C618,menu!A:A,menu!C:C)</f>
        <v>Momos</v>
      </c>
      <c r="H618" s="10">
        <f>_xlfn.XLOOKUP(C618,menu!A:A,menu!E:E)</f>
        <v>24</v>
      </c>
      <c r="I618" s="10">
        <f t="shared" si="9"/>
        <v>24</v>
      </c>
      <c r="K618" s="10"/>
      <c r="L618" s="5"/>
    </row>
    <row r="619" spans="1:12" x14ac:dyDescent="0.25">
      <c r="A619" s="5" t="s">
        <v>6430</v>
      </c>
      <c r="B619" s="5" t="s">
        <v>6428</v>
      </c>
      <c r="C619" s="5" t="s">
        <v>44</v>
      </c>
      <c r="D619" s="21">
        <v>4</v>
      </c>
      <c r="E619" s="12">
        <v>636</v>
      </c>
      <c r="F619" s="10" t="str">
        <f>_xlfn.XLOOKUP(C619,menu!A:A,menu!B:B)</f>
        <v>Fried Chicken</v>
      </c>
      <c r="G619" s="10" t="str">
        <f>_xlfn.XLOOKUP(C619,menu!A:A,menu!C:C)</f>
        <v>Starters</v>
      </c>
      <c r="H619" s="10">
        <f>_xlfn.XLOOKUP(C619,menu!A:A,menu!E:E)</f>
        <v>48</v>
      </c>
      <c r="I619" s="10">
        <f t="shared" si="9"/>
        <v>192</v>
      </c>
      <c r="K619" s="10"/>
      <c r="L619" s="5"/>
    </row>
    <row r="620" spans="1:12" x14ac:dyDescent="0.25">
      <c r="A620" s="5" t="s">
        <v>6429</v>
      </c>
      <c r="B620" s="5" t="s">
        <v>6428</v>
      </c>
      <c r="C620" s="5" t="s">
        <v>22</v>
      </c>
      <c r="D620" s="21">
        <v>2</v>
      </c>
      <c r="E620" s="12">
        <v>198</v>
      </c>
      <c r="F620" s="10" t="str">
        <f>_xlfn.XLOOKUP(C620,menu!A:A,menu!B:B)</f>
        <v>Chicken Burger</v>
      </c>
      <c r="G620" s="10" t="str">
        <f>_xlfn.XLOOKUP(C620,menu!A:A,menu!C:C)</f>
        <v>Burger</v>
      </c>
      <c r="H620" s="10">
        <f>_xlfn.XLOOKUP(C620,menu!A:A,menu!E:E)</f>
        <v>30</v>
      </c>
      <c r="I620" s="10">
        <f t="shared" si="9"/>
        <v>60</v>
      </c>
      <c r="K620" s="10"/>
      <c r="L620" s="5"/>
    </row>
    <row r="621" spans="1:12" x14ac:dyDescent="0.25">
      <c r="A621" s="5" t="s">
        <v>6427</v>
      </c>
      <c r="B621" s="5" t="s">
        <v>6424</v>
      </c>
      <c r="C621" s="5" t="s">
        <v>17</v>
      </c>
      <c r="D621" s="21">
        <v>1</v>
      </c>
      <c r="E621" s="12">
        <v>89</v>
      </c>
      <c r="F621" s="10" t="str">
        <f>_xlfn.XLOOKUP(C621,menu!A:A,menu!B:B)</f>
        <v>Paneer Momos</v>
      </c>
      <c r="G621" s="10" t="str">
        <f>_xlfn.XLOOKUP(C621,menu!A:A,menu!C:C)</f>
        <v>Momos</v>
      </c>
      <c r="H621" s="10">
        <f>_xlfn.XLOOKUP(C621,menu!A:A,menu!E:E)</f>
        <v>27</v>
      </c>
      <c r="I621" s="10">
        <f t="shared" si="9"/>
        <v>27</v>
      </c>
      <c r="K621" s="10"/>
      <c r="L621" s="5"/>
    </row>
    <row r="622" spans="1:12" x14ac:dyDescent="0.25">
      <c r="A622" s="5" t="s">
        <v>6426</v>
      </c>
      <c r="B622" s="5" t="s">
        <v>6424</v>
      </c>
      <c r="C622" s="5" t="s">
        <v>46</v>
      </c>
      <c r="D622" s="21">
        <v>3</v>
      </c>
      <c r="E622" s="12">
        <v>447</v>
      </c>
      <c r="F622" s="10" t="str">
        <f>_xlfn.XLOOKUP(C622,menu!A:A,menu!B:B)</f>
        <v>Fish Finger</v>
      </c>
      <c r="G622" s="10" t="str">
        <f>_xlfn.XLOOKUP(C622,menu!A:A,menu!C:C)</f>
        <v>Starters</v>
      </c>
      <c r="H622" s="10">
        <f>_xlfn.XLOOKUP(C622,menu!A:A,menu!E:E)</f>
        <v>45</v>
      </c>
      <c r="I622" s="10">
        <f t="shared" si="9"/>
        <v>135</v>
      </c>
      <c r="K622" s="10"/>
      <c r="L622" s="5"/>
    </row>
    <row r="623" spans="1:12" x14ac:dyDescent="0.25">
      <c r="A623" s="5" t="s">
        <v>6425</v>
      </c>
      <c r="B623" s="5" t="s">
        <v>6424</v>
      </c>
      <c r="C623" s="5" t="s">
        <v>26</v>
      </c>
      <c r="D623" s="21">
        <v>1</v>
      </c>
      <c r="E623" s="12">
        <v>59</v>
      </c>
      <c r="F623" s="10" t="str">
        <f>_xlfn.XLOOKUP(C623,menu!A:A,menu!B:B)</f>
        <v>Veg Roll</v>
      </c>
      <c r="G623" s="10" t="str">
        <f>_xlfn.XLOOKUP(C623,menu!A:A,menu!C:C)</f>
        <v>Rolls</v>
      </c>
      <c r="H623" s="10">
        <f>_xlfn.XLOOKUP(C623,menu!A:A,menu!E:E)</f>
        <v>18</v>
      </c>
      <c r="I623" s="10">
        <f t="shared" si="9"/>
        <v>18</v>
      </c>
      <c r="K623" s="10"/>
      <c r="L623" s="5"/>
    </row>
    <row r="624" spans="1:12" x14ac:dyDescent="0.25">
      <c r="A624" s="5" t="s">
        <v>6423</v>
      </c>
      <c r="B624" s="5" t="s">
        <v>6421</v>
      </c>
      <c r="C624" s="5" t="s">
        <v>35</v>
      </c>
      <c r="D624" s="21">
        <v>1</v>
      </c>
      <c r="E624" s="12">
        <v>119</v>
      </c>
      <c r="F624" s="10" t="str">
        <f>_xlfn.XLOOKUP(C624,menu!A:A,menu!B:B)</f>
        <v>Chicken Nuggets</v>
      </c>
      <c r="G624" s="10" t="str">
        <f>_xlfn.XLOOKUP(C624,menu!A:A,menu!C:C)</f>
        <v>Starters</v>
      </c>
      <c r="H624" s="10">
        <f>_xlfn.XLOOKUP(C624,menu!A:A,menu!E:E)</f>
        <v>36</v>
      </c>
      <c r="I624" s="10">
        <f t="shared" si="9"/>
        <v>36</v>
      </c>
      <c r="K624" s="10"/>
      <c r="L624" s="5"/>
    </row>
    <row r="625" spans="1:12" x14ac:dyDescent="0.25">
      <c r="A625" s="5" t="s">
        <v>6422</v>
      </c>
      <c r="B625" s="5" t="s">
        <v>6421</v>
      </c>
      <c r="C625" s="5" t="s">
        <v>61</v>
      </c>
      <c r="D625" s="21">
        <v>1</v>
      </c>
      <c r="E625" s="12">
        <v>79</v>
      </c>
      <c r="F625" s="10" t="str">
        <f>_xlfn.XLOOKUP(C625,menu!A:A,menu!B:B)</f>
        <v>Watermelon Mojito</v>
      </c>
      <c r="G625" s="10" t="str">
        <f>_xlfn.XLOOKUP(C625,menu!A:A,menu!C:C)</f>
        <v>Beverages</v>
      </c>
      <c r="H625" s="10">
        <f>_xlfn.XLOOKUP(C625,menu!A:A,menu!E:E)</f>
        <v>24</v>
      </c>
      <c r="I625" s="10">
        <f t="shared" si="9"/>
        <v>24</v>
      </c>
      <c r="K625" s="10"/>
      <c r="L625" s="5"/>
    </row>
    <row r="626" spans="1:12" x14ac:dyDescent="0.25">
      <c r="A626" s="5" t="s">
        <v>6420</v>
      </c>
      <c r="B626" s="5" t="s">
        <v>6418</v>
      </c>
      <c r="C626" s="5" t="s">
        <v>35</v>
      </c>
      <c r="D626" s="21">
        <v>1</v>
      </c>
      <c r="E626" s="12">
        <v>119</v>
      </c>
      <c r="F626" s="10" t="str">
        <f>_xlfn.XLOOKUP(C626,menu!A:A,menu!B:B)</f>
        <v>Chicken Nuggets</v>
      </c>
      <c r="G626" s="10" t="str">
        <f>_xlfn.XLOOKUP(C626,menu!A:A,menu!C:C)</f>
        <v>Starters</v>
      </c>
      <c r="H626" s="10">
        <f>_xlfn.XLOOKUP(C626,menu!A:A,menu!E:E)</f>
        <v>36</v>
      </c>
      <c r="I626" s="10">
        <f t="shared" si="9"/>
        <v>36</v>
      </c>
      <c r="K626" s="10"/>
      <c r="L626" s="5"/>
    </row>
    <row r="627" spans="1:12" x14ac:dyDescent="0.25">
      <c r="A627" s="5" t="s">
        <v>6419</v>
      </c>
      <c r="B627" s="5" t="s">
        <v>6418</v>
      </c>
      <c r="C627" s="5" t="s">
        <v>54</v>
      </c>
      <c r="D627" s="21">
        <v>1</v>
      </c>
      <c r="E627" s="12">
        <v>139</v>
      </c>
      <c r="F627" s="10" t="str">
        <f>_xlfn.XLOOKUP(C627,menu!A:A,menu!B:B)</f>
        <v>Chicken Strips</v>
      </c>
      <c r="G627" s="10" t="str">
        <f>_xlfn.XLOOKUP(C627,menu!A:A,menu!C:C)</f>
        <v>Starters</v>
      </c>
      <c r="H627" s="10">
        <f>_xlfn.XLOOKUP(C627,menu!A:A,menu!E:E)</f>
        <v>42</v>
      </c>
      <c r="I627" s="10">
        <f t="shared" si="9"/>
        <v>42</v>
      </c>
      <c r="K627" s="10"/>
      <c r="L627" s="5"/>
    </row>
    <row r="628" spans="1:12" x14ac:dyDescent="0.25">
      <c r="A628" s="5" t="s">
        <v>6417</v>
      </c>
      <c r="B628" s="5" t="s">
        <v>6415</v>
      </c>
      <c r="C628" s="5" t="s">
        <v>40</v>
      </c>
      <c r="D628" s="21">
        <v>1</v>
      </c>
      <c r="E628" s="12">
        <v>99</v>
      </c>
      <c r="F628" s="10" t="str">
        <f>_xlfn.XLOOKUP(C628,menu!A:A,menu!B:B)</f>
        <v>Veg Nuggets</v>
      </c>
      <c r="G628" s="10" t="str">
        <f>_xlfn.XLOOKUP(C628,menu!A:A,menu!C:C)</f>
        <v>Starters</v>
      </c>
      <c r="H628" s="10">
        <f>_xlfn.XLOOKUP(C628,menu!A:A,menu!E:E)</f>
        <v>30</v>
      </c>
      <c r="I628" s="10">
        <f t="shared" si="9"/>
        <v>30</v>
      </c>
      <c r="K628" s="10"/>
      <c r="L628" s="5"/>
    </row>
    <row r="629" spans="1:12" x14ac:dyDescent="0.25">
      <c r="A629" s="5" t="s">
        <v>6416</v>
      </c>
      <c r="B629" s="5" t="s">
        <v>6415</v>
      </c>
      <c r="C629" s="5" t="s">
        <v>54</v>
      </c>
      <c r="D629" s="21">
        <v>2</v>
      </c>
      <c r="E629" s="12">
        <v>278</v>
      </c>
      <c r="F629" s="10" t="str">
        <f>_xlfn.XLOOKUP(C629,menu!A:A,menu!B:B)</f>
        <v>Chicken Strips</v>
      </c>
      <c r="G629" s="10" t="str">
        <f>_xlfn.XLOOKUP(C629,menu!A:A,menu!C:C)</f>
        <v>Starters</v>
      </c>
      <c r="H629" s="10">
        <f>_xlfn.XLOOKUP(C629,menu!A:A,menu!E:E)</f>
        <v>42</v>
      </c>
      <c r="I629" s="10">
        <f t="shared" si="9"/>
        <v>84</v>
      </c>
      <c r="K629" s="10"/>
      <c r="L629" s="5"/>
    </row>
    <row r="630" spans="1:12" x14ac:dyDescent="0.25">
      <c r="A630" s="5" t="s">
        <v>6414</v>
      </c>
      <c r="B630" s="5" t="s">
        <v>6410</v>
      </c>
      <c r="C630" s="5" t="s">
        <v>56</v>
      </c>
      <c r="D630" s="21">
        <v>5</v>
      </c>
      <c r="E630" s="12">
        <v>395</v>
      </c>
      <c r="F630" s="10" t="str">
        <f>_xlfn.XLOOKUP(C630,menu!A:A,menu!B:B)</f>
        <v>Mint Mojito</v>
      </c>
      <c r="G630" s="10" t="str">
        <f>_xlfn.XLOOKUP(C630,menu!A:A,menu!C:C)</f>
        <v>Beverages</v>
      </c>
      <c r="H630" s="10">
        <f>_xlfn.XLOOKUP(C630,menu!A:A,menu!E:E)</f>
        <v>24</v>
      </c>
      <c r="I630" s="10">
        <f t="shared" si="9"/>
        <v>120</v>
      </c>
      <c r="K630" s="10"/>
      <c r="L630" s="5"/>
    </row>
    <row r="631" spans="1:12" x14ac:dyDescent="0.25">
      <c r="A631" s="5" t="s">
        <v>6413</v>
      </c>
      <c r="B631" s="5" t="s">
        <v>6410</v>
      </c>
      <c r="C631" s="5" t="s">
        <v>8</v>
      </c>
      <c r="D631" s="21">
        <v>3</v>
      </c>
      <c r="E631" s="12">
        <v>297</v>
      </c>
      <c r="F631" s="10" t="str">
        <f>_xlfn.XLOOKUP(C631,menu!A:A,menu!B:B)</f>
        <v>Paneer Sandwich</v>
      </c>
      <c r="G631" s="10" t="str">
        <f>_xlfn.XLOOKUP(C631,menu!A:A,menu!C:C)</f>
        <v>Sandwich</v>
      </c>
      <c r="H631" s="10">
        <f>_xlfn.XLOOKUP(C631,menu!A:A,menu!E:E)</f>
        <v>30</v>
      </c>
      <c r="I631" s="10">
        <f t="shared" si="9"/>
        <v>90</v>
      </c>
      <c r="K631" s="10"/>
      <c r="L631" s="5"/>
    </row>
    <row r="632" spans="1:12" x14ac:dyDescent="0.25">
      <c r="A632" s="5" t="s">
        <v>6412</v>
      </c>
      <c r="B632" s="5" t="s">
        <v>6410</v>
      </c>
      <c r="C632" s="5" t="s">
        <v>33</v>
      </c>
      <c r="D632" s="21">
        <v>2</v>
      </c>
      <c r="E632" s="12">
        <v>138</v>
      </c>
      <c r="F632" s="10" t="str">
        <f>_xlfn.XLOOKUP(C632,menu!A:A,menu!B:B)</f>
        <v>Spring Roll</v>
      </c>
      <c r="G632" s="10" t="str">
        <f>_xlfn.XLOOKUP(C632,menu!A:A,menu!C:C)</f>
        <v>Rolls</v>
      </c>
      <c r="H632" s="10">
        <f>_xlfn.XLOOKUP(C632,menu!A:A,menu!E:E)</f>
        <v>21</v>
      </c>
      <c r="I632" s="10">
        <f t="shared" si="9"/>
        <v>42</v>
      </c>
      <c r="K632" s="10"/>
      <c r="L632" s="5"/>
    </row>
    <row r="633" spans="1:12" x14ac:dyDescent="0.25">
      <c r="A633" s="5" t="s">
        <v>6411</v>
      </c>
      <c r="B633" s="5" t="s">
        <v>6410</v>
      </c>
      <c r="C633" s="5" t="s">
        <v>59</v>
      </c>
      <c r="D633" s="21">
        <v>1</v>
      </c>
      <c r="E633" s="12">
        <v>79</v>
      </c>
      <c r="F633" s="10" t="str">
        <f>_xlfn.XLOOKUP(C633,menu!A:A,menu!B:B)</f>
        <v>Blue Curacao Mojito</v>
      </c>
      <c r="G633" s="10" t="str">
        <f>_xlfn.XLOOKUP(C633,menu!A:A,menu!C:C)</f>
        <v>Beverages</v>
      </c>
      <c r="H633" s="10">
        <f>_xlfn.XLOOKUP(C633,menu!A:A,menu!E:E)</f>
        <v>24</v>
      </c>
      <c r="I633" s="10">
        <f t="shared" si="9"/>
        <v>24</v>
      </c>
      <c r="K633" s="10"/>
      <c r="L633" s="5"/>
    </row>
    <row r="634" spans="1:12" x14ac:dyDescent="0.25">
      <c r="A634" s="5" t="s">
        <v>6409</v>
      </c>
      <c r="B634" s="5" t="s">
        <v>6405</v>
      </c>
      <c r="C634" s="5" t="s">
        <v>12</v>
      </c>
      <c r="D634" s="21">
        <v>2</v>
      </c>
      <c r="E634" s="12">
        <v>158</v>
      </c>
      <c r="F634" s="10" t="str">
        <f>_xlfn.XLOOKUP(C634,menu!A:A,menu!B:B)</f>
        <v>Veg Momos</v>
      </c>
      <c r="G634" s="10" t="str">
        <f>_xlfn.XLOOKUP(C634,menu!A:A,menu!C:C)</f>
        <v>Momos</v>
      </c>
      <c r="H634" s="10">
        <f>_xlfn.XLOOKUP(C634,menu!A:A,menu!E:E)</f>
        <v>24</v>
      </c>
      <c r="I634" s="10">
        <f t="shared" si="9"/>
        <v>48</v>
      </c>
      <c r="K634" s="10"/>
      <c r="L634" s="5"/>
    </row>
    <row r="635" spans="1:12" x14ac:dyDescent="0.25">
      <c r="A635" s="5" t="s">
        <v>6408</v>
      </c>
      <c r="B635" s="5" t="s">
        <v>6405</v>
      </c>
      <c r="C635" s="5" t="s">
        <v>44</v>
      </c>
      <c r="D635" s="21">
        <v>1</v>
      </c>
      <c r="E635" s="12">
        <v>159</v>
      </c>
      <c r="F635" s="10" t="str">
        <f>_xlfn.XLOOKUP(C635,menu!A:A,menu!B:B)</f>
        <v>Fried Chicken</v>
      </c>
      <c r="G635" s="10" t="str">
        <f>_xlfn.XLOOKUP(C635,menu!A:A,menu!C:C)</f>
        <v>Starters</v>
      </c>
      <c r="H635" s="10">
        <f>_xlfn.XLOOKUP(C635,menu!A:A,menu!E:E)</f>
        <v>48</v>
      </c>
      <c r="I635" s="10">
        <f t="shared" si="9"/>
        <v>48</v>
      </c>
      <c r="K635" s="10"/>
      <c r="L635" s="5"/>
    </row>
    <row r="636" spans="1:12" x14ac:dyDescent="0.25">
      <c r="A636" s="5" t="s">
        <v>6407</v>
      </c>
      <c r="B636" s="5" t="s">
        <v>6405</v>
      </c>
      <c r="C636" s="5" t="s">
        <v>15</v>
      </c>
      <c r="D636" s="21">
        <v>2</v>
      </c>
      <c r="E636" s="12">
        <v>198</v>
      </c>
      <c r="F636" s="10" t="str">
        <f>_xlfn.XLOOKUP(C636,menu!A:A,menu!B:B)</f>
        <v>Chicken Momos</v>
      </c>
      <c r="G636" s="10" t="str">
        <f>_xlfn.XLOOKUP(C636,menu!A:A,menu!C:C)</f>
        <v>Momos</v>
      </c>
      <c r="H636" s="10">
        <f>_xlfn.XLOOKUP(C636,menu!A:A,menu!E:E)</f>
        <v>30</v>
      </c>
      <c r="I636" s="10">
        <f t="shared" si="9"/>
        <v>60</v>
      </c>
      <c r="K636" s="10"/>
      <c r="L636" s="5"/>
    </row>
    <row r="637" spans="1:12" x14ac:dyDescent="0.25">
      <c r="A637" s="5" t="s">
        <v>6406</v>
      </c>
      <c r="B637" s="5" t="s">
        <v>6405</v>
      </c>
      <c r="C637" s="5" t="s">
        <v>24</v>
      </c>
      <c r="D637" s="21">
        <v>3</v>
      </c>
      <c r="E637" s="12">
        <v>267</v>
      </c>
      <c r="F637" s="10" t="str">
        <f>_xlfn.XLOOKUP(C637,menu!A:A,menu!B:B)</f>
        <v>Paneer Burger</v>
      </c>
      <c r="G637" s="10" t="str">
        <f>_xlfn.XLOOKUP(C637,menu!A:A,menu!C:C)</f>
        <v>Burger</v>
      </c>
      <c r="H637" s="10">
        <f>_xlfn.XLOOKUP(C637,menu!A:A,menu!E:E)</f>
        <v>27</v>
      </c>
      <c r="I637" s="10">
        <f t="shared" si="9"/>
        <v>81</v>
      </c>
      <c r="K637" s="10"/>
      <c r="L637" s="5"/>
    </row>
    <row r="638" spans="1:12" x14ac:dyDescent="0.25">
      <c r="A638" s="5" t="s">
        <v>6404</v>
      </c>
      <c r="B638" s="5" t="s">
        <v>6401</v>
      </c>
      <c r="C638" s="5" t="s">
        <v>5</v>
      </c>
      <c r="D638" s="21">
        <v>2</v>
      </c>
      <c r="E638" s="12">
        <v>158</v>
      </c>
      <c r="F638" s="10" t="str">
        <f>_xlfn.XLOOKUP(C638,menu!A:A,menu!B:B)</f>
        <v>Veg Sandwich</v>
      </c>
      <c r="G638" s="10" t="str">
        <f>_xlfn.XLOOKUP(C638,menu!A:A,menu!C:C)</f>
        <v>Sandwich</v>
      </c>
      <c r="H638" s="10">
        <f>_xlfn.XLOOKUP(C638,menu!A:A,menu!E:E)</f>
        <v>24</v>
      </c>
      <c r="I638" s="10">
        <f t="shared" si="9"/>
        <v>48</v>
      </c>
      <c r="K638" s="10"/>
      <c r="L638" s="5"/>
    </row>
    <row r="639" spans="1:12" x14ac:dyDescent="0.25">
      <c r="A639" s="5" t="s">
        <v>6403</v>
      </c>
      <c r="B639" s="5" t="s">
        <v>6401</v>
      </c>
      <c r="C639" s="5" t="s">
        <v>44</v>
      </c>
      <c r="D639" s="21">
        <v>2</v>
      </c>
      <c r="E639" s="12">
        <v>318</v>
      </c>
      <c r="F639" s="10" t="str">
        <f>_xlfn.XLOOKUP(C639,menu!A:A,menu!B:B)</f>
        <v>Fried Chicken</v>
      </c>
      <c r="G639" s="10" t="str">
        <f>_xlfn.XLOOKUP(C639,menu!A:A,menu!C:C)</f>
        <v>Starters</v>
      </c>
      <c r="H639" s="10">
        <f>_xlfn.XLOOKUP(C639,menu!A:A,menu!E:E)</f>
        <v>48</v>
      </c>
      <c r="I639" s="10">
        <f t="shared" si="9"/>
        <v>96</v>
      </c>
      <c r="K639" s="10"/>
      <c r="L639" s="5"/>
    </row>
    <row r="640" spans="1:12" x14ac:dyDescent="0.25">
      <c r="A640" s="5" t="s">
        <v>6402</v>
      </c>
      <c r="B640" s="5" t="s">
        <v>6401</v>
      </c>
      <c r="C640" s="5" t="s">
        <v>31</v>
      </c>
      <c r="D640" s="21">
        <v>1</v>
      </c>
      <c r="E640" s="12">
        <v>89</v>
      </c>
      <c r="F640" s="10" t="str">
        <f>_xlfn.XLOOKUP(C640,menu!A:A,menu!B:B)</f>
        <v>Chicken Roll</v>
      </c>
      <c r="G640" s="10" t="str">
        <f>_xlfn.XLOOKUP(C640,menu!A:A,menu!C:C)</f>
        <v>Rolls</v>
      </c>
      <c r="H640" s="10">
        <f>_xlfn.XLOOKUP(C640,menu!A:A,menu!E:E)</f>
        <v>27</v>
      </c>
      <c r="I640" s="10">
        <f t="shared" si="9"/>
        <v>27</v>
      </c>
      <c r="K640" s="10"/>
      <c r="L640" s="5"/>
    </row>
    <row r="641" spans="1:12" x14ac:dyDescent="0.25">
      <c r="A641" s="5" t="s">
        <v>6400</v>
      </c>
      <c r="B641" s="5" t="s">
        <v>6396</v>
      </c>
      <c r="C641" s="5" t="s">
        <v>61</v>
      </c>
      <c r="D641" s="21">
        <v>4</v>
      </c>
      <c r="E641" s="12">
        <v>316</v>
      </c>
      <c r="F641" s="10" t="str">
        <f>_xlfn.XLOOKUP(C641,menu!A:A,menu!B:B)</f>
        <v>Watermelon Mojito</v>
      </c>
      <c r="G641" s="10" t="str">
        <f>_xlfn.XLOOKUP(C641,menu!A:A,menu!C:C)</f>
        <v>Beverages</v>
      </c>
      <c r="H641" s="10">
        <f>_xlfn.XLOOKUP(C641,menu!A:A,menu!E:E)</f>
        <v>24</v>
      </c>
      <c r="I641" s="10">
        <f t="shared" si="9"/>
        <v>96</v>
      </c>
      <c r="K641" s="10"/>
      <c r="L641" s="5"/>
    </row>
    <row r="642" spans="1:12" x14ac:dyDescent="0.25">
      <c r="A642" s="5" t="s">
        <v>6399</v>
      </c>
      <c r="B642" s="5" t="s">
        <v>6396</v>
      </c>
      <c r="C642" s="5" t="s">
        <v>46</v>
      </c>
      <c r="D642" s="21">
        <v>1</v>
      </c>
      <c r="E642" s="12">
        <v>149</v>
      </c>
      <c r="F642" s="10" t="str">
        <f>_xlfn.XLOOKUP(C642,menu!A:A,menu!B:B)</f>
        <v>Fish Finger</v>
      </c>
      <c r="G642" s="10" t="str">
        <f>_xlfn.XLOOKUP(C642,menu!A:A,menu!C:C)</f>
        <v>Starters</v>
      </c>
      <c r="H642" s="10">
        <f>_xlfn.XLOOKUP(C642,menu!A:A,menu!E:E)</f>
        <v>45</v>
      </c>
      <c r="I642" s="10">
        <f t="shared" si="9"/>
        <v>45</v>
      </c>
      <c r="K642" s="10"/>
      <c r="L642" s="5"/>
    </row>
    <row r="643" spans="1:12" x14ac:dyDescent="0.25">
      <c r="A643" s="5" t="s">
        <v>6398</v>
      </c>
      <c r="B643" s="5" t="s">
        <v>6396</v>
      </c>
      <c r="C643" s="5" t="s">
        <v>8</v>
      </c>
      <c r="D643" s="21">
        <v>1</v>
      </c>
      <c r="E643" s="12">
        <v>99</v>
      </c>
      <c r="F643" s="10" t="str">
        <f>_xlfn.XLOOKUP(C643,menu!A:A,menu!B:B)</f>
        <v>Paneer Sandwich</v>
      </c>
      <c r="G643" s="10" t="str">
        <f>_xlfn.XLOOKUP(C643,menu!A:A,menu!C:C)</f>
        <v>Sandwich</v>
      </c>
      <c r="H643" s="10">
        <f>_xlfn.XLOOKUP(C643,menu!A:A,menu!E:E)</f>
        <v>30</v>
      </c>
      <c r="I643" s="10">
        <f t="shared" ref="I643:I706" si="10">D643*H643</f>
        <v>30</v>
      </c>
      <c r="K643" s="10"/>
      <c r="L643" s="5"/>
    </row>
    <row r="644" spans="1:12" x14ac:dyDescent="0.25">
      <c r="A644" s="5" t="s">
        <v>6397</v>
      </c>
      <c r="B644" s="5" t="s">
        <v>6396</v>
      </c>
      <c r="C644" s="5" t="s">
        <v>48</v>
      </c>
      <c r="D644" s="21">
        <v>2</v>
      </c>
      <c r="E644" s="12">
        <v>318</v>
      </c>
      <c r="F644" s="10" t="str">
        <f>_xlfn.XLOOKUP(C644,menu!A:A,menu!B:B)</f>
        <v>Chicken Lollipop</v>
      </c>
      <c r="G644" s="10" t="str">
        <f>_xlfn.XLOOKUP(C644,menu!A:A,menu!C:C)</f>
        <v>Starters</v>
      </c>
      <c r="H644" s="10">
        <f>_xlfn.XLOOKUP(C644,menu!A:A,menu!E:E)</f>
        <v>48</v>
      </c>
      <c r="I644" s="10">
        <f t="shared" si="10"/>
        <v>96</v>
      </c>
      <c r="K644" s="10"/>
      <c r="L644" s="5"/>
    </row>
    <row r="645" spans="1:12" x14ac:dyDescent="0.25">
      <c r="A645" s="5" t="s">
        <v>6395</v>
      </c>
      <c r="B645" s="5" t="s">
        <v>6391</v>
      </c>
      <c r="C645" s="5" t="s">
        <v>19</v>
      </c>
      <c r="D645" s="21">
        <v>2</v>
      </c>
      <c r="E645" s="12">
        <v>158</v>
      </c>
      <c r="F645" s="10" t="str">
        <f>_xlfn.XLOOKUP(C645,menu!A:A,menu!B:B)</f>
        <v>Veg Burger</v>
      </c>
      <c r="G645" s="10" t="str">
        <f>_xlfn.XLOOKUP(C645,menu!A:A,menu!C:C)</f>
        <v>Burger</v>
      </c>
      <c r="H645" s="10">
        <f>_xlfn.XLOOKUP(C645,menu!A:A,menu!E:E)</f>
        <v>24</v>
      </c>
      <c r="I645" s="10">
        <f t="shared" si="10"/>
        <v>48</v>
      </c>
      <c r="K645" s="10"/>
      <c r="L645" s="5"/>
    </row>
    <row r="646" spans="1:12" x14ac:dyDescent="0.25">
      <c r="A646" s="5" t="s">
        <v>6394</v>
      </c>
      <c r="B646" s="5" t="s">
        <v>6391</v>
      </c>
      <c r="C646" s="5" t="s">
        <v>38</v>
      </c>
      <c r="D646" s="21">
        <v>4</v>
      </c>
      <c r="E646" s="12">
        <v>596</v>
      </c>
      <c r="F646" s="10" t="str">
        <f>_xlfn.XLOOKUP(C646,menu!A:A,menu!B:B)</f>
        <v>Chicken Wings</v>
      </c>
      <c r="G646" s="10" t="str">
        <f>_xlfn.XLOOKUP(C646,menu!A:A,menu!C:C)</f>
        <v>Starters</v>
      </c>
      <c r="H646" s="10">
        <f>_xlfn.XLOOKUP(C646,menu!A:A,menu!E:E)</f>
        <v>45</v>
      </c>
      <c r="I646" s="10">
        <f t="shared" si="10"/>
        <v>180</v>
      </c>
      <c r="K646" s="10"/>
      <c r="L646" s="5"/>
    </row>
    <row r="647" spans="1:12" x14ac:dyDescent="0.25">
      <c r="A647" s="5" t="s">
        <v>6393</v>
      </c>
      <c r="B647" s="5" t="s">
        <v>6391</v>
      </c>
      <c r="C647" s="5" t="s">
        <v>61</v>
      </c>
      <c r="D647" s="21">
        <v>1</v>
      </c>
      <c r="E647" s="12">
        <v>79</v>
      </c>
      <c r="F647" s="10" t="str">
        <f>_xlfn.XLOOKUP(C647,menu!A:A,menu!B:B)</f>
        <v>Watermelon Mojito</v>
      </c>
      <c r="G647" s="10" t="str">
        <f>_xlfn.XLOOKUP(C647,menu!A:A,menu!C:C)</f>
        <v>Beverages</v>
      </c>
      <c r="H647" s="10">
        <f>_xlfn.XLOOKUP(C647,menu!A:A,menu!E:E)</f>
        <v>24</v>
      </c>
      <c r="I647" s="10">
        <f t="shared" si="10"/>
        <v>24</v>
      </c>
      <c r="K647" s="10"/>
      <c r="L647" s="5"/>
    </row>
    <row r="648" spans="1:12" x14ac:dyDescent="0.25">
      <c r="A648" s="5" t="s">
        <v>6392</v>
      </c>
      <c r="B648" s="5" t="s">
        <v>6391</v>
      </c>
      <c r="C648" s="5" t="s">
        <v>12</v>
      </c>
      <c r="D648" s="21">
        <v>3</v>
      </c>
      <c r="E648" s="12">
        <v>237</v>
      </c>
      <c r="F648" s="10" t="str">
        <f>_xlfn.XLOOKUP(C648,menu!A:A,menu!B:B)</f>
        <v>Veg Momos</v>
      </c>
      <c r="G648" s="10" t="str">
        <f>_xlfn.XLOOKUP(C648,menu!A:A,menu!C:C)</f>
        <v>Momos</v>
      </c>
      <c r="H648" s="10">
        <f>_xlfn.XLOOKUP(C648,menu!A:A,menu!E:E)</f>
        <v>24</v>
      </c>
      <c r="I648" s="10">
        <f t="shared" si="10"/>
        <v>72</v>
      </c>
      <c r="K648" s="10"/>
      <c r="L648" s="5"/>
    </row>
    <row r="649" spans="1:12" x14ac:dyDescent="0.25">
      <c r="A649" s="5" t="s">
        <v>6390</v>
      </c>
      <c r="B649" s="5" t="s">
        <v>6388</v>
      </c>
      <c r="C649" s="5" t="s">
        <v>52</v>
      </c>
      <c r="D649" s="21">
        <v>2</v>
      </c>
      <c r="E649" s="12">
        <v>198</v>
      </c>
      <c r="F649" s="10" t="str">
        <f>_xlfn.XLOOKUP(C649,menu!A:A,menu!B:B)</f>
        <v>French Fries</v>
      </c>
      <c r="G649" s="10" t="str">
        <f>_xlfn.XLOOKUP(C649,menu!A:A,menu!C:C)</f>
        <v>Starters</v>
      </c>
      <c r="H649" s="10">
        <f>_xlfn.XLOOKUP(C649,menu!A:A,menu!E:E)</f>
        <v>30</v>
      </c>
      <c r="I649" s="10">
        <f t="shared" si="10"/>
        <v>60</v>
      </c>
      <c r="K649" s="10"/>
      <c r="L649" s="5"/>
    </row>
    <row r="650" spans="1:12" x14ac:dyDescent="0.25">
      <c r="A650" s="5" t="s">
        <v>6389</v>
      </c>
      <c r="B650" s="5" t="s">
        <v>6388</v>
      </c>
      <c r="C650" s="5" t="s">
        <v>38</v>
      </c>
      <c r="D650" s="21">
        <v>2</v>
      </c>
      <c r="E650" s="12">
        <v>298</v>
      </c>
      <c r="F650" s="10" t="str">
        <f>_xlfn.XLOOKUP(C650,menu!A:A,menu!B:B)</f>
        <v>Chicken Wings</v>
      </c>
      <c r="G650" s="10" t="str">
        <f>_xlfn.XLOOKUP(C650,menu!A:A,menu!C:C)</f>
        <v>Starters</v>
      </c>
      <c r="H650" s="10">
        <f>_xlfn.XLOOKUP(C650,menu!A:A,menu!E:E)</f>
        <v>45</v>
      </c>
      <c r="I650" s="10">
        <f t="shared" si="10"/>
        <v>90</v>
      </c>
      <c r="K650" s="10"/>
      <c r="L650" s="5"/>
    </row>
    <row r="651" spans="1:12" x14ac:dyDescent="0.25">
      <c r="A651" s="5" t="s">
        <v>6387</v>
      </c>
      <c r="B651" s="5" t="s">
        <v>6383</v>
      </c>
      <c r="C651" s="5" t="s">
        <v>10</v>
      </c>
      <c r="D651" s="21">
        <v>4</v>
      </c>
      <c r="E651" s="12">
        <v>476</v>
      </c>
      <c r="F651" s="10" t="str">
        <f>_xlfn.XLOOKUP(C651,menu!A:A,menu!B:B)</f>
        <v>Chicken Sandwich</v>
      </c>
      <c r="G651" s="10" t="str">
        <f>_xlfn.XLOOKUP(C651,menu!A:A,menu!C:C)</f>
        <v>Sandwich</v>
      </c>
      <c r="H651" s="10">
        <f>_xlfn.XLOOKUP(C651,menu!A:A,menu!E:E)</f>
        <v>36</v>
      </c>
      <c r="I651" s="10">
        <f t="shared" si="10"/>
        <v>144</v>
      </c>
      <c r="K651" s="10"/>
      <c r="L651" s="5"/>
    </row>
    <row r="652" spans="1:12" x14ac:dyDescent="0.25">
      <c r="A652" s="5" t="s">
        <v>6386</v>
      </c>
      <c r="B652" s="5" t="s">
        <v>6383</v>
      </c>
      <c r="C652" s="5" t="s">
        <v>35</v>
      </c>
      <c r="D652" s="21">
        <v>1</v>
      </c>
      <c r="E652" s="12">
        <v>119</v>
      </c>
      <c r="F652" s="10" t="str">
        <f>_xlfn.XLOOKUP(C652,menu!A:A,menu!B:B)</f>
        <v>Chicken Nuggets</v>
      </c>
      <c r="G652" s="10" t="str">
        <f>_xlfn.XLOOKUP(C652,menu!A:A,menu!C:C)</f>
        <v>Starters</v>
      </c>
      <c r="H652" s="10">
        <f>_xlfn.XLOOKUP(C652,menu!A:A,menu!E:E)</f>
        <v>36</v>
      </c>
      <c r="I652" s="10">
        <f t="shared" si="10"/>
        <v>36</v>
      </c>
      <c r="K652" s="10"/>
      <c r="L652" s="5"/>
    </row>
    <row r="653" spans="1:12" x14ac:dyDescent="0.25">
      <c r="A653" s="5" t="s">
        <v>6385</v>
      </c>
      <c r="B653" s="5" t="s">
        <v>6383</v>
      </c>
      <c r="C653" s="5" t="s">
        <v>56</v>
      </c>
      <c r="D653" s="21">
        <v>1</v>
      </c>
      <c r="E653" s="12">
        <v>79</v>
      </c>
      <c r="F653" s="10" t="str">
        <f>_xlfn.XLOOKUP(C653,menu!A:A,menu!B:B)</f>
        <v>Mint Mojito</v>
      </c>
      <c r="G653" s="10" t="str">
        <f>_xlfn.XLOOKUP(C653,menu!A:A,menu!C:C)</f>
        <v>Beverages</v>
      </c>
      <c r="H653" s="10">
        <f>_xlfn.XLOOKUP(C653,menu!A:A,menu!E:E)</f>
        <v>24</v>
      </c>
      <c r="I653" s="10">
        <f t="shared" si="10"/>
        <v>24</v>
      </c>
      <c r="K653" s="10"/>
      <c r="L653" s="5"/>
    </row>
    <row r="654" spans="1:12" x14ac:dyDescent="0.25">
      <c r="A654" s="5" t="s">
        <v>6384</v>
      </c>
      <c r="B654" s="5" t="s">
        <v>6383</v>
      </c>
      <c r="C654" s="5" t="s">
        <v>24</v>
      </c>
      <c r="D654" s="21">
        <v>2</v>
      </c>
      <c r="E654" s="12">
        <v>178</v>
      </c>
      <c r="F654" s="10" t="str">
        <f>_xlfn.XLOOKUP(C654,menu!A:A,menu!B:B)</f>
        <v>Paneer Burger</v>
      </c>
      <c r="G654" s="10" t="str">
        <f>_xlfn.XLOOKUP(C654,menu!A:A,menu!C:C)</f>
        <v>Burger</v>
      </c>
      <c r="H654" s="10">
        <f>_xlfn.XLOOKUP(C654,menu!A:A,menu!E:E)</f>
        <v>27</v>
      </c>
      <c r="I654" s="10">
        <f t="shared" si="10"/>
        <v>54</v>
      </c>
      <c r="K654" s="10"/>
      <c r="L654" s="5"/>
    </row>
    <row r="655" spans="1:12" x14ac:dyDescent="0.25">
      <c r="A655" s="5" t="s">
        <v>6382</v>
      </c>
      <c r="B655" s="5" t="s">
        <v>6380</v>
      </c>
      <c r="C655" s="5" t="s">
        <v>35</v>
      </c>
      <c r="D655" s="21">
        <v>1</v>
      </c>
      <c r="E655" s="12">
        <v>119</v>
      </c>
      <c r="F655" s="10" t="str">
        <f>_xlfn.XLOOKUP(C655,menu!A:A,menu!B:B)</f>
        <v>Chicken Nuggets</v>
      </c>
      <c r="G655" s="10" t="str">
        <f>_xlfn.XLOOKUP(C655,menu!A:A,menu!C:C)</f>
        <v>Starters</v>
      </c>
      <c r="H655" s="10">
        <f>_xlfn.XLOOKUP(C655,menu!A:A,menu!E:E)</f>
        <v>36</v>
      </c>
      <c r="I655" s="10">
        <f t="shared" si="10"/>
        <v>36</v>
      </c>
      <c r="K655" s="10"/>
      <c r="L655" s="5"/>
    </row>
    <row r="656" spans="1:12" x14ac:dyDescent="0.25">
      <c r="A656" s="5" t="s">
        <v>6381</v>
      </c>
      <c r="B656" s="5" t="s">
        <v>6380</v>
      </c>
      <c r="C656" s="5" t="s">
        <v>44</v>
      </c>
      <c r="D656" s="21">
        <v>1</v>
      </c>
      <c r="E656" s="12">
        <v>159</v>
      </c>
      <c r="F656" s="10" t="str">
        <f>_xlfn.XLOOKUP(C656,menu!A:A,menu!B:B)</f>
        <v>Fried Chicken</v>
      </c>
      <c r="G656" s="10" t="str">
        <f>_xlfn.XLOOKUP(C656,menu!A:A,menu!C:C)</f>
        <v>Starters</v>
      </c>
      <c r="H656" s="10">
        <f>_xlfn.XLOOKUP(C656,menu!A:A,menu!E:E)</f>
        <v>48</v>
      </c>
      <c r="I656" s="10">
        <f t="shared" si="10"/>
        <v>48</v>
      </c>
      <c r="K656" s="10"/>
      <c r="L656" s="5"/>
    </row>
    <row r="657" spans="1:12" x14ac:dyDescent="0.25">
      <c r="A657" s="5" t="s">
        <v>6379</v>
      </c>
      <c r="B657" s="5" t="s">
        <v>6376</v>
      </c>
      <c r="C657" s="5" t="s">
        <v>35</v>
      </c>
      <c r="D657" s="21">
        <v>1</v>
      </c>
      <c r="E657" s="12">
        <v>119</v>
      </c>
      <c r="F657" s="10" t="str">
        <f>_xlfn.XLOOKUP(C657,menu!A:A,menu!B:B)</f>
        <v>Chicken Nuggets</v>
      </c>
      <c r="G657" s="10" t="str">
        <f>_xlfn.XLOOKUP(C657,menu!A:A,menu!C:C)</f>
        <v>Starters</v>
      </c>
      <c r="H657" s="10">
        <f>_xlfn.XLOOKUP(C657,menu!A:A,menu!E:E)</f>
        <v>36</v>
      </c>
      <c r="I657" s="10">
        <f t="shared" si="10"/>
        <v>36</v>
      </c>
      <c r="K657" s="10"/>
      <c r="L657" s="5"/>
    </row>
    <row r="658" spans="1:12" x14ac:dyDescent="0.25">
      <c r="A658" s="5" t="s">
        <v>6378</v>
      </c>
      <c r="B658" s="5" t="s">
        <v>6376</v>
      </c>
      <c r="C658" s="5" t="s">
        <v>54</v>
      </c>
      <c r="D658" s="21">
        <v>1</v>
      </c>
      <c r="E658" s="12">
        <v>139</v>
      </c>
      <c r="F658" s="10" t="str">
        <f>_xlfn.XLOOKUP(C658,menu!A:A,menu!B:B)</f>
        <v>Chicken Strips</v>
      </c>
      <c r="G658" s="10" t="str">
        <f>_xlfn.XLOOKUP(C658,menu!A:A,menu!C:C)</f>
        <v>Starters</v>
      </c>
      <c r="H658" s="10">
        <f>_xlfn.XLOOKUP(C658,menu!A:A,menu!E:E)</f>
        <v>42</v>
      </c>
      <c r="I658" s="10">
        <f t="shared" si="10"/>
        <v>42</v>
      </c>
      <c r="K658" s="10"/>
      <c r="L658" s="5"/>
    </row>
    <row r="659" spans="1:12" x14ac:dyDescent="0.25">
      <c r="A659" s="5" t="s">
        <v>6377</v>
      </c>
      <c r="B659" s="5" t="s">
        <v>6376</v>
      </c>
      <c r="C659" s="5" t="s">
        <v>46</v>
      </c>
      <c r="D659" s="21">
        <v>3</v>
      </c>
      <c r="E659" s="12">
        <v>447</v>
      </c>
      <c r="F659" s="10" t="str">
        <f>_xlfn.XLOOKUP(C659,menu!A:A,menu!B:B)</f>
        <v>Fish Finger</v>
      </c>
      <c r="G659" s="10" t="str">
        <f>_xlfn.XLOOKUP(C659,menu!A:A,menu!C:C)</f>
        <v>Starters</v>
      </c>
      <c r="H659" s="10">
        <f>_xlfn.XLOOKUP(C659,menu!A:A,menu!E:E)</f>
        <v>45</v>
      </c>
      <c r="I659" s="10">
        <f t="shared" si="10"/>
        <v>135</v>
      </c>
      <c r="K659" s="10"/>
      <c r="L659" s="5"/>
    </row>
    <row r="660" spans="1:12" x14ac:dyDescent="0.25">
      <c r="A660" s="5" t="s">
        <v>6375</v>
      </c>
      <c r="B660" s="5" t="s">
        <v>6373</v>
      </c>
      <c r="C660" s="5" t="s">
        <v>15</v>
      </c>
      <c r="D660" s="21">
        <v>2</v>
      </c>
      <c r="E660" s="12">
        <v>198</v>
      </c>
      <c r="F660" s="10" t="str">
        <f>_xlfn.XLOOKUP(C660,menu!A:A,menu!B:B)</f>
        <v>Chicken Momos</v>
      </c>
      <c r="G660" s="10" t="str">
        <f>_xlfn.XLOOKUP(C660,menu!A:A,menu!C:C)</f>
        <v>Momos</v>
      </c>
      <c r="H660" s="10">
        <f>_xlfn.XLOOKUP(C660,menu!A:A,menu!E:E)</f>
        <v>30</v>
      </c>
      <c r="I660" s="10">
        <f t="shared" si="10"/>
        <v>60</v>
      </c>
      <c r="K660" s="10"/>
      <c r="L660" s="5"/>
    </row>
    <row r="661" spans="1:12" x14ac:dyDescent="0.25">
      <c r="A661" s="5" t="s">
        <v>6374</v>
      </c>
      <c r="B661" s="5" t="s">
        <v>6373</v>
      </c>
      <c r="C661" s="5" t="s">
        <v>59</v>
      </c>
      <c r="D661" s="21">
        <v>1</v>
      </c>
      <c r="E661" s="12">
        <v>79</v>
      </c>
      <c r="F661" s="10" t="str">
        <f>_xlfn.XLOOKUP(C661,menu!A:A,menu!B:B)</f>
        <v>Blue Curacao Mojito</v>
      </c>
      <c r="G661" s="10" t="str">
        <f>_xlfn.XLOOKUP(C661,menu!A:A,menu!C:C)</f>
        <v>Beverages</v>
      </c>
      <c r="H661" s="10">
        <f>_xlfn.XLOOKUP(C661,menu!A:A,menu!E:E)</f>
        <v>24</v>
      </c>
      <c r="I661" s="10">
        <f t="shared" si="10"/>
        <v>24</v>
      </c>
      <c r="K661" s="10"/>
      <c r="L661" s="5"/>
    </row>
    <row r="662" spans="1:12" x14ac:dyDescent="0.25">
      <c r="A662" s="5" t="s">
        <v>6372</v>
      </c>
      <c r="B662" s="5" t="s">
        <v>6368</v>
      </c>
      <c r="C662" s="5" t="s">
        <v>29</v>
      </c>
      <c r="D662" s="21">
        <v>2</v>
      </c>
      <c r="E662" s="12">
        <v>158</v>
      </c>
      <c r="F662" s="10" t="str">
        <f>_xlfn.XLOOKUP(C662,menu!A:A,menu!B:B)</f>
        <v>Paneer Roll</v>
      </c>
      <c r="G662" s="10" t="str">
        <f>_xlfn.XLOOKUP(C662,menu!A:A,menu!C:C)</f>
        <v>Rolls</v>
      </c>
      <c r="H662" s="10">
        <f>_xlfn.XLOOKUP(C662,menu!A:A,menu!E:E)</f>
        <v>24</v>
      </c>
      <c r="I662" s="10">
        <f t="shared" si="10"/>
        <v>48</v>
      </c>
      <c r="K662" s="10"/>
      <c r="L662" s="5"/>
    </row>
    <row r="663" spans="1:12" x14ac:dyDescent="0.25">
      <c r="A663" s="5" t="s">
        <v>6371</v>
      </c>
      <c r="B663" s="5" t="s">
        <v>6368</v>
      </c>
      <c r="C663" s="5" t="s">
        <v>35</v>
      </c>
      <c r="D663" s="21">
        <v>2</v>
      </c>
      <c r="E663" s="12">
        <v>238</v>
      </c>
      <c r="F663" s="10" t="str">
        <f>_xlfn.XLOOKUP(C663,menu!A:A,menu!B:B)</f>
        <v>Chicken Nuggets</v>
      </c>
      <c r="G663" s="10" t="str">
        <f>_xlfn.XLOOKUP(C663,menu!A:A,menu!C:C)</f>
        <v>Starters</v>
      </c>
      <c r="H663" s="10">
        <f>_xlfn.XLOOKUP(C663,menu!A:A,menu!E:E)</f>
        <v>36</v>
      </c>
      <c r="I663" s="10">
        <f t="shared" si="10"/>
        <v>72</v>
      </c>
      <c r="K663" s="10"/>
      <c r="L663" s="5"/>
    </row>
    <row r="664" spans="1:12" x14ac:dyDescent="0.25">
      <c r="A664" s="5" t="s">
        <v>6370</v>
      </c>
      <c r="B664" s="5" t="s">
        <v>6368</v>
      </c>
      <c r="C664" s="5" t="s">
        <v>42</v>
      </c>
      <c r="D664" s="21">
        <v>5</v>
      </c>
      <c r="E664" s="12">
        <v>745</v>
      </c>
      <c r="F664" s="10" t="str">
        <f>_xlfn.XLOOKUP(C664,menu!A:A,menu!B:B)</f>
        <v>Chicken Popcorn</v>
      </c>
      <c r="G664" s="10" t="str">
        <f>_xlfn.XLOOKUP(C664,menu!A:A,menu!C:C)</f>
        <v>Starters</v>
      </c>
      <c r="H664" s="10">
        <f>_xlfn.XLOOKUP(C664,menu!A:A,menu!E:E)</f>
        <v>45</v>
      </c>
      <c r="I664" s="10">
        <f t="shared" si="10"/>
        <v>225</v>
      </c>
      <c r="K664" s="10"/>
      <c r="L664" s="5"/>
    </row>
    <row r="665" spans="1:12" x14ac:dyDescent="0.25">
      <c r="A665" s="5" t="s">
        <v>6369</v>
      </c>
      <c r="B665" s="5" t="s">
        <v>6368</v>
      </c>
      <c r="C665" s="5" t="s">
        <v>17</v>
      </c>
      <c r="D665" s="21">
        <v>1</v>
      </c>
      <c r="E665" s="12">
        <v>89</v>
      </c>
      <c r="F665" s="10" t="str">
        <f>_xlfn.XLOOKUP(C665,menu!A:A,menu!B:B)</f>
        <v>Paneer Momos</v>
      </c>
      <c r="G665" s="10" t="str">
        <f>_xlfn.XLOOKUP(C665,menu!A:A,menu!C:C)</f>
        <v>Momos</v>
      </c>
      <c r="H665" s="10">
        <f>_xlfn.XLOOKUP(C665,menu!A:A,menu!E:E)</f>
        <v>27</v>
      </c>
      <c r="I665" s="10">
        <f t="shared" si="10"/>
        <v>27</v>
      </c>
      <c r="K665" s="10"/>
      <c r="L665" s="5"/>
    </row>
    <row r="666" spans="1:12" x14ac:dyDescent="0.25">
      <c r="A666" s="5" t="s">
        <v>6367</v>
      </c>
      <c r="B666" s="5" t="s">
        <v>6363</v>
      </c>
      <c r="C666" s="5" t="s">
        <v>40</v>
      </c>
      <c r="D666" s="21">
        <v>2</v>
      </c>
      <c r="E666" s="12">
        <v>198</v>
      </c>
      <c r="F666" s="10" t="str">
        <f>_xlfn.XLOOKUP(C666,menu!A:A,menu!B:B)</f>
        <v>Veg Nuggets</v>
      </c>
      <c r="G666" s="10" t="str">
        <f>_xlfn.XLOOKUP(C666,menu!A:A,menu!C:C)</f>
        <v>Starters</v>
      </c>
      <c r="H666" s="10">
        <f>_xlfn.XLOOKUP(C666,menu!A:A,menu!E:E)</f>
        <v>30</v>
      </c>
      <c r="I666" s="10">
        <f t="shared" si="10"/>
        <v>60</v>
      </c>
      <c r="K666" s="10"/>
      <c r="L666" s="5"/>
    </row>
    <row r="667" spans="1:12" x14ac:dyDescent="0.25">
      <c r="A667" s="5" t="s">
        <v>6366</v>
      </c>
      <c r="B667" s="5" t="s">
        <v>6363</v>
      </c>
      <c r="C667" s="5" t="s">
        <v>63</v>
      </c>
      <c r="D667" s="21">
        <v>2</v>
      </c>
      <c r="E667" s="12">
        <v>158</v>
      </c>
      <c r="F667" s="10" t="str">
        <f>_xlfn.XLOOKUP(C667,menu!A:A,menu!B:B)</f>
        <v>Virgin Mojito</v>
      </c>
      <c r="G667" s="10" t="str">
        <f>_xlfn.XLOOKUP(C667,menu!A:A,menu!C:C)</f>
        <v>Beverages</v>
      </c>
      <c r="H667" s="10">
        <f>_xlfn.XLOOKUP(C667,menu!A:A,menu!E:E)</f>
        <v>24</v>
      </c>
      <c r="I667" s="10">
        <f t="shared" si="10"/>
        <v>48</v>
      </c>
      <c r="K667" s="10"/>
      <c r="L667" s="5"/>
    </row>
    <row r="668" spans="1:12" x14ac:dyDescent="0.25">
      <c r="A668" s="5" t="s">
        <v>6365</v>
      </c>
      <c r="B668" s="5" t="s">
        <v>6363</v>
      </c>
      <c r="C668" s="5" t="s">
        <v>15</v>
      </c>
      <c r="D668" s="21">
        <v>1</v>
      </c>
      <c r="E668" s="12">
        <v>99</v>
      </c>
      <c r="F668" s="10" t="str">
        <f>_xlfn.XLOOKUP(C668,menu!A:A,menu!B:B)</f>
        <v>Chicken Momos</v>
      </c>
      <c r="G668" s="10" t="str">
        <f>_xlfn.XLOOKUP(C668,menu!A:A,menu!C:C)</f>
        <v>Momos</v>
      </c>
      <c r="H668" s="10">
        <f>_xlfn.XLOOKUP(C668,menu!A:A,menu!E:E)</f>
        <v>30</v>
      </c>
      <c r="I668" s="10">
        <f t="shared" si="10"/>
        <v>30</v>
      </c>
      <c r="K668" s="10"/>
      <c r="L668" s="5"/>
    </row>
    <row r="669" spans="1:12" x14ac:dyDescent="0.25">
      <c r="A669" s="5" t="s">
        <v>6364</v>
      </c>
      <c r="B669" s="5" t="s">
        <v>6363</v>
      </c>
      <c r="C669" s="5" t="s">
        <v>61</v>
      </c>
      <c r="D669" s="21">
        <v>4</v>
      </c>
      <c r="E669" s="12">
        <v>316</v>
      </c>
      <c r="F669" s="10" t="str">
        <f>_xlfn.XLOOKUP(C669,menu!A:A,menu!B:B)</f>
        <v>Watermelon Mojito</v>
      </c>
      <c r="G669" s="10" t="str">
        <f>_xlfn.XLOOKUP(C669,menu!A:A,menu!C:C)</f>
        <v>Beverages</v>
      </c>
      <c r="H669" s="10">
        <f>_xlfn.XLOOKUP(C669,menu!A:A,menu!E:E)</f>
        <v>24</v>
      </c>
      <c r="I669" s="10">
        <f t="shared" si="10"/>
        <v>96</v>
      </c>
      <c r="K669" s="10"/>
      <c r="L669" s="5"/>
    </row>
    <row r="670" spans="1:12" x14ac:dyDescent="0.25">
      <c r="A670" s="5" t="s">
        <v>6362</v>
      </c>
      <c r="B670" s="5" t="s">
        <v>6359</v>
      </c>
      <c r="C670" s="5" t="s">
        <v>56</v>
      </c>
      <c r="D670" s="21">
        <v>2</v>
      </c>
      <c r="E670" s="12">
        <v>158</v>
      </c>
      <c r="F670" s="10" t="str">
        <f>_xlfn.XLOOKUP(C670,menu!A:A,menu!B:B)</f>
        <v>Mint Mojito</v>
      </c>
      <c r="G670" s="10" t="str">
        <f>_xlfn.XLOOKUP(C670,menu!A:A,menu!C:C)</f>
        <v>Beverages</v>
      </c>
      <c r="H670" s="10">
        <f>_xlfn.XLOOKUP(C670,menu!A:A,menu!E:E)</f>
        <v>24</v>
      </c>
      <c r="I670" s="10">
        <f t="shared" si="10"/>
        <v>48</v>
      </c>
      <c r="K670" s="10"/>
      <c r="L670" s="5"/>
    </row>
    <row r="671" spans="1:12" x14ac:dyDescent="0.25">
      <c r="A671" s="5" t="s">
        <v>6361</v>
      </c>
      <c r="B671" s="5" t="s">
        <v>6359</v>
      </c>
      <c r="C671" s="5" t="s">
        <v>15</v>
      </c>
      <c r="D671" s="21">
        <v>1</v>
      </c>
      <c r="E671" s="12">
        <v>99</v>
      </c>
      <c r="F671" s="10" t="str">
        <f>_xlfn.XLOOKUP(C671,menu!A:A,menu!B:B)</f>
        <v>Chicken Momos</v>
      </c>
      <c r="G671" s="10" t="str">
        <f>_xlfn.XLOOKUP(C671,menu!A:A,menu!C:C)</f>
        <v>Momos</v>
      </c>
      <c r="H671" s="10">
        <f>_xlfn.XLOOKUP(C671,menu!A:A,menu!E:E)</f>
        <v>30</v>
      </c>
      <c r="I671" s="10">
        <f t="shared" si="10"/>
        <v>30</v>
      </c>
      <c r="K671" s="10"/>
      <c r="L671" s="5"/>
    </row>
    <row r="672" spans="1:12" x14ac:dyDescent="0.25">
      <c r="A672" s="5" t="s">
        <v>6360</v>
      </c>
      <c r="B672" s="5" t="s">
        <v>6359</v>
      </c>
      <c r="C672" s="5" t="s">
        <v>48</v>
      </c>
      <c r="D672" s="21">
        <v>1</v>
      </c>
      <c r="E672" s="12">
        <v>159</v>
      </c>
      <c r="F672" s="10" t="str">
        <f>_xlfn.XLOOKUP(C672,menu!A:A,menu!B:B)</f>
        <v>Chicken Lollipop</v>
      </c>
      <c r="G672" s="10" t="str">
        <f>_xlfn.XLOOKUP(C672,menu!A:A,menu!C:C)</f>
        <v>Starters</v>
      </c>
      <c r="H672" s="10">
        <f>_xlfn.XLOOKUP(C672,menu!A:A,menu!E:E)</f>
        <v>48</v>
      </c>
      <c r="I672" s="10">
        <f t="shared" si="10"/>
        <v>48</v>
      </c>
      <c r="K672" s="10"/>
      <c r="L672" s="5"/>
    </row>
    <row r="673" spans="1:12" x14ac:dyDescent="0.25">
      <c r="A673" s="5" t="s">
        <v>6358</v>
      </c>
      <c r="B673" s="5" t="s">
        <v>6355</v>
      </c>
      <c r="C673" s="5" t="s">
        <v>17</v>
      </c>
      <c r="D673" s="21">
        <v>3</v>
      </c>
      <c r="E673" s="12">
        <v>267</v>
      </c>
      <c r="F673" s="10" t="str">
        <f>_xlfn.XLOOKUP(C673,menu!A:A,menu!B:B)</f>
        <v>Paneer Momos</v>
      </c>
      <c r="G673" s="10" t="str">
        <f>_xlfn.XLOOKUP(C673,menu!A:A,menu!C:C)</f>
        <v>Momos</v>
      </c>
      <c r="H673" s="10">
        <f>_xlfn.XLOOKUP(C673,menu!A:A,menu!E:E)</f>
        <v>27</v>
      </c>
      <c r="I673" s="10">
        <f t="shared" si="10"/>
        <v>81</v>
      </c>
      <c r="K673" s="10"/>
      <c r="L673" s="5"/>
    </row>
    <row r="674" spans="1:12" x14ac:dyDescent="0.25">
      <c r="A674" s="5" t="s">
        <v>6357</v>
      </c>
      <c r="B674" s="5" t="s">
        <v>6355</v>
      </c>
      <c r="C674" s="5" t="s">
        <v>10</v>
      </c>
      <c r="D674" s="21">
        <v>2</v>
      </c>
      <c r="E674" s="12">
        <v>238</v>
      </c>
      <c r="F674" s="10" t="str">
        <f>_xlfn.XLOOKUP(C674,menu!A:A,menu!B:B)</f>
        <v>Chicken Sandwich</v>
      </c>
      <c r="G674" s="10" t="str">
        <f>_xlfn.XLOOKUP(C674,menu!A:A,menu!C:C)</f>
        <v>Sandwich</v>
      </c>
      <c r="H674" s="10">
        <f>_xlfn.XLOOKUP(C674,menu!A:A,menu!E:E)</f>
        <v>36</v>
      </c>
      <c r="I674" s="10">
        <f t="shared" si="10"/>
        <v>72</v>
      </c>
      <c r="K674" s="10"/>
      <c r="L674" s="5"/>
    </row>
    <row r="675" spans="1:12" x14ac:dyDescent="0.25">
      <c r="A675" s="5" t="s">
        <v>6356</v>
      </c>
      <c r="B675" s="5" t="s">
        <v>6355</v>
      </c>
      <c r="C675" s="5" t="s">
        <v>50</v>
      </c>
      <c r="D675" s="21">
        <v>4</v>
      </c>
      <c r="E675" s="12">
        <v>596</v>
      </c>
      <c r="F675" s="10" t="str">
        <f>_xlfn.XLOOKUP(C675,menu!A:A,menu!B:B)</f>
        <v>Grab Lollipop</v>
      </c>
      <c r="G675" s="10" t="str">
        <f>_xlfn.XLOOKUP(C675,menu!A:A,menu!C:C)</f>
        <v>Starters</v>
      </c>
      <c r="H675" s="10">
        <f>_xlfn.XLOOKUP(C675,menu!A:A,menu!E:E)</f>
        <v>45</v>
      </c>
      <c r="I675" s="10">
        <f t="shared" si="10"/>
        <v>180</v>
      </c>
      <c r="K675" s="10"/>
      <c r="L675" s="5"/>
    </row>
    <row r="676" spans="1:12" x14ac:dyDescent="0.25">
      <c r="A676" s="5" t="s">
        <v>6354</v>
      </c>
      <c r="B676" s="5" t="s">
        <v>6352</v>
      </c>
      <c r="C676" s="5" t="s">
        <v>29</v>
      </c>
      <c r="D676" s="21">
        <v>1</v>
      </c>
      <c r="E676" s="12">
        <v>79</v>
      </c>
      <c r="F676" s="10" t="str">
        <f>_xlfn.XLOOKUP(C676,menu!A:A,menu!B:B)</f>
        <v>Paneer Roll</v>
      </c>
      <c r="G676" s="10" t="str">
        <f>_xlfn.XLOOKUP(C676,menu!A:A,menu!C:C)</f>
        <v>Rolls</v>
      </c>
      <c r="H676" s="10">
        <f>_xlfn.XLOOKUP(C676,menu!A:A,menu!E:E)</f>
        <v>24</v>
      </c>
      <c r="I676" s="10">
        <f t="shared" si="10"/>
        <v>24</v>
      </c>
      <c r="K676" s="10"/>
      <c r="L676" s="5"/>
    </row>
    <row r="677" spans="1:12" x14ac:dyDescent="0.25">
      <c r="A677" s="5" t="s">
        <v>6353</v>
      </c>
      <c r="B677" s="5" t="s">
        <v>6352</v>
      </c>
      <c r="C677" s="5" t="s">
        <v>54</v>
      </c>
      <c r="D677" s="21">
        <v>1</v>
      </c>
      <c r="E677" s="12">
        <v>139</v>
      </c>
      <c r="F677" s="10" t="str">
        <f>_xlfn.XLOOKUP(C677,menu!A:A,menu!B:B)</f>
        <v>Chicken Strips</v>
      </c>
      <c r="G677" s="10" t="str">
        <f>_xlfn.XLOOKUP(C677,menu!A:A,menu!C:C)</f>
        <v>Starters</v>
      </c>
      <c r="H677" s="10">
        <f>_xlfn.XLOOKUP(C677,menu!A:A,menu!E:E)</f>
        <v>42</v>
      </c>
      <c r="I677" s="10">
        <f t="shared" si="10"/>
        <v>42</v>
      </c>
      <c r="K677" s="10"/>
      <c r="L677" s="5"/>
    </row>
    <row r="678" spans="1:12" x14ac:dyDescent="0.25">
      <c r="A678" s="5" t="s">
        <v>6351</v>
      </c>
      <c r="B678" s="5" t="s">
        <v>6349</v>
      </c>
      <c r="C678" s="5" t="s">
        <v>52</v>
      </c>
      <c r="D678" s="21">
        <v>1</v>
      </c>
      <c r="E678" s="12">
        <v>99</v>
      </c>
      <c r="F678" s="10" t="str">
        <f>_xlfn.XLOOKUP(C678,menu!A:A,menu!B:B)</f>
        <v>French Fries</v>
      </c>
      <c r="G678" s="10" t="str">
        <f>_xlfn.XLOOKUP(C678,menu!A:A,menu!C:C)</f>
        <v>Starters</v>
      </c>
      <c r="H678" s="10">
        <f>_xlfn.XLOOKUP(C678,menu!A:A,menu!E:E)</f>
        <v>30</v>
      </c>
      <c r="I678" s="10">
        <f t="shared" si="10"/>
        <v>30</v>
      </c>
      <c r="K678" s="10"/>
      <c r="L678" s="5"/>
    </row>
    <row r="679" spans="1:12" x14ac:dyDescent="0.25">
      <c r="A679" s="5" t="s">
        <v>6350</v>
      </c>
      <c r="B679" s="5" t="s">
        <v>6349</v>
      </c>
      <c r="C679" s="5" t="s">
        <v>63</v>
      </c>
      <c r="D679" s="21">
        <v>4</v>
      </c>
      <c r="E679" s="12">
        <v>316</v>
      </c>
      <c r="F679" s="10" t="str">
        <f>_xlfn.XLOOKUP(C679,menu!A:A,menu!B:B)</f>
        <v>Virgin Mojito</v>
      </c>
      <c r="G679" s="10" t="str">
        <f>_xlfn.XLOOKUP(C679,menu!A:A,menu!C:C)</f>
        <v>Beverages</v>
      </c>
      <c r="H679" s="10">
        <f>_xlfn.XLOOKUP(C679,menu!A:A,menu!E:E)</f>
        <v>24</v>
      </c>
      <c r="I679" s="10">
        <f t="shared" si="10"/>
        <v>96</v>
      </c>
      <c r="K679" s="10"/>
      <c r="L679" s="5"/>
    </row>
    <row r="680" spans="1:12" x14ac:dyDescent="0.25">
      <c r="A680" s="5" t="s">
        <v>6348</v>
      </c>
      <c r="B680" s="5" t="s">
        <v>6344</v>
      </c>
      <c r="C680" s="5" t="s">
        <v>5</v>
      </c>
      <c r="D680" s="21">
        <v>1</v>
      </c>
      <c r="E680" s="12">
        <v>79</v>
      </c>
      <c r="F680" s="10" t="str">
        <f>_xlfn.XLOOKUP(C680,menu!A:A,menu!B:B)</f>
        <v>Veg Sandwich</v>
      </c>
      <c r="G680" s="10" t="str">
        <f>_xlfn.XLOOKUP(C680,menu!A:A,menu!C:C)</f>
        <v>Sandwich</v>
      </c>
      <c r="H680" s="10">
        <f>_xlfn.XLOOKUP(C680,menu!A:A,menu!E:E)</f>
        <v>24</v>
      </c>
      <c r="I680" s="10">
        <f t="shared" si="10"/>
        <v>24</v>
      </c>
      <c r="K680" s="10"/>
      <c r="L680" s="5"/>
    </row>
    <row r="681" spans="1:12" x14ac:dyDescent="0.25">
      <c r="A681" s="5" t="s">
        <v>6347</v>
      </c>
      <c r="B681" s="5" t="s">
        <v>6344</v>
      </c>
      <c r="C681" s="5" t="s">
        <v>44</v>
      </c>
      <c r="D681" s="21">
        <v>1</v>
      </c>
      <c r="E681" s="12">
        <v>159</v>
      </c>
      <c r="F681" s="10" t="str">
        <f>_xlfn.XLOOKUP(C681,menu!A:A,menu!B:B)</f>
        <v>Fried Chicken</v>
      </c>
      <c r="G681" s="10" t="str">
        <f>_xlfn.XLOOKUP(C681,menu!A:A,menu!C:C)</f>
        <v>Starters</v>
      </c>
      <c r="H681" s="10">
        <f>_xlfn.XLOOKUP(C681,menu!A:A,menu!E:E)</f>
        <v>48</v>
      </c>
      <c r="I681" s="10">
        <f t="shared" si="10"/>
        <v>48</v>
      </c>
      <c r="K681" s="10"/>
      <c r="L681" s="5"/>
    </row>
    <row r="682" spans="1:12" x14ac:dyDescent="0.25">
      <c r="A682" s="5" t="s">
        <v>6346</v>
      </c>
      <c r="B682" s="5" t="s">
        <v>6344</v>
      </c>
      <c r="C682" s="5" t="s">
        <v>42</v>
      </c>
      <c r="D682" s="21">
        <v>2</v>
      </c>
      <c r="E682" s="12">
        <v>298</v>
      </c>
      <c r="F682" s="10" t="str">
        <f>_xlfn.XLOOKUP(C682,menu!A:A,menu!B:B)</f>
        <v>Chicken Popcorn</v>
      </c>
      <c r="G682" s="10" t="str">
        <f>_xlfn.XLOOKUP(C682,menu!A:A,menu!C:C)</f>
        <v>Starters</v>
      </c>
      <c r="H682" s="10">
        <f>_xlfn.XLOOKUP(C682,menu!A:A,menu!E:E)</f>
        <v>45</v>
      </c>
      <c r="I682" s="10">
        <f t="shared" si="10"/>
        <v>90</v>
      </c>
      <c r="K682" s="10"/>
      <c r="L682" s="5"/>
    </row>
    <row r="683" spans="1:12" x14ac:dyDescent="0.25">
      <c r="A683" s="5" t="s">
        <v>6345</v>
      </c>
      <c r="B683" s="5" t="s">
        <v>6344</v>
      </c>
      <c r="C683" s="5" t="s">
        <v>31</v>
      </c>
      <c r="D683" s="21">
        <v>2</v>
      </c>
      <c r="E683" s="12">
        <v>178</v>
      </c>
      <c r="F683" s="10" t="str">
        <f>_xlfn.XLOOKUP(C683,menu!A:A,menu!B:B)</f>
        <v>Chicken Roll</v>
      </c>
      <c r="G683" s="10" t="str">
        <f>_xlfn.XLOOKUP(C683,menu!A:A,menu!C:C)</f>
        <v>Rolls</v>
      </c>
      <c r="H683" s="10">
        <f>_xlfn.XLOOKUP(C683,menu!A:A,menu!E:E)</f>
        <v>27</v>
      </c>
      <c r="I683" s="10">
        <f t="shared" si="10"/>
        <v>54</v>
      </c>
      <c r="K683" s="10"/>
      <c r="L683" s="5"/>
    </row>
    <row r="684" spans="1:12" x14ac:dyDescent="0.25">
      <c r="A684" s="5" t="s">
        <v>6343</v>
      </c>
      <c r="B684" s="5" t="s">
        <v>6341</v>
      </c>
      <c r="C684" s="5" t="s">
        <v>40</v>
      </c>
      <c r="D684" s="21">
        <v>1</v>
      </c>
      <c r="E684" s="12">
        <v>99</v>
      </c>
      <c r="F684" s="10" t="str">
        <f>_xlfn.XLOOKUP(C684,menu!A:A,menu!B:B)</f>
        <v>Veg Nuggets</v>
      </c>
      <c r="G684" s="10" t="str">
        <f>_xlfn.XLOOKUP(C684,menu!A:A,menu!C:C)</f>
        <v>Starters</v>
      </c>
      <c r="H684" s="10">
        <f>_xlfn.XLOOKUP(C684,menu!A:A,menu!E:E)</f>
        <v>30</v>
      </c>
      <c r="I684" s="10">
        <f t="shared" si="10"/>
        <v>30</v>
      </c>
      <c r="K684" s="10"/>
      <c r="L684" s="5"/>
    </row>
    <row r="685" spans="1:12" x14ac:dyDescent="0.25">
      <c r="A685" s="5" t="s">
        <v>6342</v>
      </c>
      <c r="B685" s="5" t="s">
        <v>6341</v>
      </c>
      <c r="C685" s="5" t="s">
        <v>35</v>
      </c>
      <c r="D685" s="21">
        <v>1</v>
      </c>
      <c r="E685" s="12">
        <v>119</v>
      </c>
      <c r="F685" s="10" t="str">
        <f>_xlfn.XLOOKUP(C685,menu!A:A,menu!B:B)</f>
        <v>Chicken Nuggets</v>
      </c>
      <c r="G685" s="10" t="str">
        <f>_xlfn.XLOOKUP(C685,menu!A:A,menu!C:C)</f>
        <v>Starters</v>
      </c>
      <c r="H685" s="10">
        <f>_xlfn.XLOOKUP(C685,menu!A:A,menu!E:E)</f>
        <v>36</v>
      </c>
      <c r="I685" s="10">
        <f t="shared" si="10"/>
        <v>36</v>
      </c>
      <c r="K685" s="10"/>
      <c r="L685" s="5"/>
    </row>
    <row r="686" spans="1:12" x14ac:dyDescent="0.25">
      <c r="A686" s="5" t="s">
        <v>6340</v>
      </c>
      <c r="B686" s="5" t="s">
        <v>6338</v>
      </c>
      <c r="C686" s="5" t="s">
        <v>44</v>
      </c>
      <c r="D686" s="21">
        <v>1</v>
      </c>
      <c r="E686" s="12">
        <v>159</v>
      </c>
      <c r="F686" s="10" t="str">
        <f>_xlfn.XLOOKUP(C686,menu!A:A,menu!B:B)</f>
        <v>Fried Chicken</v>
      </c>
      <c r="G686" s="10" t="str">
        <f>_xlfn.XLOOKUP(C686,menu!A:A,menu!C:C)</f>
        <v>Starters</v>
      </c>
      <c r="H686" s="10">
        <f>_xlfn.XLOOKUP(C686,menu!A:A,menu!E:E)</f>
        <v>48</v>
      </c>
      <c r="I686" s="10">
        <f t="shared" si="10"/>
        <v>48</v>
      </c>
      <c r="K686" s="10"/>
      <c r="L686" s="5"/>
    </row>
    <row r="687" spans="1:12" x14ac:dyDescent="0.25">
      <c r="A687" s="5" t="s">
        <v>6339</v>
      </c>
      <c r="B687" s="5" t="s">
        <v>6338</v>
      </c>
      <c r="C687" s="5" t="s">
        <v>59</v>
      </c>
      <c r="D687" s="21">
        <v>3</v>
      </c>
      <c r="E687" s="12">
        <v>237</v>
      </c>
      <c r="F687" s="10" t="str">
        <f>_xlfn.XLOOKUP(C687,menu!A:A,menu!B:B)</f>
        <v>Blue Curacao Mojito</v>
      </c>
      <c r="G687" s="10" t="str">
        <f>_xlfn.XLOOKUP(C687,menu!A:A,menu!C:C)</f>
        <v>Beverages</v>
      </c>
      <c r="H687" s="10">
        <f>_xlfn.XLOOKUP(C687,menu!A:A,menu!E:E)</f>
        <v>24</v>
      </c>
      <c r="I687" s="10">
        <f t="shared" si="10"/>
        <v>72</v>
      </c>
      <c r="K687" s="10"/>
      <c r="L687" s="5"/>
    </row>
    <row r="688" spans="1:12" x14ac:dyDescent="0.25">
      <c r="A688" s="5" t="s">
        <v>6337</v>
      </c>
      <c r="B688" s="5" t="s">
        <v>6333</v>
      </c>
      <c r="C688" s="5" t="s">
        <v>5</v>
      </c>
      <c r="D688" s="21">
        <v>1</v>
      </c>
      <c r="E688" s="12">
        <v>79</v>
      </c>
      <c r="F688" s="10" t="str">
        <f>_xlfn.XLOOKUP(C688,menu!A:A,menu!B:B)</f>
        <v>Veg Sandwich</v>
      </c>
      <c r="G688" s="10" t="str">
        <f>_xlfn.XLOOKUP(C688,menu!A:A,menu!C:C)</f>
        <v>Sandwich</v>
      </c>
      <c r="H688" s="10">
        <f>_xlfn.XLOOKUP(C688,menu!A:A,menu!E:E)</f>
        <v>24</v>
      </c>
      <c r="I688" s="10">
        <f t="shared" si="10"/>
        <v>24</v>
      </c>
      <c r="K688" s="10"/>
      <c r="L688" s="5"/>
    </row>
    <row r="689" spans="1:12" x14ac:dyDescent="0.25">
      <c r="A689" s="5" t="s">
        <v>6336</v>
      </c>
      <c r="B689" s="5" t="s">
        <v>6333</v>
      </c>
      <c r="C689" s="5" t="s">
        <v>52</v>
      </c>
      <c r="D689" s="21">
        <v>2</v>
      </c>
      <c r="E689" s="12">
        <v>198</v>
      </c>
      <c r="F689" s="10" t="str">
        <f>_xlfn.XLOOKUP(C689,menu!A:A,menu!B:B)</f>
        <v>French Fries</v>
      </c>
      <c r="G689" s="10" t="str">
        <f>_xlfn.XLOOKUP(C689,menu!A:A,menu!C:C)</f>
        <v>Starters</v>
      </c>
      <c r="H689" s="10">
        <f>_xlfn.XLOOKUP(C689,menu!A:A,menu!E:E)</f>
        <v>30</v>
      </c>
      <c r="I689" s="10">
        <f t="shared" si="10"/>
        <v>60</v>
      </c>
      <c r="K689" s="10"/>
      <c r="L689" s="5"/>
    </row>
    <row r="690" spans="1:12" x14ac:dyDescent="0.25">
      <c r="A690" s="5" t="s">
        <v>6335</v>
      </c>
      <c r="B690" s="5" t="s">
        <v>6333</v>
      </c>
      <c r="C690" s="5" t="s">
        <v>31</v>
      </c>
      <c r="D690" s="21">
        <v>1</v>
      </c>
      <c r="E690" s="12">
        <v>89</v>
      </c>
      <c r="F690" s="10" t="str">
        <f>_xlfn.XLOOKUP(C690,menu!A:A,menu!B:B)</f>
        <v>Chicken Roll</v>
      </c>
      <c r="G690" s="10" t="str">
        <f>_xlfn.XLOOKUP(C690,menu!A:A,menu!C:C)</f>
        <v>Rolls</v>
      </c>
      <c r="H690" s="10">
        <f>_xlfn.XLOOKUP(C690,menu!A:A,menu!E:E)</f>
        <v>27</v>
      </c>
      <c r="I690" s="10">
        <f t="shared" si="10"/>
        <v>27</v>
      </c>
      <c r="K690" s="10"/>
      <c r="L690" s="5"/>
    </row>
    <row r="691" spans="1:12" x14ac:dyDescent="0.25">
      <c r="A691" s="5" t="s">
        <v>6334</v>
      </c>
      <c r="B691" s="5" t="s">
        <v>6333</v>
      </c>
      <c r="C691" s="5" t="s">
        <v>48</v>
      </c>
      <c r="D691" s="21">
        <v>2</v>
      </c>
      <c r="E691" s="12">
        <v>318</v>
      </c>
      <c r="F691" s="10" t="str">
        <f>_xlfn.XLOOKUP(C691,menu!A:A,menu!B:B)</f>
        <v>Chicken Lollipop</v>
      </c>
      <c r="G691" s="10" t="str">
        <f>_xlfn.XLOOKUP(C691,menu!A:A,menu!C:C)</f>
        <v>Starters</v>
      </c>
      <c r="H691" s="10">
        <f>_xlfn.XLOOKUP(C691,menu!A:A,menu!E:E)</f>
        <v>48</v>
      </c>
      <c r="I691" s="10">
        <f t="shared" si="10"/>
        <v>96</v>
      </c>
      <c r="K691" s="10"/>
      <c r="L691" s="5"/>
    </row>
    <row r="692" spans="1:12" x14ac:dyDescent="0.25">
      <c r="A692" s="5" t="s">
        <v>6332</v>
      </c>
      <c r="B692" s="5" t="s">
        <v>6330</v>
      </c>
      <c r="C692" s="5" t="s">
        <v>40</v>
      </c>
      <c r="D692" s="21">
        <v>2</v>
      </c>
      <c r="E692" s="12">
        <v>198</v>
      </c>
      <c r="F692" s="10" t="str">
        <f>_xlfn.XLOOKUP(C692,menu!A:A,menu!B:B)</f>
        <v>Veg Nuggets</v>
      </c>
      <c r="G692" s="10" t="str">
        <f>_xlfn.XLOOKUP(C692,menu!A:A,menu!C:C)</f>
        <v>Starters</v>
      </c>
      <c r="H692" s="10">
        <f>_xlfn.XLOOKUP(C692,menu!A:A,menu!E:E)</f>
        <v>30</v>
      </c>
      <c r="I692" s="10">
        <f t="shared" si="10"/>
        <v>60</v>
      </c>
      <c r="K692" s="10"/>
      <c r="L692" s="5"/>
    </row>
    <row r="693" spans="1:12" x14ac:dyDescent="0.25">
      <c r="A693" s="5" t="s">
        <v>6331</v>
      </c>
      <c r="B693" s="5" t="s">
        <v>6330</v>
      </c>
      <c r="C693" s="5" t="s">
        <v>61</v>
      </c>
      <c r="D693" s="21">
        <v>3</v>
      </c>
      <c r="E693" s="12">
        <v>237</v>
      </c>
      <c r="F693" s="10" t="str">
        <f>_xlfn.XLOOKUP(C693,menu!A:A,menu!B:B)</f>
        <v>Watermelon Mojito</v>
      </c>
      <c r="G693" s="10" t="str">
        <f>_xlfn.XLOOKUP(C693,menu!A:A,menu!C:C)</f>
        <v>Beverages</v>
      </c>
      <c r="H693" s="10">
        <f>_xlfn.XLOOKUP(C693,menu!A:A,menu!E:E)</f>
        <v>24</v>
      </c>
      <c r="I693" s="10">
        <f t="shared" si="10"/>
        <v>72</v>
      </c>
      <c r="K693" s="10"/>
      <c r="L693" s="5"/>
    </row>
    <row r="694" spans="1:12" x14ac:dyDescent="0.25">
      <c r="A694" s="5" t="s">
        <v>6329</v>
      </c>
      <c r="B694" s="5" t="s">
        <v>6326</v>
      </c>
      <c r="C694" s="5" t="s">
        <v>12</v>
      </c>
      <c r="D694" s="21">
        <v>3</v>
      </c>
      <c r="E694" s="12">
        <v>237</v>
      </c>
      <c r="F694" s="10" t="str">
        <f>_xlfn.XLOOKUP(C694,menu!A:A,menu!B:B)</f>
        <v>Veg Momos</v>
      </c>
      <c r="G694" s="10" t="str">
        <f>_xlfn.XLOOKUP(C694,menu!A:A,menu!C:C)</f>
        <v>Momos</v>
      </c>
      <c r="H694" s="10">
        <f>_xlfn.XLOOKUP(C694,menu!A:A,menu!E:E)</f>
        <v>24</v>
      </c>
      <c r="I694" s="10">
        <f t="shared" si="10"/>
        <v>72</v>
      </c>
      <c r="K694" s="10"/>
      <c r="L694" s="5"/>
    </row>
    <row r="695" spans="1:12" x14ac:dyDescent="0.25">
      <c r="A695" s="5" t="s">
        <v>6328</v>
      </c>
      <c r="B695" s="5" t="s">
        <v>6326</v>
      </c>
      <c r="C695" s="5" t="s">
        <v>46</v>
      </c>
      <c r="D695" s="21">
        <v>1</v>
      </c>
      <c r="E695" s="12">
        <v>149</v>
      </c>
      <c r="F695" s="10" t="str">
        <f>_xlfn.XLOOKUP(C695,menu!A:A,menu!B:B)</f>
        <v>Fish Finger</v>
      </c>
      <c r="G695" s="10" t="str">
        <f>_xlfn.XLOOKUP(C695,menu!A:A,menu!C:C)</f>
        <v>Starters</v>
      </c>
      <c r="H695" s="10">
        <f>_xlfn.XLOOKUP(C695,menu!A:A,menu!E:E)</f>
        <v>45</v>
      </c>
      <c r="I695" s="10">
        <f t="shared" si="10"/>
        <v>45</v>
      </c>
      <c r="K695" s="10"/>
      <c r="L695" s="5"/>
    </row>
    <row r="696" spans="1:12" x14ac:dyDescent="0.25">
      <c r="A696" s="5" t="s">
        <v>6327</v>
      </c>
      <c r="B696" s="5" t="s">
        <v>6326</v>
      </c>
      <c r="C696" s="5" t="s">
        <v>42</v>
      </c>
      <c r="D696" s="21">
        <v>2</v>
      </c>
      <c r="E696" s="12">
        <v>298</v>
      </c>
      <c r="F696" s="10" t="str">
        <f>_xlfn.XLOOKUP(C696,menu!A:A,menu!B:B)</f>
        <v>Chicken Popcorn</v>
      </c>
      <c r="G696" s="10" t="str">
        <f>_xlfn.XLOOKUP(C696,menu!A:A,menu!C:C)</f>
        <v>Starters</v>
      </c>
      <c r="H696" s="10">
        <f>_xlfn.XLOOKUP(C696,menu!A:A,menu!E:E)</f>
        <v>45</v>
      </c>
      <c r="I696" s="10">
        <f t="shared" si="10"/>
        <v>90</v>
      </c>
      <c r="K696" s="10"/>
      <c r="L696" s="5"/>
    </row>
    <row r="697" spans="1:12" x14ac:dyDescent="0.25">
      <c r="A697" s="5" t="s">
        <v>6325</v>
      </c>
      <c r="B697" s="5" t="s">
        <v>6322</v>
      </c>
      <c r="C697" s="5" t="s">
        <v>40</v>
      </c>
      <c r="D697" s="21">
        <v>3</v>
      </c>
      <c r="E697" s="12">
        <v>297</v>
      </c>
      <c r="F697" s="10" t="str">
        <f>_xlfn.XLOOKUP(C697,menu!A:A,menu!B:B)</f>
        <v>Veg Nuggets</v>
      </c>
      <c r="G697" s="10" t="str">
        <f>_xlfn.XLOOKUP(C697,menu!A:A,menu!C:C)</f>
        <v>Starters</v>
      </c>
      <c r="H697" s="10">
        <f>_xlfn.XLOOKUP(C697,menu!A:A,menu!E:E)</f>
        <v>30</v>
      </c>
      <c r="I697" s="10">
        <f t="shared" si="10"/>
        <v>90</v>
      </c>
      <c r="K697" s="10"/>
      <c r="L697" s="5"/>
    </row>
    <row r="698" spans="1:12" x14ac:dyDescent="0.25">
      <c r="A698" s="5" t="s">
        <v>6324</v>
      </c>
      <c r="B698" s="5" t="s">
        <v>6322</v>
      </c>
      <c r="C698" s="5" t="s">
        <v>63</v>
      </c>
      <c r="D698" s="21">
        <v>2</v>
      </c>
      <c r="E698" s="12">
        <v>158</v>
      </c>
      <c r="F698" s="10" t="str">
        <f>_xlfn.XLOOKUP(C698,menu!A:A,menu!B:B)</f>
        <v>Virgin Mojito</v>
      </c>
      <c r="G698" s="10" t="str">
        <f>_xlfn.XLOOKUP(C698,menu!A:A,menu!C:C)</f>
        <v>Beverages</v>
      </c>
      <c r="H698" s="10">
        <f>_xlfn.XLOOKUP(C698,menu!A:A,menu!E:E)</f>
        <v>24</v>
      </c>
      <c r="I698" s="10">
        <f t="shared" si="10"/>
        <v>48</v>
      </c>
      <c r="K698" s="10"/>
      <c r="L698" s="5"/>
    </row>
    <row r="699" spans="1:12" x14ac:dyDescent="0.25">
      <c r="A699" s="5" t="s">
        <v>6323</v>
      </c>
      <c r="B699" s="5" t="s">
        <v>6322</v>
      </c>
      <c r="C699" s="5" t="s">
        <v>46</v>
      </c>
      <c r="D699" s="21">
        <v>2</v>
      </c>
      <c r="E699" s="12">
        <v>298</v>
      </c>
      <c r="F699" s="10" t="str">
        <f>_xlfn.XLOOKUP(C699,menu!A:A,menu!B:B)</f>
        <v>Fish Finger</v>
      </c>
      <c r="G699" s="10" t="str">
        <f>_xlfn.XLOOKUP(C699,menu!A:A,menu!C:C)</f>
        <v>Starters</v>
      </c>
      <c r="H699" s="10">
        <f>_xlfn.XLOOKUP(C699,menu!A:A,menu!E:E)</f>
        <v>45</v>
      </c>
      <c r="I699" s="10">
        <f t="shared" si="10"/>
        <v>90</v>
      </c>
      <c r="K699" s="10"/>
      <c r="L699" s="5"/>
    </row>
    <row r="700" spans="1:12" x14ac:dyDescent="0.25">
      <c r="A700" s="5" t="s">
        <v>6321</v>
      </c>
      <c r="B700" s="5" t="s">
        <v>6319</v>
      </c>
      <c r="C700" s="5" t="s">
        <v>29</v>
      </c>
      <c r="D700" s="21">
        <v>4</v>
      </c>
      <c r="E700" s="12">
        <v>316</v>
      </c>
      <c r="F700" s="10" t="str">
        <f>_xlfn.XLOOKUP(C700,menu!A:A,menu!B:B)</f>
        <v>Paneer Roll</v>
      </c>
      <c r="G700" s="10" t="str">
        <f>_xlfn.XLOOKUP(C700,menu!A:A,menu!C:C)</f>
        <v>Rolls</v>
      </c>
      <c r="H700" s="10">
        <f>_xlfn.XLOOKUP(C700,menu!A:A,menu!E:E)</f>
        <v>24</v>
      </c>
      <c r="I700" s="10">
        <f t="shared" si="10"/>
        <v>96</v>
      </c>
      <c r="K700" s="10"/>
      <c r="L700" s="5"/>
    </row>
    <row r="701" spans="1:12" x14ac:dyDescent="0.25">
      <c r="A701" s="5" t="s">
        <v>6320</v>
      </c>
      <c r="B701" s="5" t="s">
        <v>6319</v>
      </c>
      <c r="C701" s="5" t="s">
        <v>52</v>
      </c>
      <c r="D701" s="21">
        <v>2</v>
      </c>
      <c r="E701" s="12">
        <v>198</v>
      </c>
      <c r="F701" s="10" t="str">
        <f>_xlfn.XLOOKUP(C701,menu!A:A,menu!B:B)</f>
        <v>French Fries</v>
      </c>
      <c r="G701" s="10" t="str">
        <f>_xlfn.XLOOKUP(C701,menu!A:A,menu!C:C)</f>
        <v>Starters</v>
      </c>
      <c r="H701" s="10">
        <f>_xlfn.XLOOKUP(C701,menu!A:A,menu!E:E)</f>
        <v>30</v>
      </c>
      <c r="I701" s="10">
        <f t="shared" si="10"/>
        <v>60</v>
      </c>
      <c r="K701" s="10"/>
      <c r="L701" s="5"/>
    </row>
    <row r="702" spans="1:12" x14ac:dyDescent="0.25">
      <c r="A702" s="5" t="s">
        <v>6318</v>
      </c>
      <c r="B702" s="5" t="s">
        <v>6316</v>
      </c>
      <c r="C702" s="5" t="s">
        <v>19</v>
      </c>
      <c r="D702" s="21">
        <v>1</v>
      </c>
      <c r="E702" s="12">
        <v>79</v>
      </c>
      <c r="F702" s="10" t="str">
        <f>_xlfn.XLOOKUP(C702,menu!A:A,menu!B:B)</f>
        <v>Veg Burger</v>
      </c>
      <c r="G702" s="10" t="str">
        <f>_xlfn.XLOOKUP(C702,menu!A:A,menu!C:C)</f>
        <v>Burger</v>
      </c>
      <c r="H702" s="10">
        <f>_xlfn.XLOOKUP(C702,menu!A:A,menu!E:E)</f>
        <v>24</v>
      </c>
      <c r="I702" s="10">
        <f t="shared" si="10"/>
        <v>24</v>
      </c>
      <c r="K702" s="10"/>
      <c r="L702" s="5"/>
    </row>
    <row r="703" spans="1:12" x14ac:dyDescent="0.25">
      <c r="A703" s="5" t="s">
        <v>6317</v>
      </c>
      <c r="B703" s="5" t="s">
        <v>6316</v>
      </c>
      <c r="C703" s="5" t="s">
        <v>65</v>
      </c>
      <c r="D703" s="21">
        <v>3</v>
      </c>
      <c r="E703" s="12">
        <v>147</v>
      </c>
      <c r="F703" s="10" t="str">
        <f>_xlfn.XLOOKUP(C703,menu!A:A,menu!B:B)</f>
        <v>Lemon Juice</v>
      </c>
      <c r="G703" s="10" t="str">
        <f>_xlfn.XLOOKUP(C703,menu!A:A,menu!C:C)</f>
        <v>Beverages</v>
      </c>
      <c r="H703" s="10">
        <f>_xlfn.XLOOKUP(C703,menu!A:A,menu!E:E)</f>
        <v>15</v>
      </c>
      <c r="I703" s="10">
        <f t="shared" si="10"/>
        <v>45</v>
      </c>
      <c r="K703" s="10"/>
      <c r="L703" s="5"/>
    </row>
    <row r="704" spans="1:12" x14ac:dyDescent="0.25">
      <c r="A704" s="5" t="s">
        <v>6315</v>
      </c>
      <c r="B704" s="5" t="s">
        <v>6314</v>
      </c>
      <c r="C704" s="5" t="s">
        <v>12</v>
      </c>
      <c r="D704" s="21">
        <v>1</v>
      </c>
      <c r="E704" s="12">
        <v>79</v>
      </c>
      <c r="F704" s="10" t="str">
        <f>_xlfn.XLOOKUP(C704,menu!A:A,menu!B:B)</f>
        <v>Veg Momos</v>
      </c>
      <c r="G704" s="10" t="str">
        <f>_xlfn.XLOOKUP(C704,menu!A:A,menu!C:C)</f>
        <v>Momos</v>
      </c>
      <c r="H704" s="10">
        <f>_xlfn.XLOOKUP(C704,menu!A:A,menu!E:E)</f>
        <v>24</v>
      </c>
      <c r="I704" s="10">
        <f t="shared" si="10"/>
        <v>24</v>
      </c>
      <c r="K704" s="10"/>
      <c r="L704" s="5"/>
    </row>
    <row r="705" spans="1:12" x14ac:dyDescent="0.25">
      <c r="A705" s="5" t="s">
        <v>6313</v>
      </c>
      <c r="B705" s="5" t="s">
        <v>6310</v>
      </c>
      <c r="C705" s="5" t="s">
        <v>5</v>
      </c>
      <c r="D705" s="21">
        <v>1</v>
      </c>
      <c r="E705" s="12">
        <v>79</v>
      </c>
      <c r="F705" s="10" t="str">
        <f>_xlfn.XLOOKUP(C705,menu!A:A,menu!B:B)</f>
        <v>Veg Sandwich</v>
      </c>
      <c r="G705" s="10" t="str">
        <f>_xlfn.XLOOKUP(C705,menu!A:A,menu!C:C)</f>
        <v>Sandwich</v>
      </c>
      <c r="H705" s="10">
        <f>_xlfn.XLOOKUP(C705,menu!A:A,menu!E:E)</f>
        <v>24</v>
      </c>
      <c r="I705" s="10">
        <f t="shared" si="10"/>
        <v>24</v>
      </c>
      <c r="K705" s="10"/>
      <c r="L705" s="5"/>
    </row>
    <row r="706" spans="1:12" x14ac:dyDescent="0.25">
      <c r="A706" s="5" t="s">
        <v>6312</v>
      </c>
      <c r="B706" s="5" t="s">
        <v>6310</v>
      </c>
      <c r="C706" s="5" t="s">
        <v>50</v>
      </c>
      <c r="D706" s="21">
        <v>2</v>
      </c>
      <c r="E706" s="12">
        <v>298</v>
      </c>
      <c r="F706" s="10" t="str">
        <f>_xlfn.XLOOKUP(C706,menu!A:A,menu!B:B)</f>
        <v>Grab Lollipop</v>
      </c>
      <c r="G706" s="10" t="str">
        <f>_xlfn.XLOOKUP(C706,menu!A:A,menu!C:C)</f>
        <v>Starters</v>
      </c>
      <c r="H706" s="10">
        <f>_xlfn.XLOOKUP(C706,menu!A:A,menu!E:E)</f>
        <v>45</v>
      </c>
      <c r="I706" s="10">
        <f t="shared" si="10"/>
        <v>90</v>
      </c>
      <c r="K706" s="10"/>
      <c r="L706" s="5"/>
    </row>
    <row r="707" spans="1:12" x14ac:dyDescent="0.25">
      <c r="A707" s="5" t="s">
        <v>6311</v>
      </c>
      <c r="B707" s="5" t="s">
        <v>6310</v>
      </c>
      <c r="C707" s="5" t="s">
        <v>15</v>
      </c>
      <c r="D707" s="21">
        <v>1</v>
      </c>
      <c r="E707" s="12">
        <v>99</v>
      </c>
      <c r="F707" s="10" t="str">
        <f>_xlfn.XLOOKUP(C707,menu!A:A,menu!B:B)</f>
        <v>Chicken Momos</v>
      </c>
      <c r="G707" s="10" t="str">
        <f>_xlfn.XLOOKUP(C707,menu!A:A,menu!C:C)</f>
        <v>Momos</v>
      </c>
      <c r="H707" s="10">
        <f>_xlfn.XLOOKUP(C707,menu!A:A,menu!E:E)</f>
        <v>30</v>
      </c>
      <c r="I707" s="10">
        <f t="shared" ref="I707:I770" si="11">D707*H707</f>
        <v>30</v>
      </c>
      <c r="K707" s="10"/>
      <c r="L707" s="5"/>
    </row>
    <row r="708" spans="1:12" x14ac:dyDescent="0.25">
      <c r="A708" s="5" t="s">
        <v>6309</v>
      </c>
      <c r="B708" s="5" t="s">
        <v>6307</v>
      </c>
      <c r="C708" s="5" t="s">
        <v>17</v>
      </c>
      <c r="D708" s="21">
        <v>4</v>
      </c>
      <c r="E708" s="12">
        <v>356</v>
      </c>
      <c r="F708" s="10" t="str">
        <f>_xlfn.XLOOKUP(C708,menu!A:A,menu!B:B)</f>
        <v>Paneer Momos</v>
      </c>
      <c r="G708" s="10" t="str">
        <f>_xlfn.XLOOKUP(C708,menu!A:A,menu!C:C)</f>
        <v>Momos</v>
      </c>
      <c r="H708" s="10">
        <f>_xlfn.XLOOKUP(C708,menu!A:A,menu!E:E)</f>
        <v>27</v>
      </c>
      <c r="I708" s="10">
        <f t="shared" si="11"/>
        <v>108</v>
      </c>
      <c r="K708" s="10"/>
      <c r="L708" s="5"/>
    </row>
    <row r="709" spans="1:12" x14ac:dyDescent="0.25">
      <c r="A709" s="5" t="s">
        <v>6308</v>
      </c>
      <c r="B709" s="5" t="s">
        <v>6307</v>
      </c>
      <c r="C709" s="5" t="s">
        <v>24</v>
      </c>
      <c r="D709" s="21">
        <v>2</v>
      </c>
      <c r="E709" s="12">
        <v>178</v>
      </c>
      <c r="F709" s="10" t="str">
        <f>_xlfn.XLOOKUP(C709,menu!A:A,menu!B:B)</f>
        <v>Paneer Burger</v>
      </c>
      <c r="G709" s="10" t="str">
        <f>_xlfn.XLOOKUP(C709,menu!A:A,menu!C:C)</f>
        <v>Burger</v>
      </c>
      <c r="H709" s="10">
        <f>_xlfn.XLOOKUP(C709,menu!A:A,menu!E:E)</f>
        <v>27</v>
      </c>
      <c r="I709" s="10">
        <f t="shared" si="11"/>
        <v>54</v>
      </c>
      <c r="K709" s="10"/>
      <c r="L709" s="5"/>
    </row>
    <row r="710" spans="1:12" x14ac:dyDescent="0.25">
      <c r="A710" s="5" t="s">
        <v>6306</v>
      </c>
      <c r="B710" s="5" t="s">
        <v>6303</v>
      </c>
      <c r="C710" s="5" t="s">
        <v>12</v>
      </c>
      <c r="D710" s="21">
        <v>1</v>
      </c>
      <c r="E710" s="12">
        <v>79</v>
      </c>
      <c r="F710" s="10" t="str">
        <f>_xlfn.XLOOKUP(C710,menu!A:A,menu!B:B)</f>
        <v>Veg Momos</v>
      </c>
      <c r="G710" s="10" t="str">
        <f>_xlfn.XLOOKUP(C710,menu!A:A,menu!C:C)</f>
        <v>Momos</v>
      </c>
      <c r="H710" s="10">
        <f>_xlfn.XLOOKUP(C710,menu!A:A,menu!E:E)</f>
        <v>24</v>
      </c>
      <c r="I710" s="10">
        <f t="shared" si="11"/>
        <v>24</v>
      </c>
      <c r="K710" s="10"/>
      <c r="L710" s="5"/>
    </row>
    <row r="711" spans="1:12" x14ac:dyDescent="0.25">
      <c r="A711" s="5" t="s">
        <v>6305</v>
      </c>
      <c r="B711" s="5" t="s">
        <v>6303</v>
      </c>
      <c r="C711" s="5" t="s">
        <v>54</v>
      </c>
      <c r="D711" s="21">
        <v>2</v>
      </c>
      <c r="E711" s="12">
        <v>278</v>
      </c>
      <c r="F711" s="10" t="str">
        <f>_xlfn.XLOOKUP(C711,menu!A:A,menu!B:B)</f>
        <v>Chicken Strips</v>
      </c>
      <c r="G711" s="10" t="str">
        <f>_xlfn.XLOOKUP(C711,menu!A:A,menu!C:C)</f>
        <v>Starters</v>
      </c>
      <c r="H711" s="10">
        <f>_xlfn.XLOOKUP(C711,menu!A:A,menu!E:E)</f>
        <v>42</v>
      </c>
      <c r="I711" s="10">
        <f t="shared" si="11"/>
        <v>84</v>
      </c>
      <c r="K711" s="10"/>
      <c r="L711" s="5"/>
    </row>
    <row r="712" spans="1:12" x14ac:dyDescent="0.25">
      <c r="A712" s="5" t="s">
        <v>6304</v>
      </c>
      <c r="B712" s="5" t="s">
        <v>6303</v>
      </c>
      <c r="C712" s="5" t="s">
        <v>65</v>
      </c>
      <c r="D712" s="21">
        <v>1</v>
      </c>
      <c r="E712" s="12">
        <v>49</v>
      </c>
      <c r="F712" s="10" t="str">
        <f>_xlfn.XLOOKUP(C712,menu!A:A,menu!B:B)</f>
        <v>Lemon Juice</v>
      </c>
      <c r="G712" s="10" t="str">
        <f>_xlfn.XLOOKUP(C712,menu!A:A,menu!C:C)</f>
        <v>Beverages</v>
      </c>
      <c r="H712" s="10">
        <f>_xlfn.XLOOKUP(C712,menu!A:A,menu!E:E)</f>
        <v>15</v>
      </c>
      <c r="I712" s="10">
        <f t="shared" si="11"/>
        <v>15</v>
      </c>
      <c r="K712" s="10"/>
      <c r="L712" s="5"/>
    </row>
    <row r="713" spans="1:12" x14ac:dyDescent="0.25">
      <c r="A713" s="5" t="s">
        <v>6302</v>
      </c>
      <c r="B713" s="5" t="s">
        <v>6299</v>
      </c>
      <c r="C713" s="5" t="s">
        <v>10</v>
      </c>
      <c r="D713" s="21">
        <v>2</v>
      </c>
      <c r="E713" s="12">
        <v>238</v>
      </c>
      <c r="F713" s="10" t="str">
        <f>_xlfn.XLOOKUP(C713,menu!A:A,menu!B:B)</f>
        <v>Chicken Sandwich</v>
      </c>
      <c r="G713" s="10" t="str">
        <f>_xlfn.XLOOKUP(C713,menu!A:A,menu!C:C)</f>
        <v>Sandwich</v>
      </c>
      <c r="H713" s="10">
        <f>_xlfn.XLOOKUP(C713,menu!A:A,menu!E:E)</f>
        <v>36</v>
      </c>
      <c r="I713" s="10">
        <f t="shared" si="11"/>
        <v>72</v>
      </c>
      <c r="K713" s="10"/>
      <c r="L713" s="5"/>
    </row>
    <row r="714" spans="1:12" x14ac:dyDescent="0.25">
      <c r="A714" s="5" t="s">
        <v>6301</v>
      </c>
      <c r="B714" s="5" t="s">
        <v>6299</v>
      </c>
      <c r="C714" s="5" t="s">
        <v>31</v>
      </c>
      <c r="D714" s="21">
        <v>3</v>
      </c>
      <c r="E714" s="12">
        <v>267</v>
      </c>
      <c r="F714" s="10" t="str">
        <f>_xlfn.XLOOKUP(C714,menu!A:A,menu!B:B)</f>
        <v>Chicken Roll</v>
      </c>
      <c r="G714" s="10" t="str">
        <f>_xlfn.XLOOKUP(C714,menu!A:A,menu!C:C)</f>
        <v>Rolls</v>
      </c>
      <c r="H714" s="10">
        <f>_xlfn.XLOOKUP(C714,menu!A:A,menu!E:E)</f>
        <v>27</v>
      </c>
      <c r="I714" s="10">
        <f t="shared" si="11"/>
        <v>81</v>
      </c>
      <c r="K714" s="10"/>
      <c r="L714" s="5"/>
    </row>
    <row r="715" spans="1:12" x14ac:dyDescent="0.25">
      <c r="A715" s="5" t="s">
        <v>6300</v>
      </c>
      <c r="B715" s="5" t="s">
        <v>6299</v>
      </c>
      <c r="C715" s="5" t="s">
        <v>38</v>
      </c>
      <c r="D715" s="21">
        <v>2</v>
      </c>
      <c r="E715" s="12">
        <v>298</v>
      </c>
      <c r="F715" s="10" t="str">
        <f>_xlfn.XLOOKUP(C715,menu!A:A,menu!B:B)</f>
        <v>Chicken Wings</v>
      </c>
      <c r="G715" s="10" t="str">
        <f>_xlfn.XLOOKUP(C715,menu!A:A,menu!C:C)</f>
        <v>Starters</v>
      </c>
      <c r="H715" s="10">
        <f>_xlfn.XLOOKUP(C715,menu!A:A,menu!E:E)</f>
        <v>45</v>
      </c>
      <c r="I715" s="10">
        <f t="shared" si="11"/>
        <v>90</v>
      </c>
      <c r="K715" s="10"/>
      <c r="L715" s="5"/>
    </row>
    <row r="716" spans="1:12" x14ac:dyDescent="0.25">
      <c r="A716" s="5" t="s">
        <v>6298</v>
      </c>
      <c r="B716" s="5" t="s">
        <v>6296</v>
      </c>
      <c r="C716" s="5" t="s">
        <v>65</v>
      </c>
      <c r="D716" s="21">
        <v>1</v>
      </c>
      <c r="E716" s="12">
        <v>49</v>
      </c>
      <c r="F716" s="10" t="str">
        <f>_xlfn.XLOOKUP(C716,menu!A:A,menu!B:B)</f>
        <v>Lemon Juice</v>
      </c>
      <c r="G716" s="10" t="str">
        <f>_xlfn.XLOOKUP(C716,menu!A:A,menu!C:C)</f>
        <v>Beverages</v>
      </c>
      <c r="H716" s="10">
        <f>_xlfn.XLOOKUP(C716,menu!A:A,menu!E:E)</f>
        <v>15</v>
      </c>
      <c r="I716" s="10">
        <f t="shared" si="11"/>
        <v>15</v>
      </c>
      <c r="K716" s="10"/>
      <c r="L716" s="5"/>
    </row>
    <row r="717" spans="1:12" x14ac:dyDescent="0.25">
      <c r="A717" s="5" t="s">
        <v>6297</v>
      </c>
      <c r="B717" s="5" t="s">
        <v>6296</v>
      </c>
      <c r="C717" s="5" t="s">
        <v>38</v>
      </c>
      <c r="D717" s="21">
        <v>1</v>
      </c>
      <c r="E717" s="12">
        <v>149</v>
      </c>
      <c r="F717" s="10" t="str">
        <f>_xlfn.XLOOKUP(C717,menu!A:A,menu!B:B)</f>
        <v>Chicken Wings</v>
      </c>
      <c r="G717" s="10" t="str">
        <f>_xlfn.XLOOKUP(C717,menu!A:A,menu!C:C)</f>
        <v>Starters</v>
      </c>
      <c r="H717" s="10">
        <f>_xlfn.XLOOKUP(C717,menu!A:A,menu!E:E)</f>
        <v>45</v>
      </c>
      <c r="I717" s="10">
        <f t="shared" si="11"/>
        <v>45</v>
      </c>
      <c r="K717" s="10"/>
      <c r="L717" s="5"/>
    </row>
    <row r="718" spans="1:12" x14ac:dyDescent="0.25">
      <c r="A718" s="5" t="s">
        <v>6295</v>
      </c>
      <c r="B718" s="5" t="s">
        <v>6294</v>
      </c>
      <c r="C718" s="5" t="s">
        <v>17</v>
      </c>
      <c r="D718" s="21">
        <v>3</v>
      </c>
      <c r="E718" s="12">
        <v>267</v>
      </c>
      <c r="F718" s="10" t="str">
        <f>_xlfn.XLOOKUP(C718,menu!A:A,menu!B:B)</f>
        <v>Paneer Momos</v>
      </c>
      <c r="G718" s="10" t="str">
        <f>_xlfn.XLOOKUP(C718,menu!A:A,menu!C:C)</f>
        <v>Momos</v>
      </c>
      <c r="H718" s="10">
        <f>_xlfn.XLOOKUP(C718,menu!A:A,menu!E:E)</f>
        <v>27</v>
      </c>
      <c r="I718" s="10">
        <f t="shared" si="11"/>
        <v>81</v>
      </c>
      <c r="K718" s="10"/>
      <c r="L718" s="5"/>
    </row>
    <row r="719" spans="1:12" x14ac:dyDescent="0.25">
      <c r="A719" s="5" t="s">
        <v>6293</v>
      </c>
      <c r="B719" s="5" t="s">
        <v>6291</v>
      </c>
      <c r="C719" s="5" t="s">
        <v>46</v>
      </c>
      <c r="D719" s="21">
        <v>5</v>
      </c>
      <c r="E719" s="12">
        <v>745</v>
      </c>
      <c r="F719" s="10" t="str">
        <f>_xlfn.XLOOKUP(C719,menu!A:A,menu!B:B)</f>
        <v>Fish Finger</v>
      </c>
      <c r="G719" s="10" t="str">
        <f>_xlfn.XLOOKUP(C719,menu!A:A,menu!C:C)</f>
        <v>Starters</v>
      </c>
      <c r="H719" s="10">
        <f>_xlfn.XLOOKUP(C719,menu!A:A,menu!E:E)</f>
        <v>45</v>
      </c>
      <c r="I719" s="10">
        <f t="shared" si="11"/>
        <v>225</v>
      </c>
      <c r="K719" s="10"/>
      <c r="L719" s="5"/>
    </row>
    <row r="720" spans="1:12" x14ac:dyDescent="0.25">
      <c r="A720" s="5" t="s">
        <v>6292</v>
      </c>
      <c r="B720" s="5" t="s">
        <v>6291</v>
      </c>
      <c r="C720" s="5" t="s">
        <v>61</v>
      </c>
      <c r="D720" s="21">
        <v>2</v>
      </c>
      <c r="E720" s="12">
        <v>158</v>
      </c>
      <c r="F720" s="10" t="str">
        <f>_xlfn.XLOOKUP(C720,menu!A:A,menu!B:B)</f>
        <v>Watermelon Mojito</v>
      </c>
      <c r="G720" s="10" t="str">
        <f>_xlfn.XLOOKUP(C720,menu!A:A,menu!C:C)</f>
        <v>Beverages</v>
      </c>
      <c r="H720" s="10">
        <f>_xlfn.XLOOKUP(C720,menu!A:A,menu!E:E)</f>
        <v>24</v>
      </c>
      <c r="I720" s="10">
        <f t="shared" si="11"/>
        <v>48</v>
      </c>
      <c r="K720" s="10"/>
      <c r="L720" s="5"/>
    </row>
    <row r="721" spans="1:12" x14ac:dyDescent="0.25">
      <c r="A721" s="5" t="s">
        <v>6290</v>
      </c>
      <c r="B721" s="5" t="s">
        <v>6287</v>
      </c>
      <c r="C721" s="5" t="s">
        <v>5</v>
      </c>
      <c r="D721" s="21">
        <v>1</v>
      </c>
      <c r="E721" s="12">
        <v>79</v>
      </c>
      <c r="F721" s="10" t="str">
        <f>_xlfn.XLOOKUP(C721,menu!A:A,menu!B:B)</f>
        <v>Veg Sandwich</v>
      </c>
      <c r="G721" s="10" t="str">
        <f>_xlfn.XLOOKUP(C721,menu!A:A,menu!C:C)</f>
        <v>Sandwich</v>
      </c>
      <c r="H721" s="10">
        <f>_xlfn.XLOOKUP(C721,menu!A:A,menu!E:E)</f>
        <v>24</v>
      </c>
      <c r="I721" s="10">
        <f t="shared" si="11"/>
        <v>24</v>
      </c>
      <c r="K721" s="10"/>
      <c r="L721" s="5"/>
    </row>
    <row r="722" spans="1:12" x14ac:dyDescent="0.25">
      <c r="A722" s="5" t="s">
        <v>6289</v>
      </c>
      <c r="B722" s="5" t="s">
        <v>6287</v>
      </c>
      <c r="C722" s="5" t="s">
        <v>52</v>
      </c>
      <c r="D722" s="21">
        <v>2</v>
      </c>
      <c r="E722" s="12">
        <v>198</v>
      </c>
      <c r="F722" s="10" t="str">
        <f>_xlfn.XLOOKUP(C722,menu!A:A,menu!B:B)</f>
        <v>French Fries</v>
      </c>
      <c r="G722" s="10" t="str">
        <f>_xlfn.XLOOKUP(C722,menu!A:A,menu!C:C)</f>
        <v>Starters</v>
      </c>
      <c r="H722" s="10">
        <f>_xlfn.XLOOKUP(C722,menu!A:A,menu!E:E)</f>
        <v>30</v>
      </c>
      <c r="I722" s="10">
        <f t="shared" si="11"/>
        <v>60</v>
      </c>
      <c r="K722" s="10"/>
      <c r="L722" s="5"/>
    </row>
    <row r="723" spans="1:12" x14ac:dyDescent="0.25">
      <c r="A723" s="5" t="s">
        <v>6288</v>
      </c>
      <c r="B723" s="5" t="s">
        <v>6287</v>
      </c>
      <c r="C723" s="5" t="s">
        <v>38</v>
      </c>
      <c r="D723" s="21">
        <v>1</v>
      </c>
      <c r="E723" s="12">
        <v>149</v>
      </c>
      <c r="F723" s="10" t="str">
        <f>_xlfn.XLOOKUP(C723,menu!A:A,menu!B:B)</f>
        <v>Chicken Wings</v>
      </c>
      <c r="G723" s="10" t="str">
        <f>_xlfn.XLOOKUP(C723,menu!A:A,menu!C:C)</f>
        <v>Starters</v>
      </c>
      <c r="H723" s="10">
        <f>_xlfn.XLOOKUP(C723,menu!A:A,menu!E:E)</f>
        <v>45</v>
      </c>
      <c r="I723" s="10">
        <f t="shared" si="11"/>
        <v>45</v>
      </c>
      <c r="K723" s="10"/>
      <c r="L723" s="5"/>
    </row>
    <row r="724" spans="1:12" x14ac:dyDescent="0.25">
      <c r="A724" s="5" t="s">
        <v>6286</v>
      </c>
      <c r="B724" s="5" t="s">
        <v>6285</v>
      </c>
      <c r="C724" s="5" t="s">
        <v>38</v>
      </c>
      <c r="D724" s="21">
        <v>2</v>
      </c>
      <c r="E724" s="12">
        <v>298</v>
      </c>
      <c r="F724" s="10" t="str">
        <f>_xlfn.XLOOKUP(C724,menu!A:A,menu!B:B)</f>
        <v>Chicken Wings</v>
      </c>
      <c r="G724" s="10" t="str">
        <f>_xlfn.XLOOKUP(C724,menu!A:A,menu!C:C)</f>
        <v>Starters</v>
      </c>
      <c r="H724" s="10">
        <f>_xlfn.XLOOKUP(C724,menu!A:A,menu!E:E)</f>
        <v>45</v>
      </c>
      <c r="I724" s="10">
        <f t="shared" si="11"/>
        <v>90</v>
      </c>
      <c r="K724" s="10"/>
      <c r="L724" s="5"/>
    </row>
    <row r="725" spans="1:12" x14ac:dyDescent="0.25">
      <c r="A725" s="5" t="s">
        <v>6284</v>
      </c>
      <c r="B725" s="5" t="s">
        <v>6282</v>
      </c>
      <c r="C725" s="5" t="s">
        <v>35</v>
      </c>
      <c r="D725" s="21">
        <v>1</v>
      </c>
      <c r="E725" s="12">
        <v>119</v>
      </c>
      <c r="F725" s="10" t="str">
        <f>_xlfn.XLOOKUP(C725,menu!A:A,menu!B:B)</f>
        <v>Chicken Nuggets</v>
      </c>
      <c r="G725" s="10" t="str">
        <f>_xlfn.XLOOKUP(C725,menu!A:A,menu!C:C)</f>
        <v>Starters</v>
      </c>
      <c r="H725" s="10">
        <f>_xlfn.XLOOKUP(C725,menu!A:A,menu!E:E)</f>
        <v>36</v>
      </c>
      <c r="I725" s="10">
        <f t="shared" si="11"/>
        <v>36</v>
      </c>
      <c r="K725" s="10"/>
      <c r="L725" s="5"/>
    </row>
    <row r="726" spans="1:12" x14ac:dyDescent="0.25">
      <c r="A726" s="5" t="s">
        <v>6283</v>
      </c>
      <c r="B726" s="5" t="s">
        <v>6282</v>
      </c>
      <c r="C726" s="5" t="s">
        <v>31</v>
      </c>
      <c r="D726" s="21">
        <v>2</v>
      </c>
      <c r="E726" s="12">
        <v>178</v>
      </c>
      <c r="F726" s="10" t="str">
        <f>_xlfn.XLOOKUP(C726,menu!A:A,menu!B:B)</f>
        <v>Chicken Roll</v>
      </c>
      <c r="G726" s="10" t="str">
        <f>_xlfn.XLOOKUP(C726,menu!A:A,menu!C:C)</f>
        <v>Rolls</v>
      </c>
      <c r="H726" s="10">
        <f>_xlfn.XLOOKUP(C726,menu!A:A,menu!E:E)</f>
        <v>27</v>
      </c>
      <c r="I726" s="10">
        <f t="shared" si="11"/>
        <v>54</v>
      </c>
      <c r="K726" s="10"/>
      <c r="L726" s="5"/>
    </row>
    <row r="727" spans="1:12" x14ac:dyDescent="0.25">
      <c r="A727" s="5" t="s">
        <v>6281</v>
      </c>
      <c r="B727" s="5" t="s">
        <v>6278</v>
      </c>
      <c r="C727" s="5" t="s">
        <v>40</v>
      </c>
      <c r="D727" s="21">
        <v>2</v>
      </c>
      <c r="E727" s="12">
        <v>198</v>
      </c>
      <c r="F727" s="10" t="str">
        <f>_xlfn.XLOOKUP(C727,menu!A:A,menu!B:B)</f>
        <v>Veg Nuggets</v>
      </c>
      <c r="G727" s="10" t="str">
        <f>_xlfn.XLOOKUP(C727,menu!A:A,menu!C:C)</f>
        <v>Starters</v>
      </c>
      <c r="H727" s="10">
        <f>_xlfn.XLOOKUP(C727,menu!A:A,menu!E:E)</f>
        <v>30</v>
      </c>
      <c r="I727" s="10">
        <f t="shared" si="11"/>
        <v>60</v>
      </c>
      <c r="K727" s="10"/>
      <c r="L727" s="5"/>
    </row>
    <row r="728" spans="1:12" x14ac:dyDescent="0.25">
      <c r="A728" s="5" t="s">
        <v>6280</v>
      </c>
      <c r="B728" s="5" t="s">
        <v>6278</v>
      </c>
      <c r="C728" s="5" t="s">
        <v>42</v>
      </c>
      <c r="D728" s="21">
        <v>2</v>
      </c>
      <c r="E728" s="12">
        <v>298</v>
      </c>
      <c r="F728" s="10" t="str">
        <f>_xlfn.XLOOKUP(C728,menu!A:A,menu!B:B)</f>
        <v>Chicken Popcorn</v>
      </c>
      <c r="G728" s="10" t="str">
        <f>_xlfn.XLOOKUP(C728,menu!A:A,menu!C:C)</f>
        <v>Starters</v>
      </c>
      <c r="H728" s="10">
        <f>_xlfn.XLOOKUP(C728,menu!A:A,menu!E:E)</f>
        <v>45</v>
      </c>
      <c r="I728" s="10">
        <f t="shared" si="11"/>
        <v>90</v>
      </c>
      <c r="K728" s="10"/>
      <c r="L728" s="5"/>
    </row>
    <row r="729" spans="1:12" x14ac:dyDescent="0.25">
      <c r="A729" s="5" t="s">
        <v>6279</v>
      </c>
      <c r="B729" s="5" t="s">
        <v>6278</v>
      </c>
      <c r="C729" s="5" t="s">
        <v>38</v>
      </c>
      <c r="D729" s="21">
        <v>2</v>
      </c>
      <c r="E729" s="12">
        <v>298</v>
      </c>
      <c r="F729" s="10" t="str">
        <f>_xlfn.XLOOKUP(C729,menu!A:A,menu!B:B)</f>
        <v>Chicken Wings</v>
      </c>
      <c r="G729" s="10" t="str">
        <f>_xlfn.XLOOKUP(C729,menu!A:A,menu!C:C)</f>
        <v>Starters</v>
      </c>
      <c r="H729" s="10">
        <f>_xlfn.XLOOKUP(C729,menu!A:A,menu!E:E)</f>
        <v>45</v>
      </c>
      <c r="I729" s="10">
        <f t="shared" si="11"/>
        <v>90</v>
      </c>
      <c r="K729" s="10"/>
      <c r="L729" s="5"/>
    </row>
    <row r="730" spans="1:12" x14ac:dyDescent="0.25">
      <c r="A730" s="5" t="s">
        <v>6277</v>
      </c>
      <c r="B730" s="5" t="s">
        <v>6275</v>
      </c>
      <c r="C730" s="5" t="s">
        <v>5</v>
      </c>
      <c r="D730" s="21">
        <v>3</v>
      </c>
      <c r="E730" s="12">
        <v>237</v>
      </c>
      <c r="F730" s="10" t="str">
        <f>_xlfn.XLOOKUP(C730,menu!A:A,menu!B:B)</f>
        <v>Veg Sandwich</v>
      </c>
      <c r="G730" s="10" t="str">
        <f>_xlfn.XLOOKUP(C730,menu!A:A,menu!C:C)</f>
        <v>Sandwich</v>
      </c>
      <c r="H730" s="10">
        <f>_xlfn.XLOOKUP(C730,menu!A:A,menu!E:E)</f>
        <v>24</v>
      </c>
      <c r="I730" s="10">
        <f t="shared" si="11"/>
        <v>72</v>
      </c>
      <c r="K730" s="10"/>
      <c r="L730" s="5"/>
    </row>
    <row r="731" spans="1:12" x14ac:dyDescent="0.25">
      <c r="A731" s="5" t="s">
        <v>6276</v>
      </c>
      <c r="B731" s="5" t="s">
        <v>6275</v>
      </c>
      <c r="C731" s="5" t="s">
        <v>8</v>
      </c>
      <c r="D731" s="21">
        <v>1</v>
      </c>
      <c r="E731" s="12">
        <v>99</v>
      </c>
      <c r="F731" s="10" t="str">
        <f>_xlfn.XLOOKUP(C731,menu!A:A,menu!B:B)</f>
        <v>Paneer Sandwich</v>
      </c>
      <c r="G731" s="10" t="str">
        <f>_xlfn.XLOOKUP(C731,menu!A:A,menu!C:C)</f>
        <v>Sandwich</v>
      </c>
      <c r="H731" s="10">
        <f>_xlfn.XLOOKUP(C731,menu!A:A,menu!E:E)</f>
        <v>30</v>
      </c>
      <c r="I731" s="10">
        <f t="shared" si="11"/>
        <v>30</v>
      </c>
      <c r="K731" s="10"/>
      <c r="L731" s="5"/>
    </row>
    <row r="732" spans="1:12" x14ac:dyDescent="0.25">
      <c r="A732" s="5" t="s">
        <v>6274</v>
      </c>
      <c r="B732" s="5" t="s">
        <v>6272</v>
      </c>
      <c r="C732" s="5" t="s">
        <v>46</v>
      </c>
      <c r="D732" s="21">
        <v>2</v>
      </c>
      <c r="E732" s="12">
        <v>298</v>
      </c>
      <c r="F732" s="10" t="str">
        <f>_xlfn.XLOOKUP(C732,menu!A:A,menu!B:B)</f>
        <v>Fish Finger</v>
      </c>
      <c r="G732" s="10" t="str">
        <f>_xlfn.XLOOKUP(C732,menu!A:A,menu!C:C)</f>
        <v>Starters</v>
      </c>
      <c r="H732" s="10">
        <f>_xlfn.XLOOKUP(C732,menu!A:A,menu!E:E)</f>
        <v>45</v>
      </c>
      <c r="I732" s="10">
        <f t="shared" si="11"/>
        <v>90</v>
      </c>
      <c r="K732" s="10"/>
      <c r="L732" s="5"/>
    </row>
    <row r="733" spans="1:12" x14ac:dyDescent="0.25">
      <c r="A733" s="5" t="s">
        <v>6273</v>
      </c>
      <c r="B733" s="5" t="s">
        <v>6272</v>
      </c>
      <c r="C733" s="5" t="s">
        <v>22</v>
      </c>
      <c r="D733" s="21">
        <v>2</v>
      </c>
      <c r="E733" s="12">
        <v>198</v>
      </c>
      <c r="F733" s="10" t="str">
        <f>_xlfn.XLOOKUP(C733,menu!A:A,menu!B:B)</f>
        <v>Chicken Burger</v>
      </c>
      <c r="G733" s="10" t="str">
        <f>_xlfn.XLOOKUP(C733,menu!A:A,menu!C:C)</f>
        <v>Burger</v>
      </c>
      <c r="H733" s="10">
        <f>_xlfn.XLOOKUP(C733,menu!A:A,menu!E:E)</f>
        <v>30</v>
      </c>
      <c r="I733" s="10">
        <f t="shared" si="11"/>
        <v>60</v>
      </c>
      <c r="K733" s="10"/>
      <c r="L733" s="5"/>
    </row>
    <row r="734" spans="1:12" x14ac:dyDescent="0.25">
      <c r="A734" s="5" t="s">
        <v>6271</v>
      </c>
      <c r="B734" s="5" t="s">
        <v>6268</v>
      </c>
      <c r="C734" s="5" t="s">
        <v>46</v>
      </c>
      <c r="D734" s="21">
        <v>2</v>
      </c>
      <c r="E734" s="12">
        <v>298</v>
      </c>
      <c r="F734" s="10" t="str">
        <f>_xlfn.XLOOKUP(C734,menu!A:A,menu!B:B)</f>
        <v>Fish Finger</v>
      </c>
      <c r="G734" s="10" t="str">
        <f>_xlfn.XLOOKUP(C734,menu!A:A,menu!C:C)</f>
        <v>Starters</v>
      </c>
      <c r="H734" s="10">
        <f>_xlfn.XLOOKUP(C734,menu!A:A,menu!E:E)</f>
        <v>45</v>
      </c>
      <c r="I734" s="10">
        <f t="shared" si="11"/>
        <v>90</v>
      </c>
      <c r="K734" s="10"/>
      <c r="L734" s="5"/>
    </row>
    <row r="735" spans="1:12" x14ac:dyDescent="0.25">
      <c r="A735" s="5" t="s">
        <v>6270</v>
      </c>
      <c r="B735" s="5" t="s">
        <v>6268</v>
      </c>
      <c r="C735" s="5" t="s">
        <v>22</v>
      </c>
      <c r="D735" s="21">
        <v>5</v>
      </c>
      <c r="E735" s="12">
        <v>495</v>
      </c>
      <c r="F735" s="10" t="str">
        <f>_xlfn.XLOOKUP(C735,menu!A:A,menu!B:B)</f>
        <v>Chicken Burger</v>
      </c>
      <c r="G735" s="10" t="str">
        <f>_xlfn.XLOOKUP(C735,menu!A:A,menu!C:C)</f>
        <v>Burger</v>
      </c>
      <c r="H735" s="10">
        <f>_xlfn.XLOOKUP(C735,menu!A:A,menu!E:E)</f>
        <v>30</v>
      </c>
      <c r="I735" s="10">
        <f t="shared" si="11"/>
        <v>150</v>
      </c>
      <c r="K735" s="10"/>
      <c r="L735" s="5"/>
    </row>
    <row r="736" spans="1:12" x14ac:dyDescent="0.25">
      <c r="A736" s="5" t="s">
        <v>6269</v>
      </c>
      <c r="B736" s="5" t="s">
        <v>6268</v>
      </c>
      <c r="C736" s="5" t="s">
        <v>59</v>
      </c>
      <c r="D736" s="21">
        <v>1</v>
      </c>
      <c r="E736" s="12">
        <v>79</v>
      </c>
      <c r="F736" s="10" t="str">
        <f>_xlfn.XLOOKUP(C736,menu!A:A,menu!B:B)</f>
        <v>Blue Curacao Mojito</v>
      </c>
      <c r="G736" s="10" t="str">
        <f>_xlfn.XLOOKUP(C736,menu!A:A,menu!C:C)</f>
        <v>Beverages</v>
      </c>
      <c r="H736" s="10">
        <f>_xlfn.XLOOKUP(C736,menu!A:A,menu!E:E)</f>
        <v>24</v>
      </c>
      <c r="I736" s="10">
        <f t="shared" si="11"/>
        <v>24</v>
      </c>
      <c r="K736" s="10"/>
      <c r="L736" s="5"/>
    </row>
    <row r="737" spans="1:12" x14ac:dyDescent="0.25">
      <c r="A737" s="5" t="s">
        <v>6267</v>
      </c>
      <c r="B737" s="5" t="s">
        <v>6265</v>
      </c>
      <c r="C737" s="5" t="s">
        <v>50</v>
      </c>
      <c r="D737" s="21">
        <v>2</v>
      </c>
      <c r="E737" s="12">
        <v>298</v>
      </c>
      <c r="F737" s="10" t="str">
        <f>_xlfn.XLOOKUP(C737,menu!A:A,menu!B:B)</f>
        <v>Grab Lollipop</v>
      </c>
      <c r="G737" s="10" t="str">
        <f>_xlfn.XLOOKUP(C737,menu!A:A,menu!C:C)</f>
        <v>Starters</v>
      </c>
      <c r="H737" s="10">
        <f>_xlfn.XLOOKUP(C737,menu!A:A,menu!E:E)</f>
        <v>45</v>
      </c>
      <c r="I737" s="10">
        <f t="shared" si="11"/>
        <v>90</v>
      </c>
      <c r="K737" s="10"/>
      <c r="L737" s="5"/>
    </row>
    <row r="738" spans="1:12" x14ac:dyDescent="0.25">
      <c r="A738" s="5" t="s">
        <v>6266</v>
      </c>
      <c r="B738" s="5" t="s">
        <v>6265</v>
      </c>
      <c r="C738" s="5" t="s">
        <v>26</v>
      </c>
      <c r="D738" s="21">
        <v>1</v>
      </c>
      <c r="E738" s="12">
        <v>59</v>
      </c>
      <c r="F738" s="10" t="str">
        <f>_xlfn.XLOOKUP(C738,menu!A:A,menu!B:B)</f>
        <v>Veg Roll</v>
      </c>
      <c r="G738" s="10" t="str">
        <f>_xlfn.XLOOKUP(C738,menu!A:A,menu!C:C)</f>
        <v>Rolls</v>
      </c>
      <c r="H738" s="10">
        <f>_xlfn.XLOOKUP(C738,menu!A:A,menu!E:E)</f>
        <v>18</v>
      </c>
      <c r="I738" s="10">
        <f t="shared" si="11"/>
        <v>18</v>
      </c>
      <c r="K738" s="10"/>
      <c r="L738" s="5"/>
    </row>
    <row r="739" spans="1:12" x14ac:dyDescent="0.25">
      <c r="A739" s="5" t="s">
        <v>6264</v>
      </c>
      <c r="B739" s="5" t="s">
        <v>6263</v>
      </c>
      <c r="C739" s="5" t="s">
        <v>65</v>
      </c>
      <c r="D739" s="21">
        <v>1</v>
      </c>
      <c r="E739" s="12">
        <v>49</v>
      </c>
      <c r="F739" s="10" t="str">
        <f>_xlfn.XLOOKUP(C739,menu!A:A,menu!B:B)</f>
        <v>Lemon Juice</v>
      </c>
      <c r="G739" s="10" t="str">
        <f>_xlfn.XLOOKUP(C739,menu!A:A,menu!C:C)</f>
        <v>Beverages</v>
      </c>
      <c r="H739" s="10">
        <f>_xlfn.XLOOKUP(C739,menu!A:A,menu!E:E)</f>
        <v>15</v>
      </c>
      <c r="I739" s="10">
        <f t="shared" si="11"/>
        <v>15</v>
      </c>
      <c r="K739" s="10"/>
      <c r="L739" s="5"/>
    </row>
    <row r="740" spans="1:12" x14ac:dyDescent="0.25">
      <c r="A740" s="5" t="s">
        <v>6262</v>
      </c>
      <c r="B740" s="5" t="s">
        <v>6258</v>
      </c>
      <c r="C740" s="5" t="s">
        <v>19</v>
      </c>
      <c r="D740" s="21">
        <v>1</v>
      </c>
      <c r="E740" s="12">
        <v>79</v>
      </c>
      <c r="F740" s="10" t="str">
        <f>_xlfn.XLOOKUP(C740,menu!A:A,menu!B:B)</f>
        <v>Veg Burger</v>
      </c>
      <c r="G740" s="10" t="str">
        <f>_xlfn.XLOOKUP(C740,menu!A:A,menu!C:C)</f>
        <v>Burger</v>
      </c>
      <c r="H740" s="10">
        <f>_xlfn.XLOOKUP(C740,menu!A:A,menu!E:E)</f>
        <v>24</v>
      </c>
      <c r="I740" s="10">
        <f t="shared" si="11"/>
        <v>24</v>
      </c>
      <c r="K740" s="10"/>
      <c r="L740" s="5"/>
    </row>
    <row r="741" spans="1:12" x14ac:dyDescent="0.25">
      <c r="A741" s="5" t="s">
        <v>6261</v>
      </c>
      <c r="B741" s="5" t="s">
        <v>6258</v>
      </c>
      <c r="C741" s="5" t="s">
        <v>52</v>
      </c>
      <c r="D741" s="21">
        <v>3</v>
      </c>
      <c r="E741" s="12">
        <v>297</v>
      </c>
      <c r="F741" s="10" t="str">
        <f>_xlfn.XLOOKUP(C741,menu!A:A,menu!B:B)</f>
        <v>French Fries</v>
      </c>
      <c r="G741" s="10" t="str">
        <f>_xlfn.XLOOKUP(C741,menu!A:A,menu!C:C)</f>
        <v>Starters</v>
      </c>
      <c r="H741" s="10">
        <f>_xlfn.XLOOKUP(C741,menu!A:A,menu!E:E)</f>
        <v>30</v>
      </c>
      <c r="I741" s="10">
        <f t="shared" si="11"/>
        <v>90</v>
      </c>
      <c r="K741" s="10"/>
      <c r="L741" s="5"/>
    </row>
    <row r="742" spans="1:12" x14ac:dyDescent="0.25">
      <c r="A742" s="5" t="s">
        <v>6260</v>
      </c>
      <c r="B742" s="5" t="s">
        <v>6258</v>
      </c>
      <c r="C742" s="5" t="s">
        <v>44</v>
      </c>
      <c r="D742" s="21">
        <v>1</v>
      </c>
      <c r="E742" s="12">
        <v>159</v>
      </c>
      <c r="F742" s="10" t="str">
        <f>_xlfn.XLOOKUP(C742,menu!A:A,menu!B:B)</f>
        <v>Fried Chicken</v>
      </c>
      <c r="G742" s="10" t="str">
        <f>_xlfn.XLOOKUP(C742,menu!A:A,menu!C:C)</f>
        <v>Starters</v>
      </c>
      <c r="H742" s="10">
        <f>_xlfn.XLOOKUP(C742,menu!A:A,menu!E:E)</f>
        <v>48</v>
      </c>
      <c r="I742" s="10">
        <f t="shared" si="11"/>
        <v>48</v>
      </c>
      <c r="K742" s="10"/>
      <c r="L742" s="5"/>
    </row>
    <row r="743" spans="1:12" x14ac:dyDescent="0.25">
      <c r="A743" s="5" t="s">
        <v>6259</v>
      </c>
      <c r="B743" s="5" t="s">
        <v>6258</v>
      </c>
      <c r="C743" s="5" t="s">
        <v>38</v>
      </c>
      <c r="D743" s="21">
        <v>2</v>
      </c>
      <c r="E743" s="12">
        <v>298</v>
      </c>
      <c r="F743" s="10" t="str">
        <f>_xlfn.XLOOKUP(C743,menu!A:A,menu!B:B)</f>
        <v>Chicken Wings</v>
      </c>
      <c r="G743" s="10" t="str">
        <f>_xlfn.XLOOKUP(C743,menu!A:A,menu!C:C)</f>
        <v>Starters</v>
      </c>
      <c r="H743" s="10">
        <f>_xlfn.XLOOKUP(C743,menu!A:A,menu!E:E)</f>
        <v>45</v>
      </c>
      <c r="I743" s="10">
        <f t="shared" si="11"/>
        <v>90</v>
      </c>
      <c r="K743" s="10"/>
      <c r="L743" s="5"/>
    </row>
    <row r="744" spans="1:12" x14ac:dyDescent="0.25">
      <c r="A744" s="5" t="s">
        <v>6257</v>
      </c>
      <c r="B744" s="5" t="s">
        <v>6253</v>
      </c>
      <c r="C744" s="5" t="s">
        <v>19</v>
      </c>
      <c r="D744" s="21">
        <v>2</v>
      </c>
      <c r="E744" s="12">
        <v>158</v>
      </c>
      <c r="F744" s="10" t="str">
        <f>_xlfn.XLOOKUP(C744,menu!A:A,menu!B:B)</f>
        <v>Veg Burger</v>
      </c>
      <c r="G744" s="10" t="str">
        <f>_xlfn.XLOOKUP(C744,menu!A:A,menu!C:C)</f>
        <v>Burger</v>
      </c>
      <c r="H744" s="10">
        <f>_xlfn.XLOOKUP(C744,menu!A:A,menu!E:E)</f>
        <v>24</v>
      </c>
      <c r="I744" s="10">
        <f t="shared" si="11"/>
        <v>48</v>
      </c>
      <c r="K744" s="10"/>
      <c r="L744" s="5"/>
    </row>
    <row r="745" spans="1:12" x14ac:dyDescent="0.25">
      <c r="A745" s="5" t="s">
        <v>6256</v>
      </c>
      <c r="B745" s="5" t="s">
        <v>6253</v>
      </c>
      <c r="C745" s="5" t="s">
        <v>63</v>
      </c>
      <c r="D745" s="21">
        <v>4</v>
      </c>
      <c r="E745" s="12">
        <v>316</v>
      </c>
      <c r="F745" s="10" t="str">
        <f>_xlfn.XLOOKUP(C745,menu!A:A,menu!B:B)</f>
        <v>Virgin Mojito</v>
      </c>
      <c r="G745" s="10" t="str">
        <f>_xlfn.XLOOKUP(C745,menu!A:A,menu!C:C)</f>
        <v>Beverages</v>
      </c>
      <c r="H745" s="10">
        <f>_xlfn.XLOOKUP(C745,menu!A:A,menu!E:E)</f>
        <v>24</v>
      </c>
      <c r="I745" s="10">
        <f t="shared" si="11"/>
        <v>96</v>
      </c>
      <c r="K745" s="10"/>
      <c r="L745" s="5"/>
    </row>
    <row r="746" spans="1:12" x14ac:dyDescent="0.25">
      <c r="A746" s="5" t="s">
        <v>6255</v>
      </c>
      <c r="B746" s="5" t="s">
        <v>6253</v>
      </c>
      <c r="C746" s="5" t="s">
        <v>42</v>
      </c>
      <c r="D746" s="21">
        <v>2</v>
      </c>
      <c r="E746" s="12">
        <v>298</v>
      </c>
      <c r="F746" s="10" t="str">
        <f>_xlfn.XLOOKUP(C746,menu!A:A,menu!B:B)</f>
        <v>Chicken Popcorn</v>
      </c>
      <c r="G746" s="10" t="str">
        <f>_xlfn.XLOOKUP(C746,menu!A:A,menu!C:C)</f>
        <v>Starters</v>
      </c>
      <c r="H746" s="10">
        <f>_xlfn.XLOOKUP(C746,menu!A:A,menu!E:E)</f>
        <v>45</v>
      </c>
      <c r="I746" s="10">
        <f t="shared" si="11"/>
        <v>90</v>
      </c>
      <c r="K746" s="10"/>
      <c r="L746" s="5"/>
    </row>
    <row r="747" spans="1:12" x14ac:dyDescent="0.25">
      <c r="A747" s="5" t="s">
        <v>6254</v>
      </c>
      <c r="B747" s="5" t="s">
        <v>6253</v>
      </c>
      <c r="C747" s="5" t="s">
        <v>48</v>
      </c>
      <c r="D747" s="21">
        <v>2</v>
      </c>
      <c r="E747" s="12">
        <v>318</v>
      </c>
      <c r="F747" s="10" t="str">
        <f>_xlfn.XLOOKUP(C747,menu!A:A,menu!B:B)</f>
        <v>Chicken Lollipop</v>
      </c>
      <c r="G747" s="10" t="str">
        <f>_xlfn.XLOOKUP(C747,menu!A:A,menu!C:C)</f>
        <v>Starters</v>
      </c>
      <c r="H747" s="10">
        <f>_xlfn.XLOOKUP(C747,menu!A:A,menu!E:E)</f>
        <v>48</v>
      </c>
      <c r="I747" s="10">
        <f t="shared" si="11"/>
        <v>96</v>
      </c>
      <c r="K747" s="10"/>
      <c r="L747" s="5"/>
    </row>
    <row r="748" spans="1:12" x14ac:dyDescent="0.25">
      <c r="A748" s="5" t="s">
        <v>6252</v>
      </c>
      <c r="B748" s="5" t="s">
        <v>6250</v>
      </c>
      <c r="C748" s="5" t="s">
        <v>46</v>
      </c>
      <c r="D748" s="21">
        <v>1</v>
      </c>
      <c r="E748" s="12">
        <v>149</v>
      </c>
      <c r="F748" s="10" t="str">
        <f>_xlfn.XLOOKUP(C748,menu!A:A,menu!B:B)</f>
        <v>Fish Finger</v>
      </c>
      <c r="G748" s="10" t="str">
        <f>_xlfn.XLOOKUP(C748,menu!A:A,menu!C:C)</f>
        <v>Starters</v>
      </c>
      <c r="H748" s="10">
        <f>_xlfn.XLOOKUP(C748,menu!A:A,menu!E:E)</f>
        <v>45</v>
      </c>
      <c r="I748" s="10">
        <f t="shared" si="11"/>
        <v>45</v>
      </c>
      <c r="K748" s="10"/>
      <c r="L748" s="5"/>
    </row>
    <row r="749" spans="1:12" x14ac:dyDescent="0.25">
      <c r="A749" s="5" t="s">
        <v>6251</v>
      </c>
      <c r="B749" s="5" t="s">
        <v>6250</v>
      </c>
      <c r="C749" s="5" t="s">
        <v>24</v>
      </c>
      <c r="D749" s="21">
        <v>1</v>
      </c>
      <c r="E749" s="12">
        <v>89</v>
      </c>
      <c r="F749" s="10" t="str">
        <f>_xlfn.XLOOKUP(C749,menu!A:A,menu!B:B)</f>
        <v>Paneer Burger</v>
      </c>
      <c r="G749" s="10" t="str">
        <f>_xlfn.XLOOKUP(C749,menu!A:A,menu!C:C)</f>
        <v>Burger</v>
      </c>
      <c r="H749" s="10">
        <f>_xlfn.XLOOKUP(C749,menu!A:A,menu!E:E)</f>
        <v>27</v>
      </c>
      <c r="I749" s="10">
        <f t="shared" si="11"/>
        <v>27</v>
      </c>
      <c r="K749" s="10"/>
      <c r="L749" s="5"/>
    </row>
    <row r="750" spans="1:12" x14ac:dyDescent="0.25">
      <c r="A750" s="5" t="s">
        <v>6249</v>
      </c>
      <c r="B750" s="5" t="s">
        <v>6247</v>
      </c>
      <c r="C750" s="5" t="s">
        <v>19</v>
      </c>
      <c r="D750" s="21">
        <v>1</v>
      </c>
      <c r="E750" s="12">
        <v>79</v>
      </c>
      <c r="F750" s="10" t="str">
        <f>_xlfn.XLOOKUP(C750,menu!A:A,menu!B:B)</f>
        <v>Veg Burger</v>
      </c>
      <c r="G750" s="10" t="str">
        <f>_xlfn.XLOOKUP(C750,menu!A:A,menu!C:C)</f>
        <v>Burger</v>
      </c>
      <c r="H750" s="10">
        <f>_xlfn.XLOOKUP(C750,menu!A:A,menu!E:E)</f>
        <v>24</v>
      </c>
      <c r="I750" s="10">
        <f t="shared" si="11"/>
        <v>24</v>
      </c>
      <c r="K750" s="10"/>
      <c r="L750" s="5"/>
    </row>
    <row r="751" spans="1:12" x14ac:dyDescent="0.25">
      <c r="A751" s="5" t="s">
        <v>6248</v>
      </c>
      <c r="B751" s="5" t="s">
        <v>6247</v>
      </c>
      <c r="C751" s="5" t="s">
        <v>15</v>
      </c>
      <c r="D751" s="21">
        <v>3</v>
      </c>
      <c r="E751" s="12">
        <v>297</v>
      </c>
      <c r="F751" s="10" t="str">
        <f>_xlfn.XLOOKUP(C751,menu!A:A,menu!B:B)</f>
        <v>Chicken Momos</v>
      </c>
      <c r="G751" s="10" t="str">
        <f>_xlfn.XLOOKUP(C751,menu!A:A,menu!C:C)</f>
        <v>Momos</v>
      </c>
      <c r="H751" s="10">
        <f>_xlfn.XLOOKUP(C751,menu!A:A,menu!E:E)</f>
        <v>30</v>
      </c>
      <c r="I751" s="10">
        <f t="shared" si="11"/>
        <v>90</v>
      </c>
      <c r="K751" s="10"/>
      <c r="L751" s="5"/>
    </row>
    <row r="752" spans="1:12" x14ac:dyDescent="0.25">
      <c r="A752" s="5" t="s">
        <v>6246</v>
      </c>
      <c r="B752" s="5" t="s">
        <v>6244</v>
      </c>
      <c r="C752" s="5" t="s">
        <v>52</v>
      </c>
      <c r="D752" s="21">
        <v>2</v>
      </c>
      <c r="E752" s="12">
        <v>198</v>
      </c>
      <c r="F752" s="10" t="str">
        <f>_xlfn.XLOOKUP(C752,menu!A:A,menu!B:B)</f>
        <v>French Fries</v>
      </c>
      <c r="G752" s="10" t="str">
        <f>_xlfn.XLOOKUP(C752,menu!A:A,menu!C:C)</f>
        <v>Starters</v>
      </c>
      <c r="H752" s="10">
        <f>_xlfn.XLOOKUP(C752,menu!A:A,menu!E:E)</f>
        <v>30</v>
      </c>
      <c r="I752" s="10">
        <f t="shared" si="11"/>
        <v>60</v>
      </c>
      <c r="K752" s="10"/>
      <c r="L752" s="5"/>
    </row>
    <row r="753" spans="1:12" x14ac:dyDescent="0.25">
      <c r="A753" s="5" t="s">
        <v>6245</v>
      </c>
      <c r="B753" s="5" t="s">
        <v>6244</v>
      </c>
      <c r="C753" s="5" t="s">
        <v>22</v>
      </c>
      <c r="D753" s="21">
        <v>1</v>
      </c>
      <c r="E753" s="12">
        <v>99</v>
      </c>
      <c r="F753" s="10" t="str">
        <f>_xlfn.XLOOKUP(C753,menu!A:A,menu!B:B)</f>
        <v>Chicken Burger</v>
      </c>
      <c r="G753" s="10" t="str">
        <f>_xlfn.XLOOKUP(C753,menu!A:A,menu!C:C)</f>
        <v>Burger</v>
      </c>
      <c r="H753" s="10">
        <f>_xlfn.XLOOKUP(C753,menu!A:A,menu!E:E)</f>
        <v>30</v>
      </c>
      <c r="I753" s="10">
        <f t="shared" si="11"/>
        <v>30</v>
      </c>
      <c r="K753" s="10"/>
      <c r="L753" s="5"/>
    </row>
    <row r="754" spans="1:12" x14ac:dyDescent="0.25">
      <c r="A754" s="5" t="s">
        <v>6243</v>
      </c>
      <c r="B754" s="5" t="s">
        <v>6241</v>
      </c>
      <c r="C754" s="5" t="s">
        <v>10</v>
      </c>
      <c r="D754" s="21">
        <v>4</v>
      </c>
      <c r="E754" s="12">
        <v>476</v>
      </c>
      <c r="F754" s="10" t="str">
        <f>_xlfn.XLOOKUP(C754,menu!A:A,menu!B:B)</f>
        <v>Chicken Sandwich</v>
      </c>
      <c r="G754" s="10" t="str">
        <f>_xlfn.XLOOKUP(C754,menu!A:A,menu!C:C)</f>
        <v>Sandwich</v>
      </c>
      <c r="H754" s="10">
        <f>_xlfn.XLOOKUP(C754,menu!A:A,menu!E:E)</f>
        <v>36</v>
      </c>
      <c r="I754" s="10">
        <f t="shared" si="11"/>
        <v>144</v>
      </c>
      <c r="K754" s="10"/>
      <c r="L754" s="5"/>
    </row>
    <row r="755" spans="1:12" x14ac:dyDescent="0.25">
      <c r="A755" s="5" t="s">
        <v>6242</v>
      </c>
      <c r="B755" s="5" t="s">
        <v>6241</v>
      </c>
      <c r="C755" s="5" t="s">
        <v>63</v>
      </c>
      <c r="D755" s="21">
        <v>2</v>
      </c>
      <c r="E755" s="12">
        <v>158</v>
      </c>
      <c r="F755" s="10" t="str">
        <f>_xlfn.XLOOKUP(C755,menu!A:A,menu!B:B)</f>
        <v>Virgin Mojito</v>
      </c>
      <c r="G755" s="10" t="str">
        <f>_xlfn.XLOOKUP(C755,menu!A:A,menu!C:C)</f>
        <v>Beverages</v>
      </c>
      <c r="H755" s="10">
        <f>_xlfn.XLOOKUP(C755,menu!A:A,menu!E:E)</f>
        <v>24</v>
      </c>
      <c r="I755" s="10">
        <f t="shared" si="11"/>
        <v>48</v>
      </c>
      <c r="K755" s="10"/>
      <c r="L755" s="5"/>
    </row>
    <row r="756" spans="1:12" x14ac:dyDescent="0.25">
      <c r="A756" s="5" t="s">
        <v>6240</v>
      </c>
      <c r="B756" s="5" t="s">
        <v>6238</v>
      </c>
      <c r="C756" s="5" t="s">
        <v>52</v>
      </c>
      <c r="D756" s="21">
        <v>1</v>
      </c>
      <c r="E756" s="12">
        <v>99</v>
      </c>
      <c r="F756" s="10" t="str">
        <f>_xlfn.XLOOKUP(C756,menu!A:A,menu!B:B)</f>
        <v>French Fries</v>
      </c>
      <c r="G756" s="10" t="str">
        <f>_xlfn.XLOOKUP(C756,menu!A:A,menu!C:C)</f>
        <v>Starters</v>
      </c>
      <c r="H756" s="10">
        <f>_xlfn.XLOOKUP(C756,menu!A:A,menu!E:E)</f>
        <v>30</v>
      </c>
      <c r="I756" s="10">
        <f t="shared" si="11"/>
        <v>30</v>
      </c>
      <c r="K756" s="10"/>
      <c r="L756" s="5"/>
    </row>
    <row r="757" spans="1:12" x14ac:dyDescent="0.25">
      <c r="A757" s="5" t="s">
        <v>6239</v>
      </c>
      <c r="B757" s="5" t="s">
        <v>6238</v>
      </c>
      <c r="C757" s="5" t="s">
        <v>61</v>
      </c>
      <c r="D757" s="21">
        <v>4</v>
      </c>
      <c r="E757" s="12">
        <v>316</v>
      </c>
      <c r="F757" s="10" t="str">
        <f>_xlfn.XLOOKUP(C757,menu!A:A,menu!B:B)</f>
        <v>Watermelon Mojito</v>
      </c>
      <c r="G757" s="10" t="str">
        <f>_xlfn.XLOOKUP(C757,menu!A:A,menu!C:C)</f>
        <v>Beverages</v>
      </c>
      <c r="H757" s="10">
        <f>_xlfn.XLOOKUP(C757,menu!A:A,menu!E:E)</f>
        <v>24</v>
      </c>
      <c r="I757" s="10">
        <f t="shared" si="11"/>
        <v>96</v>
      </c>
      <c r="K757" s="10"/>
      <c r="L757" s="5"/>
    </row>
    <row r="758" spans="1:12" x14ac:dyDescent="0.25">
      <c r="A758" s="5" t="s">
        <v>6237</v>
      </c>
      <c r="B758" s="5" t="s">
        <v>6234</v>
      </c>
      <c r="C758" s="5" t="s">
        <v>19</v>
      </c>
      <c r="D758" s="21">
        <v>1</v>
      </c>
      <c r="E758" s="12">
        <v>79</v>
      </c>
      <c r="F758" s="10" t="str">
        <f>_xlfn.XLOOKUP(C758,menu!A:A,menu!B:B)</f>
        <v>Veg Burger</v>
      </c>
      <c r="G758" s="10" t="str">
        <f>_xlfn.XLOOKUP(C758,menu!A:A,menu!C:C)</f>
        <v>Burger</v>
      </c>
      <c r="H758" s="10">
        <f>_xlfn.XLOOKUP(C758,menu!A:A,menu!E:E)</f>
        <v>24</v>
      </c>
      <c r="I758" s="10">
        <f t="shared" si="11"/>
        <v>24</v>
      </c>
      <c r="K758" s="10"/>
      <c r="L758" s="5"/>
    </row>
    <row r="759" spans="1:12" x14ac:dyDescent="0.25">
      <c r="A759" s="5" t="s">
        <v>6236</v>
      </c>
      <c r="B759" s="5" t="s">
        <v>6234</v>
      </c>
      <c r="C759" s="5" t="s">
        <v>22</v>
      </c>
      <c r="D759" s="21">
        <v>3</v>
      </c>
      <c r="E759" s="12">
        <v>297</v>
      </c>
      <c r="F759" s="10" t="str">
        <f>_xlfn.XLOOKUP(C759,menu!A:A,menu!B:B)</f>
        <v>Chicken Burger</v>
      </c>
      <c r="G759" s="10" t="str">
        <f>_xlfn.XLOOKUP(C759,menu!A:A,menu!C:C)</f>
        <v>Burger</v>
      </c>
      <c r="H759" s="10">
        <f>_xlfn.XLOOKUP(C759,menu!A:A,menu!E:E)</f>
        <v>30</v>
      </c>
      <c r="I759" s="10">
        <f t="shared" si="11"/>
        <v>90</v>
      </c>
      <c r="K759" s="10"/>
      <c r="L759" s="5"/>
    </row>
    <row r="760" spans="1:12" x14ac:dyDescent="0.25">
      <c r="A760" s="5" t="s">
        <v>6235</v>
      </c>
      <c r="B760" s="5" t="s">
        <v>6234</v>
      </c>
      <c r="C760" s="5" t="s">
        <v>12</v>
      </c>
      <c r="D760" s="21">
        <v>1</v>
      </c>
      <c r="E760" s="12">
        <v>79</v>
      </c>
      <c r="F760" s="10" t="str">
        <f>_xlfn.XLOOKUP(C760,menu!A:A,menu!B:B)</f>
        <v>Veg Momos</v>
      </c>
      <c r="G760" s="10" t="str">
        <f>_xlfn.XLOOKUP(C760,menu!A:A,menu!C:C)</f>
        <v>Momos</v>
      </c>
      <c r="H760" s="10">
        <f>_xlfn.XLOOKUP(C760,menu!A:A,menu!E:E)</f>
        <v>24</v>
      </c>
      <c r="I760" s="10">
        <f t="shared" si="11"/>
        <v>24</v>
      </c>
      <c r="K760" s="10"/>
      <c r="L760" s="5"/>
    </row>
    <row r="761" spans="1:12" x14ac:dyDescent="0.25">
      <c r="A761" s="5" t="s">
        <v>6233</v>
      </c>
      <c r="B761" s="5" t="s">
        <v>6231</v>
      </c>
      <c r="C761" s="5" t="s">
        <v>52</v>
      </c>
      <c r="D761" s="21">
        <v>1</v>
      </c>
      <c r="E761" s="12">
        <v>99</v>
      </c>
      <c r="F761" s="10" t="str">
        <f>_xlfn.XLOOKUP(C761,menu!A:A,menu!B:B)</f>
        <v>French Fries</v>
      </c>
      <c r="G761" s="10" t="str">
        <f>_xlfn.XLOOKUP(C761,menu!A:A,menu!C:C)</f>
        <v>Starters</v>
      </c>
      <c r="H761" s="10">
        <f>_xlfn.XLOOKUP(C761,menu!A:A,menu!E:E)</f>
        <v>30</v>
      </c>
      <c r="I761" s="10">
        <f t="shared" si="11"/>
        <v>30</v>
      </c>
      <c r="K761" s="10"/>
      <c r="L761" s="5"/>
    </row>
    <row r="762" spans="1:12" x14ac:dyDescent="0.25">
      <c r="A762" s="5" t="s">
        <v>6232</v>
      </c>
      <c r="B762" s="5" t="s">
        <v>6231</v>
      </c>
      <c r="C762" s="5" t="s">
        <v>48</v>
      </c>
      <c r="D762" s="21">
        <v>5</v>
      </c>
      <c r="E762" s="12">
        <v>795</v>
      </c>
      <c r="F762" s="10" t="str">
        <f>_xlfn.XLOOKUP(C762,menu!A:A,menu!B:B)</f>
        <v>Chicken Lollipop</v>
      </c>
      <c r="G762" s="10" t="str">
        <f>_xlfn.XLOOKUP(C762,menu!A:A,menu!C:C)</f>
        <v>Starters</v>
      </c>
      <c r="H762" s="10">
        <f>_xlfn.XLOOKUP(C762,menu!A:A,menu!E:E)</f>
        <v>48</v>
      </c>
      <c r="I762" s="10">
        <f t="shared" si="11"/>
        <v>240</v>
      </c>
      <c r="K762" s="10"/>
      <c r="L762" s="5"/>
    </row>
    <row r="763" spans="1:12" x14ac:dyDescent="0.25">
      <c r="A763" s="5" t="s">
        <v>6230</v>
      </c>
      <c r="B763" s="5" t="s">
        <v>6227</v>
      </c>
      <c r="C763" s="5" t="s">
        <v>29</v>
      </c>
      <c r="D763" s="21">
        <v>3</v>
      </c>
      <c r="E763" s="12">
        <v>237</v>
      </c>
      <c r="F763" s="10" t="str">
        <f>_xlfn.XLOOKUP(C763,menu!A:A,menu!B:B)</f>
        <v>Paneer Roll</v>
      </c>
      <c r="G763" s="10" t="str">
        <f>_xlfn.XLOOKUP(C763,menu!A:A,menu!C:C)</f>
        <v>Rolls</v>
      </c>
      <c r="H763" s="10">
        <f>_xlfn.XLOOKUP(C763,menu!A:A,menu!E:E)</f>
        <v>24</v>
      </c>
      <c r="I763" s="10">
        <f t="shared" si="11"/>
        <v>72</v>
      </c>
      <c r="K763" s="10"/>
      <c r="L763" s="5"/>
    </row>
    <row r="764" spans="1:12" x14ac:dyDescent="0.25">
      <c r="A764" s="5" t="s">
        <v>6229</v>
      </c>
      <c r="B764" s="5" t="s">
        <v>6227</v>
      </c>
      <c r="C764" s="5" t="s">
        <v>63</v>
      </c>
      <c r="D764" s="21">
        <v>1</v>
      </c>
      <c r="E764" s="12">
        <v>79</v>
      </c>
      <c r="F764" s="10" t="str">
        <f>_xlfn.XLOOKUP(C764,menu!A:A,menu!B:B)</f>
        <v>Virgin Mojito</v>
      </c>
      <c r="G764" s="10" t="str">
        <f>_xlfn.XLOOKUP(C764,menu!A:A,menu!C:C)</f>
        <v>Beverages</v>
      </c>
      <c r="H764" s="10">
        <f>_xlfn.XLOOKUP(C764,menu!A:A,menu!E:E)</f>
        <v>24</v>
      </c>
      <c r="I764" s="10">
        <f t="shared" si="11"/>
        <v>24</v>
      </c>
      <c r="K764" s="10"/>
      <c r="L764" s="5"/>
    </row>
    <row r="765" spans="1:12" x14ac:dyDescent="0.25">
      <c r="A765" s="5" t="s">
        <v>6228</v>
      </c>
      <c r="B765" s="5" t="s">
        <v>6227</v>
      </c>
      <c r="C765" s="5" t="s">
        <v>24</v>
      </c>
      <c r="D765" s="21">
        <v>3</v>
      </c>
      <c r="E765" s="12">
        <v>267</v>
      </c>
      <c r="F765" s="10" t="str">
        <f>_xlfn.XLOOKUP(C765,menu!A:A,menu!B:B)</f>
        <v>Paneer Burger</v>
      </c>
      <c r="G765" s="10" t="str">
        <f>_xlfn.XLOOKUP(C765,menu!A:A,menu!C:C)</f>
        <v>Burger</v>
      </c>
      <c r="H765" s="10">
        <f>_xlfn.XLOOKUP(C765,menu!A:A,menu!E:E)</f>
        <v>27</v>
      </c>
      <c r="I765" s="10">
        <f t="shared" si="11"/>
        <v>81</v>
      </c>
      <c r="K765" s="10"/>
      <c r="L765" s="5"/>
    </row>
    <row r="766" spans="1:12" x14ac:dyDescent="0.25">
      <c r="A766" s="5" t="s">
        <v>6226</v>
      </c>
      <c r="B766" s="5" t="s">
        <v>6224</v>
      </c>
      <c r="C766" s="5" t="s">
        <v>54</v>
      </c>
      <c r="D766" s="21">
        <v>1</v>
      </c>
      <c r="E766" s="12">
        <v>139</v>
      </c>
      <c r="F766" s="10" t="str">
        <f>_xlfn.XLOOKUP(C766,menu!A:A,menu!B:B)</f>
        <v>Chicken Strips</v>
      </c>
      <c r="G766" s="10" t="str">
        <f>_xlfn.XLOOKUP(C766,menu!A:A,menu!C:C)</f>
        <v>Starters</v>
      </c>
      <c r="H766" s="10">
        <f>_xlfn.XLOOKUP(C766,menu!A:A,menu!E:E)</f>
        <v>42</v>
      </c>
      <c r="I766" s="10">
        <f t="shared" si="11"/>
        <v>42</v>
      </c>
      <c r="K766" s="10"/>
      <c r="L766" s="5"/>
    </row>
    <row r="767" spans="1:12" x14ac:dyDescent="0.25">
      <c r="A767" s="5" t="s">
        <v>6225</v>
      </c>
      <c r="B767" s="5" t="s">
        <v>6224</v>
      </c>
      <c r="C767" s="5" t="s">
        <v>15</v>
      </c>
      <c r="D767" s="21">
        <v>1</v>
      </c>
      <c r="E767" s="12">
        <v>99</v>
      </c>
      <c r="F767" s="10" t="str">
        <f>_xlfn.XLOOKUP(C767,menu!A:A,menu!B:B)</f>
        <v>Chicken Momos</v>
      </c>
      <c r="G767" s="10" t="str">
        <f>_xlfn.XLOOKUP(C767,menu!A:A,menu!C:C)</f>
        <v>Momos</v>
      </c>
      <c r="H767" s="10">
        <f>_xlfn.XLOOKUP(C767,menu!A:A,menu!E:E)</f>
        <v>30</v>
      </c>
      <c r="I767" s="10">
        <f t="shared" si="11"/>
        <v>30</v>
      </c>
      <c r="K767" s="10"/>
      <c r="L767" s="5"/>
    </row>
    <row r="768" spans="1:12" x14ac:dyDescent="0.25">
      <c r="A768" s="5" t="s">
        <v>6223</v>
      </c>
      <c r="B768" s="5" t="s">
        <v>6220</v>
      </c>
      <c r="C768" s="5" t="s">
        <v>33</v>
      </c>
      <c r="D768" s="21">
        <v>4</v>
      </c>
      <c r="E768" s="12">
        <v>276</v>
      </c>
      <c r="F768" s="10" t="str">
        <f>_xlfn.XLOOKUP(C768,menu!A:A,menu!B:B)</f>
        <v>Spring Roll</v>
      </c>
      <c r="G768" s="10" t="str">
        <f>_xlfn.XLOOKUP(C768,menu!A:A,menu!C:C)</f>
        <v>Rolls</v>
      </c>
      <c r="H768" s="10">
        <f>_xlfn.XLOOKUP(C768,menu!A:A,menu!E:E)</f>
        <v>21</v>
      </c>
      <c r="I768" s="10">
        <f t="shared" si="11"/>
        <v>84</v>
      </c>
      <c r="K768" s="10"/>
      <c r="L768" s="5"/>
    </row>
    <row r="769" spans="1:12" x14ac:dyDescent="0.25">
      <c r="A769" s="5" t="s">
        <v>6222</v>
      </c>
      <c r="B769" s="5" t="s">
        <v>6220</v>
      </c>
      <c r="C769" s="5" t="s">
        <v>26</v>
      </c>
      <c r="D769" s="21">
        <v>1</v>
      </c>
      <c r="E769" s="12">
        <v>59</v>
      </c>
      <c r="F769" s="10" t="str">
        <f>_xlfn.XLOOKUP(C769,menu!A:A,menu!B:B)</f>
        <v>Veg Roll</v>
      </c>
      <c r="G769" s="10" t="str">
        <f>_xlfn.XLOOKUP(C769,menu!A:A,menu!C:C)</f>
        <v>Rolls</v>
      </c>
      <c r="H769" s="10">
        <f>_xlfn.XLOOKUP(C769,menu!A:A,menu!E:E)</f>
        <v>18</v>
      </c>
      <c r="I769" s="10">
        <f t="shared" si="11"/>
        <v>18</v>
      </c>
      <c r="K769" s="10"/>
      <c r="L769" s="5"/>
    </row>
    <row r="770" spans="1:12" x14ac:dyDescent="0.25">
      <c r="A770" s="5" t="s">
        <v>6221</v>
      </c>
      <c r="B770" s="5" t="s">
        <v>6220</v>
      </c>
      <c r="C770" s="5" t="s">
        <v>61</v>
      </c>
      <c r="D770" s="21">
        <v>1</v>
      </c>
      <c r="E770" s="12">
        <v>79</v>
      </c>
      <c r="F770" s="10" t="str">
        <f>_xlfn.XLOOKUP(C770,menu!A:A,menu!B:B)</f>
        <v>Watermelon Mojito</v>
      </c>
      <c r="G770" s="10" t="str">
        <f>_xlfn.XLOOKUP(C770,menu!A:A,menu!C:C)</f>
        <v>Beverages</v>
      </c>
      <c r="H770" s="10">
        <f>_xlfn.XLOOKUP(C770,menu!A:A,menu!E:E)</f>
        <v>24</v>
      </c>
      <c r="I770" s="10">
        <f t="shared" si="11"/>
        <v>24</v>
      </c>
      <c r="K770" s="10"/>
      <c r="L770" s="5"/>
    </row>
    <row r="771" spans="1:12" x14ac:dyDescent="0.25">
      <c r="A771" s="5" t="s">
        <v>6219</v>
      </c>
      <c r="B771" s="5" t="s">
        <v>6216</v>
      </c>
      <c r="C771" s="5" t="s">
        <v>17</v>
      </c>
      <c r="D771" s="21">
        <v>2</v>
      </c>
      <c r="E771" s="12">
        <v>178</v>
      </c>
      <c r="F771" s="10" t="str">
        <f>_xlfn.XLOOKUP(C771,menu!A:A,menu!B:B)</f>
        <v>Paneer Momos</v>
      </c>
      <c r="G771" s="10" t="str">
        <f>_xlfn.XLOOKUP(C771,menu!A:A,menu!C:C)</f>
        <v>Momos</v>
      </c>
      <c r="H771" s="10">
        <f>_xlfn.XLOOKUP(C771,menu!A:A,menu!E:E)</f>
        <v>27</v>
      </c>
      <c r="I771" s="10">
        <f t="shared" ref="I771:I834" si="12">D771*H771</f>
        <v>54</v>
      </c>
      <c r="K771" s="10"/>
      <c r="L771" s="5"/>
    </row>
    <row r="772" spans="1:12" x14ac:dyDescent="0.25">
      <c r="A772" s="5" t="s">
        <v>6218</v>
      </c>
      <c r="B772" s="5" t="s">
        <v>6216</v>
      </c>
      <c r="C772" s="5" t="s">
        <v>44</v>
      </c>
      <c r="D772" s="21">
        <v>1</v>
      </c>
      <c r="E772" s="12">
        <v>159</v>
      </c>
      <c r="F772" s="10" t="str">
        <f>_xlfn.XLOOKUP(C772,menu!A:A,menu!B:B)</f>
        <v>Fried Chicken</v>
      </c>
      <c r="G772" s="10" t="str">
        <f>_xlfn.XLOOKUP(C772,menu!A:A,menu!C:C)</f>
        <v>Starters</v>
      </c>
      <c r="H772" s="10">
        <f>_xlfn.XLOOKUP(C772,menu!A:A,menu!E:E)</f>
        <v>48</v>
      </c>
      <c r="I772" s="10">
        <f t="shared" si="12"/>
        <v>48</v>
      </c>
      <c r="K772" s="10"/>
      <c r="L772" s="5"/>
    </row>
    <row r="773" spans="1:12" x14ac:dyDescent="0.25">
      <c r="A773" s="5" t="s">
        <v>6217</v>
      </c>
      <c r="B773" s="5" t="s">
        <v>6216</v>
      </c>
      <c r="C773" s="5" t="s">
        <v>35</v>
      </c>
      <c r="D773" s="21">
        <v>1</v>
      </c>
      <c r="E773" s="12">
        <v>119</v>
      </c>
      <c r="F773" s="10" t="str">
        <f>_xlfn.XLOOKUP(C773,menu!A:A,menu!B:B)</f>
        <v>Chicken Nuggets</v>
      </c>
      <c r="G773" s="10" t="str">
        <f>_xlfn.XLOOKUP(C773,menu!A:A,menu!C:C)</f>
        <v>Starters</v>
      </c>
      <c r="H773" s="10">
        <f>_xlfn.XLOOKUP(C773,menu!A:A,menu!E:E)</f>
        <v>36</v>
      </c>
      <c r="I773" s="10">
        <f t="shared" si="12"/>
        <v>36</v>
      </c>
      <c r="K773" s="10"/>
      <c r="L773" s="5"/>
    </row>
    <row r="774" spans="1:12" x14ac:dyDescent="0.25">
      <c r="A774" s="5" t="s">
        <v>6215</v>
      </c>
      <c r="B774" s="5" t="s">
        <v>6212</v>
      </c>
      <c r="C774" s="5" t="s">
        <v>52</v>
      </c>
      <c r="D774" s="21">
        <v>3</v>
      </c>
      <c r="E774" s="12">
        <v>297</v>
      </c>
      <c r="F774" s="10" t="str">
        <f>_xlfn.XLOOKUP(C774,menu!A:A,menu!B:B)</f>
        <v>French Fries</v>
      </c>
      <c r="G774" s="10" t="str">
        <f>_xlfn.XLOOKUP(C774,menu!A:A,menu!C:C)</f>
        <v>Starters</v>
      </c>
      <c r="H774" s="10">
        <f>_xlfn.XLOOKUP(C774,menu!A:A,menu!E:E)</f>
        <v>30</v>
      </c>
      <c r="I774" s="10">
        <f t="shared" si="12"/>
        <v>90</v>
      </c>
      <c r="K774" s="10"/>
      <c r="L774" s="5"/>
    </row>
    <row r="775" spans="1:12" x14ac:dyDescent="0.25">
      <c r="A775" s="5" t="s">
        <v>6214</v>
      </c>
      <c r="B775" s="5" t="s">
        <v>6212</v>
      </c>
      <c r="C775" s="5" t="s">
        <v>26</v>
      </c>
      <c r="D775" s="21">
        <v>1</v>
      </c>
      <c r="E775" s="12">
        <v>59</v>
      </c>
      <c r="F775" s="10" t="str">
        <f>_xlfn.XLOOKUP(C775,menu!A:A,menu!B:B)</f>
        <v>Veg Roll</v>
      </c>
      <c r="G775" s="10" t="str">
        <f>_xlfn.XLOOKUP(C775,menu!A:A,menu!C:C)</f>
        <v>Rolls</v>
      </c>
      <c r="H775" s="10">
        <f>_xlfn.XLOOKUP(C775,menu!A:A,menu!E:E)</f>
        <v>18</v>
      </c>
      <c r="I775" s="10">
        <f t="shared" si="12"/>
        <v>18</v>
      </c>
      <c r="K775" s="10"/>
      <c r="L775" s="5"/>
    </row>
    <row r="776" spans="1:12" x14ac:dyDescent="0.25">
      <c r="A776" s="5" t="s">
        <v>6213</v>
      </c>
      <c r="B776" s="5" t="s">
        <v>6212</v>
      </c>
      <c r="C776" s="5" t="s">
        <v>38</v>
      </c>
      <c r="D776" s="21">
        <v>2</v>
      </c>
      <c r="E776" s="12">
        <v>298</v>
      </c>
      <c r="F776" s="10" t="str">
        <f>_xlfn.XLOOKUP(C776,menu!A:A,menu!B:B)</f>
        <v>Chicken Wings</v>
      </c>
      <c r="G776" s="10" t="str">
        <f>_xlfn.XLOOKUP(C776,menu!A:A,menu!C:C)</f>
        <v>Starters</v>
      </c>
      <c r="H776" s="10">
        <f>_xlfn.XLOOKUP(C776,menu!A:A,menu!E:E)</f>
        <v>45</v>
      </c>
      <c r="I776" s="10">
        <f t="shared" si="12"/>
        <v>90</v>
      </c>
      <c r="K776" s="10"/>
      <c r="L776" s="5"/>
    </row>
    <row r="777" spans="1:12" x14ac:dyDescent="0.25">
      <c r="A777" s="5" t="s">
        <v>6211</v>
      </c>
      <c r="B777" s="5" t="s">
        <v>6209</v>
      </c>
      <c r="C777" s="5" t="s">
        <v>59</v>
      </c>
      <c r="D777" s="21">
        <v>2</v>
      </c>
      <c r="E777" s="12">
        <v>158</v>
      </c>
      <c r="F777" s="10" t="str">
        <f>_xlfn.XLOOKUP(C777,menu!A:A,menu!B:B)</f>
        <v>Blue Curacao Mojito</v>
      </c>
      <c r="G777" s="10" t="str">
        <f>_xlfn.XLOOKUP(C777,menu!A:A,menu!C:C)</f>
        <v>Beverages</v>
      </c>
      <c r="H777" s="10">
        <f>_xlfn.XLOOKUP(C777,menu!A:A,menu!E:E)</f>
        <v>24</v>
      </c>
      <c r="I777" s="10">
        <f t="shared" si="12"/>
        <v>48</v>
      </c>
      <c r="K777" s="10"/>
      <c r="L777" s="5"/>
    </row>
    <row r="778" spans="1:12" x14ac:dyDescent="0.25">
      <c r="A778" s="5" t="s">
        <v>6210</v>
      </c>
      <c r="B778" s="5" t="s">
        <v>6209</v>
      </c>
      <c r="C778" s="5" t="s">
        <v>61</v>
      </c>
      <c r="D778" s="21">
        <v>2</v>
      </c>
      <c r="E778" s="12">
        <v>158</v>
      </c>
      <c r="F778" s="10" t="str">
        <f>_xlfn.XLOOKUP(C778,menu!A:A,menu!B:B)</f>
        <v>Watermelon Mojito</v>
      </c>
      <c r="G778" s="10" t="str">
        <f>_xlfn.XLOOKUP(C778,menu!A:A,menu!C:C)</f>
        <v>Beverages</v>
      </c>
      <c r="H778" s="10">
        <f>_xlfn.XLOOKUP(C778,menu!A:A,menu!E:E)</f>
        <v>24</v>
      </c>
      <c r="I778" s="10">
        <f t="shared" si="12"/>
        <v>48</v>
      </c>
      <c r="K778" s="10"/>
      <c r="L778" s="5"/>
    </row>
    <row r="779" spans="1:12" x14ac:dyDescent="0.25">
      <c r="A779" s="5" t="s">
        <v>6208</v>
      </c>
      <c r="B779" s="5" t="s">
        <v>6206</v>
      </c>
      <c r="C779" s="5" t="s">
        <v>29</v>
      </c>
      <c r="D779" s="21">
        <v>4</v>
      </c>
      <c r="E779" s="12">
        <v>316</v>
      </c>
      <c r="F779" s="10" t="str">
        <f>_xlfn.XLOOKUP(C779,menu!A:A,menu!B:B)</f>
        <v>Paneer Roll</v>
      </c>
      <c r="G779" s="10" t="str">
        <f>_xlfn.XLOOKUP(C779,menu!A:A,menu!C:C)</f>
        <v>Rolls</v>
      </c>
      <c r="H779" s="10">
        <f>_xlfn.XLOOKUP(C779,menu!A:A,menu!E:E)</f>
        <v>24</v>
      </c>
      <c r="I779" s="10">
        <f t="shared" si="12"/>
        <v>96</v>
      </c>
      <c r="K779" s="10"/>
      <c r="L779" s="5"/>
    </row>
    <row r="780" spans="1:12" x14ac:dyDescent="0.25">
      <c r="A780" s="5" t="s">
        <v>6207</v>
      </c>
      <c r="B780" s="5" t="s">
        <v>6206</v>
      </c>
      <c r="C780" s="5" t="s">
        <v>10</v>
      </c>
      <c r="D780" s="21">
        <v>1</v>
      </c>
      <c r="E780" s="12">
        <v>119</v>
      </c>
      <c r="F780" s="10" t="str">
        <f>_xlfn.XLOOKUP(C780,menu!A:A,menu!B:B)</f>
        <v>Chicken Sandwich</v>
      </c>
      <c r="G780" s="10" t="str">
        <f>_xlfn.XLOOKUP(C780,menu!A:A,menu!C:C)</f>
        <v>Sandwich</v>
      </c>
      <c r="H780" s="10">
        <f>_xlfn.XLOOKUP(C780,menu!A:A,menu!E:E)</f>
        <v>36</v>
      </c>
      <c r="I780" s="10">
        <f t="shared" si="12"/>
        <v>36</v>
      </c>
      <c r="K780" s="10"/>
      <c r="L780" s="5"/>
    </row>
    <row r="781" spans="1:12" x14ac:dyDescent="0.25">
      <c r="A781" s="5" t="s">
        <v>6205</v>
      </c>
      <c r="B781" s="5" t="s">
        <v>6203</v>
      </c>
      <c r="C781" s="5" t="s">
        <v>50</v>
      </c>
      <c r="D781" s="21">
        <v>1</v>
      </c>
      <c r="E781" s="12">
        <v>149</v>
      </c>
      <c r="F781" s="10" t="str">
        <f>_xlfn.XLOOKUP(C781,menu!A:A,menu!B:B)</f>
        <v>Grab Lollipop</v>
      </c>
      <c r="G781" s="10" t="str">
        <f>_xlfn.XLOOKUP(C781,menu!A:A,menu!C:C)</f>
        <v>Starters</v>
      </c>
      <c r="H781" s="10">
        <f>_xlfn.XLOOKUP(C781,menu!A:A,menu!E:E)</f>
        <v>45</v>
      </c>
      <c r="I781" s="10">
        <f t="shared" si="12"/>
        <v>45</v>
      </c>
      <c r="K781" s="10"/>
      <c r="L781" s="5"/>
    </row>
    <row r="782" spans="1:12" x14ac:dyDescent="0.25">
      <c r="A782" s="5" t="s">
        <v>6204</v>
      </c>
      <c r="B782" s="5" t="s">
        <v>6203</v>
      </c>
      <c r="C782" s="5" t="s">
        <v>54</v>
      </c>
      <c r="D782" s="21">
        <v>2</v>
      </c>
      <c r="E782" s="12">
        <v>278</v>
      </c>
      <c r="F782" s="10" t="str">
        <f>_xlfn.XLOOKUP(C782,menu!A:A,menu!B:B)</f>
        <v>Chicken Strips</v>
      </c>
      <c r="G782" s="10" t="str">
        <f>_xlfn.XLOOKUP(C782,menu!A:A,menu!C:C)</f>
        <v>Starters</v>
      </c>
      <c r="H782" s="10">
        <f>_xlfn.XLOOKUP(C782,menu!A:A,menu!E:E)</f>
        <v>42</v>
      </c>
      <c r="I782" s="10">
        <f t="shared" si="12"/>
        <v>84</v>
      </c>
      <c r="K782" s="10"/>
      <c r="L782" s="5"/>
    </row>
    <row r="783" spans="1:12" x14ac:dyDescent="0.25">
      <c r="A783" s="5" t="s">
        <v>6202</v>
      </c>
      <c r="B783" s="5" t="s">
        <v>6199</v>
      </c>
      <c r="C783" s="5" t="s">
        <v>5</v>
      </c>
      <c r="D783" s="21">
        <v>2</v>
      </c>
      <c r="E783" s="12">
        <v>158</v>
      </c>
      <c r="F783" s="10" t="str">
        <f>_xlfn.XLOOKUP(C783,menu!A:A,menu!B:B)</f>
        <v>Veg Sandwich</v>
      </c>
      <c r="G783" s="10" t="str">
        <f>_xlfn.XLOOKUP(C783,menu!A:A,menu!C:C)</f>
        <v>Sandwich</v>
      </c>
      <c r="H783" s="10">
        <f>_xlfn.XLOOKUP(C783,menu!A:A,menu!E:E)</f>
        <v>24</v>
      </c>
      <c r="I783" s="10">
        <f t="shared" si="12"/>
        <v>48</v>
      </c>
      <c r="K783" s="10"/>
      <c r="L783" s="5"/>
    </row>
    <row r="784" spans="1:12" x14ac:dyDescent="0.25">
      <c r="A784" s="5" t="s">
        <v>6201</v>
      </c>
      <c r="B784" s="5" t="s">
        <v>6199</v>
      </c>
      <c r="C784" s="5" t="s">
        <v>19</v>
      </c>
      <c r="D784" s="21">
        <v>1</v>
      </c>
      <c r="E784" s="12">
        <v>79</v>
      </c>
      <c r="F784" s="10" t="str">
        <f>_xlfn.XLOOKUP(C784,menu!A:A,menu!B:B)</f>
        <v>Veg Burger</v>
      </c>
      <c r="G784" s="10" t="str">
        <f>_xlfn.XLOOKUP(C784,menu!A:A,menu!C:C)</f>
        <v>Burger</v>
      </c>
      <c r="H784" s="10">
        <f>_xlfn.XLOOKUP(C784,menu!A:A,menu!E:E)</f>
        <v>24</v>
      </c>
      <c r="I784" s="10">
        <f t="shared" si="12"/>
        <v>24</v>
      </c>
      <c r="K784" s="10"/>
      <c r="L784" s="5"/>
    </row>
    <row r="785" spans="1:12" x14ac:dyDescent="0.25">
      <c r="A785" s="5" t="s">
        <v>6200</v>
      </c>
      <c r="B785" s="5" t="s">
        <v>6199</v>
      </c>
      <c r="C785" s="5" t="s">
        <v>65</v>
      </c>
      <c r="D785" s="21">
        <v>2</v>
      </c>
      <c r="E785" s="12">
        <v>98</v>
      </c>
      <c r="F785" s="10" t="str">
        <f>_xlfn.XLOOKUP(C785,menu!A:A,menu!B:B)</f>
        <v>Lemon Juice</v>
      </c>
      <c r="G785" s="10" t="str">
        <f>_xlfn.XLOOKUP(C785,menu!A:A,menu!C:C)</f>
        <v>Beverages</v>
      </c>
      <c r="H785" s="10">
        <f>_xlfn.XLOOKUP(C785,menu!A:A,menu!E:E)</f>
        <v>15</v>
      </c>
      <c r="I785" s="10">
        <f t="shared" si="12"/>
        <v>30</v>
      </c>
      <c r="K785" s="10"/>
      <c r="L785" s="5"/>
    </row>
    <row r="786" spans="1:12" x14ac:dyDescent="0.25">
      <c r="A786" s="5" t="s">
        <v>6198</v>
      </c>
      <c r="B786" s="5" t="s">
        <v>6195</v>
      </c>
      <c r="C786" s="5" t="s">
        <v>12</v>
      </c>
      <c r="D786" s="21">
        <v>1</v>
      </c>
      <c r="E786" s="12">
        <v>79</v>
      </c>
      <c r="F786" s="10" t="str">
        <f>_xlfn.XLOOKUP(C786,menu!A:A,menu!B:B)</f>
        <v>Veg Momos</v>
      </c>
      <c r="G786" s="10" t="str">
        <f>_xlfn.XLOOKUP(C786,menu!A:A,menu!C:C)</f>
        <v>Momos</v>
      </c>
      <c r="H786" s="10">
        <f>_xlfn.XLOOKUP(C786,menu!A:A,menu!E:E)</f>
        <v>24</v>
      </c>
      <c r="I786" s="10">
        <f t="shared" si="12"/>
        <v>24</v>
      </c>
      <c r="K786" s="10"/>
      <c r="L786" s="5"/>
    </row>
    <row r="787" spans="1:12" x14ac:dyDescent="0.25">
      <c r="A787" s="5" t="s">
        <v>6197</v>
      </c>
      <c r="B787" s="5" t="s">
        <v>6195</v>
      </c>
      <c r="C787" s="5" t="s">
        <v>8</v>
      </c>
      <c r="D787" s="21">
        <v>1</v>
      </c>
      <c r="E787" s="12">
        <v>99</v>
      </c>
      <c r="F787" s="10" t="str">
        <f>_xlfn.XLOOKUP(C787,menu!A:A,menu!B:B)</f>
        <v>Paneer Sandwich</v>
      </c>
      <c r="G787" s="10" t="str">
        <f>_xlfn.XLOOKUP(C787,menu!A:A,menu!C:C)</f>
        <v>Sandwich</v>
      </c>
      <c r="H787" s="10">
        <f>_xlfn.XLOOKUP(C787,menu!A:A,menu!E:E)</f>
        <v>30</v>
      </c>
      <c r="I787" s="10">
        <f t="shared" si="12"/>
        <v>30</v>
      </c>
      <c r="K787" s="10"/>
      <c r="L787" s="5"/>
    </row>
    <row r="788" spans="1:12" x14ac:dyDescent="0.25">
      <c r="A788" s="5" t="s">
        <v>6196</v>
      </c>
      <c r="B788" s="5" t="s">
        <v>6195</v>
      </c>
      <c r="C788" s="5" t="s">
        <v>22</v>
      </c>
      <c r="D788" s="21">
        <v>4</v>
      </c>
      <c r="E788" s="12">
        <v>396</v>
      </c>
      <c r="F788" s="10" t="str">
        <f>_xlfn.XLOOKUP(C788,menu!A:A,menu!B:B)</f>
        <v>Chicken Burger</v>
      </c>
      <c r="G788" s="10" t="str">
        <f>_xlfn.XLOOKUP(C788,menu!A:A,menu!C:C)</f>
        <v>Burger</v>
      </c>
      <c r="H788" s="10">
        <f>_xlfn.XLOOKUP(C788,menu!A:A,menu!E:E)</f>
        <v>30</v>
      </c>
      <c r="I788" s="10">
        <f t="shared" si="12"/>
        <v>120</v>
      </c>
      <c r="K788" s="10"/>
      <c r="L788" s="5"/>
    </row>
    <row r="789" spans="1:12" x14ac:dyDescent="0.25">
      <c r="A789" s="5" t="s">
        <v>6194</v>
      </c>
      <c r="B789" s="5" t="s">
        <v>6192</v>
      </c>
      <c r="C789" s="5" t="s">
        <v>65</v>
      </c>
      <c r="D789" s="21">
        <v>2</v>
      </c>
      <c r="E789" s="12">
        <v>98</v>
      </c>
      <c r="F789" s="10" t="str">
        <f>_xlfn.XLOOKUP(C789,menu!A:A,menu!B:B)</f>
        <v>Lemon Juice</v>
      </c>
      <c r="G789" s="10" t="str">
        <f>_xlfn.XLOOKUP(C789,menu!A:A,menu!C:C)</f>
        <v>Beverages</v>
      </c>
      <c r="H789" s="10">
        <f>_xlfn.XLOOKUP(C789,menu!A:A,menu!E:E)</f>
        <v>15</v>
      </c>
      <c r="I789" s="10">
        <f t="shared" si="12"/>
        <v>30</v>
      </c>
      <c r="K789" s="10"/>
      <c r="L789" s="5"/>
    </row>
    <row r="790" spans="1:12" x14ac:dyDescent="0.25">
      <c r="A790" s="5" t="s">
        <v>6193</v>
      </c>
      <c r="B790" s="5" t="s">
        <v>6192</v>
      </c>
      <c r="C790" s="5" t="s">
        <v>31</v>
      </c>
      <c r="D790" s="21">
        <v>1</v>
      </c>
      <c r="E790" s="12">
        <v>89</v>
      </c>
      <c r="F790" s="10" t="str">
        <f>_xlfn.XLOOKUP(C790,menu!A:A,menu!B:B)</f>
        <v>Chicken Roll</v>
      </c>
      <c r="G790" s="10" t="str">
        <f>_xlfn.XLOOKUP(C790,menu!A:A,menu!C:C)</f>
        <v>Rolls</v>
      </c>
      <c r="H790" s="10">
        <f>_xlfn.XLOOKUP(C790,menu!A:A,menu!E:E)</f>
        <v>27</v>
      </c>
      <c r="I790" s="10">
        <f t="shared" si="12"/>
        <v>27</v>
      </c>
      <c r="K790" s="10"/>
      <c r="L790" s="5"/>
    </row>
    <row r="791" spans="1:12" x14ac:dyDescent="0.25">
      <c r="A791" s="5" t="s">
        <v>6191</v>
      </c>
      <c r="B791" s="5" t="s">
        <v>6190</v>
      </c>
      <c r="C791" s="5" t="s">
        <v>48</v>
      </c>
      <c r="D791" s="21">
        <v>1</v>
      </c>
      <c r="E791" s="12">
        <v>159</v>
      </c>
      <c r="F791" s="10" t="str">
        <f>_xlfn.XLOOKUP(C791,menu!A:A,menu!B:B)</f>
        <v>Chicken Lollipop</v>
      </c>
      <c r="G791" s="10" t="str">
        <f>_xlfn.XLOOKUP(C791,menu!A:A,menu!C:C)</f>
        <v>Starters</v>
      </c>
      <c r="H791" s="10">
        <f>_xlfn.XLOOKUP(C791,menu!A:A,menu!E:E)</f>
        <v>48</v>
      </c>
      <c r="I791" s="10">
        <f t="shared" si="12"/>
        <v>48</v>
      </c>
      <c r="K791" s="10"/>
      <c r="L791" s="5"/>
    </row>
    <row r="792" spans="1:12" x14ac:dyDescent="0.25">
      <c r="A792" s="5" t="s">
        <v>6189</v>
      </c>
      <c r="B792" s="5" t="s">
        <v>6187</v>
      </c>
      <c r="C792" s="5" t="s">
        <v>56</v>
      </c>
      <c r="D792" s="21">
        <v>3</v>
      </c>
      <c r="E792" s="12">
        <v>237</v>
      </c>
      <c r="F792" s="10" t="str">
        <f>_xlfn.XLOOKUP(C792,menu!A:A,menu!B:B)</f>
        <v>Mint Mojito</v>
      </c>
      <c r="G792" s="10" t="str">
        <f>_xlfn.XLOOKUP(C792,menu!A:A,menu!C:C)</f>
        <v>Beverages</v>
      </c>
      <c r="H792" s="10">
        <f>_xlfn.XLOOKUP(C792,menu!A:A,menu!E:E)</f>
        <v>24</v>
      </c>
      <c r="I792" s="10">
        <f t="shared" si="12"/>
        <v>72</v>
      </c>
      <c r="K792" s="10"/>
      <c r="L792" s="5"/>
    </row>
    <row r="793" spans="1:12" x14ac:dyDescent="0.25">
      <c r="A793" s="5" t="s">
        <v>6188</v>
      </c>
      <c r="B793" s="5" t="s">
        <v>6187</v>
      </c>
      <c r="C793" s="5" t="s">
        <v>44</v>
      </c>
      <c r="D793" s="21">
        <v>1</v>
      </c>
      <c r="E793" s="12">
        <v>159</v>
      </c>
      <c r="F793" s="10" t="str">
        <f>_xlfn.XLOOKUP(C793,menu!A:A,menu!B:B)</f>
        <v>Fried Chicken</v>
      </c>
      <c r="G793" s="10" t="str">
        <f>_xlfn.XLOOKUP(C793,menu!A:A,menu!C:C)</f>
        <v>Starters</v>
      </c>
      <c r="H793" s="10">
        <f>_xlfn.XLOOKUP(C793,menu!A:A,menu!E:E)</f>
        <v>48</v>
      </c>
      <c r="I793" s="10">
        <f t="shared" si="12"/>
        <v>48</v>
      </c>
      <c r="K793" s="10"/>
      <c r="L793" s="5"/>
    </row>
    <row r="794" spans="1:12" x14ac:dyDescent="0.25">
      <c r="A794" s="5" t="s">
        <v>6186</v>
      </c>
      <c r="B794" s="5" t="s">
        <v>6184</v>
      </c>
      <c r="C794" s="5" t="s">
        <v>17</v>
      </c>
      <c r="D794" s="21">
        <v>2</v>
      </c>
      <c r="E794" s="12">
        <v>178</v>
      </c>
      <c r="F794" s="10" t="str">
        <f>_xlfn.XLOOKUP(C794,menu!A:A,menu!B:B)</f>
        <v>Paneer Momos</v>
      </c>
      <c r="G794" s="10" t="str">
        <f>_xlfn.XLOOKUP(C794,menu!A:A,menu!C:C)</f>
        <v>Momos</v>
      </c>
      <c r="H794" s="10">
        <f>_xlfn.XLOOKUP(C794,menu!A:A,menu!E:E)</f>
        <v>27</v>
      </c>
      <c r="I794" s="10">
        <f t="shared" si="12"/>
        <v>54</v>
      </c>
      <c r="K794" s="10"/>
      <c r="L794" s="5"/>
    </row>
    <row r="795" spans="1:12" x14ac:dyDescent="0.25">
      <c r="A795" s="5" t="s">
        <v>6185</v>
      </c>
      <c r="B795" s="5" t="s">
        <v>6184</v>
      </c>
      <c r="C795" s="5" t="s">
        <v>8</v>
      </c>
      <c r="D795" s="21">
        <v>1</v>
      </c>
      <c r="E795" s="12">
        <v>99</v>
      </c>
      <c r="F795" s="10" t="str">
        <f>_xlfn.XLOOKUP(C795,menu!A:A,menu!B:B)</f>
        <v>Paneer Sandwich</v>
      </c>
      <c r="G795" s="10" t="str">
        <f>_xlfn.XLOOKUP(C795,menu!A:A,menu!C:C)</f>
        <v>Sandwich</v>
      </c>
      <c r="H795" s="10">
        <f>_xlfn.XLOOKUP(C795,menu!A:A,menu!E:E)</f>
        <v>30</v>
      </c>
      <c r="I795" s="10">
        <f t="shared" si="12"/>
        <v>30</v>
      </c>
      <c r="K795" s="10"/>
      <c r="L795" s="5"/>
    </row>
    <row r="796" spans="1:12" x14ac:dyDescent="0.25">
      <c r="A796" s="5" t="s">
        <v>6183</v>
      </c>
      <c r="B796" s="5" t="s">
        <v>6182</v>
      </c>
      <c r="C796" s="5" t="s">
        <v>54</v>
      </c>
      <c r="D796" s="21">
        <v>1</v>
      </c>
      <c r="E796" s="12">
        <v>139</v>
      </c>
      <c r="F796" s="10" t="str">
        <f>_xlfn.XLOOKUP(C796,menu!A:A,menu!B:B)</f>
        <v>Chicken Strips</v>
      </c>
      <c r="G796" s="10" t="str">
        <f>_xlfn.XLOOKUP(C796,menu!A:A,menu!C:C)</f>
        <v>Starters</v>
      </c>
      <c r="H796" s="10">
        <f>_xlfn.XLOOKUP(C796,menu!A:A,menu!E:E)</f>
        <v>42</v>
      </c>
      <c r="I796" s="10">
        <f t="shared" si="12"/>
        <v>42</v>
      </c>
      <c r="K796" s="10"/>
      <c r="L796" s="5"/>
    </row>
    <row r="797" spans="1:12" x14ac:dyDescent="0.25">
      <c r="A797" s="5" t="s">
        <v>6181</v>
      </c>
      <c r="B797" s="5" t="s">
        <v>6177</v>
      </c>
      <c r="C797" s="5" t="s">
        <v>5</v>
      </c>
      <c r="D797" s="21">
        <v>1</v>
      </c>
      <c r="E797" s="12">
        <v>79</v>
      </c>
      <c r="F797" s="10" t="str">
        <f>_xlfn.XLOOKUP(C797,menu!A:A,menu!B:B)</f>
        <v>Veg Sandwich</v>
      </c>
      <c r="G797" s="10" t="str">
        <f>_xlfn.XLOOKUP(C797,menu!A:A,menu!C:C)</f>
        <v>Sandwich</v>
      </c>
      <c r="H797" s="10">
        <f>_xlfn.XLOOKUP(C797,menu!A:A,menu!E:E)</f>
        <v>24</v>
      </c>
      <c r="I797" s="10">
        <f t="shared" si="12"/>
        <v>24</v>
      </c>
      <c r="K797" s="10"/>
      <c r="L797" s="5"/>
    </row>
    <row r="798" spans="1:12" x14ac:dyDescent="0.25">
      <c r="A798" s="5" t="s">
        <v>6180</v>
      </c>
      <c r="B798" s="5" t="s">
        <v>6177</v>
      </c>
      <c r="C798" s="5" t="s">
        <v>50</v>
      </c>
      <c r="D798" s="21">
        <v>2</v>
      </c>
      <c r="E798" s="12">
        <v>298</v>
      </c>
      <c r="F798" s="10" t="str">
        <f>_xlfn.XLOOKUP(C798,menu!A:A,menu!B:B)</f>
        <v>Grab Lollipop</v>
      </c>
      <c r="G798" s="10" t="str">
        <f>_xlfn.XLOOKUP(C798,menu!A:A,menu!C:C)</f>
        <v>Starters</v>
      </c>
      <c r="H798" s="10">
        <f>_xlfn.XLOOKUP(C798,menu!A:A,menu!E:E)</f>
        <v>45</v>
      </c>
      <c r="I798" s="10">
        <f t="shared" si="12"/>
        <v>90</v>
      </c>
      <c r="K798" s="10"/>
      <c r="L798" s="5"/>
    </row>
    <row r="799" spans="1:12" x14ac:dyDescent="0.25">
      <c r="A799" s="5" t="s">
        <v>6179</v>
      </c>
      <c r="B799" s="5" t="s">
        <v>6177</v>
      </c>
      <c r="C799" s="5" t="s">
        <v>59</v>
      </c>
      <c r="D799" s="21">
        <v>1</v>
      </c>
      <c r="E799" s="12">
        <v>79</v>
      </c>
      <c r="F799" s="10" t="str">
        <f>_xlfn.XLOOKUP(C799,menu!A:A,menu!B:B)</f>
        <v>Blue Curacao Mojito</v>
      </c>
      <c r="G799" s="10" t="str">
        <f>_xlfn.XLOOKUP(C799,menu!A:A,menu!C:C)</f>
        <v>Beverages</v>
      </c>
      <c r="H799" s="10">
        <f>_xlfn.XLOOKUP(C799,menu!A:A,menu!E:E)</f>
        <v>24</v>
      </c>
      <c r="I799" s="10">
        <f t="shared" si="12"/>
        <v>24</v>
      </c>
      <c r="K799" s="10"/>
      <c r="L799" s="5"/>
    </row>
    <row r="800" spans="1:12" x14ac:dyDescent="0.25">
      <c r="A800" s="5" t="s">
        <v>6178</v>
      </c>
      <c r="B800" s="5" t="s">
        <v>6177</v>
      </c>
      <c r="C800" s="5" t="s">
        <v>17</v>
      </c>
      <c r="D800" s="21">
        <v>1</v>
      </c>
      <c r="E800" s="12">
        <v>89</v>
      </c>
      <c r="F800" s="10" t="str">
        <f>_xlfn.XLOOKUP(C800,menu!A:A,menu!B:B)</f>
        <v>Paneer Momos</v>
      </c>
      <c r="G800" s="10" t="str">
        <f>_xlfn.XLOOKUP(C800,menu!A:A,menu!C:C)</f>
        <v>Momos</v>
      </c>
      <c r="H800" s="10">
        <f>_xlfn.XLOOKUP(C800,menu!A:A,menu!E:E)</f>
        <v>27</v>
      </c>
      <c r="I800" s="10">
        <f t="shared" si="12"/>
        <v>27</v>
      </c>
      <c r="K800" s="10"/>
      <c r="L800" s="5"/>
    </row>
    <row r="801" spans="1:12" x14ac:dyDescent="0.25">
      <c r="A801" s="5" t="s">
        <v>6176</v>
      </c>
      <c r="B801" s="5" t="s">
        <v>6175</v>
      </c>
      <c r="C801" s="5" t="s">
        <v>35</v>
      </c>
      <c r="D801" s="21">
        <v>2</v>
      </c>
      <c r="E801" s="12">
        <v>238</v>
      </c>
      <c r="F801" s="10" t="str">
        <f>_xlfn.XLOOKUP(C801,menu!A:A,menu!B:B)</f>
        <v>Chicken Nuggets</v>
      </c>
      <c r="G801" s="10" t="str">
        <f>_xlfn.XLOOKUP(C801,menu!A:A,menu!C:C)</f>
        <v>Starters</v>
      </c>
      <c r="H801" s="10">
        <f>_xlfn.XLOOKUP(C801,menu!A:A,menu!E:E)</f>
        <v>36</v>
      </c>
      <c r="I801" s="10">
        <f t="shared" si="12"/>
        <v>72</v>
      </c>
      <c r="K801" s="10"/>
      <c r="L801" s="5"/>
    </row>
    <row r="802" spans="1:12" x14ac:dyDescent="0.25">
      <c r="A802" s="5" t="s">
        <v>6174</v>
      </c>
      <c r="B802" s="5" t="s">
        <v>6171</v>
      </c>
      <c r="C802" s="5" t="s">
        <v>63</v>
      </c>
      <c r="D802" s="21">
        <v>2</v>
      </c>
      <c r="E802" s="12">
        <v>158</v>
      </c>
      <c r="F802" s="10" t="str">
        <f>_xlfn.XLOOKUP(C802,menu!A:A,menu!B:B)</f>
        <v>Virgin Mojito</v>
      </c>
      <c r="G802" s="10" t="str">
        <f>_xlfn.XLOOKUP(C802,menu!A:A,menu!C:C)</f>
        <v>Beverages</v>
      </c>
      <c r="H802" s="10">
        <f>_xlfn.XLOOKUP(C802,menu!A:A,menu!E:E)</f>
        <v>24</v>
      </c>
      <c r="I802" s="10">
        <f t="shared" si="12"/>
        <v>48</v>
      </c>
      <c r="K802" s="10"/>
      <c r="L802" s="5"/>
    </row>
    <row r="803" spans="1:12" x14ac:dyDescent="0.25">
      <c r="A803" s="5" t="s">
        <v>6173</v>
      </c>
      <c r="B803" s="5" t="s">
        <v>6171</v>
      </c>
      <c r="C803" s="5" t="s">
        <v>26</v>
      </c>
      <c r="D803" s="21">
        <v>1</v>
      </c>
      <c r="E803" s="12">
        <v>59</v>
      </c>
      <c r="F803" s="10" t="str">
        <f>_xlfn.XLOOKUP(C803,menu!A:A,menu!B:B)</f>
        <v>Veg Roll</v>
      </c>
      <c r="G803" s="10" t="str">
        <f>_xlfn.XLOOKUP(C803,menu!A:A,menu!C:C)</f>
        <v>Rolls</v>
      </c>
      <c r="H803" s="10">
        <f>_xlfn.XLOOKUP(C803,menu!A:A,menu!E:E)</f>
        <v>18</v>
      </c>
      <c r="I803" s="10">
        <f t="shared" si="12"/>
        <v>18</v>
      </c>
      <c r="K803" s="10"/>
      <c r="L803" s="5"/>
    </row>
    <row r="804" spans="1:12" x14ac:dyDescent="0.25">
      <c r="A804" s="5" t="s">
        <v>6172</v>
      </c>
      <c r="B804" s="5" t="s">
        <v>6171</v>
      </c>
      <c r="C804" s="5" t="s">
        <v>48</v>
      </c>
      <c r="D804" s="21">
        <v>1</v>
      </c>
      <c r="E804" s="12">
        <v>159</v>
      </c>
      <c r="F804" s="10" t="str">
        <f>_xlfn.XLOOKUP(C804,menu!A:A,menu!B:B)</f>
        <v>Chicken Lollipop</v>
      </c>
      <c r="G804" s="10" t="str">
        <f>_xlfn.XLOOKUP(C804,menu!A:A,menu!C:C)</f>
        <v>Starters</v>
      </c>
      <c r="H804" s="10">
        <f>_xlfn.XLOOKUP(C804,menu!A:A,menu!E:E)</f>
        <v>48</v>
      </c>
      <c r="I804" s="10">
        <f t="shared" si="12"/>
        <v>48</v>
      </c>
      <c r="K804" s="10"/>
      <c r="L804" s="5"/>
    </row>
    <row r="805" spans="1:12" x14ac:dyDescent="0.25">
      <c r="A805" s="5" t="s">
        <v>6170</v>
      </c>
      <c r="B805" s="5" t="s">
        <v>6168</v>
      </c>
      <c r="C805" s="5" t="s">
        <v>63</v>
      </c>
      <c r="D805" s="21">
        <v>1</v>
      </c>
      <c r="E805" s="12">
        <v>79</v>
      </c>
      <c r="F805" s="10" t="str">
        <f>_xlfn.XLOOKUP(C805,menu!A:A,menu!B:B)</f>
        <v>Virgin Mojito</v>
      </c>
      <c r="G805" s="10" t="str">
        <f>_xlfn.XLOOKUP(C805,menu!A:A,menu!C:C)</f>
        <v>Beverages</v>
      </c>
      <c r="H805" s="10">
        <f>_xlfn.XLOOKUP(C805,menu!A:A,menu!E:E)</f>
        <v>24</v>
      </c>
      <c r="I805" s="10">
        <f t="shared" si="12"/>
        <v>24</v>
      </c>
      <c r="K805" s="10"/>
      <c r="L805" s="5"/>
    </row>
    <row r="806" spans="1:12" x14ac:dyDescent="0.25">
      <c r="A806" s="5" t="s">
        <v>6169</v>
      </c>
      <c r="B806" s="5" t="s">
        <v>6168</v>
      </c>
      <c r="C806" s="5" t="s">
        <v>54</v>
      </c>
      <c r="D806" s="21">
        <v>3</v>
      </c>
      <c r="E806" s="12">
        <v>417</v>
      </c>
      <c r="F806" s="10" t="str">
        <f>_xlfn.XLOOKUP(C806,menu!A:A,menu!B:B)</f>
        <v>Chicken Strips</v>
      </c>
      <c r="G806" s="10" t="str">
        <f>_xlfn.XLOOKUP(C806,menu!A:A,menu!C:C)</f>
        <v>Starters</v>
      </c>
      <c r="H806" s="10">
        <f>_xlfn.XLOOKUP(C806,menu!A:A,menu!E:E)</f>
        <v>42</v>
      </c>
      <c r="I806" s="10">
        <f t="shared" si="12"/>
        <v>126</v>
      </c>
      <c r="K806" s="10"/>
      <c r="L806" s="5"/>
    </row>
    <row r="807" spans="1:12" x14ac:dyDescent="0.25">
      <c r="A807" s="5" t="s">
        <v>6167</v>
      </c>
      <c r="B807" s="5" t="s">
        <v>6164</v>
      </c>
      <c r="C807" s="5" t="s">
        <v>29</v>
      </c>
      <c r="D807" s="21">
        <v>1</v>
      </c>
      <c r="E807" s="12">
        <v>79</v>
      </c>
      <c r="F807" s="10" t="str">
        <f>_xlfn.XLOOKUP(C807,menu!A:A,menu!B:B)</f>
        <v>Paneer Roll</v>
      </c>
      <c r="G807" s="10" t="str">
        <f>_xlfn.XLOOKUP(C807,menu!A:A,menu!C:C)</f>
        <v>Rolls</v>
      </c>
      <c r="H807" s="10">
        <f>_xlfn.XLOOKUP(C807,menu!A:A,menu!E:E)</f>
        <v>24</v>
      </c>
      <c r="I807" s="10">
        <f t="shared" si="12"/>
        <v>24</v>
      </c>
      <c r="K807" s="10"/>
      <c r="L807" s="5"/>
    </row>
    <row r="808" spans="1:12" x14ac:dyDescent="0.25">
      <c r="A808" s="5" t="s">
        <v>6166</v>
      </c>
      <c r="B808" s="5" t="s">
        <v>6164</v>
      </c>
      <c r="C808" s="5" t="s">
        <v>42</v>
      </c>
      <c r="D808" s="21">
        <v>1</v>
      </c>
      <c r="E808" s="12">
        <v>149</v>
      </c>
      <c r="F808" s="10" t="str">
        <f>_xlfn.XLOOKUP(C808,menu!A:A,menu!B:B)</f>
        <v>Chicken Popcorn</v>
      </c>
      <c r="G808" s="10" t="str">
        <f>_xlfn.XLOOKUP(C808,menu!A:A,menu!C:C)</f>
        <v>Starters</v>
      </c>
      <c r="H808" s="10">
        <f>_xlfn.XLOOKUP(C808,menu!A:A,menu!E:E)</f>
        <v>45</v>
      </c>
      <c r="I808" s="10">
        <f t="shared" si="12"/>
        <v>45</v>
      </c>
      <c r="K808" s="10"/>
      <c r="L808" s="5"/>
    </row>
    <row r="809" spans="1:12" x14ac:dyDescent="0.25">
      <c r="A809" s="5" t="s">
        <v>6165</v>
      </c>
      <c r="B809" s="5" t="s">
        <v>6164</v>
      </c>
      <c r="C809" s="5" t="s">
        <v>12</v>
      </c>
      <c r="D809" s="21">
        <v>1</v>
      </c>
      <c r="E809" s="12">
        <v>79</v>
      </c>
      <c r="F809" s="10" t="str">
        <f>_xlfn.XLOOKUP(C809,menu!A:A,menu!B:B)</f>
        <v>Veg Momos</v>
      </c>
      <c r="G809" s="10" t="str">
        <f>_xlfn.XLOOKUP(C809,menu!A:A,menu!C:C)</f>
        <v>Momos</v>
      </c>
      <c r="H809" s="10">
        <f>_xlfn.XLOOKUP(C809,menu!A:A,menu!E:E)</f>
        <v>24</v>
      </c>
      <c r="I809" s="10">
        <f t="shared" si="12"/>
        <v>24</v>
      </c>
      <c r="K809" s="10"/>
      <c r="L809" s="5"/>
    </row>
    <row r="810" spans="1:12" x14ac:dyDescent="0.25">
      <c r="A810" s="5" t="s">
        <v>6163</v>
      </c>
      <c r="B810" s="5" t="s">
        <v>6162</v>
      </c>
      <c r="C810" s="5" t="s">
        <v>38</v>
      </c>
      <c r="D810" s="21">
        <v>5</v>
      </c>
      <c r="E810" s="12">
        <v>745</v>
      </c>
      <c r="F810" s="10" t="str">
        <f>_xlfn.XLOOKUP(C810,menu!A:A,menu!B:B)</f>
        <v>Chicken Wings</v>
      </c>
      <c r="G810" s="10" t="str">
        <f>_xlfn.XLOOKUP(C810,menu!A:A,menu!C:C)</f>
        <v>Starters</v>
      </c>
      <c r="H810" s="10">
        <f>_xlfn.XLOOKUP(C810,menu!A:A,menu!E:E)</f>
        <v>45</v>
      </c>
      <c r="I810" s="10">
        <f t="shared" si="12"/>
        <v>225</v>
      </c>
      <c r="K810" s="10"/>
      <c r="L810" s="5"/>
    </row>
    <row r="811" spans="1:12" x14ac:dyDescent="0.25">
      <c r="A811" s="5" t="s">
        <v>6161</v>
      </c>
      <c r="B811" s="5" t="s">
        <v>6159</v>
      </c>
      <c r="C811" s="5" t="s">
        <v>10</v>
      </c>
      <c r="D811" s="21">
        <v>1</v>
      </c>
      <c r="E811" s="12">
        <v>119</v>
      </c>
      <c r="F811" s="10" t="str">
        <f>_xlfn.XLOOKUP(C811,menu!A:A,menu!B:B)</f>
        <v>Chicken Sandwich</v>
      </c>
      <c r="G811" s="10" t="str">
        <f>_xlfn.XLOOKUP(C811,menu!A:A,menu!C:C)</f>
        <v>Sandwich</v>
      </c>
      <c r="H811" s="10">
        <f>_xlfn.XLOOKUP(C811,menu!A:A,menu!E:E)</f>
        <v>36</v>
      </c>
      <c r="I811" s="10">
        <f t="shared" si="12"/>
        <v>36</v>
      </c>
      <c r="K811" s="10"/>
      <c r="L811" s="5"/>
    </row>
    <row r="812" spans="1:12" x14ac:dyDescent="0.25">
      <c r="A812" s="5" t="s">
        <v>6160</v>
      </c>
      <c r="B812" s="5" t="s">
        <v>6159</v>
      </c>
      <c r="C812" s="5" t="s">
        <v>52</v>
      </c>
      <c r="D812" s="21">
        <v>5</v>
      </c>
      <c r="E812" s="12">
        <v>495</v>
      </c>
      <c r="F812" s="10" t="str">
        <f>_xlfn.XLOOKUP(C812,menu!A:A,menu!B:B)</f>
        <v>French Fries</v>
      </c>
      <c r="G812" s="10" t="str">
        <f>_xlfn.XLOOKUP(C812,menu!A:A,menu!C:C)</f>
        <v>Starters</v>
      </c>
      <c r="H812" s="10">
        <f>_xlfn.XLOOKUP(C812,menu!A:A,menu!E:E)</f>
        <v>30</v>
      </c>
      <c r="I812" s="10">
        <f t="shared" si="12"/>
        <v>150</v>
      </c>
      <c r="K812" s="10"/>
      <c r="L812" s="5"/>
    </row>
    <row r="813" spans="1:12" x14ac:dyDescent="0.25">
      <c r="A813" s="5" t="s">
        <v>6158</v>
      </c>
      <c r="B813" s="5" t="s">
        <v>6156</v>
      </c>
      <c r="C813" s="5" t="s">
        <v>33</v>
      </c>
      <c r="D813" s="21">
        <v>2</v>
      </c>
      <c r="E813" s="12">
        <v>138</v>
      </c>
      <c r="F813" s="10" t="str">
        <f>_xlfn.XLOOKUP(C813,menu!A:A,menu!B:B)</f>
        <v>Spring Roll</v>
      </c>
      <c r="G813" s="10" t="str">
        <f>_xlfn.XLOOKUP(C813,menu!A:A,menu!C:C)</f>
        <v>Rolls</v>
      </c>
      <c r="H813" s="10">
        <f>_xlfn.XLOOKUP(C813,menu!A:A,menu!E:E)</f>
        <v>21</v>
      </c>
      <c r="I813" s="10">
        <f t="shared" si="12"/>
        <v>42</v>
      </c>
      <c r="K813" s="10"/>
      <c r="L813" s="5"/>
    </row>
    <row r="814" spans="1:12" x14ac:dyDescent="0.25">
      <c r="A814" s="5" t="s">
        <v>6157</v>
      </c>
      <c r="B814" s="5" t="s">
        <v>6156</v>
      </c>
      <c r="C814" s="5" t="s">
        <v>38</v>
      </c>
      <c r="D814" s="21">
        <v>2</v>
      </c>
      <c r="E814" s="12">
        <v>298</v>
      </c>
      <c r="F814" s="10" t="str">
        <f>_xlfn.XLOOKUP(C814,menu!A:A,menu!B:B)</f>
        <v>Chicken Wings</v>
      </c>
      <c r="G814" s="10" t="str">
        <f>_xlfn.XLOOKUP(C814,menu!A:A,menu!C:C)</f>
        <v>Starters</v>
      </c>
      <c r="H814" s="10">
        <f>_xlfn.XLOOKUP(C814,menu!A:A,menu!E:E)</f>
        <v>45</v>
      </c>
      <c r="I814" s="10">
        <f t="shared" si="12"/>
        <v>90</v>
      </c>
      <c r="K814" s="10"/>
      <c r="L814" s="5"/>
    </row>
    <row r="815" spans="1:12" x14ac:dyDescent="0.25">
      <c r="A815" s="5" t="s">
        <v>6155</v>
      </c>
      <c r="B815" s="5" t="s">
        <v>6152</v>
      </c>
      <c r="C815" s="5" t="s">
        <v>54</v>
      </c>
      <c r="D815" s="21">
        <v>2</v>
      </c>
      <c r="E815" s="12">
        <v>278</v>
      </c>
      <c r="F815" s="10" t="str">
        <f>_xlfn.XLOOKUP(C815,menu!A:A,menu!B:B)</f>
        <v>Chicken Strips</v>
      </c>
      <c r="G815" s="10" t="str">
        <f>_xlfn.XLOOKUP(C815,menu!A:A,menu!C:C)</f>
        <v>Starters</v>
      </c>
      <c r="H815" s="10">
        <f>_xlfn.XLOOKUP(C815,menu!A:A,menu!E:E)</f>
        <v>42</v>
      </c>
      <c r="I815" s="10">
        <f t="shared" si="12"/>
        <v>84</v>
      </c>
      <c r="K815" s="10"/>
      <c r="L815" s="5"/>
    </row>
    <row r="816" spans="1:12" x14ac:dyDescent="0.25">
      <c r="A816" s="5" t="s">
        <v>6154</v>
      </c>
      <c r="B816" s="5" t="s">
        <v>6152</v>
      </c>
      <c r="C816" s="5" t="s">
        <v>8</v>
      </c>
      <c r="D816" s="21">
        <v>1</v>
      </c>
      <c r="E816" s="12">
        <v>99</v>
      </c>
      <c r="F816" s="10" t="str">
        <f>_xlfn.XLOOKUP(C816,menu!A:A,menu!B:B)</f>
        <v>Paneer Sandwich</v>
      </c>
      <c r="G816" s="10" t="str">
        <f>_xlfn.XLOOKUP(C816,menu!A:A,menu!C:C)</f>
        <v>Sandwich</v>
      </c>
      <c r="H816" s="10">
        <f>_xlfn.XLOOKUP(C816,menu!A:A,menu!E:E)</f>
        <v>30</v>
      </c>
      <c r="I816" s="10">
        <f t="shared" si="12"/>
        <v>30</v>
      </c>
      <c r="K816" s="10"/>
      <c r="L816" s="5"/>
    </row>
    <row r="817" spans="1:12" x14ac:dyDescent="0.25">
      <c r="A817" s="5" t="s">
        <v>6153</v>
      </c>
      <c r="B817" s="5" t="s">
        <v>6152</v>
      </c>
      <c r="C817" s="5" t="s">
        <v>33</v>
      </c>
      <c r="D817" s="21">
        <v>2</v>
      </c>
      <c r="E817" s="12">
        <v>138</v>
      </c>
      <c r="F817" s="10" t="str">
        <f>_xlfn.XLOOKUP(C817,menu!A:A,menu!B:B)</f>
        <v>Spring Roll</v>
      </c>
      <c r="G817" s="10" t="str">
        <f>_xlfn.XLOOKUP(C817,menu!A:A,menu!C:C)</f>
        <v>Rolls</v>
      </c>
      <c r="H817" s="10">
        <f>_xlfn.XLOOKUP(C817,menu!A:A,menu!E:E)</f>
        <v>21</v>
      </c>
      <c r="I817" s="10">
        <f t="shared" si="12"/>
        <v>42</v>
      </c>
      <c r="K817" s="10"/>
      <c r="L817" s="5"/>
    </row>
    <row r="818" spans="1:12" x14ac:dyDescent="0.25">
      <c r="A818" s="5" t="s">
        <v>6151</v>
      </c>
      <c r="B818" s="5" t="s">
        <v>6150</v>
      </c>
      <c r="C818" s="5" t="s">
        <v>65</v>
      </c>
      <c r="D818" s="21">
        <v>1</v>
      </c>
      <c r="E818" s="12">
        <v>49</v>
      </c>
      <c r="F818" s="10" t="str">
        <f>_xlfn.XLOOKUP(C818,menu!A:A,menu!B:B)</f>
        <v>Lemon Juice</v>
      </c>
      <c r="G818" s="10" t="str">
        <f>_xlfn.XLOOKUP(C818,menu!A:A,menu!C:C)</f>
        <v>Beverages</v>
      </c>
      <c r="H818" s="10">
        <f>_xlfn.XLOOKUP(C818,menu!A:A,menu!E:E)</f>
        <v>15</v>
      </c>
      <c r="I818" s="10">
        <f t="shared" si="12"/>
        <v>15</v>
      </c>
      <c r="K818" s="10"/>
      <c r="L818" s="5"/>
    </row>
    <row r="819" spans="1:12" x14ac:dyDescent="0.25">
      <c r="A819" s="5" t="s">
        <v>6149</v>
      </c>
      <c r="B819" s="5" t="s">
        <v>6146</v>
      </c>
      <c r="C819" s="5" t="s">
        <v>63</v>
      </c>
      <c r="D819" s="21">
        <v>2</v>
      </c>
      <c r="E819" s="12">
        <v>158</v>
      </c>
      <c r="F819" s="10" t="str">
        <f>_xlfn.XLOOKUP(C819,menu!A:A,menu!B:B)</f>
        <v>Virgin Mojito</v>
      </c>
      <c r="G819" s="10" t="str">
        <f>_xlfn.XLOOKUP(C819,menu!A:A,menu!C:C)</f>
        <v>Beverages</v>
      </c>
      <c r="H819" s="10">
        <f>_xlfn.XLOOKUP(C819,menu!A:A,menu!E:E)</f>
        <v>24</v>
      </c>
      <c r="I819" s="10">
        <f t="shared" si="12"/>
        <v>48</v>
      </c>
      <c r="K819" s="10"/>
      <c r="L819" s="5"/>
    </row>
    <row r="820" spans="1:12" x14ac:dyDescent="0.25">
      <c r="A820" s="5" t="s">
        <v>6148</v>
      </c>
      <c r="B820" s="5" t="s">
        <v>6146</v>
      </c>
      <c r="C820" s="5" t="s">
        <v>54</v>
      </c>
      <c r="D820" s="21">
        <v>2</v>
      </c>
      <c r="E820" s="12">
        <v>278</v>
      </c>
      <c r="F820" s="10" t="str">
        <f>_xlfn.XLOOKUP(C820,menu!A:A,menu!B:B)</f>
        <v>Chicken Strips</v>
      </c>
      <c r="G820" s="10" t="str">
        <f>_xlfn.XLOOKUP(C820,menu!A:A,menu!C:C)</f>
        <v>Starters</v>
      </c>
      <c r="H820" s="10">
        <f>_xlfn.XLOOKUP(C820,menu!A:A,menu!E:E)</f>
        <v>42</v>
      </c>
      <c r="I820" s="10">
        <f t="shared" si="12"/>
        <v>84</v>
      </c>
      <c r="K820" s="10"/>
      <c r="L820" s="5"/>
    </row>
    <row r="821" spans="1:12" x14ac:dyDescent="0.25">
      <c r="A821" s="5" t="s">
        <v>6147</v>
      </c>
      <c r="B821" s="5" t="s">
        <v>6146</v>
      </c>
      <c r="C821" s="5" t="s">
        <v>42</v>
      </c>
      <c r="D821" s="21">
        <v>5</v>
      </c>
      <c r="E821" s="12">
        <v>745</v>
      </c>
      <c r="F821" s="10" t="str">
        <f>_xlfn.XLOOKUP(C821,menu!A:A,menu!B:B)</f>
        <v>Chicken Popcorn</v>
      </c>
      <c r="G821" s="10" t="str">
        <f>_xlfn.XLOOKUP(C821,menu!A:A,menu!C:C)</f>
        <v>Starters</v>
      </c>
      <c r="H821" s="10">
        <f>_xlfn.XLOOKUP(C821,menu!A:A,menu!E:E)</f>
        <v>45</v>
      </c>
      <c r="I821" s="10">
        <f t="shared" si="12"/>
        <v>225</v>
      </c>
      <c r="K821" s="10"/>
      <c r="L821" s="5"/>
    </row>
    <row r="822" spans="1:12" x14ac:dyDescent="0.25">
      <c r="A822" s="5" t="s">
        <v>6145</v>
      </c>
      <c r="B822" s="5" t="s">
        <v>6143</v>
      </c>
      <c r="C822" s="5" t="s">
        <v>52</v>
      </c>
      <c r="D822" s="21">
        <v>1</v>
      </c>
      <c r="E822" s="12">
        <v>99</v>
      </c>
      <c r="F822" s="10" t="str">
        <f>_xlfn.XLOOKUP(C822,menu!A:A,menu!B:B)</f>
        <v>French Fries</v>
      </c>
      <c r="G822" s="10" t="str">
        <f>_xlfn.XLOOKUP(C822,menu!A:A,menu!C:C)</f>
        <v>Starters</v>
      </c>
      <c r="H822" s="10">
        <f>_xlfn.XLOOKUP(C822,menu!A:A,menu!E:E)</f>
        <v>30</v>
      </c>
      <c r="I822" s="10">
        <f t="shared" si="12"/>
        <v>30</v>
      </c>
      <c r="K822" s="10"/>
      <c r="L822" s="5"/>
    </row>
    <row r="823" spans="1:12" x14ac:dyDescent="0.25">
      <c r="A823" s="5" t="s">
        <v>6144</v>
      </c>
      <c r="B823" s="5" t="s">
        <v>6143</v>
      </c>
      <c r="C823" s="5" t="s">
        <v>46</v>
      </c>
      <c r="D823" s="21">
        <v>1</v>
      </c>
      <c r="E823" s="12">
        <v>149</v>
      </c>
      <c r="F823" s="10" t="str">
        <f>_xlfn.XLOOKUP(C823,menu!A:A,menu!B:B)</f>
        <v>Fish Finger</v>
      </c>
      <c r="G823" s="10" t="str">
        <f>_xlfn.XLOOKUP(C823,menu!A:A,menu!C:C)</f>
        <v>Starters</v>
      </c>
      <c r="H823" s="10">
        <f>_xlfn.XLOOKUP(C823,menu!A:A,menu!E:E)</f>
        <v>45</v>
      </c>
      <c r="I823" s="10">
        <f t="shared" si="12"/>
        <v>45</v>
      </c>
      <c r="K823" s="10"/>
      <c r="L823" s="5"/>
    </row>
    <row r="824" spans="1:12" x14ac:dyDescent="0.25">
      <c r="A824" s="5" t="s">
        <v>6142</v>
      </c>
      <c r="B824" s="5" t="s">
        <v>6139</v>
      </c>
      <c r="C824" s="5" t="s">
        <v>12</v>
      </c>
      <c r="D824" s="21">
        <v>4</v>
      </c>
      <c r="E824" s="12">
        <v>316</v>
      </c>
      <c r="F824" s="10" t="str">
        <f>_xlfn.XLOOKUP(C824,menu!A:A,menu!B:B)</f>
        <v>Veg Momos</v>
      </c>
      <c r="G824" s="10" t="str">
        <f>_xlfn.XLOOKUP(C824,menu!A:A,menu!C:C)</f>
        <v>Momos</v>
      </c>
      <c r="H824" s="10">
        <f>_xlfn.XLOOKUP(C824,menu!A:A,menu!E:E)</f>
        <v>24</v>
      </c>
      <c r="I824" s="10">
        <f t="shared" si="12"/>
        <v>96</v>
      </c>
      <c r="K824" s="10"/>
      <c r="L824" s="5"/>
    </row>
    <row r="825" spans="1:12" x14ac:dyDescent="0.25">
      <c r="A825" s="5" t="s">
        <v>6141</v>
      </c>
      <c r="B825" s="5" t="s">
        <v>6139</v>
      </c>
      <c r="C825" s="5" t="s">
        <v>15</v>
      </c>
      <c r="D825" s="21">
        <v>3</v>
      </c>
      <c r="E825" s="12">
        <v>297</v>
      </c>
      <c r="F825" s="10" t="str">
        <f>_xlfn.XLOOKUP(C825,menu!A:A,menu!B:B)</f>
        <v>Chicken Momos</v>
      </c>
      <c r="G825" s="10" t="str">
        <f>_xlfn.XLOOKUP(C825,menu!A:A,menu!C:C)</f>
        <v>Momos</v>
      </c>
      <c r="H825" s="10">
        <f>_xlfn.XLOOKUP(C825,menu!A:A,menu!E:E)</f>
        <v>30</v>
      </c>
      <c r="I825" s="10">
        <f t="shared" si="12"/>
        <v>90</v>
      </c>
      <c r="K825" s="10"/>
      <c r="L825" s="5"/>
    </row>
    <row r="826" spans="1:12" x14ac:dyDescent="0.25">
      <c r="A826" s="5" t="s">
        <v>6140</v>
      </c>
      <c r="B826" s="5" t="s">
        <v>6139</v>
      </c>
      <c r="C826" s="5" t="s">
        <v>33</v>
      </c>
      <c r="D826" s="21">
        <v>1</v>
      </c>
      <c r="E826" s="12">
        <v>69</v>
      </c>
      <c r="F826" s="10" t="str">
        <f>_xlfn.XLOOKUP(C826,menu!A:A,menu!B:B)</f>
        <v>Spring Roll</v>
      </c>
      <c r="G826" s="10" t="str">
        <f>_xlfn.XLOOKUP(C826,menu!A:A,menu!C:C)</f>
        <v>Rolls</v>
      </c>
      <c r="H826" s="10">
        <f>_xlfn.XLOOKUP(C826,menu!A:A,menu!E:E)</f>
        <v>21</v>
      </c>
      <c r="I826" s="10">
        <f t="shared" si="12"/>
        <v>21</v>
      </c>
      <c r="K826" s="10"/>
      <c r="L826" s="5"/>
    </row>
    <row r="827" spans="1:12" x14ac:dyDescent="0.25">
      <c r="A827" s="5" t="s">
        <v>6138</v>
      </c>
      <c r="B827" s="5" t="s">
        <v>6136</v>
      </c>
      <c r="C827" s="5" t="s">
        <v>12</v>
      </c>
      <c r="D827" s="21">
        <v>1</v>
      </c>
      <c r="E827" s="12">
        <v>79</v>
      </c>
      <c r="F827" s="10" t="str">
        <f>_xlfn.XLOOKUP(C827,menu!A:A,menu!B:B)</f>
        <v>Veg Momos</v>
      </c>
      <c r="G827" s="10" t="str">
        <f>_xlfn.XLOOKUP(C827,menu!A:A,menu!C:C)</f>
        <v>Momos</v>
      </c>
      <c r="H827" s="10">
        <f>_xlfn.XLOOKUP(C827,menu!A:A,menu!E:E)</f>
        <v>24</v>
      </c>
      <c r="I827" s="10">
        <f t="shared" si="12"/>
        <v>24</v>
      </c>
      <c r="K827" s="10"/>
      <c r="L827" s="5"/>
    </row>
    <row r="828" spans="1:12" x14ac:dyDescent="0.25">
      <c r="A828" s="5" t="s">
        <v>6137</v>
      </c>
      <c r="B828" s="5" t="s">
        <v>6136</v>
      </c>
      <c r="C828" s="5" t="s">
        <v>54</v>
      </c>
      <c r="D828" s="21">
        <v>1</v>
      </c>
      <c r="E828" s="12">
        <v>139</v>
      </c>
      <c r="F828" s="10" t="str">
        <f>_xlfn.XLOOKUP(C828,menu!A:A,menu!B:B)</f>
        <v>Chicken Strips</v>
      </c>
      <c r="G828" s="10" t="str">
        <f>_xlfn.XLOOKUP(C828,menu!A:A,menu!C:C)</f>
        <v>Starters</v>
      </c>
      <c r="H828" s="10">
        <f>_xlfn.XLOOKUP(C828,menu!A:A,menu!E:E)</f>
        <v>42</v>
      </c>
      <c r="I828" s="10">
        <f t="shared" si="12"/>
        <v>42</v>
      </c>
      <c r="K828" s="10"/>
      <c r="L828" s="5"/>
    </row>
    <row r="829" spans="1:12" x14ac:dyDescent="0.25">
      <c r="A829" s="5" t="s">
        <v>6135</v>
      </c>
      <c r="B829" s="5" t="s">
        <v>6132</v>
      </c>
      <c r="C829" s="5" t="s">
        <v>54</v>
      </c>
      <c r="D829" s="21">
        <v>1</v>
      </c>
      <c r="E829" s="12">
        <v>139</v>
      </c>
      <c r="F829" s="10" t="str">
        <f>_xlfn.XLOOKUP(C829,menu!A:A,menu!B:B)</f>
        <v>Chicken Strips</v>
      </c>
      <c r="G829" s="10" t="str">
        <f>_xlfn.XLOOKUP(C829,menu!A:A,menu!C:C)</f>
        <v>Starters</v>
      </c>
      <c r="H829" s="10">
        <f>_xlfn.XLOOKUP(C829,menu!A:A,menu!E:E)</f>
        <v>42</v>
      </c>
      <c r="I829" s="10">
        <f t="shared" si="12"/>
        <v>42</v>
      </c>
      <c r="K829" s="10"/>
      <c r="L829" s="5"/>
    </row>
    <row r="830" spans="1:12" x14ac:dyDescent="0.25">
      <c r="A830" s="5" t="s">
        <v>6134</v>
      </c>
      <c r="B830" s="5" t="s">
        <v>6132</v>
      </c>
      <c r="C830" s="5" t="s">
        <v>59</v>
      </c>
      <c r="D830" s="21">
        <v>1</v>
      </c>
      <c r="E830" s="12">
        <v>79</v>
      </c>
      <c r="F830" s="10" t="str">
        <f>_xlfn.XLOOKUP(C830,menu!A:A,menu!B:B)</f>
        <v>Blue Curacao Mojito</v>
      </c>
      <c r="G830" s="10" t="str">
        <f>_xlfn.XLOOKUP(C830,menu!A:A,menu!C:C)</f>
        <v>Beverages</v>
      </c>
      <c r="H830" s="10">
        <f>_xlfn.XLOOKUP(C830,menu!A:A,menu!E:E)</f>
        <v>24</v>
      </c>
      <c r="I830" s="10">
        <f t="shared" si="12"/>
        <v>24</v>
      </c>
      <c r="K830" s="10"/>
      <c r="L830" s="5"/>
    </row>
    <row r="831" spans="1:12" x14ac:dyDescent="0.25">
      <c r="A831" s="5" t="s">
        <v>6133</v>
      </c>
      <c r="B831" s="5" t="s">
        <v>6132</v>
      </c>
      <c r="C831" s="5" t="s">
        <v>61</v>
      </c>
      <c r="D831" s="21">
        <v>1</v>
      </c>
      <c r="E831" s="12">
        <v>79</v>
      </c>
      <c r="F831" s="10" t="str">
        <f>_xlfn.XLOOKUP(C831,menu!A:A,menu!B:B)</f>
        <v>Watermelon Mojito</v>
      </c>
      <c r="G831" s="10" t="str">
        <f>_xlfn.XLOOKUP(C831,menu!A:A,menu!C:C)</f>
        <v>Beverages</v>
      </c>
      <c r="H831" s="10">
        <f>_xlfn.XLOOKUP(C831,menu!A:A,menu!E:E)</f>
        <v>24</v>
      </c>
      <c r="I831" s="10">
        <f t="shared" si="12"/>
        <v>24</v>
      </c>
      <c r="K831" s="10"/>
      <c r="L831" s="5"/>
    </row>
    <row r="832" spans="1:12" x14ac:dyDescent="0.25">
      <c r="A832" s="5" t="s">
        <v>6131</v>
      </c>
      <c r="B832" s="5" t="s">
        <v>6127</v>
      </c>
      <c r="C832" s="5" t="s">
        <v>29</v>
      </c>
      <c r="D832" s="21">
        <v>1</v>
      </c>
      <c r="E832" s="12">
        <v>79</v>
      </c>
      <c r="F832" s="10" t="str">
        <f>_xlfn.XLOOKUP(C832,menu!A:A,menu!B:B)</f>
        <v>Paneer Roll</v>
      </c>
      <c r="G832" s="10" t="str">
        <f>_xlfn.XLOOKUP(C832,menu!A:A,menu!C:C)</f>
        <v>Rolls</v>
      </c>
      <c r="H832" s="10">
        <f>_xlfn.XLOOKUP(C832,menu!A:A,menu!E:E)</f>
        <v>24</v>
      </c>
      <c r="I832" s="10">
        <f t="shared" si="12"/>
        <v>24</v>
      </c>
      <c r="K832" s="10"/>
      <c r="L832" s="5"/>
    </row>
    <row r="833" spans="1:12" x14ac:dyDescent="0.25">
      <c r="A833" s="5" t="s">
        <v>6130</v>
      </c>
      <c r="B833" s="5" t="s">
        <v>6127</v>
      </c>
      <c r="C833" s="5" t="s">
        <v>24</v>
      </c>
      <c r="D833" s="21">
        <v>1</v>
      </c>
      <c r="E833" s="12">
        <v>89</v>
      </c>
      <c r="F833" s="10" t="str">
        <f>_xlfn.XLOOKUP(C833,menu!A:A,menu!B:B)</f>
        <v>Paneer Burger</v>
      </c>
      <c r="G833" s="10" t="str">
        <f>_xlfn.XLOOKUP(C833,menu!A:A,menu!C:C)</f>
        <v>Burger</v>
      </c>
      <c r="H833" s="10">
        <f>_xlfn.XLOOKUP(C833,menu!A:A,menu!E:E)</f>
        <v>27</v>
      </c>
      <c r="I833" s="10">
        <f t="shared" si="12"/>
        <v>27</v>
      </c>
      <c r="K833" s="10"/>
      <c r="L833" s="5"/>
    </row>
    <row r="834" spans="1:12" x14ac:dyDescent="0.25">
      <c r="A834" s="5" t="s">
        <v>6129</v>
      </c>
      <c r="B834" s="5" t="s">
        <v>6127</v>
      </c>
      <c r="C834" s="5" t="s">
        <v>46</v>
      </c>
      <c r="D834" s="21">
        <v>1</v>
      </c>
      <c r="E834" s="12">
        <v>149</v>
      </c>
      <c r="F834" s="10" t="str">
        <f>_xlfn.XLOOKUP(C834,menu!A:A,menu!B:B)</f>
        <v>Fish Finger</v>
      </c>
      <c r="G834" s="10" t="str">
        <f>_xlfn.XLOOKUP(C834,menu!A:A,menu!C:C)</f>
        <v>Starters</v>
      </c>
      <c r="H834" s="10">
        <f>_xlfn.XLOOKUP(C834,menu!A:A,menu!E:E)</f>
        <v>45</v>
      </c>
      <c r="I834" s="10">
        <f t="shared" si="12"/>
        <v>45</v>
      </c>
      <c r="K834" s="10"/>
      <c r="L834" s="5"/>
    </row>
    <row r="835" spans="1:12" x14ac:dyDescent="0.25">
      <c r="A835" s="5" t="s">
        <v>6128</v>
      </c>
      <c r="B835" s="5" t="s">
        <v>6127</v>
      </c>
      <c r="C835" s="5" t="s">
        <v>5</v>
      </c>
      <c r="D835" s="21">
        <v>1</v>
      </c>
      <c r="E835" s="12">
        <v>79</v>
      </c>
      <c r="F835" s="10" t="str">
        <f>_xlfn.XLOOKUP(C835,menu!A:A,menu!B:B)</f>
        <v>Veg Sandwich</v>
      </c>
      <c r="G835" s="10" t="str">
        <f>_xlfn.XLOOKUP(C835,menu!A:A,menu!C:C)</f>
        <v>Sandwich</v>
      </c>
      <c r="H835" s="10">
        <f>_xlfn.XLOOKUP(C835,menu!A:A,menu!E:E)</f>
        <v>24</v>
      </c>
      <c r="I835" s="10">
        <f t="shared" ref="I835:I898" si="13">D835*H835</f>
        <v>24</v>
      </c>
      <c r="K835" s="10"/>
      <c r="L835" s="5"/>
    </row>
    <row r="836" spans="1:12" x14ac:dyDescent="0.25">
      <c r="A836" s="5" t="s">
        <v>6126</v>
      </c>
      <c r="B836" s="5" t="s">
        <v>6122</v>
      </c>
      <c r="C836" s="5" t="s">
        <v>52</v>
      </c>
      <c r="D836" s="21">
        <v>3</v>
      </c>
      <c r="E836" s="12">
        <v>297</v>
      </c>
      <c r="F836" s="10" t="str">
        <f>_xlfn.XLOOKUP(C836,menu!A:A,menu!B:B)</f>
        <v>French Fries</v>
      </c>
      <c r="G836" s="10" t="str">
        <f>_xlfn.XLOOKUP(C836,menu!A:A,menu!C:C)</f>
        <v>Starters</v>
      </c>
      <c r="H836" s="10">
        <f>_xlfn.XLOOKUP(C836,menu!A:A,menu!E:E)</f>
        <v>30</v>
      </c>
      <c r="I836" s="10">
        <f t="shared" si="13"/>
        <v>90</v>
      </c>
      <c r="K836" s="10"/>
      <c r="L836" s="5"/>
    </row>
    <row r="837" spans="1:12" x14ac:dyDescent="0.25">
      <c r="A837" s="5" t="s">
        <v>6125</v>
      </c>
      <c r="B837" s="5" t="s">
        <v>6122</v>
      </c>
      <c r="C837" s="5" t="s">
        <v>54</v>
      </c>
      <c r="D837" s="21">
        <v>3</v>
      </c>
      <c r="E837" s="12">
        <v>417</v>
      </c>
      <c r="F837" s="10" t="str">
        <f>_xlfn.XLOOKUP(C837,menu!A:A,menu!B:B)</f>
        <v>Chicken Strips</v>
      </c>
      <c r="G837" s="10" t="str">
        <f>_xlfn.XLOOKUP(C837,menu!A:A,menu!C:C)</f>
        <v>Starters</v>
      </c>
      <c r="H837" s="10">
        <f>_xlfn.XLOOKUP(C837,menu!A:A,menu!E:E)</f>
        <v>42</v>
      </c>
      <c r="I837" s="10">
        <f t="shared" si="13"/>
        <v>126</v>
      </c>
      <c r="K837" s="10"/>
      <c r="L837" s="5"/>
    </row>
    <row r="838" spans="1:12" x14ac:dyDescent="0.25">
      <c r="A838" s="5" t="s">
        <v>6124</v>
      </c>
      <c r="B838" s="5" t="s">
        <v>6122</v>
      </c>
      <c r="C838" s="5" t="s">
        <v>46</v>
      </c>
      <c r="D838" s="21">
        <v>2</v>
      </c>
      <c r="E838" s="12">
        <v>298</v>
      </c>
      <c r="F838" s="10" t="str">
        <f>_xlfn.XLOOKUP(C838,menu!A:A,menu!B:B)</f>
        <v>Fish Finger</v>
      </c>
      <c r="G838" s="10" t="str">
        <f>_xlfn.XLOOKUP(C838,menu!A:A,menu!C:C)</f>
        <v>Starters</v>
      </c>
      <c r="H838" s="10">
        <f>_xlfn.XLOOKUP(C838,menu!A:A,menu!E:E)</f>
        <v>45</v>
      </c>
      <c r="I838" s="10">
        <f t="shared" si="13"/>
        <v>90</v>
      </c>
      <c r="K838" s="10"/>
      <c r="L838" s="5"/>
    </row>
    <row r="839" spans="1:12" x14ac:dyDescent="0.25">
      <c r="A839" s="5" t="s">
        <v>6123</v>
      </c>
      <c r="B839" s="5" t="s">
        <v>6122</v>
      </c>
      <c r="C839" s="5" t="s">
        <v>48</v>
      </c>
      <c r="D839" s="21">
        <v>1</v>
      </c>
      <c r="E839" s="12">
        <v>159</v>
      </c>
      <c r="F839" s="10" t="str">
        <f>_xlfn.XLOOKUP(C839,menu!A:A,menu!B:B)</f>
        <v>Chicken Lollipop</v>
      </c>
      <c r="G839" s="10" t="str">
        <f>_xlfn.XLOOKUP(C839,menu!A:A,menu!C:C)</f>
        <v>Starters</v>
      </c>
      <c r="H839" s="10">
        <f>_xlfn.XLOOKUP(C839,menu!A:A,menu!E:E)</f>
        <v>48</v>
      </c>
      <c r="I839" s="10">
        <f t="shared" si="13"/>
        <v>48</v>
      </c>
      <c r="K839" s="10"/>
      <c r="L839" s="5"/>
    </row>
    <row r="840" spans="1:12" x14ac:dyDescent="0.25">
      <c r="A840" s="5" t="s">
        <v>6121</v>
      </c>
      <c r="B840" s="5" t="s">
        <v>6119</v>
      </c>
      <c r="C840" s="5" t="s">
        <v>19</v>
      </c>
      <c r="D840" s="21">
        <v>1</v>
      </c>
      <c r="E840" s="12">
        <v>79</v>
      </c>
      <c r="F840" s="10" t="str">
        <f>_xlfn.XLOOKUP(C840,menu!A:A,menu!B:B)</f>
        <v>Veg Burger</v>
      </c>
      <c r="G840" s="10" t="str">
        <f>_xlfn.XLOOKUP(C840,menu!A:A,menu!C:C)</f>
        <v>Burger</v>
      </c>
      <c r="H840" s="10">
        <f>_xlfn.XLOOKUP(C840,menu!A:A,menu!E:E)</f>
        <v>24</v>
      </c>
      <c r="I840" s="10">
        <f t="shared" si="13"/>
        <v>24</v>
      </c>
      <c r="K840" s="10"/>
      <c r="L840" s="5"/>
    </row>
    <row r="841" spans="1:12" x14ac:dyDescent="0.25">
      <c r="A841" s="5" t="s">
        <v>6120</v>
      </c>
      <c r="B841" s="5" t="s">
        <v>6119</v>
      </c>
      <c r="C841" s="5" t="s">
        <v>8</v>
      </c>
      <c r="D841" s="21">
        <v>4</v>
      </c>
      <c r="E841" s="12">
        <v>396</v>
      </c>
      <c r="F841" s="10" t="str">
        <f>_xlfn.XLOOKUP(C841,menu!A:A,menu!B:B)</f>
        <v>Paneer Sandwich</v>
      </c>
      <c r="G841" s="10" t="str">
        <f>_xlfn.XLOOKUP(C841,menu!A:A,menu!C:C)</f>
        <v>Sandwich</v>
      </c>
      <c r="H841" s="10">
        <f>_xlfn.XLOOKUP(C841,menu!A:A,menu!E:E)</f>
        <v>30</v>
      </c>
      <c r="I841" s="10">
        <f t="shared" si="13"/>
        <v>120</v>
      </c>
      <c r="K841" s="10"/>
      <c r="L841" s="5"/>
    </row>
    <row r="842" spans="1:12" x14ac:dyDescent="0.25">
      <c r="A842" s="5" t="s">
        <v>6118</v>
      </c>
      <c r="B842" s="5" t="s">
        <v>6115</v>
      </c>
      <c r="C842" s="5" t="s">
        <v>12</v>
      </c>
      <c r="D842" s="21">
        <v>1</v>
      </c>
      <c r="E842" s="12">
        <v>79</v>
      </c>
      <c r="F842" s="10" t="str">
        <f>_xlfn.XLOOKUP(C842,menu!A:A,menu!B:B)</f>
        <v>Veg Momos</v>
      </c>
      <c r="G842" s="10" t="str">
        <f>_xlfn.XLOOKUP(C842,menu!A:A,menu!C:C)</f>
        <v>Momos</v>
      </c>
      <c r="H842" s="10">
        <f>_xlfn.XLOOKUP(C842,menu!A:A,menu!E:E)</f>
        <v>24</v>
      </c>
      <c r="I842" s="10">
        <f t="shared" si="13"/>
        <v>24</v>
      </c>
      <c r="K842" s="10"/>
      <c r="L842" s="5"/>
    </row>
    <row r="843" spans="1:12" x14ac:dyDescent="0.25">
      <c r="A843" s="5" t="s">
        <v>6117</v>
      </c>
      <c r="B843" s="5" t="s">
        <v>6115</v>
      </c>
      <c r="C843" s="5" t="s">
        <v>19</v>
      </c>
      <c r="D843" s="21">
        <v>1</v>
      </c>
      <c r="E843" s="12">
        <v>79</v>
      </c>
      <c r="F843" s="10" t="str">
        <f>_xlfn.XLOOKUP(C843,menu!A:A,menu!B:B)</f>
        <v>Veg Burger</v>
      </c>
      <c r="G843" s="10" t="str">
        <f>_xlfn.XLOOKUP(C843,menu!A:A,menu!C:C)</f>
        <v>Burger</v>
      </c>
      <c r="H843" s="10">
        <f>_xlfn.XLOOKUP(C843,menu!A:A,menu!E:E)</f>
        <v>24</v>
      </c>
      <c r="I843" s="10">
        <f t="shared" si="13"/>
        <v>24</v>
      </c>
      <c r="K843" s="10"/>
      <c r="L843" s="5"/>
    </row>
    <row r="844" spans="1:12" x14ac:dyDescent="0.25">
      <c r="A844" s="5" t="s">
        <v>6116</v>
      </c>
      <c r="B844" s="5" t="s">
        <v>6115</v>
      </c>
      <c r="C844" s="5" t="s">
        <v>22</v>
      </c>
      <c r="D844" s="21">
        <v>1</v>
      </c>
      <c r="E844" s="12">
        <v>99</v>
      </c>
      <c r="F844" s="10" t="str">
        <f>_xlfn.XLOOKUP(C844,menu!A:A,menu!B:B)</f>
        <v>Chicken Burger</v>
      </c>
      <c r="G844" s="10" t="str">
        <f>_xlfn.XLOOKUP(C844,menu!A:A,menu!C:C)</f>
        <v>Burger</v>
      </c>
      <c r="H844" s="10">
        <f>_xlfn.XLOOKUP(C844,menu!A:A,menu!E:E)</f>
        <v>30</v>
      </c>
      <c r="I844" s="10">
        <f t="shared" si="13"/>
        <v>30</v>
      </c>
      <c r="K844" s="10"/>
      <c r="L844" s="5"/>
    </row>
    <row r="845" spans="1:12" x14ac:dyDescent="0.25">
      <c r="A845" s="5" t="s">
        <v>6114</v>
      </c>
      <c r="B845" s="5" t="s">
        <v>6111</v>
      </c>
      <c r="C845" s="5" t="s">
        <v>12</v>
      </c>
      <c r="D845" s="21">
        <v>1</v>
      </c>
      <c r="E845" s="12">
        <v>79</v>
      </c>
      <c r="F845" s="10" t="str">
        <f>_xlfn.XLOOKUP(C845,menu!A:A,menu!B:B)</f>
        <v>Veg Momos</v>
      </c>
      <c r="G845" s="10" t="str">
        <f>_xlfn.XLOOKUP(C845,menu!A:A,menu!C:C)</f>
        <v>Momos</v>
      </c>
      <c r="H845" s="10">
        <f>_xlfn.XLOOKUP(C845,menu!A:A,menu!E:E)</f>
        <v>24</v>
      </c>
      <c r="I845" s="10">
        <f t="shared" si="13"/>
        <v>24</v>
      </c>
      <c r="K845" s="10"/>
      <c r="L845" s="5"/>
    </row>
    <row r="846" spans="1:12" x14ac:dyDescent="0.25">
      <c r="A846" s="5" t="s">
        <v>6113</v>
      </c>
      <c r="B846" s="5" t="s">
        <v>6111</v>
      </c>
      <c r="C846" s="5" t="s">
        <v>35</v>
      </c>
      <c r="D846" s="21">
        <v>2</v>
      </c>
      <c r="E846" s="12">
        <v>238</v>
      </c>
      <c r="F846" s="10" t="str">
        <f>_xlfn.XLOOKUP(C846,menu!A:A,menu!B:B)</f>
        <v>Chicken Nuggets</v>
      </c>
      <c r="G846" s="10" t="str">
        <f>_xlfn.XLOOKUP(C846,menu!A:A,menu!C:C)</f>
        <v>Starters</v>
      </c>
      <c r="H846" s="10">
        <f>_xlfn.XLOOKUP(C846,menu!A:A,menu!E:E)</f>
        <v>36</v>
      </c>
      <c r="I846" s="10">
        <f t="shared" si="13"/>
        <v>72</v>
      </c>
      <c r="K846" s="10"/>
      <c r="L846" s="5"/>
    </row>
    <row r="847" spans="1:12" x14ac:dyDescent="0.25">
      <c r="A847" s="5" t="s">
        <v>6112</v>
      </c>
      <c r="B847" s="5" t="s">
        <v>6111</v>
      </c>
      <c r="C847" s="5" t="s">
        <v>54</v>
      </c>
      <c r="D847" s="21">
        <v>3</v>
      </c>
      <c r="E847" s="12">
        <v>417</v>
      </c>
      <c r="F847" s="10" t="str">
        <f>_xlfn.XLOOKUP(C847,menu!A:A,menu!B:B)</f>
        <v>Chicken Strips</v>
      </c>
      <c r="G847" s="10" t="str">
        <f>_xlfn.XLOOKUP(C847,menu!A:A,menu!C:C)</f>
        <v>Starters</v>
      </c>
      <c r="H847" s="10">
        <f>_xlfn.XLOOKUP(C847,menu!A:A,menu!E:E)</f>
        <v>42</v>
      </c>
      <c r="I847" s="10">
        <f t="shared" si="13"/>
        <v>126</v>
      </c>
      <c r="K847" s="10"/>
      <c r="L847" s="5"/>
    </row>
    <row r="848" spans="1:12" x14ac:dyDescent="0.25">
      <c r="A848" s="5" t="s">
        <v>6110</v>
      </c>
      <c r="B848" s="5" t="s">
        <v>6108</v>
      </c>
      <c r="C848" s="5" t="s">
        <v>35</v>
      </c>
      <c r="D848" s="21">
        <v>2</v>
      </c>
      <c r="E848" s="12">
        <v>238</v>
      </c>
      <c r="F848" s="10" t="str">
        <f>_xlfn.XLOOKUP(C848,menu!A:A,menu!B:B)</f>
        <v>Chicken Nuggets</v>
      </c>
      <c r="G848" s="10" t="str">
        <f>_xlfn.XLOOKUP(C848,menu!A:A,menu!C:C)</f>
        <v>Starters</v>
      </c>
      <c r="H848" s="10">
        <f>_xlfn.XLOOKUP(C848,menu!A:A,menu!E:E)</f>
        <v>36</v>
      </c>
      <c r="I848" s="10">
        <f t="shared" si="13"/>
        <v>72</v>
      </c>
      <c r="K848" s="10"/>
      <c r="L848" s="5"/>
    </row>
    <row r="849" spans="1:12" x14ac:dyDescent="0.25">
      <c r="A849" s="5" t="s">
        <v>6109</v>
      </c>
      <c r="B849" s="5" t="s">
        <v>6108</v>
      </c>
      <c r="C849" s="5" t="s">
        <v>24</v>
      </c>
      <c r="D849" s="21">
        <v>3</v>
      </c>
      <c r="E849" s="12">
        <v>267</v>
      </c>
      <c r="F849" s="10" t="str">
        <f>_xlfn.XLOOKUP(C849,menu!A:A,menu!B:B)</f>
        <v>Paneer Burger</v>
      </c>
      <c r="G849" s="10" t="str">
        <f>_xlfn.XLOOKUP(C849,menu!A:A,menu!C:C)</f>
        <v>Burger</v>
      </c>
      <c r="H849" s="10">
        <f>_xlfn.XLOOKUP(C849,menu!A:A,menu!E:E)</f>
        <v>27</v>
      </c>
      <c r="I849" s="10">
        <f t="shared" si="13"/>
        <v>81</v>
      </c>
      <c r="K849" s="10"/>
      <c r="L849" s="5"/>
    </row>
    <row r="850" spans="1:12" x14ac:dyDescent="0.25">
      <c r="A850" s="5" t="s">
        <v>6107</v>
      </c>
      <c r="B850" s="5" t="s">
        <v>6105</v>
      </c>
      <c r="C850" s="5" t="s">
        <v>52</v>
      </c>
      <c r="D850" s="21">
        <v>2</v>
      </c>
      <c r="E850" s="12">
        <v>198</v>
      </c>
      <c r="F850" s="10" t="str">
        <f>_xlfn.XLOOKUP(C850,menu!A:A,menu!B:B)</f>
        <v>French Fries</v>
      </c>
      <c r="G850" s="10" t="str">
        <f>_xlfn.XLOOKUP(C850,menu!A:A,menu!C:C)</f>
        <v>Starters</v>
      </c>
      <c r="H850" s="10">
        <f>_xlfn.XLOOKUP(C850,menu!A:A,menu!E:E)</f>
        <v>30</v>
      </c>
      <c r="I850" s="10">
        <f t="shared" si="13"/>
        <v>60</v>
      </c>
      <c r="K850" s="10"/>
      <c r="L850" s="5"/>
    </row>
    <row r="851" spans="1:12" x14ac:dyDescent="0.25">
      <c r="A851" s="5" t="s">
        <v>6106</v>
      </c>
      <c r="B851" s="5" t="s">
        <v>6105</v>
      </c>
      <c r="C851" s="5" t="s">
        <v>26</v>
      </c>
      <c r="D851" s="21">
        <v>1</v>
      </c>
      <c r="E851" s="12">
        <v>59</v>
      </c>
      <c r="F851" s="10" t="str">
        <f>_xlfn.XLOOKUP(C851,menu!A:A,menu!B:B)</f>
        <v>Veg Roll</v>
      </c>
      <c r="G851" s="10" t="str">
        <f>_xlfn.XLOOKUP(C851,menu!A:A,menu!C:C)</f>
        <v>Rolls</v>
      </c>
      <c r="H851" s="10">
        <f>_xlfn.XLOOKUP(C851,menu!A:A,menu!E:E)</f>
        <v>18</v>
      </c>
      <c r="I851" s="10">
        <f t="shared" si="13"/>
        <v>18</v>
      </c>
      <c r="K851" s="10"/>
      <c r="L851" s="5"/>
    </row>
    <row r="852" spans="1:12" x14ac:dyDescent="0.25">
      <c r="A852" s="5" t="s">
        <v>6104</v>
      </c>
      <c r="B852" s="5" t="s">
        <v>6101</v>
      </c>
      <c r="C852" s="5" t="s">
        <v>15</v>
      </c>
      <c r="D852" s="21">
        <v>4</v>
      </c>
      <c r="E852" s="12">
        <v>396</v>
      </c>
      <c r="F852" s="10" t="str">
        <f>_xlfn.XLOOKUP(C852,menu!A:A,menu!B:B)</f>
        <v>Chicken Momos</v>
      </c>
      <c r="G852" s="10" t="str">
        <f>_xlfn.XLOOKUP(C852,menu!A:A,menu!C:C)</f>
        <v>Momos</v>
      </c>
      <c r="H852" s="10">
        <f>_xlfn.XLOOKUP(C852,menu!A:A,menu!E:E)</f>
        <v>30</v>
      </c>
      <c r="I852" s="10">
        <f t="shared" si="13"/>
        <v>120</v>
      </c>
      <c r="K852" s="10"/>
      <c r="L852" s="5"/>
    </row>
    <row r="853" spans="1:12" x14ac:dyDescent="0.25">
      <c r="A853" s="5" t="s">
        <v>6103</v>
      </c>
      <c r="B853" s="5" t="s">
        <v>6101</v>
      </c>
      <c r="C853" s="5" t="s">
        <v>33</v>
      </c>
      <c r="D853" s="21">
        <v>4</v>
      </c>
      <c r="E853" s="12">
        <v>276</v>
      </c>
      <c r="F853" s="10" t="str">
        <f>_xlfn.XLOOKUP(C853,menu!A:A,menu!B:B)</f>
        <v>Spring Roll</v>
      </c>
      <c r="G853" s="10" t="str">
        <f>_xlfn.XLOOKUP(C853,menu!A:A,menu!C:C)</f>
        <v>Rolls</v>
      </c>
      <c r="H853" s="10">
        <f>_xlfn.XLOOKUP(C853,menu!A:A,menu!E:E)</f>
        <v>21</v>
      </c>
      <c r="I853" s="10">
        <f t="shared" si="13"/>
        <v>84</v>
      </c>
      <c r="K853" s="10"/>
      <c r="L853" s="5"/>
    </row>
    <row r="854" spans="1:12" x14ac:dyDescent="0.25">
      <c r="A854" s="5" t="s">
        <v>6102</v>
      </c>
      <c r="B854" s="5" t="s">
        <v>6101</v>
      </c>
      <c r="C854" s="5" t="s">
        <v>59</v>
      </c>
      <c r="D854" s="21">
        <v>2</v>
      </c>
      <c r="E854" s="12">
        <v>158</v>
      </c>
      <c r="F854" s="10" t="str">
        <f>_xlfn.XLOOKUP(C854,menu!A:A,menu!B:B)</f>
        <v>Blue Curacao Mojito</v>
      </c>
      <c r="G854" s="10" t="str">
        <f>_xlfn.XLOOKUP(C854,menu!A:A,menu!C:C)</f>
        <v>Beverages</v>
      </c>
      <c r="H854" s="10">
        <f>_xlfn.XLOOKUP(C854,menu!A:A,menu!E:E)</f>
        <v>24</v>
      </c>
      <c r="I854" s="10">
        <f t="shared" si="13"/>
        <v>48</v>
      </c>
      <c r="K854" s="10"/>
      <c r="L854" s="5"/>
    </row>
    <row r="855" spans="1:12" x14ac:dyDescent="0.25">
      <c r="A855" s="5" t="s">
        <v>6100</v>
      </c>
      <c r="B855" s="5" t="s">
        <v>6098</v>
      </c>
      <c r="C855" s="5" t="s">
        <v>50</v>
      </c>
      <c r="D855" s="21">
        <v>1</v>
      </c>
      <c r="E855" s="12">
        <v>149</v>
      </c>
      <c r="F855" s="10" t="str">
        <f>_xlfn.XLOOKUP(C855,menu!A:A,menu!B:B)</f>
        <v>Grab Lollipop</v>
      </c>
      <c r="G855" s="10" t="str">
        <f>_xlfn.XLOOKUP(C855,menu!A:A,menu!C:C)</f>
        <v>Starters</v>
      </c>
      <c r="H855" s="10">
        <f>_xlfn.XLOOKUP(C855,menu!A:A,menu!E:E)</f>
        <v>45</v>
      </c>
      <c r="I855" s="10">
        <f t="shared" si="13"/>
        <v>45</v>
      </c>
      <c r="K855" s="10"/>
      <c r="L855" s="5"/>
    </row>
    <row r="856" spans="1:12" x14ac:dyDescent="0.25">
      <c r="A856" s="5" t="s">
        <v>6099</v>
      </c>
      <c r="B856" s="5" t="s">
        <v>6098</v>
      </c>
      <c r="C856" s="5" t="s">
        <v>33</v>
      </c>
      <c r="D856" s="21">
        <v>1</v>
      </c>
      <c r="E856" s="12">
        <v>69</v>
      </c>
      <c r="F856" s="10" t="str">
        <f>_xlfn.XLOOKUP(C856,menu!A:A,menu!B:B)</f>
        <v>Spring Roll</v>
      </c>
      <c r="G856" s="10" t="str">
        <f>_xlfn.XLOOKUP(C856,menu!A:A,menu!C:C)</f>
        <v>Rolls</v>
      </c>
      <c r="H856" s="10">
        <f>_xlfn.XLOOKUP(C856,menu!A:A,menu!E:E)</f>
        <v>21</v>
      </c>
      <c r="I856" s="10">
        <f t="shared" si="13"/>
        <v>21</v>
      </c>
      <c r="K856" s="10"/>
      <c r="L856" s="5"/>
    </row>
    <row r="857" spans="1:12" x14ac:dyDescent="0.25">
      <c r="A857" s="5" t="s">
        <v>6097</v>
      </c>
      <c r="B857" s="5" t="s">
        <v>6095</v>
      </c>
      <c r="C857" s="5" t="s">
        <v>56</v>
      </c>
      <c r="D857" s="21">
        <v>3</v>
      </c>
      <c r="E857" s="12">
        <v>237</v>
      </c>
      <c r="F857" s="10" t="str">
        <f>_xlfn.XLOOKUP(C857,menu!A:A,menu!B:B)</f>
        <v>Mint Mojito</v>
      </c>
      <c r="G857" s="10" t="str">
        <f>_xlfn.XLOOKUP(C857,menu!A:A,menu!C:C)</f>
        <v>Beverages</v>
      </c>
      <c r="H857" s="10">
        <f>_xlfn.XLOOKUP(C857,menu!A:A,menu!E:E)</f>
        <v>24</v>
      </c>
      <c r="I857" s="10">
        <f t="shared" si="13"/>
        <v>72</v>
      </c>
      <c r="K857" s="10"/>
      <c r="L857" s="5"/>
    </row>
    <row r="858" spans="1:12" x14ac:dyDescent="0.25">
      <c r="A858" s="5" t="s">
        <v>6096</v>
      </c>
      <c r="B858" s="5" t="s">
        <v>6095</v>
      </c>
      <c r="C858" s="5" t="s">
        <v>48</v>
      </c>
      <c r="D858" s="21">
        <v>2</v>
      </c>
      <c r="E858" s="12">
        <v>318</v>
      </c>
      <c r="F858" s="10" t="str">
        <f>_xlfn.XLOOKUP(C858,menu!A:A,menu!B:B)</f>
        <v>Chicken Lollipop</v>
      </c>
      <c r="G858" s="10" t="str">
        <f>_xlfn.XLOOKUP(C858,menu!A:A,menu!C:C)</f>
        <v>Starters</v>
      </c>
      <c r="H858" s="10">
        <f>_xlfn.XLOOKUP(C858,menu!A:A,menu!E:E)</f>
        <v>48</v>
      </c>
      <c r="I858" s="10">
        <f t="shared" si="13"/>
        <v>96</v>
      </c>
      <c r="K858" s="10"/>
      <c r="L858" s="5"/>
    </row>
    <row r="859" spans="1:12" x14ac:dyDescent="0.25">
      <c r="A859" s="5" t="s">
        <v>6094</v>
      </c>
      <c r="B859" s="5" t="s">
        <v>6092</v>
      </c>
      <c r="C859" s="5" t="s">
        <v>17</v>
      </c>
      <c r="D859" s="21">
        <v>3</v>
      </c>
      <c r="E859" s="12">
        <v>267</v>
      </c>
      <c r="F859" s="10" t="str">
        <f>_xlfn.XLOOKUP(C859,menu!A:A,menu!B:B)</f>
        <v>Paneer Momos</v>
      </c>
      <c r="G859" s="10" t="str">
        <f>_xlfn.XLOOKUP(C859,menu!A:A,menu!C:C)</f>
        <v>Momos</v>
      </c>
      <c r="H859" s="10">
        <f>_xlfn.XLOOKUP(C859,menu!A:A,menu!E:E)</f>
        <v>27</v>
      </c>
      <c r="I859" s="10">
        <f t="shared" si="13"/>
        <v>81</v>
      </c>
      <c r="K859" s="10"/>
      <c r="L859" s="5"/>
    </row>
    <row r="860" spans="1:12" x14ac:dyDescent="0.25">
      <c r="A860" s="5" t="s">
        <v>6093</v>
      </c>
      <c r="B860" s="5" t="s">
        <v>6092</v>
      </c>
      <c r="C860" s="5" t="s">
        <v>40</v>
      </c>
      <c r="D860" s="21">
        <v>2</v>
      </c>
      <c r="E860" s="12">
        <v>198</v>
      </c>
      <c r="F860" s="10" t="str">
        <f>_xlfn.XLOOKUP(C860,menu!A:A,menu!B:B)</f>
        <v>Veg Nuggets</v>
      </c>
      <c r="G860" s="10" t="str">
        <f>_xlfn.XLOOKUP(C860,menu!A:A,menu!C:C)</f>
        <v>Starters</v>
      </c>
      <c r="H860" s="10">
        <f>_xlfn.XLOOKUP(C860,menu!A:A,menu!E:E)</f>
        <v>30</v>
      </c>
      <c r="I860" s="10">
        <f t="shared" si="13"/>
        <v>60</v>
      </c>
      <c r="K860" s="10"/>
      <c r="L860" s="5"/>
    </row>
    <row r="861" spans="1:12" x14ac:dyDescent="0.25">
      <c r="A861" s="5" t="s">
        <v>6091</v>
      </c>
      <c r="B861" s="5" t="s">
        <v>6088</v>
      </c>
      <c r="C861" s="5" t="s">
        <v>56</v>
      </c>
      <c r="D861" s="21">
        <v>2</v>
      </c>
      <c r="E861" s="12">
        <v>158</v>
      </c>
      <c r="F861" s="10" t="str">
        <f>_xlfn.XLOOKUP(C861,menu!A:A,menu!B:B)</f>
        <v>Mint Mojito</v>
      </c>
      <c r="G861" s="10" t="str">
        <f>_xlfn.XLOOKUP(C861,menu!A:A,menu!C:C)</f>
        <v>Beverages</v>
      </c>
      <c r="H861" s="10">
        <f>_xlfn.XLOOKUP(C861,menu!A:A,menu!E:E)</f>
        <v>24</v>
      </c>
      <c r="I861" s="10">
        <f t="shared" si="13"/>
        <v>48</v>
      </c>
      <c r="K861" s="10"/>
      <c r="L861" s="5"/>
    </row>
    <row r="862" spans="1:12" x14ac:dyDescent="0.25">
      <c r="A862" s="5" t="s">
        <v>6090</v>
      </c>
      <c r="B862" s="5" t="s">
        <v>6088</v>
      </c>
      <c r="C862" s="5" t="s">
        <v>31</v>
      </c>
      <c r="D862" s="21">
        <v>2</v>
      </c>
      <c r="E862" s="12">
        <v>178</v>
      </c>
      <c r="F862" s="10" t="str">
        <f>_xlfn.XLOOKUP(C862,menu!A:A,menu!B:B)</f>
        <v>Chicken Roll</v>
      </c>
      <c r="G862" s="10" t="str">
        <f>_xlfn.XLOOKUP(C862,menu!A:A,menu!C:C)</f>
        <v>Rolls</v>
      </c>
      <c r="H862" s="10">
        <f>_xlfn.XLOOKUP(C862,menu!A:A,menu!E:E)</f>
        <v>27</v>
      </c>
      <c r="I862" s="10">
        <f t="shared" si="13"/>
        <v>54</v>
      </c>
      <c r="K862" s="10"/>
      <c r="L862" s="5"/>
    </row>
    <row r="863" spans="1:12" x14ac:dyDescent="0.25">
      <c r="A863" s="5" t="s">
        <v>6089</v>
      </c>
      <c r="B863" s="5" t="s">
        <v>6088</v>
      </c>
      <c r="C863" s="5" t="s">
        <v>48</v>
      </c>
      <c r="D863" s="21">
        <v>1</v>
      </c>
      <c r="E863" s="12">
        <v>159</v>
      </c>
      <c r="F863" s="10" t="str">
        <f>_xlfn.XLOOKUP(C863,menu!A:A,menu!B:B)</f>
        <v>Chicken Lollipop</v>
      </c>
      <c r="G863" s="10" t="str">
        <f>_xlfn.XLOOKUP(C863,menu!A:A,menu!C:C)</f>
        <v>Starters</v>
      </c>
      <c r="H863" s="10">
        <f>_xlfn.XLOOKUP(C863,menu!A:A,menu!E:E)</f>
        <v>48</v>
      </c>
      <c r="I863" s="10">
        <f t="shared" si="13"/>
        <v>48</v>
      </c>
      <c r="K863" s="10"/>
      <c r="L863" s="5"/>
    </row>
    <row r="864" spans="1:12" x14ac:dyDescent="0.25">
      <c r="A864" s="5" t="s">
        <v>6087</v>
      </c>
      <c r="B864" s="5" t="s">
        <v>6083</v>
      </c>
      <c r="C864" s="5" t="s">
        <v>48</v>
      </c>
      <c r="D864" s="21">
        <v>3</v>
      </c>
      <c r="E864" s="12">
        <v>477</v>
      </c>
      <c r="F864" s="10" t="str">
        <f>_xlfn.XLOOKUP(C864,menu!A:A,menu!B:B)</f>
        <v>Chicken Lollipop</v>
      </c>
      <c r="G864" s="10" t="str">
        <f>_xlfn.XLOOKUP(C864,menu!A:A,menu!C:C)</f>
        <v>Starters</v>
      </c>
      <c r="H864" s="10">
        <f>_xlfn.XLOOKUP(C864,menu!A:A,menu!E:E)</f>
        <v>48</v>
      </c>
      <c r="I864" s="10">
        <f t="shared" si="13"/>
        <v>144</v>
      </c>
      <c r="K864" s="10"/>
      <c r="L864" s="5"/>
    </row>
    <row r="865" spans="1:12" x14ac:dyDescent="0.25">
      <c r="A865" s="5" t="s">
        <v>6086</v>
      </c>
      <c r="B865" s="5" t="s">
        <v>6083</v>
      </c>
      <c r="C865" s="5" t="s">
        <v>38</v>
      </c>
      <c r="D865" s="21">
        <v>1</v>
      </c>
      <c r="E865" s="12">
        <v>149</v>
      </c>
      <c r="F865" s="10" t="str">
        <f>_xlfn.XLOOKUP(C865,menu!A:A,menu!B:B)</f>
        <v>Chicken Wings</v>
      </c>
      <c r="G865" s="10" t="str">
        <f>_xlfn.XLOOKUP(C865,menu!A:A,menu!C:C)</f>
        <v>Starters</v>
      </c>
      <c r="H865" s="10">
        <f>_xlfn.XLOOKUP(C865,menu!A:A,menu!E:E)</f>
        <v>45</v>
      </c>
      <c r="I865" s="10">
        <f t="shared" si="13"/>
        <v>45</v>
      </c>
      <c r="K865" s="10"/>
      <c r="L865" s="5"/>
    </row>
    <row r="866" spans="1:12" x14ac:dyDescent="0.25">
      <c r="A866" s="5" t="s">
        <v>6085</v>
      </c>
      <c r="B866" s="5" t="s">
        <v>6083</v>
      </c>
      <c r="C866" s="5" t="s">
        <v>33</v>
      </c>
      <c r="D866" s="21">
        <v>2</v>
      </c>
      <c r="E866" s="12">
        <v>138</v>
      </c>
      <c r="F866" s="10" t="str">
        <f>_xlfn.XLOOKUP(C866,menu!A:A,menu!B:B)</f>
        <v>Spring Roll</v>
      </c>
      <c r="G866" s="10" t="str">
        <f>_xlfn.XLOOKUP(C866,menu!A:A,menu!C:C)</f>
        <v>Rolls</v>
      </c>
      <c r="H866" s="10">
        <f>_xlfn.XLOOKUP(C866,menu!A:A,menu!E:E)</f>
        <v>21</v>
      </c>
      <c r="I866" s="10">
        <f t="shared" si="13"/>
        <v>42</v>
      </c>
      <c r="K866" s="10"/>
      <c r="L866" s="5"/>
    </row>
    <row r="867" spans="1:12" x14ac:dyDescent="0.25">
      <c r="A867" s="5" t="s">
        <v>6084</v>
      </c>
      <c r="B867" s="5" t="s">
        <v>6083</v>
      </c>
      <c r="C867" s="5" t="s">
        <v>24</v>
      </c>
      <c r="D867" s="21">
        <v>1</v>
      </c>
      <c r="E867" s="12">
        <v>89</v>
      </c>
      <c r="F867" s="10" t="str">
        <f>_xlfn.XLOOKUP(C867,menu!A:A,menu!B:B)</f>
        <v>Paneer Burger</v>
      </c>
      <c r="G867" s="10" t="str">
        <f>_xlfn.XLOOKUP(C867,menu!A:A,menu!C:C)</f>
        <v>Burger</v>
      </c>
      <c r="H867" s="10">
        <f>_xlfn.XLOOKUP(C867,menu!A:A,menu!E:E)</f>
        <v>27</v>
      </c>
      <c r="I867" s="10">
        <f t="shared" si="13"/>
        <v>27</v>
      </c>
      <c r="K867" s="10"/>
      <c r="L867" s="5"/>
    </row>
    <row r="868" spans="1:12" x14ac:dyDescent="0.25">
      <c r="A868" s="5" t="s">
        <v>6082</v>
      </c>
      <c r="B868" s="5" t="s">
        <v>6079</v>
      </c>
      <c r="C868" s="5" t="s">
        <v>40</v>
      </c>
      <c r="D868" s="21">
        <v>2</v>
      </c>
      <c r="E868" s="12">
        <v>198</v>
      </c>
      <c r="F868" s="10" t="str">
        <f>_xlfn.XLOOKUP(C868,menu!A:A,menu!B:B)</f>
        <v>Veg Nuggets</v>
      </c>
      <c r="G868" s="10" t="str">
        <f>_xlfn.XLOOKUP(C868,menu!A:A,menu!C:C)</f>
        <v>Starters</v>
      </c>
      <c r="H868" s="10">
        <f>_xlfn.XLOOKUP(C868,menu!A:A,menu!E:E)</f>
        <v>30</v>
      </c>
      <c r="I868" s="10">
        <f t="shared" si="13"/>
        <v>60</v>
      </c>
      <c r="K868" s="10"/>
      <c r="L868" s="5"/>
    </row>
    <row r="869" spans="1:12" x14ac:dyDescent="0.25">
      <c r="A869" s="5" t="s">
        <v>6081</v>
      </c>
      <c r="B869" s="5" t="s">
        <v>6079</v>
      </c>
      <c r="C869" s="5" t="s">
        <v>56</v>
      </c>
      <c r="D869" s="21">
        <v>1</v>
      </c>
      <c r="E869" s="12">
        <v>79</v>
      </c>
      <c r="F869" s="10" t="str">
        <f>_xlfn.XLOOKUP(C869,menu!A:A,menu!B:B)</f>
        <v>Mint Mojito</v>
      </c>
      <c r="G869" s="10" t="str">
        <f>_xlfn.XLOOKUP(C869,menu!A:A,menu!C:C)</f>
        <v>Beverages</v>
      </c>
      <c r="H869" s="10">
        <f>_xlfn.XLOOKUP(C869,menu!A:A,menu!E:E)</f>
        <v>24</v>
      </c>
      <c r="I869" s="10">
        <f t="shared" si="13"/>
        <v>24</v>
      </c>
      <c r="K869" s="10"/>
      <c r="L869" s="5"/>
    </row>
    <row r="870" spans="1:12" x14ac:dyDescent="0.25">
      <c r="A870" s="5" t="s">
        <v>6080</v>
      </c>
      <c r="B870" s="5" t="s">
        <v>6079</v>
      </c>
      <c r="C870" s="5" t="s">
        <v>44</v>
      </c>
      <c r="D870" s="21">
        <v>1</v>
      </c>
      <c r="E870" s="12">
        <v>159</v>
      </c>
      <c r="F870" s="10" t="str">
        <f>_xlfn.XLOOKUP(C870,menu!A:A,menu!B:B)</f>
        <v>Fried Chicken</v>
      </c>
      <c r="G870" s="10" t="str">
        <f>_xlfn.XLOOKUP(C870,menu!A:A,menu!C:C)</f>
        <v>Starters</v>
      </c>
      <c r="H870" s="10">
        <f>_xlfn.XLOOKUP(C870,menu!A:A,menu!E:E)</f>
        <v>48</v>
      </c>
      <c r="I870" s="10">
        <f t="shared" si="13"/>
        <v>48</v>
      </c>
      <c r="K870" s="10"/>
      <c r="L870" s="5"/>
    </row>
    <row r="871" spans="1:12" x14ac:dyDescent="0.25">
      <c r="A871" s="5" t="s">
        <v>6078</v>
      </c>
      <c r="B871" s="5" t="s">
        <v>6075</v>
      </c>
      <c r="C871" s="5" t="s">
        <v>29</v>
      </c>
      <c r="D871" s="21">
        <v>2</v>
      </c>
      <c r="E871" s="12">
        <v>158</v>
      </c>
      <c r="F871" s="10" t="str">
        <f>_xlfn.XLOOKUP(C871,menu!A:A,menu!B:B)</f>
        <v>Paneer Roll</v>
      </c>
      <c r="G871" s="10" t="str">
        <f>_xlfn.XLOOKUP(C871,menu!A:A,menu!C:C)</f>
        <v>Rolls</v>
      </c>
      <c r="H871" s="10">
        <f>_xlfn.XLOOKUP(C871,menu!A:A,menu!E:E)</f>
        <v>24</v>
      </c>
      <c r="I871" s="10">
        <f t="shared" si="13"/>
        <v>48</v>
      </c>
      <c r="K871" s="10"/>
      <c r="L871" s="5"/>
    </row>
    <row r="872" spans="1:12" x14ac:dyDescent="0.25">
      <c r="A872" s="5" t="s">
        <v>6077</v>
      </c>
      <c r="B872" s="5" t="s">
        <v>6075</v>
      </c>
      <c r="C872" s="5" t="s">
        <v>52</v>
      </c>
      <c r="D872" s="21">
        <v>3</v>
      </c>
      <c r="E872" s="12">
        <v>297</v>
      </c>
      <c r="F872" s="10" t="str">
        <f>_xlfn.XLOOKUP(C872,menu!A:A,menu!B:B)</f>
        <v>French Fries</v>
      </c>
      <c r="G872" s="10" t="str">
        <f>_xlfn.XLOOKUP(C872,menu!A:A,menu!C:C)</f>
        <v>Starters</v>
      </c>
      <c r="H872" s="10">
        <f>_xlfn.XLOOKUP(C872,menu!A:A,menu!E:E)</f>
        <v>30</v>
      </c>
      <c r="I872" s="10">
        <f t="shared" si="13"/>
        <v>90</v>
      </c>
      <c r="K872" s="10"/>
      <c r="L872" s="5"/>
    </row>
    <row r="873" spans="1:12" x14ac:dyDescent="0.25">
      <c r="A873" s="5" t="s">
        <v>6076</v>
      </c>
      <c r="B873" s="5" t="s">
        <v>6075</v>
      </c>
      <c r="C873" s="5" t="s">
        <v>12</v>
      </c>
      <c r="D873" s="21">
        <v>1</v>
      </c>
      <c r="E873" s="12">
        <v>79</v>
      </c>
      <c r="F873" s="10" t="str">
        <f>_xlfn.XLOOKUP(C873,menu!A:A,menu!B:B)</f>
        <v>Veg Momos</v>
      </c>
      <c r="G873" s="10" t="str">
        <f>_xlfn.XLOOKUP(C873,menu!A:A,menu!C:C)</f>
        <v>Momos</v>
      </c>
      <c r="H873" s="10">
        <f>_xlfn.XLOOKUP(C873,menu!A:A,menu!E:E)</f>
        <v>24</v>
      </c>
      <c r="I873" s="10">
        <f t="shared" si="13"/>
        <v>24</v>
      </c>
      <c r="K873" s="10"/>
      <c r="L873" s="5"/>
    </row>
    <row r="874" spans="1:12" x14ac:dyDescent="0.25">
      <c r="A874" s="5" t="s">
        <v>6074</v>
      </c>
      <c r="B874" s="5" t="s">
        <v>6070</v>
      </c>
      <c r="C874" s="5" t="s">
        <v>44</v>
      </c>
      <c r="D874" s="21">
        <v>4</v>
      </c>
      <c r="E874" s="12">
        <v>636</v>
      </c>
      <c r="F874" s="10" t="str">
        <f>_xlfn.XLOOKUP(C874,menu!A:A,menu!B:B)</f>
        <v>Fried Chicken</v>
      </c>
      <c r="G874" s="10" t="str">
        <f>_xlfn.XLOOKUP(C874,menu!A:A,menu!C:C)</f>
        <v>Starters</v>
      </c>
      <c r="H874" s="10">
        <f>_xlfn.XLOOKUP(C874,menu!A:A,menu!E:E)</f>
        <v>48</v>
      </c>
      <c r="I874" s="10">
        <f t="shared" si="13"/>
        <v>192</v>
      </c>
      <c r="K874" s="10"/>
      <c r="L874" s="5"/>
    </row>
    <row r="875" spans="1:12" x14ac:dyDescent="0.25">
      <c r="A875" s="5" t="s">
        <v>6073</v>
      </c>
      <c r="B875" s="5" t="s">
        <v>6070</v>
      </c>
      <c r="C875" s="5" t="s">
        <v>46</v>
      </c>
      <c r="D875" s="21">
        <v>3</v>
      </c>
      <c r="E875" s="12">
        <v>447</v>
      </c>
      <c r="F875" s="10" t="str">
        <f>_xlfn.XLOOKUP(C875,menu!A:A,menu!B:B)</f>
        <v>Fish Finger</v>
      </c>
      <c r="G875" s="10" t="str">
        <f>_xlfn.XLOOKUP(C875,menu!A:A,menu!C:C)</f>
        <v>Starters</v>
      </c>
      <c r="H875" s="10">
        <f>_xlfn.XLOOKUP(C875,menu!A:A,menu!E:E)</f>
        <v>45</v>
      </c>
      <c r="I875" s="10">
        <f t="shared" si="13"/>
        <v>135</v>
      </c>
      <c r="K875" s="10"/>
      <c r="L875" s="5"/>
    </row>
    <row r="876" spans="1:12" x14ac:dyDescent="0.25">
      <c r="A876" s="5" t="s">
        <v>6072</v>
      </c>
      <c r="B876" s="5" t="s">
        <v>6070</v>
      </c>
      <c r="C876" s="5" t="s">
        <v>42</v>
      </c>
      <c r="D876" s="21">
        <v>1</v>
      </c>
      <c r="E876" s="12">
        <v>149</v>
      </c>
      <c r="F876" s="10" t="str">
        <f>_xlfn.XLOOKUP(C876,menu!A:A,menu!B:B)</f>
        <v>Chicken Popcorn</v>
      </c>
      <c r="G876" s="10" t="str">
        <f>_xlfn.XLOOKUP(C876,menu!A:A,menu!C:C)</f>
        <v>Starters</v>
      </c>
      <c r="H876" s="10">
        <f>_xlfn.XLOOKUP(C876,menu!A:A,menu!E:E)</f>
        <v>45</v>
      </c>
      <c r="I876" s="10">
        <f t="shared" si="13"/>
        <v>45</v>
      </c>
      <c r="K876" s="10"/>
      <c r="L876" s="5"/>
    </row>
    <row r="877" spans="1:12" x14ac:dyDescent="0.25">
      <c r="A877" s="5" t="s">
        <v>6071</v>
      </c>
      <c r="B877" s="5" t="s">
        <v>6070</v>
      </c>
      <c r="C877" s="5" t="s">
        <v>65</v>
      </c>
      <c r="D877" s="21">
        <v>1</v>
      </c>
      <c r="E877" s="12">
        <v>49</v>
      </c>
      <c r="F877" s="10" t="str">
        <f>_xlfn.XLOOKUP(C877,menu!A:A,menu!B:B)</f>
        <v>Lemon Juice</v>
      </c>
      <c r="G877" s="10" t="str">
        <f>_xlfn.XLOOKUP(C877,menu!A:A,menu!C:C)</f>
        <v>Beverages</v>
      </c>
      <c r="H877" s="10">
        <f>_xlfn.XLOOKUP(C877,menu!A:A,menu!E:E)</f>
        <v>15</v>
      </c>
      <c r="I877" s="10">
        <f t="shared" si="13"/>
        <v>15</v>
      </c>
      <c r="K877" s="10"/>
      <c r="L877" s="5"/>
    </row>
    <row r="878" spans="1:12" x14ac:dyDescent="0.25">
      <c r="A878" s="5" t="s">
        <v>6069</v>
      </c>
      <c r="B878" s="5" t="s">
        <v>6067</v>
      </c>
      <c r="C878" s="5" t="s">
        <v>50</v>
      </c>
      <c r="D878" s="21">
        <v>1</v>
      </c>
      <c r="E878" s="12">
        <v>149</v>
      </c>
      <c r="F878" s="10" t="str">
        <f>_xlfn.XLOOKUP(C878,menu!A:A,menu!B:B)</f>
        <v>Grab Lollipop</v>
      </c>
      <c r="G878" s="10" t="str">
        <f>_xlfn.XLOOKUP(C878,menu!A:A,menu!C:C)</f>
        <v>Starters</v>
      </c>
      <c r="H878" s="10">
        <f>_xlfn.XLOOKUP(C878,menu!A:A,menu!E:E)</f>
        <v>45</v>
      </c>
      <c r="I878" s="10">
        <f t="shared" si="13"/>
        <v>45</v>
      </c>
      <c r="K878" s="10"/>
      <c r="L878" s="5"/>
    </row>
    <row r="879" spans="1:12" x14ac:dyDescent="0.25">
      <c r="A879" s="5" t="s">
        <v>6068</v>
      </c>
      <c r="B879" s="5" t="s">
        <v>6067</v>
      </c>
      <c r="C879" s="5" t="s">
        <v>61</v>
      </c>
      <c r="D879" s="21">
        <v>4</v>
      </c>
      <c r="E879" s="12">
        <v>316</v>
      </c>
      <c r="F879" s="10" t="str">
        <f>_xlfn.XLOOKUP(C879,menu!A:A,menu!B:B)</f>
        <v>Watermelon Mojito</v>
      </c>
      <c r="G879" s="10" t="str">
        <f>_xlfn.XLOOKUP(C879,menu!A:A,menu!C:C)</f>
        <v>Beverages</v>
      </c>
      <c r="H879" s="10">
        <f>_xlfn.XLOOKUP(C879,menu!A:A,menu!E:E)</f>
        <v>24</v>
      </c>
      <c r="I879" s="10">
        <f t="shared" si="13"/>
        <v>96</v>
      </c>
      <c r="K879" s="10"/>
      <c r="L879" s="5"/>
    </row>
    <row r="880" spans="1:12" x14ac:dyDescent="0.25">
      <c r="A880" s="5" t="s">
        <v>6066</v>
      </c>
      <c r="B880" s="5" t="s">
        <v>6064</v>
      </c>
      <c r="C880" s="5" t="s">
        <v>31</v>
      </c>
      <c r="D880" s="21">
        <v>1</v>
      </c>
      <c r="E880" s="12">
        <v>89</v>
      </c>
      <c r="F880" s="10" t="str">
        <f>_xlfn.XLOOKUP(C880,menu!A:A,menu!B:B)</f>
        <v>Chicken Roll</v>
      </c>
      <c r="G880" s="10" t="str">
        <f>_xlfn.XLOOKUP(C880,menu!A:A,menu!C:C)</f>
        <v>Rolls</v>
      </c>
      <c r="H880" s="10">
        <f>_xlfn.XLOOKUP(C880,menu!A:A,menu!E:E)</f>
        <v>27</v>
      </c>
      <c r="I880" s="10">
        <f t="shared" si="13"/>
        <v>27</v>
      </c>
      <c r="K880" s="10"/>
      <c r="L880" s="5"/>
    </row>
    <row r="881" spans="1:12" x14ac:dyDescent="0.25">
      <c r="A881" s="5" t="s">
        <v>6065</v>
      </c>
      <c r="B881" s="5" t="s">
        <v>6064</v>
      </c>
      <c r="C881" s="5" t="s">
        <v>24</v>
      </c>
      <c r="D881" s="21">
        <v>1</v>
      </c>
      <c r="E881" s="12">
        <v>89</v>
      </c>
      <c r="F881" s="10" t="str">
        <f>_xlfn.XLOOKUP(C881,menu!A:A,menu!B:B)</f>
        <v>Paneer Burger</v>
      </c>
      <c r="G881" s="10" t="str">
        <f>_xlfn.XLOOKUP(C881,menu!A:A,menu!C:C)</f>
        <v>Burger</v>
      </c>
      <c r="H881" s="10">
        <f>_xlfn.XLOOKUP(C881,menu!A:A,menu!E:E)</f>
        <v>27</v>
      </c>
      <c r="I881" s="10">
        <f t="shared" si="13"/>
        <v>27</v>
      </c>
      <c r="K881" s="10"/>
      <c r="L881" s="5"/>
    </row>
    <row r="882" spans="1:12" x14ac:dyDescent="0.25">
      <c r="A882" s="5" t="s">
        <v>6063</v>
      </c>
      <c r="B882" s="5" t="s">
        <v>6061</v>
      </c>
      <c r="C882" s="5" t="s">
        <v>29</v>
      </c>
      <c r="D882" s="21">
        <v>1</v>
      </c>
      <c r="E882" s="12">
        <v>79</v>
      </c>
      <c r="F882" s="10" t="str">
        <f>_xlfn.XLOOKUP(C882,menu!A:A,menu!B:B)</f>
        <v>Paneer Roll</v>
      </c>
      <c r="G882" s="10" t="str">
        <f>_xlfn.XLOOKUP(C882,menu!A:A,menu!C:C)</f>
        <v>Rolls</v>
      </c>
      <c r="H882" s="10">
        <f>_xlfn.XLOOKUP(C882,menu!A:A,menu!E:E)</f>
        <v>24</v>
      </c>
      <c r="I882" s="10">
        <f t="shared" si="13"/>
        <v>24</v>
      </c>
      <c r="K882" s="10"/>
      <c r="L882" s="5"/>
    </row>
    <row r="883" spans="1:12" x14ac:dyDescent="0.25">
      <c r="A883" s="5" t="s">
        <v>6062</v>
      </c>
      <c r="B883" s="5" t="s">
        <v>6061</v>
      </c>
      <c r="C883" s="5" t="s">
        <v>54</v>
      </c>
      <c r="D883" s="21">
        <v>2</v>
      </c>
      <c r="E883" s="12">
        <v>278</v>
      </c>
      <c r="F883" s="10" t="str">
        <f>_xlfn.XLOOKUP(C883,menu!A:A,menu!B:B)</f>
        <v>Chicken Strips</v>
      </c>
      <c r="G883" s="10" t="str">
        <f>_xlfn.XLOOKUP(C883,menu!A:A,menu!C:C)</f>
        <v>Starters</v>
      </c>
      <c r="H883" s="10">
        <f>_xlfn.XLOOKUP(C883,menu!A:A,menu!E:E)</f>
        <v>42</v>
      </c>
      <c r="I883" s="10">
        <f t="shared" si="13"/>
        <v>84</v>
      </c>
      <c r="K883" s="10"/>
      <c r="L883" s="5"/>
    </row>
    <row r="884" spans="1:12" x14ac:dyDescent="0.25">
      <c r="A884" s="5" t="s">
        <v>6060</v>
      </c>
      <c r="B884" s="5" t="s">
        <v>6059</v>
      </c>
      <c r="C884" s="5" t="s">
        <v>35</v>
      </c>
      <c r="D884" s="21">
        <v>1</v>
      </c>
      <c r="E884" s="12">
        <v>119</v>
      </c>
      <c r="F884" s="10" t="str">
        <f>_xlfn.XLOOKUP(C884,menu!A:A,menu!B:B)</f>
        <v>Chicken Nuggets</v>
      </c>
      <c r="G884" s="10" t="str">
        <f>_xlfn.XLOOKUP(C884,menu!A:A,menu!C:C)</f>
        <v>Starters</v>
      </c>
      <c r="H884" s="10">
        <f>_xlfn.XLOOKUP(C884,menu!A:A,menu!E:E)</f>
        <v>36</v>
      </c>
      <c r="I884" s="10">
        <f t="shared" si="13"/>
        <v>36</v>
      </c>
      <c r="K884" s="10"/>
      <c r="L884" s="5"/>
    </row>
    <row r="885" spans="1:12" x14ac:dyDescent="0.25">
      <c r="A885" s="5" t="s">
        <v>6058</v>
      </c>
      <c r="B885" s="5" t="s">
        <v>6055</v>
      </c>
      <c r="C885" s="5" t="s">
        <v>63</v>
      </c>
      <c r="D885" s="21">
        <v>2</v>
      </c>
      <c r="E885" s="12">
        <v>158</v>
      </c>
      <c r="F885" s="10" t="str">
        <f>_xlfn.XLOOKUP(C885,menu!A:A,menu!B:B)</f>
        <v>Virgin Mojito</v>
      </c>
      <c r="G885" s="10" t="str">
        <f>_xlfn.XLOOKUP(C885,menu!A:A,menu!C:C)</f>
        <v>Beverages</v>
      </c>
      <c r="H885" s="10">
        <f>_xlfn.XLOOKUP(C885,menu!A:A,menu!E:E)</f>
        <v>24</v>
      </c>
      <c r="I885" s="10">
        <f t="shared" si="13"/>
        <v>48</v>
      </c>
      <c r="K885" s="10"/>
      <c r="L885" s="5"/>
    </row>
    <row r="886" spans="1:12" x14ac:dyDescent="0.25">
      <c r="A886" s="5" t="s">
        <v>6057</v>
      </c>
      <c r="B886" s="5" t="s">
        <v>6055</v>
      </c>
      <c r="C886" s="5" t="s">
        <v>56</v>
      </c>
      <c r="D886" s="21">
        <v>3</v>
      </c>
      <c r="E886" s="12">
        <v>237</v>
      </c>
      <c r="F886" s="10" t="str">
        <f>_xlfn.XLOOKUP(C886,menu!A:A,menu!B:B)</f>
        <v>Mint Mojito</v>
      </c>
      <c r="G886" s="10" t="str">
        <f>_xlfn.XLOOKUP(C886,menu!A:A,menu!C:C)</f>
        <v>Beverages</v>
      </c>
      <c r="H886" s="10">
        <f>_xlfn.XLOOKUP(C886,menu!A:A,menu!E:E)</f>
        <v>24</v>
      </c>
      <c r="I886" s="10">
        <f t="shared" si="13"/>
        <v>72</v>
      </c>
      <c r="K886" s="10"/>
      <c r="L886" s="5"/>
    </row>
    <row r="887" spans="1:12" x14ac:dyDescent="0.25">
      <c r="A887" s="5" t="s">
        <v>6056</v>
      </c>
      <c r="B887" s="5" t="s">
        <v>6055</v>
      </c>
      <c r="C887" s="5" t="s">
        <v>48</v>
      </c>
      <c r="D887" s="21">
        <v>2</v>
      </c>
      <c r="E887" s="12">
        <v>318</v>
      </c>
      <c r="F887" s="10" t="str">
        <f>_xlfn.XLOOKUP(C887,menu!A:A,menu!B:B)</f>
        <v>Chicken Lollipop</v>
      </c>
      <c r="G887" s="10" t="str">
        <f>_xlfn.XLOOKUP(C887,menu!A:A,menu!C:C)</f>
        <v>Starters</v>
      </c>
      <c r="H887" s="10">
        <f>_xlfn.XLOOKUP(C887,menu!A:A,menu!E:E)</f>
        <v>48</v>
      </c>
      <c r="I887" s="10">
        <f t="shared" si="13"/>
        <v>96</v>
      </c>
      <c r="K887" s="10"/>
      <c r="L887" s="5"/>
    </row>
    <row r="888" spans="1:12" x14ac:dyDescent="0.25">
      <c r="A888" s="5" t="s">
        <v>6054</v>
      </c>
      <c r="B888" s="5" t="s">
        <v>6051</v>
      </c>
      <c r="C888" s="5" t="s">
        <v>40</v>
      </c>
      <c r="D888" s="21">
        <v>3</v>
      </c>
      <c r="E888" s="12">
        <v>297</v>
      </c>
      <c r="F888" s="10" t="str">
        <f>_xlfn.XLOOKUP(C888,menu!A:A,menu!B:B)</f>
        <v>Veg Nuggets</v>
      </c>
      <c r="G888" s="10" t="str">
        <f>_xlfn.XLOOKUP(C888,menu!A:A,menu!C:C)</f>
        <v>Starters</v>
      </c>
      <c r="H888" s="10">
        <f>_xlfn.XLOOKUP(C888,menu!A:A,menu!E:E)</f>
        <v>30</v>
      </c>
      <c r="I888" s="10">
        <f t="shared" si="13"/>
        <v>90</v>
      </c>
      <c r="K888" s="10"/>
      <c r="L888" s="5"/>
    </row>
    <row r="889" spans="1:12" x14ac:dyDescent="0.25">
      <c r="A889" s="5" t="s">
        <v>6053</v>
      </c>
      <c r="B889" s="5" t="s">
        <v>6051</v>
      </c>
      <c r="C889" s="5" t="s">
        <v>63</v>
      </c>
      <c r="D889" s="21">
        <v>2</v>
      </c>
      <c r="E889" s="12">
        <v>158</v>
      </c>
      <c r="F889" s="10" t="str">
        <f>_xlfn.XLOOKUP(C889,menu!A:A,menu!B:B)</f>
        <v>Virgin Mojito</v>
      </c>
      <c r="G889" s="10" t="str">
        <f>_xlfn.XLOOKUP(C889,menu!A:A,menu!C:C)</f>
        <v>Beverages</v>
      </c>
      <c r="H889" s="10">
        <f>_xlfn.XLOOKUP(C889,menu!A:A,menu!E:E)</f>
        <v>24</v>
      </c>
      <c r="I889" s="10">
        <f t="shared" si="13"/>
        <v>48</v>
      </c>
      <c r="K889" s="10"/>
      <c r="L889" s="5"/>
    </row>
    <row r="890" spans="1:12" x14ac:dyDescent="0.25">
      <c r="A890" s="5" t="s">
        <v>6052</v>
      </c>
      <c r="B890" s="5" t="s">
        <v>6051</v>
      </c>
      <c r="C890" s="5" t="s">
        <v>50</v>
      </c>
      <c r="D890" s="21">
        <v>1</v>
      </c>
      <c r="E890" s="12">
        <v>149</v>
      </c>
      <c r="F890" s="10" t="str">
        <f>_xlfn.XLOOKUP(C890,menu!A:A,menu!B:B)</f>
        <v>Grab Lollipop</v>
      </c>
      <c r="G890" s="10" t="str">
        <f>_xlfn.XLOOKUP(C890,menu!A:A,menu!C:C)</f>
        <v>Starters</v>
      </c>
      <c r="H890" s="10">
        <f>_xlfn.XLOOKUP(C890,menu!A:A,menu!E:E)</f>
        <v>45</v>
      </c>
      <c r="I890" s="10">
        <f t="shared" si="13"/>
        <v>45</v>
      </c>
      <c r="K890" s="10"/>
      <c r="L890" s="5"/>
    </row>
    <row r="891" spans="1:12" x14ac:dyDescent="0.25">
      <c r="A891" s="5" t="s">
        <v>6050</v>
      </c>
      <c r="B891" s="5" t="s">
        <v>6046</v>
      </c>
      <c r="C891" s="5" t="s">
        <v>54</v>
      </c>
      <c r="D891" s="21">
        <v>1</v>
      </c>
      <c r="E891" s="12">
        <v>139</v>
      </c>
      <c r="F891" s="10" t="str">
        <f>_xlfn.XLOOKUP(C891,menu!A:A,menu!B:B)</f>
        <v>Chicken Strips</v>
      </c>
      <c r="G891" s="10" t="str">
        <f>_xlfn.XLOOKUP(C891,menu!A:A,menu!C:C)</f>
        <v>Starters</v>
      </c>
      <c r="H891" s="10">
        <f>_xlfn.XLOOKUP(C891,menu!A:A,menu!E:E)</f>
        <v>42</v>
      </c>
      <c r="I891" s="10">
        <f t="shared" si="13"/>
        <v>42</v>
      </c>
      <c r="K891" s="10"/>
      <c r="L891" s="5"/>
    </row>
    <row r="892" spans="1:12" x14ac:dyDescent="0.25">
      <c r="A892" s="5" t="s">
        <v>6049</v>
      </c>
      <c r="B892" s="5" t="s">
        <v>6046</v>
      </c>
      <c r="C892" s="5" t="s">
        <v>8</v>
      </c>
      <c r="D892" s="21">
        <v>1</v>
      </c>
      <c r="E892" s="12">
        <v>99</v>
      </c>
      <c r="F892" s="10" t="str">
        <f>_xlfn.XLOOKUP(C892,menu!A:A,menu!B:B)</f>
        <v>Paneer Sandwich</v>
      </c>
      <c r="G892" s="10" t="str">
        <f>_xlfn.XLOOKUP(C892,menu!A:A,menu!C:C)</f>
        <v>Sandwich</v>
      </c>
      <c r="H892" s="10">
        <f>_xlfn.XLOOKUP(C892,menu!A:A,menu!E:E)</f>
        <v>30</v>
      </c>
      <c r="I892" s="10">
        <f t="shared" si="13"/>
        <v>30</v>
      </c>
      <c r="K892" s="10"/>
      <c r="L892" s="5"/>
    </row>
    <row r="893" spans="1:12" x14ac:dyDescent="0.25">
      <c r="A893" s="5" t="s">
        <v>6048</v>
      </c>
      <c r="B893" s="5" t="s">
        <v>6046</v>
      </c>
      <c r="C893" s="5" t="s">
        <v>42</v>
      </c>
      <c r="D893" s="21">
        <v>1</v>
      </c>
      <c r="E893" s="12">
        <v>149</v>
      </c>
      <c r="F893" s="10" t="str">
        <f>_xlfn.XLOOKUP(C893,menu!A:A,menu!B:B)</f>
        <v>Chicken Popcorn</v>
      </c>
      <c r="G893" s="10" t="str">
        <f>_xlfn.XLOOKUP(C893,menu!A:A,menu!C:C)</f>
        <v>Starters</v>
      </c>
      <c r="H893" s="10">
        <f>_xlfn.XLOOKUP(C893,menu!A:A,menu!E:E)</f>
        <v>45</v>
      </c>
      <c r="I893" s="10">
        <f t="shared" si="13"/>
        <v>45</v>
      </c>
      <c r="K893" s="10"/>
      <c r="L893" s="5"/>
    </row>
    <row r="894" spans="1:12" x14ac:dyDescent="0.25">
      <c r="A894" s="5" t="s">
        <v>6047</v>
      </c>
      <c r="B894" s="5" t="s">
        <v>6046</v>
      </c>
      <c r="C894" s="5" t="s">
        <v>33</v>
      </c>
      <c r="D894" s="21">
        <v>3</v>
      </c>
      <c r="E894" s="12">
        <v>207</v>
      </c>
      <c r="F894" s="10" t="str">
        <f>_xlfn.XLOOKUP(C894,menu!A:A,menu!B:B)</f>
        <v>Spring Roll</v>
      </c>
      <c r="G894" s="10" t="str">
        <f>_xlfn.XLOOKUP(C894,menu!A:A,menu!C:C)</f>
        <v>Rolls</v>
      </c>
      <c r="H894" s="10">
        <f>_xlfn.XLOOKUP(C894,menu!A:A,menu!E:E)</f>
        <v>21</v>
      </c>
      <c r="I894" s="10">
        <f t="shared" si="13"/>
        <v>63</v>
      </c>
      <c r="K894" s="10"/>
      <c r="L894" s="5"/>
    </row>
    <row r="895" spans="1:12" x14ac:dyDescent="0.25">
      <c r="A895" s="5" t="s">
        <v>6045</v>
      </c>
      <c r="B895" s="5" t="s">
        <v>6042</v>
      </c>
      <c r="C895" s="5" t="s">
        <v>63</v>
      </c>
      <c r="D895" s="21">
        <v>1</v>
      </c>
      <c r="E895" s="12">
        <v>79</v>
      </c>
      <c r="F895" s="10" t="str">
        <f>_xlfn.XLOOKUP(C895,menu!A:A,menu!B:B)</f>
        <v>Virgin Mojito</v>
      </c>
      <c r="G895" s="10" t="str">
        <f>_xlfn.XLOOKUP(C895,menu!A:A,menu!C:C)</f>
        <v>Beverages</v>
      </c>
      <c r="H895" s="10">
        <f>_xlfn.XLOOKUP(C895,menu!A:A,menu!E:E)</f>
        <v>24</v>
      </c>
      <c r="I895" s="10">
        <f t="shared" si="13"/>
        <v>24</v>
      </c>
      <c r="K895" s="10"/>
      <c r="L895" s="5"/>
    </row>
    <row r="896" spans="1:12" x14ac:dyDescent="0.25">
      <c r="A896" s="5" t="s">
        <v>6044</v>
      </c>
      <c r="B896" s="5" t="s">
        <v>6042</v>
      </c>
      <c r="C896" s="5" t="s">
        <v>15</v>
      </c>
      <c r="D896" s="21">
        <v>5</v>
      </c>
      <c r="E896" s="12">
        <v>495</v>
      </c>
      <c r="F896" s="10" t="str">
        <f>_xlfn.XLOOKUP(C896,menu!A:A,menu!B:B)</f>
        <v>Chicken Momos</v>
      </c>
      <c r="G896" s="10" t="str">
        <f>_xlfn.XLOOKUP(C896,menu!A:A,menu!C:C)</f>
        <v>Momos</v>
      </c>
      <c r="H896" s="10">
        <f>_xlfn.XLOOKUP(C896,menu!A:A,menu!E:E)</f>
        <v>30</v>
      </c>
      <c r="I896" s="10">
        <f t="shared" si="13"/>
        <v>150</v>
      </c>
      <c r="K896" s="10"/>
      <c r="L896" s="5"/>
    </row>
    <row r="897" spans="1:12" x14ac:dyDescent="0.25">
      <c r="A897" s="5" t="s">
        <v>6043</v>
      </c>
      <c r="B897" s="5" t="s">
        <v>6042</v>
      </c>
      <c r="C897" s="5" t="s">
        <v>46</v>
      </c>
      <c r="D897" s="21">
        <v>1</v>
      </c>
      <c r="E897" s="12">
        <v>149</v>
      </c>
      <c r="F897" s="10" t="str">
        <f>_xlfn.XLOOKUP(C897,menu!A:A,menu!B:B)</f>
        <v>Fish Finger</v>
      </c>
      <c r="G897" s="10" t="str">
        <f>_xlfn.XLOOKUP(C897,menu!A:A,menu!C:C)</f>
        <v>Starters</v>
      </c>
      <c r="H897" s="10">
        <f>_xlfn.XLOOKUP(C897,menu!A:A,menu!E:E)</f>
        <v>45</v>
      </c>
      <c r="I897" s="10">
        <f t="shared" si="13"/>
        <v>45</v>
      </c>
      <c r="K897" s="10"/>
      <c r="L897" s="5"/>
    </row>
    <row r="898" spans="1:12" x14ac:dyDescent="0.25">
      <c r="A898" s="5" t="s">
        <v>6041</v>
      </c>
      <c r="B898" s="5" t="s">
        <v>6040</v>
      </c>
      <c r="C898" s="5" t="s">
        <v>19</v>
      </c>
      <c r="D898" s="21">
        <v>2</v>
      </c>
      <c r="E898" s="12">
        <v>158</v>
      </c>
      <c r="F898" s="10" t="str">
        <f>_xlfn.XLOOKUP(C898,menu!A:A,menu!B:B)</f>
        <v>Veg Burger</v>
      </c>
      <c r="G898" s="10" t="str">
        <f>_xlfn.XLOOKUP(C898,menu!A:A,menu!C:C)</f>
        <v>Burger</v>
      </c>
      <c r="H898" s="10">
        <f>_xlfn.XLOOKUP(C898,menu!A:A,menu!E:E)</f>
        <v>24</v>
      </c>
      <c r="I898" s="10">
        <f t="shared" si="13"/>
        <v>48</v>
      </c>
      <c r="K898" s="10"/>
      <c r="L898" s="5"/>
    </row>
    <row r="899" spans="1:12" x14ac:dyDescent="0.25">
      <c r="A899" s="5" t="s">
        <v>6039</v>
      </c>
      <c r="B899" s="5" t="s">
        <v>6037</v>
      </c>
      <c r="C899" s="5" t="s">
        <v>19</v>
      </c>
      <c r="D899" s="21">
        <v>4</v>
      </c>
      <c r="E899" s="12">
        <v>316</v>
      </c>
      <c r="F899" s="10" t="str">
        <f>_xlfn.XLOOKUP(C899,menu!A:A,menu!B:B)</f>
        <v>Veg Burger</v>
      </c>
      <c r="G899" s="10" t="str">
        <f>_xlfn.XLOOKUP(C899,menu!A:A,menu!C:C)</f>
        <v>Burger</v>
      </c>
      <c r="H899" s="10">
        <f>_xlfn.XLOOKUP(C899,menu!A:A,menu!E:E)</f>
        <v>24</v>
      </c>
      <c r="I899" s="10">
        <f t="shared" ref="I899:I962" si="14">D899*H899</f>
        <v>96</v>
      </c>
      <c r="K899" s="10"/>
      <c r="L899" s="5"/>
    </row>
    <row r="900" spans="1:12" x14ac:dyDescent="0.25">
      <c r="A900" s="5" t="s">
        <v>6038</v>
      </c>
      <c r="B900" s="5" t="s">
        <v>6037</v>
      </c>
      <c r="C900" s="5" t="s">
        <v>33</v>
      </c>
      <c r="D900" s="21">
        <v>1</v>
      </c>
      <c r="E900" s="12">
        <v>69</v>
      </c>
      <c r="F900" s="10" t="str">
        <f>_xlfn.XLOOKUP(C900,menu!A:A,menu!B:B)</f>
        <v>Spring Roll</v>
      </c>
      <c r="G900" s="10" t="str">
        <f>_xlfn.XLOOKUP(C900,menu!A:A,menu!C:C)</f>
        <v>Rolls</v>
      </c>
      <c r="H900" s="10">
        <f>_xlfn.XLOOKUP(C900,menu!A:A,menu!E:E)</f>
        <v>21</v>
      </c>
      <c r="I900" s="10">
        <f t="shared" si="14"/>
        <v>21</v>
      </c>
      <c r="K900" s="10"/>
      <c r="L900" s="5"/>
    </row>
    <row r="901" spans="1:12" x14ac:dyDescent="0.25">
      <c r="A901" s="5" t="s">
        <v>6036</v>
      </c>
      <c r="B901" s="5" t="s">
        <v>6034</v>
      </c>
      <c r="C901" s="5" t="s">
        <v>63</v>
      </c>
      <c r="D901" s="21">
        <v>5</v>
      </c>
      <c r="E901" s="12">
        <v>395</v>
      </c>
      <c r="F901" s="10" t="str">
        <f>_xlfn.XLOOKUP(C901,menu!A:A,menu!B:B)</f>
        <v>Virgin Mojito</v>
      </c>
      <c r="G901" s="10" t="str">
        <f>_xlfn.XLOOKUP(C901,menu!A:A,menu!C:C)</f>
        <v>Beverages</v>
      </c>
      <c r="H901" s="10">
        <f>_xlfn.XLOOKUP(C901,menu!A:A,menu!E:E)</f>
        <v>24</v>
      </c>
      <c r="I901" s="10">
        <f t="shared" si="14"/>
        <v>120</v>
      </c>
      <c r="K901" s="10"/>
      <c r="L901" s="5"/>
    </row>
    <row r="902" spans="1:12" x14ac:dyDescent="0.25">
      <c r="A902" s="5" t="s">
        <v>6035</v>
      </c>
      <c r="B902" s="5" t="s">
        <v>6034</v>
      </c>
      <c r="C902" s="5" t="s">
        <v>31</v>
      </c>
      <c r="D902" s="21">
        <v>3</v>
      </c>
      <c r="E902" s="12">
        <v>267</v>
      </c>
      <c r="F902" s="10" t="str">
        <f>_xlfn.XLOOKUP(C902,menu!A:A,menu!B:B)</f>
        <v>Chicken Roll</v>
      </c>
      <c r="G902" s="10" t="str">
        <f>_xlfn.XLOOKUP(C902,menu!A:A,menu!C:C)</f>
        <v>Rolls</v>
      </c>
      <c r="H902" s="10">
        <f>_xlfn.XLOOKUP(C902,menu!A:A,menu!E:E)</f>
        <v>27</v>
      </c>
      <c r="I902" s="10">
        <f t="shared" si="14"/>
        <v>81</v>
      </c>
      <c r="K902" s="10"/>
      <c r="L902" s="5"/>
    </row>
    <row r="903" spans="1:12" x14ac:dyDescent="0.25">
      <c r="A903" s="5" t="s">
        <v>6033</v>
      </c>
      <c r="B903" s="5" t="s">
        <v>6032</v>
      </c>
      <c r="C903" s="5" t="s">
        <v>61</v>
      </c>
      <c r="D903" s="21">
        <v>2</v>
      </c>
      <c r="E903" s="12">
        <v>158</v>
      </c>
      <c r="F903" s="10" t="str">
        <f>_xlfn.XLOOKUP(C903,menu!A:A,menu!B:B)</f>
        <v>Watermelon Mojito</v>
      </c>
      <c r="G903" s="10" t="str">
        <f>_xlfn.XLOOKUP(C903,menu!A:A,menu!C:C)</f>
        <v>Beverages</v>
      </c>
      <c r="H903" s="10">
        <f>_xlfn.XLOOKUP(C903,menu!A:A,menu!E:E)</f>
        <v>24</v>
      </c>
      <c r="I903" s="10">
        <f t="shared" si="14"/>
        <v>48</v>
      </c>
      <c r="K903" s="10"/>
      <c r="L903" s="5"/>
    </row>
    <row r="904" spans="1:12" x14ac:dyDescent="0.25">
      <c r="A904" s="5" t="s">
        <v>6031</v>
      </c>
      <c r="B904" s="5" t="s">
        <v>6030</v>
      </c>
      <c r="C904" s="5" t="s">
        <v>48</v>
      </c>
      <c r="D904" s="21">
        <v>2</v>
      </c>
      <c r="E904" s="12">
        <v>318</v>
      </c>
      <c r="F904" s="10" t="str">
        <f>_xlfn.XLOOKUP(C904,menu!A:A,menu!B:B)</f>
        <v>Chicken Lollipop</v>
      </c>
      <c r="G904" s="10" t="str">
        <f>_xlfn.XLOOKUP(C904,menu!A:A,menu!C:C)</f>
        <v>Starters</v>
      </c>
      <c r="H904" s="10">
        <f>_xlfn.XLOOKUP(C904,menu!A:A,menu!E:E)</f>
        <v>48</v>
      </c>
      <c r="I904" s="10">
        <f t="shared" si="14"/>
        <v>96</v>
      </c>
      <c r="K904" s="10"/>
      <c r="L904" s="5"/>
    </row>
    <row r="905" spans="1:12" x14ac:dyDescent="0.25">
      <c r="A905" s="5" t="s">
        <v>6029</v>
      </c>
      <c r="B905" s="5" t="s">
        <v>6026</v>
      </c>
      <c r="C905" s="5" t="s">
        <v>63</v>
      </c>
      <c r="D905" s="21">
        <v>1</v>
      </c>
      <c r="E905" s="12">
        <v>79</v>
      </c>
      <c r="F905" s="10" t="str">
        <f>_xlfn.XLOOKUP(C905,menu!A:A,menu!B:B)</f>
        <v>Virgin Mojito</v>
      </c>
      <c r="G905" s="10" t="str">
        <f>_xlfn.XLOOKUP(C905,menu!A:A,menu!C:C)</f>
        <v>Beverages</v>
      </c>
      <c r="H905" s="10">
        <f>_xlfn.XLOOKUP(C905,menu!A:A,menu!E:E)</f>
        <v>24</v>
      </c>
      <c r="I905" s="10">
        <f t="shared" si="14"/>
        <v>24</v>
      </c>
      <c r="K905" s="10"/>
      <c r="L905" s="5"/>
    </row>
    <row r="906" spans="1:12" x14ac:dyDescent="0.25">
      <c r="A906" s="5" t="s">
        <v>6028</v>
      </c>
      <c r="B906" s="5" t="s">
        <v>6026</v>
      </c>
      <c r="C906" s="5" t="s">
        <v>46</v>
      </c>
      <c r="D906" s="21">
        <v>1</v>
      </c>
      <c r="E906" s="12">
        <v>149</v>
      </c>
      <c r="F906" s="10" t="str">
        <f>_xlfn.XLOOKUP(C906,menu!A:A,menu!B:B)</f>
        <v>Fish Finger</v>
      </c>
      <c r="G906" s="10" t="str">
        <f>_xlfn.XLOOKUP(C906,menu!A:A,menu!C:C)</f>
        <v>Starters</v>
      </c>
      <c r="H906" s="10">
        <f>_xlfn.XLOOKUP(C906,menu!A:A,menu!E:E)</f>
        <v>45</v>
      </c>
      <c r="I906" s="10">
        <f t="shared" si="14"/>
        <v>45</v>
      </c>
      <c r="K906" s="10"/>
      <c r="L906" s="5"/>
    </row>
    <row r="907" spans="1:12" x14ac:dyDescent="0.25">
      <c r="A907" s="5" t="s">
        <v>6027</v>
      </c>
      <c r="B907" s="5" t="s">
        <v>6026</v>
      </c>
      <c r="C907" s="5" t="s">
        <v>26</v>
      </c>
      <c r="D907" s="21">
        <v>3</v>
      </c>
      <c r="E907" s="12">
        <v>177</v>
      </c>
      <c r="F907" s="10" t="str">
        <f>_xlfn.XLOOKUP(C907,menu!A:A,menu!B:B)</f>
        <v>Veg Roll</v>
      </c>
      <c r="G907" s="10" t="str">
        <f>_xlfn.XLOOKUP(C907,menu!A:A,menu!C:C)</f>
        <v>Rolls</v>
      </c>
      <c r="H907" s="10">
        <f>_xlfn.XLOOKUP(C907,menu!A:A,menu!E:E)</f>
        <v>18</v>
      </c>
      <c r="I907" s="10">
        <f t="shared" si="14"/>
        <v>54</v>
      </c>
      <c r="K907" s="10"/>
      <c r="L907" s="5"/>
    </row>
    <row r="908" spans="1:12" x14ac:dyDescent="0.25">
      <c r="A908" s="5" t="s">
        <v>6025</v>
      </c>
      <c r="B908" s="5" t="s">
        <v>6021</v>
      </c>
      <c r="C908" s="5" t="s">
        <v>5</v>
      </c>
      <c r="D908" s="21">
        <v>1</v>
      </c>
      <c r="E908" s="12">
        <v>79</v>
      </c>
      <c r="F908" s="10" t="str">
        <f>_xlfn.XLOOKUP(C908,menu!A:A,menu!B:B)</f>
        <v>Veg Sandwich</v>
      </c>
      <c r="G908" s="10" t="str">
        <f>_xlfn.XLOOKUP(C908,menu!A:A,menu!C:C)</f>
        <v>Sandwich</v>
      </c>
      <c r="H908" s="10">
        <f>_xlfn.XLOOKUP(C908,menu!A:A,menu!E:E)</f>
        <v>24</v>
      </c>
      <c r="I908" s="10">
        <f t="shared" si="14"/>
        <v>24</v>
      </c>
      <c r="K908" s="10"/>
      <c r="L908" s="5"/>
    </row>
    <row r="909" spans="1:12" x14ac:dyDescent="0.25">
      <c r="A909" s="5" t="s">
        <v>6024</v>
      </c>
      <c r="B909" s="5" t="s">
        <v>6021</v>
      </c>
      <c r="C909" s="5" t="s">
        <v>15</v>
      </c>
      <c r="D909" s="21">
        <v>1</v>
      </c>
      <c r="E909" s="12">
        <v>99</v>
      </c>
      <c r="F909" s="10" t="str">
        <f>_xlfn.XLOOKUP(C909,menu!A:A,menu!B:B)</f>
        <v>Chicken Momos</v>
      </c>
      <c r="G909" s="10" t="str">
        <f>_xlfn.XLOOKUP(C909,menu!A:A,menu!C:C)</f>
        <v>Momos</v>
      </c>
      <c r="H909" s="10">
        <f>_xlfn.XLOOKUP(C909,menu!A:A,menu!E:E)</f>
        <v>30</v>
      </c>
      <c r="I909" s="10">
        <f t="shared" si="14"/>
        <v>30</v>
      </c>
      <c r="K909" s="10"/>
      <c r="L909" s="5"/>
    </row>
    <row r="910" spans="1:12" x14ac:dyDescent="0.25">
      <c r="A910" s="5" t="s">
        <v>6023</v>
      </c>
      <c r="B910" s="5" t="s">
        <v>6021</v>
      </c>
      <c r="C910" s="5" t="s">
        <v>42</v>
      </c>
      <c r="D910" s="21">
        <v>2</v>
      </c>
      <c r="E910" s="12">
        <v>298</v>
      </c>
      <c r="F910" s="10" t="str">
        <f>_xlfn.XLOOKUP(C910,menu!A:A,menu!B:B)</f>
        <v>Chicken Popcorn</v>
      </c>
      <c r="G910" s="10" t="str">
        <f>_xlfn.XLOOKUP(C910,menu!A:A,menu!C:C)</f>
        <v>Starters</v>
      </c>
      <c r="H910" s="10">
        <f>_xlfn.XLOOKUP(C910,menu!A:A,menu!E:E)</f>
        <v>45</v>
      </c>
      <c r="I910" s="10">
        <f t="shared" si="14"/>
        <v>90</v>
      </c>
      <c r="K910" s="10"/>
      <c r="L910" s="5"/>
    </row>
    <row r="911" spans="1:12" x14ac:dyDescent="0.25">
      <c r="A911" s="5" t="s">
        <v>6022</v>
      </c>
      <c r="B911" s="5" t="s">
        <v>6021</v>
      </c>
      <c r="C911" s="5" t="s">
        <v>59</v>
      </c>
      <c r="D911" s="21">
        <v>2</v>
      </c>
      <c r="E911" s="12">
        <v>158</v>
      </c>
      <c r="F911" s="10" t="str">
        <f>_xlfn.XLOOKUP(C911,menu!A:A,menu!B:B)</f>
        <v>Blue Curacao Mojito</v>
      </c>
      <c r="G911" s="10" t="str">
        <f>_xlfn.XLOOKUP(C911,menu!A:A,menu!C:C)</f>
        <v>Beverages</v>
      </c>
      <c r="H911" s="10">
        <f>_xlfn.XLOOKUP(C911,menu!A:A,menu!E:E)</f>
        <v>24</v>
      </c>
      <c r="I911" s="10">
        <f t="shared" si="14"/>
        <v>48</v>
      </c>
      <c r="K911" s="10"/>
      <c r="L911" s="5"/>
    </row>
    <row r="912" spans="1:12" x14ac:dyDescent="0.25">
      <c r="A912" s="5" t="s">
        <v>6020</v>
      </c>
      <c r="B912" s="5" t="s">
        <v>6019</v>
      </c>
      <c r="C912" s="5" t="s">
        <v>52</v>
      </c>
      <c r="D912" s="21">
        <v>1</v>
      </c>
      <c r="E912" s="12">
        <v>99</v>
      </c>
      <c r="F912" s="10" t="str">
        <f>_xlfn.XLOOKUP(C912,menu!A:A,menu!B:B)</f>
        <v>French Fries</v>
      </c>
      <c r="G912" s="10" t="str">
        <f>_xlfn.XLOOKUP(C912,menu!A:A,menu!C:C)</f>
        <v>Starters</v>
      </c>
      <c r="H912" s="10">
        <f>_xlfn.XLOOKUP(C912,menu!A:A,menu!E:E)</f>
        <v>30</v>
      </c>
      <c r="I912" s="10">
        <f t="shared" si="14"/>
        <v>30</v>
      </c>
      <c r="K912" s="10"/>
      <c r="L912" s="5"/>
    </row>
    <row r="913" spans="1:12" x14ac:dyDescent="0.25">
      <c r="A913" s="5" t="s">
        <v>6018</v>
      </c>
      <c r="B913" s="5" t="s">
        <v>6017</v>
      </c>
      <c r="C913" s="5" t="s">
        <v>50</v>
      </c>
      <c r="D913" s="21">
        <v>3</v>
      </c>
      <c r="E913" s="12">
        <v>447</v>
      </c>
      <c r="F913" s="10" t="str">
        <f>_xlfn.XLOOKUP(C913,menu!A:A,menu!B:B)</f>
        <v>Grab Lollipop</v>
      </c>
      <c r="G913" s="10" t="str">
        <f>_xlfn.XLOOKUP(C913,menu!A:A,menu!C:C)</f>
        <v>Starters</v>
      </c>
      <c r="H913" s="10">
        <f>_xlfn.XLOOKUP(C913,menu!A:A,menu!E:E)</f>
        <v>45</v>
      </c>
      <c r="I913" s="10">
        <f t="shared" si="14"/>
        <v>135</v>
      </c>
      <c r="K913" s="10"/>
      <c r="L913" s="5"/>
    </row>
    <row r="914" spans="1:12" x14ac:dyDescent="0.25">
      <c r="A914" s="5" t="s">
        <v>6016</v>
      </c>
      <c r="B914" s="5" t="s">
        <v>6012</v>
      </c>
      <c r="C914" s="5" t="s">
        <v>48</v>
      </c>
      <c r="D914" s="21">
        <v>2</v>
      </c>
      <c r="E914" s="12">
        <v>318</v>
      </c>
      <c r="F914" s="10" t="str">
        <f>_xlfn.XLOOKUP(C914,menu!A:A,menu!B:B)</f>
        <v>Chicken Lollipop</v>
      </c>
      <c r="G914" s="10" t="str">
        <f>_xlfn.XLOOKUP(C914,menu!A:A,menu!C:C)</f>
        <v>Starters</v>
      </c>
      <c r="H914" s="10">
        <f>_xlfn.XLOOKUP(C914,menu!A:A,menu!E:E)</f>
        <v>48</v>
      </c>
      <c r="I914" s="10">
        <f t="shared" si="14"/>
        <v>96</v>
      </c>
      <c r="K914" s="10"/>
      <c r="L914" s="5"/>
    </row>
    <row r="915" spans="1:12" x14ac:dyDescent="0.25">
      <c r="A915" s="5" t="s">
        <v>6015</v>
      </c>
      <c r="B915" s="5" t="s">
        <v>6012</v>
      </c>
      <c r="C915" s="5" t="s">
        <v>63</v>
      </c>
      <c r="D915" s="21">
        <v>1</v>
      </c>
      <c r="E915" s="12">
        <v>79</v>
      </c>
      <c r="F915" s="10" t="str">
        <f>_xlfn.XLOOKUP(C915,menu!A:A,menu!B:B)</f>
        <v>Virgin Mojito</v>
      </c>
      <c r="G915" s="10" t="str">
        <f>_xlfn.XLOOKUP(C915,menu!A:A,menu!C:C)</f>
        <v>Beverages</v>
      </c>
      <c r="H915" s="10">
        <f>_xlfn.XLOOKUP(C915,menu!A:A,menu!E:E)</f>
        <v>24</v>
      </c>
      <c r="I915" s="10">
        <f t="shared" si="14"/>
        <v>24</v>
      </c>
      <c r="K915" s="10"/>
      <c r="L915" s="5"/>
    </row>
    <row r="916" spans="1:12" x14ac:dyDescent="0.25">
      <c r="A916" s="5" t="s">
        <v>6014</v>
      </c>
      <c r="B916" s="5" t="s">
        <v>6012</v>
      </c>
      <c r="C916" s="5" t="s">
        <v>8</v>
      </c>
      <c r="D916" s="21">
        <v>5</v>
      </c>
      <c r="E916" s="12">
        <v>495</v>
      </c>
      <c r="F916" s="10" t="str">
        <f>_xlfn.XLOOKUP(C916,menu!A:A,menu!B:B)</f>
        <v>Paneer Sandwich</v>
      </c>
      <c r="G916" s="10" t="str">
        <f>_xlfn.XLOOKUP(C916,menu!A:A,menu!C:C)</f>
        <v>Sandwich</v>
      </c>
      <c r="H916" s="10">
        <f>_xlfn.XLOOKUP(C916,menu!A:A,menu!E:E)</f>
        <v>30</v>
      </c>
      <c r="I916" s="10">
        <f t="shared" si="14"/>
        <v>150</v>
      </c>
      <c r="K916" s="10"/>
      <c r="L916" s="5"/>
    </row>
    <row r="917" spans="1:12" x14ac:dyDescent="0.25">
      <c r="A917" s="5" t="s">
        <v>6013</v>
      </c>
      <c r="B917" s="5" t="s">
        <v>6012</v>
      </c>
      <c r="C917" s="5" t="s">
        <v>38</v>
      </c>
      <c r="D917" s="21">
        <v>2</v>
      </c>
      <c r="E917" s="12">
        <v>298</v>
      </c>
      <c r="F917" s="10" t="str">
        <f>_xlfn.XLOOKUP(C917,menu!A:A,menu!B:B)</f>
        <v>Chicken Wings</v>
      </c>
      <c r="G917" s="10" t="str">
        <f>_xlfn.XLOOKUP(C917,menu!A:A,menu!C:C)</f>
        <v>Starters</v>
      </c>
      <c r="H917" s="10">
        <f>_xlfn.XLOOKUP(C917,menu!A:A,menu!E:E)</f>
        <v>45</v>
      </c>
      <c r="I917" s="10">
        <f t="shared" si="14"/>
        <v>90</v>
      </c>
      <c r="K917" s="10"/>
      <c r="L917" s="5"/>
    </row>
    <row r="918" spans="1:12" x14ac:dyDescent="0.25">
      <c r="A918" s="5" t="s">
        <v>6011</v>
      </c>
      <c r="B918" s="5" t="s">
        <v>6008</v>
      </c>
      <c r="C918" s="5" t="s">
        <v>12</v>
      </c>
      <c r="D918" s="21">
        <v>3</v>
      </c>
      <c r="E918" s="12">
        <v>237</v>
      </c>
      <c r="F918" s="10" t="str">
        <f>_xlfn.XLOOKUP(C918,menu!A:A,menu!B:B)</f>
        <v>Veg Momos</v>
      </c>
      <c r="G918" s="10" t="str">
        <f>_xlfn.XLOOKUP(C918,menu!A:A,menu!C:C)</f>
        <v>Momos</v>
      </c>
      <c r="H918" s="10">
        <f>_xlfn.XLOOKUP(C918,menu!A:A,menu!E:E)</f>
        <v>24</v>
      </c>
      <c r="I918" s="10">
        <f t="shared" si="14"/>
        <v>72</v>
      </c>
      <c r="K918" s="10"/>
      <c r="L918" s="5"/>
    </row>
    <row r="919" spans="1:12" x14ac:dyDescent="0.25">
      <c r="A919" s="5" t="s">
        <v>6010</v>
      </c>
      <c r="B919" s="5" t="s">
        <v>6008</v>
      </c>
      <c r="C919" s="5" t="s">
        <v>50</v>
      </c>
      <c r="D919" s="21">
        <v>4</v>
      </c>
      <c r="E919" s="12">
        <v>596</v>
      </c>
      <c r="F919" s="10" t="str">
        <f>_xlfn.XLOOKUP(C919,menu!A:A,menu!B:B)</f>
        <v>Grab Lollipop</v>
      </c>
      <c r="G919" s="10" t="str">
        <f>_xlfn.XLOOKUP(C919,menu!A:A,menu!C:C)</f>
        <v>Starters</v>
      </c>
      <c r="H919" s="10">
        <f>_xlfn.XLOOKUP(C919,menu!A:A,menu!E:E)</f>
        <v>45</v>
      </c>
      <c r="I919" s="10">
        <f t="shared" si="14"/>
        <v>180</v>
      </c>
      <c r="K919" s="10"/>
      <c r="L919" s="5"/>
    </row>
    <row r="920" spans="1:12" x14ac:dyDescent="0.25">
      <c r="A920" s="5" t="s">
        <v>6009</v>
      </c>
      <c r="B920" s="5" t="s">
        <v>6008</v>
      </c>
      <c r="C920" s="5" t="s">
        <v>61</v>
      </c>
      <c r="D920" s="21">
        <v>2</v>
      </c>
      <c r="E920" s="12">
        <v>158</v>
      </c>
      <c r="F920" s="10" t="str">
        <f>_xlfn.XLOOKUP(C920,menu!A:A,menu!B:B)</f>
        <v>Watermelon Mojito</v>
      </c>
      <c r="G920" s="10" t="str">
        <f>_xlfn.XLOOKUP(C920,menu!A:A,menu!C:C)</f>
        <v>Beverages</v>
      </c>
      <c r="H920" s="10">
        <f>_xlfn.XLOOKUP(C920,menu!A:A,menu!E:E)</f>
        <v>24</v>
      </c>
      <c r="I920" s="10">
        <f t="shared" si="14"/>
        <v>48</v>
      </c>
      <c r="K920" s="10"/>
      <c r="L920" s="5"/>
    </row>
    <row r="921" spans="1:12" x14ac:dyDescent="0.25">
      <c r="A921" s="5" t="s">
        <v>6007</v>
      </c>
      <c r="B921" s="5" t="s">
        <v>6004</v>
      </c>
      <c r="C921" s="5" t="s">
        <v>44</v>
      </c>
      <c r="D921" s="21">
        <v>1</v>
      </c>
      <c r="E921" s="12">
        <v>159</v>
      </c>
      <c r="F921" s="10" t="str">
        <f>_xlfn.XLOOKUP(C921,menu!A:A,menu!B:B)</f>
        <v>Fried Chicken</v>
      </c>
      <c r="G921" s="10" t="str">
        <f>_xlfn.XLOOKUP(C921,menu!A:A,menu!C:C)</f>
        <v>Starters</v>
      </c>
      <c r="H921" s="10">
        <f>_xlfn.XLOOKUP(C921,menu!A:A,menu!E:E)</f>
        <v>48</v>
      </c>
      <c r="I921" s="10">
        <f t="shared" si="14"/>
        <v>48</v>
      </c>
      <c r="K921" s="10"/>
      <c r="L921" s="5"/>
    </row>
    <row r="922" spans="1:12" x14ac:dyDescent="0.25">
      <c r="A922" s="5" t="s">
        <v>6006</v>
      </c>
      <c r="B922" s="5" t="s">
        <v>6004</v>
      </c>
      <c r="C922" s="5" t="s">
        <v>8</v>
      </c>
      <c r="D922" s="21">
        <v>5</v>
      </c>
      <c r="E922" s="12">
        <v>495</v>
      </c>
      <c r="F922" s="10" t="str">
        <f>_xlfn.XLOOKUP(C922,menu!A:A,menu!B:B)</f>
        <v>Paneer Sandwich</v>
      </c>
      <c r="G922" s="10" t="str">
        <f>_xlfn.XLOOKUP(C922,menu!A:A,menu!C:C)</f>
        <v>Sandwich</v>
      </c>
      <c r="H922" s="10">
        <f>_xlfn.XLOOKUP(C922,menu!A:A,menu!E:E)</f>
        <v>30</v>
      </c>
      <c r="I922" s="10">
        <f t="shared" si="14"/>
        <v>150</v>
      </c>
      <c r="K922" s="10"/>
      <c r="L922" s="5"/>
    </row>
    <row r="923" spans="1:12" x14ac:dyDescent="0.25">
      <c r="A923" s="5" t="s">
        <v>6005</v>
      </c>
      <c r="B923" s="5" t="s">
        <v>6004</v>
      </c>
      <c r="C923" s="5" t="s">
        <v>61</v>
      </c>
      <c r="D923" s="21">
        <v>1</v>
      </c>
      <c r="E923" s="12">
        <v>79</v>
      </c>
      <c r="F923" s="10" t="str">
        <f>_xlfn.XLOOKUP(C923,menu!A:A,menu!B:B)</f>
        <v>Watermelon Mojito</v>
      </c>
      <c r="G923" s="10" t="str">
        <f>_xlfn.XLOOKUP(C923,menu!A:A,menu!C:C)</f>
        <v>Beverages</v>
      </c>
      <c r="H923" s="10">
        <f>_xlfn.XLOOKUP(C923,menu!A:A,menu!E:E)</f>
        <v>24</v>
      </c>
      <c r="I923" s="10">
        <f t="shared" si="14"/>
        <v>24</v>
      </c>
      <c r="K923" s="10"/>
      <c r="L923" s="5"/>
    </row>
    <row r="924" spans="1:12" x14ac:dyDescent="0.25">
      <c r="A924" s="5" t="s">
        <v>6003</v>
      </c>
      <c r="B924" s="5" t="s">
        <v>6001</v>
      </c>
      <c r="C924" s="5" t="s">
        <v>26</v>
      </c>
      <c r="D924" s="21">
        <v>4</v>
      </c>
      <c r="E924" s="12">
        <v>236</v>
      </c>
      <c r="F924" s="10" t="str">
        <f>_xlfn.XLOOKUP(C924,menu!A:A,menu!B:B)</f>
        <v>Veg Roll</v>
      </c>
      <c r="G924" s="10" t="str">
        <f>_xlfn.XLOOKUP(C924,menu!A:A,menu!C:C)</f>
        <v>Rolls</v>
      </c>
      <c r="H924" s="10">
        <f>_xlfn.XLOOKUP(C924,menu!A:A,menu!E:E)</f>
        <v>18</v>
      </c>
      <c r="I924" s="10">
        <f t="shared" si="14"/>
        <v>72</v>
      </c>
      <c r="K924" s="10"/>
      <c r="L924" s="5"/>
    </row>
    <row r="925" spans="1:12" x14ac:dyDescent="0.25">
      <c r="A925" s="5" t="s">
        <v>6002</v>
      </c>
      <c r="B925" s="5" t="s">
        <v>6001</v>
      </c>
      <c r="C925" s="5" t="s">
        <v>31</v>
      </c>
      <c r="D925" s="21">
        <v>3</v>
      </c>
      <c r="E925" s="12">
        <v>267</v>
      </c>
      <c r="F925" s="10" t="str">
        <f>_xlfn.XLOOKUP(C925,menu!A:A,menu!B:B)</f>
        <v>Chicken Roll</v>
      </c>
      <c r="G925" s="10" t="str">
        <f>_xlfn.XLOOKUP(C925,menu!A:A,menu!C:C)</f>
        <v>Rolls</v>
      </c>
      <c r="H925" s="10">
        <f>_xlfn.XLOOKUP(C925,menu!A:A,menu!E:E)</f>
        <v>27</v>
      </c>
      <c r="I925" s="10">
        <f t="shared" si="14"/>
        <v>81</v>
      </c>
      <c r="K925" s="10"/>
      <c r="L925" s="5"/>
    </row>
    <row r="926" spans="1:12" x14ac:dyDescent="0.25">
      <c r="A926" s="5" t="s">
        <v>6000</v>
      </c>
      <c r="B926" s="5" t="s">
        <v>5999</v>
      </c>
      <c r="C926" s="5" t="s">
        <v>44</v>
      </c>
      <c r="D926" s="21">
        <v>1</v>
      </c>
      <c r="E926" s="12">
        <v>159</v>
      </c>
      <c r="F926" s="10" t="str">
        <f>_xlfn.XLOOKUP(C926,menu!A:A,menu!B:B)</f>
        <v>Fried Chicken</v>
      </c>
      <c r="G926" s="10" t="str">
        <f>_xlfn.XLOOKUP(C926,menu!A:A,menu!C:C)</f>
        <v>Starters</v>
      </c>
      <c r="H926" s="10">
        <f>_xlfn.XLOOKUP(C926,menu!A:A,menu!E:E)</f>
        <v>48</v>
      </c>
      <c r="I926" s="10">
        <f t="shared" si="14"/>
        <v>48</v>
      </c>
      <c r="K926" s="10"/>
      <c r="L926" s="5"/>
    </row>
    <row r="927" spans="1:12" x14ac:dyDescent="0.25">
      <c r="A927" s="5" t="s">
        <v>5998</v>
      </c>
      <c r="B927" s="5" t="s">
        <v>5994</v>
      </c>
      <c r="C927" s="5" t="s">
        <v>19</v>
      </c>
      <c r="D927" s="21">
        <v>1</v>
      </c>
      <c r="E927" s="12">
        <v>79</v>
      </c>
      <c r="F927" s="10" t="str">
        <f>_xlfn.XLOOKUP(C927,menu!A:A,menu!B:B)</f>
        <v>Veg Burger</v>
      </c>
      <c r="G927" s="10" t="str">
        <f>_xlfn.XLOOKUP(C927,menu!A:A,menu!C:C)</f>
        <v>Burger</v>
      </c>
      <c r="H927" s="10">
        <f>_xlfn.XLOOKUP(C927,menu!A:A,menu!E:E)</f>
        <v>24</v>
      </c>
      <c r="I927" s="10">
        <f t="shared" si="14"/>
        <v>24</v>
      </c>
      <c r="K927" s="10"/>
      <c r="L927" s="5"/>
    </row>
    <row r="928" spans="1:12" x14ac:dyDescent="0.25">
      <c r="A928" s="5" t="s">
        <v>5997</v>
      </c>
      <c r="B928" s="5" t="s">
        <v>5994</v>
      </c>
      <c r="C928" s="5" t="s">
        <v>52</v>
      </c>
      <c r="D928" s="21">
        <v>2</v>
      </c>
      <c r="E928" s="12">
        <v>198</v>
      </c>
      <c r="F928" s="10" t="str">
        <f>_xlfn.XLOOKUP(C928,menu!A:A,menu!B:B)</f>
        <v>French Fries</v>
      </c>
      <c r="G928" s="10" t="str">
        <f>_xlfn.XLOOKUP(C928,menu!A:A,menu!C:C)</f>
        <v>Starters</v>
      </c>
      <c r="H928" s="10">
        <f>_xlfn.XLOOKUP(C928,menu!A:A,menu!E:E)</f>
        <v>30</v>
      </c>
      <c r="I928" s="10">
        <f t="shared" si="14"/>
        <v>60</v>
      </c>
      <c r="K928" s="10"/>
      <c r="L928" s="5"/>
    </row>
    <row r="929" spans="1:12" x14ac:dyDescent="0.25">
      <c r="A929" s="5" t="s">
        <v>5996</v>
      </c>
      <c r="B929" s="5" t="s">
        <v>5994</v>
      </c>
      <c r="C929" s="5" t="s">
        <v>54</v>
      </c>
      <c r="D929" s="21">
        <v>1</v>
      </c>
      <c r="E929" s="12">
        <v>139</v>
      </c>
      <c r="F929" s="10" t="str">
        <f>_xlfn.XLOOKUP(C929,menu!A:A,menu!B:B)</f>
        <v>Chicken Strips</v>
      </c>
      <c r="G929" s="10" t="str">
        <f>_xlfn.XLOOKUP(C929,menu!A:A,menu!C:C)</f>
        <v>Starters</v>
      </c>
      <c r="H929" s="10">
        <f>_xlfn.XLOOKUP(C929,menu!A:A,menu!E:E)</f>
        <v>42</v>
      </c>
      <c r="I929" s="10">
        <f t="shared" si="14"/>
        <v>42</v>
      </c>
      <c r="K929" s="10"/>
      <c r="L929" s="5"/>
    </row>
    <row r="930" spans="1:12" x14ac:dyDescent="0.25">
      <c r="A930" s="5" t="s">
        <v>5995</v>
      </c>
      <c r="B930" s="5" t="s">
        <v>5994</v>
      </c>
      <c r="C930" s="5" t="s">
        <v>38</v>
      </c>
      <c r="D930" s="21">
        <v>1</v>
      </c>
      <c r="E930" s="12">
        <v>149</v>
      </c>
      <c r="F930" s="10" t="str">
        <f>_xlfn.XLOOKUP(C930,menu!A:A,menu!B:B)</f>
        <v>Chicken Wings</v>
      </c>
      <c r="G930" s="10" t="str">
        <f>_xlfn.XLOOKUP(C930,menu!A:A,menu!C:C)</f>
        <v>Starters</v>
      </c>
      <c r="H930" s="10">
        <f>_xlfn.XLOOKUP(C930,menu!A:A,menu!E:E)</f>
        <v>45</v>
      </c>
      <c r="I930" s="10">
        <f t="shared" si="14"/>
        <v>45</v>
      </c>
      <c r="K930" s="10"/>
      <c r="L930" s="5"/>
    </row>
    <row r="931" spans="1:12" x14ac:dyDescent="0.25">
      <c r="A931" s="5" t="s">
        <v>5993</v>
      </c>
      <c r="B931" s="5" t="s">
        <v>5992</v>
      </c>
      <c r="C931" s="5" t="s">
        <v>52</v>
      </c>
      <c r="D931" s="21">
        <v>1</v>
      </c>
      <c r="E931" s="12">
        <v>99</v>
      </c>
      <c r="F931" s="10" t="str">
        <f>_xlfn.XLOOKUP(C931,menu!A:A,menu!B:B)</f>
        <v>French Fries</v>
      </c>
      <c r="G931" s="10" t="str">
        <f>_xlfn.XLOOKUP(C931,menu!A:A,menu!C:C)</f>
        <v>Starters</v>
      </c>
      <c r="H931" s="10">
        <f>_xlfn.XLOOKUP(C931,menu!A:A,menu!E:E)</f>
        <v>30</v>
      </c>
      <c r="I931" s="10">
        <f t="shared" si="14"/>
        <v>30</v>
      </c>
      <c r="K931" s="10"/>
      <c r="L931" s="5"/>
    </row>
    <row r="932" spans="1:12" x14ac:dyDescent="0.25">
      <c r="A932" s="5" t="s">
        <v>5991</v>
      </c>
      <c r="B932" s="5" t="s">
        <v>5990</v>
      </c>
      <c r="C932" s="5" t="s">
        <v>50</v>
      </c>
      <c r="D932" s="21">
        <v>1</v>
      </c>
      <c r="E932" s="12">
        <v>149</v>
      </c>
      <c r="F932" s="10" t="str">
        <f>_xlfn.XLOOKUP(C932,menu!A:A,menu!B:B)</f>
        <v>Grab Lollipop</v>
      </c>
      <c r="G932" s="10" t="str">
        <f>_xlfn.XLOOKUP(C932,menu!A:A,menu!C:C)</f>
        <v>Starters</v>
      </c>
      <c r="H932" s="10">
        <f>_xlfn.XLOOKUP(C932,menu!A:A,menu!E:E)</f>
        <v>45</v>
      </c>
      <c r="I932" s="10">
        <f t="shared" si="14"/>
        <v>45</v>
      </c>
      <c r="K932" s="10"/>
      <c r="L932" s="5"/>
    </row>
    <row r="933" spans="1:12" x14ac:dyDescent="0.25">
      <c r="A933" s="5" t="s">
        <v>5989</v>
      </c>
      <c r="B933" s="5" t="s">
        <v>5987</v>
      </c>
      <c r="C933" s="5" t="s">
        <v>17</v>
      </c>
      <c r="D933" s="21">
        <v>1</v>
      </c>
      <c r="E933" s="12">
        <v>89</v>
      </c>
      <c r="F933" s="10" t="str">
        <f>_xlfn.XLOOKUP(C933,menu!A:A,menu!B:B)</f>
        <v>Paneer Momos</v>
      </c>
      <c r="G933" s="10" t="str">
        <f>_xlfn.XLOOKUP(C933,menu!A:A,menu!C:C)</f>
        <v>Momos</v>
      </c>
      <c r="H933" s="10">
        <f>_xlfn.XLOOKUP(C933,menu!A:A,menu!E:E)</f>
        <v>27</v>
      </c>
      <c r="I933" s="10">
        <f t="shared" si="14"/>
        <v>27</v>
      </c>
      <c r="K933" s="10"/>
      <c r="L933" s="5"/>
    </row>
    <row r="934" spans="1:12" x14ac:dyDescent="0.25">
      <c r="A934" s="5" t="s">
        <v>5988</v>
      </c>
      <c r="B934" s="5" t="s">
        <v>5987</v>
      </c>
      <c r="C934" s="5" t="s">
        <v>26</v>
      </c>
      <c r="D934" s="21">
        <v>2</v>
      </c>
      <c r="E934" s="12">
        <v>118</v>
      </c>
      <c r="F934" s="10" t="str">
        <f>_xlfn.XLOOKUP(C934,menu!A:A,menu!B:B)</f>
        <v>Veg Roll</v>
      </c>
      <c r="G934" s="10" t="str">
        <f>_xlfn.XLOOKUP(C934,menu!A:A,menu!C:C)</f>
        <v>Rolls</v>
      </c>
      <c r="H934" s="10">
        <f>_xlfn.XLOOKUP(C934,menu!A:A,menu!E:E)</f>
        <v>18</v>
      </c>
      <c r="I934" s="10">
        <f t="shared" si="14"/>
        <v>36</v>
      </c>
      <c r="K934" s="10"/>
      <c r="L934" s="5"/>
    </row>
    <row r="935" spans="1:12" x14ac:dyDescent="0.25">
      <c r="A935" s="5" t="s">
        <v>5986</v>
      </c>
      <c r="B935" s="5" t="s">
        <v>5984</v>
      </c>
      <c r="C935" s="5" t="s">
        <v>52</v>
      </c>
      <c r="D935" s="21">
        <v>1</v>
      </c>
      <c r="E935" s="12">
        <v>99</v>
      </c>
      <c r="F935" s="10" t="str">
        <f>_xlfn.XLOOKUP(C935,menu!A:A,menu!B:B)</f>
        <v>French Fries</v>
      </c>
      <c r="G935" s="10" t="str">
        <f>_xlfn.XLOOKUP(C935,menu!A:A,menu!C:C)</f>
        <v>Starters</v>
      </c>
      <c r="H935" s="10">
        <f>_xlfn.XLOOKUP(C935,menu!A:A,menu!E:E)</f>
        <v>30</v>
      </c>
      <c r="I935" s="10">
        <f t="shared" si="14"/>
        <v>30</v>
      </c>
      <c r="K935" s="10"/>
      <c r="L935" s="5"/>
    </row>
    <row r="936" spans="1:12" x14ac:dyDescent="0.25">
      <c r="A936" s="5" t="s">
        <v>5985</v>
      </c>
      <c r="B936" s="5" t="s">
        <v>5984</v>
      </c>
      <c r="C936" s="5" t="s">
        <v>10</v>
      </c>
      <c r="D936" s="21">
        <v>1</v>
      </c>
      <c r="E936" s="12">
        <v>119</v>
      </c>
      <c r="F936" s="10" t="str">
        <f>_xlfn.XLOOKUP(C936,menu!A:A,menu!B:B)</f>
        <v>Chicken Sandwich</v>
      </c>
      <c r="G936" s="10" t="str">
        <f>_xlfn.XLOOKUP(C936,menu!A:A,menu!C:C)</f>
        <v>Sandwich</v>
      </c>
      <c r="H936" s="10">
        <f>_xlfn.XLOOKUP(C936,menu!A:A,menu!E:E)</f>
        <v>36</v>
      </c>
      <c r="I936" s="10">
        <f t="shared" si="14"/>
        <v>36</v>
      </c>
      <c r="K936" s="10"/>
      <c r="L936" s="5"/>
    </row>
    <row r="937" spans="1:12" x14ac:dyDescent="0.25">
      <c r="A937" s="5" t="s">
        <v>5983</v>
      </c>
      <c r="B937" s="5" t="s">
        <v>5981</v>
      </c>
      <c r="C937" s="5" t="s">
        <v>29</v>
      </c>
      <c r="D937" s="21">
        <v>2</v>
      </c>
      <c r="E937" s="12">
        <v>158</v>
      </c>
      <c r="F937" s="10" t="str">
        <f>_xlfn.XLOOKUP(C937,menu!A:A,menu!B:B)</f>
        <v>Paneer Roll</v>
      </c>
      <c r="G937" s="10" t="str">
        <f>_xlfn.XLOOKUP(C937,menu!A:A,menu!C:C)</f>
        <v>Rolls</v>
      </c>
      <c r="H937" s="10">
        <f>_xlfn.XLOOKUP(C937,menu!A:A,menu!E:E)</f>
        <v>24</v>
      </c>
      <c r="I937" s="10">
        <f t="shared" si="14"/>
        <v>48</v>
      </c>
      <c r="K937" s="10"/>
      <c r="L937" s="5"/>
    </row>
    <row r="938" spans="1:12" x14ac:dyDescent="0.25">
      <c r="A938" s="5" t="s">
        <v>5982</v>
      </c>
      <c r="B938" s="5" t="s">
        <v>5981</v>
      </c>
      <c r="C938" s="5" t="s">
        <v>5</v>
      </c>
      <c r="D938" s="21">
        <v>2</v>
      </c>
      <c r="E938" s="12">
        <v>158</v>
      </c>
      <c r="F938" s="10" t="str">
        <f>_xlfn.XLOOKUP(C938,menu!A:A,menu!B:B)</f>
        <v>Veg Sandwich</v>
      </c>
      <c r="G938" s="10" t="str">
        <f>_xlfn.XLOOKUP(C938,menu!A:A,menu!C:C)</f>
        <v>Sandwich</v>
      </c>
      <c r="H938" s="10">
        <f>_xlfn.XLOOKUP(C938,menu!A:A,menu!E:E)</f>
        <v>24</v>
      </c>
      <c r="I938" s="10">
        <f t="shared" si="14"/>
        <v>48</v>
      </c>
      <c r="K938" s="10"/>
      <c r="L938" s="5"/>
    </row>
    <row r="939" spans="1:12" x14ac:dyDescent="0.25">
      <c r="A939" s="5" t="s">
        <v>5980</v>
      </c>
      <c r="B939" s="5" t="s">
        <v>5978</v>
      </c>
      <c r="C939" s="5" t="s">
        <v>17</v>
      </c>
      <c r="D939" s="21">
        <v>2</v>
      </c>
      <c r="E939" s="12">
        <v>178</v>
      </c>
      <c r="F939" s="10" t="str">
        <f>_xlfn.XLOOKUP(C939,menu!A:A,menu!B:B)</f>
        <v>Paneer Momos</v>
      </c>
      <c r="G939" s="10" t="str">
        <f>_xlfn.XLOOKUP(C939,menu!A:A,menu!C:C)</f>
        <v>Momos</v>
      </c>
      <c r="H939" s="10">
        <f>_xlfn.XLOOKUP(C939,menu!A:A,menu!E:E)</f>
        <v>27</v>
      </c>
      <c r="I939" s="10">
        <f t="shared" si="14"/>
        <v>54</v>
      </c>
      <c r="K939" s="10"/>
      <c r="L939" s="5"/>
    </row>
    <row r="940" spans="1:12" x14ac:dyDescent="0.25">
      <c r="A940" s="5" t="s">
        <v>5979</v>
      </c>
      <c r="B940" s="5" t="s">
        <v>5978</v>
      </c>
      <c r="C940" s="5" t="s">
        <v>10</v>
      </c>
      <c r="D940" s="21">
        <v>2</v>
      </c>
      <c r="E940" s="12">
        <v>238</v>
      </c>
      <c r="F940" s="10" t="str">
        <f>_xlfn.XLOOKUP(C940,menu!A:A,menu!B:B)</f>
        <v>Chicken Sandwich</v>
      </c>
      <c r="G940" s="10" t="str">
        <f>_xlfn.XLOOKUP(C940,menu!A:A,menu!C:C)</f>
        <v>Sandwich</v>
      </c>
      <c r="H940" s="10">
        <f>_xlfn.XLOOKUP(C940,menu!A:A,menu!E:E)</f>
        <v>36</v>
      </c>
      <c r="I940" s="10">
        <f t="shared" si="14"/>
        <v>72</v>
      </c>
      <c r="K940" s="10"/>
      <c r="L940" s="5"/>
    </row>
    <row r="941" spans="1:12" x14ac:dyDescent="0.25">
      <c r="A941" s="5" t="s">
        <v>5977</v>
      </c>
      <c r="B941" s="5" t="s">
        <v>5976</v>
      </c>
      <c r="C941" s="5" t="s">
        <v>54</v>
      </c>
      <c r="D941" s="21">
        <v>4</v>
      </c>
      <c r="E941" s="12">
        <v>556</v>
      </c>
      <c r="F941" s="10" t="str">
        <f>_xlfn.XLOOKUP(C941,menu!A:A,menu!B:B)</f>
        <v>Chicken Strips</v>
      </c>
      <c r="G941" s="10" t="str">
        <f>_xlfn.XLOOKUP(C941,menu!A:A,menu!C:C)</f>
        <v>Starters</v>
      </c>
      <c r="H941" s="10">
        <f>_xlfn.XLOOKUP(C941,menu!A:A,menu!E:E)</f>
        <v>42</v>
      </c>
      <c r="I941" s="10">
        <f t="shared" si="14"/>
        <v>168</v>
      </c>
      <c r="K941" s="10"/>
      <c r="L941" s="5"/>
    </row>
    <row r="942" spans="1:12" x14ac:dyDescent="0.25">
      <c r="A942" s="5" t="s">
        <v>5975</v>
      </c>
      <c r="B942" s="5" t="s">
        <v>5972</v>
      </c>
      <c r="C942" s="5" t="s">
        <v>63</v>
      </c>
      <c r="D942" s="21">
        <v>1</v>
      </c>
      <c r="E942" s="12">
        <v>79</v>
      </c>
      <c r="F942" s="10" t="str">
        <f>_xlfn.XLOOKUP(C942,menu!A:A,menu!B:B)</f>
        <v>Virgin Mojito</v>
      </c>
      <c r="G942" s="10" t="str">
        <f>_xlfn.XLOOKUP(C942,menu!A:A,menu!C:C)</f>
        <v>Beverages</v>
      </c>
      <c r="H942" s="10">
        <f>_xlfn.XLOOKUP(C942,menu!A:A,menu!E:E)</f>
        <v>24</v>
      </c>
      <c r="I942" s="10">
        <f t="shared" si="14"/>
        <v>24</v>
      </c>
      <c r="K942" s="10"/>
      <c r="L942" s="5"/>
    </row>
    <row r="943" spans="1:12" x14ac:dyDescent="0.25">
      <c r="A943" s="5" t="s">
        <v>5974</v>
      </c>
      <c r="B943" s="5" t="s">
        <v>5972</v>
      </c>
      <c r="C943" s="5" t="s">
        <v>26</v>
      </c>
      <c r="D943" s="21">
        <v>1</v>
      </c>
      <c r="E943" s="12">
        <v>59</v>
      </c>
      <c r="F943" s="10" t="str">
        <f>_xlfn.XLOOKUP(C943,menu!A:A,menu!B:B)</f>
        <v>Veg Roll</v>
      </c>
      <c r="G943" s="10" t="str">
        <f>_xlfn.XLOOKUP(C943,menu!A:A,menu!C:C)</f>
        <v>Rolls</v>
      </c>
      <c r="H943" s="10">
        <f>_xlfn.XLOOKUP(C943,menu!A:A,menu!E:E)</f>
        <v>18</v>
      </c>
      <c r="I943" s="10">
        <f t="shared" si="14"/>
        <v>18</v>
      </c>
      <c r="K943" s="10"/>
      <c r="L943" s="5"/>
    </row>
    <row r="944" spans="1:12" x14ac:dyDescent="0.25">
      <c r="A944" s="5" t="s">
        <v>5973</v>
      </c>
      <c r="B944" s="5" t="s">
        <v>5972</v>
      </c>
      <c r="C944" s="5" t="s">
        <v>48</v>
      </c>
      <c r="D944" s="21">
        <v>5</v>
      </c>
      <c r="E944" s="12">
        <v>795</v>
      </c>
      <c r="F944" s="10" t="str">
        <f>_xlfn.XLOOKUP(C944,menu!A:A,menu!B:B)</f>
        <v>Chicken Lollipop</v>
      </c>
      <c r="G944" s="10" t="str">
        <f>_xlfn.XLOOKUP(C944,menu!A:A,menu!C:C)</f>
        <v>Starters</v>
      </c>
      <c r="H944" s="10">
        <f>_xlfn.XLOOKUP(C944,menu!A:A,menu!E:E)</f>
        <v>48</v>
      </c>
      <c r="I944" s="10">
        <f t="shared" si="14"/>
        <v>240</v>
      </c>
      <c r="K944" s="10"/>
      <c r="L944" s="5"/>
    </row>
    <row r="945" spans="1:12" x14ac:dyDescent="0.25">
      <c r="A945" s="5" t="s">
        <v>5971</v>
      </c>
      <c r="B945" s="5" t="s">
        <v>5967</v>
      </c>
      <c r="C945" s="5" t="s">
        <v>17</v>
      </c>
      <c r="D945" s="21">
        <v>1</v>
      </c>
      <c r="E945" s="12">
        <v>89</v>
      </c>
      <c r="F945" s="10" t="str">
        <f>_xlfn.XLOOKUP(C945,menu!A:A,menu!B:B)</f>
        <v>Paneer Momos</v>
      </c>
      <c r="G945" s="10" t="str">
        <f>_xlfn.XLOOKUP(C945,menu!A:A,menu!C:C)</f>
        <v>Momos</v>
      </c>
      <c r="H945" s="10">
        <f>_xlfn.XLOOKUP(C945,menu!A:A,menu!E:E)</f>
        <v>27</v>
      </c>
      <c r="I945" s="10">
        <f t="shared" si="14"/>
        <v>27</v>
      </c>
      <c r="K945" s="10"/>
      <c r="L945" s="5"/>
    </row>
    <row r="946" spans="1:12" x14ac:dyDescent="0.25">
      <c r="A946" s="5" t="s">
        <v>5970</v>
      </c>
      <c r="B946" s="5" t="s">
        <v>5967</v>
      </c>
      <c r="C946" s="5" t="s">
        <v>19</v>
      </c>
      <c r="D946" s="21">
        <v>3</v>
      </c>
      <c r="E946" s="12">
        <v>237</v>
      </c>
      <c r="F946" s="10" t="str">
        <f>_xlfn.XLOOKUP(C946,menu!A:A,menu!B:B)</f>
        <v>Veg Burger</v>
      </c>
      <c r="G946" s="10" t="str">
        <f>_xlfn.XLOOKUP(C946,menu!A:A,menu!C:C)</f>
        <v>Burger</v>
      </c>
      <c r="H946" s="10">
        <f>_xlfn.XLOOKUP(C946,menu!A:A,menu!E:E)</f>
        <v>24</v>
      </c>
      <c r="I946" s="10">
        <f t="shared" si="14"/>
        <v>72</v>
      </c>
      <c r="K946" s="10"/>
      <c r="L946" s="5"/>
    </row>
    <row r="947" spans="1:12" x14ac:dyDescent="0.25">
      <c r="A947" s="5" t="s">
        <v>5969</v>
      </c>
      <c r="B947" s="5" t="s">
        <v>5967</v>
      </c>
      <c r="C947" s="5" t="s">
        <v>22</v>
      </c>
      <c r="D947" s="21">
        <v>1</v>
      </c>
      <c r="E947" s="12">
        <v>99</v>
      </c>
      <c r="F947" s="10" t="str">
        <f>_xlfn.XLOOKUP(C947,menu!A:A,menu!B:B)</f>
        <v>Chicken Burger</v>
      </c>
      <c r="G947" s="10" t="str">
        <f>_xlfn.XLOOKUP(C947,menu!A:A,menu!C:C)</f>
        <v>Burger</v>
      </c>
      <c r="H947" s="10">
        <f>_xlfn.XLOOKUP(C947,menu!A:A,menu!E:E)</f>
        <v>30</v>
      </c>
      <c r="I947" s="10">
        <f t="shared" si="14"/>
        <v>30</v>
      </c>
      <c r="K947" s="10"/>
      <c r="L947" s="5"/>
    </row>
    <row r="948" spans="1:12" x14ac:dyDescent="0.25">
      <c r="A948" s="5" t="s">
        <v>5968</v>
      </c>
      <c r="B948" s="5" t="s">
        <v>5967</v>
      </c>
      <c r="C948" s="5" t="s">
        <v>24</v>
      </c>
      <c r="D948" s="21">
        <v>1</v>
      </c>
      <c r="E948" s="12">
        <v>89</v>
      </c>
      <c r="F948" s="10" t="str">
        <f>_xlfn.XLOOKUP(C948,menu!A:A,menu!B:B)</f>
        <v>Paneer Burger</v>
      </c>
      <c r="G948" s="10" t="str">
        <f>_xlfn.XLOOKUP(C948,menu!A:A,menu!C:C)</f>
        <v>Burger</v>
      </c>
      <c r="H948" s="10">
        <f>_xlfn.XLOOKUP(C948,menu!A:A,menu!E:E)</f>
        <v>27</v>
      </c>
      <c r="I948" s="10">
        <f t="shared" si="14"/>
        <v>27</v>
      </c>
      <c r="K948" s="10"/>
      <c r="L948" s="5"/>
    </row>
    <row r="949" spans="1:12" x14ac:dyDescent="0.25">
      <c r="A949" s="5" t="s">
        <v>5966</v>
      </c>
      <c r="B949" s="5" t="s">
        <v>5962</v>
      </c>
      <c r="C949" s="5" t="s">
        <v>19</v>
      </c>
      <c r="D949" s="21">
        <v>4</v>
      </c>
      <c r="E949" s="12">
        <v>316</v>
      </c>
      <c r="F949" s="10" t="str">
        <f>_xlfn.XLOOKUP(C949,menu!A:A,menu!B:B)</f>
        <v>Veg Burger</v>
      </c>
      <c r="G949" s="10" t="str">
        <f>_xlfn.XLOOKUP(C949,menu!A:A,menu!C:C)</f>
        <v>Burger</v>
      </c>
      <c r="H949" s="10">
        <f>_xlfn.XLOOKUP(C949,menu!A:A,menu!E:E)</f>
        <v>24</v>
      </c>
      <c r="I949" s="10">
        <f t="shared" si="14"/>
        <v>96</v>
      </c>
      <c r="K949" s="10"/>
      <c r="L949" s="5"/>
    </row>
    <row r="950" spans="1:12" x14ac:dyDescent="0.25">
      <c r="A950" s="5" t="s">
        <v>5965</v>
      </c>
      <c r="B950" s="5" t="s">
        <v>5962</v>
      </c>
      <c r="C950" s="5" t="s">
        <v>52</v>
      </c>
      <c r="D950" s="21">
        <v>5</v>
      </c>
      <c r="E950" s="12">
        <v>495</v>
      </c>
      <c r="F950" s="10" t="str">
        <f>_xlfn.XLOOKUP(C950,menu!A:A,menu!B:B)</f>
        <v>French Fries</v>
      </c>
      <c r="G950" s="10" t="str">
        <f>_xlfn.XLOOKUP(C950,menu!A:A,menu!C:C)</f>
        <v>Starters</v>
      </c>
      <c r="H950" s="10">
        <f>_xlfn.XLOOKUP(C950,menu!A:A,menu!E:E)</f>
        <v>30</v>
      </c>
      <c r="I950" s="10">
        <f t="shared" si="14"/>
        <v>150</v>
      </c>
      <c r="K950" s="10"/>
      <c r="L950" s="5"/>
    </row>
    <row r="951" spans="1:12" x14ac:dyDescent="0.25">
      <c r="A951" s="5" t="s">
        <v>5964</v>
      </c>
      <c r="B951" s="5" t="s">
        <v>5962</v>
      </c>
      <c r="C951" s="5" t="s">
        <v>46</v>
      </c>
      <c r="D951" s="21">
        <v>5</v>
      </c>
      <c r="E951" s="12">
        <v>745</v>
      </c>
      <c r="F951" s="10" t="str">
        <f>_xlfn.XLOOKUP(C951,menu!A:A,menu!B:B)</f>
        <v>Fish Finger</v>
      </c>
      <c r="G951" s="10" t="str">
        <f>_xlfn.XLOOKUP(C951,menu!A:A,menu!C:C)</f>
        <v>Starters</v>
      </c>
      <c r="H951" s="10">
        <f>_xlfn.XLOOKUP(C951,menu!A:A,menu!E:E)</f>
        <v>45</v>
      </c>
      <c r="I951" s="10">
        <f t="shared" si="14"/>
        <v>225</v>
      </c>
      <c r="K951" s="10"/>
      <c r="L951" s="5"/>
    </row>
    <row r="952" spans="1:12" x14ac:dyDescent="0.25">
      <c r="A952" s="5" t="s">
        <v>5963</v>
      </c>
      <c r="B952" s="5" t="s">
        <v>5962</v>
      </c>
      <c r="C952" s="5" t="s">
        <v>24</v>
      </c>
      <c r="D952" s="21">
        <v>4</v>
      </c>
      <c r="E952" s="12">
        <v>356</v>
      </c>
      <c r="F952" s="10" t="str">
        <f>_xlfn.XLOOKUP(C952,menu!A:A,menu!B:B)</f>
        <v>Paneer Burger</v>
      </c>
      <c r="G952" s="10" t="str">
        <f>_xlfn.XLOOKUP(C952,menu!A:A,menu!C:C)</f>
        <v>Burger</v>
      </c>
      <c r="H952" s="10">
        <f>_xlfn.XLOOKUP(C952,menu!A:A,menu!E:E)</f>
        <v>27</v>
      </c>
      <c r="I952" s="10">
        <f t="shared" si="14"/>
        <v>108</v>
      </c>
      <c r="K952" s="10"/>
      <c r="L952" s="5"/>
    </row>
    <row r="953" spans="1:12" x14ac:dyDescent="0.25">
      <c r="A953" s="5" t="s">
        <v>5961</v>
      </c>
      <c r="B953" s="5" t="s">
        <v>5959</v>
      </c>
      <c r="C953" s="5" t="s">
        <v>44</v>
      </c>
      <c r="D953" s="21">
        <v>4</v>
      </c>
      <c r="E953" s="12">
        <v>636</v>
      </c>
      <c r="F953" s="10" t="str">
        <f>_xlfn.XLOOKUP(C953,menu!A:A,menu!B:B)</f>
        <v>Fried Chicken</v>
      </c>
      <c r="G953" s="10" t="str">
        <f>_xlfn.XLOOKUP(C953,menu!A:A,menu!C:C)</f>
        <v>Starters</v>
      </c>
      <c r="H953" s="10">
        <f>_xlfn.XLOOKUP(C953,menu!A:A,menu!E:E)</f>
        <v>48</v>
      </c>
      <c r="I953" s="10">
        <f t="shared" si="14"/>
        <v>192</v>
      </c>
      <c r="K953" s="10"/>
      <c r="L953" s="5"/>
    </row>
    <row r="954" spans="1:12" x14ac:dyDescent="0.25">
      <c r="A954" s="5" t="s">
        <v>5960</v>
      </c>
      <c r="B954" s="5" t="s">
        <v>5959</v>
      </c>
      <c r="C954" s="5" t="s">
        <v>33</v>
      </c>
      <c r="D954" s="21">
        <v>3</v>
      </c>
      <c r="E954" s="12">
        <v>207</v>
      </c>
      <c r="F954" s="10" t="str">
        <f>_xlfn.XLOOKUP(C954,menu!A:A,menu!B:B)</f>
        <v>Spring Roll</v>
      </c>
      <c r="G954" s="10" t="str">
        <f>_xlfn.XLOOKUP(C954,menu!A:A,menu!C:C)</f>
        <v>Rolls</v>
      </c>
      <c r="H954" s="10">
        <f>_xlfn.XLOOKUP(C954,menu!A:A,menu!E:E)</f>
        <v>21</v>
      </c>
      <c r="I954" s="10">
        <f t="shared" si="14"/>
        <v>63</v>
      </c>
      <c r="K954" s="10"/>
      <c r="L954" s="5"/>
    </row>
    <row r="955" spans="1:12" x14ac:dyDescent="0.25">
      <c r="A955" s="5" t="s">
        <v>5958</v>
      </c>
      <c r="B955" s="5" t="s">
        <v>5954</v>
      </c>
      <c r="C955" s="5" t="s">
        <v>19</v>
      </c>
      <c r="D955" s="21">
        <v>2</v>
      </c>
      <c r="E955" s="12">
        <v>158</v>
      </c>
      <c r="F955" s="10" t="str">
        <f>_xlfn.XLOOKUP(C955,menu!A:A,menu!B:B)</f>
        <v>Veg Burger</v>
      </c>
      <c r="G955" s="10" t="str">
        <f>_xlfn.XLOOKUP(C955,menu!A:A,menu!C:C)</f>
        <v>Burger</v>
      </c>
      <c r="H955" s="10">
        <f>_xlfn.XLOOKUP(C955,menu!A:A,menu!E:E)</f>
        <v>24</v>
      </c>
      <c r="I955" s="10">
        <f t="shared" si="14"/>
        <v>48</v>
      </c>
      <c r="K955" s="10"/>
      <c r="L955" s="5"/>
    </row>
    <row r="956" spans="1:12" x14ac:dyDescent="0.25">
      <c r="A956" s="5" t="s">
        <v>5957</v>
      </c>
      <c r="B956" s="5" t="s">
        <v>5954</v>
      </c>
      <c r="C956" s="5" t="s">
        <v>63</v>
      </c>
      <c r="D956" s="21">
        <v>2</v>
      </c>
      <c r="E956" s="12">
        <v>158</v>
      </c>
      <c r="F956" s="10" t="str">
        <f>_xlfn.XLOOKUP(C956,menu!A:A,menu!B:B)</f>
        <v>Virgin Mojito</v>
      </c>
      <c r="G956" s="10" t="str">
        <f>_xlfn.XLOOKUP(C956,menu!A:A,menu!C:C)</f>
        <v>Beverages</v>
      </c>
      <c r="H956" s="10">
        <f>_xlfn.XLOOKUP(C956,menu!A:A,menu!E:E)</f>
        <v>24</v>
      </c>
      <c r="I956" s="10">
        <f t="shared" si="14"/>
        <v>48</v>
      </c>
      <c r="K956" s="10"/>
      <c r="L956" s="5"/>
    </row>
    <row r="957" spans="1:12" x14ac:dyDescent="0.25">
      <c r="A957" s="5" t="s">
        <v>5956</v>
      </c>
      <c r="B957" s="5" t="s">
        <v>5954</v>
      </c>
      <c r="C957" s="5" t="s">
        <v>10</v>
      </c>
      <c r="D957" s="21">
        <v>1</v>
      </c>
      <c r="E957" s="12">
        <v>119</v>
      </c>
      <c r="F957" s="10" t="str">
        <f>_xlfn.XLOOKUP(C957,menu!A:A,menu!B:B)</f>
        <v>Chicken Sandwich</v>
      </c>
      <c r="G957" s="10" t="str">
        <f>_xlfn.XLOOKUP(C957,menu!A:A,menu!C:C)</f>
        <v>Sandwich</v>
      </c>
      <c r="H957" s="10">
        <f>_xlfn.XLOOKUP(C957,menu!A:A,menu!E:E)</f>
        <v>36</v>
      </c>
      <c r="I957" s="10">
        <f t="shared" si="14"/>
        <v>36</v>
      </c>
      <c r="K957" s="10"/>
      <c r="L957" s="5"/>
    </row>
    <row r="958" spans="1:12" x14ac:dyDescent="0.25">
      <c r="A958" s="5" t="s">
        <v>5955</v>
      </c>
      <c r="B958" s="5" t="s">
        <v>5954</v>
      </c>
      <c r="C958" s="5" t="s">
        <v>56</v>
      </c>
      <c r="D958" s="21">
        <v>2</v>
      </c>
      <c r="E958" s="12">
        <v>158</v>
      </c>
      <c r="F958" s="10" t="str">
        <f>_xlfn.XLOOKUP(C958,menu!A:A,menu!B:B)</f>
        <v>Mint Mojito</v>
      </c>
      <c r="G958" s="10" t="str">
        <f>_xlfn.XLOOKUP(C958,menu!A:A,menu!C:C)</f>
        <v>Beverages</v>
      </c>
      <c r="H958" s="10">
        <f>_xlfn.XLOOKUP(C958,menu!A:A,menu!E:E)</f>
        <v>24</v>
      </c>
      <c r="I958" s="10">
        <f t="shared" si="14"/>
        <v>48</v>
      </c>
      <c r="K958" s="10"/>
      <c r="L958" s="5"/>
    </row>
    <row r="959" spans="1:12" x14ac:dyDescent="0.25">
      <c r="A959" s="5" t="s">
        <v>5953</v>
      </c>
      <c r="B959" s="5" t="s">
        <v>5950</v>
      </c>
      <c r="C959" s="5" t="s">
        <v>38</v>
      </c>
      <c r="D959" s="21">
        <v>1</v>
      </c>
      <c r="E959" s="12">
        <v>149</v>
      </c>
      <c r="F959" s="10" t="str">
        <f>_xlfn.XLOOKUP(C959,menu!A:A,menu!B:B)</f>
        <v>Chicken Wings</v>
      </c>
      <c r="G959" s="10" t="str">
        <f>_xlfn.XLOOKUP(C959,menu!A:A,menu!C:C)</f>
        <v>Starters</v>
      </c>
      <c r="H959" s="10">
        <f>_xlfn.XLOOKUP(C959,menu!A:A,menu!E:E)</f>
        <v>45</v>
      </c>
      <c r="I959" s="10">
        <f t="shared" si="14"/>
        <v>45</v>
      </c>
      <c r="K959" s="10"/>
      <c r="L959" s="5"/>
    </row>
    <row r="960" spans="1:12" x14ac:dyDescent="0.25">
      <c r="A960" s="5" t="s">
        <v>5952</v>
      </c>
      <c r="B960" s="5" t="s">
        <v>5950</v>
      </c>
      <c r="C960" s="5" t="s">
        <v>22</v>
      </c>
      <c r="D960" s="21">
        <v>4</v>
      </c>
      <c r="E960" s="12">
        <v>396</v>
      </c>
      <c r="F960" s="10" t="str">
        <f>_xlfn.XLOOKUP(C960,menu!A:A,menu!B:B)</f>
        <v>Chicken Burger</v>
      </c>
      <c r="G960" s="10" t="str">
        <f>_xlfn.XLOOKUP(C960,menu!A:A,menu!C:C)</f>
        <v>Burger</v>
      </c>
      <c r="H960" s="10">
        <f>_xlfn.XLOOKUP(C960,menu!A:A,menu!E:E)</f>
        <v>30</v>
      </c>
      <c r="I960" s="10">
        <f t="shared" si="14"/>
        <v>120</v>
      </c>
      <c r="K960" s="10"/>
      <c r="L960" s="5"/>
    </row>
    <row r="961" spans="1:12" x14ac:dyDescent="0.25">
      <c r="A961" s="5" t="s">
        <v>5951</v>
      </c>
      <c r="B961" s="5" t="s">
        <v>5950</v>
      </c>
      <c r="C961" s="5" t="s">
        <v>48</v>
      </c>
      <c r="D961" s="21">
        <v>2</v>
      </c>
      <c r="E961" s="12">
        <v>318</v>
      </c>
      <c r="F961" s="10" t="str">
        <f>_xlfn.XLOOKUP(C961,menu!A:A,menu!B:B)</f>
        <v>Chicken Lollipop</v>
      </c>
      <c r="G961" s="10" t="str">
        <f>_xlfn.XLOOKUP(C961,menu!A:A,menu!C:C)</f>
        <v>Starters</v>
      </c>
      <c r="H961" s="10">
        <f>_xlfn.XLOOKUP(C961,menu!A:A,menu!E:E)</f>
        <v>48</v>
      </c>
      <c r="I961" s="10">
        <f t="shared" si="14"/>
        <v>96</v>
      </c>
      <c r="K961" s="10"/>
      <c r="L961" s="5"/>
    </row>
    <row r="962" spans="1:12" x14ac:dyDescent="0.25">
      <c r="A962" s="5" t="s">
        <v>5949</v>
      </c>
      <c r="B962" s="5" t="s">
        <v>5947</v>
      </c>
      <c r="C962" s="5" t="s">
        <v>54</v>
      </c>
      <c r="D962" s="21">
        <v>1</v>
      </c>
      <c r="E962" s="12">
        <v>139</v>
      </c>
      <c r="F962" s="10" t="str">
        <f>_xlfn.XLOOKUP(C962,menu!A:A,menu!B:B)</f>
        <v>Chicken Strips</v>
      </c>
      <c r="G962" s="10" t="str">
        <f>_xlfn.XLOOKUP(C962,menu!A:A,menu!C:C)</f>
        <v>Starters</v>
      </c>
      <c r="H962" s="10">
        <f>_xlfn.XLOOKUP(C962,menu!A:A,menu!E:E)</f>
        <v>42</v>
      </c>
      <c r="I962" s="10">
        <f t="shared" si="14"/>
        <v>42</v>
      </c>
      <c r="K962" s="10"/>
      <c r="L962" s="5"/>
    </row>
    <row r="963" spans="1:12" x14ac:dyDescent="0.25">
      <c r="A963" s="5" t="s">
        <v>5948</v>
      </c>
      <c r="B963" s="5" t="s">
        <v>5947</v>
      </c>
      <c r="C963" s="5" t="s">
        <v>22</v>
      </c>
      <c r="D963" s="21">
        <v>3</v>
      </c>
      <c r="E963" s="12">
        <v>297</v>
      </c>
      <c r="F963" s="10" t="str">
        <f>_xlfn.XLOOKUP(C963,menu!A:A,menu!B:B)</f>
        <v>Chicken Burger</v>
      </c>
      <c r="G963" s="10" t="str">
        <f>_xlfn.XLOOKUP(C963,menu!A:A,menu!C:C)</f>
        <v>Burger</v>
      </c>
      <c r="H963" s="10">
        <f>_xlfn.XLOOKUP(C963,menu!A:A,menu!E:E)</f>
        <v>30</v>
      </c>
      <c r="I963" s="10">
        <f t="shared" ref="I963:I1026" si="15">D963*H963</f>
        <v>90</v>
      </c>
      <c r="K963" s="10"/>
      <c r="L963" s="5"/>
    </row>
    <row r="964" spans="1:12" x14ac:dyDescent="0.25">
      <c r="A964" s="5" t="s">
        <v>5946</v>
      </c>
      <c r="B964" s="5" t="s">
        <v>5944</v>
      </c>
      <c r="C964" s="5" t="s">
        <v>52</v>
      </c>
      <c r="D964" s="21">
        <v>1</v>
      </c>
      <c r="E964" s="12">
        <v>99</v>
      </c>
      <c r="F964" s="10" t="str">
        <f>_xlfn.XLOOKUP(C964,menu!A:A,menu!B:B)</f>
        <v>French Fries</v>
      </c>
      <c r="G964" s="10" t="str">
        <f>_xlfn.XLOOKUP(C964,menu!A:A,menu!C:C)</f>
        <v>Starters</v>
      </c>
      <c r="H964" s="10">
        <f>_xlfn.XLOOKUP(C964,menu!A:A,menu!E:E)</f>
        <v>30</v>
      </c>
      <c r="I964" s="10">
        <f t="shared" si="15"/>
        <v>30</v>
      </c>
      <c r="K964" s="10"/>
      <c r="L964" s="5"/>
    </row>
    <row r="965" spans="1:12" x14ac:dyDescent="0.25">
      <c r="A965" s="5" t="s">
        <v>5945</v>
      </c>
      <c r="B965" s="5" t="s">
        <v>5944</v>
      </c>
      <c r="C965" s="5" t="s">
        <v>33</v>
      </c>
      <c r="D965" s="21">
        <v>1</v>
      </c>
      <c r="E965" s="12">
        <v>69</v>
      </c>
      <c r="F965" s="10" t="str">
        <f>_xlfn.XLOOKUP(C965,menu!A:A,menu!B:B)</f>
        <v>Spring Roll</v>
      </c>
      <c r="G965" s="10" t="str">
        <f>_xlfn.XLOOKUP(C965,menu!A:A,menu!C:C)</f>
        <v>Rolls</v>
      </c>
      <c r="H965" s="10">
        <f>_xlfn.XLOOKUP(C965,menu!A:A,menu!E:E)</f>
        <v>21</v>
      </c>
      <c r="I965" s="10">
        <f t="shared" si="15"/>
        <v>21</v>
      </c>
      <c r="K965" s="10"/>
      <c r="L965" s="5"/>
    </row>
    <row r="966" spans="1:12" x14ac:dyDescent="0.25">
      <c r="A966" s="5" t="s">
        <v>5943</v>
      </c>
      <c r="B966" s="5" t="s">
        <v>5940</v>
      </c>
      <c r="C966" s="5" t="s">
        <v>19</v>
      </c>
      <c r="D966" s="21">
        <v>1</v>
      </c>
      <c r="E966" s="12">
        <v>79</v>
      </c>
      <c r="F966" s="10" t="str">
        <f>_xlfn.XLOOKUP(C966,menu!A:A,menu!B:B)</f>
        <v>Veg Burger</v>
      </c>
      <c r="G966" s="10" t="str">
        <f>_xlfn.XLOOKUP(C966,menu!A:A,menu!C:C)</f>
        <v>Burger</v>
      </c>
      <c r="H966" s="10">
        <f>_xlfn.XLOOKUP(C966,menu!A:A,menu!E:E)</f>
        <v>24</v>
      </c>
      <c r="I966" s="10">
        <f t="shared" si="15"/>
        <v>24</v>
      </c>
      <c r="K966" s="10"/>
      <c r="L966" s="5"/>
    </row>
    <row r="967" spans="1:12" x14ac:dyDescent="0.25">
      <c r="A967" s="5" t="s">
        <v>5942</v>
      </c>
      <c r="B967" s="5" t="s">
        <v>5940</v>
      </c>
      <c r="C967" s="5" t="s">
        <v>10</v>
      </c>
      <c r="D967" s="21">
        <v>1</v>
      </c>
      <c r="E967" s="12">
        <v>119</v>
      </c>
      <c r="F967" s="10" t="str">
        <f>_xlfn.XLOOKUP(C967,menu!A:A,menu!B:B)</f>
        <v>Chicken Sandwich</v>
      </c>
      <c r="G967" s="10" t="str">
        <f>_xlfn.XLOOKUP(C967,menu!A:A,menu!C:C)</f>
        <v>Sandwich</v>
      </c>
      <c r="H967" s="10">
        <f>_xlfn.XLOOKUP(C967,menu!A:A,menu!E:E)</f>
        <v>36</v>
      </c>
      <c r="I967" s="10">
        <f t="shared" si="15"/>
        <v>36</v>
      </c>
      <c r="K967" s="10"/>
      <c r="L967" s="5"/>
    </row>
    <row r="968" spans="1:12" x14ac:dyDescent="0.25">
      <c r="A968" s="5" t="s">
        <v>5941</v>
      </c>
      <c r="B968" s="5" t="s">
        <v>5940</v>
      </c>
      <c r="C968" s="5" t="s">
        <v>22</v>
      </c>
      <c r="D968" s="21">
        <v>2</v>
      </c>
      <c r="E968" s="12">
        <v>198</v>
      </c>
      <c r="F968" s="10" t="str">
        <f>_xlfn.XLOOKUP(C968,menu!A:A,menu!B:B)</f>
        <v>Chicken Burger</v>
      </c>
      <c r="G968" s="10" t="str">
        <f>_xlfn.XLOOKUP(C968,menu!A:A,menu!C:C)</f>
        <v>Burger</v>
      </c>
      <c r="H968" s="10">
        <f>_xlfn.XLOOKUP(C968,menu!A:A,menu!E:E)</f>
        <v>30</v>
      </c>
      <c r="I968" s="10">
        <f t="shared" si="15"/>
        <v>60</v>
      </c>
      <c r="K968" s="10"/>
      <c r="L968" s="5"/>
    </row>
    <row r="969" spans="1:12" x14ac:dyDescent="0.25">
      <c r="A969" s="5" t="s">
        <v>5939</v>
      </c>
      <c r="B969" s="5" t="s">
        <v>5937</v>
      </c>
      <c r="C969" s="5" t="s">
        <v>50</v>
      </c>
      <c r="D969" s="21">
        <v>3</v>
      </c>
      <c r="E969" s="12">
        <v>447</v>
      </c>
      <c r="F969" s="10" t="str">
        <f>_xlfn.XLOOKUP(C969,menu!A:A,menu!B:B)</f>
        <v>Grab Lollipop</v>
      </c>
      <c r="G969" s="10" t="str">
        <f>_xlfn.XLOOKUP(C969,menu!A:A,menu!C:C)</f>
        <v>Starters</v>
      </c>
      <c r="H969" s="10">
        <f>_xlfn.XLOOKUP(C969,menu!A:A,menu!E:E)</f>
        <v>45</v>
      </c>
      <c r="I969" s="10">
        <f t="shared" si="15"/>
        <v>135</v>
      </c>
      <c r="K969" s="10"/>
      <c r="L969" s="5"/>
    </row>
    <row r="970" spans="1:12" x14ac:dyDescent="0.25">
      <c r="A970" s="5" t="s">
        <v>5938</v>
      </c>
      <c r="B970" s="5" t="s">
        <v>5937</v>
      </c>
      <c r="C970" s="5" t="s">
        <v>65</v>
      </c>
      <c r="D970" s="21">
        <v>4</v>
      </c>
      <c r="E970" s="12">
        <v>196</v>
      </c>
      <c r="F970" s="10" t="str">
        <f>_xlfn.XLOOKUP(C970,menu!A:A,menu!B:B)</f>
        <v>Lemon Juice</v>
      </c>
      <c r="G970" s="10" t="str">
        <f>_xlfn.XLOOKUP(C970,menu!A:A,menu!C:C)</f>
        <v>Beverages</v>
      </c>
      <c r="H970" s="10">
        <f>_xlfn.XLOOKUP(C970,menu!A:A,menu!E:E)</f>
        <v>15</v>
      </c>
      <c r="I970" s="10">
        <f t="shared" si="15"/>
        <v>60</v>
      </c>
      <c r="K970" s="10"/>
      <c r="L970" s="5"/>
    </row>
    <row r="971" spans="1:12" x14ac:dyDescent="0.25">
      <c r="A971" s="5" t="s">
        <v>5936</v>
      </c>
      <c r="B971" s="5" t="s">
        <v>5933</v>
      </c>
      <c r="C971" s="5" t="s">
        <v>63</v>
      </c>
      <c r="D971" s="21">
        <v>1</v>
      </c>
      <c r="E971" s="12">
        <v>79</v>
      </c>
      <c r="F971" s="10" t="str">
        <f>_xlfn.XLOOKUP(C971,menu!A:A,menu!B:B)</f>
        <v>Virgin Mojito</v>
      </c>
      <c r="G971" s="10" t="str">
        <f>_xlfn.XLOOKUP(C971,menu!A:A,menu!C:C)</f>
        <v>Beverages</v>
      </c>
      <c r="H971" s="10">
        <f>_xlfn.XLOOKUP(C971,menu!A:A,menu!E:E)</f>
        <v>24</v>
      </c>
      <c r="I971" s="10">
        <f t="shared" si="15"/>
        <v>24</v>
      </c>
      <c r="K971" s="10"/>
      <c r="L971" s="5"/>
    </row>
    <row r="972" spans="1:12" x14ac:dyDescent="0.25">
      <c r="A972" s="5" t="s">
        <v>5935</v>
      </c>
      <c r="B972" s="5" t="s">
        <v>5933</v>
      </c>
      <c r="C972" s="5" t="s">
        <v>54</v>
      </c>
      <c r="D972" s="21">
        <v>2</v>
      </c>
      <c r="E972" s="12">
        <v>278</v>
      </c>
      <c r="F972" s="10" t="str">
        <f>_xlfn.XLOOKUP(C972,menu!A:A,menu!B:B)</f>
        <v>Chicken Strips</v>
      </c>
      <c r="G972" s="10" t="str">
        <f>_xlfn.XLOOKUP(C972,menu!A:A,menu!C:C)</f>
        <v>Starters</v>
      </c>
      <c r="H972" s="10">
        <f>_xlfn.XLOOKUP(C972,menu!A:A,menu!E:E)</f>
        <v>42</v>
      </c>
      <c r="I972" s="10">
        <f t="shared" si="15"/>
        <v>84</v>
      </c>
      <c r="K972" s="10"/>
      <c r="L972" s="5"/>
    </row>
    <row r="973" spans="1:12" x14ac:dyDescent="0.25">
      <c r="A973" s="5" t="s">
        <v>5934</v>
      </c>
      <c r="B973" s="5" t="s">
        <v>5933</v>
      </c>
      <c r="C973" s="5" t="s">
        <v>65</v>
      </c>
      <c r="D973" s="21">
        <v>1</v>
      </c>
      <c r="E973" s="12">
        <v>49</v>
      </c>
      <c r="F973" s="10" t="str">
        <f>_xlfn.XLOOKUP(C973,menu!A:A,menu!B:B)</f>
        <v>Lemon Juice</v>
      </c>
      <c r="G973" s="10" t="str">
        <f>_xlfn.XLOOKUP(C973,menu!A:A,menu!C:C)</f>
        <v>Beverages</v>
      </c>
      <c r="H973" s="10">
        <f>_xlfn.XLOOKUP(C973,menu!A:A,menu!E:E)</f>
        <v>15</v>
      </c>
      <c r="I973" s="10">
        <f t="shared" si="15"/>
        <v>15</v>
      </c>
      <c r="K973" s="10"/>
      <c r="L973" s="5"/>
    </row>
    <row r="974" spans="1:12" x14ac:dyDescent="0.25">
      <c r="A974" s="5" t="s">
        <v>5932</v>
      </c>
      <c r="B974" s="5" t="s">
        <v>5929</v>
      </c>
      <c r="C974" s="5" t="s">
        <v>35</v>
      </c>
      <c r="D974" s="21">
        <v>3</v>
      </c>
      <c r="E974" s="12">
        <v>357</v>
      </c>
      <c r="F974" s="10" t="str">
        <f>_xlfn.XLOOKUP(C974,menu!A:A,menu!B:B)</f>
        <v>Chicken Nuggets</v>
      </c>
      <c r="G974" s="10" t="str">
        <f>_xlfn.XLOOKUP(C974,menu!A:A,menu!C:C)</f>
        <v>Starters</v>
      </c>
      <c r="H974" s="10">
        <f>_xlfn.XLOOKUP(C974,menu!A:A,menu!E:E)</f>
        <v>36</v>
      </c>
      <c r="I974" s="10">
        <f t="shared" si="15"/>
        <v>108</v>
      </c>
      <c r="K974" s="10"/>
      <c r="L974" s="5"/>
    </row>
    <row r="975" spans="1:12" x14ac:dyDescent="0.25">
      <c r="A975" s="5" t="s">
        <v>5931</v>
      </c>
      <c r="B975" s="5" t="s">
        <v>5929</v>
      </c>
      <c r="C975" s="5" t="s">
        <v>33</v>
      </c>
      <c r="D975" s="21">
        <v>1</v>
      </c>
      <c r="E975" s="12">
        <v>69</v>
      </c>
      <c r="F975" s="10" t="str">
        <f>_xlfn.XLOOKUP(C975,menu!A:A,menu!B:B)</f>
        <v>Spring Roll</v>
      </c>
      <c r="G975" s="10" t="str">
        <f>_xlfn.XLOOKUP(C975,menu!A:A,menu!C:C)</f>
        <v>Rolls</v>
      </c>
      <c r="H975" s="10">
        <f>_xlfn.XLOOKUP(C975,menu!A:A,menu!E:E)</f>
        <v>21</v>
      </c>
      <c r="I975" s="10">
        <f t="shared" si="15"/>
        <v>21</v>
      </c>
      <c r="K975" s="10"/>
      <c r="L975" s="5"/>
    </row>
    <row r="976" spans="1:12" x14ac:dyDescent="0.25">
      <c r="A976" s="5" t="s">
        <v>5930</v>
      </c>
      <c r="B976" s="5" t="s">
        <v>5929</v>
      </c>
      <c r="C976" s="5" t="s">
        <v>61</v>
      </c>
      <c r="D976" s="21">
        <v>1</v>
      </c>
      <c r="E976" s="12">
        <v>79</v>
      </c>
      <c r="F976" s="10" t="str">
        <f>_xlfn.XLOOKUP(C976,menu!A:A,menu!B:B)</f>
        <v>Watermelon Mojito</v>
      </c>
      <c r="G976" s="10" t="str">
        <f>_xlfn.XLOOKUP(C976,menu!A:A,menu!C:C)</f>
        <v>Beverages</v>
      </c>
      <c r="H976" s="10">
        <f>_xlfn.XLOOKUP(C976,menu!A:A,menu!E:E)</f>
        <v>24</v>
      </c>
      <c r="I976" s="10">
        <f t="shared" si="15"/>
        <v>24</v>
      </c>
      <c r="K976" s="10"/>
      <c r="L976" s="5"/>
    </row>
    <row r="977" spans="1:12" x14ac:dyDescent="0.25">
      <c r="A977" s="5" t="s">
        <v>5928</v>
      </c>
      <c r="B977" s="5" t="s">
        <v>5926</v>
      </c>
      <c r="C977" s="5" t="s">
        <v>46</v>
      </c>
      <c r="D977" s="21">
        <v>3</v>
      </c>
      <c r="E977" s="12">
        <v>447</v>
      </c>
      <c r="F977" s="10" t="str">
        <f>_xlfn.XLOOKUP(C977,menu!A:A,menu!B:B)</f>
        <v>Fish Finger</v>
      </c>
      <c r="G977" s="10" t="str">
        <f>_xlfn.XLOOKUP(C977,menu!A:A,menu!C:C)</f>
        <v>Starters</v>
      </c>
      <c r="H977" s="10">
        <f>_xlfn.XLOOKUP(C977,menu!A:A,menu!E:E)</f>
        <v>45</v>
      </c>
      <c r="I977" s="10">
        <f t="shared" si="15"/>
        <v>135</v>
      </c>
      <c r="K977" s="10"/>
      <c r="L977" s="5"/>
    </row>
    <row r="978" spans="1:12" x14ac:dyDescent="0.25">
      <c r="A978" s="5" t="s">
        <v>5927</v>
      </c>
      <c r="B978" s="5" t="s">
        <v>5926</v>
      </c>
      <c r="C978" s="5" t="s">
        <v>33</v>
      </c>
      <c r="D978" s="21">
        <v>2</v>
      </c>
      <c r="E978" s="12">
        <v>138</v>
      </c>
      <c r="F978" s="10" t="str">
        <f>_xlfn.XLOOKUP(C978,menu!A:A,menu!B:B)</f>
        <v>Spring Roll</v>
      </c>
      <c r="G978" s="10" t="str">
        <f>_xlfn.XLOOKUP(C978,menu!A:A,menu!C:C)</f>
        <v>Rolls</v>
      </c>
      <c r="H978" s="10">
        <f>_xlfn.XLOOKUP(C978,menu!A:A,menu!E:E)</f>
        <v>21</v>
      </c>
      <c r="I978" s="10">
        <f t="shared" si="15"/>
        <v>42</v>
      </c>
      <c r="K978" s="10"/>
      <c r="L978" s="5"/>
    </row>
    <row r="979" spans="1:12" x14ac:dyDescent="0.25">
      <c r="A979" s="5" t="s">
        <v>5925</v>
      </c>
      <c r="B979" s="5" t="s">
        <v>5923</v>
      </c>
      <c r="C979" s="5" t="s">
        <v>40</v>
      </c>
      <c r="D979" s="21">
        <v>1</v>
      </c>
      <c r="E979" s="12">
        <v>99</v>
      </c>
      <c r="F979" s="10" t="str">
        <f>_xlfn.XLOOKUP(C979,menu!A:A,menu!B:B)</f>
        <v>Veg Nuggets</v>
      </c>
      <c r="G979" s="10" t="str">
        <f>_xlfn.XLOOKUP(C979,menu!A:A,menu!C:C)</f>
        <v>Starters</v>
      </c>
      <c r="H979" s="10">
        <f>_xlfn.XLOOKUP(C979,menu!A:A,menu!E:E)</f>
        <v>30</v>
      </c>
      <c r="I979" s="10">
        <f t="shared" si="15"/>
        <v>30</v>
      </c>
      <c r="K979" s="10"/>
      <c r="L979" s="5"/>
    </row>
    <row r="980" spans="1:12" x14ac:dyDescent="0.25">
      <c r="A980" s="5" t="s">
        <v>5924</v>
      </c>
      <c r="B980" s="5" t="s">
        <v>5923</v>
      </c>
      <c r="C980" s="5" t="s">
        <v>31</v>
      </c>
      <c r="D980" s="21">
        <v>1</v>
      </c>
      <c r="E980" s="12">
        <v>89</v>
      </c>
      <c r="F980" s="10" t="str">
        <f>_xlfn.XLOOKUP(C980,menu!A:A,menu!B:B)</f>
        <v>Chicken Roll</v>
      </c>
      <c r="G980" s="10" t="str">
        <f>_xlfn.XLOOKUP(C980,menu!A:A,menu!C:C)</f>
        <v>Rolls</v>
      </c>
      <c r="H980" s="10">
        <f>_xlfn.XLOOKUP(C980,menu!A:A,menu!E:E)</f>
        <v>27</v>
      </c>
      <c r="I980" s="10">
        <f t="shared" si="15"/>
        <v>27</v>
      </c>
      <c r="K980" s="10"/>
      <c r="L980" s="5"/>
    </row>
    <row r="981" spans="1:12" x14ac:dyDescent="0.25">
      <c r="A981" s="5" t="s">
        <v>5922</v>
      </c>
      <c r="B981" s="5" t="s">
        <v>5920</v>
      </c>
      <c r="C981" s="5" t="s">
        <v>17</v>
      </c>
      <c r="D981" s="21">
        <v>5</v>
      </c>
      <c r="E981" s="12">
        <v>445</v>
      </c>
      <c r="F981" s="10" t="str">
        <f>_xlfn.XLOOKUP(C981,menu!A:A,menu!B:B)</f>
        <v>Paneer Momos</v>
      </c>
      <c r="G981" s="10" t="str">
        <f>_xlfn.XLOOKUP(C981,menu!A:A,menu!C:C)</f>
        <v>Momos</v>
      </c>
      <c r="H981" s="10">
        <f>_xlfn.XLOOKUP(C981,menu!A:A,menu!E:E)</f>
        <v>27</v>
      </c>
      <c r="I981" s="10">
        <f t="shared" si="15"/>
        <v>135</v>
      </c>
      <c r="K981" s="10"/>
      <c r="L981" s="5"/>
    </row>
    <row r="982" spans="1:12" x14ac:dyDescent="0.25">
      <c r="A982" s="5" t="s">
        <v>5921</v>
      </c>
      <c r="B982" s="5" t="s">
        <v>5920</v>
      </c>
      <c r="C982" s="5" t="s">
        <v>10</v>
      </c>
      <c r="D982" s="21">
        <v>1</v>
      </c>
      <c r="E982" s="12">
        <v>119</v>
      </c>
      <c r="F982" s="10" t="str">
        <f>_xlfn.XLOOKUP(C982,menu!A:A,menu!B:B)</f>
        <v>Chicken Sandwich</v>
      </c>
      <c r="G982" s="10" t="str">
        <f>_xlfn.XLOOKUP(C982,menu!A:A,menu!C:C)</f>
        <v>Sandwich</v>
      </c>
      <c r="H982" s="10">
        <f>_xlfn.XLOOKUP(C982,menu!A:A,menu!E:E)</f>
        <v>36</v>
      </c>
      <c r="I982" s="10">
        <f t="shared" si="15"/>
        <v>36</v>
      </c>
      <c r="K982" s="10"/>
      <c r="L982" s="5"/>
    </row>
    <row r="983" spans="1:12" x14ac:dyDescent="0.25">
      <c r="A983" s="5" t="s">
        <v>5919</v>
      </c>
      <c r="B983" s="5" t="s">
        <v>5917</v>
      </c>
      <c r="C983" s="5" t="s">
        <v>15</v>
      </c>
      <c r="D983" s="21">
        <v>1</v>
      </c>
      <c r="E983" s="12">
        <v>99</v>
      </c>
      <c r="F983" s="10" t="str">
        <f>_xlfn.XLOOKUP(C983,menu!A:A,menu!B:B)</f>
        <v>Chicken Momos</v>
      </c>
      <c r="G983" s="10" t="str">
        <f>_xlfn.XLOOKUP(C983,menu!A:A,menu!C:C)</f>
        <v>Momos</v>
      </c>
      <c r="H983" s="10">
        <f>_xlfn.XLOOKUP(C983,menu!A:A,menu!E:E)</f>
        <v>30</v>
      </c>
      <c r="I983" s="10">
        <f t="shared" si="15"/>
        <v>30</v>
      </c>
      <c r="K983" s="10"/>
      <c r="L983" s="5"/>
    </row>
    <row r="984" spans="1:12" x14ac:dyDescent="0.25">
      <c r="A984" s="5" t="s">
        <v>5918</v>
      </c>
      <c r="B984" s="5" t="s">
        <v>5917</v>
      </c>
      <c r="C984" s="5" t="s">
        <v>65</v>
      </c>
      <c r="D984" s="21">
        <v>3</v>
      </c>
      <c r="E984" s="12">
        <v>147</v>
      </c>
      <c r="F984" s="10" t="str">
        <f>_xlfn.XLOOKUP(C984,menu!A:A,menu!B:B)</f>
        <v>Lemon Juice</v>
      </c>
      <c r="G984" s="10" t="str">
        <f>_xlfn.XLOOKUP(C984,menu!A:A,menu!C:C)</f>
        <v>Beverages</v>
      </c>
      <c r="H984" s="10">
        <f>_xlfn.XLOOKUP(C984,menu!A:A,menu!E:E)</f>
        <v>15</v>
      </c>
      <c r="I984" s="10">
        <f t="shared" si="15"/>
        <v>45</v>
      </c>
      <c r="K984" s="10"/>
      <c r="L984" s="5"/>
    </row>
    <row r="985" spans="1:12" x14ac:dyDescent="0.25">
      <c r="A985" s="5" t="s">
        <v>5916</v>
      </c>
      <c r="B985" s="5" t="s">
        <v>5913</v>
      </c>
      <c r="C985" s="5" t="s">
        <v>38</v>
      </c>
      <c r="D985" s="21">
        <v>2</v>
      </c>
      <c r="E985" s="12">
        <v>298</v>
      </c>
      <c r="F985" s="10" t="str">
        <f>_xlfn.XLOOKUP(C985,menu!A:A,menu!B:B)</f>
        <v>Chicken Wings</v>
      </c>
      <c r="G985" s="10" t="str">
        <f>_xlfn.XLOOKUP(C985,menu!A:A,menu!C:C)</f>
        <v>Starters</v>
      </c>
      <c r="H985" s="10">
        <f>_xlfn.XLOOKUP(C985,menu!A:A,menu!E:E)</f>
        <v>45</v>
      </c>
      <c r="I985" s="10">
        <f t="shared" si="15"/>
        <v>90</v>
      </c>
      <c r="K985" s="10"/>
      <c r="L985" s="5"/>
    </row>
    <row r="986" spans="1:12" x14ac:dyDescent="0.25">
      <c r="A986" s="5" t="s">
        <v>5915</v>
      </c>
      <c r="B986" s="5" t="s">
        <v>5913</v>
      </c>
      <c r="C986" s="5" t="s">
        <v>42</v>
      </c>
      <c r="D986" s="21">
        <v>1</v>
      </c>
      <c r="E986" s="12">
        <v>149</v>
      </c>
      <c r="F986" s="10" t="str">
        <f>_xlfn.XLOOKUP(C986,menu!A:A,menu!B:B)</f>
        <v>Chicken Popcorn</v>
      </c>
      <c r="G986" s="10" t="str">
        <f>_xlfn.XLOOKUP(C986,menu!A:A,menu!C:C)</f>
        <v>Starters</v>
      </c>
      <c r="H986" s="10">
        <f>_xlfn.XLOOKUP(C986,menu!A:A,menu!E:E)</f>
        <v>45</v>
      </c>
      <c r="I986" s="10">
        <f t="shared" si="15"/>
        <v>45</v>
      </c>
      <c r="K986" s="10"/>
      <c r="L986" s="5"/>
    </row>
    <row r="987" spans="1:12" x14ac:dyDescent="0.25">
      <c r="A987" s="5" t="s">
        <v>5914</v>
      </c>
      <c r="B987" s="5" t="s">
        <v>5913</v>
      </c>
      <c r="C987" s="5" t="s">
        <v>61</v>
      </c>
      <c r="D987" s="21">
        <v>1</v>
      </c>
      <c r="E987" s="12">
        <v>79</v>
      </c>
      <c r="F987" s="10" t="str">
        <f>_xlfn.XLOOKUP(C987,menu!A:A,menu!B:B)</f>
        <v>Watermelon Mojito</v>
      </c>
      <c r="G987" s="10" t="str">
        <f>_xlfn.XLOOKUP(C987,menu!A:A,menu!C:C)</f>
        <v>Beverages</v>
      </c>
      <c r="H987" s="10">
        <f>_xlfn.XLOOKUP(C987,menu!A:A,menu!E:E)</f>
        <v>24</v>
      </c>
      <c r="I987" s="10">
        <f t="shared" si="15"/>
        <v>24</v>
      </c>
      <c r="K987" s="10"/>
      <c r="L987" s="5"/>
    </row>
    <row r="988" spans="1:12" x14ac:dyDescent="0.25">
      <c r="A988" s="5" t="s">
        <v>5912</v>
      </c>
      <c r="B988" s="5" t="s">
        <v>5910</v>
      </c>
      <c r="C988" s="5" t="s">
        <v>12</v>
      </c>
      <c r="D988" s="21">
        <v>2</v>
      </c>
      <c r="E988" s="12">
        <v>158</v>
      </c>
      <c r="F988" s="10" t="str">
        <f>_xlfn.XLOOKUP(C988,menu!A:A,menu!B:B)</f>
        <v>Veg Momos</v>
      </c>
      <c r="G988" s="10" t="str">
        <f>_xlfn.XLOOKUP(C988,menu!A:A,menu!C:C)</f>
        <v>Momos</v>
      </c>
      <c r="H988" s="10">
        <f>_xlfn.XLOOKUP(C988,menu!A:A,menu!E:E)</f>
        <v>24</v>
      </c>
      <c r="I988" s="10">
        <f t="shared" si="15"/>
        <v>48</v>
      </c>
      <c r="K988" s="10"/>
      <c r="L988" s="5"/>
    </row>
    <row r="989" spans="1:12" x14ac:dyDescent="0.25">
      <c r="A989" s="5" t="s">
        <v>5911</v>
      </c>
      <c r="B989" s="5" t="s">
        <v>5910</v>
      </c>
      <c r="C989" s="5" t="s">
        <v>8</v>
      </c>
      <c r="D989" s="21">
        <v>4</v>
      </c>
      <c r="E989" s="12">
        <v>396</v>
      </c>
      <c r="F989" s="10" t="str">
        <f>_xlfn.XLOOKUP(C989,menu!A:A,menu!B:B)</f>
        <v>Paneer Sandwich</v>
      </c>
      <c r="G989" s="10" t="str">
        <f>_xlfn.XLOOKUP(C989,menu!A:A,menu!C:C)</f>
        <v>Sandwich</v>
      </c>
      <c r="H989" s="10">
        <f>_xlfn.XLOOKUP(C989,menu!A:A,menu!E:E)</f>
        <v>30</v>
      </c>
      <c r="I989" s="10">
        <f t="shared" si="15"/>
        <v>120</v>
      </c>
      <c r="K989" s="10"/>
      <c r="L989" s="5"/>
    </row>
    <row r="990" spans="1:12" x14ac:dyDescent="0.25">
      <c r="A990" s="5" t="s">
        <v>5909</v>
      </c>
      <c r="B990" s="5" t="s">
        <v>5907</v>
      </c>
      <c r="C990" s="5" t="s">
        <v>56</v>
      </c>
      <c r="D990" s="21">
        <v>2</v>
      </c>
      <c r="E990" s="12">
        <v>158</v>
      </c>
      <c r="F990" s="10" t="str">
        <f>_xlfn.XLOOKUP(C990,menu!A:A,menu!B:B)</f>
        <v>Mint Mojito</v>
      </c>
      <c r="G990" s="10" t="str">
        <f>_xlfn.XLOOKUP(C990,menu!A:A,menu!C:C)</f>
        <v>Beverages</v>
      </c>
      <c r="H990" s="10">
        <f>_xlfn.XLOOKUP(C990,menu!A:A,menu!E:E)</f>
        <v>24</v>
      </c>
      <c r="I990" s="10">
        <f t="shared" si="15"/>
        <v>48</v>
      </c>
      <c r="K990" s="10"/>
      <c r="L990" s="5"/>
    </row>
    <row r="991" spans="1:12" x14ac:dyDescent="0.25">
      <c r="A991" s="5" t="s">
        <v>5908</v>
      </c>
      <c r="B991" s="5" t="s">
        <v>5907</v>
      </c>
      <c r="C991" s="5" t="s">
        <v>48</v>
      </c>
      <c r="D991" s="21">
        <v>4</v>
      </c>
      <c r="E991" s="12">
        <v>636</v>
      </c>
      <c r="F991" s="10" t="str">
        <f>_xlfn.XLOOKUP(C991,menu!A:A,menu!B:B)</f>
        <v>Chicken Lollipop</v>
      </c>
      <c r="G991" s="10" t="str">
        <f>_xlfn.XLOOKUP(C991,menu!A:A,menu!C:C)</f>
        <v>Starters</v>
      </c>
      <c r="H991" s="10">
        <f>_xlfn.XLOOKUP(C991,menu!A:A,menu!E:E)</f>
        <v>48</v>
      </c>
      <c r="I991" s="10">
        <f t="shared" si="15"/>
        <v>192</v>
      </c>
      <c r="K991" s="10"/>
      <c r="L991" s="5"/>
    </row>
    <row r="992" spans="1:12" x14ac:dyDescent="0.25">
      <c r="A992" s="5" t="s">
        <v>5906</v>
      </c>
      <c r="B992" s="5" t="s">
        <v>5904</v>
      </c>
      <c r="C992" s="5" t="s">
        <v>59</v>
      </c>
      <c r="D992" s="21">
        <v>2</v>
      </c>
      <c r="E992" s="12">
        <v>158</v>
      </c>
      <c r="F992" s="10" t="str">
        <f>_xlfn.XLOOKUP(C992,menu!A:A,menu!B:B)</f>
        <v>Blue Curacao Mojito</v>
      </c>
      <c r="G992" s="10" t="str">
        <f>_xlfn.XLOOKUP(C992,menu!A:A,menu!C:C)</f>
        <v>Beverages</v>
      </c>
      <c r="H992" s="10">
        <f>_xlfn.XLOOKUP(C992,menu!A:A,menu!E:E)</f>
        <v>24</v>
      </c>
      <c r="I992" s="10">
        <f t="shared" si="15"/>
        <v>48</v>
      </c>
      <c r="K992" s="10"/>
      <c r="L992" s="5"/>
    </row>
    <row r="993" spans="1:12" x14ac:dyDescent="0.25">
      <c r="A993" s="5" t="s">
        <v>5905</v>
      </c>
      <c r="B993" s="5" t="s">
        <v>5904</v>
      </c>
      <c r="C993" s="5" t="s">
        <v>48</v>
      </c>
      <c r="D993" s="21">
        <v>1</v>
      </c>
      <c r="E993" s="12">
        <v>159</v>
      </c>
      <c r="F993" s="10" t="str">
        <f>_xlfn.XLOOKUP(C993,menu!A:A,menu!B:B)</f>
        <v>Chicken Lollipop</v>
      </c>
      <c r="G993" s="10" t="str">
        <f>_xlfn.XLOOKUP(C993,menu!A:A,menu!C:C)</f>
        <v>Starters</v>
      </c>
      <c r="H993" s="10">
        <f>_xlfn.XLOOKUP(C993,menu!A:A,menu!E:E)</f>
        <v>48</v>
      </c>
      <c r="I993" s="10">
        <f t="shared" si="15"/>
        <v>48</v>
      </c>
      <c r="K993" s="10"/>
      <c r="L993" s="5"/>
    </row>
    <row r="994" spans="1:12" x14ac:dyDescent="0.25">
      <c r="A994" s="5" t="s">
        <v>5903</v>
      </c>
      <c r="B994" s="5" t="s">
        <v>5901</v>
      </c>
      <c r="C994" s="5" t="s">
        <v>22</v>
      </c>
      <c r="D994" s="21">
        <v>2</v>
      </c>
      <c r="E994" s="12">
        <v>198</v>
      </c>
      <c r="F994" s="10" t="str">
        <f>_xlfn.XLOOKUP(C994,menu!A:A,menu!B:B)</f>
        <v>Chicken Burger</v>
      </c>
      <c r="G994" s="10" t="str">
        <f>_xlfn.XLOOKUP(C994,menu!A:A,menu!C:C)</f>
        <v>Burger</v>
      </c>
      <c r="H994" s="10">
        <f>_xlfn.XLOOKUP(C994,menu!A:A,menu!E:E)</f>
        <v>30</v>
      </c>
      <c r="I994" s="10">
        <f t="shared" si="15"/>
        <v>60</v>
      </c>
      <c r="K994" s="10"/>
      <c r="L994" s="5"/>
    </row>
    <row r="995" spans="1:12" x14ac:dyDescent="0.25">
      <c r="A995" s="5" t="s">
        <v>5902</v>
      </c>
      <c r="B995" s="5" t="s">
        <v>5901</v>
      </c>
      <c r="C995" s="5" t="s">
        <v>38</v>
      </c>
      <c r="D995" s="21">
        <v>1</v>
      </c>
      <c r="E995" s="12">
        <v>149</v>
      </c>
      <c r="F995" s="10" t="str">
        <f>_xlfn.XLOOKUP(C995,menu!A:A,menu!B:B)</f>
        <v>Chicken Wings</v>
      </c>
      <c r="G995" s="10" t="str">
        <f>_xlfn.XLOOKUP(C995,menu!A:A,menu!C:C)</f>
        <v>Starters</v>
      </c>
      <c r="H995" s="10">
        <f>_xlfn.XLOOKUP(C995,menu!A:A,menu!E:E)</f>
        <v>45</v>
      </c>
      <c r="I995" s="10">
        <f t="shared" si="15"/>
        <v>45</v>
      </c>
      <c r="K995" s="10"/>
      <c r="L995" s="5"/>
    </row>
    <row r="996" spans="1:12" x14ac:dyDescent="0.25">
      <c r="A996" s="5" t="s">
        <v>5900</v>
      </c>
      <c r="B996" s="5" t="s">
        <v>5898</v>
      </c>
      <c r="C996" s="5" t="s">
        <v>15</v>
      </c>
      <c r="D996" s="21">
        <v>2</v>
      </c>
      <c r="E996" s="12">
        <v>198</v>
      </c>
      <c r="F996" s="10" t="str">
        <f>_xlfn.XLOOKUP(C996,menu!A:A,menu!B:B)</f>
        <v>Chicken Momos</v>
      </c>
      <c r="G996" s="10" t="str">
        <f>_xlfn.XLOOKUP(C996,menu!A:A,menu!C:C)</f>
        <v>Momos</v>
      </c>
      <c r="H996" s="10">
        <f>_xlfn.XLOOKUP(C996,menu!A:A,menu!E:E)</f>
        <v>30</v>
      </c>
      <c r="I996" s="10">
        <f t="shared" si="15"/>
        <v>60</v>
      </c>
      <c r="K996" s="10"/>
      <c r="L996" s="5"/>
    </row>
    <row r="997" spans="1:12" x14ac:dyDescent="0.25">
      <c r="A997" s="5" t="s">
        <v>5899</v>
      </c>
      <c r="B997" s="5" t="s">
        <v>5898</v>
      </c>
      <c r="C997" s="5" t="s">
        <v>48</v>
      </c>
      <c r="D997" s="21">
        <v>2</v>
      </c>
      <c r="E997" s="12">
        <v>318</v>
      </c>
      <c r="F997" s="10" t="str">
        <f>_xlfn.XLOOKUP(C997,menu!A:A,menu!B:B)</f>
        <v>Chicken Lollipop</v>
      </c>
      <c r="G997" s="10" t="str">
        <f>_xlfn.XLOOKUP(C997,menu!A:A,menu!C:C)</f>
        <v>Starters</v>
      </c>
      <c r="H997" s="10">
        <f>_xlfn.XLOOKUP(C997,menu!A:A,menu!E:E)</f>
        <v>48</v>
      </c>
      <c r="I997" s="10">
        <f t="shared" si="15"/>
        <v>96</v>
      </c>
      <c r="K997" s="10"/>
      <c r="L997" s="5"/>
    </row>
    <row r="998" spans="1:12" x14ac:dyDescent="0.25">
      <c r="A998" s="5" t="s">
        <v>5897</v>
      </c>
      <c r="B998" s="5" t="s">
        <v>5893</v>
      </c>
      <c r="C998" s="5" t="s">
        <v>17</v>
      </c>
      <c r="D998" s="21">
        <v>1</v>
      </c>
      <c r="E998" s="12">
        <v>89</v>
      </c>
      <c r="F998" s="10" t="str">
        <f>_xlfn.XLOOKUP(C998,menu!A:A,menu!B:B)</f>
        <v>Paneer Momos</v>
      </c>
      <c r="G998" s="10" t="str">
        <f>_xlfn.XLOOKUP(C998,menu!A:A,menu!C:C)</f>
        <v>Momos</v>
      </c>
      <c r="H998" s="10">
        <f>_xlfn.XLOOKUP(C998,menu!A:A,menu!E:E)</f>
        <v>27</v>
      </c>
      <c r="I998" s="10">
        <f t="shared" si="15"/>
        <v>27</v>
      </c>
      <c r="K998" s="10"/>
      <c r="L998" s="5"/>
    </row>
    <row r="999" spans="1:12" x14ac:dyDescent="0.25">
      <c r="A999" s="5" t="s">
        <v>5896</v>
      </c>
      <c r="B999" s="5" t="s">
        <v>5893</v>
      </c>
      <c r="C999" s="5" t="s">
        <v>42</v>
      </c>
      <c r="D999" s="21">
        <v>2</v>
      </c>
      <c r="E999" s="12">
        <v>298</v>
      </c>
      <c r="F999" s="10" t="str">
        <f>_xlfn.XLOOKUP(C999,menu!A:A,menu!B:B)</f>
        <v>Chicken Popcorn</v>
      </c>
      <c r="G999" s="10" t="str">
        <f>_xlfn.XLOOKUP(C999,menu!A:A,menu!C:C)</f>
        <v>Starters</v>
      </c>
      <c r="H999" s="10">
        <f>_xlfn.XLOOKUP(C999,menu!A:A,menu!E:E)</f>
        <v>45</v>
      </c>
      <c r="I999" s="10">
        <f t="shared" si="15"/>
        <v>90</v>
      </c>
      <c r="K999" s="10"/>
      <c r="L999" s="5"/>
    </row>
    <row r="1000" spans="1:12" x14ac:dyDescent="0.25">
      <c r="A1000" s="5" t="s">
        <v>5895</v>
      </c>
      <c r="B1000" s="5" t="s">
        <v>5893</v>
      </c>
      <c r="C1000" s="5" t="s">
        <v>48</v>
      </c>
      <c r="D1000" s="21">
        <v>1</v>
      </c>
      <c r="E1000" s="12">
        <v>159</v>
      </c>
      <c r="F1000" s="10" t="str">
        <f>_xlfn.XLOOKUP(C1000,menu!A:A,menu!B:B)</f>
        <v>Chicken Lollipop</v>
      </c>
      <c r="G1000" s="10" t="str">
        <f>_xlfn.XLOOKUP(C1000,menu!A:A,menu!C:C)</f>
        <v>Starters</v>
      </c>
      <c r="H1000" s="10">
        <f>_xlfn.XLOOKUP(C1000,menu!A:A,menu!E:E)</f>
        <v>48</v>
      </c>
      <c r="I1000" s="10">
        <f t="shared" si="15"/>
        <v>48</v>
      </c>
      <c r="K1000" s="10"/>
      <c r="L1000" s="5"/>
    </row>
    <row r="1001" spans="1:12" x14ac:dyDescent="0.25">
      <c r="A1001" s="5" t="s">
        <v>5894</v>
      </c>
      <c r="B1001" s="5" t="s">
        <v>5893</v>
      </c>
      <c r="C1001" s="5" t="s">
        <v>12</v>
      </c>
      <c r="D1001" s="21">
        <v>1</v>
      </c>
      <c r="E1001" s="12">
        <v>79</v>
      </c>
      <c r="F1001" s="10" t="str">
        <f>_xlfn.XLOOKUP(C1001,menu!A:A,menu!B:B)</f>
        <v>Veg Momos</v>
      </c>
      <c r="G1001" s="10" t="str">
        <f>_xlfn.XLOOKUP(C1001,menu!A:A,menu!C:C)</f>
        <v>Momos</v>
      </c>
      <c r="H1001" s="10">
        <f>_xlfn.XLOOKUP(C1001,menu!A:A,menu!E:E)</f>
        <v>24</v>
      </c>
      <c r="I1001" s="10">
        <f t="shared" si="15"/>
        <v>24</v>
      </c>
      <c r="K1001" s="10"/>
      <c r="L1001" s="5"/>
    </row>
    <row r="1002" spans="1:12" x14ac:dyDescent="0.25">
      <c r="A1002" s="5" t="s">
        <v>5892</v>
      </c>
      <c r="B1002" s="5" t="s">
        <v>5888</v>
      </c>
      <c r="C1002" s="5" t="s">
        <v>52</v>
      </c>
      <c r="D1002" s="21">
        <v>1</v>
      </c>
      <c r="E1002" s="12">
        <v>99</v>
      </c>
      <c r="F1002" s="10" t="str">
        <f>_xlfn.XLOOKUP(C1002,menu!A:A,menu!B:B)</f>
        <v>French Fries</v>
      </c>
      <c r="G1002" s="10" t="str">
        <f>_xlfn.XLOOKUP(C1002,menu!A:A,menu!C:C)</f>
        <v>Starters</v>
      </c>
      <c r="H1002" s="10">
        <f>_xlfn.XLOOKUP(C1002,menu!A:A,menu!E:E)</f>
        <v>30</v>
      </c>
      <c r="I1002" s="10">
        <f t="shared" si="15"/>
        <v>30</v>
      </c>
      <c r="K1002" s="10"/>
      <c r="L1002" s="5"/>
    </row>
    <row r="1003" spans="1:12" x14ac:dyDescent="0.25">
      <c r="A1003" s="5" t="s">
        <v>5891</v>
      </c>
      <c r="B1003" s="5" t="s">
        <v>5888</v>
      </c>
      <c r="C1003" s="5" t="s">
        <v>44</v>
      </c>
      <c r="D1003" s="21">
        <v>1</v>
      </c>
      <c r="E1003" s="12">
        <v>159</v>
      </c>
      <c r="F1003" s="10" t="str">
        <f>_xlfn.XLOOKUP(C1003,menu!A:A,menu!B:B)</f>
        <v>Fried Chicken</v>
      </c>
      <c r="G1003" s="10" t="str">
        <f>_xlfn.XLOOKUP(C1003,menu!A:A,menu!C:C)</f>
        <v>Starters</v>
      </c>
      <c r="H1003" s="10">
        <f>_xlfn.XLOOKUP(C1003,menu!A:A,menu!E:E)</f>
        <v>48</v>
      </c>
      <c r="I1003" s="10">
        <f t="shared" si="15"/>
        <v>48</v>
      </c>
      <c r="K1003" s="10"/>
      <c r="L1003" s="5"/>
    </row>
    <row r="1004" spans="1:12" x14ac:dyDescent="0.25">
      <c r="A1004" s="5" t="s">
        <v>5890</v>
      </c>
      <c r="B1004" s="5" t="s">
        <v>5888</v>
      </c>
      <c r="C1004" s="5" t="s">
        <v>56</v>
      </c>
      <c r="D1004" s="21">
        <v>1</v>
      </c>
      <c r="E1004" s="12">
        <v>79</v>
      </c>
      <c r="F1004" s="10" t="str">
        <f>_xlfn.XLOOKUP(C1004,menu!A:A,menu!B:B)</f>
        <v>Mint Mojito</v>
      </c>
      <c r="G1004" s="10" t="str">
        <f>_xlfn.XLOOKUP(C1004,menu!A:A,menu!C:C)</f>
        <v>Beverages</v>
      </c>
      <c r="H1004" s="10">
        <f>_xlfn.XLOOKUP(C1004,menu!A:A,menu!E:E)</f>
        <v>24</v>
      </c>
      <c r="I1004" s="10">
        <f t="shared" si="15"/>
        <v>24</v>
      </c>
      <c r="K1004" s="10"/>
      <c r="L1004" s="5"/>
    </row>
    <row r="1005" spans="1:12" x14ac:dyDescent="0.25">
      <c r="A1005" s="5" t="s">
        <v>5889</v>
      </c>
      <c r="B1005" s="5" t="s">
        <v>5888</v>
      </c>
      <c r="C1005" s="5" t="s">
        <v>48</v>
      </c>
      <c r="D1005" s="21">
        <v>1</v>
      </c>
      <c r="E1005" s="12">
        <v>159</v>
      </c>
      <c r="F1005" s="10" t="str">
        <f>_xlfn.XLOOKUP(C1005,menu!A:A,menu!B:B)</f>
        <v>Chicken Lollipop</v>
      </c>
      <c r="G1005" s="10" t="str">
        <f>_xlfn.XLOOKUP(C1005,menu!A:A,menu!C:C)</f>
        <v>Starters</v>
      </c>
      <c r="H1005" s="10">
        <f>_xlfn.XLOOKUP(C1005,menu!A:A,menu!E:E)</f>
        <v>48</v>
      </c>
      <c r="I1005" s="10">
        <f t="shared" si="15"/>
        <v>48</v>
      </c>
      <c r="K1005" s="10"/>
      <c r="L1005" s="5"/>
    </row>
    <row r="1006" spans="1:12" x14ac:dyDescent="0.25">
      <c r="A1006" s="5" t="s">
        <v>5887</v>
      </c>
      <c r="B1006" s="5" t="s">
        <v>5886</v>
      </c>
      <c r="C1006" s="5" t="s">
        <v>5</v>
      </c>
      <c r="D1006" s="21">
        <v>3</v>
      </c>
      <c r="E1006" s="12">
        <v>237</v>
      </c>
      <c r="F1006" s="10" t="str">
        <f>_xlfn.XLOOKUP(C1006,menu!A:A,menu!B:B)</f>
        <v>Veg Sandwich</v>
      </c>
      <c r="G1006" s="10" t="str">
        <f>_xlfn.XLOOKUP(C1006,menu!A:A,menu!C:C)</f>
        <v>Sandwich</v>
      </c>
      <c r="H1006" s="10">
        <f>_xlfn.XLOOKUP(C1006,menu!A:A,menu!E:E)</f>
        <v>24</v>
      </c>
      <c r="I1006" s="10">
        <f t="shared" si="15"/>
        <v>72</v>
      </c>
      <c r="K1006" s="10"/>
      <c r="L1006" s="5"/>
    </row>
    <row r="1007" spans="1:12" x14ac:dyDescent="0.25">
      <c r="A1007" s="5" t="s">
        <v>5885</v>
      </c>
      <c r="B1007" s="5" t="s">
        <v>5884</v>
      </c>
      <c r="C1007" s="5" t="s">
        <v>26</v>
      </c>
      <c r="D1007" s="21">
        <v>2</v>
      </c>
      <c r="E1007" s="12">
        <v>118</v>
      </c>
      <c r="F1007" s="10" t="str">
        <f>_xlfn.XLOOKUP(C1007,menu!A:A,menu!B:B)</f>
        <v>Veg Roll</v>
      </c>
      <c r="G1007" s="10" t="str">
        <f>_xlfn.XLOOKUP(C1007,menu!A:A,menu!C:C)</f>
        <v>Rolls</v>
      </c>
      <c r="H1007" s="10">
        <f>_xlfn.XLOOKUP(C1007,menu!A:A,menu!E:E)</f>
        <v>18</v>
      </c>
      <c r="I1007" s="10">
        <f t="shared" si="15"/>
        <v>36</v>
      </c>
      <c r="K1007" s="10"/>
      <c r="L1007" s="5"/>
    </row>
    <row r="1008" spans="1:12" x14ac:dyDescent="0.25">
      <c r="A1008" s="5" t="s">
        <v>5883</v>
      </c>
      <c r="B1008" s="5" t="s">
        <v>5881</v>
      </c>
      <c r="C1008" s="5" t="s">
        <v>5</v>
      </c>
      <c r="D1008" s="21">
        <v>1</v>
      </c>
      <c r="E1008" s="12">
        <v>79</v>
      </c>
      <c r="F1008" s="10" t="str">
        <f>_xlfn.XLOOKUP(C1008,menu!A:A,menu!B:B)</f>
        <v>Veg Sandwich</v>
      </c>
      <c r="G1008" s="10" t="str">
        <f>_xlfn.XLOOKUP(C1008,menu!A:A,menu!C:C)</f>
        <v>Sandwich</v>
      </c>
      <c r="H1008" s="10">
        <f>_xlfn.XLOOKUP(C1008,menu!A:A,menu!E:E)</f>
        <v>24</v>
      </c>
      <c r="I1008" s="10">
        <f t="shared" si="15"/>
        <v>24</v>
      </c>
      <c r="K1008" s="10"/>
      <c r="L1008" s="5"/>
    </row>
    <row r="1009" spans="1:12" x14ac:dyDescent="0.25">
      <c r="A1009" s="5" t="s">
        <v>5882</v>
      </c>
      <c r="B1009" s="5" t="s">
        <v>5881</v>
      </c>
      <c r="C1009" s="5" t="s">
        <v>46</v>
      </c>
      <c r="D1009" s="21">
        <v>1</v>
      </c>
      <c r="E1009" s="12">
        <v>149</v>
      </c>
      <c r="F1009" s="10" t="str">
        <f>_xlfn.XLOOKUP(C1009,menu!A:A,menu!B:B)</f>
        <v>Fish Finger</v>
      </c>
      <c r="G1009" s="10" t="str">
        <f>_xlfn.XLOOKUP(C1009,menu!A:A,menu!C:C)</f>
        <v>Starters</v>
      </c>
      <c r="H1009" s="10">
        <f>_xlfn.XLOOKUP(C1009,menu!A:A,menu!E:E)</f>
        <v>45</v>
      </c>
      <c r="I1009" s="10">
        <f t="shared" si="15"/>
        <v>45</v>
      </c>
      <c r="K1009" s="10"/>
      <c r="L1009" s="5"/>
    </row>
    <row r="1010" spans="1:12" x14ac:dyDescent="0.25">
      <c r="A1010" s="5" t="s">
        <v>5880</v>
      </c>
      <c r="B1010" s="5" t="s">
        <v>5878</v>
      </c>
      <c r="C1010" s="5" t="s">
        <v>42</v>
      </c>
      <c r="D1010" s="21">
        <v>1</v>
      </c>
      <c r="E1010" s="12">
        <v>149</v>
      </c>
      <c r="F1010" s="10" t="str">
        <f>_xlfn.XLOOKUP(C1010,menu!A:A,menu!B:B)</f>
        <v>Chicken Popcorn</v>
      </c>
      <c r="G1010" s="10" t="str">
        <f>_xlfn.XLOOKUP(C1010,menu!A:A,menu!C:C)</f>
        <v>Starters</v>
      </c>
      <c r="H1010" s="10">
        <f>_xlfn.XLOOKUP(C1010,menu!A:A,menu!E:E)</f>
        <v>45</v>
      </c>
      <c r="I1010" s="10">
        <f t="shared" si="15"/>
        <v>45</v>
      </c>
      <c r="K1010" s="10"/>
      <c r="L1010" s="5"/>
    </row>
    <row r="1011" spans="1:12" x14ac:dyDescent="0.25">
      <c r="A1011" s="5" t="s">
        <v>5879</v>
      </c>
      <c r="B1011" s="5" t="s">
        <v>5878</v>
      </c>
      <c r="C1011" s="5" t="s">
        <v>65</v>
      </c>
      <c r="D1011" s="21">
        <v>2</v>
      </c>
      <c r="E1011" s="12">
        <v>98</v>
      </c>
      <c r="F1011" s="10" t="str">
        <f>_xlfn.XLOOKUP(C1011,menu!A:A,menu!B:B)</f>
        <v>Lemon Juice</v>
      </c>
      <c r="G1011" s="10" t="str">
        <f>_xlfn.XLOOKUP(C1011,menu!A:A,menu!C:C)</f>
        <v>Beverages</v>
      </c>
      <c r="H1011" s="10">
        <f>_xlfn.XLOOKUP(C1011,menu!A:A,menu!E:E)</f>
        <v>15</v>
      </c>
      <c r="I1011" s="10">
        <f t="shared" si="15"/>
        <v>30</v>
      </c>
      <c r="K1011" s="10"/>
      <c r="L1011" s="5"/>
    </row>
    <row r="1012" spans="1:12" x14ac:dyDescent="0.25">
      <c r="A1012" s="5" t="s">
        <v>5877</v>
      </c>
      <c r="B1012" s="5" t="s">
        <v>5875</v>
      </c>
      <c r="C1012" s="5" t="s">
        <v>50</v>
      </c>
      <c r="D1012" s="21">
        <v>5</v>
      </c>
      <c r="E1012" s="12">
        <v>745</v>
      </c>
      <c r="F1012" s="10" t="str">
        <f>_xlfn.XLOOKUP(C1012,menu!A:A,menu!B:B)</f>
        <v>Grab Lollipop</v>
      </c>
      <c r="G1012" s="10" t="str">
        <f>_xlfn.XLOOKUP(C1012,menu!A:A,menu!C:C)</f>
        <v>Starters</v>
      </c>
      <c r="H1012" s="10">
        <f>_xlfn.XLOOKUP(C1012,menu!A:A,menu!E:E)</f>
        <v>45</v>
      </c>
      <c r="I1012" s="10">
        <f t="shared" si="15"/>
        <v>225</v>
      </c>
      <c r="K1012" s="10"/>
      <c r="L1012" s="5"/>
    </row>
    <row r="1013" spans="1:12" x14ac:dyDescent="0.25">
      <c r="A1013" s="5" t="s">
        <v>5876</v>
      </c>
      <c r="B1013" s="5" t="s">
        <v>5875</v>
      </c>
      <c r="C1013" s="5" t="s">
        <v>46</v>
      </c>
      <c r="D1013" s="21">
        <v>2</v>
      </c>
      <c r="E1013" s="12">
        <v>298</v>
      </c>
      <c r="F1013" s="10" t="str">
        <f>_xlfn.XLOOKUP(C1013,menu!A:A,menu!B:B)</f>
        <v>Fish Finger</v>
      </c>
      <c r="G1013" s="10" t="str">
        <f>_xlfn.XLOOKUP(C1013,menu!A:A,menu!C:C)</f>
        <v>Starters</v>
      </c>
      <c r="H1013" s="10">
        <f>_xlfn.XLOOKUP(C1013,menu!A:A,menu!E:E)</f>
        <v>45</v>
      </c>
      <c r="I1013" s="10">
        <f t="shared" si="15"/>
        <v>90</v>
      </c>
      <c r="K1013" s="10"/>
      <c r="L1013" s="5"/>
    </row>
    <row r="1014" spans="1:12" x14ac:dyDescent="0.25">
      <c r="A1014" s="5" t="s">
        <v>5874</v>
      </c>
      <c r="B1014" s="5" t="s">
        <v>5872</v>
      </c>
      <c r="C1014" s="5" t="s">
        <v>5</v>
      </c>
      <c r="D1014" s="21">
        <v>1</v>
      </c>
      <c r="E1014" s="12">
        <v>79</v>
      </c>
      <c r="F1014" s="10" t="str">
        <f>_xlfn.XLOOKUP(C1014,menu!A:A,menu!B:B)</f>
        <v>Veg Sandwich</v>
      </c>
      <c r="G1014" s="10" t="str">
        <f>_xlfn.XLOOKUP(C1014,menu!A:A,menu!C:C)</f>
        <v>Sandwich</v>
      </c>
      <c r="H1014" s="10">
        <f>_xlfn.XLOOKUP(C1014,menu!A:A,menu!E:E)</f>
        <v>24</v>
      </c>
      <c r="I1014" s="10">
        <f t="shared" si="15"/>
        <v>24</v>
      </c>
      <c r="K1014" s="10"/>
      <c r="L1014" s="5"/>
    </row>
    <row r="1015" spans="1:12" x14ac:dyDescent="0.25">
      <c r="A1015" s="5" t="s">
        <v>5873</v>
      </c>
      <c r="B1015" s="5" t="s">
        <v>5872</v>
      </c>
      <c r="C1015" s="5" t="s">
        <v>50</v>
      </c>
      <c r="D1015" s="21">
        <v>1</v>
      </c>
      <c r="E1015" s="12">
        <v>149</v>
      </c>
      <c r="F1015" s="10" t="str">
        <f>_xlfn.XLOOKUP(C1015,menu!A:A,menu!B:B)</f>
        <v>Grab Lollipop</v>
      </c>
      <c r="G1015" s="10" t="str">
        <f>_xlfn.XLOOKUP(C1015,menu!A:A,menu!C:C)</f>
        <v>Starters</v>
      </c>
      <c r="H1015" s="10">
        <f>_xlfn.XLOOKUP(C1015,menu!A:A,menu!E:E)</f>
        <v>45</v>
      </c>
      <c r="I1015" s="10">
        <f t="shared" si="15"/>
        <v>45</v>
      </c>
      <c r="K1015" s="10"/>
      <c r="L1015" s="5"/>
    </row>
    <row r="1016" spans="1:12" x14ac:dyDescent="0.25">
      <c r="A1016" s="5" t="s">
        <v>5871</v>
      </c>
      <c r="B1016" s="5" t="s">
        <v>5869</v>
      </c>
      <c r="C1016" s="5" t="s">
        <v>8</v>
      </c>
      <c r="D1016" s="21">
        <v>2</v>
      </c>
      <c r="E1016" s="12">
        <v>198</v>
      </c>
      <c r="F1016" s="10" t="str">
        <f>_xlfn.XLOOKUP(C1016,menu!A:A,menu!B:B)</f>
        <v>Paneer Sandwich</v>
      </c>
      <c r="G1016" s="10" t="str">
        <f>_xlfn.XLOOKUP(C1016,menu!A:A,menu!C:C)</f>
        <v>Sandwich</v>
      </c>
      <c r="H1016" s="10">
        <f>_xlfn.XLOOKUP(C1016,menu!A:A,menu!E:E)</f>
        <v>30</v>
      </c>
      <c r="I1016" s="10">
        <f t="shared" si="15"/>
        <v>60</v>
      </c>
      <c r="K1016" s="10"/>
      <c r="L1016" s="5"/>
    </row>
    <row r="1017" spans="1:12" x14ac:dyDescent="0.25">
      <c r="A1017" s="5" t="s">
        <v>5870</v>
      </c>
      <c r="B1017" s="5" t="s">
        <v>5869</v>
      </c>
      <c r="C1017" s="5" t="s">
        <v>59</v>
      </c>
      <c r="D1017" s="21">
        <v>4</v>
      </c>
      <c r="E1017" s="12">
        <v>316</v>
      </c>
      <c r="F1017" s="10" t="str">
        <f>_xlfn.XLOOKUP(C1017,menu!A:A,menu!B:B)</f>
        <v>Blue Curacao Mojito</v>
      </c>
      <c r="G1017" s="10" t="str">
        <f>_xlfn.XLOOKUP(C1017,menu!A:A,menu!C:C)</f>
        <v>Beverages</v>
      </c>
      <c r="H1017" s="10">
        <f>_xlfn.XLOOKUP(C1017,menu!A:A,menu!E:E)</f>
        <v>24</v>
      </c>
      <c r="I1017" s="10">
        <f t="shared" si="15"/>
        <v>96</v>
      </c>
      <c r="K1017" s="10"/>
      <c r="L1017" s="5"/>
    </row>
    <row r="1018" spans="1:12" x14ac:dyDescent="0.25">
      <c r="A1018" s="5" t="s">
        <v>5868</v>
      </c>
      <c r="B1018" s="5" t="s">
        <v>5865</v>
      </c>
      <c r="C1018" s="5" t="s">
        <v>19</v>
      </c>
      <c r="D1018" s="21">
        <v>1</v>
      </c>
      <c r="E1018" s="12">
        <v>79</v>
      </c>
      <c r="F1018" s="10" t="str">
        <f>_xlfn.XLOOKUP(C1018,menu!A:A,menu!B:B)</f>
        <v>Veg Burger</v>
      </c>
      <c r="G1018" s="10" t="str">
        <f>_xlfn.XLOOKUP(C1018,menu!A:A,menu!C:C)</f>
        <v>Burger</v>
      </c>
      <c r="H1018" s="10">
        <f>_xlfn.XLOOKUP(C1018,menu!A:A,menu!E:E)</f>
        <v>24</v>
      </c>
      <c r="I1018" s="10">
        <f t="shared" si="15"/>
        <v>24</v>
      </c>
      <c r="K1018" s="10"/>
      <c r="L1018" s="5"/>
    </row>
    <row r="1019" spans="1:12" x14ac:dyDescent="0.25">
      <c r="A1019" s="5" t="s">
        <v>5867</v>
      </c>
      <c r="B1019" s="5" t="s">
        <v>5865</v>
      </c>
      <c r="C1019" s="5" t="s">
        <v>29</v>
      </c>
      <c r="D1019" s="21">
        <v>1</v>
      </c>
      <c r="E1019" s="12">
        <v>79</v>
      </c>
      <c r="F1019" s="10" t="str">
        <f>_xlfn.XLOOKUP(C1019,menu!A:A,menu!B:B)</f>
        <v>Paneer Roll</v>
      </c>
      <c r="G1019" s="10" t="str">
        <f>_xlfn.XLOOKUP(C1019,menu!A:A,menu!C:C)</f>
        <v>Rolls</v>
      </c>
      <c r="H1019" s="10">
        <f>_xlfn.XLOOKUP(C1019,menu!A:A,menu!E:E)</f>
        <v>24</v>
      </c>
      <c r="I1019" s="10">
        <f t="shared" si="15"/>
        <v>24</v>
      </c>
      <c r="K1019" s="10"/>
      <c r="L1019" s="5"/>
    </row>
    <row r="1020" spans="1:12" x14ac:dyDescent="0.25">
      <c r="A1020" s="5" t="s">
        <v>5866</v>
      </c>
      <c r="B1020" s="5" t="s">
        <v>5865</v>
      </c>
      <c r="C1020" s="5" t="s">
        <v>48</v>
      </c>
      <c r="D1020" s="21">
        <v>4</v>
      </c>
      <c r="E1020" s="12">
        <v>636</v>
      </c>
      <c r="F1020" s="10" t="str">
        <f>_xlfn.XLOOKUP(C1020,menu!A:A,menu!B:B)</f>
        <v>Chicken Lollipop</v>
      </c>
      <c r="G1020" s="10" t="str">
        <f>_xlfn.XLOOKUP(C1020,menu!A:A,menu!C:C)</f>
        <v>Starters</v>
      </c>
      <c r="H1020" s="10">
        <f>_xlfn.XLOOKUP(C1020,menu!A:A,menu!E:E)</f>
        <v>48</v>
      </c>
      <c r="I1020" s="10">
        <f t="shared" si="15"/>
        <v>192</v>
      </c>
      <c r="K1020" s="10"/>
      <c r="L1020" s="5"/>
    </row>
    <row r="1021" spans="1:12" x14ac:dyDescent="0.25">
      <c r="A1021" s="5" t="s">
        <v>5864</v>
      </c>
      <c r="B1021" s="5" t="s">
        <v>5862</v>
      </c>
      <c r="C1021" s="5" t="s">
        <v>5</v>
      </c>
      <c r="D1021" s="21">
        <v>1</v>
      </c>
      <c r="E1021" s="12">
        <v>79</v>
      </c>
      <c r="F1021" s="10" t="str">
        <f>_xlfn.XLOOKUP(C1021,menu!A:A,menu!B:B)</f>
        <v>Veg Sandwich</v>
      </c>
      <c r="G1021" s="10" t="str">
        <f>_xlfn.XLOOKUP(C1021,menu!A:A,menu!C:C)</f>
        <v>Sandwich</v>
      </c>
      <c r="H1021" s="10">
        <f>_xlfn.XLOOKUP(C1021,menu!A:A,menu!E:E)</f>
        <v>24</v>
      </c>
      <c r="I1021" s="10">
        <f t="shared" si="15"/>
        <v>24</v>
      </c>
      <c r="K1021" s="10"/>
      <c r="L1021" s="5"/>
    </row>
    <row r="1022" spans="1:12" x14ac:dyDescent="0.25">
      <c r="A1022" s="5" t="s">
        <v>5863</v>
      </c>
      <c r="B1022" s="5" t="s">
        <v>5862</v>
      </c>
      <c r="C1022" s="5" t="s">
        <v>54</v>
      </c>
      <c r="D1022" s="21">
        <v>1</v>
      </c>
      <c r="E1022" s="12">
        <v>139</v>
      </c>
      <c r="F1022" s="10" t="str">
        <f>_xlfn.XLOOKUP(C1022,menu!A:A,menu!B:B)</f>
        <v>Chicken Strips</v>
      </c>
      <c r="G1022" s="10" t="str">
        <f>_xlfn.XLOOKUP(C1022,menu!A:A,menu!C:C)</f>
        <v>Starters</v>
      </c>
      <c r="H1022" s="10">
        <f>_xlfn.XLOOKUP(C1022,menu!A:A,menu!E:E)</f>
        <v>42</v>
      </c>
      <c r="I1022" s="10">
        <f t="shared" si="15"/>
        <v>42</v>
      </c>
      <c r="K1022" s="10"/>
      <c r="L1022" s="5"/>
    </row>
    <row r="1023" spans="1:12" x14ac:dyDescent="0.25">
      <c r="A1023" s="5" t="s">
        <v>5861</v>
      </c>
      <c r="B1023" s="5" t="s">
        <v>5859</v>
      </c>
      <c r="C1023" s="5" t="s">
        <v>35</v>
      </c>
      <c r="D1023" s="21">
        <v>1</v>
      </c>
      <c r="E1023" s="12">
        <v>119</v>
      </c>
      <c r="F1023" s="10" t="str">
        <f>_xlfn.XLOOKUP(C1023,menu!A:A,menu!B:B)</f>
        <v>Chicken Nuggets</v>
      </c>
      <c r="G1023" s="10" t="str">
        <f>_xlfn.XLOOKUP(C1023,menu!A:A,menu!C:C)</f>
        <v>Starters</v>
      </c>
      <c r="H1023" s="10">
        <f>_xlfn.XLOOKUP(C1023,menu!A:A,menu!E:E)</f>
        <v>36</v>
      </c>
      <c r="I1023" s="10">
        <f t="shared" si="15"/>
        <v>36</v>
      </c>
      <c r="K1023" s="10"/>
      <c r="L1023" s="5"/>
    </row>
    <row r="1024" spans="1:12" x14ac:dyDescent="0.25">
      <c r="A1024" s="5" t="s">
        <v>5860</v>
      </c>
      <c r="B1024" s="5" t="s">
        <v>5859</v>
      </c>
      <c r="C1024" s="5" t="s">
        <v>33</v>
      </c>
      <c r="D1024" s="21">
        <v>1</v>
      </c>
      <c r="E1024" s="12">
        <v>69</v>
      </c>
      <c r="F1024" s="10" t="str">
        <f>_xlfn.XLOOKUP(C1024,menu!A:A,menu!B:B)</f>
        <v>Spring Roll</v>
      </c>
      <c r="G1024" s="10" t="str">
        <f>_xlfn.XLOOKUP(C1024,menu!A:A,menu!C:C)</f>
        <v>Rolls</v>
      </c>
      <c r="H1024" s="10">
        <f>_xlfn.XLOOKUP(C1024,menu!A:A,menu!E:E)</f>
        <v>21</v>
      </c>
      <c r="I1024" s="10">
        <f t="shared" si="15"/>
        <v>21</v>
      </c>
      <c r="K1024" s="10"/>
      <c r="L1024" s="5"/>
    </row>
    <row r="1025" spans="1:12" x14ac:dyDescent="0.25">
      <c r="A1025" s="5" t="s">
        <v>5858</v>
      </c>
      <c r="B1025" s="5" t="s">
        <v>5854</v>
      </c>
      <c r="C1025" s="5" t="s">
        <v>29</v>
      </c>
      <c r="D1025" s="21">
        <v>2</v>
      </c>
      <c r="E1025" s="12">
        <v>158</v>
      </c>
      <c r="F1025" s="10" t="str">
        <f>_xlfn.XLOOKUP(C1025,menu!A:A,menu!B:B)</f>
        <v>Paneer Roll</v>
      </c>
      <c r="G1025" s="10" t="str">
        <f>_xlfn.XLOOKUP(C1025,menu!A:A,menu!C:C)</f>
        <v>Rolls</v>
      </c>
      <c r="H1025" s="10">
        <f>_xlfn.XLOOKUP(C1025,menu!A:A,menu!E:E)</f>
        <v>24</v>
      </c>
      <c r="I1025" s="10">
        <f t="shared" si="15"/>
        <v>48</v>
      </c>
      <c r="K1025" s="10"/>
      <c r="L1025" s="5"/>
    </row>
    <row r="1026" spans="1:12" x14ac:dyDescent="0.25">
      <c r="A1026" s="5" t="s">
        <v>5857</v>
      </c>
      <c r="B1026" s="5" t="s">
        <v>5854</v>
      </c>
      <c r="C1026" s="5" t="s">
        <v>35</v>
      </c>
      <c r="D1026" s="21">
        <v>1</v>
      </c>
      <c r="E1026" s="12">
        <v>119</v>
      </c>
      <c r="F1026" s="10" t="str">
        <f>_xlfn.XLOOKUP(C1026,menu!A:A,menu!B:B)</f>
        <v>Chicken Nuggets</v>
      </c>
      <c r="G1026" s="10" t="str">
        <f>_xlfn.XLOOKUP(C1026,menu!A:A,menu!C:C)</f>
        <v>Starters</v>
      </c>
      <c r="H1026" s="10">
        <f>_xlfn.XLOOKUP(C1026,menu!A:A,menu!E:E)</f>
        <v>36</v>
      </c>
      <c r="I1026" s="10">
        <f t="shared" si="15"/>
        <v>36</v>
      </c>
      <c r="K1026" s="10"/>
      <c r="L1026" s="5"/>
    </row>
    <row r="1027" spans="1:12" x14ac:dyDescent="0.25">
      <c r="A1027" s="5" t="s">
        <v>5856</v>
      </c>
      <c r="B1027" s="5" t="s">
        <v>5854</v>
      </c>
      <c r="C1027" s="5" t="s">
        <v>33</v>
      </c>
      <c r="D1027" s="21">
        <v>1</v>
      </c>
      <c r="E1027" s="12">
        <v>69</v>
      </c>
      <c r="F1027" s="10" t="str">
        <f>_xlfn.XLOOKUP(C1027,menu!A:A,menu!B:B)</f>
        <v>Spring Roll</v>
      </c>
      <c r="G1027" s="10" t="str">
        <f>_xlfn.XLOOKUP(C1027,menu!A:A,menu!C:C)</f>
        <v>Rolls</v>
      </c>
      <c r="H1027" s="10">
        <f>_xlfn.XLOOKUP(C1027,menu!A:A,menu!E:E)</f>
        <v>21</v>
      </c>
      <c r="I1027" s="10">
        <f t="shared" ref="I1027:I1090" si="16">D1027*H1027</f>
        <v>21</v>
      </c>
      <c r="K1027" s="10"/>
      <c r="L1027" s="5"/>
    </row>
    <row r="1028" spans="1:12" x14ac:dyDescent="0.25">
      <c r="A1028" s="5" t="s">
        <v>5855</v>
      </c>
      <c r="B1028" s="5" t="s">
        <v>5854</v>
      </c>
      <c r="C1028" s="5" t="s">
        <v>31</v>
      </c>
      <c r="D1028" s="21">
        <v>4</v>
      </c>
      <c r="E1028" s="12">
        <v>356</v>
      </c>
      <c r="F1028" s="10" t="str">
        <f>_xlfn.XLOOKUP(C1028,menu!A:A,menu!B:B)</f>
        <v>Chicken Roll</v>
      </c>
      <c r="G1028" s="10" t="str">
        <f>_xlfn.XLOOKUP(C1028,menu!A:A,menu!C:C)</f>
        <v>Rolls</v>
      </c>
      <c r="H1028" s="10">
        <f>_xlfn.XLOOKUP(C1028,menu!A:A,menu!E:E)</f>
        <v>27</v>
      </c>
      <c r="I1028" s="10">
        <f t="shared" si="16"/>
        <v>108</v>
      </c>
      <c r="K1028" s="10"/>
      <c r="L1028" s="5"/>
    </row>
    <row r="1029" spans="1:12" x14ac:dyDescent="0.25">
      <c r="A1029" s="5" t="s">
        <v>5853</v>
      </c>
      <c r="B1029" s="5" t="s">
        <v>5851</v>
      </c>
      <c r="C1029" s="5" t="s">
        <v>35</v>
      </c>
      <c r="D1029" s="21">
        <v>1</v>
      </c>
      <c r="E1029" s="12">
        <v>119</v>
      </c>
      <c r="F1029" s="10" t="str">
        <f>_xlfn.XLOOKUP(C1029,menu!A:A,menu!B:B)</f>
        <v>Chicken Nuggets</v>
      </c>
      <c r="G1029" s="10" t="str">
        <f>_xlfn.XLOOKUP(C1029,menu!A:A,menu!C:C)</f>
        <v>Starters</v>
      </c>
      <c r="H1029" s="10">
        <f>_xlfn.XLOOKUP(C1029,menu!A:A,menu!E:E)</f>
        <v>36</v>
      </c>
      <c r="I1029" s="10">
        <f t="shared" si="16"/>
        <v>36</v>
      </c>
      <c r="K1029" s="10"/>
      <c r="L1029" s="5"/>
    </row>
    <row r="1030" spans="1:12" x14ac:dyDescent="0.25">
      <c r="A1030" s="5" t="s">
        <v>5852</v>
      </c>
      <c r="B1030" s="5" t="s">
        <v>5851</v>
      </c>
      <c r="C1030" s="5" t="s">
        <v>22</v>
      </c>
      <c r="D1030" s="21">
        <v>2</v>
      </c>
      <c r="E1030" s="12">
        <v>198</v>
      </c>
      <c r="F1030" s="10" t="str">
        <f>_xlfn.XLOOKUP(C1030,menu!A:A,menu!B:B)</f>
        <v>Chicken Burger</v>
      </c>
      <c r="G1030" s="10" t="str">
        <f>_xlfn.XLOOKUP(C1030,menu!A:A,menu!C:C)</f>
        <v>Burger</v>
      </c>
      <c r="H1030" s="10">
        <f>_xlfn.XLOOKUP(C1030,menu!A:A,menu!E:E)</f>
        <v>30</v>
      </c>
      <c r="I1030" s="10">
        <f t="shared" si="16"/>
        <v>60</v>
      </c>
      <c r="K1030" s="10"/>
      <c r="L1030" s="5"/>
    </row>
    <row r="1031" spans="1:12" x14ac:dyDescent="0.25">
      <c r="A1031" s="5" t="s">
        <v>5850</v>
      </c>
      <c r="B1031" s="5" t="s">
        <v>5848</v>
      </c>
      <c r="C1031" s="5" t="s">
        <v>33</v>
      </c>
      <c r="D1031" s="21">
        <v>3</v>
      </c>
      <c r="E1031" s="12">
        <v>207</v>
      </c>
      <c r="F1031" s="10" t="str">
        <f>_xlfn.XLOOKUP(C1031,menu!A:A,menu!B:B)</f>
        <v>Spring Roll</v>
      </c>
      <c r="G1031" s="10" t="str">
        <f>_xlfn.XLOOKUP(C1031,menu!A:A,menu!C:C)</f>
        <v>Rolls</v>
      </c>
      <c r="H1031" s="10">
        <f>_xlfn.XLOOKUP(C1031,menu!A:A,menu!E:E)</f>
        <v>21</v>
      </c>
      <c r="I1031" s="10">
        <f t="shared" si="16"/>
        <v>63</v>
      </c>
      <c r="K1031" s="10"/>
      <c r="L1031" s="5"/>
    </row>
    <row r="1032" spans="1:12" x14ac:dyDescent="0.25">
      <c r="A1032" s="5" t="s">
        <v>5849</v>
      </c>
      <c r="B1032" s="5" t="s">
        <v>5848</v>
      </c>
      <c r="C1032" s="5" t="s">
        <v>31</v>
      </c>
      <c r="D1032" s="21">
        <v>1</v>
      </c>
      <c r="E1032" s="12">
        <v>89</v>
      </c>
      <c r="F1032" s="10" t="str">
        <f>_xlfn.XLOOKUP(C1032,menu!A:A,menu!B:B)</f>
        <v>Chicken Roll</v>
      </c>
      <c r="G1032" s="10" t="str">
        <f>_xlfn.XLOOKUP(C1032,menu!A:A,menu!C:C)</f>
        <v>Rolls</v>
      </c>
      <c r="H1032" s="10">
        <f>_xlfn.XLOOKUP(C1032,menu!A:A,menu!E:E)</f>
        <v>27</v>
      </c>
      <c r="I1032" s="10">
        <f t="shared" si="16"/>
        <v>27</v>
      </c>
      <c r="K1032" s="10"/>
      <c r="L1032" s="5"/>
    </row>
    <row r="1033" spans="1:12" x14ac:dyDescent="0.25">
      <c r="A1033" s="5" t="s">
        <v>5847</v>
      </c>
      <c r="B1033" s="5" t="s">
        <v>5845</v>
      </c>
      <c r="C1033" s="5" t="s">
        <v>63</v>
      </c>
      <c r="D1033" s="21">
        <v>1</v>
      </c>
      <c r="E1033" s="12">
        <v>79</v>
      </c>
      <c r="F1033" s="10" t="str">
        <f>_xlfn.XLOOKUP(C1033,menu!A:A,menu!B:B)</f>
        <v>Virgin Mojito</v>
      </c>
      <c r="G1033" s="10" t="str">
        <f>_xlfn.XLOOKUP(C1033,menu!A:A,menu!C:C)</f>
        <v>Beverages</v>
      </c>
      <c r="H1033" s="10">
        <f>_xlfn.XLOOKUP(C1033,menu!A:A,menu!E:E)</f>
        <v>24</v>
      </c>
      <c r="I1033" s="10">
        <f t="shared" si="16"/>
        <v>24</v>
      </c>
      <c r="K1033" s="10"/>
      <c r="L1033" s="5"/>
    </row>
    <row r="1034" spans="1:12" x14ac:dyDescent="0.25">
      <c r="A1034" s="5" t="s">
        <v>5846</v>
      </c>
      <c r="B1034" s="5" t="s">
        <v>5845</v>
      </c>
      <c r="C1034" s="5" t="s">
        <v>50</v>
      </c>
      <c r="D1034" s="21">
        <v>2</v>
      </c>
      <c r="E1034" s="12">
        <v>298</v>
      </c>
      <c r="F1034" s="10" t="str">
        <f>_xlfn.XLOOKUP(C1034,menu!A:A,menu!B:B)</f>
        <v>Grab Lollipop</v>
      </c>
      <c r="G1034" s="10" t="str">
        <f>_xlfn.XLOOKUP(C1034,menu!A:A,menu!C:C)</f>
        <v>Starters</v>
      </c>
      <c r="H1034" s="10">
        <f>_xlfn.XLOOKUP(C1034,menu!A:A,menu!E:E)</f>
        <v>45</v>
      </c>
      <c r="I1034" s="10">
        <f t="shared" si="16"/>
        <v>90</v>
      </c>
      <c r="K1034" s="10"/>
      <c r="L1034" s="5"/>
    </row>
    <row r="1035" spans="1:12" x14ac:dyDescent="0.25">
      <c r="A1035" s="5" t="s">
        <v>5844</v>
      </c>
      <c r="B1035" s="5" t="s">
        <v>5843</v>
      </c>
      <c r="C1035" s="5" t="s">
        <v>52</v>
      </c>
      <c r="D1035" s="21">
        <v>2</v>
      </c>
      <c r="E1035" s="12">
        <v>198</v>
      </c>
      <c r="F1035" s="10" t="str">
        <f>_xlfn.XLOOKUP(C1035,menu!A:A,menu!B:B)</f>
        <v>French Fries</v>
      </c>
      <c r="G1035" s="10" t="str">
        <f>_xlfn.XLOOKUP(C1035,menu!A:A,menu!C:C)</f>
        <v>Starters</v>
      </c>
      <c r="H1035" s="10">
        <f>_xlfn.XLOOKUP(C1035,menu!A:A,menu!E:E)</f>
        <v>30</v>
      </c>
      <c r="I1035" s="10">
        <f t="shared" si="16"/>
        <v>60</v>
      </c>
      <c r="K1035" s="10"/>
      <c r="L1035" s="5"/>
    </row>
    <row r="1036" spans="1:12" x14ac:dyDescent="0.25">
      <c r="A1036" s="5" t="s">
        <v>5842</v>
      </c>
      <c r="B1036" s="5" t="s">
        <v>5840</v>
      </c>
      <c r="C1036" s="5" t="s">
        <v>46</v>
      </c>
      <c r="D1036" s="21">
        <v>1</v>
      </c>
      <c r="E1036" s="12">
        <v>149</v>
      </c>
      <c r="F1036" s="10" t="str">
        <f>_xlfn.XLOOKUP(C1036,menu!A:A,menu!B:B)</f>
        <v>Fish Finger</v>
      </c>
      <c r="G1036" s="10" t="str">
        <f>_xlfn.XLOOKUP(C1036,menu!A:A,menu!C:C)</f>
        <v>Starters</v>
      </c>
      <c r="H1036" s="10">
        <f>_xlfn.XLOOKUP(C1036,menu!A:A,menu!E:E)</f>
        <v>45</v>
      </c>
      <c r="I1036" s="10">
        <f t="shared" si="16"/>
        <v>45</v>
      </c>
      <c r="K1036" s="10"/>
      <c r="L1036" s="5"/>
    </row>
    <row r="1037" spans="1:12" x14ac:dyDescent="0.25">
      <c r="A1037" s="5" t="s">
        <v>5841</v>
      </c>
      <c r="B1037" s="5" t="s">
        <v>5840</v>
      </c>
      <c r="C1037" s="5" t="s">
        <v>42</v>
      </c>
      <c r="D1037" s="21">
        <v>1</v>
      </c>
      <c r="E1037" s="12">
        <v>149</v>
      </c>
      <c r="F1037" s="10" t="str">
        <f>_xlfn.XLOOKUP(C1037,menu!A:A,menu!B:B)</f>
        <v>Chicken Popcorn</v>
      </c>
      <c r="G1037" s="10" t="str">
        <f>_xlfn.XLOOKUP(C1037,menu!A:A,menu!C:C)</f>
        <v>Starters</v>
      </c>
      <c r="H1037" s="10">
        <f>_xlfn.XLOOKUP(C1037,menu!A:A,menu!E:E)</f>
        <v>45</v>
      </c>
      <c r="I1037" s="10">
        <f t="shared" si="16"/>
        <v>45</v>
      </c>
      <c r="K1037" s="10"/>
      <c r="L1037" s="5"/>
    </row>
    <row r="1038" spans="1:12" x14ac:dyDescent="0.25">
      <c r="A1038" s="5" t="s">
        <v>5839</v>
      </c>
      <c r="B1038" s="5" t="s">
        <v>5835</v>
      </c>
      <c r="C1038" s="5" t="s">
        <v>54</v>
      </c>
      <c r="D1038" s="21">
        <v>2</v>
      </c>
      <c r="E1038" s="12">
        <v>278</v>
      </c>
      <c r="F1038" s="10" t="str">
        <f>_xlfn.XLOOKUP(C1038,menu!A:A,menu!B:B)</f>
        <v>Chicken Strips</v>
      </c>
      <c r="G1038" s="10" t="str">
        <f>_xlfn.XLOOKUP(C1038,menu!A:A,menu!C:C)</f>
        <v>Starters</v>
      </c>
      <c r="H1038" s="10">
        <f>_xlfn.XLOOKUP(C1038,menu!A:A,menu!E:E)</f>
        <v>42</v>
      </c>
      <c r="I1038" s="10">
        <f t="shared" si="16"/>
        <v>84</v>
      </c>
      <c r="K1038" s="10"/>
      <c r="L1038" s="5"/>
    </row>
    <row r="1039" spans="1:12" x14ac:dyDescent="0.25">
      <c r="A1039" s="5" t="s">
        <v>5838</v>
      </c>
      <c r="B1039" s="5" t="s">
        <v>5835</v>
      </c>
      <c r="C1039" s="5" t="s">
        <v>15</v>
      </c>
      <c r="D1039" s="21">
        <v>2</v>
      </c>
      <c r="E1039" s="12">
        <v>198</v>
      </c>
      <c r="F1039" s="10" t="str">
        <f>_xlfn.XLOOKUP(C1039,menu!A:A,menu!B:B)</f>
        <v>Chicken Momos</v>
      </c>
      <c r="G1039" s="10" t="str">
        <f>_xlfn.XLOOKUP(C1039,menu!A:A,menu!C:C)</f>
        <v>Momos</v>
      </c>
      <c r="H1039" s="10">
        <f>_xlfn.XLOOKUP(C1039,menu!A:A,menu!E:E)</f>
        <v>30</v>
      </c>
      <c r="I1039" s="10">
        <f t="shared" si="16"/>
        <v>60</v>
      </c>
      <c r="K1039" s="10"/>
      <c r="L1039" s="5"/>
    </row>
    <row r="1040" spans="1:12" x14ac:dyDescent="0.25">
      <c r="A1040" s="5" t="s">
        <v>5837</v>
      </c>
      <c r="B1040" s="5" t="s">
        <v>5835</v>
      </c>
      <c r="C1040" s="5" t="s">
        <v>46</v>
      </c>
      <c r="D1040" s="21">
        <v>4</v>
      </c>
      <c r="E1040" s="12">
        <v>596</v>
      </c>
      <c r="F1040" s="10" t="str">
        <f>_xlfn.XLOOKUP(C1040,menu!A:A,menu!B:B)</f>
        <v>Fish Finger</v>
      </c>
      <c r="G1040" s="10" t="str">
        <f>_xlfn.XLOOKUP(C1040,menu!A:A,menu!C:C)</f>
        <v>Starters</v>
      </c>
      <c r="H1040" s="10">
        <f>_xlfn.XLOOKUP(C1040,menu!A:A,menu!E:E)</f>
        <v>45</v>
      </c>
      <c r="I1040" s="10">
        <f t="shared" si="16"/>
        <v>180</v>
      </c>
      <c r="K1040" s="10"/>
      <c r="L1040" s="5"/>
    </row>
    <row r="1041" spans="1:12" x14ac:dyDescent="0.25">
      <c r="A1041" s="5" t="s">
        <v>5836</v>
      </c>
      <c r="B1041" s="5" t="s">
        <v>5835</v>
      </c>
      <c r="C1041" s="5" t="s">
        <v>33</v>
      </c>
      <c r="D1041" s="21">
        <v>2</v>
      </c>
      <c r="E1041" s="12">
        <v>138</v>
      </c>
      <c r="F1041" s="10" t="str">
        <f>_xlfn.XLOOKUP(C1041,menu!A:A,menu!B:B)</f>
        <v>Spring Roll</v>
      </c>
      <c r="G1041" s="10" t="str">
        <f>_xlfn.XLOOKUP(C1041,menu!A:A,menu!C:C)</f>
        <v>Rolls</v>
      </c>
      <c r="H1041" s="10">
        <f>_xlfn.XLOOKUP(C1041,menu!A:A,menu!E:E)</f>
        <v>21</v>
      </c>
      <c r="I1041" s="10">
        <f t="shared" si="16"/>
        <v>42</v>
      </c>
      <c r="K1041" s="10"/>
      <c r="L1041" s="5"/>
    </row>
    <row r="1042" spans="1:12" x14ac:dyDescent="0.25">
      <c r="A1042" s="5" t="s">
        <v>5834</v>
      </c>
      <c r="B1042" s="5" t="s">
        <v>5832</v>
      </c>
      <c r="C1042" s="5" t="s">
        <v>19</v>
      </c>
      <c r="D1042" s="21">
        <v>2</v>
      </c>
      <c r="E1042" s="12">
        <v>158</v>
      </c>
      <c r="F1042" s="10" t="str">
        <f>_xlfn.XLOOKUP(C1042,menu!A:A,menu!B:B)</f>
        <v>Veg Burger</v>
      </c>
      <c r="G1042" s="10" t="str">
        <f>_xlfn.XLOOKUP(C1042,menu!A:A,menu!C:C)</f>
        <v>Burger</v>
      </c>
      <c r="H1042" s="10">
        <f>_xlfn.XLOOKUP(C1042,menu!A:A,menu!E:E)</f>
        <v>24</v>
      </c>
      <c r="I1042" s="10">
        <f t="shared" si="16"/>
        <v>48</v>
      </c>
      <c r="K1042" s="10"/>
      <c r="L1042" s="5"/>
    </row>
    <row r="1043" spans="1:12" x14ac:dyDescent="0.25">
      <c r="A1043" s="5" t="s">
        <v>5833</v>
      </c>
      <c r="B1043" s="5" t="s">
        <v>5832</v>
      </c>
      <c r="C1043" s="5" t="s">
        <v>50</v>
      </c>
      <c r="D1043" s="21">
        <v>1</v>
      </c>
      <c r="E1043" s="12">
        <v>149</v>
      </c>
      <c r="F1043" s="10" t="str">
        <f>_xlfn.XLOOKUP(C1043,menu!A:A,menu!B:B)</f>
        <v>Grab Lollipop</v>
      </c>
      <c r="G1043" s="10" t="str">
        <f>_xlfn.XLOOKUP(C1043,menu!A:A,menu!C:C)</f>
        <v>Starters</v>
      </c>
      <c r="H1043" s="10">
        <f>_xlfn.XLOOKUP(C1043,menu!A:A,menu!E:E)</f>
        <v>45</v>
      </c>
      <c r="I1043" s="10">
        <f t="shared" si="16"/>
        <v>45</v>
      </c>
      <c r="K1043" s="10"/>
      <c r="L1043" s="5"/>
    </row>
    <row r="1044" spans="1:12" x14ac:dyDescent="0.25">
      <c r="A1044" s="5" t="s">
        <v>5831</v>
      </c>
      <c r="B1044" s="5" t="s">
        <v>5829</v>
      </c>
      <c r="C1044" s="5" t="s">
        <v>31</v>
      </c>
      <c r="D1044" s="21">
        <v>1</v>
      </c>
      <c r="E1044" s="12">
        <v>89</v>
      </c>
      <c r="F1044" s="10" t="str">
        <f>_xlfn.XLOOKUP(C1044,menu!A:A,menu!B:B)</f>
        <v>Chicken Roll</v>
      </c>
      <c r="G1044" s="10" t="str">
        <f>_xlfn.XLOOKUP(C1044,menu!A:A,menu!C:C)</f>
        <v>Rolls</v>
      </c>
      <c r="H1044" s="10">
        <f>_xlfn.XLOOKUP(C1044,menu!A:A,menu!E:E)</f>
        <v>27</v>
      </c>
      <c r="I1044" s="10">
        <f t="shared" si="16"/>
        <v>27</v>
      </c>
      <c r="K1044" s="10"/>
      <c r="L1044" s="5"/>
    </row>
    <row r="1045" spans="1:12" x14ac:dyDescent="0.25">
      <c r="A1045" s="5" t="s">
        <v>5830</v>
      </c>
      <c r="B1045" s="5" t="s">
        <v>5829</v>
      </c>
      <c r="C1045" s="5" t="s">
        <v>48</v>
      </c>
      <c r="D1045" s="21">
        <v>1</v>
      </c>
      <c r="E1045" s="12">
        <v>159</v>
      </c>
      <c r="F1045" s="10" t="str">
        <f>_xlfn.XLOOKUP(C1045,menu!A:A,menu!B:B)</f>
        <v>Chicken Lollipop</v>
      </c>
      <c r="G1045" s="10" t="str">
        <f>_xlfn.XLOOKUP(C1045,menu!A:A,menu!C:C)</f>
        <v>Starters</v>
      </c>
      <c r="H1045" s="10">
        <f>_xlfn.XLOOKUP(C1045,menu!A:A,menu!E:E)</f>
        <v>48</v>
      </c>
      <c r="I1045" s="10">
        <f t="shared" si="16"/>
        <v>48</v>
      </c>
      <c r="K1045" s="10"/>
      <c r="L1045" s="5"/>
    </row>
    <row r="1046" spans="1:12" x14ac:dyDescent="0.25">
      <c r="A1046" s="5" t="s">
        <v>5828</v>
      </c>
      <c r="B1046" s="5" t="s">
        <v>5824</v>
      </c>
      <c r="C1046" s="5" t="s">
        <v>35</v>
      </c>
      <c r="D1046" s="21">
        <v>2</v>
      </c>
      <c r="E1046" s="12">
        <v>238</v>
      </c>
      <c r="F1046" s="10" t="str">
        <f>_xlfn.XLOOKUP(C1046,menu!A:A,menu!B:B)</f>
        <v>Chicken Nuggets</v>
      </c>
      <c r="G1046" s="10" t="str">
        <f>_xlfn.XLOOKUP(C1046,menu!A:A,menu!C:C)</f>
        <v>Starters</v>
      </c>
      <c r="H1046" s="10">
        <f>_xlfn.XLOOKUP(C1046,menu!A:A,menu!E:E)</f>
        <v>36</v>
      </c>
      <c r="I1046" s="10">
        <f t="shared" si="16"/>
        <v>72</v>
      </c>
      <c r="K1046" s="10"/>
      <c r="L1046" s="5"/>
    </row>
    <row r="1047" spans="1:12" x14ac:dyDescent="0.25">
      <c r="A1047" s="5" t="s">
        <v>5827</v>
      </c>
      <c r="B1047" s="5" t="s">
        <v>5824</v>
      </c>
      <c r="C1047" s="5" t="s">
        <v>54</v>
      </c>
      <c r="D1047" s="21">
        <v>1</v>
      </c>
      <c r="E1047" s="12">
        <v>139</v>
      </c>
      <c r="F1047" s="10" t="str">
        <f>_xlfn.XLOOKUP(C1047,menu!A:A,menu!B:B)</f>
        <v>Chicken Strips</v>
      </c>
      <c r="G1047" s="10" t="str">
        <f>_xlfn.XLOOKUP(C1047,menu!A:A,menu!C:C)</f>
        <v>Starters</v>
      </c>
      <c r="H1047" s="10">
        <f>_xlfn.XLOOKUP(C1047,menu!A:A,menu!E:E)</f>
        <v>42</v>
      </c>
      <c r="I1047" s="10">
        <f t="shared" si="16"/>
        <v>42</v>
      </c>
      <c r="K1047" s="10"/>
      <c r="L1047" s="5"/>
    </row>
    <row r="1048" spans="1:12" x14ac:dyDescent="0.25">
      <c r="A1048" s="5" t="s">
        <v>5826</v>
      </c>
      <c r="B1048" s="5" t="s">
        <v>5824</v>
      </c>
      <c r="C1048" s="5" t="s">
        <v>59</v>
      </c>
      <c r="D1048" s="21">
        <v>1</v>
      </c>
      <c r="E1048" s="12">
        <v>79</v>
      </c>
      <c r="F1048" s="10" t="str">
        <f>_xlfn.XLOOKUP(C1048,menu!A:A,menu!B:B)</f>
        <v>Blue Curacao Mojito</v>
      </c>
      <c r="G1048" s="10" t="str">
        <f>_xlfn.XLOOKUP(C1048,menu!A:A,menu!C:C)</f>
        <v>Beverages</v>
      </c>
      <c r="H1048" s="10">
        <f>_xlfn.XLOOKUP(C1048,menu!A:A,menu!E:E)</f>
        <v>24</v>
      </c>
      <c r="I1048" s="10">
        <f t="shared" si="16"/>
        <v>24</v>
      </c>
      <c r="K1048" s="10"/>
      <c r="L1048" s="5"/>
    </row>
    <row r="1049" spans="1:12" x14ac:dyDescent="0.25">
      <c r="A1049" s="5" t="s">
        <v>5825</v>
      </c>
      <c r="B1049" s="5" t="s">
        <v>5824</v>
      </c>
      <c r="C1049" s="5" t="s">
        <v>12</v>
      </c>
      <c r="D1049" s="21">
        <v>1</v>
      </c>
      <c r="E1049" s="12">
        <v>79</v>
      </c>
      <c r="F1049" s="10" t="str">
        <f>_xlfn.XLOOKUP(C1049,menu!A:A,menu!B:B)</f>
        <v>Veg Momos</v>
      </c>
      <c r="G1049" s="10" t="str">
        <f>_xlfn.XLOOKUP(C1049,menu!A:A,menu!C:C)</f>
        <v>Momos</v>
      </c>
      <c r="H1049" s="10">
        <f>_xlfn.XLOOKUP(C1049,menu!A:A,menu!E:E)</f>
        <v>24</v>
      </c>
      <c r="I1049" s="10">
        <f t="shared" si="16"/>
        <v>24</v>
      </c>
      <c r="K1049" s="10"/>
      <c r="L1049" s="5"/>
    </row>
    <row r="1050" spans="1:12" x14ac:dyDescent="0.25">
      <c r="A1050" s="5" t="s">
        <v>5823</v>
      </c>
      <c r="B1050" s="5" t="s">
        <v>5820</v>
      </c>
      <c r="C1050" s="5" t="s">
        <v>19</v>
      </c>
      <c r="D1050" s="21">
        <v>3</v>
      </c>
      <c r="E1050" s="12">
        <v>237</v>
      </c>
      <c r="F1050" s="10" t="str">
        <f>_xlfn.XLOOKUP(C1050,menu!A:A,menu!B:B)</f>
        <v>Veg Burger</v>
      </c>
      <c r="G1050" s="10" t="str">
        <f>_xlfn.XLOOKUP(C1050,menu!A:A,menu!C:C)</f>
        <v>Burger</v>
      </c>
      <c r="H1050" s="10">
        <f>_xlfn.XLOOKUP(C1050,menu!A:A,menu!E:E)</f>
        <v>24</v>
      </c>
      <c r="I1050" s="10">
        <f t="shared" si="16"/>
        <v>72</v>
      </c>
      <c r="K1050" s="10"/>
      <c r="L1050" s="5"/>
    </row>
    <row r="1051" spans="1:12" x14ac:dyDescent="0.25">
      <c r="A1051" s="5" t="s">
        <v>5822</v>
      </c>
      <c r="B1051" s="5" t="s">
        <v>5820</v>
      </c>
      <c r="C1051" s="5" t="s">
        <v>52</v>
      </c>
      <c r="D1051" s="21">
        <v>1</v>
      </c>
      <c r="E1051" s="12">
        <v>99</v>
      </c>
      <c r="F1051" s="10" t="str">
        <f>_xlfn.XLOOKUP(C1051,menu!A:A,menu!B:B)</f>
        <v>French Fries</v>
      </c>
      <c r="G1051" s="10" t="str">
        <f>_xlfn.XLOOKUP(C1051,menu!A:A,menu!C:C)</f>
        <v>Starters</v>
      </c>
      <c r="H1051" s="10">
        <f>_xlfn.XLOOKUP(C1051,menu!A:A,menu!E:E)</f>
        <v>30</v>
      </c>
      <c r="I1051" s="10">
        <f t="shared" si="16"/>
        <v>30</v>
      </c>
      <c r="K1051" s="10"/>
      <c r="L1051" s="5"/>
    </row>
    <row r="1052" spans="1:12" x14ac:dyDescent="0.25">
      <c r="A1052" s="5" t="s">
        <v>5821</v>
      </c>
      <c r="B1052" s="5" t="s">
        <v>5820</v>
      </c>
      <c r="C1052" s="5" t="s">
        <v>8</v>
      </c>
      <c r="D1052" s="21">
        <v>2</v>
      </c>
      <c r="E1052" s="12">
        <v>198</v>
      </c>
      <c r="F1052" s="10" t="str">
        <f>_xlfn.XLOOKUP(C1052,menu!A:A,menu!B:B)</f>
        <v>Paneer Sandwich</v>
      </c>
      <c r="G1052" s="10" t="str">
        <f>_xlfn.XLOOKUP(C1052,menu!A:A,menu!C:C)</f>
        <v>Sandwich</v>
      </c>
      <c r="H1052" s="10">
        <f>_xlfn.XLOOKUP(C1052,menu!A:A,menu!E:E)</f>
        <v>30</v>
      </c>
      <c r="I1052" s="10">
        <f t="shared" si="16"/>
        <v>60</v>
      </c>
      <c r="K1052" s="10"/>
      <c r="L1052" s="5"/>
    </row>
    <row r="1053" spans="1:12" x14ac:dyDescent="0.25">
      <c r="A1053" s="5" t="s">
        <v>5819</v>
      </c>
      <c r="B1053" s="5" t="s">
        <v>5815</v>
      </c>
      <c r="C1053" s="5" t="s">
        <v>46</v>
      </c>
      <c r="D1053" s="21">
        <v>1</v>
      </c>
      <c r="E1053" s="12">
        <v>149</v>
      </c>
      <c r="F1053" s="10" t="str">
        <f>_xlfn.XLOOKUP(C1053,menu!A:A,menu!B:B)</f>
        <v>Fish Finger</v>
      </c>
      <c r="G1053" s="10" t="str">
        <f>_xlfn.XLOOKUP(C1053,menu!A:A,menu!C:C)</f>
        <v>Starters</v>
      </c>
      <c r="H1053" s="10">
        <f>_xlfn.XLOOKUP(C1053,menu!A:A,menu!E:E)</f>
        <v>45</v>
      </c>
      <c r="I1053" s="10">
        <f t="shared" si="16"/>
        <v>45</v>
      </c>
      <c r="K1053" s="10"/>
      <c r="L1053" s="5"/>
    </row>
    <row r="1054" spans="1:12" x14ac:dyDescent="0.25">
      <c r="A1054" s="5" t="s">
        <v>5818</v>
      </c>
      <c r="B1054" s="5" t="s">
        <v>5815</v>
      </c>
      <c r="C1054" s="5" t="s">
        <v>8</v>
      </c>
      <c r="D1054" s="21">
        <v>1</v>
      </c>
      <c r="E1054" s="12">
        <v>99</v>
      </c>
      <c r="F1054" s="10" t="str">
        <f>_xlfn.XLOOKUP(C1054,menu!A:A,menu!B:B)</f>
        <v>Paneer Sandwich</v>
      </c>
      <c r="G1054" s="10" t="str">
        <f>_xlfn.XLOOKUP(C1054,menu!A:A,menu!C:C)</f>
        <v>Sandwich</v>
      </c>
      <c r="H1054" s="10">
        <f>_xlfn.XLOOKUP(C1054,menu!A:A,menu!E:E)</f>
        <v>30</v>
      </c>
      <c r="I1054" s="10">
        <f t="shared" si="16"/>
        <v>30</v>
      </c>
      <c r="K1054" s="10"/>
      <c r="L1054" s="5"/>
    </row>
    <row r="1055" spans="1:12" x14ac:dyDescent="0.25">
      <c r="A1055" s="5" t="s">
        <v>5817</v>
      </c>
      <c r="B1055" s="5" t="s">
        <v>5815</v>
      </c>
      <c r="C1055" s="5" t="s">
        <v>31</v>
      </c>
      <c r="D1055" s="21">
        <v>1</v>
      </c>
      <c r="E1055" s="12">
        <v>89</v>
      </c>
      <c r="F1055" s="10" t="str">
        <f>_xlfn.XLOOKUP(C1055,menu!A:A,menu!B:B)</f>
        <v>Chicken Roll</v>
      </c>
      <c r="G1055" s="10" t="str">
        <f>_xlfn.XLOOKUP(C1055,menu!A:A,menu!C:C)</f>
        <v>Rolls</v>
      </c>
      <c r="H1055" s="10">
        <f>_xlfn.XLOOKUP(C1055,menu!A:A,menu!E:E)</f>
        <v>27</v>
      </c>
      <c r="I1055" s="10">
        <f t="shared" si="16"/>
        <v>27</v>
      </c>
      <c r="K1055" s="10"/>
      <c r="L1055" s="5"/>
    </row>
    <row r="1056" spans="1:12" x14ac:dyDescent="0.25">
      <c r="A1056" s="5" t="s">
        <v>5816</v>
      </c>
      <c r="B1056" s="5" t="s">
        <v>5815</v>
      </c>
      <c r="C1056" s="5" t="s">
        <v>61</v>
      </c>
      <c r="D1056" s="21">
        <v>2</v>
      </c>
      <c r="E1056" s="12">
        <v>158</v>
      </c>
      <c r="F1056" s="10" t="str">
        <f>_xlfn.XLOOKUP(C1056,menu!A:A,menu!B:B)</f>
        <v>Watermelon Mojito</v>
      </c>
      <c r="G1056" s="10" t="str">
        <f>_xlfn.XLOOKUP(C1056,menu!A:A,menu!C:C)</f>
        <v>Beverages</v>
      </c>
      <c r="H1056" s="10">
        <f>_xlfn.XLOOKUP(C1056,menu!A:A,menu!E:E)</f>
        <v>24</v>
      </c>
      <c r="I1056" s="10">
        <f t="shared" si="16"/>
        <v>48</v>
      </c>
      <c r="K1056" s="10"/>
      <c r="L1056" s="5"/>
    </row>
    <row r="1057" spans="1:12" x14ac:dyDescent="0.25">
      <c r="A1057" s="5" t="s">
        <v>5814</v>
      </c>
      <c r="B1057" s="5" t="s">
        <v>5810</v>
      </c>
      <c r="C1057" s="5" t="s">
        <v>35</v>
      </c>
      <c r="D1057" s="21">
        <v>3</v>
      </c>
      <c r="E1057" s="12">
        <v>357</v>
      </c>
      <c r="F1057" s="10" t="str">
        <f>_xlfn.XLOOKUP(C1057,menu!A:A,menu!B:B)</f>
        <v>Chicken Nuggets</v>
      </c>
      <c r="G1057" s="10" t="str">
        <f>_xlfn.XLOOKUP(C1057,menu!A:A,menu!C:C)</f>
        <v>Starters</v>
      </c>
      <c r="H1057" s="10">
        <f>_xlfn.XLOOKUP(C1057,menu!A:A,menu!E:E)</f>
        <v>36</v>
      </c>
      <c r="I1057" s="10">
        <f t="shared" si="16"/>
        <v>108</v>
      </c>
      <c r="K1057" s="10"/>
      <c r="L1057" s="5"/>
    </row>
    <row r="1058" spans="1:12" x14ac:dyDescent="0.25">
      <c r="A1058" s="5" t="s">
        <v>5813</v>
      </c>
      <c r="B1058" s="5" t="s">
        <v>5810</v>
      </c>
      <c r="C1058" s="5" t="s">
        <v>50</v>
      </c>
      <c r="D1058" s="21">
        <v>2</v>
      </c>
      <c r="E1058" s="12">
        <v>298</v>
      </c>
      <c r="F1058" s="10" t="str">
        <f>_xlfn.XLOOKUP(C1058,menu!A:A,menu!B:B)</f>
        <v>Grab Lollipop</v>
      </c>
      <c r="G1058" s="10" t="str">
        <f>_xlfn.XLOOKUP(C1058,menu!A:A,menu!C:C)</f>
        <v>Starters</v>
      </c>
      <c r="H1058" s="10">
        <f>_xlfn.XLOOKUP(C1058,menu!A:A,menu!E:E)</f>
        <v>45</v>
      </c>
      <c r="I1058" s="10">
        <f t="shared" si="16"/>
        <v>90</v>
      </c>
      <c r="K1058" s="10"/>
      <c r="L1058" s="5"/>
    </row>
    <row r="1059" spans="1:12" x14ac:dyDescent="0.25">
      <c r="A1059" s="5" t="s">
        <v>5812</v>
      </c>
      <c r="B1059" s="5" t="s">
        <v>5810</v>
      </c>
      <c r="C1059" s="5" t="s">
        <v>46</v>
      </c>
      <c r="D1059" s="21">
        <v>2</v>
      </c>
      <c r="E1059" s="12">
        <v>298</v>
      </c>
      <c r="F1059" s="10" t="str">
        <f>_xlfn.XLOOKUP(C1059,menu!A:A,menu!B:B)</f>
        <v>Fish Finger</v>
      </c>
      <c r="G1059" s="10" t="str">
        <f>_xlfn.XLOOKUP(C1059,menu!A:A,menu!C:C)</f>
        <v>Starters</v>
      </c>
      <c r="H1059" s="10">
        <f>_xlfn.XLOOKUP(C1059,menu!A:A,menu!E:E)</f>
        <v>45</v>
      </c>
      <c r="I1059" s="10">
        <f t="shared" si="16"/>
        <v>90</v>
      </c>
      <c r="K1059" s="10"/>
      <c r="L1059" s="5"/>
    </row>
    <row r="1060" spans="1:12" x14ac:dyDescent="0.25">
      <c r="A1060" s="5" t="s">
        <v>5811</v>
      </c>
      <c r="B1060" s="5" t="s">
        <v>5810</v>
      </c>
      <c r="C1060" s="5" t="s">
        <v>22</v>
      </c>
      <c r="D1060" s="21">
        <v>1</v>
      </c>
      <c r="E1060" s="12">
        <v>99</v>
      </c>
      <c r="F1060" s="10" t="str">
        <f>_xlfn.XLOOKUP(C1060,menu!A:A,menu!B:B)</f>
        <v>Chicken Burger</v>
      </c>
      <c r="G1060" s="10" t="str">
        <f>_xlfn.XLOOKUP(C1060,menu!A:A,menu!C:C)</f>
        <v>Burger</v>
      </c>
      <c r="H1060" s="10">
        <f>_xlfn.XLOOKUP(C1060,menu!A:A,menu!E:E)</f>
        <v>30</v>
      </c>
      <c r="I1060" s="10">
        <f t="shared" si="16"/>
        <v>30</v>
      </c>
      <c r="K1060" s="10"/>
      <c r="L1060" s="5"/>
    </row>
    <row r="1061" spans="1:12" x14ac:dyDescent="0.25">
      <c r="A1061" s="5" t="s">
        <v>5809</v>
      </c>
      <c r="B1061" s="5" t="s">
        <v>5807</v>
      </c>
      <c r="C1061" s="5" t="s">
        <v>48</v>
      </c>
      <c r="D1061" s="21">
        <v>3</v>
      </c>
      <c r="E1061" s="12">
        <v>477</v>
      </c>
      <c r="F1061" s="10" t="str">
        <f>_xlfn.XLOOKUP(C1061,menu!A:A,menu!B:B)</f>
        <v>Chicken Lollipop</v>
      </c>
      <c r="G1061" s="10" t="str">
        <f>_xlfn.XLOOKUP(C1061,menu!A:A,menu!C:C)</f>
        <v>Starters</v>
      </c>
      <c r="H1061" s="10">
        <f>_xlfn.XLOOKUP(C1061,menu!A:A,menu!E:E)</f>
        <v>48</v>
      </c>
      <c r="I1061" s="10">
        <f t="shared" si="16"/>
        <v>144</v>
      </c>
      <c r="K1061" s="10"/>
      <c r="L1061" s="5"/>
    </row>
    <row r="1062" spans="1:12" x14ac:dyDescent="0.25">
      <c r="A1062" s="5" t="s">
        <v>5808</v>
      </c>
      <c r="B1062" s="5" t="s">
        <v>5807</v>
      </c>
      <c r="C1062" s="5" t="s">
        <v>38</v>
      </c>
      <c r="D1062" s="21">
        <v>1</v>
      </c>
      <c r="E1062" s="12">
        <v>149</v>
      </c>
      <c r="F1062" s="10" t="str">
        <f>_xlfn.XLOOKUP(C1062,menu!A:A,menu!B:B)</f>
        <v>Chicken Wings</v>
      </c>
      <c r="G1062" s="10" t="str">
        <f>_xlfn.XLOOKUP(C1062,menu!A:A,menu!C:C)</f>
        <v>Starters</v>
      </c>
      <c r="H1062" s="10">
        <f>_xlfn.XLOOKUP(C1062,menu!A:A,menu!E:E)</f>
        <v>45</v>
      </c>
      <c r="I1062" s="10">
        <f t="shared" si="16"/>
        <v>45</v>
      </c>
      <c r="K1062" s="10"/>
      <c r="L1062" s="5"/>
    </row>
    <row r="1063" spans="1:12" x14ac:dyDescent="0.25">
      <c r="A1063" s="5" t="s">
        <v>5806</v>
      </c>
      <c r="B1063" s="5" t="s">
        <v>5804</v>
      </c>
      <c r="C1063" s="5" t="s">
        <v>54</v>
      </c>
      <c r="D1063" s="21">
        <v>3</v>
      </c>
      <c r="E1063" s="12">
        <v>417</v>
      </c>
      <c r="F1063" s="10" t="str">
        <f>_xlfn.XLOOKUP(C1063,menu!A:A,menu!B:B)</f>
        <v>Chicken Strips</v>
      </c>
      <c r="G1063" s="10" t="str">
        <f>_xlfn.XLOOKUP(C1063,menu!A:A,menu!C:C)</f>
        <v>Starters</v>
      </c>
      <c r="H1063" s="10">
        <f>_xlfn.XLOOKUP(C1063,menu!A:A,menu!E:E)</f>
        <v>42</v>
      </c>
      <c r="I1063" s="10">
        <f t="shared" si="16"/>
        <v>126</v>
      </c>
      <c r="K1063" s="10"/>
      <c r="L1063" s="5"/>
    </row>
    <row r="1064" spans="1:12" x14ac:dyDescent="0.25">
      <c r="A1064" s="5" t="s">
        <v>5805</v>
      </c>
      <c r="B1064" s="5" t="s">
        <v>5804</v>
      </c>
      <c r="C1064" s="5" t="s">
        <v>48</v>
      </c>
      <c r="D1064" s="21">
        <v>2</v>
      </c>
      <c r="E1064" s="12">
        <v>318</v>
      </c>
      <c r="F1064" s="10" t="str">
        <f>_xlfn.XLOOKUP(C1064,menu!A:A,menu!B:B)</f>
        <v>Chicken Lollipop</v>
      </c>
      <c r="G1064" s="10" t="str">
        <f>_xlfn.XLOOKUP(C1064,menu!A:A,menu!C:C)</f>
        <v>Starters</v>
      </c>
      <c r="H1064" s="10">
        <f>_xlfn.XLOOKUP(C1064,menu!A:A,menu!E:E)</f>
        <v>48</v>
      </c>
      <c r="I1064" s="10">
        <f t="shared" si="16"/>
        <v>96</v>
      </c>
      <c r="K1064" s="10"/>
      <c r="L1064" s="5"/>
    </row>
    <row r="1065" spans="1:12" x14ac:dyDescent="0.25">
      <c r="A1065" s="5" t="s">
        <v>5803</v>
      </c>
      <c r="B1065" s="5" t="s">
        <v>5799</v>
      </c>
      <c r="C1065" s="5" t="s">
        <v>40</v>
      </c>
      <c r="D1065" s="21">
        <v>1</v>
      </c>
      <c r="E1065" s="12">
        <v>99</v>
      </c>
      <c r="F1065" s="10" t="str">
        <f>_xlfn.XLOOKUP(C1065,menu!A:A,menu!B:B)</f>
        <v>Veg Nuggets</v>
      </c>
      <c r="G1065" s="10" t="str">
        <f>_xlfn.XLOOKUP(C1065,menu!A:A,menu!C:C)</f>
        <v>Starters</v>
      </c>
      <c r="H1065" s="10">
        <f>_xlfn.XLOOKUP(C1065,menu!A:A,menu!E:E)</f>
        <v>30</v>
      </c>
      <c r="I1065" s="10">
        <f t="shared" si="16"/>
        <v>30</v>
      </c>
      <c r="K1065" s="10"/>
      <c r="L1065" s="5"/>
    </row>
    <row r="1066" spans="1:12" x14ac:dyDescent="0.25">
      <c r="A1066" s="5" t="s">
        <v>5802</v>
      </c>
      <c r="B1066" s="5" t="s">
        <v>5799</v>
      </c>
      <c r="C1066" s="5" t="s">
        <v>63</v>
      </c>
      <c r="D1066" s="21">
        <v>4</v>
      </c>
      <c r="E1066" s="12">
        <v>316</v>
      </c>
      <c r="F1066" s="10" t="str">
        <f>_xlfn.XLOOKUP(C1066,menu!A:A,menu!B:B)</f>
        <v>Virgin Mojito</v>
      </c>
      <c r="G1066" s="10" t="str">
        <f>_xlfn.XLOOKUP(C1066,menu!A:A,menu!C:C)</f>
        <v>Beverages</v>
      </c>
      <c r="H1066" s="10">
        <f>_xlfn.XLOOKUP(C1066,menu!A:A,menu!E:E)</f>
        <v>24</v>
      </c>
      <c r="I1066" s="10">
        <f t="shared" si="16"/>
        <v>96</v>
      </c>
      <c r="K1066" s="10"/>
      <c r="L1066" s="5"/>
    </row>
    <row r="1067" spans="1:12" x14ac:dyDescent="0.25">
      <c r="A1067" s="5" t="s">
        <v>5801</v>
      </c>
      <c r="B1067" s="5" t="s">
        <v>5799</v>
      </c>
      <c r="C1067" s="5" t="s">
        <v>22</v>
      </c>
      <c r="D1067" s="21">
        <v>2</v>
      </c>
      <c r="E1067" s="12">
        <v>198</v>
      </c>
      <c r="F1067" s="10" t="str">
        <f>_xlfn.XLOOKUP(C1067,menu!A:A,menu!B:B)</f>
        <v>Chicken Burger</v>
      </c>
      <c r="G1067" s="10" t="str">
        <f>_xlfn.XLOOKUP(C1067,menu!A:A,menu!C:C)</f>
        <v>Burger</v>
      </c>
      <c r="H1067" s="10">
        <f>_xlfn.XLOOKUP(C1067,menu!A:A,menu!E:E)</f>
        <v>30</v>
      </c>
      <c r="I1067" s="10">
        <f t="shared" si="16"/>
        <v>60</v>
      </c>
      <c r="K1067" s="10"/>
      <c r="L1067" s="5"/>
    </row>
    <row r="1068" spans="1:12" x14ac:dyDescent="0.25">
      <c r="A1068" s="5" t="s">
        <v>5800</v>
      </c>
      <c r="B1068" s="5" t="s">
        <v>5799</v>
      </c>
      <c r="C1068" s="5" t="s">
        <v>38</v>
      </c>
      <c r="D1068" s="21">
        <v>1</v>
      </c>
      <c r="E1068" s="12">
        <v>149</v>
      </c>
      <c r="F1068" s="10" t="str">
        <f>_xlfn.XLOOKUP(C1068,menu!A:A,menu!B:B)</f>
        <v>Chicken Wings</v>
      </c>
      <c r="G1068" s="10" t="str">
        <f>_xlfn.XLOOKUP(C1068,menu!A:A,menu!C:C)</f>
        <v>Starters</v>
      </c>
      <c r="H1068" s="10">
        <f>_xlfn.XLOOKUP(C1068,menu!A:A,menu!E:E)</f>
        <v>45</v>
      </c>
      <c r="I1068" s="10">
        <f t="shared" si="16"/>
        <v>45</v>
      </c>
      <c r="K1068" s="10"/>
      <c r="L1068" s="5"/>
    </row>
    <row r="1069" spans="1:12" x14ac:dyDescent="0.25">
      <c r="A1069" s="5" t="s">
        <v>5798</v>
      </c>
      <c r="B1069" s="5" t="s">
        <v>5796</v>
      </c>
      <c r="C1069" s="5" t="s">
        <v>63</v>
      </c>
      <c r="D1069" s="21">
        <v>4</v>
      </c>
      <c r="E1069" s="12">
        <v>316</v>
      </c>
      <c r="F1069" s="10" t="str">
        <f>_xlfn.XLOOKUP(C1069,menu!A:A,menu!B:B)</f>
        <v>Virgin Mojito</v>
      </c>
      <c r="G1069" s="10" t="str">
        <f>_xlfn.XLOOKUP(C1069,menu!A:A,menu!C:C)</f>
        <v>Beverages</v>
      </c>
      <c r="H1069" s="10">
        <f>_xlfn.XLOOKUP(C1069,menu!A:A,menu!E:E)</f>
        <v>24</v>
      </c>
      <c r="I1069" s="10">
        <f t="shared" si="16"/>
        <v>96</v>
      </c>
      <c r="K1069" s="10"/>
      <c r="L1069" s="5"/>
    </row>
    <row r="1070" spans="1:12" x14ac:dyDescent="0.25">
      <c r="A1070" s="5" t="s">
        <v>5797</v>
      </c>
      <c r="B1070" s="5" t="s">
        <v>5796</v>
      </c>
      <c r="C1070" s="5" t="s">
        <v>46</v>
      </c>
      <c r="D1070" s="21">
        <v>2</v>
      </c>
      <c r="E1070" s="12">
        <v>298</v>
      </c>
      <c r="F1070" s="10" t="str">
        <f>_xlfn.XLOOKUP(C1070,menu!A:A,menu!B:B)</f>
        <v>Fish Finger</v>
      </c>
      <c r="G1070" s="10" t="str">
        <f>_xlfn.XLOOKUP(C1070,menu!A:A,menu!C:C)</f>
        <v>Starters</v>
      </c>
      <c r="H1070" s="10">
        <f>_xlfn.XLOOKUP(C1070,menu!A:A,menu!E:E)</f>
        <v>45</v>
      </c>
      <c r="I1070" s="10">
        <f t="shared" si="16"/>
        <v>90</v>
      </c>
      <c r="K1070" s="10"/>
      <c r="L1070" s="5"/>
    </row>
    <row r="1071" spans="1:12" x14ac:dyDescent="0.25">
      <c r="A1071" s="5" t="s">
        <v>5795</v>
      </c>
      <c r="B1071" s="5" t="s">
        <v>5794</v>
      </c>
      <c r="C1071" s="5" t="s">
        <v>48</v>
      </c>
      <c r="D1071" s="21">
        <v>1</v>
      </c>
      <c r="E1071" s="12">
        <v>159</v>
      </c>
      <c r="F1071" s="10" t="str">
        <f>_xlfn.XLOOKUP(C1071,menu!A:A,menu!B:B)</f>
        <v>Chicken Lollipop</v>
      </c>
      <c r="G1071" s="10" t="str">
        <f>_xlfn.XLOOKUP(C1071,menu!A:A,menu!C:C)</f>
        <v>Starters</v>
      </c>
      <c r="H1071" s="10">
        <f>_xlfn.XLOOKUP(C1071,menu!A:A,menu!E:E)</f>
        <v>48</v>
      </c>
      <c r="I1071" s="10">
        <f t="shared" si="16"/>
        <v>48</v>
      </c>
      <c r="K1071" s="10"/>
      <c r="L1071" s="5"/>
    </row>
    <row r="1072" spans="1:12" x14ac:dyDescent="0.25">
      <c r="A1072" s="5" t="s">
        <v>5793</v>
      </c>
      <c r="B1072" s="5" t="s">
        <v>5789</v>
      </c>
      <c r="C1072" s="5" t="s">
        <v>12</v>
      </c>
      <c r="D1072" s="21">
        <v>4</v>
      </c>
      <c r="E1072" s="12">
        <v>316</v>
      </c>
      <c r="F1072" s="10" t="str">
        <f>_xlfn.XLOOKUP(C1072,menu!A:A,menu!B:B)</f>
        <v>Veg Momos</v>
      </c>
      <c r="G1072" s="10" t="str">
        <f>_xlfn.XLOOKUP(C1072,menu!A:A,menu!C:C)</f>
        <v>Momos</v>
      </c>
      <c r="H1072" s="10">
        <f>_xlfn.XLOOKUP(C1072,menu!A:A,menu!E:E)</f>
        <v>24</v>
      </c>
      <c r="I1072" s="10">
        <f t="shared" si="16"/>
        <v>96</v>
      </c>
      <c r="K1072" s="10"/>
      <c r="L1072" s="5"/>
    </row>
    <row r="1073" spans="1:12" x14ac:dyDescent="0.25">
      <c r="A1073" s="5" t="s">
        <v>5792</v>
      </c>
      <c r="B1073" s="5" t="s">
        <v>5789</v>
      </c>
      <c r="C1073" s="5" t="s">
        <v>50</v>
      </c>
      <c r="D1073" s="21">
        <v>2</v>
      </c>
      <c r="E1073" s="12">
        <v>298</v>
      </c>
      <c r="F1073" s="10" t="str">
        <f>_xlfn.XLOOKUP(C1073,menu!A:A,menu!B:B)</f>
        <v>Grab Lollipop</v>
      </c>
      <c r="G1073" s="10" t="str">
        <f>_xlfn.XLOOKUP(C1073,menu!A:A,menu!C:C)</f>
        <v>Starters</v>
      </c>
      <c r="H1073" s="10">
        <f>_xlfn.XLOOKUP(C1073,menu!A:A,menu!E:E)</f>
        <v>45</v>
      </c>
      <c r="I1073" s="10">
        <f t="shared" si="16"/>
        <v>90</v>
      </c>
      <c r="K1073" s="10"/>
      <c r="L1073" s="5"/>
    </row>
    <row r="1074" spans="1:12" x14ac:dyDescent="0.25">
      <c r="A1074" s="5" t="s">
        <v>5791</v>
      </c>
      <c r="B1074" s="5" t="s">
        <v>5789</v>
      </c>
      <c r="C1074" s="5" t="s">
        <v>54</v>
      </c>
      <c r="D1074" s="21">
        <v>1</v>
      </c>
      <c r="E1074" s="12">
        <v>139</v>
      </c>
      <c r="F1074" s="10" t="str">
        <f>_xlfn.XLOOKUP(C1074,menu!A:A,menu!B:B)</f>
        <v>Chicken Strips</v>
      </c>
      <c r="G1074" s="10" t="str">
        <f>_xlfn.XLOOKUP(C1074,menu!A:A,menu!C:C)</f>
        <v>Starters</v>
      </c>
      <c r="H1074" s="10">
        <f>_xlfn.XLOOKUP(C1074,menu!A:A,menu!E:E)</f>
        <v>42</v>
      </c>
      <c r="I1074" s="10">
        <f t="shared" si="16"/>
        <v>42</v>
      </c>
      <c r="K1074" s="10"/>
      <c r="L1074" s="5"/>
    </row>
    <row r="1075" spans="1:12" x14ac:dyDescent="0.25">
      <c r="A1075" s="5" t="s">
        <v>5790</v>
      </c>
      <c r="B1075" s="5" t="s">
        <v>5789</v>
      </c>
      <c r="C1075" s="5" t="s">
        <v>29</v>
      </c>
      <c r="D1075" s="21">
        <v>1</v>
      </c>
      <c r="E1075" s="12">
        <v>79</v>
      </c>
      <c r="F1075" s="10" t="str">
        <f>_xlfn.XLOOKUP(C1075,menu!A:A,menu!B:B)</f>
        <v>Paneer Roll</v>
      </c>
      <c r="G1075" s="10" t="str">
        <f>_xlfn.XLOOKUP(C1075,menu!A:A,menu!C:C)</f>
        <v>Rolls</v>
      </c>
      <c r="H1075" s="10">
        <f>_xlfn.XLOOKUP(C1075,menu!A:A,menu!E:E)</f>
        <v>24</v>
      </c>
      <c r="I1075" s="10">
        <f t="shared" si="16"/>
        <v>24</v>
      </c>
      <c r="K1075" s="10"/>
      <c r="L1075" s="5"/>
    </row>
    <row r="1076" spans="1:12" x14ac:dyDescent="0.25">
      <c r="A1076" s="5" t="s">
        <v>5788</v>
      </c>
      <c r="B1076" s="5" t="s">
        <v>5785</v>
      </c>
      <c r="C1076" s="5" t="s">
        <v>12</v>
      </c>
      <c r="D1076" s="21">
        <v>3</v>
      </c>
      <c r="E1076" s="12">
        <v>237</v>
      </c>
      <c r="F1076" s="10" t="str">
        <f>_xlfn.XLOOKUP(C1076,menu!A:A,menu!B:B)</f>
        <v>Veg Momos</v>
      </c>
      <c r="G1076" s="10" t="str">
        <f>_xlfn.XLOOKUP(C1076,menu!A:A,menu!C:C)</f>
        <v>Momos</v>
      </c>
      <c r="H1076" s="10">
        <f>_xlfn.XLOOKUP(C1076,menu!A:A,menu!E:E)</f>
        <v>24</v>
      </c>
      <c r="I1076" s="10">
        <f t="shared" si="16"/>
        <v>72</v>
      </c>
      <c r="K1076" s="10"/>
      <c r="L1076" s="5"/>
    </row>
    <row r="1077" spans="1:12" x14ac:dyDescent="0.25">
      <c r="A1077" s="5" t="s">
        <v>5787</v>
      </c>
      <c r="B1077" s="5" t="s">
        <v>5785</v>
      </c>
      <c r="C1077" s="5" t="s">
        <v>42</v>
      </c>
      <c r="D1077" s="21">
        <v>1</v>
      </c>
      <c r="E1077" s="12">
        <v>149</v>
      </c>
      <c r="F1077" s="10" t="str">
        <f>_xlfn.XLOOKUP(C1077,menu!A:A,menu!B:B)</f>
        <v>Chicken Popcorn</v>
      </c>
      <c r="G1077" s="10" t="str">
        <f>_xlfn.XLOOKUP(C1077,menu!A:A,menu!C:C)</f>
        <v>Starters</v>
      </c>
      <c r="H1077" s="10">
        <f>_xlfn.XLOOKUP(C1077,menu!A:A,menu!E:E)</f>
        <v>45</v>
      </c>
      <c r="I1077" s="10">
        <f t="shared" si="16"/>
        <v>45</v>
      </c>
      <c r="K1077" s="10"/>
      <c r="L1077" s="5"/>
    </row>
    <row r="1078" spans="1:12" x14ac:dyDescent="0.25">
      <c r="A1078" s="5" t="s">
        <v>5786</v>
      </c>
      <c r="B1078" s="5" t="s">
        <v>5785</v>
      </c>
      <c r="C1078" s="5" t="s">
        <v>5</v>
      </c>
      <c r="D1078" s="21">
        <v>3</v>
      </c>
      <c r="E1078" s="12">
        <v>237</v>
      </c>
      <c r="F1078" s="10" t="str">
        <f>_xlfn.XLOOKUP(C1078,menu!A:A,menu!B:B)</f>
        <v>Veg Sandwich</v>
      </c>
      <c r="G1078" s="10" t="str">
        <f>_xlfn.XLOOKUP(C1078,menu!A:A,menu!C:C)</f>
        <v>Sandwich</v>
      </c>
      <c r="H1078" s="10">
        <f>_xlfn.XLOOKUP(C1078,menu!A:A,menu!E:E)</f>
        <v>24</v>
      </c>
      <c r="I1078" s="10">
        <f t="shared" si="16"/>
        <v>72</v>
      </c>
      <c r="K1078" s="10"/>
      <c r="L1078" s="5"/>
    </row>
    <row r="1079" spans="1:12" x14ac:dyDescent="0.25">
      <c r="A1079" s="5" t="s">
        <v>5784</v>
      </c>
      <c r="B1079" s="5" t="s">
        <v>5782</v>
      </c>
      <c r="C1079" s="5" t="s">
        <v>46</v>
      </c>
      <c r="D1079" s="21">
        <v>1</v>
      </c>
      <c r="E1079" s="12">
        <v>149</v>
      </c>
      <c r="F1079" s="10" t="str">
        <f>_xlfn.XLOOKUP(C1079,menu!A:A,menu!B:B)</f>
        <v>Fish Finger</v>
      </c>
      <c r="G1079" s="10" t="str">
        <f>_xlfn.XLOOKUP(C1079,menu!A:A,menu!C:C)</f>
        <v>Starters</v>
      </c>
      <c r="H1079" s="10">
        <f>_xlfn.XLOOKUP(C1079,menu!A:A,menu!E:E)</f>
        <v>45</v>
      </c>
      <c r="I1079" s="10">
        <f t="shared" si="16"/>
        <v>45</v>
      </c>
      <c r="K1079" s="10"/>
      <c r="L1079" s="5"/>
    </row>
    <row r="1080" spans="1:12" x14ac:dyDescent="0.25">
      <c r="A1080" s="5" t="s">
        <v>5783</v>
      </c>
      <c r="B1080" s="5" t="s">
        <v>5782</v>
      </c>
      <c r="C1080" s="5" t="s">
        <v>38</v>
      </c>
      <c r="D1080" s="21">
        <v>3</v>
      </c>
      <c r="E1080" s="12">
        <v>447</v>
      </c>
      <c r="F1080" s="10" t="str">
        <f>_xlfn.XLOOKUP(C1080,menu!A:A,menu!B:B)</f>
        <v>Chicken Wings</v>
      </c>
      <c r="G1080" s="10" t="str">
        <f>_xlfn.XLOOKUP(C1080,menu!A:A,menu!C:C)</f>
        <v>Starters</v>
      </c>
      <c r="H1080" s="10">
        <f>_xlfn.XLOOKUP(C1080,menu!A:A,menu!E:E)</f>
        <v>45</v>
      </c>
      <c r="I1080" s="10">
        <f t="shared" si="16"/>
        <v>135</v>
      </c>
      <c r="K1080" s="10"/>
      <c r="L1080" s="5"/>
    </row>
    <row r="1081" spans="1:12" x14ac:dyDescent="0.25">
      <c r="A1081" s="5" t="s">
        <v>5781</v>
      </c>
      <c r="B1081" s="5" t="s">
        <v>5778</v>
      </c>
      <c r="C1081" s="5" t="s">
        <v>19</v>
      </c>
      <c r="D1081" s="21">
        <v>1</v>
      </c>
      <c r="E1081" s="12">
        <v>79</v>
      </c>
      <c r="F1081" s="10" t="str">
        <f>_xlfn.XLOOKUP(C1081,menu!A:A,menu!B:B)</f>
        <v>Veg Burger</v>
      </c>
      <c r="G1081" s="10" t="str">
        <f>_xlfn.XLOOKUP(C1081,menu!A:A,menu!C:C)</f>
        <v>Burger</v>
      </c>
      <c r="H1081" s="10">
        <f>_xlfn.XLOOKUP(C1081,menu!A:A,menu!E:E)</f>
        <v>24</v>
      </c>
      <c r="I1081" s="10">
        <f t="shared" si="16"/>
        <v>24</v>
      </c>
      <c r="K1081" s="10"/>
      <c r="L1081" s="5"/>
    </row>
    <row r="1082" spans="1:12" x14ac:dyDescent="0.25">
      <c r="A1082" s="5" t="s">
        <v>5780</v>
      </c>
      <c r="B1082" s="5" t="s">
        <v>5778</v>
      </c>
      <c r="C1082" s="5" t="s">
        <v>52</v>
      </c>
      <c r="D1082" s="21">
        <v>3</v>
      </c>
      <c r="E1082" s="12">
        <v>297</v>
      </c>
      <c r="F1082" s="10" t="str">
        <f>_xlfn.XLOOKUP(C1082,menu!A:A,menu!B:B)</f>
        <v>French Fries</v>
      </c>
      <c r="G1082" s="10" t="str">
        <f>_xlfn.XLOOKUP(C1082,menu!A:A,menu!C:C)</f>
        <v>Starters</v>
      </c>
      <c r="H1082" s="10">
        <f>_xlfn.XLOOKUP(C1082,menu!A:A,menu!E:E)</f>
        <v>30</v>
      </c>
      <c r="I1082" s="10">
        <f t="shared" si="16"/>
        <v>90</v>
      </c>
      <c r="K1082" s="10"/>
      <c r="L1082" s="5"/>
    </row>
    <row r="1083" spans="1:12" x14ac:dyDescent="0.25">
      <c r="A1083" s="5" t="s">
        <v>5779</v>
      </c>
      <c r="B1083" s="5" t="s">
        <v>5778</v>
      </c>
      <c r="C1083" s="5" t="s">
        <v>48</v>
      </c>
      <c r="D1083" s="21">
        <v>1</v>
      </c>
      <c r="E1083" s="12">
        <v>159</v>
      </c>
      <c r="F1083" s="10" t="str">
        <f>_xlfn.XLOOKUP(C1083,menu!A:A,menu!B:B)</f>
        <v>Chicken Lollipop</v>
      </c>
      <c r="G1083" s="10" t="str">
        <f>_xlfn.XLOOKUP(C1083,menu!A:A,menu!C:C)</f>
        <v>Starters</v>
      </c>
      <c r="H1083" s="10">
        <f>_xlfn.XLOOKUP(C1083,menu!A:A,menu!E:E)</f>
        <v>48</v>
      </c>
      <c r="I1083" s="10">
        <f t="shared" si="16"/>
        <v>48</v>
      </c>
      <c r="K1083" s="10"/>
      <c r="L1083" s="5"/>
    </row>
    <row r="1084" spans="1:12" x14ac:dyDescent="0.25">
      <c r="A1084" s="5" t="s">
        <v>5777</v>
      </c>
      <c r="B1084" s="5" t="s">
        <v>5775</v>
      </c>
      <c r="C1084" s="5" t="s">
        <v>35</v>
      </c>
      <c r="D1084" s="21">
        <v>1</v>
      </c>
      <c r="E1084" s="12">
        <v>119</v>
      </c>
      <c r="F1084" s="10" t="str">
        <f>_xlfn.XLOOKUP(C1084,menu!A:A,menu!B:B)</f>
        <v>Chicken Nuggets</v>
      </c>
      <c r="G1084" s="10" t="str">
        <f>_xlfn.XLOOKUP(C1084,menu!A:A,menu!C:C)</f>
        <v>Starters</v>
      </c>
      <c r="H1084" s="10">
        <f>_xlfn.XLOOKUP(C1084,menu!A:A,menu!E:E)</f>
        <v>36</v>
      </c>
      <c r="I1084" s="10">
        <f t="shared" si="16"/>
        <v>36</v>
      </c>
      <c r="K1084" s="10"/>
      <c r="L1084" s="5"/>
    </row>
    <row r="1085" spans="1:12" x14ac:dyDescent="0.25">
      <c r="A1085" s="5" t="s">
        <v>5776</v>
      </c>
      <c r="B1085" s="5" t="s">
        <v>5775</v>
      </c>
      <c r="C1085" s="5" t="s">
        <v>33</v>
      </c>
      <c r="D1085" s="21">
        <v>1</v>
      </c>
      <c r="E1085" s="12">
        <v>69</v>
      </c>
      <c r="F1085" s="10" t="str">
        <f>_xlfn.XLOOKUP(C1085,menu!A:A,menu!B:B)</f>
        <v>Spring Roll</v>
      </c>
      <c r="G1085" s="10" t="str">
        <f>_xlfn.XLOOKUP(C1085,menu!A:A,menu!C:C)</f>
        <v>Rolls</v>
      </c>
      <c r="H1085" s="10">
        <f>_xlfn.XLOOKUP(C1085,menu!A:A,menu!E:E)</f>
        <v>21</v>
      </c>
      <c r="I1085" s="10">
        <f t="shared" si="16"/>
        <v>21</v>
      </c>
      <c r="K1085" s="10"/>
      <c r="L1085" s="5"/>
    </row>
    <row r="1086" spans="1:12" x14ac:dyDescent="0.25">
      <c r="A1086" s="5" t="s">
        <v>5774</v>
      </c>
      <c r="B1086" s="5" t="s">
        <v>5772</v>
      </c>
      <c r="C1086" s="5" t="s">
        <v>52</v>
      </c>
      <c r="D1086" s="21">
        <v>1</v>
      </c>
      <c r="E1086" s="12">
        <v>99</v>
      </c>
      <c r="F1086" s="10" t="str">
        <f>_xlfn.XLOOKUP(C1086,menu!A:A,menu!B:B)</f>
        <v>French Fries</v>
      </c>
      <c r="G1086" s="10" t="str">
        <f>_xlfn.XLOOKUP(C1086,menu!A:A,menu!C:C)</f>
        <v>Starters</v>
      </c>
      <c r="H1086" s="10">
        <f>_xlfn.XLOOKUP(C1086,menu!A:A,menu!E:E)</f>
        <v>30</v>
      </c>
      <c r="I1086" s="10">
        <f t="shared" si="16"/>
        <v>30</v>
      </c>
      <c r="K1086" s="10"/>
      <c r="L1086" s="5"/>
    </row>
    <row r="1087" spans="1:12" x14ac:dyDescent="0.25">
      <c r="A1087" s="5" t="s">
        <v>5773</v>
      </c>
      <c r="B1087" s="5" t="s">
        <v>5772</v>
      </c>
      <c r="C1087" s="5" t="s">
        <v>54</v>
      </c>
      <c r="D1087" s="21">
        <v>4</v>
      </c>
      <c r="E1087" s="12">
        <v>556</v>
      </c>
      <c r="F1087" s="10" t="str">
        <f>_xlfn.XLOOKUP(C1087,menu!A:A,menu!B:B)</f>
        <v>Chicken Strips</v>
      </c>
      <c r="G1087" s="10" t="str">
        <f>_xlfn.XLOOKUP(C1087,menu!A:A,menu!C:C)</f>
        <v>Starters</v>
      </c>
      <c r="H1087" s="10">
        <f>_xlfn.XLOOKUP(C1087,menu!A:A,menu!E:E)</f>
        <v>42</v>
      </c>
      <c r="I1087" s="10">
        <f t="shared" si="16"/>
        <v>168</v>
      </c>
      <c r="K1087" s="10"/>
      <c r="L1087" s="5"/>
    </row>
    <row r="1088" spans="1:12" x14ac:dyDescent="0.25">
      <c r="A1088" s="5" t="s">
        <v>5771</v>
      </c>
      <c r="B1088" s="5" t="s">
        <v>5769</v>
      </c>
      <c r="C1088" s="5" t="s">
        <v>50</v>
      </c>
      <c r="D1088" s="21">
        <v>1</v>
      </c>
      <c r="E1088" s="12">
        <v>149</v>
      </c>
      <c r="F1088" s="10" t="str">
        <f>_xlfn.XLOOKUP(C1088,menu!A:A,menu!B:B)</f>
        <v>Grab Lollipop</v>
      </c>
      <c r="G1088" s="10" t="str">
        <f>_xlfn.XLOOKUP(C1088,menu!A:A,menu!C:C)</f>
        <v>Starters</v>
      </c>
      <c r="H1088" s="10">
        <f>_xlfn.XLOOKUP(C1088,menu!A:A,menu!E:E)</f>
        <v>45</v>
      </c>
      <c r="I1088" s="10">
        <f t="shared" si="16"/>
        <v>45</v>
      </c>
      <c r="K1088" s="10"/>
      <c r="L1088" s="5"/>
    </row>
    <row r="1089" spans="1:12" x14ac:dyDescent="0.25">
      <c r="A1089" s="5" t="s">
        <v>5770</v>
      </c>
      <c r="B1089" s="5" t="s">
        <v>5769</v>
      </c>
      <c r="C1089" s="5" t="s">
        <v>48</v>
      </c>
      <c r="D1089" s="21">
        <v>2</v>
      </c>
      <c r="E1089" s="12">
        <v>318</v>
      </c>
      <c r="F1089" s="10" t="str">
        <f>_xlfn.XLOOKUP(C1089,menu!A:A,menu!B:B)</f>
        <v>Chicken Lollipop</v>
      </c>
      <c r="G1089" s="10" t="str">
        <f>_xlfn.XLOOKUP(C1089,menu!A:A,menu!C:C)</f>
        <v>Starters</v>
      </c>
      <c r="H1089" s="10">
        <f>_xlfn.XLOOKUP(C1089,menu!A:A,menu!E:E)</f>
        <v>48</v>
      </c>
      <c r="I1089" s="10">
        <f t="shared" si="16"/>
        <v>96</v>
      </c>
      <c r="K1089" s="10"/>
      <c r="L1089" s="5"/>
    </row>
    <row r="1090" spans="1:12" x14ac:dyDescent="0.25">
      <c r="A1090" s="5" t="s">
        <v>5768</v>
      </c>
      <c r="B1090" s="5" t="s">
        <v>5767</v>
      </c>
      <c r="C1090" s="5" t="s">
        <v>63</v>
      </c>
      <c r="D1090" s="21">
        <v>1</v>
      </c>
      <c r="E1090" s="12">
        <v>79</v>
      </c>
      <c r="F1090" s="10" t="str">
        <f>_xlfn.XLOOKUP(C1090,menu!A:A,menu!B:B)</f>
        <v>Virgin Mojito</v>
      </c>
      <c r="G1090" s="10" t="str">
        <f>_xlfn.XLOOKUP(C1090,menu!A:A,menu!C:C)</f>
        <v>Beverages</v>
      </c>
      <c r="H1090" s="10">
        <f>_xlfn.XLOOKUP(C1090,menu!A:A,menu!E:E)</f>
        <v>24</v>
      </c>
      <c r="I1090" s="10">
        <f t="shared" si="16"/>
        <v>24</v>
      </c>
      <c r="K1090" s="10"/>
      <c r="L1090" s="5"/>
    </row>
    <row r="1091" spans="1:12" x14ac:dyDescent="0.25">
      <c r="A1091" s="5" t="s">
        <v>5766</v>
      </c>
      <c r="B1091" s="5" t="s">
        <v>5764</v>
      </c>
      <c r="C1091" s="5" t="s">
        <v>46</v>
      </c>
      <c r="D1091" s="21">
        <v>4</v>
      </c>
      <c r="E1091" s="12">
        <v>596</v>
      </c>
      <c r="F1091" s="10" t="str">
        <f>_xlfn.XLOOKUP(C1091,menu!A:A,menu!B:B)</f>
        <v>Fish Finger</v>
      </c>
      <c r="G1091" s="10" t="str">
        <f>_xlfn.XLOOKUP(C1091,menu!A:A,menu!C:C)</f>
        <v>Starters</v>
      </c>
      <c r="H1091" s="10">
        <f>_xlfn.XLOOKUP(C1091,menu!A:A,menu!E:E)</f>
        <v>45</v>
      </c>
      <c r="I1091" s="10">
        <f t="shared" ref="I1091:I1154" si="17">D1091*H1091</f>
        <v>180</v>
      </c>
      <c r="K1091" s="10"/>
      <c r="L1091" s="5"/>
    </row>
    <row r="1092" spans="1:12" x14ac:dyDescent="0.25">
      <c r="A1092" s="5" t="s">
        <v>5765</v>
      </c>
      <c r="B1092" s="5" t="s">
        <v>5764</v>
      </c>
      <c r="C1092" s="5" t="s">
        <v>38</v>
      </c>
      <c r="D1092" s="21">
        <v>2</v>
      </c>
      <c r="E1092" s="12">
        <v>298</v>
      </c>
      <c r="F1092" s="10" t="str">
        <f>_xlfn.XLOOKUP(C1092,menu!A:A,menu!B:B)</f>
        <v>Chicken Wings</v>
      </c>
      <c r="G1092" s="10" t="str">
        <f>_xlfn.XLOOKUP(C1092,menu!A:A,menu!C:C)</f>
        <v>Starters</v>
      </c>
      <c r="H1092" s="10">
        <f>_xlfn.XLOOKUP(C1092,menu!A:A,menu!E:E)</f>
        <v>45</v>
      </c>
      <c r="I1092" s="10">
        <f t="shared" si="17"/>
        <v>90</v>
      </c>
      <c r="K1092" s="10"/>
      <c r="L1092" s="5"/>
    </row>
    <row r="1093" spans="1:12" x14ac:dyDescent="0.25">
      <c r="A1093" s="5" t="s">
        <v>5763</v>
      </c>
      <c r="B1093" s="5" t="s">
        <v>5760</v>
      </c>
      <c r="C1093" s="5" t="s">
        <v>5</v>
      </c>
      <c r="D1093" s="21">
        <v>1</v>
      </c>
      <c r="E1093" s="12">
        <v>79</v>
      </c>
      <c r="F1093" s="10" t="str">
        <f>_xlfn.XLOOKUP(C1093,menu!A:A,menu!B:B)</f>
        <v>Veg Sandwich</v>
      </c>
      <c r="G1093" s="10" t="str">
        <f>_xlfn.XLOOKUP(C1093,menu!A:A,menu!C:C)</f>
        <v>Sandwich</v>
      </c>
      <c r="H1093" s="10">
        <f>_xlfn.XLOOKUP(C1093,menu!A:A,menu!E:E)</f>
        <v>24</v>
      </c>
      <c r="I1093" s="10">
        <f t="shared" si="17"/>
        <v>24</v>
      </c>
      <c r="K1093" s="10"/>
      <c r="L1093" s="5"/>
    </row>
    <row r="1094" spans="1:12" x14ac:dyDescent="0.25">
      <c r="A1094" s="5" t="s">
        <v>5762</v>
      </c>
      <c r="B1094" s="5" t="s">
        <v>5760</v>
      </c>
      <c r="C1094" s="5" t="s">
        <v>35</v>
      </c>
      <c r="D1094" s="21">
        <v>2</v>
      </c>
      <c r="E1094" s="12">
        <v>238</v>
      </c>
      <c r="F1094" s="10" t="str">
        <f>_xlfn.XLOOKUP(C1094,menu!A:A,menu!B:B)</f>
        <v>Chicken Nuggets</v>
      </c>
      <c r="G1094" s="10" t="str">
        <f>_xlfn.XLOOKUP(C1094,menu!A:A,menu!C:C)</f>
        <v>Starters</v>
      </c>
      <c r="H1094" s="10">
        <f>_xlfn.XLOOKUP(C1094,menu!A:A,menu!E:E)</f>
        <v>36</v>
      </c>
      <c r="I1094" s="10">
        <f t="shared" si="17"/>
        <v>72</v>
      </c>
      <c r="K1094" s="10"/>
      <c r="L1094" s="5"/>
    </row>
    <row r="1095" spans="1:12" x14ac:dyDescent="0.25">
      <c r="A1095" s="5" t="s">
        <v>5761</v>
      </c>
      <c r="B1095" s="5" t="s">
        <v>5760</v>
      </c>
      <c r="C1095" s="5" t="s">
        <v>12</v>
      </c>
      <c r="D1095" s="21">
        <v>4</v>
      </c>
      <c r="E1095" s="12">
        <v>316</v>
      </c>
      <c r="F1095" s="10" t="str">
        <f>_xlfn.XLOOKUP(C1095,menu!A:A,menu!B:B)</f>
        <v>Veg Momos</v>
      </c>
      <c r="G1095" s="10" t="str">
        <f>_xlfn.XLOOKUP(C1095,menu!A:A,menu!C:C)</f>
        <v>Momos</v>
      </c>
      <c r="H1095" s="10">
        <f>_xlfn.XLOOKUP(C1095,menu!A:A,menu!E:E)</f>
        <v>24</v>
      </c>
      <c r="I1095" s="10">
        <f t="shared" si="17"/>
        <v>96</v>
      </c>
      <c r="K1095" s="10"/>
      <c r="L1095" s="5"/>
    </row>
    <row r="1096" spans="1:12" x14ac:dyDescent="0.25">
      <c r="A1096" s="5" t="s">
        <v>5759</v>
      </c>
      <c r="B1096" s="5" t="s">
        <v>5757</v>
      </c>
      <c r="C1096" s="5" t="s">
        <v>35</v>
      </c>
      <c r="D1096" s="21">
        <v>2</v>
      </c>
      <c r="E1096" s="12">
        <v>238</v>
      </c>
      <c r="F1096" s="10" t="str">
        <f>_xlfn.XLOOKUP(C1096,menu!A:A,menu!B:B)</f>
        <v>Chicken Nuggets</v>
      </c>
      <c r="G1096" s="10" t="str">
        <f>_xlfn.XLOOKUP(C1096,menu!A:A,menu!C:C)</f>
        <v>Starters</v>
      </c>
      <c r="H1096" s="10">
        <f>_xlfn.XLOOKUP(C1096,menu!A:A,menu!E:E)</f>
        <v>36</v>
      </c>
      <c r="I1096" s="10">
        <f t="shared" si="17"/>
        <v>72</v>
      </c>
      <c r="K1096" s="10"/>
      <c r="L1096" s="5"/>
    </row>
    <row r="1097" spans="1:12" x14ac:dyDescent="0.25">
      <c r="A1097" s="5" t="s">
        <v>5758</v>
      </c>
      <c r="B1097" s="5" t="s">
        <v>5757</v>
      </c>
      <c r="C1097" s="5" t="s">
        <v>44</v>
      </c>
      <c r="D1097" s="21">
        <v>1</v>
      </c>
      <c r="E1097" s="12">
        <v>159</v>
      </c>
      <c r="F1097" s="10" t="str">
        <f>_xlfn.XLOOKUP(C1097,menu!A:A,menu!B:B)</f>
        <v>Fried Chicken</v>
      </c>
      <c r="G1097" s="10" t="str">
        <f>_xlfn.XLOOKUP(C1097,menu!A:A,menu!C:C)</f>
        <v>Starters</v>
      </c>
      <c r="H1097" s="10">
        <f>_xlfn.XLOOKUP(C1097,menu!A:A,menu!E:E)</f>
        <v>48</v>
      </c>
      <c r="I1097" s="10">
        <f t="shared" si="17"/>
        <v>48</v>
      </c>
      <c r="K1097" s="10"/>
      <c r="L1097" s="5"/>
    </row>
    <row r="1098" spans="1:12" x14ac:dyDescent="0.25">
      <c r="A1098" s="5" t="s">
        <v>5756</v>
      </c>
      <c r="B1098" s="5" t="s">
        <v>5755</v>
      </c>
      <c r="C1098" s="5" t="s">
        <v>54</v>
      </c>
      <c r="D1098" s="21">
        <v>2</v>
      </c>
      <c r="E1098" s="12">
        <v>278</v>
      </c>
      <c r="F1098" s="10" t="str">
        <f>_xlfn.XLOOKUP(C1098,menu!A:A,menu!B:B)</f>
        <v>Chicken Strips</v>
      </c>
      <c r="G1098" s="10" t="str">
        <f>_xlfn.XLOOKUP(C1098,menu!A:A,menu!C:C)</f>
        <v>Starters</v>
      </c>
      <c r="H1098" s="10">
        <f>_xlfn.XLOOKUP(C1098,menu!A:A,menu!E:E)</f>
        <v>42</v>
      </c>
      <c r="I1098" s="10">
        <f t="shared" si="17"/>
        <v>84</v>
      </c>
      <c r="K1098" s="10"/>
      <c r="L1098" s="5"/>
    </row>
    <row r="1099" spans="1:12" x14ac:dyDescent="0.25">
      <c r="A1099" s="5" t="s">
        <v>5754</v>
      </c>
      <c r="B1099" s="5" t="s">
        <v>5751</v>
      </c>
      <c r="C1099" s="5" t="s">
        <v>12</v>
      </c>
      <c r="D1099" s="21">
        <v>1</v>
      </c>
      <c r="E1099" s="12">
        <v>79</v>
      </c>
      <c r="F1099" s="10" t="str">
        <f>_xlfn.XLOOKUP(C1099,menu!A:A,menu!B:B)</f>
        <v>Veg Momos</v>
      </c>
      <c r="G1099" s="10" t="str">
        <f>_xlfn.XLOOKUP(C1099,menu!A:A,menu!C:C)</f>
        <v>Momos</v>
      </c>
      <c r="H1099" s="10">
        <f>_xlfn.XLOOKUP(C1099,menu!A:A,menu!E:E)</f>
        <v>24</v>
      </c>
      <c r="I1099" s="10">
        <f t="shared" si="17"/>
        <v>24</v>
      </c>
      <c r="K1099" s="10"/>
      <c r="L1099" s="5"/>
    </row>
    <row r="1100" spans="1:12" x14ac:dyDescent="0.25">
      <c r="A1100" s="5" t="s">
        <v>5753</v>
      </c>
      <c r="B1100" s="5" t="s">
        <v>5751</v>
      </c>
      <c r="C1100" s="5" t="s">
        <v>52</v>
      </c>
      <c r="D1100" s="21">
        <v>1</v>
      </c>
      <c r="E1100" s="12">
        <v>99</v>
      </c>
      <c r="F1100" s="10" t="str">
        <f>_xlfn.XLOOKUP(C1100,menu!A:A,menu!B:B)</f>
        <v>French Fries</v>
      </c>
      <c r="G1100" s="10" t="str">
        <f>_xlfn.XLOOKUP(C1100,menu!A:A,menu!C:C)</f>
        <v>Starters</v>
      </c>
      <c r="H1100" s="10">
        <f>_xlfn.XLOOKUP(C1100,menu!A:A,menu!E:E)</f>
        <v>30</v>
      </c>
      <c r="I1100" s="10">
        <f t="shared" si="17"/>
        <v>30</v>
      </c>
      <c r="K1100" s="10"/>
      <c r="L1100" s="5"/>
    </row>
    <row r="1101" spans="1:12" x14ac:dyDescent="0.25">
      <c r="A1101" s="5" t="s">
        <v>5752</v>
      </c>
      <c r="B1101" s="5" t="s">
        <v>5751</v>
      </c>
      <c r="C1101" s="5" t="s">
        <v>15</v>
      </c>
      <c r="D1101" s="21">
        <v>2</v>
      </c>
      <c r="E1101" s="12">
        <v>198</v>
      </c>
      <c r="F1101" s="10" t="str">
        <f>_xlfn.XLOOKUP(C1101,menu!A:A,menu!B:B)</f>
        <v>Chicken Momos</v>
      </c>
      <c r="G1101" s="10" t="str">
        <f>_xlfn.XLOOKUP(C1101,menu!A:A,menu!C:C)</f>
        <v>Momos</v>
      </c>
      <c r="H1101" s="10">
        <f>_xlfn.XLOOKUP(C1101,menu!A:A,menu!E:E)</f>
        <v>30</v>
      </c>
      <c r="I1101" s="10">
        <f t="shared" si="17"/>
        <v>60</v>
      </c>
      <c r="K1101" s="10"/>
      <c r="L1101" s="5"/>
    </row>
    <row r="1102" spans="1:12" x14ac:dyDescent="0.25">
      <c r="A1102" s="5" t="s">
        <v>5750</v>
      </c>
      <c r="B1102" s="5" t="s">
        <v>5746</v>
      </c>
      <c r="C1102" s="5" t="s">
        <v>8</v>
      </c>
      <c r="D1102" s="21">
        <v>4</v>
      </c>
      <c r="E1102" s="12">
        <v>396</v>
      </c>
      <c r="F1102" s="10" t="str">
        <f>_xlfn.XLOOKUP(C1102,menu!A:A,menu!B:B)</f>
        <v>Paneer Sandwich</v>
      </c>
      <c r="G1102" s="10" t="str">
        <f>_xlfn.XLOOKUP(C1102,menu!A:A,menu!C:C)</f>
        <v>Sandwich</v>
      </c>
      <c r="H1102" s="10">
        <f>_xlfn.XLOOKUP(C1102,menu!A:A,menu!E:E)</f>
        <v>30</v>
      </c>
      <c r="I1102" s="10">
        <f t="shared" si="17"/>
        <v>120</v>
      </c>
      <c r="K1102" s="10"/>
      <c r="L1102" s="5"/>
    </row>
    <row r="1103" spans="1:12" x14ac:dyDescent="0.25">
      <c r="A1103" s="5" t="s">
        <v>5749</v>
      </c>
      <c r="B1103" s="5" t="s">
        <v>5746</v>
      </c>
      <c r="C1103" s="5" t="s">
        <v>46</v>
      </c>
      <c r="D1103" s="21">
        <v>1</v>
      </c>
      <c r="E1103" s="12">
        <v>149</v>
      </c>
      <c r="F1103" s="10" t="str">
        <f>_xlfn.XLOOKUP(C1103,menu!A:A,menu!B:B)</f>
        <v>Fish Finger</v>
      </c>
      <c r="G1103" s="10" t="str">
        <f>_xlfn.XLOOKUP(C1103,menu!A:A,menu!C:C)</f>
        <v>Starters</v>
      </c>
      <c r="H1103" s="10">
        <f>_xlfn.XLOOKUP(C1103,menu!A:A,menu!E:E)</f>
        <v>45</v>
      </c>
      <c r="I1103" s="10">
        <f t="shared" si="17"/>
        <v>45</v>
      </c>
      <c r="K1103" s="10"/>
      <c r="L1103" s="5"/>
    </row>
    <row r="1104" spans="1:12" x14ac:dyDescent="0.25">
      <c r="A1104" s="5" t="s">
        <v>5748</v>
      </c>
      <c r="B1104" s="5" t="s">
        <v>5746</v>
      </c>
      <c r="C1104" s="5" t="s">
        <v>22</v>
      </c>
      <c r="D1104" s="21">
        <v>2</v>
      </c>
      <c r="E1104" s="12">
        <v>198</v>
      </c>
      <c r="F1104" s="10" t="str">
        <f>_xlfn.XLOOKUP(C1104,menu!A:A,menu!B:B)</f>
        <v>Chicken Burger</v>
      </c>
      <c r="G1104" s="10" t="str">
        <f>_xlfn.XLOOKUP(C1104,menu!A:A,menu!C:C)</f>
        <v>Burger</v>
      </c>
      <c r="H1104" s="10">
        <f>_xlfn.XLOOKUP(C1104,menu!A:A,menu!E:E)</f>
        <v>30</v>
      </c>
      <c r="I1104" s="10">
        <f t="shared" si="17"/>
        <v>60</v>
      </c>
      <c r="K1104" s="10"/>
      <c r="L1104" s="5"/>
    </row>
    <row r="1105" spans="1:12" x14ac:dyDescent="0.25">
      <c r="A1105" s="5" t="s">
        <v>5747</v>
      </c>
      <c r="B1105" s="5" t="s">
        <v>5746</v>
      </c>
      <c r="C1105" s="5" t="s">
        <v>61</v>
      </c>
      <c r="D1105" s="21">
        <v>1</v>
      </c>
      <c r="E1105" s="12">
        <v>79</v>
      </c>
      <c r="F1105" s="10" t="str">
        <f>_xlfn.XLOOKUP(C1105,menu!A:A,menu!B:B)</f>
        <v>Watermelon Mojito</v>
      </c>
      <c r="G1105" s="10" t="str">
        <f>_xlfn.XLOOKUP(C1105,menu!A:A,menu!C:C)</f>
        <v>Beverages</v>
      </c>
      <c r="H1105" s="10">
        <f>_xlfn.XLOOKUP(C1105,menu!A:A,menu!E:E)</f>
        <v>24</v>
      </c>
      <c r="I1105" s="10">
        <f t="shared" si="17"/>
        <v>24</v>
      </c>
      <c r="K1105" s="10"/>
      <c r="L1105" s="5"/>
    </row>
    <row r="1106" spans="1:12" x14ac:dyDescent="0.25">
      <c r="A1106" s="5" t="s">
        <v>5745</v>
      </c>
      <c r="B1106" s="5" t="s">
        <v>5743</v>
      </c>
      <c r="C1106" s="5" t="s">
        <v>17</v>
      </c>
      <c r="D1106" s="21">
        <v>3</v>
      </c>
      <c r="E1106" s="12">
        <v>267</v>
      </c>
      <c r="F1106" s="10" t="str">
        <f>_xlfn.XLOOKUP(C1106,menu!A:A,menu!B:B)</f>
        <v>Paneer Momos</v>
      </c>
      <c r="G1106" s="10" t="str">
        <f>_xlfn.XLOOKUP(C1106,menu!A:A,menu!C:C)</f>
        <v>Momos</v>
      </c>
      <c r="H1106" s="10">
        <f>_xlfn.XLOOKUP(C1106,menu!A:A,menu!E:E)</f>
        <v>27</v>
      </c>
      <c r="I1106" s="10">
        <f t="shared" si="17"/>
        <v>81</v>
      </c>
      <c r="K1106" s="10"/>
      <c r="L1106" s="5"/>
    </row>
    <row r="1107" spans="1:12" x14ac:dyDescent="0.25">
      <c r="A1107" s="5" t="s">
        <v>5744</v>
      </c>
      <c r="B1107" s="5" t="s">
        <v>5743</v>
      </c>
      <c r="C1107" s="5" t="s">
        <v>24</v>
      </c>
      <c r="D1107" s="21">
        <v>4</v>
      </c>
      <c r="E1107" s="12">
        <v>356</v>
      </c>
      <c r="F1107" s="10" t="str">
        <f>_xlfn.XLOOKUP(C1107,menu!A:A,menu!B:B)</f>
        <v>Paneer Burger</v>
      </c>
      <c r="G1107" s="10" t="str">
        <f>_xlfn.XLOOKUP(C1107,menu!A:A,menu!C:C)</f>
        <v>Burger</v>
      </c>
      <c r="H1107" s="10">
        <f>_xlfn.XLOOKUP(C1107,menu!A:A,menu!E:E)</f>
        <v>27</v>
      </c>
      <c r="I1107" s="10">
        <f t="shared" si="17"/>
        <v>108</v>
      </c>
      <c r="K1107" s="10"/>
      <c r="L1107" s="5"/>
    </row>
    <row r="1108" spans="1:12" x14ac:dyDescent="0.25">
      <c r="A1108" s="5" t="s">
        <v>5742</v>
      </c>
      <c r="B1108" s="5" t="s">
        <v>5740</v>
      </c>
      <c r="C1108" s="5" t="s">
        <v>59</v>
      </c>
      <c r="D1108" s="21">
        <v>1</v>
      </c>
      <c r="E1108" s="12">
        <v>79</v>
      </c>
      <c r="F1108" s="10" t="str">
        <f>_xlfn.XLOOKUP(C1108,menu!A:A,menu!B:B)</f>
        <v>Blue Curacao Mojito</v>
      </c>
      <c r="G1108" s="10" t="str">
        <f>_xlfn.XLOOKUP(C1108,menu!A:A,menu!C:C)</f>
        <v>Beverages</v>
      </c>
      <c r="H1108" s="10">
        <f>_xlfn.XLOOKUP(C1108,menu!A:A,menu!E:E)</f>
        <v>24</v>
      </c>
      <c r="I1108" s="10">
        <f t="shared" si="17"/>
        <v>24</v>
      </c>
      <c r="K1108" s="10"/>
      <c r="L1108" s="5"/>
    </row>
    <row r="1109" spans="1:12" x14ac:dyDescent="0.25">
      <c r="A1109" s="5" t="s">
        <v>5741</v>
      </c>
      <c r="B1109" s="5" t="s">
        <v>5740</v>
      </c>
      <c r="C1109" s="5" t="s">
        <v>31</v>
      </c>
      <c r="D1109" s="21">
        <v>1</v>
      </c>
      <c r="E1109" s="12">
        <v>89</v>
      </c>
      <c r="F1109" s="10" t="str">
        <f>_xlfn.XLOOKUP(C1109,menu!A:A,menu!B:B)</f>
        <v>Chicken Roll</v>
      </c>
      <c r="G1109" s="10" t="str">
        <f>_xlfn.XLOOKUP(C1109,menu!A:A,menu!C:C)</f>
        <v>Rolls</v>
      </c>
      <c r="H1109" s="10">
        <f>_xlfn.XLOOKUP(C1109,menu!A:A,menu!E:E)</f>
        <v>27</v>
      </c>
      <c r="I1109" s="10">
        <f t="shared" si="17"/>
        <v>27</v>
      </c>
      <c r="K1109" s="10"/>
      <c r="L1109" s="5"/>
    </row>
    <row r="1110" spans="1:12" x14ac:dyDescent="0.25">
      <c r="A1110" s="5" t="s">
        <v>5739</v>
      </c>
      <c r="B1110" s="5" t="s">
        <v>5736</v>
      </c>
      <c r="C1110" s="5" t="s">
        <v>44</v>
      </c>
      <c r="D1110" s="21">
        <v>3</v>
      </c>
      <c r="E1110" s="12">
        <v>477</v>
      </c>
      <c r="F1110" s="10" t="str">
        <f>_xlfn.XLOOKUP(C1110,menu!A:A,menu!B:B)</f>
        <v>Fried Chicken</v>
      </c>
      <c r="G1110" s="10" t="str">
        <f>_xlfn.XLOOKUP(C1110,menu!A:A,menu!C:C)</f>
        <v>Starters</v>
      </c>
      <c r="H1110" s="10">
        <f>_xlfn.XLOOKUP(C1110,menu!A:A,menu!E:E)</f>
        <v>48</v>
      </c>
      <c r="I1110" s="10">
        <f t="shared" si="17"/>
        <v>144</v>
      </c>
      <c r="K1110" s="10"/>
      <c r="L1110" s="5"/>
    </row>
    <row r="1111" spans="1:12" x14ac:dyDescent="0.25">
      <c r="A1111" s="5" t="s">
        <v>5738</v>
      </c>
      <c r="B1111" s="5" t="s">
        <v>5736</v>
      </c>
      <c r="C1111" s="5" t="s">
        <v>15</v>
      </c>
      <c r="D1111" s="21">
        <v>1</v>
      </c>
      <c r="E1111" s="12">
        <v>99</v>
      </c>
      <c r="F1111" s="10" t="str">
        <f>_xlfn.XLOOKUP(C1111,menu!A:A,menu!B:B)</f>
        <v>Chicken Momos</v>
      </c>
      <c r="G1111" s="10" t="str">
        <f>_xlfn.XLOOKUP(C1111,menu!A:A,menu!C:C)</f>
        <v>Momos</v>
      </c>
      <c r="H1111" s="10">
        <f>_xlfn.XLOOKUP(C1111,menu!A:A,menu!E:E)</f>
        <v>30</v>
      </c>
      <c r="I1111" s="10">
        <f t="shared" si="17"/>
        <v>30</v>
      </c>
      <c r="K1111" s="10"/>
      <c r="L1111" s="5"/>
    </row>
    <row r="1112" spans="1:12" x14ac:dyDescent="0.25">
      <c r="A1112" s="5" t="s">
        <v>5737</v>
      </c>
      <c r="B1112" s="5" t="s">
        <v>5736</v>
      </c>
      <c r="C1112" s="5" t="s">
        <v>38</v>
      </c>
      <c r="D1112" s="21">
        <v>3</v>
      </c>
      <c r="E1112" s="12">
        <v>447</v>
      </c>
      <c r="F1112" s="10" t="str">
        <f>_xlfn.XLOOKUP(C1112,menu!A:A,menu!B:B)</f>
        <v>Chicken Wings</v>
      </c>
      <c r="G1112" s="10" t="str">
        <f>_xlfn.XLOOKUP(C1112,menu!A:A,menu!C:C)</f>
        <v>Starters</v>
      </c>
      <c r="H1112" s="10">
        <f>_xlfn.XLOOKUP(C1112,menu!A:A,menu!E:E)</f>
        <v>45</v>
      </c>
      <c r="I1112" s="10">
        <f t="shared" si="17"/>
        <v>135</v>
      </c>
      <c r="K1112" s="10"/>
      <c r="L1112" s="5"/>
    </row>
    <row r="1113" spans="1:12" x14ac:dyDescent="0.25">
      <c r="A1113" s="5" t="s">
        <v>5735</v>
      </c>
      <c r="B1113" s="5" t="s">
        <v>5733</v>
      </c>
      <c r="C1113" s="5" t="s">
        <v>10</v>
      </c>
      <c r="D1113" s="21">
        <v>3</v>
      </c>
      <c r="E1113" s="12">
        <v>357</v>
      </c>
      <c r="F1113" s="10" t="str">
        <f>_xlfn.XLOOKUP(C1113,menu!A:A,menu!B:B)</f>
        <v>Chicken Sandwich</v>
      </c>
      <c r="G1113" s="10" t="str">
        <f>_xlfn.XLOOKUP(C1113,menu!A:A,menu!C:C)</f>
        <v>Sandwich</v>
      </c>
      <c r="H1113" s="10">
        <f>_xlfn.XLOOKUP(C1113,menu!A:A,menu!E:E)</f>
        <v>36</v>
      </c>
      <c r="I1113" s="10">
        <f t="shared" si="17"/>
        <v>108</v>
      </c>
      <c r="K1113" s="10"/>
      <c r="L1113" s="5"/>
    </row>
    <row r="1114" spans="1:12" x14ac:dyDescent="0.25">
      <c r="A1114" s="5" t="s">
        <v>5734</v>
      </c>
      <c r="B1114" s="5" t="s">
        <v>5733</v>
      </c>
      <c r="C1114" s="5" t="s">
        <v>59</v>
      </c>
      <c r="D1114" s="21">
        <v>1</v>
      </c>
      <c r="E1114" s="12">
        <v>79</v>
      </c>
      <c r="F1114" s="10" t="str">
        <f>_xlfn.XLOOKUP(C1114,menu!A:A,menu!B:B)</f>
        <v>Blue Curacao Mojito</v>
      </c>
      <c r="G1114" s="10" t="str">
        <f>_xlfn.XLOOKUP(C1114,menu!A:A,menu!C:C)</f>
        <v>Beverages</v>
      </c>
      <c r="H1114" s="10">
        <f>_xlfn.XLOOKUP(C1114,menu!A:A,menu!E:E)</f>
        <v>24</v>
      </c>
      <c r="I1114" s="10">
        <f t="shared" si="17"/>
        <v>24</v>
      </c>
      <c r="K1114" s="10"/>
      <c r="L1114" s="5"/>
    </row>
    <row r="1115" spans="1:12" x14ac:dyDescent="0.25">
      <c r="A1115" s="5" t="s">
        <v>5732</v>
      </c>
      <c r="B1115" s="5" t="s">
        <v>5729</v>
      </c>
      <c r="C1115" s="5" t="s">
        <v>52</v>
      </c>
      <c r="D1115" s="21">
        <v>1</v>
      </c>
      <c r="E1115" s="12">
        <v>99</v>
      </c>
      <c r="F1115" s="10" t="str">
        <f>_xlfn.XLOOKUP(C1115,menu!A:A,menu!B:B)</f>
        <v>French Fries</v>
      </c>
      <c r="G1115" s="10" t="str">
        <f>_xlfn.XLOOKUP(C1115,menu!A:A,menu!C:C)</f>
        <v>Starters</v>
      </c>
      <c r="H1115" s="10">
        <f>_xlfn.XLOOKUP(C1115,menu!A:A,menu!E:E)</f>
        <v>30</v>
      </c>
      <c r="I1115" s="10">
        <f t="shared" si="17"/>
        <v>30</v>
      </c>
      <c r="K1115" s="10"/>
      <c r="L1115" s="5"/>
    </row>
    <row r="1116" spans="1:12" x14ac:dyDescent="0.25">
      <c r="A1116" s="5" t="s">
        <v>5731</v>
      </c>
      <c r="B1116" s="5" t="s">
        <v>5729</v>
      </c>
      <c r="C1116" s="5" t="s">
        <v>54</v>
      </c>
      <c r="D1116" s="21">
        <v>1</v>
      </c>
      <c r="E1116" s="12">
        <v>139</v>
      </c>
      <c r="F1116" s="10" t="str">
        <f>_xlfn.XLOOKUP(C1116,menu!A:A,menu!B:B)</f>
        <v>Chicken Strips</v>
      </c>
      <c r="G1116" s="10" t="str">
        <f>_xlfn.XLOOKUP(C1116,menu!A:A,menu!C:C)</f>
        <v>Starters</v>
      </c>
      <c r="H1116" s="10">
        <f>_xlfn.XLOOKUP(C1116,menu!A:A,menu!E:E)</f>
        <v>42</v>
      </c>
      <c r="I1116" s="10">
        <f t="shared" si="17"/>
        <v>42</v>
      </c>
      <c r="K1116" s="10"/>
      <c r="L1116" s="5"/>
    </row>
    <row r="1117" spans="1:12" x14ac:dyDescent="0.25">
      <c r="A1117" s="5" t="s">
        <v>5730</v>
      </c>
      <c r="B1117" s="5" t="s">
        <v>5729</v>
      </c>
      <c r="C1117" s="5" t="s">
        <v>42</v>
      </c>
      <c r="D1117" s="21">
        <v>2</v>
      </c>
      <c r="E1117" s="12">
        <v>298</v>
      </c>
      <c r="F1117" s="10" t="str">
        <f>_xlfn.XLOOKUP(C1117,menu!A:A,menu!B:B)</f>
        <v>Chicken Popcorn</v>
      </c>
      <c r="G1117" s="10" t="str">
        <f>_xlfn.XLOOKUP(C1117,menu!A:A,menu!C:C)</f>
        <v>Starters</v>
      </c>
      <c r="H1117" s="10">
        <f>_xlfn.XLOOKUP(C1117,menu!A:A,menu!E:E)</f>
        <v>45</v>
      </c>
      <c r="I1117" s="10">
        <f t="shared" si="17"/>
        <v>90</v>
      </c>
      <c r="K1117" s="10"/>
      <c r="L1117" s="5"/>
    </row>
    <row r="1118" spans="1:12" x14ac:dyDescent="0.25">
      <c r="A1118" s="5" t="s">
        <v>5728</v>
      </c>
      <c r="B1118" s="5" t="s">
        <v>5726</v>
      </c>
      <c r="C1118" s="5" t="s">
        <v>63</v>
      </c>
      <c r="D1118" s="21">
        <v>2</v>
      </c>
      <c r="E1118" s="12">
        <v>158</v>
      </c>
      <c r="F1118" s="10" t="str">
        <f>_xlfn.XLOOKUP(C1118,menu!A:A,menu!B:B)</f>
        <v>Virgin Mojito</v>
      </c>
      <c r="G1118" s="10" t="str">
        <f>_xlfn.XLOOKUP(C1118,menu!A:A,menu!C:C)</f>
        <v>Beverages</v>
      </c>
      <c r="H1118" s="10">
        <f>_xlfn.XLOOKUP(C1118,menu!A:A,menu!E:E)</f>
        <v>24</v>
      </c>
      <c r="I1118" s="10">
        <f t="shared" si="17"/>
        <v>48</v>
      </c>
      <c r="K1118" s="10"/>
      <c r="L1118" s="5"/>
    </row>
    <row r="1119" spans="1:12" x14ac:dyDescent="0.25">
      <c r="A1119" s="5" t="s">
        <v>5727</v>
      </c>
      <c r="B1119" s="5" t="s">
        <v>5726</v>
      </c>
      <c r="C1119" s="5" t="s">
        <v>48</v>
      </c>
      <c r="D1119" s="21">
        <v>2</v>
      </c>
      <c r="E1119" s="12">
        <v>318</v>
      </c>
      <c r="F1119" s="10" t="str">
        <f>_xlfn.XLOOKUP(C1119,menu!A:A,menu!B:B)</f>
        <v>Chicken Lollipop</v>
      </c>
      <c r="G1119" s="10" t="str">
        <f>_xlfn.XLOOKUP(C1119,menu!A:A,menu!C:C)</f>
        <v>Starters</v>
      </c>
      <c r="H1119" s="10">
        <f>_xlfn.XLOOKUP(C1119,menu!A:A,menu!E:E)</f>
        <v>48</v>
      </c>
      <c r="I1119" s="10">
        <f t="shared" si="17"/>
        <v>96</v>
      </c>
      <c r="K1119" s="10"/>
      <c r="L1119" s="5"/>
    </row>
    <row r="1120" spans="1:12" x14ac:dyDescent="0.25">
      <c r="A1120" s="5" t="s">
        <v>5725</v>
      </c>
      <c r="B1120" s="5" t="s">
        <v>5723</v>
      </c>
      <c r="C1120" s="5" t="s">
        <v>8</v>
      </c>
      <c r="D1120" s="21">
        <v>2</v>
      </c>
      <c r="E1120" s="12">
        <v>198</v>
      </c>
      <c r="F1120" s="10" t="str">
        <f>_xlfn.XLOOKUP(C1120,menu!A:A,menu!B:B)</f>
        <v>Paneer Sandwich</v>
      </c>
      <c r="G1120" s="10" t="str">
        <f>_xlfn.XLOOKUP(C1120,menu!A:A,menu!C:C)</f>
        <v>Sandwich</v>
      </c>
      <c r="H1120" s="10">
        <f>_xlfn.XLOOKUP(C1120,menu!A:A,menu!E:E)</f>
        <v>30</v>
      </c>
      <c r="I1120" s="10">
        <f t="shared" si="17"/>
        <v>60</v>
      </c>
      <c r="K1120" s="10"/>
      <c r="L1120" s="5"/>
    </row>
    <row r="1121" spans="1:12" x14ac:dyDescent="0.25">
      <c r="A1121" s="5" t="s">
        <v>5724</v>
      </c>
      <c r="B1121" s="5" t="s">
        <v>5723</v>
      </c>
      <c r="C1121" s="5" t="s">
        <v>48</v>
      </c>
      <c r="D1121" s="21">
        <v>5</v>
      </c>
      <c r="E1121" s="12">
        <v>795</v>
      </c>
      <c r="F1121" s="10" t="str">
        <f>_xlfn.XLOOKUP(C1121,menu!A:A,menu!B:B)</f>
        <v>Chicken Lollipop</v>
      </c>
      <c r="G1121" s="10" t="str">
        <f>_xlfn.XLOOKUP(C1121,menu!A:A,menu!C:C)</f>
        <v>Starters</v>
      </c>
      <c r="H1121" s="10">
        <f>_xlfn.XLOOKUP(C1121,menu!A:A,menu!E:E)</f>
        <v>48</v>
      </c>
      <c r="I1121" s="10">
        <f t="shared" si="17"/>
        <v>240</v>
      </c>
      <c r="K1121" s="10"/>
      <c r="L1121" s="5"/>
    </row>
    <row r="1122" spans="1:12" x14ac:dyDescent="0.25">
      <c r="A1122" s="5" t="s">
        <v>5722</v>
      </c>
      <c r="B1122" s="5" t="s">
        <v>5720</v>
      </c>
      <c r="C1122" s="5" t="s">
        <v>22</v>
      </c>
      <c r="D1122" s="21">
        <v>4</v>
      </c>
      <c r="E1122" s="12">
        <v>396</v>
      </c>
      <c r="F1122" s="10" t="str">
        <f>_xlfn.XLOOKUP(C1122,menu!A:A,menu!B:B)</f>
        <v>Chicken Burger</v>
      </c>
      <c r="G1122" s="10" t="str">
        <f>_xlfn.XLOOKUP(C1122,menu!A:A,menu!C:C)</f>
        <v>Burger</v>
      </c>
      <c r="H1122" s="10">
        <f>_xlfn.XLOOKUP(C1122,menu!A:A,menu!E:E)</f>
        <v>30</v>
      </c>
      <c r="I1122" s="10">
        <f t="shared" si="17"/>
        <v>120</v>
      </c>
      <c r="K1122" s="10"/>
      <c r="L1122" s="5"/>
    </row>
    <row r="1123" spans="1:12" x14ac:dyDescent="0.25">
      <c r="A1123" s="5" t="s">
        <v>5721</v>
      </c>
      <c r="B1123" s="5" t="s">
        <v>5720</v>
      </c>
      <c r="C1123" s="5" t="s">
        <v>33</v>
      </c>
      <c r="D1123" s="21">
        <v>4</v>
      </c>
      <c r="E1123" s="12">
        <v>276</v>
      </c>
      <c r="F1123" s="10" t="str">
        <f>_xlfn.XLOOKUP(C1123,menu!A:A,menu!B:B)</f>
        <v>Spring Roll</v>
      </c>
      <c r="G1123" s="10" t="str">
        <f>_xlfn.XLOOKUP(C1123,menu!A:A,menu!C:C)</f>
        <v>Rolls</v>
      </c>
      <c r="H1123" s="10">
        <f>_xlfn.XLOOKUP(C1123,menu!A:A,menu!E:E)</f>
        <v>21</v>
      </c>
      <c r="I1123" s="10">
        <f t="shared" si="17"/>
        <v>84</v>
      </c>
      <c r="K1123" s="10"/>
      <c r="L1123" s="5"/>
    </row>
    <row r="1124" spans="1:12" x14ac:dyDescent="0.25">
      <c r="A1124" s="5" t="s">
        <v>5719</v>
      </c>
      <c r="B1124" s="5" t="s">
        <v>5718</v>
      </c>
      <c r="C1124" s="5" t="s">
        <v>19</v>
      </c>
      <c r="D1124" s="21">
        <v>1</v>
      </c>
      <c r="E1124" s="12">
        <v>79</v>
      </c>
      <c r="F1124" s="10" t="str">
        <f>_xlfn.XLOOKUP(C1124,menu!A:A,menu!B:B)</f>
        <v>Veg Burger</v>
      </c>
      <c r="G1124" s="10" t="str">
        <f>_xlfn.XLOOKUP(C1124,menu!A:A,menu!C:C)</f>
        <v>Burger</v>
      </c>
      <c r="H1124" s="10">
        <f>_xlfn.XLOOKUP(C1124,menu!A:A,menu!E:E)</f>
        <v>24</v>
      </c>
      <c r="I1124" s="10">
        <f t="shared" si="17"/>
        <v>24</v>
      </c>
      <c r="K1124" s="10"/>
      <c r="L1124" s="5"/>
    </row>
    <row r="1125" spans="1:12" x14ac:dyDescent="0.25">
      <c r="A1125" s="5" t="s">
        <v>5717</v>
      </c>
      <c r="B1125" s="5" t="s">
        <v>5714</v>
      </c>
      <c r="C1125" s="5" t="s">
        <v>15</v>
      </c>
      <c r="D1125" s="21">
        <v>2</v>
      </c>
      <c r="E1125" s="12">
        <v>198</v>
      </c>
      <c r="F1125" s="10" t="str">
        <f>_xlfn.XLOOKUP(C1125,menu!A:A,menu!B:B)</f>
        <v>Chicken Momos</v>
      </c>
      <c r="G1125" s="10" t="str">
        <f>_xlfn.XLOOKUP(C1125,menu!A:A,menu!C:C)</f>
        <v>Momos</v>
      </c>
      <c r="H1125" s="10">
        <f>_xlfn.XLOOKUP(C1125,menu!A:A,menu!E:E)</f>
        <v>30</v>
      </c>
      <c r="I1125" s="10">
        <f t="shared" si="17"/>
        <v>60</v>
      </c>
      <c r="K1125" s="10"/>
      <c r="L1125" s="5"/>
    </row>
    <row r="1126" spans="1:12" x14ac:dyDescent="0.25">
      <c r="A1126" s="5" t="s">
        <v>5716</v>
      </c>
      <c r="B1126" s="5" t="s">
        <v>5714</v>
      </c>
      <c r="C1126" s="5" t="s">
        <v>46</v>
      </c>
      <c r="D1126" s="21">
        <v>1</v>
      </c>
      <c r="E1126" s="12">
        <v>149</v>
      </c>
      <c r="F1126" s="10" t="str">
        <f>_xlfn.XLOOKUP(C1126,menu!A:A,menu!B:B)</f>
        <v>Fish Finger</v>
      </c>
      <c r="G1126" s="10" t="str">
        <f>_xlfn.XLOOKUP(C1126,menu!A:A,menu!C:C)</f>
        <v>Starters</v>
      </c>
      <c r="H1126" s="10">
        <f>_xlfn.XLOOKUP(C1126,menu!A:A,menu!E:E)</f>
        <v>45</v>
      </c>
      <c r="I1126" s="10">
        <f t="shared" si="17"/>
        <v>45</v>
      </c>
      <c r="K1126" s="10"/>
      <c r="L1126" s="5"/>
    </row>
    <row r="1127" spans="1:12" x14ac:dyDescent="0.25">
      <c r="A1127" s="5" t="s">
        <v>5715</v>
      </c>
      <c r="B1127" s="5" t="s">
        <v>5714</v>
      </c>
      <c r="C1127" s="5" t="s">
        <v>38</v>
      </c>
      <c r="D1127" s="21">
        <v>1</v>
      </c>
      <c r="E1127" s="12">
        <v>149</v>
      </c>
      <c r="F1127" s="10" t="str">
        <f>_xlfn.XLOOKUP(C1127,menu!A:A,menu!B:B)</f>
        <v>Chicken Wings</v>
      </c>
      <c r="G1127" s="10" t="str">
        <f>_xlfn.XLOOKUP(C1127,menu!A:A,menu!C:C)</f>
        <v>Starters</v>
      </c>
      <c r="H1127" s="10">
        <f>_xlfn.XLOOKUP(C1127,menu!A:A,menu!E:E)</f>
        <v>45</v>
      </c>
      <c r="I1127" s="10">
        <f t="shared" si="17"/>
        <v>45</v>
      </c>
      <c r="K1127" s="10"/>
      <c r="L1127" s="5"/>
    </row>
    <row r="1128" spans="1:12" x14ac:dyDescent="0.25">
      <c r="A1128" s="5" t="s">
        <v>5713</v>
      </c>
      <c r="B1128" s="5" t="s">
        <v>5710</v>
      </c>
      <c r="C1128" s="5" t="s">
        <v>17</v>
      </c>
      <c r="D1128" s="21">
        <v>4</v>
      </c>
      <c r="E1128" s="12">
        <v>356</v>
      </c>
      <c r="F1128" s="10" t="str">
        <f>_xlfn.XLOOKUP(C1128,menu!A:A,menu!B:B)</f>
        <v>Paneer Momos</v>
      </c>
      <c r="G1128" s="10" t="str">
        <f>_xlfn.XLOOKUP(C1128,menu!A:A,menu!C:C)</f>
        <v>Momos</v>
      </c>
      <c r="H1128" s="10">
        <f>_xlfn.XLOOKUP(C1128,menu!A:A,menu!E:E)</f>
        <v>27</v>
      </c>
      <c r="I1128" s="10">
        <f t="shared" si="17"/>
        <v>108</v>
      </c>
      <c r="K1128" s="10"/>
      <c r="L1128" s="5"/>
    </row>
    <row r="1129" spans="1:12" x14ac:dyDescent="0.25">
      <c r="A1129" s="5" t="s">
        <v>5712</v>
      </c>
      <c r="B1129" s="5" t="s">
        <v>5710</v>
      </c>
      <c r="C1129" s="5" t="s">
        <v>35</v>
      </c>
      <c r="D1129" s="21">
        <v>3</v>
      </c>
      <c r="E1129" s="12">
        <v>357</v>
      </c>
      <c r="F1129" s="10" t="str">
        <f>_xlfn.XLOOKUP(C1129,menu!A:A,menu!B:B)</f>
        <v>Chicken Nuggets</v>
      </c>
      <c r="G1129" s="10" t="str">
        <f>_xlfn.XLOOKUP(C1129,menu!A:A,menu!C:C)</f>
        <v>Starters</v>
      </c>
      <c r="H1129" s="10">
        <f>_xlfn.XLOOKUP(C1129,menu!A:A,menu!E:E)</f>
        <v>36</v>
      </c>
      <c r="I1129" s="10">
        <f t="shared" si="17"/>
        <v>108</v>
      </c>
      <c r="K1129" s="10"/>
      <c r="L1129" s="5"/>
    </row>
    <row r="1130" spans="1:12" x14ac:dyDescent="0.25">
      <c r="A1130" s="5" t="s">
        <v>5711</v>
      </c>
      <c r="B1130" s="5" t="s">
        <v>5710</v>
      </c>
      <c r="C1130" s="5" t="s">
        <v>8</v>
      </c>
      <c r="D1130" s="21">
        <v>4</v>
      </c>
      <c r="E1130" s="12">
        <v>396</v>
      </c>
      <c r="F1130" s="10" t="str">
        <f>_xlfn.XLOOKUP(C1130,menu!A:A,menu!B:B)</f>
        <v>Paneer Sandwich</v>
      </c>
      <c r="G1130" s="10" t="str">
        <f>_xlfn.XLOOKUP(C1130,menu!A:A,menu!C:C)</f>
        <v>Sandwich</v>
      </c>
      <c r="H1130" s="10">
        <f>_xlfn.XLOOKUP(C1130,menu!A:A,menu!E:E)</f>
        <v>30</v>
      </c>
      <c r="I1130" s="10">
        <f t="shared" si="17"/>
        <v>120</v>
      </c>
      <c r="K1130" s="10"/>
      <c r="L1130" s="5"/>
    </row>
    <row r="1131" spans="1:12" x14ac:dyDescent="0.25">
      <c r="A1131" s="5" t="s">
        <v>5709</v>
      </c>
      <c r="B1131" s="5" t="s">
        <v>5706</v>
      </c>
      <c r="C1131" s="5" t="s">
        <v>54</v>
      </c>
      <c r="D1131" s="21">
        <v>3</v>
      </c>
      <c r="E1131" s="12">
        <v>417</v>
      </c>
      <c r="F1131" s="10" t="str">
        <f>_xlfn.XLOOKUP(C1131,menu!A:A,menu!B:B)</f>
        <v>Chicken Strips</v>
      </c>
      <c r="G1131" s="10" t="str">
        <f>_xlfn.XLOOKUP(C1131,menu!A:A,menu!C:C)</f>
        <v>Starters</v>
      </c>
      <c r="H1131" s="10">
        <f>_xlfn.XLOOKUP(C1131,menu!A:A,menu!E:E)</f>
        <v>42</v>
      </c>
      <c r="I1131" s="10">
        <f t="shared" si="17"/>
        <v>126</v>
      </c>
      <c r="K1131" s="10"/>
      <c r="L1131" s="5"/>
    </row>
    <row r="1132" spans="1:12" x14ac:dyDescent="0.25">
      <c r="A1132" s="5" t="s">
        <v>5708</v>
      </c>
      <c r="B1132" s="5" t="s">
        <v>5706</v>
      </c>
      <c r="C1132" s="5" t="s">
        <v>46</v>
      </c>
      <c r="D1132" s="21">
        <v>1</v>
      </c>
      <c r="E1132" s="12">
        <v>149</v>
      </c>
      <c r="F1132" s="10" t="str">
        <f>_xlfn.XLOOKUP(C1132,menu!A:A,menu!B:B)</f>
        <v>Fish Finger</v>
      </c>
      <c r="G1132" s="10" t="str">
        <f>_xlfn.XLOOKUP(C1132,menu!A:A,menu!C:C)</f>
        <v>Starters</v>
      </c>
      <c r="H1132" s="10">
        <f>_xlfn.XLOOKUP(C1132,menu!A:A,menu!E:E)</f>
        <v>45</v>
      </c>
      <c r="I1132" s="10">
        <f t="shared" si="17"/>
        <v>45</v>
      </c>
      <c r="K1132" s="10"/>
      <c r="L1132" s="5"/>
    </row>
    <row r="1133" spans="1:12" x14ac:dyDescent="0.25">
      <c r="A1133" s="5" t="s">
        <v>5707</v>
      </c>
      <c r="B1133" s="5" t="s">
        <v>5706</v>
      </c>
      <c r="C1133" s="5" t="s">
        <v>26</v>
      </c>
      <c r="D1133" s="21">
        <v>2</v>
      </c>
      <c r="E1133" s="12">
        <v>118</v>
      </c>
      <c r="F1133" s="10" t="str">
        <f>_xlfn.XLOOKUP(C1133,menu!A:A,menu!B:B)</f>
        <v>Veg Roll</v>
      </c>
      <c r="G1133" s="10" t="str">
        <f>_xlfn.XLOOKUP(C1133,menu!A:A,menu!C:C)</f>
        <v>Rolls</v>
      </c>
      <c r="H1133" s="10">
        <f>_xlfn.XLOOKUP(C1133,menu!A:A,menu!E:E)</f>
        <v>18</v>
      </c>
      <c r="I1133" s="10">
        <f t="shared" si="17"/>
        <v>36</v>
      </c>
      <c r="K1133" s="10"/>
      <c r="L1133" s="5"/>
    </row>
    <row r="1134" spans="1:12" x14ac:dyDescent="0.25">
      <c r="A1134" s="5" t="s">
        <v>5705</v>
      </c>
      <c r="B1134" s="5" t="s">
        <v>5701</v>
      </c>
      <c r="C1134" s="5" t="s">
        <v>5</v>
      </c>
      <c r="D1134" s="21">
        <v>2</v>
      </c>
      <c r="E1134" s="12">
        <v>158</v>
      </c>
      <c r="F1134" s="10" t="str">
        <f>_xlfn.XLOOKUP(C1134,menu!A:A,menu!B:B)</f>
        <v>Veg Sandwich</v>
      </c>
      <c r="G1134" s="10" t="str">
        <f>_xlfn.XLOOKUP(C1134,menu!A:A,menu!C:C)</f>
        <v>Sandwich</v>
      </c>
      <c r="H1134" s="10">
        <f>_xlfn.XLOOKUP(C1134,menu!A:A,menu!E:E)</f>
        <v>24</v>
      </c>
      <c r="I1134" s="10">
        <f t="shared" si="17"/>
        <v>48</v>
      </c>
      <c r="K1134" s="10"/>
      <c r="L1134" s="5"/>
    </row>
    <row r="1135" spans="1:12" x14ac:dyDescent="0.25">
      <c r="A1135" s="5" t="s">
        <v>5704</v>
      </c>
      <c r="B1135" s="5" t="s">
        <v>5701</v>
      </c>
      <c r="C1135" s="5" t="s">
        <v>56</v>
      </c>
      <c r="D1135" s="21">
        <v>1</v>
      </c>
      <c r="E1135" s="12">
        <v>79</v>
      </c>
      <c r="F1135" s="10" t="str">
        <f>_xlfn.XLOOKUP(C1135,menu!A:A,menu!B:B)</f>
        <v>Mint Mojito</v>
      </c>
      <c r="G1135" s="10" t="str">
        <f>_xlfn.XLOOKUP(C1135,menu!A:A,menu!C:C)</f>
        <v>Beverages</v>
      </c>
      <c r="H1135" s="10">
        <f>_xlfn.XLOOKUP(C1135,menu!A:A,menu!E:E)</f>
        <v>24</v>
      </c>
      <c r="I1135" s="10">
        <f t="shared" si="17"/>
        <v>24</v>
      </c>
      <c r="K1135" s="10"/>
      <c r="L1135" s="5"/>
    </row>
    <row r="1136" spans="1:12" x14ac:dyDescent="0.25">
      <c r="A1136" s="5" t="s">
        <v>5703</v>
      </c>
      <c r="B1136" s="5" t="s">
        <v>5701</v>
      </c>
      <c r="C1136" s="5" t="s">
        <v>54</v>
      </c>
      <c r="D1136" s="21">
        <v>1</v>
      </c>
      <c r="E1136" s="12">
        <v>139</v>
      </c>
      <c r="F1136" s="10" t="str">
        <f>_xlfn.XLOOKUP(C1136,menu!A:A,menu!B:B)</f>
        <v>Chicken Strips</v>
      </c>
      <c r="G1136" s="10" t="str">
        <f>_xlfn.XLOOKUP(C1136,menu!A:A,menu!C:C)</f>
        <v>Starters</v>
      </c>
      <c r="H1136" s="10">
        <f>_xlfn.XLOOKUP(C1136,menu!A:A,menu!E:E)</f>
        <v>42</v>
      </c>
      <c r="I1136" s="10">
        <f t="shared" si="17"/>
        <v>42</v>
      </c>
      <c r="K1136" s="10"/>
      <c r="L1136" s="5"/>
    </row>
    <row r="1137" spans="1:12" x14ac:dyDescent="0.25">
      <c r="A1137" s="5" t="s">
        <v>5702</v>
      </c>
      <c r="B1137" s="5" t="s">
        <v>5701</v>
      </c>
      <c r="C1137" s="5" t="s">
        <v>8</v>
      </c>
      <c r="D1137" s="21">
        <v>1</v>
      </c>
      <c r="E1137" s="12">
        <v>99</v>
      </c>
      <c r="F1137" s="10" t="str">
        <f>_xlfn.XLOOKUP(C1137,menu!A:A,menu!B:B)</f>
        <v>Paneer Sandwich</v>
      </c>
      <c r="G1137" s="10" t="str">
        <f>_xlfn.XLOOKUP(C1137,menu!A:A,menu!C:C)</f>
        <v>Sandwich</v>
      </c>
      <c r="H1137" s="10">
        <f>_xlfn.XLOOKUP(C1137,menu!A:A,menu!E:E)</f>
        <v>30</v>
      </c>
      <c r="I1137" s="10">
        <f t="shared" si="17"/>
        <v>30</v>
      </c>
      <c r="K1137" s="10"/>
      <c r="L1137" s="5"/>
    </row>
    <row r="1138" spans="1:12" x14ac:dyDescent="0.25">
      <c r="A1138" s="5" t="s">
        <v>5700</v>
      </c>
      <c r="B1138" s="5" t="s">
        <v>5698</v>
      </c>
      <c r="C1138" s="5" t="s">
        <v>5</v>
      </c>
      <c r="D1138" s="21">
        <v>3</v>
      </c>
      <c r="E1138" s="12">
        <v>237</v>
      </c>
      <c r="F1138" s="10" t="str">
        <f>_xlfn.XLOOKUP(C1138,menu!A:A,menu!B:B)</f>
        <v>Veg Sandwich</v>
      </c>
      <c r="G1138" s="10" t="str">
        <f>_xlfn.XLOOKUP(C1138,menu!A:A,menu!C:C)</f>
        <v>Sandwich</v>
      </c>
      <c r="H1138" s="10">
        <f>_xlfn.XLOOKUP(C1138,menu!A:A,menu!E:E)</f>
        <v>24</v>
      </c>
      <c r="I1138" s="10">
        <f t="shared" si="17"/>
        <v>72</v>
      </c>
      <c r="K1138" s="10"/>
      <c r="L1138" s="5"/>
    </row>
    <row r="1139" spans="1:12" x14ac:dyDescent="0.25">
      <c r="A1139" s="5" t="s">
        <v>5699</v>
      </c>
      <c r="B1139" s="5" t="s">
        <v>5698</v>
      </c>
      <c r="C1139" s="5" t="s">
        <v>59</v>
      </c>
      <c r="D1139" s="21">
        <v>1</v>
      </c>
      <c r="E1139" s="12">
        <v>79</v>
      </c>
      <c r="F1139" s="10" t="str">
        <f>_xlfn.XLOOKUP(C1139,menu!A:A,menu!B:B)</f>
        <v>Blue Curacao Mojito</v>
      </c>
      <c r="G1139" s="10" t="str">
        <f>_xlfn.XLOOKUP(C1139,menu!A:A,menu!C:C)</f>
        <v>Beverages</v>
      </c>
      <c r="H1139" s="10">
        <f>_xlfn.XLOOKUP(C1139,menu!A:A,menu!E:E)</f>
        <v>24</v>
      </c>
      <c r="I1139" s="10">
        <f t="shared" si="17"/>
        <v>24</v>
      </c>
      <c r="K1139" s="10"/>
      <c r="L1139" s="5"/>
    </row>
    <row r="1140" spans="1:12" x14ac:dyDescent="0.25">
      <c r="A1140" s="5" t="s">
        <v>5697</v>
      </c>
      <c r="B1140" s="5" t="s">
        <v>5695</v>
      </c>
      <c r="C1140" s="5" t="s">
        <v>29</v>
      </c>
      <c r="D1140" s="21">
        <v>1</v>
      </c>
      <c r="E1140" s="12">
        <v>79</v>
      </c>
      <c r="F1140" s="10" t="str">
        <f>_xlfn.XLOOKUP(C1140,menu!A:A,menu!B:B)</f>
        <v>Paneer Roll</v>
      </c>
      <c r="G1140" s="10" t="str">
        <f>_xlfn.XLOOKUP(C1140,menu!A:A,menu!C:C)</f>
        <v>Rolls</v>
      </c>
      <c r="H1140" s="10">
        <f>_xlfn.XLOOKUP(C1140,menu!A:A,menu!E:E)</f>
        <v>24</v>
      </c>
      <c r="I1140" s="10">
        <f t="shared" si="17"/>
        <v>24</v>
      </c>
      <c r="K1140" s="10"/>
      <c r="L1140" s="5"/>
    </row>
    <row r="1141" spans="1:12" x14ac:dyDescent="0.25">
      <c r="A1141" s="5" t="s">
        <v>5696</v>
      </c>
      <c r="B1141" s="5" t="s">
        <v>5695</v>
      </c>
      <c r="C1141" s="5" t="s">
        <v>35</v>
      </c>
      <c r="D1141" s="21">
        <v>3</v>
      </c>
      <c r="E1141" s="12">
        <v>357</v>
      </c>
      <c r="F1141" s="10" t="str">
        <f>_xlfn.XLOOKUP(C1141,menu!A:A,menu!B:B)</f>
        <v>Chicken Nuggets</v>
      </c>
      <c r="G1141" s="10" t="str">
        <f>_xlfn.XLOOKUP(C1141,menu!A:A,menu!C:C)</f>
        <v>Starters</v>
      </c>
      <c r="H1141" s="10">
        <f>_xlfn.XLOOKUP(C1141,menu!A:A,menu!E:E)</f>
        <v>36</v>
      </c>
      <c r="I1141" s="10">
        <f t="shared" si="17"/>
        <v>108</v>
      </c>
      <c r="K1141" s="10"/>
      <c r="L1141" s="5"/>
    </row>
    <row r="1142" spans="1:12" x14ac:dyDescent="0.25">
      <c r="A1142" s="5" t="s">
        <v>5694</v>
      </c>
      <c r="B1142" s="5" t="s">
        <v>5691</v>
      </c>
      <c r="C1142" s="5" t="s">
        <v>63</v>
      </c>
      <c r="D1142" s="21">
        <v>1</v>
      </c>
      <c r="E1142" s="12">
        <v>79</v>
      </c>
      <c r="F1142" s="10" t="str">
        <f>_xlfn.XLOOKUP(C1142,menu!A:A,menu!B:B)</f>
        <v>Virgin Mojito</v>
      </c>
      <c r="G1142" s="10" t="str">
        <f>_xlfn.XLOOKUP(C1142,menu!A:A,menu!C:C)</f>
        <v>Beverages</v>
      </c>
      <c r="H1142" s="10">
        <f>_xlfn.XLOOKUP(C1142,menu!A:A,menu!E:E)</f>
        <v>24</v>
      </c>
      <c r="I1142" s="10">
        <f t="shared" si="17"/>
        <v>24</v>
      </c>
      <c r="K1142" s="10"/>
      <c r="L1142" s="5"/>
    </row>
    <row r="1143" spans="1:12" x14ac:dyDescent="0.25">
      <c r="A1143" s="5" t="s">
        <v>5693</v>
      </c>
      <c r="B1143" s="5" t="s">
        <v>5691</v>
      </c>
      <c r="C1143" s="5" t="s">
        <v>65</v>
      </c>
      <c r="D1143" s="21">
        <v>2</v>
      </c>
      <c r="E1143" s="12">
        <v>98</v>
      </c>
      <c r="F1143" s="10" t="str">
        <f>_xlfn.XLOOKUP(C1143,menu!A:A,menu!B:B)</f>
        <v>Lemon Juice</v>
      </c>
      <c r="G1143" s="10" t="str">
        <f>_xlfn.XLOOKUP(C1143,menu!A:A,menu!C:C)</f>
        <v>Beverages</v>
      </c>
      <c r="H1143" s="10">
        <f>_xlfn.XLOOKUP(C1143,menu!A:A,menu!E:E)</f>
        <v>15</v>
      </c>
      <c r="I1143" s="10">
        <f t="shared" si="17"/>
        <v>30</v>
      </c>
      <c r="K1143" s="10"/>
      <c r="L1143" s="5"/>
    </row>
    <row r="1144" spans="1:12" x14ac:dyDescent="0.25">
      <c r="A1144" s="5" t="s">
        <v>5692</v>
      </c>
      <c r="B1144" s="5" t="s">
        <v>5691</v>
      </c>
      <c r="C1144" s="5" t="s">
        <v>61</v>
      </c>
      <c r="D1144" s="21">
        <v>2</v>
      </c>
      <c r="E1144" s="12">
        <v>158</v>
      </c>
      <c r="F1144" s="10" t="str">
        <f>_xlfn.XLOOKUP(C1144,menu!A:A,menu!B:B)</f>
        <v>Watermelon Mojito</v>
      </c>
      <c r="G1144" s="10" t="str">
        <f>_xlfn.XLOOKUP(C1144,menu!A:A,menu!C:C)</f>
        <v>Beverages</v>
      </c>
      <c r="H1144" s="10">
        <f>_xlfn.XLOOKUP(C1144,menu!A:A,menu!E:E)</f>
        <v>24</v>
      </c>
      <c r="I1144" s="10">
        <f t="shared" si="17"/>
        <v>48</v>
      </c>
      <c r="K1144" s="10"/>
      <c r="L1144" s="5"/>
    </row>
    <row r="1145" spans="1:12" x14ac:dyDescent="0.25">
      <c r="A1145" s="5" t="s">
        <v>5690</v>
      </c>
      <c r="B1145" s="5" t="s">
        <v>5689</v>
      </c>
      <c r="C1145" s="5" t="s">
        <v>12</v>
      </c>
      <c r="D1145" s="21">
        <v>1</v>
      </c>
      <c r="E1145" s="12">
        <v>79</v>
      </c>
      <c r="F1145" s="10" t="str">
        <f>_xlfn.XLOOKUP(C1145,menu!A:A,menu!B:B)</f>
        <v>Veg Momos</v>
      </c>
      <c r="G1145" s="10" t="str">
        <f>_xlfn.XLOOKUP(C1145,menu!A:A,menu!C:C)</f>
        <v>Momos</v>
      </c>
      <c r="H1145" s="10">
        <f>_xlfn.XLOOKUP(C1145,menu!A:A,menu!E:E)</f>
        <v>24</v>
      </c>
      <c r="I1145" s="10">
        <f t="shared" si="17"/>
        <v>24</v>
      </c>
      <c r="K1145" s="10"/>
      <c r="L1145" s="5"/>
    </row>
    <row r="1146" spans="1:12" x14ac:dyDescent="0.25">
      <c r="A1146" s="5" t="s">
        <v>5688</v>
      </c>
      <c r="B1146" s="5" t="s">
        <v>5684</v>
      </c>
      <c r="C1146" s="5" t="s">
        <v>24</v>
      </c>
      <c r="D1146" s="21">
        <v>3</v>
      </c>
      <c r="E1146" s="12">
        <v>267</v>
      </c>
      <c r="F1146" s="10" t="str">
        <f>_xlfn.XLOOKUP(C1146,menu!A:A,menu!B:B)</f>
        <v>Paneer Burger</v>
      </c>
      <c r="G1146" s="10" t="str">
        <f>_xlfn.XLOOKUP(C1146,menu!A:A,menu!C:C)</f>
        <v>Burger</v>
      </c>
      <c r="H1146" s="10">
        <f>_xlfn.XLOOKUP(C1146,menu!A:A,menu!E:E)</f>
        <v>27</v>
      </c>
      <c r="I1146" s="10">
        <f t="shared" si="17"/>
        <v>81</v>
      </c>
      <c r="K1146" s="10"/>
      <c r="L1146" s="5"/>
    </row>
    <row r="1147" spans="1:12" x14ac:dyDescent="0.25">
      <c r="A1147" s="5" t="s">
        <v>5687</v>
      </c>
      <c r="B1147" s="5" t="s">
        <v>5684</v>
      </c>
      <c r="C1147" s="5" t="s">
        <v>35</v>
      </c>
      <c r="D1147" s="21">
        <v>1</v>
      </c>
      <c r="E1147" s="12">
        <v>119</v>
      </c>
      <c r="F1147" s="10" t="str">
        <f>_xlfn.XLOOKUP(C1147,menu!A:A,menu!B:B)</f>
        <v>Chicken Nuggets</v>
      </c>
      <c r="G1147" s="10" t="str">
        <f>_xlfn.XLOOKUP(C1147,menu!A:A,menu!C:C)</f>
        <v>Starters</v>
      </c>
      <c r="H1147" s="10">
        <f>_xlfn.XLOOKUP(C1147,menu!A:A,menu!E:E)</f>
        <v>36</v>
      </c>
      <c r="I1147" s="10">
        <f t="shared" si="17"/>
        <v>36</v>
      </c>
      <c r="K1147" s="10"/>
      <c r="L1147" s="5"/>
    </row>
    <row r="1148" spans="1:12" x14ac:dyDescent="0.25">
      <c r="A1148" s="5" t="s">
        <v>5686</v>
      </c>
      <c r="B1148" s="5" t="s">
        <v>5684</v>
      </c>
      <c r="C1148" s="5" t="s">
        <v>38</v>
      </c>
      <c r="D1148" s="21">
        <v>1</v>
      </c>
      <c r="E1148" s="12">
        <v>149</v>
      </c>
      <c r="F1148" s="10" t="str">
        <f>_xlfn.XLOOKUP(C1148,menu!A:A,menu!B:B)</f>
        <v>Chicken Wings</v>
      </c>
      <c r="G1148" s="10" t="str">
        <f>_xlfn.XLOOKUP(C1148,menu!A:A,menu!C:C)</f>
        <v>Starters</v>
      </c>
      <c r="H1148" s="10">
        <f>_xlfn.XLOOKUP(C1148,menu!A:A,menu!E:E)</f>
        <v>45</v>
      </c>
      <c r="I1148" s="10">
        <f t="shared" si="17"/>
        <v>45</v>
      </c>
      <c r="K1148" s="10"/>
      <c r="L1148" s="5"/>
    </row>
    <row r="1149" spans="1:12" x14ac:dyDescent="0.25">
      <c r="A1149" s="5" t="s">
        <v>5685</v>
      </c>
      <c r="B1149" s="5" t="s">
        <v>5684</v>
      </c>
      <c r="C1149" s="5" t="s">
        <v>48</v>
      </c>
      <c r="D1149" s="21">
        <v>2</v>
      </c>
      <c r="E1149" s="12">
        <v>318</v>
      </c>
      <c r="F1149" s="10" t="str">
        <f>_xlfn.XLOOKUP(C1149,menu!A:A,menu!B:B)</f>
        <v>Chicken Lollipop</v>
      </c>
      <c r="G1149" s="10" t="str">
        <f>_xlfn.XLOOKUP(C1149,menu!A:A,menu!C:C)</f>
        <v>Starters</v>
      </c>
      <c r="H1149" s="10">
        <f>_xlfn.XLOOKUP(C1149,menu!A:A,menu!E:E)</f>
        <v>48</v>
      </c>
      <c r="I1149" s="10">
        <f t="shared" si="17"/>
        <v>96</v>
      </c>
      <c r="K1149" s="10"/>
      <c r="L1149" s="5"/>
    </row>
    <row r="1150" spans="1:12" x14ac:dyDescent="0.25">
      <c r="A1150" s="5" t="s">
        <v>5683</v>
      </c>
      <c r="B1150" s="5" t="s">
        <v>5681</v>
      </c>
      <c r="C1150" s="5" t="s">
        <v>12</v>
      </c>
      <c r="D1150" s="21">
        <v>3</v>
      </c>
      <c r="E1150" s="12">
        <v>237</v>
      </c>
      <c r="F1150" s="10" t="str">
        <f>_xlfn.XLOOKUP(C1150,menu!A:A,menu!B:B)</f>
        <v>Veg Momos</v>
      </c>
      <c r="G1150" s="10" t="str">
        <f>_xlfn.XLOOKUP(C1150,menu!A:A,menu!C:C)</f>
        <v>Momos</v>
      </c>
      <c r="H1150" s="10">
        <f>_xlfn.XLOOKUP(C1150,menu!A:A,menu!E:E)</f>
        <v>24</v>
      </c>
      <c r="I1150" s="10">
        <f t="shared" si="17"/>
        <v>72</v>
      </c>
      <c r="K1150" s="10"/>
      <c r="L1150" s="5"/>
    </row>
    <row r="1151" spans="1:12" x14ac:dyDescent="0.25">
      <c r="A1151" s="5" t="s">
        <v>5682</v>
      </c>
      <c r="B1151" s="5" t="s">
        <v>5681</v>
      </c>
      <c r="C1151" s="5" t="s">
        <v>50</v>
      </c>
      <c r="D1151" s="21">
        <v>2</v>
      </c>
      <c r="E1151" s="12">
        <v>298</v>
      </c>
      <c r="F1151" s="10" t="str">
        <f>_xlfn.XLOOKUP(C1151,menu!A:A,menu!B:B)</f>
        <v>Grab Lollipop</v>
      </c>
      <c r="G1151" s="10" t="str">
        <f>_xlfn.XLOOKUP(C1151,menu!A:A,menu!C:C)</f>
        <v>Starters</v>
      </c>
      <c r="H1151" s="10">
        <f>_xlfn.XLOOKUP(C1151,menu!A:A,menu!E:E)</f>
        <v>45</v>
      </c>
      <c r="I1151" s="10">
        <f t="shared" si="17"/>
        <v>90</v>
      </c>
      <c r="K1151" s="10"/>
      <c r="L1151" s="5"/>
    </row>
    <row r="1152" spans="1:12" x14ac:dyDescent="0.25">
      <c r="A1152" s="5" t="s">
        <v>5680</v>
      </c>
      <c r="B1152" s="5" t="s">
        <v>5676</v>
      </c>
      <c r="C1152" s="5" t="s">
        <v>12</v>
      </c>
      <c r="D1152" s="21">
        <v>1</v>
      </c>
      <c r="E1152" s="12">
        <v>79</v>
      </c>
      <c r="F1152" s="10" t="str">
        <f>_xlfn.XLOOKUP(C1152,menu!A:A,menu!B:B)</f>
        <v>Veg Momos</v>
      </c>
      <c r="G1152" s="10" t="str">
        <f>_xlfn.XLOOKUP(C1152,menu!A:A,menu!C:C)</f>
        <v>Momos</v>
      </c>
      <c r="H1152" s="10">
        <f>_xlfn.XLOOKUP(C1152,menu!A:A,menu!E:E)</f>
        <v>24</v>
      </c>
      <c r="I1152" s="10">
        <f t="shared" si="17"/>
        <v>24</v>
      </c>
      <c r="K1152" s="10"/>
      <c r="L1152" s="5"/>
    </row>
    <row r="1153" spans="1:12" x14ac:dyDescent="0.25">
      <c r="A1153" s="5" t="s">
        <v>5679</v>
      </c>
      <c r="B1153" s="5" t="s">
        <v>5676</v>
      </c>
      <c r="C1153" s="5" t="s">
        <v>44</v>
      </c>
      <c r="D1153" s="21">
        <v>1</v>
      </c>
      <c r="E1153" s="12">
        <v>159</v>
      </c>
      <c r="F1153" s="10" t="str">
        <f>_xlfn.XLOOKUP(C1153,menu!A:A,menu!B:B)</f>
        <v>Fried Chicken</v>
      </c>
      <c r="G1153" s="10" t="str">
        <f>_xlfn.XLOOKUP(C1153,menu!A:A,menu!C:C)</f>
        <v>Starters</v>
      </c>
      <c r="H1153" s="10">
        <f>_xlfn.XLOOKUP(C1153,menu!A:A,menu!E:E)</f>
        <v>48</v>
      </c>
      <c r="I1153" s="10">
        <f t="shared" si="17"/>
        <v>48</v>
      </c>
      <c r="K1153" s="10"/>
      <c r="L1153" s="5"/>
    </row>
    <row r="1154" spans="1:12" x14ac:dyDescent="0.25">
      <c r="A1154" s="5" t="s">
        <v>5678</v>
      </c>
      <c r="B1154" s="5" t="s">
        <v>5676</v>
      </c>
      <c r="C1154" s="5" t="s">
        <v>33</v>
      </c>
      <c r="D1154" s="21">
        <v>1</v>
      </c>
      <c r="E1154" s="12">
        <v>69</v>
      </c>
      <c r="F1154" s="10" t="str">
        <f>_xlfn.XLOOKUP(C1154,menu!A:A,menu!B:B)</f>
        <v>Spring Roll</v>
      </c>
      <c r="G1154" s="10" t="str">
        <f>_xlfn.XLOOKUP(C1154,menu!A:A,menu!C:C)</f>
        <v>Rolls</v>
      </c>
      <c r="H1154" s="10">
        <f>_xlfn.XLOOKUP(C1154,menu!A:A,menu!E:E)</f>
        <v>21</v>
      </c>
      <c r="I1154" s="10">
        <f t="shared" si="17"/>
        <v>21</v>
      </c>
      <c r="K1154" s="10"/>
      <c r="L1154" s="5"/>
    </row>
    <row r="1155" spans="1:12" x14ac:dyDescent="0.25">
      <c r="A1155" s="5" t="s">
        <v>5677</v>
      </c>
      <c r="B1155" s="5" t="s">
        <v>5676</v>
      </c>
      <c r="C1155" s="5" t="s">
        <v>61</v>
      </c>
      <c r="D1155" s="21">
        <v>2</v>
      </c>
      <c r="E1155" s="12">
        <v>158</v>
      </c>
      <c r="F1155" s="10" t="str">
        <f>_xlfn.XLOOKUP(C1155,menu!A:A,menu!B:B)</f>
        <v>Watermelon Mojito</v>
      </c>
      <c r="G1155" s="10" t="str">
        <f>_xlfn.XLOOKUP(C1155,menu!A:A,menu!C:C)</f>
        <v>Beverages</v>
      </c>
      <c r="H1155" s="10">
        <f>_xlfn.XLOOKUP(C1155,menu!A:A,menu!E:E)</f>
        <v>24</v>
      </c>
      <c r="I1155" s="10">
        <f t="shared" ref="I1155:I1218" si="18">D1155*H1155</f>
        <v>48</v>
      </c>
      <c r="K1155" s="10"/>
      <c r="L1155" s="5"/>
    </row>
    <row r="1156" spans="1:12" x14ac:dyDescent="0.25">
      <c r="A1156" s="5" t="s">
        <v>5675</v>
      </c>
      <c r="B1156" s="5" t="s">
        <v>5673</v>
      </c>
      <c r="C1156" s="5" t="s">
        <v>48</v>
      </c>
      <c r="D1156" s="21">
        <v>1</v>
      </c>
      <c r="E1156" s="12">
        <v>159</v>
      </c>
      <c r="F1156" s="10" t="str">
        <f>_xlfn.XLOOKUP(C1156,menu!A:A,menu!B:B)</f>
        <v>Chicken Lollipop</v>
      </c>
      <c r="G1156" s="10" t="str">
        <f>_xlfn.XLOOKUP(C1156,menu!A:A,menu!C:C)</f>
        <v>Starters</v>
      </c>
      <c r="H1156" s="10">
        <f>_xlfn.XLOOKUP(C1156,menu!A:A,menu!E:E)</f>
        <v>48</v>
      </c>
      <c r="I1156" s="10">
        <f t="shared" si="18"/>
        <v>48</v>
      </c>
      <c r="K1156" s="10"/>
      <c r="L1156" s="5"/>
    </row>
    <row r="1157" spans="1:12" x14ac:dyDescent="0.25">
      <c r="A1157" s="5" t="s">
        <v>5674</v>
      </c>
      <c r="B1157" s="5" t="s">
        <v>5673</v>
      </c>
      <c r="C1157" s="5" t="s">
        <v>61</v>
      </c>
      <c r="D1157" s="21">
        <v>4</v>
      </c>
      <c r="E1157" s="12">
        <v>316</v>
      </c>
      <c r="F1157" s="10" t="str">
        <f>_xlfn.XLOOKUP(C1157,menu!A:A,menu!B:B)</f>
        <v>Watermelon Mojito</v>
      </c>
      <c r="G1157" s="10" t="str">
        <f>_xlfn.XLOOKUP(C1157,menu!A:A,menu!C:C)</f>
        <v>Beverages</v>
      </c>
      <c r="H1157" s="10">
        <f>_xlfn.XLOOKUP(C1157,menu!A:A,menu!E:E)</f>
        <v>24</v>
      </c>
      <c r="I1157" s="10">
        <f t="shared" si="18"/>
        <v>96</v>
      </c>
      <c r="K1157" s="10"/>
      <c r="L1157" s="5"/>
    </row>
    <row r="1158" spans="1:12" x14ac:dyDescent="0.25">
      <c r="A1158" s="5" t="s">
        <v>5672</v>
      </c>
      <c r="B1158" s="5" t="s">
        <v>5671</v>
      </c>
      <c r="C1158" s="5" t="s">
        <v>17</v>
      </c>
      <c r="D1158" s="21">
        <v>4</v>
      </c>
      <c r="E1158" s="12">
        <v>356</v>
      </c>
      <c r="F1158" s="10" t="str">
        <f>_xlfn.XLOOKUP(C1158,menu!A:A,menu!B:B)</f>
        <v>Paneer Momos</v>
      </c>
      <c r="G1158" s="10" t="str">
        <f>_xlfn.XLOOKUP(C1158,menu!A:A,menu!C:C)</f>
        <v>Momos</v>
      </c>
      <c r="H1158" s="10">
        <f>_xlfn.XLOOKUP(C1158,menu!A:A,menu!E:E)</f>
        <v>27</v>
      </c>
      <c r="I1158" s="10">
        <f t="shared" si="18"/>
        <v>108</v>
      </c>
      <c r="K1158" s="10"/>
      <c r="L1158" s="5"/>
    </row>
    <row r="1159" spans="1:12" x14ac:dyDescent="0.25">
      <c r="A1159" s="5" t="s">
        <v>5670</v>
      </c>
      <c r="B1159" s="5" t="s">
        <v>5668</v>
      </c>
      <c r="C1159" s="5" t="s">
        <v>52</v>
      </c>
      <c r="D1159" s="21">
        <v>2</v>
      </c>
      <c r="E1159" s="12">
        <v>198</v>
      </c>
      <c r="F1159" s="10" t="str">
        <f>_xlfn.XLOOKUP(C1159,menu!A:A,menu!B:B)</f>
        <v>French Fries</v>
      </c>
      <c r="G1159" s="10" t="str">
        <f>_xlfn.XLOOKUP(C1159,menu!A:A,menu!C:C)</f>
        <v>Starters</v>
      </c>
      <c r="H1159" s="10">
        <f>_xlfn.XLOOKUP(C1159,menu!A:A,menu!E:E)</f>
        <v>30</v>
      </c>
      <c r="I1159" s="10">
        <f t="shared" si="18"/>
        <v>60</v>
      </c>
      <c r="K1159" s="10"/>
      <c r="L1159" s="5"/>
    </row>
    <row r="1160" spans="1:12" x14ac:dyDescent="0.25">
      <c r="A1160" s="5" t="s">
        <v>5669</v>
      </c>
      <c r="B1160" s="5" t="s">
        <v>5668</v>
      </c>
      <c r="C1160" s="5" t="s">
        <v>50</v>
      </c>
      <c r="D1160" s="21">
        <v>2</v>
      </c>
      <c r="E1160" s="12">
        <v>298</v>
      </c>
      <c r="F1160" s="10" t="str">
        <f>_xlfn.XLOOKUP(C1160,menu!A:A,menu!B:B)</f>
        <v>Grab Lollipop</v>
      </c>
      <c r="G1160" s="10" t="str">
        <f>_xlfn.XLOOKUP(C1160,menu!A:A,menu!C:C)</f>
        <v>Starters</v>
      </c>
      <c r="H1160" s="10">
        <f>_xlfn.XLOOKUP(C1160,menu!A:A,menu!E:E)</f>
        <v>45</v>
      </c>
      <c r="I1160" s="10">
        <f t="shared" si="18"/>
        <v>90</v>
      </c>
      <c r="K1160" s="10"/>
      <c r="L1160" s="5"/>
    </row>
    <row r="1161" spans="1:12" x14ac:dyDescent="0.25">
      <c r="A1161" s="5" t="s">
        <v>5667</v>
      </c>
      <c r="B1161" s="5" t="s">
        <v>5664</v>
      </c>
      <c r="C1161" s="5" t="s">
        <v>17</v>
      </c>
      <c r="D1161" s="21">
        <v>2</v>
      </c>
      <c r="E1161" s="12">
        <v>178</v>
      </c>
      <c r="F1161" s="10" t="str">
        <f>_xlfn.XLOOKUP(C1161,menu!A:A,menu!B:B)</f>
        <v>Paneer Momos</v>
      </c>
      <c r="G1161" s="10" t="str">
        <f>_xlfn.XLOOKUP(C1161,menu!A:A,menu!C:C)</f>
        <v>Momos</v>
      </c>
      <c r="H1161" s="10">
        <f>_xlfn.XLOOKUP(C1161,menu!A:A,menu!E:E)</f>
        <v>27</v>
      </c>
      <c r="I1161" s="10">
        <f t="shared" si="18"/>
        <v>54</v>
      </c>
      <c r="K1161" s="10"/>
      <c r="L1161" s="5"/>
    </row>
    <row r="1162" spans="1:12" x14ac:dyDescent="0.25">
      <c r="A1162" s="5" t="s">
        <v>5666</v>
      </c>
      <c r="B1162" s="5" t="s">
        <v>5664</v>
      </c>
      <c r="C1162" s="5" t="s">
        <v>46</v>
      </c>
      <c r="D1162" s="21">
        <v>4</v>
      </c>
      <c r="E1162" s="12">
        <v>596</v>
      </c>
      <c r="F1162" s="10" t="str">
        <f>_xlfn.XLOOKUP(C1162,menu!A:A,menu!B:B)</f>
        <v>Fish Finger</v>
      </c>
      <c r="G1162" s="10" t="str">
        <f>_xlfn.XLOOKUP(C1162,menu!A:A,menu!C:C)</f>
        <v>Starters</v>
      </c>
      <c r="H1162" s="10">
        <f>_xlfn.XLOOKUP(C1162,menu!A:A,menu!E:E)</f>
        <v>45</v>
      </c>
      <c r="I1162" s="10">
        <f t="shared" si="18"/>
        <v>180</v>
      </c>
      <c r="K1162" s="10"/>
      <c r="L1162" s="5"/>
    </row>
    <row r="1163" spans="1:12" x14ac:dyDescent="0.25">
      <c r="A1163" s="5" t="s">
        <v>5665</v>
      </c>
      <c r="B1163" s="5" t="s">
        <v>5664</v>
      </c>
      <c r="C1163" s="5" t="s">
        <v>59</v>
      </c>
      <c r="D1163" s="21">
        <v>1</v>
      </c>
      <c r="E1163" s="12">
        <v>79</v>
      </c>
      <c r="F1163" s="10" t="str">
        <f>_xlfn.XLOOKUP(C1163,menu!A:A,menu!B:B)</f>
        <v>Blue Curacao Mojito</v>
      </c>
      <c r="G1163" s="10" t="str">
        <f>_xlfn.XLOOKUP(C1163,menu!A:A,menu!C:C)</f>
        <v>Beverages</v>
      </c>
      <c r="H1163" s="10">
        <f>_xlfn.XLOOKUP(C1163,menu!A:A,menu!E:E)</f>
        <v>24</v>
      </c>
      <c r="I1163" s="10">
        <f t="shared" si="18"/>
        <v>24</v>
      </c>
      <c r="K1163" s="10"/>
      <c r="L1163" s="5"/>
    </row>
    <row r="1164" spans="1:12" x14ac:dyDescent="0.25">
      <c r="A1164" s="5" t="s">
        <v>5663</v>
      </c>
      <c r="B1164" s="5" t="s">
        <v>5661</v>
      </c>
      <c r="C1164" s="5" t="s">
        <v>56</v>
      </c>
      <c r="D1164" s="21">
        <v>3</v>
      </c>
      <c r="E1164" s="12">
        <v>237</v>
      </c>
      <c r="F1164" s="10" t="str">
        <f>_xlfn.XLOOKUP(C1164,menu!A:A,menu!B:B)</f>
        <v>Mint Mojito</v>
      </c>
      <c r="G1164" s="10" t="str">
        <f>_xlfn.XLOOKUP(C1164,menu!A:A,menu!C:C)</f>
        <v>Beverages</v>
      </c>
      <c r="H1164" s="10">
        <f>_xlfn.XLOOKUP(C1164,menu!A:A,menu!E:E)</f>
        <v>24</v>
      </c>
      <c r="I1164" s="10">
        <f t="shared" si="18"/>
        <v>72</v>
      </c>
      <c r="K1164" s="10"/>
      <c r="L1164" s="5"/>
    </row>
    <row r="1165" spans="1:12" x14ac:dyDescent="0.25">
      <c r="A1165" s="5" t="s">
        <v>5662</v>
      </c>
      <c r="B1165" s="5" t="s">
        <v>5661</v>
      </c>
      <c r="C1165" s="5" t="s">
        <v>48</v>
      </c>
      <c r="D1165" s="21">
        <v>3</v>
      </c>
      <c r="E1165" s="12">
        <v>477</v>
      </c>
      <c r="F1165" s="10" t="str">
        <f>_xlfn.XLOOKUP(C1165,menu!A:A,menu!B:B)</f>
        <v>Chicken Lollipop</v>
      </c>
      <c r="G1165" s="10" t="str">
        <f>_xlfn.XLOOKUP(C1165,menu!A:A,menu!C:C)</f>
        <v>Starters</v>
      </c>
      <c r="H1165" s="10">
        <f>_xlfn.XLOOKUP(C1165,menu!A:A,menu!E:E)</f>
        <v>48</v>
      </c>
      <c r="I1165" s="10">
        <f t="shared" si="18"/>
        <v>144</v>
      </c>
      <c r="K1165" s="10"/>
      <c r="L1165" s="5"/>
    </row>
    <row r="1166" spans="1:12" x14ac:dyDescent="0.25">
      <c r="A1166" s="5" t="s">
        <v>5660</v>
      </c>
      <c r="B1166" s="5" t="s">
        <v>5658</v>
      </c>
      <c r="C1166" s="5" t="s">
        <v>38</v>
      </c>
      <c r="D1166" s="21">
        <v>1</v>
      </c>
      <c r="E1166" s="12">
        <v>149</v>
      </c>
      <c r="F1166" s="10" t="str">
        <f>_xlfn.XLOOKUP(C1166,menu!A:A,menu!B:B)</f>
        <v>Chicken Wings</v>
      </c>
      <c r="G1166" s="10" t="str">
        <f>_xlfn.XLOOKUP(C1166,menu!A:A,menu!C:C)</f>
        <v>Starters</v>
      </c>
      <c r="H1166" s="10">
        <f>_xlfn.XLOOKUP(C1166,menu!A:A,menu!E:E)</f>
        <v>45</v>
      </c>
      <c r="I1166" s="10">
        <f t="shared" si="18"/>
        <v>45</v>
      </c>
      <c r="K1166" s="10"/>
      <c r="L1166" s="5"/>
    </row>
    <row r="1167" spans="1:12" x14ac:dyDescent="0.25">
      <c r="A1167" s="5" t="s">
        <v>5659</v>
      </c>
      <c r="B1167" s="5" t="s">
        <v>5658</v>
      </c>
      <c r="C1167" s="5" t="s">
        <v>61</v>
      </c>
      <c r="D1167" s="21">
        <v>2</v>
      </c>
      <c r="E1167" s="12">
        <v>158</v>
      </c>
      <c r="F1167" s="10" t="str">
        <f>_xlfn.XLOOKUP(C1167,menu!A:A,menu!B:B)</f>
        <v>Watermelon Mojito</v>
      </c>
      <c r="G1167" s="10" t="str">
        <f>_xlfn.XLOOKUP(C1167,menu!A:A,menu!C:C)</f>
        <v>Beverages</v>
      </c>
      <c r="H1167" s="10">
        <f>_xlfn.XLOOKUP(C1167,menu!A:A,menu!E:E)</f>
        <v>24</v>
      </c>
      <c r="I1167" s="10">
        <f t="shared" si="18"/>
        <v>48</v>
      </c>
      <c r="K1167" s="10"/>
      <c r="L1167" s="5"/>
    </row>
    <row r="1168" spans="1:12" x14ac:dyDescent="0.25">
      <c r="A1168" s="5" t="s">
        <v>5657</v>
      </c>
      <c r="B1168" s="5" t="s">
        <v>5655</v>
      </c>
      <c r="C1168" s="5" t="s">
        <v>40</v>
      </c>
      <c r="D1168" s="21">
        <v>1</v>
      </c>
      <c r="E1168" s="12">
        <v>99</v>
      </c>
      <c r="F1168" s="10" t="str">
        <f>_xlfn.XLOOKUP(C1168,menu!A:A,menu!B:B)</f>
        <v>Veg Nuggets</v>
      </c>
      <c r="G1168" s="10" t="str">
        <f>_xlfn.XLOOKUP(C1168,menu!A:A,menu!C:C)</f>
        <v>Starters</v>
      </c>
      <c r="H1168" s="10">
        <f>_xlfn.XLOOKUP(C1168,menu!A:A,menu!E:E)</f>
        <v>30</v>
      </c>
      <c r="I1168" s="10">
        <f t="shared" si="18"/>
        <v>30</v>
      </c>
      <c r="K1168" s="10"/>
      <c r="L1168" s="5"/>
    </row>
    <row r="1169" spans="1:12" x14ac:dyDescent="0.25">
      <c r="A1169" s="5" t="s">
        <v>5656</v>
      </c>
      <c r="B1169" s="5" t="s">
        <v>5655</v>
      </c>
      <c r="C1169" s="5" t="s">
        <v>38</v>
      </c>
      <c r="D1169" s="21">
        <v>1</v>
      </c>
      <c r="E1169" s="12">
        <v>149</v>
      </c>
      <c r="F1169" s="10" t="str">
        <f>_xlfn.XLOOKUP(C1169,menu!A:A,menu!B:B)</f>
        <v>Chicken Wings</v>
      </c>
      <c r="G1169" s="10" t="str">
        <f>_xlfn.XLOOKUP(C1169,menu!A:A,menu!C:C)</f>
        <v>Starters</v>
      </c>
      <c r="H1169" s="10">
        <f>_xlfn.XLOOKUP(C1169,menu!A:A,menu!E:E)</f>
        <v>45</v>
      </c>
      <c r="I1169" s="10">
        <f t="shared" si="18"/>
        <v>45</v>
      </c>
      <c r="K1169" s="10"/>
      <c r="L1169" s="5"/>
    </row>
    <row r="1170" spans="1:12" x14ac:dyDescent="0.25">
      <c r="A1170" s="5" t="s">
        <v>5654</v>
      </c>
      <c r="B1170" s="5" t="s">
        <v>5652</v>
      </c>
      <c r="C1170" s="5" t="s">
        <v>56</v>
      </c>
      <c r="D1170" s="21">
        <v>3</v>
      </c>
      <c r="E1170" s="12">
        <v>237</v>
      </c>
      <c r="F1170" s="10" t="str">
        <f>_xlfn.XLOOKUP(C1170,menu!A:A,menu!B:B)</f>
        <v>Mint Mojito</v>
      </c>
      <c r="G1170" s="10" t="str">
        <f>_xlfn.XLOOKUP(C1170,menu!A:A,menu!C:C)</f>
        <v>Beverages</v>
      </c>
      <c r="H1170" s="10">
        <f>_xlfn.XLOOKUP(C1170,menu!A:A,menu!E:E)</f>
        <v>24</v>
      </c>
      <c r="I1170" s="10">
        <f t="shared" si="18"/>
        <v>72</v>
      </c>
      <c r="K1170" s="10"/>
      <c r="L1170" s="5"/>
    </row>
    <row r="1171" spans="1:12" x14ac:dyDescent="0.25">
      <c r="A1171" s="5" t="s">
        <v>5653</v>
      </c>
      <c r="B1171" s="5" t="s">
        <v>5652</v>
      </c>
      <c r="C1171" s="5" t="s">
        <v>46</v>
      </c>
      <c r="D1171" s="21">
        <v>2</v>
      </c>
      <c r="E1171" s="12">
        <v>298</v>
      </c>
      <c r="F1171" s="10" t="str">
        <f>_xlfn.XLOOKUP(C1171,menu!A:A,menu!B:B)</f>
        <v>Fish Finger</v>
      </c>
      <c r="G1171" s="10" t="str">
        <f>_xlfn.XLOOKUP(C1171,menu!A:A,menu!C:C)</f>
        <v>Starters</v>
      </c>
      <c r="H1171" s="10">
        <f>_xlfn.XLOOKUP(C1171,menu!A:A,menu!E:E)</f>
        <v>45</v>
      </c>
      <c r="I1171" s="10">
        <f t="shared" si="18"/>
        <v>90</v>
      </c>
      <c r="K1171" s="10"/>
      <c r="L1171" s="5"/>
    </row>
    <row r="1172" spans="1:12" x14ac:dyDescent="0.25">
      <c r="A1172" s="5" t="s">
        <v>5651</v>
      </c>
      <c r="B1172" s="5" t="s">
        <v>5649</v>
      </c>
      <c r="C1172" s="5" t="s">
        <v>40</v>
      </c>
      <c r="D1172" s="21">
        <v>2</v>
      </c>
      <c r="E1172" s="12">
        <v>198</v>
      </c>
      <c r="F1172" s="10" t="str">
        <f>_xlfn.XLOOKUP(C1172,menu!A:A,menu!B:B)</f>
        <v>Veg Nuggets</v>
      </c>
      <c r="G1172" s="10" t="str">
        <f>_xlfn.XLOOKUP(C1172,menu!A:A,menu!C:C)</f>
        <v>Starters</v>
      </c>
      <c r="H1172" s="10">
        <f>_xlfn.XLOOKUP(C1172,menu!A:A,menu!E:E)</f>
        <v>30</v>
      </c>
      <c r="I1172" s="10">
        <f t="shared" si="18"/>
        <v>60</v>
      </c>
      <c r="K1172" s="10"/>
      <c r="L1172" s="5"/>
    </row>
    <row r="1173" spans="1:12" x14ac:dyDescent="0.25">
      <c r="A1173" s="5" t="s">
        <v>5650</v>
      </c>
      <c r="B1173" s="5" t="s">
        <v>5649</v>
      </c>
      <c r="C1173" s="5" t="s">
        <v>24</v>
      </c>
      <c r="D1173" s="21">
        <v>4</v>
      </c>
      <c r="E1173" s="12">
        <v>356</v>
      </c>
      <c r="F1173" s="10" t="str">
        <f>_xlfn.XLOOKUP(C1173,menu!A:A,menu!B:B)</f>
        <v>Paneer Burger</v>
      </c>
      <c r="G1173" s="10" t="str">
        <f>_xlfn.XLOOKUP(C1173,menu!A:A,menu!C:C)</f>
        <v>Burger</v>
      </c>
      <c r="H1173" s="10">
        <f>_xlfn.XLOOKUP(C1173,menu!A:A,menu!E:E)</f>
        <v>27</v>
      </c>
      <c r="I1173" s="10">
        <f t="shared" si="18"/>
        <v>108</v>
      </c>
      <c r="K1173" s="10"/>
      <c r="L1173" s="5"/>
    </row>
    <row r="1174" spans="1:12" x14ac:dyDescent="0.25">
      <c r="A1174" s="5" t="s">
        <v>5648</v>
      </c>
      <c r="B1174" s="5" t="s">
        <v>5647</v>
      </c>
      <c r="C1174" s="5" t="s">
        <v>44</v>
      </c>
      <c r="D1174" s="21">
        <v>2</v>
      </c>
      <c r="E1174" s="12">
        <v>318</v>
      </c>
      <c r="F1174" s="10" t="str">
        <f>_xlfn.XLOOKUP(C1174,menu!A:A,menu!B:B)</f>
        <v>Fried Chicken</v>
      </c>
      <c r="G1174" s="10" t="str">
        <f>_xlfn.XLOOKUP(C1174,menu!A:A,menu!C:C)</f>
        <v>Starters</v>
      </c>
      <c r="H1174" s="10">
        <f>_xlfn.XLOOKUP(C1174,menu!A:A,menu!E:E)</f>
        <v>48</v>
      </c>
      <c r="I1174" s="10">
        <f t="shared" si="18"/>
        <v>96</v>
      </c>
      <c r="K1174" s="10"/>
      <c r="L1174" s="5"/>
    </row>
    <row r="1175" spans="1:12" x14ac:dyDescent="0.25">
      <c r="A1175" s="5" t="s">
        <v>5646</v>
      </c>
      <c r="B1175" s="5" t="s">
        <v>5642</v>
      </c>
      <c r="C1175" s="5" t="s">
        <v>5</v>
      </c>
      <c r="D1175" s="21">
        <v>1</v>
      </c>
      <c r="E1175" s="12">
        <v>79</v>
      </c>
      <c r="F1175" s="10" t="str">
        <f>_xlfn.XLOOKUP(C1175,menu!A:A,menu!B:B)</f>
        <v>Veg Sandwich</v>
      </c>
      <c r="G1175" s="10" t="str">
        <f>_xlfn.XLOOKUP(C1175,menu!A:A,menu!C:C)</f>
        <v>Sandwich</v>
      </c>
      <c r="H1175" s="10">
        <f>_xlfn.XLOOKUP(C1175,menu!A:A,menu!E:E)</f>
        <v>24</v>
      </c>
      <c r="I1175" s="10">
        <f t="shared" si="18"/>
        <v>24</v>
      </c>
      <c r="K1175" s="10"/>
      <c r="L1175" s="5"/>
    </row>
    <row r="1176" spans="1:12" x14ac:dyDescent="0.25">
      <c r="A1176" s="5" t="s">
        <v>5645</v>
      </c>
      <c r="B1176" s="5" t="s">
        <v>5642</v>
      </c>
      <c r="C1176" s="5" t="s">
        <v>44</v>
      </c>
      <c r="D1176" s="21">
        <v>1</v>
      </c>
      <c r="E1176" s="12">
        <v>159</v>
      </c>
      <c r="F1176" s="10" t="str">
        <f>_xlfn.XLOOKUP(C1176,menu!A:A,menu!B:B)</f>
        <v>Fried Chicken</v>
      </c>
      <c r="G1176" s="10" t="str">
        <f>_xlfn.XLOOKUP(C1176,menu!A:A,menu!C:C)</f>
        <v>Starters</v>
      </c>
      <c r="H1176" s="10">
        <f>_xlfn.XLOOKUP(C1176,menu!A:A,menu!E:E)</f>
        <v>48</v>
      </c>
      <c r="I1176" s="10">
        <f t="shared" si="18"/>
        <v>48</v>
      </c>
      <c r="K1176" s="10"/>
      <c r="L1176" s="5"/>
    </row>
    <row r="1177" spans="1:12" x14ac:dyDescent="0.25">
      <c r="A1177" s="5" t="s">
        <v>5644</v>
      </c>
      <c r="B1177" s="5" t="s">
        <v>5642</v>
      </c>
      <c r="C1177" s="5" t="s">
        <v>48</v>
      </c>
      <c r="D1177" s="21">
        <v>1</v>
      </c>
      <c r="E1177" s="12">
        <v>159</v>
      </c>
      <c r="F1177" s="10" t="str">
        <f>_xlfn.XLOOKUP(C1177,menu!A:A,menu!B:B)</f>
        <v>Chicken Lollipop</v>
      </c>
      <c r="G1177" s="10" t="str">
        <f>_xlfn.XLOOKUP(C1177,menu!A:A,menu!C:C)</f>
        <v>Starters</v>
      </c>
      <c r="H1177" s="10">
        <f>_xlfn.XLOOKUP(C1177,menu!A:A,menu!E:E)</f>
        <v>48</v>
      </c>
      <c r="I1177" s="10">
        <f t="shared" si="18"/>
        <v>48</v>
      </c>
      <c r="K1177" s="10"/>
      <c r="L1177" s="5"/>
    </row>
    <row r="1178" spans="1:12" x14ac:dyDescent="0.25">
      <c r="A1178" s="5" t="s">
        <v>5643</v>
      </c>
      <c r="B1178" s="5" t="s">
        <v>5642</v>
      </c>
      <c r="C1178" s="5" t="s">
        <v>29</v>
      </c>
      <c r="D1178" s="21">
        <v>2</v>
      </c>
      <c r="E1178" s="12">
        <v>158</v>
      </c>
      <c r="F1178" s="10" t="str">
        <f>_xlfn.XLOOKUP(C1178,menu!A:A,menu!B:B)</f>
        <v>Paneer Roll</v>
      </c>
      <c r="G1178" s="10" t="str">
        <f>_xlfn.XLOOKUP(C1178,menu!A:A,menu!C:C)</f>
        <v>Rolls</v>
      </c>
      <c r="H1178" s="10">
        <f>_xlfn.XLOOKUP(C1178,menu!A:A,menu!E:E)</f>
        <v>24</v>
      </c>
      <c r="I1178" s="10">
        <f t="shared" si="18"/>
        <v>48</v>
      </c>
      <c r="K1178" s="10"/>
      <c r="L1178" s="5"/>
    </row>
    <row r="1179" spans="1:12" x14ac:dyDescent="0.25">
      <c r="A1179" s="5" t="s">
        <v>5641</v>
      </c>
      <c r="B1179" s="5" t="s">
        <v>5638</v>
      </c>
      <c r="C1179" s="5" t="s">
        <v>19</v>
      </c>
      <c r="D1179" s="21">
        <v>2</v>
      </c>
      <c r="E1179" s="12">
        <v>158</v>
      </c>
      <c r="F1179" s="10" t="str">
        <f>_xlfn.XLOOKUP(C1179,menu!A:A,menu!B:B)</f>
        <v>Veg Burger</v>
      </c>
      <c r="G1179" s="10" t="str">
        <f>_xlfn.XLOOKUP(C1179,menu!A:A,menu!C:C)</f>
        <v>Burger</v>
      </c>
      <c r="H1179" s="10">
        <f>_xlfn.XLOOKUP(C1179,menu!A:A,menu!E:E)</f>
        <v>24</v>
      </c>
      <c r="I1179" s="10">
        <f t="shared" si="18"/>
        <v>48</v>
      </c>
      <c r="K1179" s="10"/>
      <c r="L1179" s="5"/>
    </row>
    <row r="1180" spans="1:12" x14ac:dyDescent="0.25">
      <c r="A1180" s="5" t="s">
        <v>5640</v>
      </c>
      <c r="B1180" s="5" t="s">
        <v>5638</v>
      </c>
      <c r="C1180" s="5" t="s">
        <v>52</v>
      </c>
      <c r="D1180" s="21">
        <v>3</v>
      </c>
      <c r="E1180" s="12">
        <v>297</v>
      </c>
      <c r="F1180" s="10" t="str">
        <f>_xlfn.XLOOKUP(C1180,menu!A:A,menu!B:B)</f>
        <v>French Fries</v>
      </c>
      <c r="G1180" s="10" t="str">
        <f>_xlfn.XLOOKUP(C1180,menu!A:A,menu!C:C)</f>
        <v>Starters</v>
      </c>
      <c r="H1180" s="10">
        <f>_xlfn.XLOOKUP(C1180,menu!A:A,menu!E:E)</f>
        <v>30</v>
      </c>
      <c r="I1180" s="10">
        <f t="shared" si="18"/>
        <v>90</v>
      </c>
      <c r="K1180" s="10"/>
      <c r="L1180" s="5"/>
    </row>
    <row r="1181" spans="1:12" x14ac:dyDescent="0.25">
      <c r="A1181" s="5" t="s">
        <v>5639</v>
      </c>
      <c r="B1181" s="5" t="s">
        <v>5638</v>
      </c>
      <c r="C1181" s="5" t="s">
        <v>22</v>
      </c>
      <c r="D1181" s="21">
        <v>3</v>
      </c>
      <c r="E1181" s="12">
        <v>297</v>
      </c>
      <c r="F1181" s="10" t="str">
        <f>_xlfn.XLOOKUP(C1181,menu!A:A,menu!B:B)</f>
        <v>Chicken Burger</v>
      </c>
      <c r="G1181" s="10" t="str">
        <f>_xlfn.XLOOKUP(C1181,menu!A:A,menu!C:C)</f>
        <v>Burger</v>
      </c>
      <c r="H1181" s="10">
        <f>_xlfn.XLOOKUP(C1181,menu!A:A,menu!E:E)</f>
        <v>30</v>
      </c>
      <c r="I1181" s="10">
        <f t="shared" si="18"/>
        <v>90</v>
      </c>
      <c r="K1181" s="10"/>
      <c r="L1181" s="5"/>
    </row>
    <row r="1182" spans="1:12" x14ac:dyDescent="0.25">
      <c r="A1182" s="5" t="s">
        <v>5637</v>
      </c>
      <c r="B1182" s="5" t="s">
        <v>5635</v>
      </c>
      <c r="C1182" s="5" t="s">
        <v>17</v>
      </c>
      <c r="D1182" s="21">
        <v>2</v>
      </c>
      <c r="E1182" s="12">
        <v>178</v>
      </c>
      <c r="F1182" s="10" t="str">
        <f>_xlfn.XLOOKUP(C1182,menu!A:A,menu!B:B)</f>
        <v>Paneer Momos</v>
      </c>
      <c r="G1182" s="10" t="str">
        <f>_xlfn.XLOOKUP(C1182,menu!A:A,menu!C:C)</f>
        <v>Momos</v>
      </c>
      <c r="H1182" s="10">
        <f>_xlfn.XLOOKUP(C1182,menu!A:A,menu!E:E)</f>
        <v>27</v>
      </c>
      <c r="I1182" s="10">
        <f t="shared" si="18"/>
        <v>54</v>
      </c>
      <c r="K1182" s="10"/>
      <c r="L1182" s="5"/>
    </row>
    <row r="1183" spans="1:12" x14ac:dyDescent="0.25">
      <c r="A1183" s="5" t="s">
        <v>5636</v>
      </c>
      <c r="B1183" s="5" t="s">
        <v>5635</v>
      </c>
      <c r="C1183" s="5" t="s">
        <v>52</v>
      </c>
      <c r="D1183" s="21">
        <v>4</v>
      </c>
      <c r="E1183" s="12">
        <v>396</v>
      </c>
      <c r="F1183" s="10" t="str">
        <f>_xlfn.XLOOKUP(C1183,menu!A:A,menu!B:B)</f>
        <v>French Fries</v>
      </c>
      <c r="G1183" s="10" t="str">
        <f>_xlfn.XLOOKUP(C1183,menu!A:A,menu!C:C)</f>
        <v>Starters</v>
      </c>
      <c r="H1183" s="10">
        <f>_xlfn.XLOOKUP(C1183,menu!A:A,menu!E:E)</f>
        <v>30</v>
      </c>
      <c r="I1183" s="10">
        <f t="shared" si="18"/>
        <v>120</v>
      </c>
      <c r="K1183" s="10"/>
      <c r="L1183" s="5"/>
    </row>
    <row r="1184" spans="1:12" x14ac:dyDescent="0.25">
      <c r="A1184" s="5" t="s">
        <v>5634</v>
      </c>
      <c r="B1184" s="5" t="s">
        <v>5632</v>
      </c>
      <c r="C1184" s="5" t="s">
        <v>35</v>
      </c>
      <c r="D1184" s="21">
        <v>2</v>
      </c>
      <c r="E1184" s="12">
        <v>238</v>
      </c>
      <c r="F1184" s="10" t="str">
        <f>_xlfn.XLOOKUP(C1184,menu!A:A,menu!B:B)</f>
        <v>Chicken Nuggets</v>
      </c>
      <c r="G1184" s="10" t="str">
        <f>_xlfn.XLOOKUP(C1184,menu!A:A,menu!C:C)</f>
        <v>Starters</v>
      </c>
      <c r="H1184" s="10">
        <f>_xlfn.XLOOKUP(C1184,menu!A:A,menu!E:E)</f>
        <v>36</v>
      </c>
      <c r="I1184" s="10">
        <f t="shared" si="18"/>
        <v>72</v>
      </c>
      <c r="K1184" s="10"/>
      <c r="L1184" s="5"/>
    </row>
    <row r="1185" spans="1:12" x14ac:dyDescent="0.25">
      <c r="A1185" s="5" t="s">
        <v>5633</v>
      </c>
      <c r="B1185" s="5" t="s">
        <v>5632</v>
      </c>
      <c r="C1185" s="5" t="s">
        <v>33</v>
      </c>
      <c r="D1185" s="21">
        <v>1</v>
      </c>
      <c r="E1185" s="12">
        <v>69</v>
      </c>
      <c r="F1185" s="10" t="str">
        <f>_xlfn.XLOOKUP(C1185,menu!A:A,menu!B:B)</f>
        <v>Spring Roll</v>
      </c>
      <c r="G1185" s="10" t="str">
        <f>_xlfn.XLOOKUP(C1185,menu!A:A,menu!C:C)</f>
        <v>Rolls</v>
      </c>
      <c r="H1185" s="10">
        <f>_xlfn.XLOOKUP(C1185,menu!A:A,menu!E:E)</f>
        <v>21</v>
      </c>
      <c r="I1185" s="10">
        <f t="shared" si="18"/>
        <v>21</v>
      </c>
      <c r="K1185" s="10"/>
      <c r="L1185" s="5"/>
    </row>
    <row r="1186" spans="1:12" x14ac:dyDescent="0.25">
      <c r="A1186" s="5" t="s">
        <v>5631</v>
      </c>
      <c r="B1186" s="5" t="s">
        <v>5627</v>
      </c>
      <c r="C1186" s="5" t="s">
        <v>22</v>
      </c>
      <c r="D1186" s="21">
        <v>1</v>
      </c>
      <c r="E1186" s="12">
        <v>99</v>
      </c>
      <c r="F1186" s="10" t="str">
        <f>_xlfn.XLOOKUP(C1186,menu!A:A,menu!B:B)</f>
        <v>Chicken Burger</v>
      </c>
      <c r="G1186" s="10" t="str">
        <f>_xlfn.XLOOKUP(C1186,menu!A:A,menu!C:C)</f>
        <v>Burger</v>
      </c>
      <c r="H1186" s="10">
        <f>_xlfn.XLOOKUP(C1186,menu!A:A,menu!E:E)</f>
        <v>30</v>
      </c>
      <c r="I1186" s="10">
        <f t="shared" si="18"/>
        <v>30</v>
      </c>
      <c r="K1186" s="10"/>
      <c r="L1186" s="5"/>
    </row>
    <row r="1187" spans="1:12" x14ac:dyDescent="0.25">
      <c r="A1187" s="5" t="s">
        <v>5630</v>
      </c>
      <c r="B1187" s="5" t="s">
        <v>5627</v>
      </c>
      <c r="C1187" s="5" t="s">
        <v>50</v>
      </c>
      <c r="D1187" s="21">
        <v>1</v>
      </c>
      <c r="E1187" s="12">
        <v>149</v>
      </c>
      <c r="F1187" s="10" t="str">
        <f>_xlfn.XLOOKUP(C1187,menu!A:A,menu!B:B)</f>
        <v>Grab Lollipop</v>
      </c>
      <c r="G1187" s="10" t="str">
        <f>_xlfn.XLOOKUP(C1187,menu!A:A,menu!C:C)</f>
        <v>Starters</v>
      </c>
      <c r="H1187" s="10">
        <f>_xlfn.XLOOKUP(C1187,menu!A:A,menu!E:E)</f>
        <v>45</v>
      </c>
      <c r="I1187" s="10">
        <f t="shared" si="18"/>
        <v>45</v>
      </c>
      <c r="K1187" s="10"/>
      <c r="L1187" s="5"/>
    </row>
    <row r="1188" spans="1:12" x14ac:dyDescent="0.25">
      <c r="A1188" s="5" t="s">
        <v>5629</v>
      </c>
      <c r="B1188" s="5" t="s">
        <v>5627</v>
      </c>
      <c r="C1188" s="5" t="s">
        <v>44</v>
      </c>
      <c r="D1188" s="21">
        <v>2</v>
      </c>
      <c r="E1188" s="12">
        <v>318</v>
      </c>
      <c r="F1188" s="10" t="str">
        <f>_xlfn.XLOOKUP(C1188,menu!A:A,menu!B:B)</f>
        <v>Fried Chicken</v>
      </c>
      <c r="G1188" s="10" t="str">
        <f>_xlfn.XLOOKUP(C1188,menu!A:A,menu!C:C)</f>
        <v>Starters</v>
      </c>
      <c r="H1188" s="10">
        <f>_xlfn.XLOOKUP(C1188,menu!A:A,menu!E:E)</f>
        <v>48</v>
      </c>
      <c r="I1188" s="10">
        <f t="shared" si="18"/>
        <v>96</v>
      </c>
      <c r="K1188" s="10"/>
      <c r="L1188" s="5"/>
    </row>
    <row r="1189" spans="1:12" x14ac:dyDescent="0.25">
      <c r="A1189" s="5" t="s">
        <v>5628</v>
      </c>
      <c r="B1189" s="5" t="s">
        <v>5627</v>
      </c>
      <c r="C1189" s="5" t="s">
        <v>8</v>
      </c>
      <c r="D1189" s="21">
        <v>1</v>
      </c>
      <c r="E1189" s="12">
        <v>99</v>
      </c>
      <c r="F1189" s="10" t="str">
        <f>_xlfn.XLOOKUP(C1189,menu!A:A,menu!B:B)</f>
        <v>Paneer Sandwich</v>
      </c>
      <c r="G1189" s="10" t="str">
        <f>_xlfn.XLOOKUP(C1189,menu!A:A,menu!C:C)</f>
        <v>Sandwich</v>
      </c>
      <c r="H1189" s="10">
        <f>_xlfn.XLOOKUP(C1189,menu!A:A,menu!E:E)</f>
        <v>30</v>
      </c>
      <c r="I1189" s="10">
        <f t="shared" si="18"/>
        <v>30</v>
      </c>
      <c r="K1189" s="10"/>
      <c r="L1189" s="5"/>
    </row>
    <row r="1190" spans="1:12" x14ac:dyDescent="0.25">
      <c r="A1190" s="5" t="s">
        <v>5626</v>
      </c>
      <c r="B1190" s="5" t="s">
        <v>5624</v>
      </c>
      <c r="C1190" s="5" t="s">
        <v>56</v>
      </c>
      <c r="D1190" s="21">
        <v>3</v>
      </c>
      <c r="E1190" s="12">
        <v>237</v>
      </c>
      <c r="F1190" s="10" t="str">
        <f>_xlfn.XLOOKUP(C1190,menu!A:A,menu!B:B)</f>
        <v>Mint Mojito</v>
      </c>
      <c r="G1190" s="10" t="str">
        <f>_xlfn.XLOOKUP(C1190,menu!A:A,menu!C:C)</f>
        <v>Beverages</v>
      </c>
      <c r="H1190" s="10">
        <f>_xlfn.XLOOKUP(C1190,menu!A:A,menu!E:E)</f>
        <v>24</v>
      </c>
      <c r="I1190" s="10">
        <f t="shared" si="18"/>
        <v>72</v>
      </c>
      <c r="K1190" s="10"/>
      <c r="L1190" s="5"/>
    </row>
    <row r="1191" spans="1:12" x14ac:dyDescent="0.25">
      <c r="A1191" s="5" t="s">
        <v>5625</v>
      </c>
      <c r="B1191" s="5" t="s">
        <v>5624</v>
      </c>
      <c r="C1191" s="5" t="s">
        <v>50</v>
      </c>
      <c r="D1191" s="21">
        <v>1</v>
      </c>
      <c r="E1191" s="12">
        <v>149</v>
      </c>
      <c r="F1191" s="10" t="str">
        <f>_xlfn.XLOOKUP(C1191,menu!A:A,menu!B:B)</f>
        <v>Grab Lollipop</v>
      </c>
      <c r="G1191" s="10" t="str">
        <f>_xlfn.XLOOKUP(C1191,menu!A:A,menu!C:C)</f>
        <v>Starters</v>
      </c>
      <c r="H1191" s="10">
        <f>_xlfn.XLOOKUP(C1191,menu!A:A,menu!E:E)</f>
        <v>45</v>
      </c>
      <c r="I1191" s="10">
        <f t="shared" si="18"/>
        <v>45</v>
      </c>
      <c r="K1191" s="10"/>
      <c r="L1191" s="5"/>
    </row>
    <row r="1192" spans="1:12" x14ac:dyDescent="0.25">
      <c r="A1192" s="5" t="s">
        <v>5623</v>
      </c>
      <c r="B1192" s="5" t="s">
        <v>5620</v>
      </c>
      <c r="C1192" s="5" t="s">
        <v>12</v>
      </c>
      <c r="D1192" s="21">
        <v>1</v>
      </c>
      <c r="E1192" s="12">
        <v>79</v>
      </c>
      <c r="F1192" s="10" t="str">
        <f>_xlfn.XLOOKUP(C1192,menu!A:A,menu!B:B)</f>
        <v>Veg Momos</v>
      </c>
      <c r="G1192" s="10" t="str">
        <f>_xlfn.XLOOKUP(C1192,menu!A:A,menu!C:C)</f>
        <v>Momos</v>
      </c>
      <c r="H1192" s="10">
        <f>_xlfn.XLOOKUP(C1192,menu!A:A,menu!E:E)</f>
        <v>24</v>
      </c>
      <c r="I1192" s="10">
        <f t="shared" si="18"/>
        <v>24</v>
      </c>
      <c r="K1192" s="10"/>
      <c r="L1192" s="5"/>
    </row>
    <row r="1193" spans="1:12" x14ac:dyDescent="0.25">
      <c r="A1193" s="5" t="s">
        <v>5622</v>
      </c>
      <c r="B1193" s="5" t="s">
        <v>5620</v>
      </c>
      <c r="C1193" s="5" t="s">
        <v>56</v>
      </c>
      <c r="D1193" s="21">
        <v>1</v>
      </c>
      <c r="E1193" s="12">
        <v>79</v>
      </c>
      <c r="F1193" s="10" t="str">
        <f>_xlfn.XLOOKUP(C1193,menu!A:A,menu!B:B)</f>
        <v>Mint Mojito</v>
      </c>
      <c r="G1193" s="10" t="str">
        <f>_xlfn.XLOOKUP(C1193,menu!A:A,menu!C:C)</f>
        <v>Beverages</v>
      </c>
      <c r="H1193" s="10">
        <f>_xlfn.XLOOKUP(C1193,menu!A:A,menu!E:E)</f>
        <v>24</v>
      </c>
      <c r="I1193" s="10">
        <f t="shared" si="18"/>
        <v>24</v>
      </c>
      <c r="K1193" s="10"/>
      <c r="L1193" s="5"/>
    </row>
    <row r="1194" spans="1:12" x14ac:dyDescent="0.25">
      <c r="A1194" s="5" t="s">
        <v>5621</v>
      </c>
      <c r="B1194" s="5" t="s">
        <v>5620</v>
      </c>
      <c r="C1194" s="5" t="s">
        <v>33</v>
      </c>
      <c r="D1194" s="21">
        <v>1</v>
      </c>
      <c r="E1194" s="12">
        <v>69</v>
      </c>
      <c r="F1194" s="10" t="str">
        <f>_xlfn.XLOOKUP(C1194,menu!A:A,menu!B:B)</f>
        <v>Spring Roll</v>
      </c>
      <c r="G1194" s="10" t="str">
        <f>_xlfn.XLOOKUP(C1194,menu!A:A,menu!C:C)</f>
        <v>Rolls</v>
      </c>
      <c r="H1194" s="10">
        <f>_xlfn.XLOOKUP(C1194,menu!A:A,menu!E:E)</f>
        <v>21</v>
      </c>
      <c r="I1194" s="10">
        <f t="shared" si="18"/>
        <v>21</v>
      </c>
      <c r="K1194" s="10"/>
      <c r="L1194" s="5"/>
    </row>
    <row r="1195" spans="1:12" x14ac:dyDescent="0.25">
      <c r="A1195" s="5" t="s">
        <v>5619</v>
      </c>
      <c r="B1195" s="5" t="s">
        <v>5618</v>
      </c>
      <c r="C1195" s="5" t="s">
        <v>12</v>
      </c>
      <c r="D1195" s="21">
        <v>4</v>
      </c>
      <c r="E1195" s="12">
        <v>316</v>
      </c>
      <c r="F1195" s="10" t="str">
        <f>_xlfn.XLOOKUP(C1195,menu!A:A,menu!B:B)</f>
        <v>Veg Momos</v>
      </c>
      <c r="G1195" s="10" t="str">
        <f>_xlfn.XLOOKUP(C1195,menu!A:A,menu!C:C)</f>
        <v>Momos</v>
      </c>
      <c r="H1195" s="10">
        <f>_xlfn.XLOOKUP(C1195,menu!A:A,menu!E:E)</f>
        <v>24</v>
      </c>
      <c r="I1195" s="10">
        <f t="shared" si="18"/>
        <v>96</v>
      </c>
      <c r="K1195" s="10"/>
      <c r="L1195" s="5"/>
    </row>
    <row r="1196" spans="1:12" x14ac:dyDescent="0.25">
      <c r="A1196" s="5" t="s">
        <v>5617</v>
      </c>
      <c r="B1196" s="5" t="s">
        <v>5615</v>
      </c>
      <c r="C1196" s="5" t="s">
        <v>33</v>
      </c>
      <c r="D1196" s="21">
        <v>1</v>
      </c>
      <c r="E1196" s="12">
        <v>69</v>
      </c>
      <c r="F1196" s="10" t="str">
        <f>_xlfn.XLOOKUP(C1196,menu!A:A,menu!B:B)</f>
        <v>Spring Roll</v>
      </c>
      <c r="G1196" s="10" t="str">
        <f>_xlfn.XLOOKUP(C1196,menu!A:A,menu!C:C)</f>
        <v>Rolls</v>
      </c>
      <c r="H1196" s="10">
        <f>_xlfn.XLOOKUP(C1196,menu!A:A,menu!E:E)</f>
        <v>21</v>
      </c>
      <c r="I1196" s="10">
        <f t="shared" si="18"/>
        <v>21</v>
      </c>
      <c r="K1196" s="10"/>
      <c r="L1196" s="5"/>
    </row>
    <row r="1197" spans="1:12" x14ac:dyDescent="0.25">
      <c r="A1197" s="5" t="s">
        <v>5616</v>
      </c>
      <c r="B1197" s="5" t="s">
        <v>5615</v>
      </c>
      <c r="C1197" s="5" t="s">
        <v>26</v>
      </c>
      <c r="D1197" s="21">
        <v>1</v>
      </c>
      <c r="E1197" s="12">
        <v>59</v>
      </c>
      <c r="F1197" s="10" t="str">
        <f>_xlfn.XLOOKUP(C1197,menu!A:A,menu!B:B)</f>
        <v>Veg Roll</v>
      </c>
      <c r="G1197" s="10" t="str">
        <f>_xlfn.XLOOKUP(C1197,menu!A:A,menu!C:C)</f>
        <v>Rolls</v>
      </c>
      <c r="H1197" s="10">
        <f>_xlfn.XLOOKUP(C1197,menu!A:A,menu!E:E)</f>
        <v>18</v>
      </c>
      <c r="I1197" s="10">
        <f t="shared" si="18"/>
        <v>18</v>
      </c>
      <c r="K1197" s="10"/>
      <c r="L1197" s="5"/>
    </row>
    <row r="1198" spans="1:12" x14ac:dyDescent="0.25">
      <c r="A1198" s="5" t="s">
        <v>5614</v>
      </c>
      <c r="B1198" s="5" t="s">
        <v>5610</v>
      </c>
      <c r="C1198" s="5" t="s">
        <v>5</v>
      </c>
      <c r="D1198" s="21">
        <v>1</v>
      </c>
      <c r="E1198" s="12">
        <v>79</v>
      </c>
      <c r="F1198" s="10" t="str">
        <f>_xlfn.XLOOKUP(C1198,menu!A:A,menu!B:B)</f>
        <v>Veg Sandwich</v>
      </c>
      <c r="G1198" s="10" t="str">
        <f>_xlfn.XLOOKUP(C1198,menu!A:A,menu!C:C)</f>
        <v>Sandwich</v>
      </c>
      <c r="H1198" s="10">
        <f>_xlfn.XLOOKUP(C1198,menu!A:A,menu!E:E)</f>
        <v>24</v>
      </c>
      <c r="I1198" s="10">
        <f t="shared" si="18"/>
        <v>24</v>
      </c>
      <c r="K1198" s="10"/>
      <c r="L1198" s="5"/>
    </row>
    <row r="1199" spans="1:12" x14ac:dyDescent="0.25">
      <c r="A1199" s="5" t="s">
        <v>5613</v>
      </c>
      <c r="B1199" s="5" t="s">
        <v>5610</v>
      </c>
      <c r="C1199" s="5" t="s">
        <v>10</v>
      </c>
      <c r="D1199" s="21">
        <v>2</v>
      </c>
      <c r="E1199" s="12">
        <v>238</v>
      </c>
      <c r="F1199" s="10" t="str">
        <f>_xlfn.XLOOKUP(C1199,menu!A:A,menu!B:B)</f>
        <v>Chicken Sandwich</v>
      </c>
      <c r="G1199" s="10" t="str">
        <f>_xlfn.XLOOKUP(C1199,menu!A:A,menu!C:C)</f>
        <v>Sandwich</v>
      </c>
      <c r="H1199" s="10">
        <f>_xlfn.XLOOKUP(C1199,menu!A:A,menu!E:E)</f>
        <v>36</v>
      </c>
      <c r="I1199" s="10">
        <f t="shared" si="18"/>
        <v>72</v>
      </c>
      <c r="K1199" s="10"/>
      <c r="L1199" s="5"/>
    </row>
    <row r="1200" spans="1:12" x14ac:dyDescent="0.25">
      <c r="A1200" s="5" t="s">
        <v>5612</v>
      </c>
      <c r="B1200" s="5" t="s">
        <v>5610</v>
      </c>
      <c r="C1200" s="5" t="s">
        <v>61</v>
      </c>
      <c r="D1200" s="21">
        <v>1</v>
      </c>
      <c r="E1200" s="12">
        <v>79</v>
      </c>
      <c r="F1200" s="10" t="str">
        <f>_xlfn.XLOOKUP(C1200,menu!A:A,menu!B:B)</f>
        <v>Watermelon Mojito</v>
      </c>
      <c r="G1200" s="10" t="str">
        <f>_xlfn.XLOOKUP(C1200,menu!A:A,menu!C:C)</f>
        <v>Beverages</v>
      </c>
      <c r="H1200" s="10">
        <f>_xlfn.XLOOKUP(C1200,menu!A:A,menu!E:E)</f>
        <v>24</v>
      </c>
      <c r="I1200" s="10">
        <f t="shared" si="18"/>
        <v>24</v>
      </c>
      <c r="K1200" s="10"/>
      <c r="L1200" s="5"/>
    </row>
    <row r="1201" spans="1:12" x14ac:dyDescent="0.25">
      <c r="A1201" s="5" t="s">
        <v>5611</v>
      </c>
      <c r="B1201" s="5" t="s">
        <v>5610</v>
      </c>
      <c r="C1201" s="5" t="s">
        <v>48</v>
      </c>
      <c r="D1201" s="21">
        <v>1</v>
      </c>
      <c r="E1201" s="12">
        <v>159</v>
      </c>
      <c r="F1201" s="10" t="str">
        <f>_xlfn.XLOOKUP(C1201,menu!A:A,menu!B:B)</f>
        <v>Chicken Lollipop</v>
      </c>
      <c r="G1201" s="10" t="str">
        <f>_xlfn.XLOOKUP(C1201,menu!A:A,menu!C:C)</f>
        <v>Starters</v>
      </c>
      <c r="H1201" s="10">
        <f>_xlfn.XLOOKUP(C1201,menu!A:A,menu!E:E)</f>
        <v>48</v>
      </c>
      <c r="I1201" s="10">
        <f t="shared" si="18"/>
        <v>48</v>
      </c>
      <c r="K1201" s="10"/>
      <c r="L1201" s="5"/>
    </row>
    <row r="1202" spans="1:12" x14ac:dyDescent="0.25">
      <c r="A1202" s="5" t="s">
        <v>5609</v>
      </c>
      <c r="B1202" s="5" t="s">
        <v>5608</v>
      </c>
      <c r="C1202" s="5" t="s">
        <v>65</v>
      </c>
      <c r="D1202" s="21">
        <v>1</v>
      </c>
      <c r="E1202" s="12">
        <v>49</v>
      </c>
      <c r="F1202" s="10" t="str">
        <f>_xlfn.XLOOKUP(C1202,menu!A:A,menu!B:B)</f>
        <v>Lemon Juice</v>
      </c>
      <c r="G1202" s="10" t="str">
        <f>_xlfn.XLOOKUP(C1202,menu!A:A,menu!C:C)</f>
        <v>Beverages</v>
      </c>
      <c r="H1202" s="10">
        <f>_xlfn.XLOOKUP(C1202,menu!A:A,menu!E:E)</f>
        <v>15</v>
      </c>
      <c r="I1202" s="10">
        <f t="shared" si="18"/>
        <v>15</v>
      </c>
      <c r="K1202" s="10"/>
      <c r="L1202" s="5"/>
    </row>
    <row r="1203" spans="1:12" x14ac:dyDescent="0.25">
      <c r="A1203" s="5" t="s">
        <v>5607</v>
      </c>
      <c r="B1203" s="5" t="s">
        <v>5603</v>
      </c>
      <c r="C1203" s="5" t="s">
        <v>38</v>
      </c>
      <c r="D1203" s="21">
        <v>2</v>
      </c>
      <c r="E1203" s="12">
        <v>298</v>
      </c>
      <c r="F1203" s="10" t="str">
        <f>_xlfn.XLOOKUP(C1203,menu!A:A,menu!B:B)</f>
        <v>Chicken Wings</v>
      </c>
      <c r="G1203" s="10" t="str">
        <f>_xlfn.XLOOKUP(C1203,menu!A:A,menu!C:C)</f>
        <v>Starters</v>
      </c>
      <c r="H1203" s="10">
        <f>_xlfn.XLOOKUP(C1203,menu!A:A,menu!E:E)</f>
        <v>45</v>
      </c>
      <c r="I1203" s="10">
        <f t="shared" si="18"/>
        <v>90</v>
      </c>
      <c r="K1203" s="10"/>
      <c r="L1203" s="5"/>
    </row>
    <row r="1204" spans="1:12" x14ac:dyDescent="0.25">
      <c r="A1204" s="5" t="s">
        <v>5606</v>
      </c>
      <c r="B1204" s="5" t="s">
        <v>5603</v>
      </c>
      <c r="C1204" s="5" t="s">
        <v>46</v>
      </c>
      <c r="D1204" s="21">
        <v>2</v>
      </c>
      <c r="E1204" s="12">
        <v>298</v>
      </c>
      <c r="F1204" s="10" t="str">
        <f>_xlfn.XLOOKUP(C1204,menu!A:A,menu!B:B)</f>
        <v>Fish Finger</v>
      </c>
      <c r="G1204" s="10" t="str">
        <f>_xlfn.XLOOKUP(C1204,menu!A:A,menu!C:C)</f>
        <v>Starters</v>
      </c>
      <c r="H1204" s="10">
        <f>_xlfn.XLOOKUP(C1204,menu!A:A,menu!E:E)</f>
        <v>45</v>
      </c>
      <c r="I1204" s="10">
        <f t="shared" si="18"/>
        <v>90</v>
      </c>
      <c r="K1204" s="10"/>
      <c r="L1204" s="5"/>
    </row>
    <row r="1205" spans="1:12" x14ac:dyDescent="0.25">
      <c r="A1205" s="5" t="s">
        <v>5605</v>
      </c>
      <c r="B1205" s="5" t="s">
        <v>5603</v>
      </c>
      <c r="C1205" s="5" t="s">
        <v>22</v>
      </c>
      <c r="D1205" s="21">
        <v>3</v>
      </c>
      <c r="E1205" s="12">
        <v>297</v>
      </c>
      <c r="F1205" s="10" t="str">
        <f>_xlfn.XLOOKUP(C1205,menu!A:A,menu!B:B)</f>
        <v>Chicken Burger</v>
      </c>
      <c r="G1205" s="10" t="str">
        <f>_xlfn.XLOOKUP(C1205,menu!A:A,menu!C:C)</f>
        <v>Burger</v>
      </c>
      <c r="H1205" s="10">
        <f>_xlfn.XLOOKUP(C1205,menu!A:A,menu!E:E)</f>
        <v>30</v>
      </c>
      <c r="I1205" s="10">
        <f t="shared" si="18"/>
        <v>90</v>
      </c>
      <c r="K1205" s="10"/>
      <c r="L1205" s="5"/>
    </row>
    <row r="1206" spans="1:12" x14ac:dyDescent="0.25">
      <c r="A1206" s="5" t="s">
        <v>5604</v>
      </c>
      <c r="B1206" s="5" t="s">
        <v>5603</v>
      </c>
      <c r="C1206" s="5" t="s">
        <v>33</v>
      </c>
      <c r="D1206" s="21">
        <v>1</v>
      </c>
      <c r="E1206" s="12">
        <v>69</v>
      </c>
      <c r="F1206" s="10" t="str">
        <f>_xlfn.XLOOKUP(C1206,menu!A:A,menu!B:B)</f>
        <v>Spring Roll</v>
      </c>
      <c r="G1206" s="10" t="str">
        <f>_xlfn.XLOOKUP(C1206,menu!A:A,menu!C:C)</f>
        <v>Rolls</v>
      </c>
      <c r="H1206" s="10">
        <f>_xlfn.XLOOKUP(C1206,menu!A:A,menu!E:E)</f>
        <v>21</v>
      </c>
      <c r="I1206" s="10">
        <f t="shared" si="18"/>
        <v>21</v>
      </c>
      <c r="K1206" s="10"/>
      <c r="L1206" s="5"/>
    </row>
    <row r="1207" spans="1:12" x14ac:dyDescent="0.25">
      <c r="A1207" s="5" t="s">
        <v>5602</v>
      </c>
      <c r="B1207" s="5" t="s">
        <v>5600</v>
      </c>
      <c r="C1207" s="5" t="s">
        <v>17</v>
      </c>
      <c r="D1207" s="21">
        <v>1</v>
      </c>
      <c r="E1207" s="12">
        <v>89</v>
      </c>
      <c r="F1207" s="10" t="str">
        <f>_xlfn.XLOOKUP(C1207,menu!A:A,menu!B:B)</f>
        <v>Paneer Momos</v>
      </c>
      <c r="G1207" s="10" t="str">
        <f>_xlfn.XLOOKUP(C1207,menu!A:A,menu!C:C)</f>
        <v>Momos</v>
      </c>
      <c r="H1207" s="10">
        <f>_xlfn.XLOOKUP(C1207,menu!A:A,menu!E:E)</f>
        <v>27</v>
      </c>
      <c r="I1207" s="10">
        <f t="shared" si="18"/>
        <v>27</v>
      </c>
      <c r="K1207" s="10"/>
      <c r="L1207" s="5"/>
    </row>
    <row r="1208" spans="1:12" x14ac:dyDescent="0.25">
      <c r="A1208" s="5" t="s">
        <v>5601</v>
      </c>
      <c r="B1208" s="5" t="s">
        <v>5600</v>
      </c>
      <c r="C1208" s="5" t="s">
        <v>54</v>
      </c>
      <c r="D1208" s="21">
        <v>2</v>
      </c>
      <c r="E1208" s="12">
        <v>278</v>
      </c>
      <c r="F1208" s="10" t="str">
        <f>_xlfn.XLOOKUP(C1208,menu!A:A,menu!B:B)</f>
        <v>Chicken Strips</v>
      </c>
      <c r="G1208" s="10" t="str">
        <f>_xlfn.XLOOKUP(C1208,menu!A:A,menu!C:C)</f>
        <v>Starters</v>
      </c>
      <c r="H1208" s="10">
        <f>_xlfn.XLOOKUP(C1208,menu!A:A,menu!E:E)</f>
        <v>42</v>
      </c>
      <c r="I1208" s="10">
        <f t="shared" si="18"/>
        <v>84</v>
      </c>
      <c r="K1208" s="10"/>
      <c r="L1208" s="5"/>
    </row>
    <row r="1209" spans="1:12" x14ac:dyDescent="0.25">
      <c r="A1209" s="5" t="s">
        <v>5599</v>
      </c>
      <c r="B1209" s="5" t="s">
        <v>5597</v>
      </c>
      <c r="C1209" s="5" t="s">
        <v>19</v>
      </c>
      <c r="D1209" s="21">
        <v>1</v>
      </c>
      <c r="E1209" s="12">
        <v>79</v>
      </c>
      <c r="F1209" s="10" t="str">
        <f>_xlfn.XLOOKUP(C1209,menu!A:A,menu!B:B)</f>
        <v>Veg Burger</v>
      </c>
      <c r="G1209" s="10" t="str">
        <f>_xlfn.XLOOKUP(C1209,menu!A:A,menu!C:C)</f>
        <v>Burger</v>
      </c>
      <c r="H1209" s="10">
        <f>_xlfn.XLOOKUP(C1209,menu!A:A,menu!E:E)</f>
        <v>24</v>
      </c>
      <c r="I1209" s="10">
        <f t="shared" si="18"/>
        <v>24</v>
      </c>
      <c r="K1209" s="10"/>
      <c r="L1209" s="5"/>
    </row>
    <row r="1210" spans="1:12" x14ac:dyDescent="0.25">
      <c r="A1210" s="5" t="s">
        <v>5598</v>
      </c>
      <c r="B1210" s="5" t="s">
        <v>5597</v>
      </c>
      <c r="C1210" s="5" t="s">
        <v>50</v>
      </c>
      <c r="D1210" s="21">
        <v>2</v>
      </c>
      <c r="E1210" s="12">
        <v>298</v>
      </c>
      <c r="F1210" s="10" t="str">
        <f>_xlfn.XLOOKUP(C1210,menu!A:A,menu!B:B)</f>
        <v>Grab Lollipop</v>
      </c>
      <c r="G1210" s="10" t="str">
        <f>_xlfn.XLOOKUP(C1210,menu!A:A,menu!C:C)</f>
        <v>Starters</v>
      </c>
      <c r="H1210" s="10">
        <f>_xlfn.XLOOKUP(C1210,menu!A:A,menu!E:E)</f>
        <v>45</v>
      </c>
      <c r="I1210" s="10">
        <f t="shared" si="18"/>
        <v>90</v>
      </c>
      <c r="K1210" s="10"/>
      <c r="L1210" s="5"/>
    </row>
    <row r="1211" spans="1:12" x14ac:dyDescent="0.25">
      <c r="A1211" s="5" t="s">
        <v>5596</v>
      </c>
      <c r="B1211" s="5" t="s">
        <v>5592</v>
      </c>
      <c r="C1211" s="5" t="s">
        <v>29</v>
      </c>
      <c r="D1211" s="21">
        <v>1</v>
      </c>
      <c r="E1211" s="12">
        <v>79</v>
      </c>
      <c r="F1211" s="10" t="str">
        <f>_xlfn.XLOOKUP(C1211,menu!A:A,menu!B:B)</f>
        <v>Paneer Roll</v>
      </c>
      <c r="G1211" s="10" t="str">
        <f>_xlfn.XLOOKUP(C1211,menu!A:A,menu!C:C)</f>
        <v>Rolls</v>
      </c>
      <c r="H1211" s="10">
        <f>_xlfn.XLOOKUP(C1211,menu!A:A,menu!E:E)</f>
        <v>24</v>
      </c>
      <c r="I1211" s="10">
        <f t="shared" si="18"/>
        <v>24</v>
      </c>
      <c r="K1211" s="10"/>
      <c r="L1211" s="5"/>
    </row>
    <row r="1212" spans="1:12" x14ac:dyDescent="0.25">
      <c r="A1212" s="5" t="s">
        <v>5595</v>
      </c>
      <c r="B1212" s="5" t="s">
        <v>5592</v>
      </c>
      <c r="C1212" s="5" t="s">
        <v>10</v>
      </c>
      <c r="D1212" s="21">
        <v>2</v>
      </c>
      <c r="E1212" s="12">
        <v>238</v>
      </c>
      <c r="F1212" s="10" t="str">
        <f>_xlfn.XLOOKUP(C1212,menu!A:A,menu!B:B)</f>
        <v>Chicken Sandwich</v>
      </c>
      <c r="G1212" s="10" t="str">
        <f>_xlfn.XLOOKUP(C1212,menu!A:A,menu!C:C)</f>
        <v>Sandwich</v>
      </c>
      <c r="H1212" s="10">
        <f>_xlfn.XLOOKUP(C1212,menu!A:A,menu!E:E)</f>
        <v>36</v>
      </c>
      <c r="I1212" s="10">
        <f t="shared" si="18"/>
        <v>72</v>
      </c>
      <c r="K1212" s="10"/>
      <c r="L1212" s="5"/>
    </row>
    <row r="1213" spans="1:12" x14ac:dyDescent="0.25">
      <c r="A1213" s="5" t="s">
        <v>5594</v>
      </c>
      <c r="B1213" s="5" t="s">
        <v>5592</v>
      </c>
      <c r="C1213" s="5" t="s">
        <v>54</v>
      </c>
      <c r="D1213" s="21">
        <v>3</v>
      </c>
      <c r="E1213" s="12">
        <v>417</v>
      </c>
      <c r="F1213" s="10" t="str">
        <f>_xlfn.XLOOKUP(C1213,menu!A:A,menu!B:B)</f>
        <v>Chicken Strips</v>
      </c>
      <c r="G1213" s="10" t="str">
        <f>_xlfn.XLOOKUP(C1213,menu!A:A,menu!C:C)</f>
        <v>Starters</v>
      </c>
      <c r="H1213" s="10">
        <f>_xlfn.XLOOKUP(C1213,menu!A:A,menu!E:E)</f>
        <v>42</v>
      </c>
      <c r="I1213" s="10">
        <f t="shared" si="18"/>
        <v>126</v>
      </c>
      <c r="K1213" s="10"/>
      <c r="L1213" s="5"/>
    </row>
    <row r="1214" spans="1:12" x14ac:dyDescent="0.25">
      <c r="A1214" s="5" t="s">
        <v>5593</v>
      </c>
      <c r="B1214" s="5" t="s">
        <v>5592</v>
      </c>
      <c r="C1214" s="5" t="s">
        <v>8</v>
      </c>
      <c r="D1214" s="21">
        <v>1</v>
      </c>
      <c r="E1214" s="12">
        <v>99</v>
      </c>
      <c r="F1214" s="10" t="str">
        <f>_xlfn.XLOOKUP(C1214,menu!A:A,menu!B:B)</f>
        <v>Paneer Sandwich</v>
      </c>
      <c r="G1214" s="10" t="str">
        <f>_xlfn.XLOOKUP(C1214,menu!A:A,menu!C:C)</f>
        <v>Sandwich</v>
      </c>
      <c r="H1214" s="10">
        <f>_xlfn.XLOOKUP(C1214,menu!A:A,menu!E:E)</f>
        <v>30</v>
      </c>
      <c r="I1214" s="10">
        <f t="shared" si="18"/>
        <v>30</v>
      </c>
      <c r="K1214" s="10"/>
      <c r="L1214" s="5"/>
    </row>
    <row r="1215" spans="1:12" x14ac:dyDescent="0.25">
      <c r="A1215" s="5" t="s">
        <v>5591</v>
      </c>
      <c r="B1215" s="5" t="s">
        <v>5589</v>
      </c>
      <c r="C1215" s="5" t="s">
        <v>56</v>
      </c>
      <c r="D1215" s="21">
        <v>1</v>
      </c>
      <c r="E1215" s="12">
        <v>79</v>
      </c>
      <c r="F1215" s="10" t="str">
        <f>_xlfn.XLOOKUP(C1215,menu!A:A,menu!B:B)</f>
        <v>Mint Mojito</v>
      </c>
      <c r="G1215" s="10" t="str">
        <f>_xlfn.XLOOKUP(C1215,menu!A:A,menu!C:C)</f>
        <v>Beverages</v>
      </c>
      <c r="H1215" s="10">
        <f>_xlfn.XLOOKUP(C1215,menu!A:A,menu!E:E)</f>
        <v>24</v>
      </c>
      <c r="I1215" s="10">
        <f t="shared" si="18"/>
        <v>24</v>
      </c>
      <c r="K1215" s="10"/>
      <c r="L1215" s="5"/>
    </row>
    <row r="1216" spans="1:12" x14ac:dyDescent="0.25">
      <c r="A1216" s="5" t="s">
        <v>5590</v>
      </c>
      <c r="B1216" s="5" t="s">
        <v>5589</v>
      </c>
      <c r="C1216" s="5" t="s">
        <v>15</v>
      </c>
      <c r="D1216" s="21">
        <v>3</v>
      </c>
      <c r="E1216" s="12">
        <v>297</v>
      </c>
      <c r="F1216" s="10" t="str">
        <f>_xlfn.XLOOKUP(C1216,menu!A:A,menu!B:B)</f>
        <v>Chicken Momos</v>
      </c>
      <c r="G1216" s="10" t="str">
        <f>_xlfn.XLOOKUP(C1216,menu!A:A,menu!C:C)</f>
        <v>Momos</v>
      </c>
      <c r="H1216" s="10">
        <f>_xlfn.XLOOKUP(C1216,menu!A:A,menu!E:E)</f>
        <v>30</v>
      </c>
      <c r="I1216" s="10">
        <f t="shared" si="18"/>
        <v>90</v>
      </c>
      <c r="K1216" s="10"/>
      <c r="L1216" s="5"/>
    </row>
    <row r="1217" spans="1:12" x14ac:dyDescent="0.25">
      <c r="A1217" s="5" t="s">
        <v>5588</v>
      </c>
      <c r="B1217" s="5" t="s">
        <v>5586</v>
      </c>
      <c r="C1217" s="5" t="s">
        <v>33</v>
      </c>
      <c r="D1217" s="21">
        <v>1</v>
      </c>
      <c r="E1217" s="12">
        <v>69</v>
      </c>
      <c r="F1217" s="10" t="str">
        <f>_xlfn.XLOOKUP(C1217,menu!A:A,menu!B:B)</f>
        <v>Spring Roll</v>
      </c>
      <c r="G1217" s="10" t="str">
        <f>_xlfn.XLOOKUP(C1217,menu!A:A,menu!C:C)</f>
        <v>Rolls</v>
      </c>
      <c r="H1217" s="10">
        <f>_xlfn.XLOOKUP(C1217,menu!A:A,menu!E:E)</f>
        <v>21</v>
      </c>
      <c r="I1217" s="10">
        <f t="shared" si="18"/>
        <v>21</v>
      </c>
      <c r="K1217" s="10"/>
      <c r="L1217" s="5"/>
    </row>
    <row r="1218" spans="1:12" x14ac:dyDescent="0.25">
      <c r="A1218" s="5" t="s">
        <v>5587</v>
      </c>
      <c r="B1218" s="5" t="s">
        <v>5586</v>
      </c>
      <c r="C1218" s="5" t="s">
        <v>48</v>
      </c>
      <c r="D1218" s="21">
        <v>5</v>
      </c>
      <c r="E1218" s="12">
        <v>795</v>
      </c>
      <c r="F1218" s="10" t="str">
        <f>_xlfn.XLOOKUP(C1218,menu!A:A,menu!B:B)</f>
        <v>Chicken Lollipop</v>
      </c>
      <c r="G1218" s="10" t="str">
        <f>_xlfn.XLOOKUP(C1218,menu!A:A,menu!C:C)</f>
        <v>Starters</v>
      </c>
      <c r="H1218" s="10">
        <f>_xlfn.XLOOKUP(C1218,menu!A:A,menu!E:E)</f>
        <v>48</v>
      </c>
      <c r="I1218" s="10">
        <f t="shared" si="18"/>
        <v>240</v>
      </c>
      <c r="K1218" s="10"/>
      <c r="L1218" s="5"/>
    </row>
    <row r="1219" spans="1:12" x14ac:dyDescent="0.25">
      <c r="A1219" s="5" t="s">
        <v>5585</v>
      </c>
      <c r="B1219" s="5" t="s">
        <v>5581</v>
      </c>
      <c r="C1219" s="5" t="s">
        <v>10</v>
      </c>
      <c r="D1219" s="21">
        <v>2</v>
      </c>
      <c r="E1219" s="12">
        <v>238</v>
      </c>
      <c r="F1219" s="10" t="str">
        <f>_xlfn.XLOOKUP(C1219,menu!A:A,menu!B:B)</f>
        <v>Chicken Sandwich</v>
      </c>
      <c r="G1219" s="10" t="str">
        <f>_xlfn.XLOOKUP(C1219,menu!A:A,menu!C:C)</f>
        <v>Sandwich</v>
      </c>
      <c r="H1219" s="10">
        <f>_xlfn.XLOOKUP(C1219,menu!A:A,menu!E:E)</f>
        <v>36</v>
      </c>
      <c r="I1219" s="10">
        <f t="shared" ref="I1219:I1282" si="19">D1219*H1219</f>
        <v>72</v>
      </c>
      <c r="K1219" s="10"/>
      <c r="L1219" s="5"/>
    </row>
    <row r="1220" spans="1:12" x14ac:dyDescent="0.25">
      <c r="A1220" s="5" t="s">
        <v>5584</v>
      </c>
      <c r="B1220" s="5" t="s">
        <v>5581</v>
      </c>
      <c r="C1220" s="5" t="s">
        <v>46</v>
      </c>
      <c r="D1220" s="21">
        <v>2</v>
      </c>
      <c r="E1220" s="12">
        <v>298</v>
      </c>
      <c r="F1220" s="10" t="str">
        <f>_xlfn.XLOOKUP(C1220,menu!A:A,menu!B:B)</f>
        <v>Fish Finger</v>
      </c>
      <c r="G1220" s="10" t="str">
        <f>_xlfn.XLOOKUP(C1220,menu!A:A,menu!C:C)</f>
        <v>Starters</v>
      </c>
      <c r="H1220" s="10">
        <f>_xlfn.XLOOKUP(C1220,menu!A:A,menu!E:E)</f>
        <v>45</v>
      </c>
      <c r="I1220" s="10">
        <f t="shared" si="19"/>
        <v>90</v>
      </c>
      <c r="K1220" s="10"/>
      <c r="L1220" s="5"/>
    </row>
    <row r="1221" spans="1:12" x14ac:dyDescent="0.25">
      <c r="A1221" s="5" t="s">
        <v>5583</v>
      </c>
      <c r="B1221" s="5" t="s">
        <v>5581</v>
      </c>
      <c r="C1221" s="5" t="s">
        <v>42</v>
      </c>
      <c r="D1221" s="21">
        <v>1</v>
      </c>
      <c r="E1221" s="12">
        <v>149</v>
      </c>
      <c r="F1221" s="10" t="str">
        <f>_xlfn.XLOOKUP(C1221,menu!A:A,menu!B:B)</f>
        <v>Chicken Popcorn</v>
      </c>
      <c r="G1221" s="10" t="str">
        <f>_xlfn.XLOOKUP(C1221,menu!A:A,menu!C:C)</f>
        <v>Starters</v>
      </c>
      <c r="H1221" s="10">
        <f>_xlfn.XLOOKUP(C1221,menu!A:A,menu!E:E)</f>
        <v>45</v>
      </c>
      <c r="I1221" s="10">
        <f t="shared" si="19"/>
        <v>45</v>
      </c>
      <c r="K1221" s="10"/>
      <c r="L1221" s="5"/>
    </row>
    <row r="1222" spans="1:12" x14ac:dyDescent="0.25">
      <c r="A1222" s="5" t="s">
        <v>5582</v>
      </c>
      <c r="B1222" s="5" t="s">
        <v>5581</v>
      </c>
      <c r="C1222" s="5" t="s">
        <v>65</v>
      </c>
      <c r="D1222" s="21">
        <v>1</v>
      </c>
      <c r="E1222" s="12">
        <v>49</v>
      </c>
      <c r="F1222" s="10" t="str">
        <f>_xlfn.XLOOKUP(C1222,menu!A:A,menu!B:B)</f>
        <v>Lemon Juice</v>
      </c>
      <c r="G1222" s="10" t="str">
        <f>_xlfn.XLOOKUP(C1222,menu!A:A,menu!C:C)</f>
        <v>Beverages</v>
      </c>
      <c r="H1222" s="10">
        <f>_xlfn.XLOOKUP(C1222,menu!A:A,menu!E:E)</f>
        <v>15</v>
      </c>
      <c r="I1222" s="10">
        <f t="shared" si="19"/>
        <v>15</v>
      </c>
      <c r="K1222" s="10"/>
      <c r="L1222" s="5"/>
    </row>
    <row r="1223" spans="1:12" x14ac:dyDescent="0.25">
      <c r="A1223" s="5" t="s">
        <v>5580</v>
      </c>
      <c r="B1223" s="5" t="s">
        <v>5578</v>
      </c>
      <c r="C1223" s="5" t="s">
        <v>12</v>
      </c>
      <c r="D1223" s="21">
        <v>1</v>
      </c>
      <c r="E1223" s="12">
        <v>79</v>
      </c>
      <c r="F1223" s="10" t="str">
        <f>_xlfn.XLOOKUP(C1223,menu!A:A,menu!B:B)</f>
        <v>Veg Momos</v>
      </c>
      <c r="G1223" s="10" t="str">
        <f>_xlfn.XLOOKUP(C1223,menu!A:A,menu!C:C)</f>
        <v>Momos</v>
      </c>
      <c r="H1223" s="10">
        <f>_xlfn.XLOOKUP(C1223,menu!A:A,menu!E:E)</f>
        <v>24</v>
      </c>
      <c r="I1223" s="10">
        <f t="shared" si="19"/>
        <v>24</v>
      </c>
      <c r="K1223" s="10"/>
      <c r="L1223" s="5"/>
    </row>
    <row r="1224" spans="1:12" x14ac:dyDescent="0.25">
      <c r="A1224" s="5" t="s">
        <v>5579</v>
      </c>
      <c r="B1224" s="5" t="s">
        <v>5578</v>
      </c>
      <c r="C1224" s="5" t="s">
        <v>15</v>
      </c>
      <c r="D1224" s="21">
        <v>1</v>
      </c>
      <c r="E1224" s="12">
        <v>99</v>
      </c>
      <c r="F1224" s="10" t="str">
        <f>_xlfn.XLOOKUP(C1224,menu!A:A,menu!B:B)</f>
        <v>Chicken Momos</v>
      </c>
      <c r="G1224" s="10" t="str">
        <f>_xlfn.XLOOKUP(C1224,menu!A:A,menu!C:C)</f>
        <v>Momos</v>
      </c>
      <c r="H1224" s="10">
        <f>_xlfn.XLOOKUP(C1224,menu!A:A,menu!E:E)</f>
        <v>30</v>
      </c>
      <c r="I1224" s="10">
        <f t="shared" si="19"/>
        <v>30</v>
      </c>
      <c r="K1224" s="10"/>
      <c r="L1224" s="5"/>
    </row>
    <row r="1225" spans="1:12" x14ac:dyDescent="0.25">
      <c r="A1225" s="5" t="s">
        <v>5577</v>
      </c>
      <c r="B1225" s="5" t="s">
        <v>5573</v>
      </c>
      <c r="C1225" s="5" t="s">
        <v>12</v>
      </c>
      <c r="D1225" s="21">
        <v>5</v>
      </c>
      <c r="E1225" s="12">
        <v>395</v>
      </c>
      <c r="F1225" s="10" t="str">
        <f>_xlfn.XLOOKUP(C1225,menu!A:A,menu!B:B)</f>
        <v>Veg Momos</v>
      </c>
      <c r="G1225" s="10" t="str">
        <f>_xlfn.XLOOKUP(C1225,menu!A:A,menu!C:C)</f>
        <v>Momos</v>
      </c>
      <c r="H1225" s="10">
        <f>_xlfn.XLOOKUP(C1225,menu!A:A,menu!E:E)</f>
        <v>24</v>
      </c>
      <c r="I1225" s="10">
        <f t="shared" si="19"/>
        <v>120</v>
      </c>
      <c r="K1225" s="10"/>
      <c r="L1225" s="5"/>
    </row>
    <row r="1226" spans="1:12" x14ac:dyDescent="0.25">
      <c r="A1226" s="5" t="s">
        <v>5576</v>
      </c>
      <c r="B1226" s="5" t="s">
        <v>5573</v>
      </c>
      <c r="C1226" s="5" t="s">
        <v>24</v>
      </c>
      <c r="D1226" s="21">
        <v>3</v>
      </c>
      <c r="E1226" s="12">
        <v>267</v>
      </c>
      <c r="F1226" s="10" t="str">
        <f>_xlfn.XLOOKUP(C1226,menu!A:A,menu!B:B)</f>
        <v>Paneer Burger</v>
      </c>
      <c r="G1226" s="10" t="str">
        <f>_xlfn.XLOOKUP(C1226,menu!A:A,menu!C:C)</f>
        <v>Burger</v>
      </c>
      <c r="H1226" s="10">
        <f>_xlfn.XLOOKUP(C1226,menu!A:A,menu!E:E)</f>
        <v>27</v>
      </c>
      <c r="I1226" s="10">
        <f t="shared" si="19"/>
        <v>81</v>
      </c>
      <c r="K1226" s="10"/>
      <c r="L1226" s="5"/>
    </row>
    <row r="1227" spans="1:12" x14ac:dyDescent="0.25">
      <c r="A1227" s="5" t="s">
        <v>5575</v>
      </c>
      <c r="B1227" s="5" t="s">
        <v>5573</v>
      </c>
      <c r="C1227" s="5" t="s">
        <v>8</v>
      </c>
      <c r="D1227" s="21">
        <v>4</v>
      </c>
      <c r="E1227" s="12">
        <v>396</v>
      </c>
      <c r="F1227" s="10" t="str">
        <f>_xlfn.XLOOKUP(C1227,menu!A:A,menu!B:B)</f>
        <v>Paneer Sandwich</v>
      </c>
      <c r="G1227" s="10" t="str">
        <f>_xlfn.XLOOKUP(C1227,menu!A:A,menu!C:C)</f>
        <v>Sandwich</v>
      </c>
      <c r="H1227" s="10">
        <f>_xlfn.XLOOKUP(C1227,menu!A:A,menu!E:E)</f>
        <v>30</v>
      </c>
      <c r="I1227" s="10">
        <f t="shared" si="19"/>
        <v>120</v>
      </c>
      <c r="K1227" s="10"/>
      <c r="L1227" s="5"/>
    </row>
    <row r="1228" spans="1:12" x14ac:dyDescent="0.25">
      <c r="A1228" s="5" t="s">
        <v>5574</v>
      </c>
      <c r="B1228" s="5" t="s">
        <v>5573</v>
      </c>
      <c r="C1228" s="5" t="s">
        <v>38</v>
      </c>
      <c r="D1228" s="21">
        <v>2</v>
      </c>
      <c r="E1228" s="12">
        <v>298</v>
      </c>
      <c r="F1228" s="10" t="str">
        <f>_xlfn.XLOOKUP(C1228,menu!A:A,menu!B:B)</f>
        <v>Chicken Wings</v>
      </c>
      <c r="G1228" s="10" t="str">
        <f>_xlfn.XLOOKUP(C1228,menu!A:A,menu!C:C)</f>
        <v>Starters</v>
      </c>
      <c r="H1228" s="10">
        <f>_xlfn.XLOOKUP(C1228,menu!A:A,menu!E:E)</f>
        <v>45</v>
      </c>
      <c r="I1228" s="10">
        <f t="shared" si="19"/>
        <v>90</v>
      </c>
      <c r="K1228" s="10"/>
      <c r="L1228" s="5"/>
    </row>
    <row r="1229" spans="1:12" x14ac:dyDescent="0.25">
      <c r="A1229" s="5" t="s">
        <v>5572</v>
      </c>
      <c r="B1229" s="5" t="s">
        <v>5571</v>
      </c>
      <c r="C1229" s="5" t="s">
        <v>52</v>
      </c>
      <c r="D1229" s="21">
        <v>1</v>
      </c>
      <c r="E1229" s="12">
        <v>99</v>
      </c>
      <c r="F1229" s="10" t="str">
        <f>_xlfn.XLOOKUP(C1229,menu!A:A,menu!B:B)</f>
        <v>French Fries</v>
      </c>
      <c r="G1229" s="10" t="str">
        <f>_xlfn.XLOOKUP(C1229,menu!A:A,menu!C:C)</f>
        <v>Starters</v>
      </c>
      <c r="H1229" s="10">
        <f>_xlfn.XLOOKUP(C1229,menu!A:A,menu!E:E)</f>
        <v>30</v>
      </c>
      <c r="I1229" s="10">
        <f t="shared" si="19"/>
        <v>30</v>
      </c>
      <c r="K1229" s="10"/>
      <c r="L1229" s="5"/>
    </row>
    <row r="1230" spans="1:12" x14ac:dyDescent="0.25">
      <c r="A1230" s="5" t="s">
        <v>5570</v>
      </c>
      <c r="B1230" s="5" t="s">
        <v>5566</v>
      </c>
      <c r="C1230" s="5" t="s">
        <v>12</v>
      </c>
      <c r="D1230" s="21">
        <v>2</v>
      </c>
      <c r="E1230" s="12">
        <v>158</v>
      </c>
      <c r="F1230" s="10" t="str">
        <f>_xlfn.XLOOKUP(C1230,menu!A:A,menu!B:B)</f>
        <v>Veg Momos</v>
      </c>
      <c r="G1230" s="10" t="str">
        <f>_xlfn.XLOOKUP(C1230,menu!A:A,menu!C:C)</f>
        <v>Momos</v>
      </c>
      <c r="H1230" s="10">
        <f>_xlfn.XLOOKUP(C1230,menu!A:A,menu!E:E)</f>
        <v>24</v>
      </c>
      <c r="I1230" s="10">
        <f t="shared" si="19"/>
        <v>48</v>
      </c>
      <c r="K1230" s="10"/>
      <c r="L1230" s="5"/>
    </row>
    <row r="1231" spans="1:12" x14ac:dyDescent="0.25">
      <c r="A1231" s="5" t="s">
        <v>5569</v>
      </c>
      <c r="B1231" s="5" t="s">
        <v>5566</v>
      </c>
      <c r="C1231" s="5" t="s">
        <v>56</v>
      </c>
      <c r="D1231" s="21">
        <v>3</v>
      </c>
      <c r="E1231" s="12">
        <v>237</v>
      </c>
      <c r="F1231" s="10" t="str">
        <f>_xlfn.XLOOKUP(C1231,menu!A:A,menu!B:B)</f>
        <v>Mint Mojito</v>
      </c>
      <c r="G1231" s="10" t="str">
        <f>_xlfn.XLOOKUP(C1231,menu!A:A,menu!C:C)</f>
        <v>Beverages</v>
      </c>
      <c r="H1231" s="10">
        <f>_xlfn.XLOOKUP(C1231,menu!A:A,menu!E:E)</f>
        <v>24</v>
      </c>
      <c r="I1231" s="10">
        <f t="shared" si="19"/>
        <v>72</v>
      </c>
      <c r="K1231" s="10"/>
      <c r="L1231" s="5"/>
    </row>
    <row r="1232" spans="1:12" x14ac:dyDescent="0.25">
      <c r="A1232" s="5" t="s">
        <v>5568</v>
      </c>
      <c r="B1232" s="5" t="s">
        <v>5566</v>
      </c>
      <c r="C1232" s="5" t="s">
        <v>52</v>
      </c>
      <c r="D1232" s="21">
        <v>1</v>
      </c>
      <c r="E1232" s="12">
        <v>99</v>
      </c>
      <c r="F1232" s="10" t="str">
        <f>_xlfn.XLOOKUP(C1232,menu!A:A,menu!B:B)</f>
        <v>French Fries</v>
      </c>
      <c r="G1232" s="10" t="str">
        <f>_xlfn.XLOOKUP(C1232,menu!A:A,menu!C:C)</f>
        <v>Starters</v>
      </c>
      <c r="H1232" s="10">
        <f>_xlfn.XLOOKUP(C1232,menu!A:A,menu!E:E)</f>
        <v>30</v>
      </c>
      <c r="I1232" s="10">
        <f t="shared" si="19"/>
        <v>30</v>
      </c>
      <c r="K1232" s="10"/>
      <c r="L1232" s="5"/>
    </row>
    <row r="1233" spans="1:12" x14ac:dyDescent="0.25">
      <c r="A1233" s="5" t="s">
        <v>5567</v>
      </c>
      <c r="B1233" s="5" t="s">
        <v>5566</v>
      </c>
      <c r="C1233" s="5" t="s">
        <v>48</v>
      </c>
      <c r="D1233" s="21">
        <v>5</v>
      </c>
      <c r="E1233" s="12">
        <v>795</v>
      </c>
      <c r="F1233" s="10" t="str">
        <f>_xlfn.XLOOKUP(C1233,menu!A:A,menu!B:B)</f>
        <v>Chicken Lollipop</v>
      </c>
      <c r="G1233" s="10" t="str">
        <f>_xlfn.XLOOKUP(C1233,menu!A:A,menu!C:C)</f>
        <v>Starters</v>
      </c>
      <c r="H1233" s="10">
        <f>_xlfn.XLOOKUP(C1233,menu!A:A,menu!E:E)</f>
        <v>48</v>
      </c>
      <c r="I1233" s="10">
        <f t="shared" si="19"/>
        <v>240</v>
      </c>
      <c r="K1233" s="10"/>
      <c r="L1233" s="5"/>
    </row>
    <row r="1234" spans="1:12" x14ac:dyDescent="0.25">
      <c r="A1234" s="5" t="s">
        <v>5565</v>
      </c>
      <c r="B1234" s="5" t="s">
        <v>5562</v>
      </c>
      <c r="C1234" s="5" t="s">
        <v>48</v>
      </c>
      <c r="D1234" s="21">
        <v>2</v>
      </c>
      <c r="E1234" s="12">
        <v>318</v>
      </c>
      <c r="F1234" s="10" t="str">
        <f>_xlfn.XLOOKUP(C1234,menu!A:A,menu!B:B)</f>
        <v>Chicken Lollipop</v>
      </c>
      <c r="G1234" s="10" t="str">
        <f>_xlfn.XLOOKUP(C1234,menu!A:A,menu!C:C)</f>
        <v>Starters</v>
      </c>
      <c r="H1234" s="10">
        <f>_xlfn.XLOOKUP(C1234,menu!A:A,menu!E:E)</f>
        <v>48</v>
      </c>
      <c r="I1234" s="10">
        <f t="shared" si="19"/>
        <v>96</v>
      </c>
      <c r="K1234" s="10"/>
      <c r="L1234" s="5"/>
    </row>
    <row r="1235" spans="1:12" x14ac:dyDescent="0.25">
      <c r="A1235" s="5" t="s">
        <v>5564</v>
      </c>
      <c r="B1235" s="5" t="s">
        <v>5562</v>
      </c>
      <c r="C1235" s="5" t="s">
        <v>8</v>
      </c>
      <c r="D1235" s="21">
        <v>1</v>
      </c>
      <c r="E1235" s="12">
        <v>99</v>
      </c>
      <c r="F1235" s="10" t="str">
        <f>_xlfn.XLOOKUP(C1235,menu!A:A,menu!B:B)</f>
        <v>Paneer Sandwich</v>
      </c>
      <c r="G1235" s="10" t="str">
        <f>_xlfn.XLOOKUP(C1235,menu!A:A,menu!C:C)</f>
        <v>Sandwich</v>
      </c>
      <c r="H1235" s="10">
        <f>_xlfn.XLOOKUP(C1235,menu!A:A,menu!E:E)</f>
        <v>30</v>
      </c>
      <c r="I1235" s="10">
        <f t="shared" si="19"/>
        <v>30</v>
      </c>
      <c r="K1235" s="10"/>
      <c r="L1235" s="5"/>
    </row>
    <row r="1236" spans="1:12" x14ac:dyDescent="0.25">
      <c r="A1236" s="5" t="s">
        <v>5563</v>
      </c>
      <c r="B1236" s="5" t="s">
        <v>5562</v>
      </c>
      <c r="C1236" s="5" t="s">
        <v>61</v>
      </c>
      <c r="D1236" s="21">
        <v>5</v>
      </c>
      <c r="E1236" s="12">
        <v>395</v>
      </c>
      <c r="F1236" s="10" t="str">
        <f>_xlfn.XLOOKUP(C1236,menu!A:A,menu!B:B)</f>
        <v>Watermelon Mojito</v>
      </c>
      <c r="G1236" s="10" t="str">
        <f>_xlfn.XLOOKUP(C1236,menu!A:A,menu!C:C)</f>
        <v>Beverages</v>
      </c>
      <c r="H1236" s="10">
        <f>_xlfn.XLOOKUP(C1236,menu!A:A,menu!E:E)</f>
        <v>24</v>
      </c>
      <c r="I1236" s="10">
        <f t="shared" si="19"/>
        <v>120</v>
      </c>
      <c r="K1236" s="10"/>
      <c r="L1236" s="5"/>
    </row>
    <row r="1237" spans="1:12" x14ac:dyDescent="0.25">
      <c r="A1237" s="5" t="s">
        <v>5561</v>
      </c>
      <c r="B1237" s="5" t="s">
        <v>5557</v>
      </c>
      <c r="C1237" s="5" t="s">
        <v>52</v>
      </c>
      <c r="D1237" s="21">
        <v>1</v>
      </c>
      <c r="E1237" s="12">
        <v>99</v>
      </c>
      <c r="F1237" s="10" t="str">
        <f>_xlfn.XLOOKUP(C1237,menu!A:A,menu!B:B)</f>
        <v>French Fries</v>
      </c>
      <c r="G1237" s="10" t="str">
        <f>_xlfn.XLOOKUP(C1237,menu!A:A,menu!C:C)</f>
        <v>Starters</v>
      </c>
      <c r="H1237" s="10">
        <f>_xlfn.XLOOKUP(C1237,menu!A:A,menu!E:E)</f>
        <v>30</v>
      </c>
      <c r="I1237" s="10">
        <f t="shared" si="19"/>
        <v>30</v>
      </c>
      <c r="K1237" s="10"/>
      <c r="L1237" s="5"/>
    </row>
    <row r="1238" spans="1:12" x14ac:dyDescent="0.25">
      <c r="A1238" s="5" t="s">
        <v>5560</v>
      </c>
      <c r="B1238" s="5" t="s">
        <v>5557</v>
      </c>
      <c r="C1238" s="5" t="s">
        <v>35</v>
      </c>
      <c r="D1238" s="21">
        <v>1</v>
      </c>
      <c r="E1238" s="12">
        <v>119</v>
      </c>
      <c r="F1238" s="10" t="str">
        <f>_xlfn.XLOOKUP(C1238,menu!A:A,menu!B:B)</f>
        <v>Chicken Nuggets</v>
      </c>
      <c r="G1238" s="10" t="str">
        <f>_xlfn.XLOOKUP(C1238,menu!A:A,menu!C:C)</f>
        <v>Starters</v>
      </c>
      <c r="H1238" s="10">
        <f>_xlfn.XLOOKUP(C1238,menu!A:A,menu!E:E)</f>
        <v>36</v>
      </c>
      <c r="I1238" s="10">
        <f t="shared" si="19"/>
        <v>36</v>
      </c>
      <c r="K1238" s="10"/>
      <c r="L1238" s="5"/>
    </row>
    <row r="1239" spans="1:12" x14ac:dyDescent="0.25">
      <c r="A1239" s="5" t="s">
        <v>5559</v>
      </c>
      <c r="B1239" s="5" t="s">
        <v>5557</v>
      </c>
      <c r="C1239" s="5" t="s">
        <v>56</v>
      </c>
      <c r="D1239" s="21">
        <v>1</v>
      </c>
      <c r="E1239" s="12">
        <v>79</v>
      </c>
      <c r="F1239" s="10" t="str">
        <f>_xlfn.XLOOKUP(C1239,menu!A:A,menu!B:B)</f>
        <v>Mint Mojito</v>
      </c>
      <c r="G1239" s="10" t="str">
        <f>_xlfn.XLOOKUP(C1239,menu!A:A,menu!C:C)</f>
        <v>Beverages</v>
      </c>
      <c r="H1239" s="10">
        <f>_xlfn.XLOOKUP(C1239,menu!A:A,menu!E:E)</f>
        <v>24</v>
      </c>
      <c r="I1239" s="10">
        <f t="shared" si="19"/>
        <v>24</v>
      </c>
      <c r="K1239" s="10"/>
      <c r="L1239" s="5"/>
    </row>
    <row r="1240" spans="1:12" x14ac:dyDescent="0.25">
      <c r="A1240" s="5" t="s">
        <v>5558</v>
      </c>
      <c r="B1240" s="5" t="s">
        <v>5557</v>
      </c>
      <c r="C1240" s="5" t="s">
        <v>38</v>
      </c>
      <c r="D1240" s="21">
        <v>2</v>
      </c>
      <c r="E1240" s="12">
        <v>298</v>
      </c>
      <c r="F1240" s="10" t="str">
        <f>_xlfn.XLOOKUP(C1240,menu!A:A,menu!B:B)</f>
        <v>Chicken Wings</v>
      </c>
      <c r="G1240" s="10" t="str">
        <f>_xlfn.XLOOKUP(C1240,menu!A:A,menu!C:C)</f>
        <v>Starters</v>
      </c>
      <c r="H1240" s="10">
        <f>_xlfn.XLOOKUP(C1240,menu!A:A,menu!E:E)</f>
        <v>45</v>
      </c>
      <c r="I1240" s="10">
        <f t="shared" si="19"/>
        <v>90</v>
      </c>
      <c r="K1240" s="10"/>
      <c r="L1240" s="5"/>
    </row>
    <row r="1241" spans="1:12" x14ac:dyDescent="0.25">
      <c r="A1241" s="5" t="s">
        <v>5556</v>
      </c>
      <c r="B1241" s="5" t="s">
        <v>5552</v>
      </c>
      <c r="C1241" s="5" t="s">
        <v>29</v>
      </c>
      <c r="D1241" s="21">
        <v>1</v>
      </c>
      <c r="E1241" s="12">
        <v>79</v>
      </c>
      <c r="F1241" s="10" t="str">
        <f>_xlfn.XLOOKUP(C1241,menu!A:A,menu!B:B)</f>
        <v>Paneer Roll</v>
      </c>
      <c r="G1241" s="10" t="str">
        <f>_xlfn.XLOOKUP(C1241,menu!A:A,menu!C:C)</f>
        <v>Rolls</v>
      </c>
      <c r="H1241" s="10">
        <f>_xlfn.XLOOKUP(C1241,menu!A:A,menu!E:E)</f>
        <v>24</v>
      </c>
      <c r="I1241" s="10">
        <f t="shared" si="19"/>
        <v>24</v>
      </c>
      <c r="K1241" s="10"/>
      <c r="L1241" s="5"/>
    </row>
    <row r="1242" spans="1:12" x14ac:dyDescent="0.25">
      <c r="A1242" s="5" t="s">
        <v>5555</v>
      </c>
      <c r="B1242" s="5" t="s">
        <v>5552</v>
      </c>
      <c r="C1242" s="5" t="s">
        <v>63</v>
      </c>
      <c r="D1242" s="21">
        <v>2</v>
      </c>
      <c r="E1242" s="12">
        <v>158</v>
      </c>
      <c r="F1242" s="10" t="str">
        <f>_xlfn.XLOOKUP(C1242,menu!A:A,menu!B:B)</f>
        <v>Virgin Mojito</v>
      </c>
      <c r="G1242" s="10" t="str">
        <f>_xlfn.XLOOKUP(C1242,menu!A:A,menu!C:C)</f>
        <v>Beverages</v>
      </c>
      <c r="H1242" s="10">
        <f>_xlfn.XLOOKUP(C1242,menu!A:A,menu!E:E)</f>
        <v>24</v>
      </c>
      <c r="I1242" s="10">
        <f t="shared" si="19"/>
        <v>48</v>
      </c>
      <c r="K1242" s="10"/>
      <c r="L1242" s="5"/>
    </row>
    <row r="1243" spans="1:12" x14ac:dyDescent="0.25">
      <c r="A1243" s="5" t="s">
        <v>5554</v>
      </c>
      <c r="B1243" s="5" t="s">
        <v>5552</v>
      </c>
      <c r="C1243" s="5" t="s">
        <v>24</v>
      </c>
      <c r="D1243" s="21">
        <v>2</v>
      </c>
      <c r="E1243" s="12">
        <v>178</v>
      </c>
      <c r="F1243" s="10" t="str">
        <f>_xlfn.XLOOKUP(C1243,menu!A:A,menu!B:B)</f>
        <v>Paneer Burger</v>
      </c>
      <c r="G1243" s="10" t="str">
        <f>_xlfn.XLOOKUP(C1243,menu!A:A,menu!C:C)</f>
        <v>Burger</v>
      </c>
      <c r="H1243" s="10">
        <f>_xlfn.XLOOKUP(C1243,menu!A:A,menu!E:E)</f>
        <v>27</v>
      </c>
      <c r="I1243" s="10">
        <f t="shared" si="19"/>
        <v>54</v>
      </c>
      <c r="K1243" s="10"/>
      <c r="L1243" s="5"/>
    </row>
    <row r="1244" spans="1:12" x14ac:dyDescent="0.25">
      <c r="A1244" s="5" t="s">
        <v>5553</v>
      </c>
      <c r="B1244" s="5" t="s">
        <v>5552</v>
      </c>
      <c r="C1244" s="5" t="s">
        <v>38</v>
      </c>
      <c r="D1244" s="21">
        <v>1</v>
      </c>
      <c r="E1244" s="12">
        <v>149</v>
      </c>
      <c r="F1244" s="10" t="str">
        <f>_xlfn.XLOOKUP(C1244,menu!A:A,menu!B:B)</f>
        <v>Chicken Wings</v>
      </c>
      <c r="G1244" s="10" t="str">
        <f>_xlfn.XLOOKUP(C1244,menu!A:A,menu!C:C)</f>
        <v>Starters</v>
      </c>
      <c r="H1244" s="10">
        <f>_xlfn.XLOOKUP(C1244,menu!A:A,menu!E:E)</f>
        <v>45</v>
      </c>
      <c r="I1244" s="10">
        <f t="shared" si="19"/>
        <v>45</v>
      </c>
      <c r="K1244" s="10"/>
      <c r="L1244" s="5"/>
    </row>
    <row r="1245" spans="1:12" x14ac:dyDescent="0.25">
      <c r="A1245" s="5" t="s">
        <v>5551</v>
      </c>
      <c r="B1245" s="5" t="s">
        <v>5548</v>
      </c>
      <c r="C1245" s="5" t="s">
        <v>44</v>
      </c>
      <c r="D1245" s="21">
        <v>3</v>
      </c>
      <c r="E1245" s="12">
        <v>477</v>
      </c>
      <c r="F1245" s="10" t="str">
        <f>_xlfn.XLOOKUP(C1245,menu!A:A,menu!B:B)</f>
        <v>Fried Chicken</v>
      </c>
      <c r="G1245" s="10" t="str">
        <f>_xlfn.XLOOKUP(C1245,menu!A:A,menu!C:C)</f>
        <v>Starters</v>
      </c>
      <c r="H1245" s="10">
        <f>_xlfn.XLOOKUP(C1245,menu!A:A,menu!E:E)</f>
        <v>48</v>
      </c>
      <c r="I1245" s="10">
        <f t="shared" si="19"/>
        <v>144</v>
      </c>
      <c r="K1245" s="10"/>
      <c r="L1245" s="5"/>
    </row>
    <row r="1246" spans="1:12" x14ac:dyDescent="0.25">
      <c r="A1246" s="5" t="s">
        <v>5550</v>
      </c>
      <c r="B1246" s="5" t="s">
        <v>5548</v>
      </c>
      <c r="C1246" s="5" t="s">
        <v>22</v>
      </c>
      <c r="D1246" s="21">
        <v>1</v>
      </c>
      <c r="E1246" s="12">
        <v>99</v>
      </c>
      <c r="F1246" s="10" t="str">
        <f>_xlfn.XLOOKUP(C1246,menu!A:A,menu!B:B)</f>
        <v>Chicken Burger</v>
      </c>
      <c r="G1246" s="10" t="str">
        <f>_xlfn.XLOOKUP(C1246,menu!A:A,menu!C:C)</f>
        <v>Burger</v>
      </c>
      <c r="H1246" s="10">
        <f>_xlfn.XLOOKUP(C1246,menu!A:A,menu!E:E)</f>
        <v>30</v>
      </c>
      <c r="I1246" s="10">
        <f t="shared" si="19"/>
        <v>30</v>
      </c>
      <c r="K1246" s="10"/>
      <c r="L1246" s="5"/>
    </row>
    <row r="1247" spans="1:12" x14ac:dyDescent="0.25">
      <c r="A1247" s="5" t="s">
        <v>5549</v>
      </c>
      <c r="B1247" s="5" t="s">
        <v>5548</v>
      </c>
      <c r="C1247" s="5" t="s">
        <v>48</v>
      </c>
      <c r="D1247" s="21">
        <v>3</v>
      </c>
      <c r="E1247" s="12">
        <v>477</v>
      </c>
      <c r="F1247" s="10" t="str">
        <f>_xlfn.XLOOKUP(C1247,menu!A:A,menu!B:B)</f>
        <v>Chicken Lollipop</v>
      </c>
      <c r="G1247" s="10" t="str">
        <f>_xlfn.XLOOKUP(C1247,menu!A:A,menu!C:C)</f>
        <v>Starters</v>
      </c>
      <c r="H1247" s="10">
        <f>_xlfn.XLOOKUP(C1247,menu!A:A,menu!E:E)</f>
        <v>48</v>
      </c>
      <c r="I1247" s="10">
        <f t="shared" si="19"/>
        <v>144</v>
      </c>
      <c r="K1247" s="10"/>
      <c r="L1247" s="5"/>
    </row>
    <row r="1248" spans="1:12" x14ac:dyDescent="0.25">
      <c r="A1248" s="5" t="s">
        <v>5547</v>
      </c>
      <c r="B1248" s="5" t="s">
        <v>5545</v>
      </c>
      <c r="C1248" s="5" t="s">
        <v>56</v>
      </c>
      <c r="D1248" s="21">
        <v>2</v>
      </c>
      <c r="E1248" s="12">
        <v>158</v>
      </c>
      <c r="F1248" s="10" t="str">
        <f>_xlfn.XLOOKUP(C1248,menu!A:A,menu!B:B)</f>
        <v>Mint Mojito</v>
      </c>
      <c r="G1248" s="10" t="str">
        <f>_xlfn.XLOOKUP(C1248,menu!A:A,menu!C:C)</f>
        <v>Beverages</v>
      </c>
      <c r="H1248" s="10">
        <f>_xlfn.XLOOKUP(C1248,menu!A:A,menu!E:E)</f>
        <v>24</v>
      </c>
      <c r="I1248" s="10">
        <f t="shared" si="19"/>
        <v>48</v>
      </c>
      <c r="K1248" s="10"/>
      <c r="L1248" s="5"/>
    </row>
    <row r="1249" spans="1:12" x14ac:dyDescent="0.25">
      <c r="A1249" s="5" t="s">
        <v>5546</v>
      </c>
      <c r="B1249" s="5" t="s">
        <v>5545</v>
      </c>
      <c r="C1249" s="5" t="s">
        <v>44</v>
      </c>
      <c r="D1249" s="21">
        <v>1</v>
      </c>
      <c r="E1249" s="12">
        <v>159</v>
      </c>
      <c r="F1249" s="10" t="str">
        <f>_xlfn.XLOOKUP(C1249,menu!A:A,menu!B:B)</f>
        <v>Fried Chicken</v>
      </c>
      <c r="G1249" s="10" t="str">
        <f>_xlfn.XLOOKUP(C1249,menu!A:A,menu!C:C)</f>
        <v>Starters</v>
      </c>
      <c r="H1249" s="10">
        <f>_xlfn.XLOOKUP(C1249,menu!A:A,menu!E:E)</f>
        <v>48</v>
      </c>
      <c r="I1249" s="10">
        <f t="shared" si="19"/>
        <v>48</v>
      </c>
      <c r="K1249" s="10"/>
      <c r="L1249" s="5"/>
    </row>
    <row r="1250" spans="1:12" x14ac:dyDescent="0.25">
      <c r="A1250" s="5" t="s">
        <v>5544</v>
      </c>
      <c r="B1250" s="5" t="s">
        <v>5541</v>
      </c>
      <c r="C1250" s="5" t="s">
        <v>48</v>
      </c>
      <c r="D1250" s="21">
        <v>1</v>
      </c>
      <c r="E1250" s="12">
        <v>159</v>
      </c>
      <c r="F1250" s="10" t="str">
        <f>_xlfn.XLOOKUP(C1250,menu!A:A,menu!B:B)</f>
        <v>Chicken Lollipop</v>
      </c>
      <c r="G1250" s="10" t="str">
        <f>_xlfn.XLOOKUP(C1250,menu!A:A,menu!C:C)</f>
        <v>Starters</v>
      </c>
      <c r="H1250" s="10">
        <f>_xlfn.XLOOKUP(C1250,menu!A:A,menu!E:E)</f>
        <v>48</v>
      </c>
      <c r="I1250" s="10">
        <f t="shared" si="19"/>
        <v>48</v>
      </c>
      <c r="K1250" s="10"/>
      <c r="L1250" s="5"/>
    </row>
    <row r="1251" spans="1:12" x14ac:dyDescent="0.25">
      <c r="A1251" s="5" t="s">
        <v>5543</v>
      </c>
      <c r="B1251" s="5" t="s">
        <v>5541</v>
      </c>
      <c r="C1251" s="5" t="s">
        <v>24</v>
      </c>
      <c r="D1251" s="21">
        <v>1</v>
      </c>
      <c r="E1251" s="12">
        <v>89</v>
      </c>
      <c r="F1251" s="10" t="str">
        <f>_xlfn.XLOOKUP(C1251,menu!A:A,menu!B:B)</f>
        <v>Paneer Burger</v>
      </c>
      <c r="G1251" s="10" t="str">
        <f>_xlfn.XLOOKUP(C1251,menu!A:A,menu!C:C)</f>
        <v>Burger</v>
      </c>
      <c r="H1251" s="10">
        <f>_xlfn.XLOOKUP(C1251,menu!A:A,menu!E:E)</f>
        <v>27</v>
      </c>
      <c r="I1251" s="10">
        <f t="shared" si="19"/>
        <v>27</v>
      </c>
      <c r="K1251" s="10"/>
      <c r="L1251" s="5"/>
    </row>
    <row r="1252" spans="1:12" x14ac:dyDescent="0.25">
      <c r="A1252" s="5" t="s">
        <v>5542</v>
      </c>
      <c r="B1252" s="5" t="s">
        <v>5541</v>
      </c>
      <c r="C1252" s="5" t="s">
        <v>38</v>
      </c>
      <c r="D1252" s="21">
        <v>2</v>
      </c>
      <c r="E1252" s="12">
        <v>298</v>
      </c>
      <c r="F1252" s="10" t="str">
        <f>_xlfn.XLOOKUP(C1252,menu!A:A,menu!B:B)</f>
        <v>Chicken Wings</v>
      </c>
      <c r="G1252" s="10" t="str">
        <f>_xlfn.XLOOKUP(C1252,menu!A:A,menu!C:C)</f>
        <v>Starters</v>
      </c>
      <c r="H1252" s="10">
        <f>_xlfn.XLOOKUP(C1252,menu!A:A,menu!E:E)</f>
        <v>45</v>
      </c>
      <c r="I1252" s="10">
        <f t="shared" si="19"/>
        <v>90</v>
      </c>
      <c r="K1252" s="10"/>
      <c r="L1252" s="5"/>
    </row>
    <row r="1253" spans="1:12" x14ac:dyDescent="0.25">
      <c r="A1253" s="5" t="s">
        <v>5540</v>
      </c>
      <c r="B1253" s="5" t="s">
        <v>5537</v>
      </c>
      <c r="C1253" s="5" t="s">
        <v>19</v>
      </c>
      <c r="D1253" s="21">
        <v>1</v>
      </c>
      <c r="E1253" s="12">
        <v>79</v>
      </c>
      <c r="F1253" s="10" t="str">
        <f>_xlfn.XLOOKUP(C1253,menu!A:A,menu!B:B)</f>
        <v>Veg Burger</v>
      </c>
      <c r="G1253" s="10" t="str">
        <f>_xlfn.XLOOKUP(C1253,menu!A:A,menu!C:C)</f>
        <v>Burger</v>
      </c>
      <c r="H1253" s="10">
        <f>_xlfn.XLOOKUP(C1253,menu!A:A,menu!E:E)</f>
        <v>24</v>
      </c>
      <c r="I1253" s="10">
        <f t="shared" si="19"/>
        <v>24</v>
      </c>
      <c r="K1253" s="10"/>
      <c r="L1253" s="5"/>
    </row>
    <row r="1254" spans="1:12" x14ac:dyDescent="0.25">
      <c r="A1254" s="5" t="s">
        <v>5539</v>
      </c>
      <c r="B1254" s="5" t="s">
        <v>5537</v>
      </c>
      <c r="C1254" s="5" t="s">
        <v>50</v>
      </c>
      <c r="D1254" s="21">
        <v>1</v>
      </c>
      <c r="E1254" s="12">
        <v>149</v>
      </c>
      <c r="F1254" s="10" t="str">
        <f>_xlfn.XLOOKUP(C1254,menu!A:A,menu!B:B)</f>
        <v>Grab Lollipop</v>
      </c>
      <c r="G1254" s="10" t="str">
        <f>_xlfn.XLOOKUP(C1254,menu!A:A,menu!C:C)</f>
        <v>Starters</v>
      </c>
      <c r="H1254" s="10">
        <f>_xlfn.XLOOKUP(C1254,menu!A:A,menu!E:E)</f>
        <v>45</v>
      </c>
      <c r="I1254" s="10">
        <f t="shared" si="19"/>
        <v>45</v>
      </c>
      <c r="K1254" s="10"/>
      <c r="L1254" s="5"/>
    </row>
    <row r="1255" spans="1:12" x14ac:dyDescent="0.25">
      <c r="A1255" s="5" t="s">
        <v>5538</v>
      </c>
      <c r="B1255" s="5" t="s">
        <v>5537</v>
      </c>
      <c r="C1255" s="5" t="s">
        <v>5</v>
      </c>
      <c r="D1255" s="21">
        <v>1</v>
      </c>
      <c r="E1255" s="12">
        <v>79</v>
      </c>
      <c r="F1255" s="10" t="str">
        <f>_xlfn.XLOOKUP(C1255,menu!A:A,menu!B:B)</f>
        <v>Veg Sandwich</v>
      </c>
      <c r="G1255" s="10" t="str">
        <f>_xlfn.XLOOKUP(C1255,menu!A:A,menu!C:C)</f>
        <v>Sandwich</v>
      </c>
      <c r="H1255" s="10">
        <f>_xlfn.XLOOKUP(C1255,menu!A:A,menu!E:E)</f>
        <v>24</v>
      </c>
      <c r="I1255" s="10">
        <f t="shared" si="19"/>
        <v>24</v>
      </c>
      <c r="K1255" s="10"/>
      <c r="L1255" s="5"/>
    </row>
    <row r="1256" spans="1:12" x14ac:dyDescent="0.25">
      <c r="A1256" s="5" t="s">
        <v>5536</v>
      </c>
      <c r="B1256" s="5" t="s">
        <v>5534</v>
      </c>
      <c r="C1256" s="5" t="s">
        <v>17</v>
      </c>
      <c r="D1256" s="21">
        <v>1</v>
      </c>
      <c r="E1256" s="12">
        <v>89</v>
      </c>
      <c r="F1256" s="10" t="str">
        <f>_xlfn.XLOOKUP(C1256,menu!A:A,menu!B:B)</f>
        <v>Paneer Momos</v>
      </c>
      <c r="G1256" s="10" t="str">
        <f>_xlfn.XLOOKUP(C1256,menu!A:A,menu!C:C)</f>
        <v>Momos</v>
      </c>
      <c r="H1256" s="10">
        <f>_xlfn.XLOOKUP(C1256,menu!A:A,menu!E:E)</f>
        <v>27</v>
      </c>
      <c r="I1256" s="10">
        <f t="shared" si="19"/>
        <v>27</v>
      </c>
      <c r="K1256" s="10"/>
      <c r="L1256" s="5"/>
    </row>
    <row r="1257" spans="1:12" x14ac:dyDescent="0.25">
      <c r="A1257" s="5" t="s">
        <v>5535</v>
      </c>
      <c r="B1257" s="5" t="s">
        <v>5534</v>
      </c>
      <c r="C1257" s="5" t="s">
        <v>56</v>
      </c>
      <c r="D1257" s="21">
        <v>4</v>
      </c>
      <c r="E1257" s="12">
        <v>316</v>
      </c>
      <c r="F1257" s="10" t="str">
        <f>_xlfn.XLOOKUP(C1257,menu!A:A,menu!B:B)</f>
        <v>Mint Mojito</v>
      </c>
      <c r="G1257" s="10" t="str">
        <f>_xlfn.XLOOKUP(C1257,menu!A:A,menu!C:C)</f>
        <v>Beverages</v>
      </c>
      <c r="H1257" s="10">
        <f>_xlfn.XLOOKUP(C1257,menu!A:A,menu!E:E)</f>
        <v>24</v>
      </c>
      <c r="I1257" s="10">
        <f t="shared" si="19"/>
        <v>96</v>
      </c>
      <c r="K1257" s="10"/>
      <c r="L1257" s="5"/>
    </row>
    <row r="1258" spans="1:12" x14ac:dyDescent="0.25">
      <c r="A1258" s="5" t="s">
        <v>5533</v>
      </c>
      <c r="B1258" s="5" t="s">
        <v>5530</v>
      </c>
      <c r="C1258" s="5" t="s">
        <v>29</v>
      </c>
      <c r="D1258" s="21">
        <v>2</v>
      </c>
      <c r="E1258" s="12">
        <v>158</v>
      </c>
      <c r="F1258" s="10" t="str">
        <f>_xlfn.XLOOKUP(C1258,menu!A:A,menu!B:B)</f>
        <v>Paneer Roll</v>
      </c>
      <c r="G1258" s="10" t="str">
        <f>_xlfn.XLOOKUP(C1258,menu!A:A,menu!C:C)</f>
        <v>Rolls</v>
      </c>
      <c r="H1258" s="10">
        <f>_xlfn.XLOOKUP(C1258,menu!A:A,menu!E:E)</f>
        <v>24</v>
      </c>
      <c r="I1258" s="10">
        <f t="shared" si="19"/>
        <v>48</v>
      </c>
      <c r="K1258" s="10"/>
      <c r="L1258" s="5"/>
    </row>
    <row r="1259" spans="1:12" x14ac:dyDescent="0.25">
      <c r="A1259" s="5" t="s">
        <v>5532</v>
      </c>
      <c r="B1259" s="5" t="s">
        <v>5530</v>
      </c>
      <c r="C1259" s="5" t="s">
        <v>15</v>
      </c>
      <c r="D1259" s="21">
        <v>1</v>
      </c>
      <c r="E1259" s="12">
        <v>99</v>
      </c>
      <c r="F1259" s="10" t="str">
        <f>_xlfn.XLOOKUP(C1259,menu!A:A,menu!B:B)</f>
        <v>Chicken Momos</v>
      </c>
      <c r="G1259" s="10" t="str">
        <f>_xlfn.XLOOKUP(C1259,menu!A:A,menu!C:C)</f>
        <v>Momos</v>
      </c>
      <c r="H1259" s="10">
        <f>_xlfn.XLOOKUP(C1259,menu!A:A,menu!E:E)</f>
        <v>30</v>
      </c>
      <c r="I1259" s="10">
        <f t="shared" si="19"/>
        <v>30</v>
      </c>
      <c r="K1259" s="10"/>
      <c r="L1259" s="5"/>
    </row>
    <row r="1260" spans="1:12" x14ac:dyDescent="0.25">
      <c r="A1260" s="5" t="s">
        <v>5531</v>
      </c>
      <c r="B1260" s="5" t="s">
        <v>5530</v>
      </c>
      <c r="C1260" s="5" t="s">
        <v>46</v>
      </c>
      <c r="D1260" s="21">
        <v>1</v>
      </c>
      <c r="E1260" s="12">
        <v>149</v>
      </c>
      <c r="F1260" s="10" t="str">
        <f>_xlfn.XLOOKUP(C1260,menu!A:A,menu!B:B)</f>
        <v>Fish Finger</v>
      </c>
      <c r="G1260" s="10" t="str">
        <f>_xlfn.XLOOKUP(C1260,menu!A:A,menu!C:C)</f>
        <v>Starters</v>
      </c>
      <c r="H1260" s="10">
        <f>_xlfn.XLOOKUP(C1260,menu!A:A,menu!E:E)</f>
        <v>45</v>
      </c>
      <c r="I1260" s="10">
        <f t="shared" si="19"/>
        <v>45</v>
      </c>
      <c r="K1260" s="10"/>
      <c r="L1260" s="5"/>
    </row>
    <row r="1261" spans="1:12" x14ac:dyDescent="0.25">
      <c r="A1261" s="5" t="s">
        <v>5529</v>
      </c>
      <c r="B1261" s="5" t="s">
        <v>5527</v>
      </c>
      <c r="C1261" s="5" t="s">
        <v>35</v>
      </c>
      <c r="D1261" s="21">
        <v>3</v>
      </c>
      <c r="E1261" s="12">
        <v>357</v>
      </c>
      <c r="F1261" s="10" t="str">
        <f>_xlfn.XLOOKUP(C1261,menu!A:A,menu!B:B)</f>
        <v>Chicken Nuggets</v>
      </c>
      <c r="G1261" s="10" t="str">
        <f>_xlfn.XLOOKUP(C1261,menu!A:A,menu!C:C)</f>
        <v>Starters</v>
      </c>
      <c r="H1261" s="10">
        <f>_xlfn.XLOOKUP(C1261,menu!A:A,menu!E:E)</f>
        <v>36</v>
      </c>
      <c r="I1261" s="10">
        <f t="shared" si="19"/>
        <v>108</v>
      </c>
      <c r="K1261" s="10"/>
      <c r="L1261" s="5"/>
    </row>
    <row r="1262" spans="1:12" x14ac:dyDescent="0.25">
      <c r="A1262" s="5" t="s">
        <v>5528</v>
      </c>
      <c r="B1262" s="5" t="s">
        <v>5527</v>
      </c>
      <c r="C1262" s="5" t="s">
        <v>15</v>
      </c>
      <c r="D1262" s="21">
        <v>1</v>
      </c>
      <c r="E1262" s="12">
        <v>99</v>
      </c>
      <c r="F1262" s="10" t="str">
        <f>_xlfn.XLOOKUP(C1262,menu!A:A,menu!B:B)</f>
        <v>Chicken Momos</v>
      </c>
      <c r="G1262" s="10" t="str">
        <f>_xlfn.XLOOKUP(C1262,menu!A:A,menu!C:C)</f>
        <v>Momos</v>
      </c>
      <c r="H1262" s="10">
        <f>_xlfn.XLOOKUP(C1262,menu!A:A,menu!E:E)</f>
        <v>30</v>
      </c>
      <c r="I1262" s="10">
        <f t="shared" si="19"/>
        <v>30</v>
      </c>
      <c r="K1262" s="10"/>
      <c r="L1262" s="5"/>
    </row>
    <row r="1263" spans="1:12" x14ac:dyDescent="0.25">
      <c r="A1263" s="5" t="s">
        <v>5526</v>
      </c>
      <c r="B1263" s="5" t="s">
        <v>5523</v>
      </c>
      <c r="C1263" s="5" t="s">
        <v>50</v>
      </c>
      <c r="D1263" s="21">
        <v>1</v>
      </c>
      <c r="E1263" s="12">
        <v>149</v>
      </c>
      <c r="F1263" s="10" t="str">
        <f>_xlfn.XLOOKUP(C1263,menu!A:A,menu!B:B)</f>
        <v>Grab Lollipop</v>
      </c>
      <c r="G1263" s="10" t="str">
        <f>_xlfn.XLOOKUP(C1263,menu!A:A,menu!C:C)</f>
        <v>Starters</v>
      </c>
      <c r="H1263" s="10">
        <f>_xlfn.XLOOKUP(C1263,menu!A:A,menu!E:E)</f>
        <v>45</v>
      </c>
      <c r="I1263" s="10">
        <f t="shared" si="19"/>
        <v>45</v>
      </c>
      <c r="K1263" s="10"/>
      <c r="L1263" s="5"/>
    </row>
    <row r="1264" spans="1:12" x14ac:dyDescent="0.25">
      <c r="A1264" s="5" t="s">
        <v>5525</v>
      </c>
      <c r="B1264" s="5" t="s">
        <v>5523</v>
      </c>
      <c r="C1264" s="5" t="s">
        <v>42</v>
      </c>
      <c r="D1264" s="21">
        <v>2</v>
      </c>
      <c r="E1264" s="12">
        <v>298</v>
      </c>
      <c r="F1264" s="10" t="str">
        <f>_xlfn.XLOOKUP(C1264,menu!A:A,menu!B:B)</f>
        <v>Chicken Popcorn</v>
      </c>
      <c r="G1264" s="10" t="str">
        <f>_xlfn.XLOOKUP(C1264,menu!A:A,menu!C:C)</f>
        <v>Starters</v>
      </c>
      <c r="H1264" s="10">
        <f>_xlfn.XLOOKUP(C1264,menu!A:A,menu!E:E)</f>
        <v>45</v>
      </c>
      <c r="I1264" s="10">
        <f t="shared" si="19"/>
        <v>90</v>
      </c>
      <c r="K1264" s="10"/>
      <c r="L1264" s="5"/>
    </row>
    <row r="1265" spans="1:12" x14ac:dyDescent="0.25">
      <c r="A1265" s="5" t="s">
        <v>5524</v>
      </c>
      <c r="B1265" s="5" t="s">
        <v>5523</v>
      </c>
      <c r="C1265" s="5" t="s">
        <v>8</v>
      </c>
      <c r="D1265" s="21">
        <v>3</v>
      </c>
      <c r="E1265" s="12">
        <v>297</v>
      </c>
      <c r="F1265" s="10" t="str">
        <f>_xlfn.XLOOKUP(C1265,menu!A:A,menu!B:B)</f>
        <v>Paneer Sandwich</v>
      </c>
      <c r="G1265" s="10" t="str">
        <f>_xlfn.XLOOKUP(C1265,menu!A:A,menu!C:C)</f>
        <v>Sandwich</v>
      </c>
      <c r="H1265" s="10">
        <f>_xlfn.XLOOKUP(C1265,menu!A:A,menu!E:E)</f>
        <v>30</v>
      </c>
      <c r="I1265" s="10">
        <f t="shared" si="19"/>
        <v>90</v>
      </c>
      <c r="K1265" s="10"/>
      <c r="L1265" s="5"/>
    </row>
    <row r="1266" spans="1:12" x14ac:dyDescent="0.25">
      <c r="A1266" s="5" t="s">
        <v>5522</v>
      </c>
      <c r="B1266" s="5" t="s">
        <v>5521</v>
      </c>
      <c r="C1266" s="5" t="s">
        <v>56</v>
      </c>
      <c r="D1266" s="21">
        <v>2</v>
      </c>
      <c r="E1266" s="12">
        <v>158</v>
      </c>
      <c r="F1266" s="10" t="str">
        <f>_xlfn.XLOOKUP(C1266,menu!A:A,menu!B:B)</f>
        <v>Mint Mojito</v>
      </c>
      <c r="G1266" s="10" t="str">
        <f>_xlfn.XLOOKUP(C1266,menu!A:A,menu!C:C)</f>
        <v>Beverages</v>
      </c>
      <c r="H1266" s="10">
        <f>_xlfn.XLOOKUP(C1266,menu!A:A,menu!E:E)</f>
        <v>24</v>
      </c>
      <c r="I1266" s="10">
        <f t="shared" si="19"/>
        <v>48</v>
      </c>
      <c r="K1266" s="10"/>
      <c r="L1266" s="5"/>
    </row>
    <row r="1267" spans="1:12" x14ac:dyDescent="0.25">
      <c r="A1267" s="5" t="s">
        <v>5520</v>
      </c>
      <c r="B1267" s="5" t="s">
        <v>5516</v>
      </c>
      <c r="C1267" s="5" t="s">
        <v>35</v>
      </c>
      <c r="D1267" s="21">
        <v>2</v>
      </c>
      <c r="E1267" s="12">
        <v>238</v>
      </c>
      <c r="F1267" s="10" t="str">
        <f>_xlfn.XLOOKUP(C1267,menu!A:A,menu!B:B)</f>
        <v>Chicken Nuggets</v>
      </c>
      <c r="G1267" s="10" t="str">
        <f>_xlfn.XLOOKUP(C1267,menu!A:A,menu!C:C)</f>
        <v>Starters</v>
      </c>
      <c r="H1267" s="10">
        <f>_xlfn.XLOOKUP(C1267,menu!A:A,menu!E:E)</f>
        <v>36</v>
      </c>
      <c r="I1267" s="10">
        <f t="shared" si="19"/>
        <v>72</v>
      </c>
      <c r="K1267" s="10"/>
      <c r="L1267" s="5"/>
    </row>
    <row r="1268" spans="1:12" x14ac:dyDescent="0.25">
      <c r="A1268" s="5" t="s">
        <v>5519</v>
      </c>
      <c r="B1268" s="5" t="s">
        <v>5516</v>
      </c>
      <c r="C1268" s="5" t="s">
        <v>31</v>
      </c>
      <c r="D1268" s="21">
        <v>1</v>
      </c>
      <c r="E1268" s="12">
        <v>89</v>
      </c>
      <c r="F1268" s="10" t="str">
        <f>_xlfn.XLOOKUP(C1268,menu!A:A,menu!B:B)</f>
        <v>Chicken Roll</v>
      </c>
      <c r="G1268" s="10" t="str">
        <f>_xlfn.XLOOKUP(C1268,menu!A:A,menu!C:C)</f>
        <v>Rolls</v>
      </c>
      <c r="H1268" s="10">
        <f>_xlfn.XLOOKUP(C1268,menu!A:A,menu!E:E)</f>
        <v>27</v>
      </c>
      <c r="I1268" s="10">
        <f t="shared" si="19"/>
        <v>27</v>
      </c>
      <c r="K1268" s="10"/>
      <c r="L1268" s="5"/>
    </row>
    <row r="1269" spans="1:12" x14ac:dyDescent="0.25">
      <c r="A1269" s="5" t="s">
        <v>5518</v>
      </c>
      <c r="B1269" s="5" t="s">
        <v>5516</v>
      </c>
      <c r="C1269" s="5" t="s">
        <v>26</v>
      </c>
      <c r="D1269" s="21">
        <v>1</v>
      </c>
      <c r="E1269" s="12">
        <v>59</v>
      </c>
      <c r="F1269" s="10" t="str">
        <f>_xlfn.XLOOKUP(C1269,menu!A:A,menu!B:B)</f>
        <v>Veg Roll</v>
      </c>
      <c r="G1269" s="10" t="str">
        <f>_xlfn.XLOOKUP(C1269,menu!A:A,menu!C:C)</f>
        <v>Rolls</v>
      </c>
      <c r="H1269" s="10">
        <f>_xlfn.XLOOKUP(C1269,menu!A:A,menu!E:E)</f>
        <v>18</v>
      </c>
      <c r="I1269" s="10">
        <f t="shared" si="19"/>
        <v>18</v>
      </c>
      <c r="K1269" s="10"/>
      <c r="L1269" s="5"/>
    </row>
    <row r="1270" spans="1:12" x14ac:dyDescent="0.25">
      <c r="A1270" s="5" t="s">
        <v>5517</v>
      </c>
      <c r="B1270" s="5" t="s">
        <v>5516</v>
      </c>
      <c r="C1270" s="5" t="s">
        <v>61</v>
      </c>
      <c r="D1270" s="21">
        <v>1</v>
      </c>
      <c r="E1270" s="12">
        <v>79</v>
      </c>
      <c r="F1270" s="10" t="str">
        <f>_xlfn.XLOOKUP(C1270,menu!A:A,menu!B:B)</f>
        <v>Watermelon Mojito</v>
      </c>
      <c r="G1270" s="10" t="str">
        <f>_xlfn.XLOOKUP(C1270,menu!A:A,menu!C:C)</f>
        <v>Beverages</v>
      </c>
      <c r="H1270" s="10">
        <f>_xlfn.XLOOKUP(C1270,menu!A:A,menu!E:E)</f>
        <v>24</v>
      </c>
      <c r="I1270" s="10">
        <f t="shared" si="19"/>
        <v>24</v>
      </c>
      <c r="K1270" s="10"/>
      <c r="L1270" s="5"/>
    </row>
    <row r="1271" spans="1:12" x14ac:dyDescent="0.25">
      <c r="A1271" s="5" t="s">
        <v>5515</v>
      </c>
      <c r="B1271" s="5" t="s">
        <v>5512</v>
      </c>
      <c r="C1271" s="5" t="s">
        <v>12</v>
      </c>
      <c r="D1271" s="21">
        <v>2</v>
      </c>
      <c r="E1271" s="12">
        <v>158</v>
      </c>
      <c r="F1271" s="10" t="str">
        <f>_xlfn.XLOOKUP(C1271,menu!A:A,menu!B:B)</f>
        <v>Veg Momos</v>
      </c>
      <c r="G1271" s="10" t="str">
        <f>_xlfn.XLOOKUP(C1271,menu!A:A,menu!C:C)</f>
        <v>Momos</v>
      </c>
      <c r="H1271" s="10">
        <f>_xlfn.XLOOKUP(C1271,menu!A:A,menu!E:E)</f>
        <v>24</v>
      </c>
      <c r="I1271" s="10">
        <f t="shared" si="19"/>
        <v>48</v>
      </c>
      <c r="K1271" s="10"/>
      <c r="L1271" s="5"/>
    </row>
    <row r="1272" spans="1:12" x14ac:dyDescent="0.25">
      <c r="A1272" s="5" t="s">
        <v>5514</v>
      </c>
      <c r="B1272" s="5" t="s">
        <v>5512</v>
      </c>
      <c r="C1272" s="5" t="s">
        <v>44</v>
      </c>
      <c r="D1272" s="21">
        <v>3</v>
      </c>
      <c r="E1272" s="12">
        <v>477</v>
      </c>
      <c r="F1272" s="10" t="str">
        <f>_xlfn.XLOOKUP(C1272,menu!A:A,menu!B:B)</f>
        <v>Fried Chicken</v>
      </c>
      <c r="G1272" s="10" t="str">
        <f>_xlfn.XLOOKUP(C1272,menu!A:A,menu!C:C)</f>
        <v>Starters</v>
      </c>
      <c r="H1272" s="10">
        <f>_xlfn.XLOOKUP(C1272,menu!A:A,menu!E:E)</f>
        <v>48</v>
      </c>
      <c r="I1272" s="10">
        <f t="shared" si="19"/>
        <v>144</v>
      </c>
      <c r="K1272" s="10"/>
      <c r="L1272" s="5"/>
    </row>
    <row r="1273" spans="1:12" x14ac:dyDescent="0.25">
      <c r="A1273" s="5" t="s">
        <v>5513</v>
      </c>
      <c r="B1273" s="5" t="s">
        <v>5512</v>
      </c>
      <c r="C1273" s="5" t="s">
        <v>33</v>
      </c>
      <c r="D1273" s="21">
        <v>4</v>
      </c>
      <c r="E1273" s="12">
        <v>276</v>
      </c>
      <c r="F1273" s="10" t="str">
        <f>_xlfn.XLOOKUP(C1273,menu!A:A,menu!B:B)</f>
        <v>Spring Roll</v>
      </c>
      <c r="G1273" s="10" t="str">
        <f>_xlfn.XLOOKUP(C1273,menu!A:A,menu!C:C)</f>
        <v>Rolls</v>
      </c>
      <c r="H1273" s="10">
        <f>_xlfn.XLOOKUP(C1273,menu!A:A,menu!E:E)</f>
        <v>21</v>
      </c>
      <c r="I1273" s="10">
        <f t="shared" si="19"/>
        <v>84</v>
      </c>
      <c r="K1273" s="10"/>
      <c r="L1273" s="5"/>
    </row>
    <row r="1274" spans="1:12" x14ac:dyDescent="0.25">
      <c r="A1274" s="5" t="s">
        <v>5511</v>
      </c>
      <c r="B1274" s="5" t="s">
        <v>5508</v>
      </c>
      <c r="C1274" s="5" t="s">
        <v>12</v>
      </c>
      <c r="D1274" s="21">
        <v>1</v>
      </c>
      <c r="E1274" s="12">
        <v>79</v>
      </c>
      <c r="F1274" s="10" t="str">
        <f>_xlfn.XLOOKUP(C1274,menu!A:A,menu!B:B)</f>
        <v>Veg Momos</v>
      </c>
      <c r="G1274" s="10" t="str">
        <f>_xlfn.XLOOKUP(C1274,menu!A:A,menu!C:C)</f>
        <v>Momos</v>
      </c>
      <c r="H1274" s="10">
        <f>_xlfn.XLOOKUP(C1274,menu!A:A,menu!E:E)</f>
        <v>24</v>
      </c>
      <c r="I1274" s="10">
        <f t="shared" si="19"/>
        <v>24</v>
      </c>
      <c r="K1274" s="10"/>
      <c r="L1274" s="5"/>
    </row>
    <row r="1275" spans="1:12" x14ac:dyDescent="0.25">
      <c r="A1275" s="5" t="s">
        <v>5510</v>
      </c>
      <c r="B1275" s="5" t="s">
        <v>5508</v>
      </c>
      <c r="C1275" s="5" t="s">
        <v>63</v>
      </c>
      <c r="D1275" s="21">
        <v>3</v>
      </c>
      <c r="E1275" s="12">
        <v>237</v>
      </c>
      <c r="F1275" s="10" t="str">
        <f>_xlfn.XLOOKUP(C1275,menu!A:A,menu!B:B)</f>
        <v>Virgin Mojito</v>
      </c>
      <c r="G1275" s="10" t="str">
        <f>_xlfn.XLOOKUP(C1275,menu!A:A,menu!C:C)</f>
        <v>Beverages</v>
      </c>
      <c r="H1275" s="10">
        <f>_xlfn.XLOOKUP(C1275,menu!A:A,menu!E:E)</f>
        <v>24</v>
      </c>
      <c r="I1275" s="10">
        <f t="shared" si="19"/>
        <v>72</v>
      </c>
      <c r="K1275" s="10"/>
      <c r="L1275" s="5"/>
    </row>
    <row r="1276" spans="1:12" x14ac:dyDescent="0.25">
      <c r="A1276" s="5" t="s">
        <v>5509</v>
      </c>
      <c r="B1276" s="5" t="s">
        <v>5508</v>
      </c>
      <c r="C1276" s="5" t="s">
        <v>54</v>
      </c>
      <c r="D1276" s="21">
        <v>2</v>
      </c>
      <c r="E1276" s="12">
        <v>278</v>
      </c>
      <c r="F1276" s="10" t="str">
        <f>_xlfn.XLOOKUP(C1276,menu!A:A,menu!B:B)</f>
        <v>Chicken Strips</v>
      </c>
      <c r="G1276" s="10" t="str">
        <f>_xlfn.XLOOKUP(C1276,menu!A:A,menu!C:C)</f>
        <v>Starters</v>
      </c>
      <c r="H1276" s="10">
        <f>_xlfn.XLOOKUP(C1276,menu!A:A,menu!E:E)</f>
        <v>42</v>
      </c>
      <c r="I1276" s="10">
        <f t="shared" si="19"/>
        <v>84</v>
      </c>
      <c r="K1276" s="10"/>
      <c r="L1276" s="5"/>
    </row>
    <row r="1277" spans="1:12" x14ac:dyDescent="0.25">
      <c r="A1277" s="5" t="s">
        <v>5507</v>
      </c>
      <c r="B1277" s="5" t="s">
        <v>5503</v>
      </c>
      <c r="C1277" s="5" t="s">
        <v>19</v>
      </c>
      <c r="D1277" s="21">
        <v>1</v>
      </c>
      <c r="E1277" s="12">
        <v>79</v>
      </c>
      <c r="F1277" s="10" t="str">
        <f>_xlfn.XLOOKUP(C1277,menu!A:A,menu!B:B)</f>
        <v>Veg Burger</v>
      </c>
      <c r="G1277" s="10" t="str">
        <f>_xlfn.XLOOKUP(C1277,menu!A:A,menu!C:C)</f>
        <v>Burger</v>
      </c>
      <c r="H1277" s="10">
        <f>_xlfn.XLOOKUP(C1277,menu!A:A,menu!E:E)</f>
        <v>24</v>
      </c>
      <c r="I1277" s="10">
        <f t="shared" si="19"/>
        <v>24</v>
      </c>
      <c r="K1277" s="10"/>
      <c r="L1277" s="5"/>
    </row>
    <row r="1278" spans="1:12" x14ac:dyDescent="0.25">
      <c r="A1278" s="5" t="s">
        <v>5506</v>
      </c>
      <c r="B1278" s="5" t="s">
        <v>5503</v>
      </c>
      <c r="C1278" s="5" t="s">
        <v>52</v>
      </c>
      <c r="D1278" s="21">
        <v>1</v>
      </c>
      <c r="E1278" s="12">
        <v>99</v>
      </c>
      <c r="F1278" s="10" t="str">
        <f>_xlfn.XLOOKUP(C1278,menu!A:A,menu!B:B)</f>
        <v>French Fries</v>
      </c>
      <c r="G1278" s="10" t="str">
        <f>_xlfn.XLOOKUP(C1278,menu!A:A,menu!C:C)</f>
        <v>Starters</v>
      </c>
      <c r="H1278" s="10">
        <f>_xlfn.XLOOKUP(C1278,menu!A:A,menu!E:E)</f>
        <v>30</v>
      </c>
      <c r="I1278" s="10">
        <f t="shared" si="19"/>
        <v>30</v>
      </c>
      <c r="K1278" s="10"/>
      <c r="L1278" s="5"/>
    </row>
    <row r="1279" spans="1:12" x14ac:dyDescent="0.25">
      <c r="A1279" s="5" t="s">
        <v>5505</v>
      </c>
      <c r="B1279" s="5" t="s">
        <v>5503</v>
      </c>
      <c r="C1279" s="5" t="s">
        <v>33</v>
      </c>
      <c r="D1279" s="21">
        <v>1</v>
      </c>
      <c r="E1279" s="12">
        <v>69</v>
      </c>
      <c r="F1279" s="10" t="str">
        <f>_xlfn.XLOOKUP(C1279,menu!A:A,menu!B:B)</f>
        <v>Spring Roll</v>
      </c>
      <c r="G1279" s="10" t="str">
        <f>_xlfn.XLOOKUP(C1279,menu!A:A,menu!C:C)</f>
        <v>Rolls</v>
      </c>
      <c r="H1279" s="10">
        <f>_xlfn.XLOOKUP(C1279,menu!A:A,menu!E:E)</f>
        <v>21</v>
      </c>
      <c r="I1279" s="10">
        <f t="shared" si="19"/>
        <v>21</v>
      </c>
      <c r="K1279" s="10"/>
      <c r="L1279" s="5"/>
    </row>
    <row r="1280" spans="1:12" x14ac:dyDescent="0.25">
      <c r="A1280" s="5" t="s">
        <v>5504</v>
      </c>
      <c r="B1280" s="5" t="s">
        <v>5503</v>
      </c>
      <c r="C1280" s="5" t="s">
        <v>56</v>
      </c>
      <c r="D1280" s="21">
        <v>1</v>
      </c>
      <c r="E1280" s="12">
        <v>79</v>
      </c>
      <c r="F1280" s="10" t="str">
        <f>_xlfn.XLOOKUP(C1280,menu!A:A,menu!B:B)</f>
        <v>Mint Mojito</v>
      </c>
      <c r="G1280" s="10" t="str">
        <f>_xlfn.XLOOKUP(C1280,menu!A:A,menu!C:C)</f>
        <v>Beverages</v>
      </c>
      <c r="H1280" s="10">
        <f>_xlfn.XLOOKUP(C1280,menu!A:A,menu!E:E)</f>
        <v>24</v>
      </c>
      <c r="I1280" s="10">
        <f t="shared" si="19"/>
        <v>24</v>
      </c>
      <c r="K1280" s="10"/>
      <c r="L1280" s="5"/>
    </row>
    <row r="1281" spans="1:12" x14ac:dyDescent="0.25">
      <c r="A1281" s="5" t="s">
        <v>5502</v>
      </c>
      <c r="B1281" s="5" t="s">
        <v>5499</v>
      </c>
      <c r="C1281" s="5" t="s">
        <v>17</v>
      </c>
      <c r="D1281" s="21">
        <v>2</v>
      </c>
      <c r="E1281" s="12">
        <v>178</v>
      </c>
      <c r="F1281" s="10" t="str">
        <f>_xlfn.XLOOKUP(C1281,menu!A:A,menu!B:B)</f>
        <v>Paneer Momos</v>
      </c>
      <c r="G1281" s="10" t="str">
        <f>_xlfn.XLOOKUP(C1281,menu!A:A,menu!C:C)</f>
        <v>Momos</v>
      </c>
      <c r="H1281" s="10">
        <f>_xlfn.XLOOKUP(C1281,menu!A:A,menu!E:E)</f>
        <v>27</v>
      </c>
      <c r="I1281" s="10">
        <f t="shared" si="19"/>
        <v>54</v>
      </c>
      <c r="K1281" s="10"/>
      <c r="L1281" s="5"/>
    </row>
    <row r="1282" spans="1:12" x14ac:dyDescent="0.25">
      <c r="A1282" s="5" t="s">
        <v>5501</v>
      </c>
      <c r="B1282" s="5" t="s">
        <v>5499</v>
      </c>
      <c r="C1282" s="5" t="s">
        <v>52</v>
      </c>
      <c r="D1282" s="21">
        <v>1</v>
      </c>
      <c r="E1282" s="12">
        <v>99</v>
      </c>
      <c r="F1282" s="10" t="str">
        <f>_xlfn.XLOOKUP(C1282,menu!A:A,menu!B:B)</f>
        <v>French Fries</v>
      </c>
      <c r="G1282" s="10" t="str">
        <f>_xlfn.XLOOKUP(C1282,menu!A:A,menu!C:C)</f>
        <v>Starters</v>
      </c>
      <c r="H1282" s="10">
        <f>_xlfn.XLOOKUP(C1282,menu!A:A,menu!E:E)</f>
        <v>30</v>
      </c>
      <c r="I1282" s="10">
        <f t="shared" si="19"/>
        <v>30</v>
      </c>
      <c r="K1282" s="10"/>
      <c r="L1282" s="5"/>
    </row>
    <row r="1283" spans="1:12" x14ac:dyDescent="0.25">
      <c r="A1283" s="5" t="s">
        <v>5500</v>
      </c>
      <c r="B1283" s="5" t="s">
        <v>5499</v>
      </c>
      <c r="C1283" s="5" t="s">
        <v>44</v>
      </c>
      <c r="D1283" s="21">
        <v>2</v>
      </c>
      <c r="E1283" s="12">
        <v>318</v>
      </c>
      <c r="F1283" s="10" t="str">
        <f>_xlfn.XLOOKUP(C1283,menu!A:A,menu!B:B)</f>
        <v>Fried Chicken</v>
      </c>
      <c r="G1283" s="10" t="str">
        <f>_xlfn.XLOOKUP(C1283,menu!A:A,menu!C:C)</f>
        <v>Starters</v>
      </c>
      <c r="H1283" s="10">
        <f>_xlfn.XLOOKUP(C1283,menu!A:A,menu!E:E)</f>
        <v>48</v>
      </c>
      <c r="I1283" s="10">
        <f t="shared" ref="I1283:I1346" si="20">D1283*H1283</f>
        <v>96</v>
      </c>
      <c r="K1283" s="10"/>
      <c r="L1283" s="5"/>
    </row>
    <row r="1284" spans="1:12" x14ac:dyDescent="0.25">
      <c r="A1284" s="5" t="s">
        <v>5498</v>
      </c>
      <c r="B1284" s="5" t="s">
        <v>5497</v>
      </c>
      <c r="C1284" s="5" t="s">
        <v>42</v>
      </c>
      <c r="D1284" s="21">
        <v>1</v>
      </c>
      <c r="E1284" s="12">
        <v>149</v>
      </c>
      <c r="F1284" s="10" t="str">
        <f>_xlfn.XLOOKUP(C1284,menu!A:A,menu!B:B)</f>
        <v>Chicken Popcorn</v>
      </c>
      <c r="G1284" s="10" t="str">
        <f>_xlfn.XLOOKUP(C1284,menu!A:A,menu!C:C)</f>
        <v>Starters</v>
      </c>
      <c r="H1284" s="10">
        <f>_xlfn.XLOOKUP(C1284,menu!A:A,menu!E:E)</f>
        <v>45</v>
      </c>
      <c r="I1284" s="10">
        <f t="shared" si="20"/>
        <v>45</v>
      </c>
      <c r="K1284" s="10"/>
      <c r="L1284" s="5"/>
    </row>
    <row r="1285" spans="1:12" x14ac:dyDescent="0.25">
      <c r="A1285" s="5" t="s">
        <v>5496</v>
      </c>
      <c r="B1285" s="5" t="s">
        <v>5495</v>
      </c>
      <c r="C1285" s="5" t="s">
        <v>50</v>
      </c>
      <c r="D1285" s="21">
        <v>1</v>
      </c>
      <c r="E1285" s="12">
        <v>149</v>
      </c>
      <c r="F1285" s="10" t="str">
        <f>_xlfn.XLOOKUP(C1285,menu!A:A,menu!B:B)</f>
        <v>Grab Lollipop</v>
      </c>
      <c r="G1285" s="10" t="str">
        <f>_xlfn.XLOOKUP(C1285,menu!A:A,menu!C:C)</f>
        <v>Starters</v>
      </c>
      <c r="H1285" s="10">
        <f>_xlfn.XLOOKUP(C1285,menu!A:A,menu!E:E)</f>
        <v>45</v>
      </c>
      <c r="I1285" s="10">
        <f t="shared" si="20"/>
        <v>45</v>
      </c>
      <c r="K1285" s="10"/>
      <c r="L1285" s="5"/>
    </row>
    <row r="1286" spans="1:12" x14ac:dyDescent="0.25">
      <c r="A1286" s="5" t="s">
        <v>5494</v>
      </c>
      <c r="B1286" s="5" t="s">
        <v>5491</v>
      </c>
      <c r="C1286" s="5" t="s">
        <v>17</v>
      </c>
      <c r="D1286" s="21">
        <v>1</v>
      </c>
      <c r="E1286" s="12">
        <v>89</v>
      </c>
      <c r="F1286" s="10" t="str">
        <f>_xlfn.XLOOKUP(C1286,menu!A:A,menu!B:B)</f>
        <v>Paneer Momos</v>
      </c>
      <c r="G1286" s="10" t="str">
        <f>_xlfn.XLOOKUP(C1286,menu!A:A,menu!C:C)</f>
        <v>Momos</v>
      </c>
      <c r="H1286" s="10">
        <f>_xlfn.XLOOKUP(C1286,menu!A:A,menu!E:E)</f>
        <v>27</v>
      </c>
      <c r="I1286" s="10">
        <f t="shared" si="20"/>
        <v>27</v>
      </c>
      <c r="K1286" s="10"/>
      <c r="L1286" s="5"/>
    </row>
    <row r="1287" spans="1:12" x14ac:dyDescent="0.25">
      <c r="A1287" s="5" t="s">
        <v>5493</v>
      </c>
      <c r="B1287" s="5" t="s">
        <v>5491</v>
      </c>
      <c r="C1287" s="5" t="s">
        <v>50</v>
      </c>
      <c r="D1287" s="21">
        <v>1</v>
      </c>
      <c r="E1287" s="12">
        <v>149</v>
      </c>
      <c r="F1287" s="10" t="str">
        <f>_xlfn.XLOOKUP(C1287,menu!A:A,menu!B:B)</f>
        <v>Grab Lollipop</v>
      </c>
      <c r="G1287" s="10" t="str">
        <f>_xlfn.XLOOKUP(C1287,menu!A:A,menu!C:C)</f>
        <v>Starters</v>
      </c>
      <c r="H1287" s="10">
        <f>_xlfn.XLOOKUP(C1287,menu!A:A,menu!E:E)</f>
        <v>45</v>
      </c>
      <c r="I1287" s="10">
        <f t="shared" si="20"/>
        <v>45</v>
      </c>
      <c r="K1287" s="10"/>
      <c r="L1287" s="5"/>
    </row>
    <row r="1288" spans="1:12" x14ac:dyDescent="0.25">
      <c r="A1288" s="5" t="s">
        <v>5492</v>
      </c>
      <c r="B1288" s="5" t="s">
        <v>5491</v>
      </c>
      <c r="C1288" s="5" t="s">
        <v>44</v>
      </c>
      <c r="D1288" s="21">
        <v>3</v>
      </c>
      <c r="E1288" s="12">
        <v>477</v>
      </c>
      <c r="F1288" s="10" t="str">
        <f>_xlfn.XLOOKUP(C1288,menu!A:A,menu!B:B)</f>
        <v>Fried Chicken</v>
      </c>
      <c r="G1288" s="10" t="str">
        <f>_xlfn.XLOOKUP(C1288,menu!A:A,menu!C:C)</f>
        <v>Starters</v>
      </c>
      <c r="H1288" s="10">
        <f>_xlfn.XLOOKUP(C1288,menu!A:A,menu!E:E)</f>
        <v>48</v>
      </c>
      <c r="I1288" s="10">
        <f t="shared" si="20"/>
        <v>144</v>
      </c>
      <c r="K1288" s="10"/>
      <c r="L1288" s="5"/>
    </row>
    <row r="1289" spans="1:12" x14ac:dyDescent="0.25">
      <c r="A1289" s="5" t="s">
        <v>5490</v>
      </c>
      <c r="B1289" s="5" t="s">
        <v>5487</v>
      </c>
      <c r="C1289" s="5" t="s">
        <v>12</v>
      </c>
      <c r="D1289" s="21">
        <v>2</v>
      </c>
      <c r="E1289" s="12">
        <v>158</v>
      </c>
      <c r="F1289" s="10" t="str">
        <f>_xlfn.XLOOKUP(C1289,menu!A:A,menu!B:B)</f>
        <v>Veg Momos</v>
      </c>
      <c r="G1289" s="10" t="str">
        <f>_xlfn.XLOOKUP(C1289,menu!A:A,menu!C:C)</f>
        <v>Momos</v>
      </c>
      <c r="H1289" s="10">
        <f>_xlfn.XLOOKUP(C1289,menu!A:A,menu!E:E)</f>
        <v>24</v>
      </c>
      <c r="I1289" s="10">
        <f t="shared" si="20"/>
        <v>48</v>
      </c>
      <c r="K1289" s="10"/>
      <c r="L1289" s="5"/>
    </row>
    <row r="1290" spans="1:12" x14ac:dyDescent="0.25">
      <c r="A1290" s="5" t="s">
        <v>5489</v>
      </c>
      <c r="B1290" s="5" t="s">
        <v>5487</v>
      </c>
      <c r="C1290" s="5" t="s">
        <v>35</v>
      </c>
      <c r="D1290" s="21">
        <v>1</v>
      </c>
      <c r="E1290" s="12">
        <v>119</v>
      </c>
      <c r="F1290" s="10" t="str">
        <f>_xlfn.XLOOKUP(C1290,menu!A:A,menu!B:B)</f>
        <v>Chicken Nuggets</v>
      </c>
      <c r="G1290" s="10" t="str">
        <f>_xlfn.XLOOKUP(C1290,menu!A:A,menu!C:C)</f>
        <v>Starters</v>
      </c>
      <c r="H1290" s="10">
        <f>_xlfn.XLOOKUP(C1290,menu!A:A,menu!E:E)</f>
        <v>36</v>
      </c>
      <c r="I1290" s="10">
        <f t="shared" si="20"/>
        <v>36</v>
      </c>
      <c r="K1290" s="10"/>
      <c r="L1290" s="5"/>
    </row>
    <row r="1291" spans="1:12" x14ac:dyDescent="0.25">
      <c r="A1291" s="5" t="s">
        <v>5488</v>
      </c>
      <c r="B1291" s="5" t="s">
        <v>5487</v>
      </c>
      <c r="C1291" s="5" t="s">
        <v>42</v>
      </c>
      <c r="D1291" s="21">
        <v>1</v>
      </c>
      <c r="E1291" s="12">
        <v>149</v>
      </c>
      <c r="F1291" s="10" t="str">
        <f>_xlfn.XLOOKUP(C1291,menu!A:A,menu!B:B)</f>
        <v>Chicken Popcorn</v>
      </c>
      <c r="G1291" s="10" t="str">
        <f>_xlfn.XLOOKUP(C1291,menu!A:A,menu!C:C)</f>
        <v>Starters</v>
      </c>
      <c r="H1291" s="10">
        <f>_xlfn.XLOOKUP(C1291,menu!A:A,menu!E:E)</f>
        <v>45</v>
      </c>
      <c r="I1291" s="10">
        <f t="shared" si="20"/>
        <v>45</v>
      </c>
      <c r="K1291" s="10"/>
      <c r="L1291" s="5"/>
    </row>
    <row r="1292" spans="1:12" x14ac:dyDescent="0.25">
      <c r="A1292" s="5" t="s">
        <v>5486</v>
      </c>
      <c r="B1292" s="5" t="s">
        <v>5483</v>
      </c>
      <c r="C1292" s="5" t="s">
        <v>44</v>
      </c>
      <c r="D1292" s="21">
        <v>1</v>
      </c>
      <c r="E1292" s="12">
        <v>159</v>
      </c>
      <c r="F1292" s="10" t="str">
        <f>_xlfn.XLOOKUP(C1292,menu!A:A,menu!B:B)</f>
        <v>Fried Chicken</v>
      </c>
      <c r="G1292" s="10" t="str">
        <f>_xlfn.XLOOKUP(C1292,menu!A:A,menu!C:C)</f>
        <v>Starters</v>
      </c>
      <c r="H1292" s="10">
        <f>_xlfn.XLOOKUP(C1292,menu!A:A,menu!E:E)</f>
        <v>48</v>
      </c>
      <c r="I1292" s="10">
        <f t="shared" si="20"/>
        <v>48</v>
      </c>
      <c r="K1292" s="10"/>
      <c r="L1292" s="5"/>
    </row>
    <row r="1293" spans="1:12" x14ac:dyDescent="0.25">
      <c r="A1293" s="5" t="s">
        <v>5485</v>
      </c>
      <c r="B1293" s="5" t="s">
        <v>5483</v>
      </c>
      <c r="C1293" s="5" t="s">
        <v>33</v>
      </c>
      <c r="D1293" s="21">
        <v>1</v>
      </c>
      <c r="E1293" s="12">
        <v>69</v>
      </c>
      <c r="F1293" s="10" t="str">
        <f>_xlfn.XLOOKUP(C1293,menu!A:A,menu!B:B)</f>
        <v>Spring Roll</v>
      </c>
      <c r="G1293" s="10" t="str">
        <f>_xlfn.XLOOKUP(C1293,menu!A:A,menu!C:C)</f>
        <v>Rolls</v>
      </c>
      <c r="H1293" s="10">
        <f>_xlfn.XLOOKUP(C1293,menu!A:A,menu!E:E)</f>
        <v>21</v>
      </c>
      <c r="I1293" s="10">
        <f t="shared" si="20"/>
        <v>21</v>
      </c>
      <c r="K1293" s="10"/>
      <c r="L1293" s="5"/>
    </row>
    <row r="1294" spans="1:12" x14ac:dyDescent="0.25">
      <c r="A1294" s="5" t="s">
        <v>5484</v>
      </c>
      <c r="B1294" s="5" t="s">
        <v>5483</v>
      </c>
      <c r="C1294" s="5" t="s">
        <v>38</v>
      </c>
      <c r="D1294" s="21">
        <v>4</v>
      </c>
      <c r="E1294" s="12">
        <v>596</v>
      </c>
      <c r="F1294" s="10" t="str">
        <f>_xlfn.XLOOKUP(C1294,menu!A:A,menu!B:B)</f>
        <v>Chicken Wings</v>
      </c>
      <c r="G1294" s="10" t="str">
        <f>_xlfn.XLOOKUP(C1294,menu!A:A,menu!C:C)</f>
        <v>Starters</v>
      </c>
      <c r="H1294" s="10">
        <f>_xlfn.XLOOKUP(C1294,menu!A:A,menu!E:E)</f>
        <v>45</v>
      </c>
      <c r="I1294" s="10">
        <f t="shared" si="20"/>
        <v>180</v>
      </c>
      <c r="K1294" s="10"/>
      <c r="L1294" s="5"/>
    </row>
    <row r="1295" spans="1:12" x14ac:dyDescent="0.25">
      <c r="A1295" s="5" t="s">
        <v>5482</v>
      </c>
      <c r="B1295" s="5" t="s">
        <v>5478</v>
      </c>
      <c r="C1295" s="5" t="s">
        <v>40</v>
      </c>
      <c r="D1295" s="21">
        <v>1</v>
      </c>
      <c r="E1295" s="12">
        <v>99</v>
      </c>
      <c r="F1295" s="10" t="str">
        <f>_xlfn.XLOOKUP(C1295,menu!A:A,menu!B:B)</f>
        <v>Veg Nuggets</v>
      </c>
      <c r="G1295" s="10" t="str">
        <f>_xlfn.XLOOKUP(C1295,menu!A:A,menu!C:C)</f>
        <v>Starters</v>
      </c>
      <c r="H1295" s="10">
        <f>_xlfn.XLOOKUP(C1295,menu!A:A,menu!E:E)</f>
        <v>30</v>
      </c>
      <c r="I1295" s="10">
        <f t="shared" si="20"/>
        <v>30</v>
      </c>
      <c r="K1295" s="10"/>
      <c r="L1295" s="5"/>
    </row>
    <row r="1296" spans="1:12" x14ac:dyDescent="0.25">
      <c r="A1296" s="5" t="s">
        <v>5481</v>
      </c>
      <c r="B1296" s="5" t="s">
        <v>5478</v>
      </c>
      <c r="C1296" s="5" t="s">
        <v>44</v>
      </c>
      <c r="D1296" s="21">
        <v>3</v>
      </c>
      <c r="E1296" s="12">
        <v>477</v>
      </c>
      <c r="F1296" s="10" t="str">
        <f>_xlfn.XLOOKUP(C1296,menu!A:A,menu!B:B)</f>
        <v>Fried Chicken</v>
      </c>
      <c r="G1296" s="10" t="str">
        <f>_xlfn.XLOOKUP(C1296,menu!A:A,menu!C:C)</f>
        <v>Starters</v>
      </c>
      <c r="H1296" s="10">
        <f>_xlfn.XLOOKUP(C1296,menu!A:A,menu!E:E)</f>
        <v>48</v>
      </c>
      <c r="I1296" s="10">
        <f t="shared" si="20"/>
        <v>144</v>
      </c>
      <c r="K1296" s="10"/>
      <c r="L1296" s="5"/>
    </row>
    <row r="1297" spans="1:12" x14ac:dyDescent="0.25">
      <c r="A1297" s="5" t="s">
        <v>5480</v>
      </c>
      <c r="B1297" s="5" t="s">
        <v>5478</v>
      </c>
      <c r="C1297" s="5" t="s">
        <v>65</v>
      </c>
      <c r="D1297" s="21">
        <v>4</v>
      </c>
      <c r="E1297" s="12">
        <v>196</v>
      </c>
      <c r="F1297" s="10" t="str">
        <f>_xlfn.XLOOKUP(C1297,menu!A:A,menu!B:B)</f>
        <v>Lemon Juice</v>
      </c>
      <c r="G1297" s="10" t="str">
        <f>_xlfn.XLOOKUP(C1297,menu!A:A,menu!C:C)</f>
        <v>Beverages</v>
      </c>
      <c r="H1297" s="10">
        <f>_xlfn.XLOOKUP(C1297,menu!A:A,menu!E:E)</f>
        <v>15</v>
      </c>
      <c r="I1297" s="10">
        <f t="shared" si="20"/>
        <v>60</v>
      </c>
      <c r="K1297" s="10"/>
      <c r="L1297" s="5"/>
    </row>
    <row r="1298" spans="1:12" x14ac:dyDescent="0.25">
      <c r="A1298" s="5" t="s">
        <v>5479</v>
      </c>
      <c r="B1298" s="5" t="s">
        <v>5478</v>
      </c>
      <c r="C1298" s="5" t="s">
        <v>38</v>
      </c>
      <c r="D1298" s="21">
        <v>1</v>
      </c>
      <c r="E1298" s="12">
        <v>149</v>
      </c>
      <c r="F1298" s="10" t="str">
        <f>_xlfn.XLOOKUP(C1298,menu!A:A,menu!B:B)</f>
        <v>Chicken Wings</v>
      </c>
      <c r="G1298" s="10" t="str">
        <f>_xlfn.XLOOKUP(C1298,menu!A:A,menu!C:C)</f>
        <v>Starters</v>
      </c>
      <c r="H1298" s="10">
        <f>_xlfn.XLOOKUP(C1298,menu!A:A,menu!E:E)</f>
        <v>45</v>
      </c>
      <c r="I1298" s="10">
        <f t="shared" si="20"/>
        <v>45</v>
      </c>
      <c r="K1298" s="10"/>
      <c r="L1298" s="5"/>
    </row>
    <row r="1299" spans="1:12" x14ac:dyDescent="0.25">
      <c r="A1299" s="5" t="s">
        <v>5477</v>
      </c>
      <c r="B1299" s="5" t="s">
        <v>5475</v>
      </c>
      <c r="C1299" s="5" t="s">
        <v>19</v>
      </c>
      <c r="D1299" s="21">
        <v>4</v>
      </c>
      <c r="E1299" s="12">
        <v>316</v>
      </c>
      <c r="F1299" s="10" t="str">
        <f>_xlfn.XLOOKUP(C1299,menu!A:A,menu!B:B)</f>
        <v>Veg Burger</v>
      </c>
      <c r="G1299" s="10" t="str">
        <f>_xlfn.XLOOKUP(C1299,menu!A:A,menu!C:C)</f>
        <v>Burger</v>
      </c>
      <c r="H1299" s="10">
        <f>_xlfn.XLOOKUP(C1299,menu!A:A,menu!E:E)</f>
        <v>24</v>
      </c>
      <c r="I1299" s="10">
        <f t="shared" si="20"/>
        <v>96</v>
      </c>
      <c r="K1299" s="10"/>
      <c r="L1299" s="5"/>
    </row>
    <row r="1300" spans="1:12" x14ac:dyDescent="0.25">
      <c r="A1300" s="5" t="s">
        <v>5476</v>
      </c>
      <c r="B1300" s="5" t="s">
        <v>5475</v>
      </c>
      <c r="C1300" s="5" t="s">
        <v>48</v>
      </c>
      <c r="D1300" s="21">
        <v>1</v>
      </c>
      <c r="E1300" s="12">
        <v>159</v>
      </c>
      <c r="F1300" s="10" t="str">
        <f>_xlfn.XLOOKUP(C1300,menu!A:A,menu!B:B)</f>
        <v>Chicken Lollipop</v>
      </c>
      <c r="G1300" s="10" t="str">
        <f>_xlfn.XLOOKUP(C1300,menu!A:A,menu!C:C)</f>
        <v>Starters</v>
      </c>
      <c r="H1300" s="10">
        <f>_xlfn.XLOOKUP(C1300,menu!A:A,menu!E:E)</f>
        <v>48</v>
      </c>
      <c r="I1300" s="10">
        <f t="shared" si="20"/>
        <v>48</v>
      </c>
      <c r="K1300" s="10"/>
      <c r="L1300" s="5"/>
    </row>
    <row r="1301" spans="1:12" x14ac:dyDescent="0.25">
      <c r="A1301" s="5" t="s">
        <v>5474</v>
      </c>
      <c r="B1301" s="5" t="s">
        <v>5472</v>
      </c>
      <c r="C1301" s="5" t="s">
        <v>17</v>
      </c>
      <c r="D1301" s="21">
        <v>1</v>
      </c>
      <c r="E1301" s="12">
        <v>89</v>
      </c>
      <c r="F1301" s="10" t="str">
        <f>_xlfn.XLOOKUP(C1301,menu!A:A,menu!B:B)</f>
        <v>Paneer Momos</v>
      </c>
      <c r="G1301" s="10" t="str">
        <f>_xlfn.XLOOKUP(C1301,menu!A:A,menu!C:C)</f>
        <v>Momos</v>
      </c>
      <c r="H1301" s="10">
        <f>_xlfn.XLOOKUP(C1301,menu!A:A,menu!E:E)</f>
        <v>27</v>
      </c>
      <c r="I1301" s="10">
        <f t="shared" si="20"/>
        <v>27</v>
      </c>
      <c r="K1301" s="10"/>
      <c r="L1301" s="5"/>
    </row>
    <row r="1302" spans="1:12" x14ac:dyDescent="0.25">
      <c r="A1302" s="5" t="s">
        <v>5473</v>
      </c>
      <c r="B1302" s="5" t="s">
        <v>5472</v>
      </c>
      <c r="C1302" s="5" t="s">
        <v>31</v>
      </c>
      <c r="D1302" s="21">
        <v>2</v>
      </c>
      <c r="E1302" s="12">
        <v>178</v>
      </c>
      <c r="F1302" s="10" t="str">
        <f>_xlfn.XLOOKUP(C1302,menu!A:A,menu!B:B)</f>
        <v>Chicken Roll</v>
      </c>
      <c r="G1302" s="10" t="str">
        <f>_xlfn.XLOOKUP(C1302,menu!A:A,menu!C:C)</f>
        <v>Rolls</v>
      </c>
      <c r="H1302" s="10">
        <f>_xlfn.XLOOKUP(C1302,menu!A:A,menu!E:E)</f>
        <v>27</v>
      </c>
      <c r="I1302" s="10">
        <f t="shared" si="20"/>
        <v>54</v>
      </c>
      <c r="K1302" s="10"/>
      <c r="L1302" s="5"/>
    </row>
    <row r="1303" spans="1:12" x14ac:dyDescent="0.25">
      <c r="A1303" s="5" t="s">
        <v>5471</v>
      </c>
      <c r="B1303" s="5" t="s">
        <v>5467</v>
      </c>
      <c r="C1303" s="5" t="s">
        <v>56</v>
      </c>
      <c r="D1303" s="21">
        <v>3</v>
      </c>
      <c r="E1303" s="12">
        <v>237</v>
      </c>
      <c r="F1303" s="10" t="str">
        <f>_xlfn.XLOOKUP(C1303,menu!A:A,menu!B:B)</f>
        <v>Mint Mojito</v>
      </c>
      <c r="G1303" s="10" t="str">
        <f>_xlfn.XLOOKUP(C1303,menu!A:A,menu!C:C)</f>
        <v>Beverages</v>
      </c>
      <c r="H1303" s="10">
        <f>_xlfn.XLOOKUP(C1303,menu!A:A,menu!E:E)</f>
        <v>24</v>
      </c>
      <c r="I1303" s="10">
        <f t="shared" si="20"/>
        <v>72</v>
      </c>
      <c r="K1303" s="10"/>
      <c r="L1303" s="5"/>
    </row>
    <row r="1304" spans="1:12" x14ac:dyDescent="0.25">
      <c r="A1304" s="5" t="s">
        <v>5470</v>
      </c>
      <c r="B1304" s="5" t="s">
        <v>5467</v>
      </c>
      <c r="C1304" s="5" t="s">
        <v>50</v>
      </c>
      <c r="D1304" s="21">
        <v>2</v>
      </c>
      <c r="E1304" s="12">
        <v>298</v>
      </c>
      <c r="F1304" s="10" t="str">
        <f>_xlfn.XLOOKUP(C1304,menu!A:A,menu!B:B)</f>
        <v>Grab Lollipop</v>
      </c>
      <c r="G1304" s="10" t="str">
        <f>_xlfn.XLOOKUP(C1304,menu!A:A,menu!C:C)</f>
        <v>Starters</v>
      </c>
      <c r="H1304" s="10">
        <f>_xlfn.XLOOKUP(C1304,menu!A:A,menu!E:E)</f>
        <v>45</v>
      </c>
      <c r="I1304" s="10">
        <f t="shared" si="20"/>
        <v>90</v>
      </c>
      <c r="K1304" s="10"/>
      <c r="L1304" s="5"/>
    </row>
    <row r="1305" spans="1:12" x14ac:dyDescent="0.25">
      <c r="A1305" s="5" t="s">
        <v>5469</v>
      </c>
      <c r="B1305" s="5" t="s">
        <v>5467</v>
      </c>
      <c r="C1305" s="5" t="s">
        <v>33</v>
      </c>
      <c r="D1305" s="21">
        <v>2</v>
      </c>
      <c r="E1305" s="12">
        <v>138</v>
      </c>
      <c r="F1305" s="10" t="str">
        <f>_xlfn.XLOOKUP(C1305,menu!A:A,menu!B:B)</f>
        <v>Spring Roll</v>
      </c>
      <c r="G1305" s="10" t="str">
        <f>_xlfn.XLOOKUP(C1305,menu!A:A,menu!C:C)</f>
        <v>Rolls</v>
      </c>
      <c r="H1305" s="10">
        <f>_xlfn.XLOOKUP(C1305,menu!A:A,menu!E:E)</f>
        <v>21</v>
      </c>
      <c r="I1305" s="10">
        <f t="shared" si="20"/>
        <v>42</v>
      </c>
      <c r="K1305" s="10"/>
      <c r="L1305" s="5"/>
    </row>
    <row r="1306" spans="1:12" x14ac:dyDescent="0.25">
      <c r="A1306" s="5" t="s">
        <v>5468</v>
      </c>
      <c r="B1306" s="5" t="s">
        <v>5467</v>
      </c>
      <c r="C1306" s="5" t="s">
        <v>38</v>
      </c>
      <c r="D1306" s="21">
        <v>1</v>
      </c>
      <c r="E1306" s="12">
        <v>149</v>
      </c>
      <c r="F1306" s="10" t="str">
        <f>_xlfn.XLOOKUP(C1306,menu!A:A,menu!B:B)</f>
        <v>Chicken Wings</v>
      </c>
      <c r="G1306" s="10" t="str">
        <f>_xlfn.XLOOKUP(C1306,menu!A:A,menu!C:C)</f>
        <v>Starters</v>
      </c>
      <c r="H1306" s="10">
        <f>_xlfn.XLOOKUP(C1306,menu!A:A,menu!E:E)</f>
        <v>45</v>
      </c>
      <c r="I1306" s="10">
        <f t="shared" si="20"/>
        <v>45</v>
      </c>
      <c r="K1306" s="10"/>
      <c r="L1306" s="5"/>
    </row>
    <row r="1307" spans="1:12" x14ac:dyDescent="0.25">
      <c r="A1307" s="5" t="s">
        <v>5466</v>
      </c>
      <c r="B1307" s="5" t="s">
        <v>5463</v>
      </c>
      <c r="C1307" s="5" t="s">
        <v>52</v>
      </c>
      <c r="D1307" s="21">
        <v>5</v>
      </c>
      <c r="E1307" s="12">
        <v>495</v>
      </c>
      <c r="F1307" s="10" t="str">
        <f>_xlfn.XLOOKUP(C1307,menu!A:A,menu!B:B)</f>
        <v>French Fries</v>
      </c>
      <c r="G1307" s="10" t="str">
        <f>_xlfn.XLOOKUP(C1307,menu!A:A,menu!C:C)</f>
        <v>Starters</v>
      </c>
      <c r="H1307" s="10">
        <f>_xlfn.XLOOKUP(C1307,menu!A:A,menu!E:E)</f>
        <v>30</v>
      </c>
      <c r="I1307" s="10">
        <f t="shared" si="20"/>
        <v>150</v>
      </c>
      <c r="K1307" s="10"/>
      <c r="L1307" s="5"/>
    </row>
    <row r="1308" spans="1:12" x14ac:dyDescent="0.25">
      <c r="A1308" s="5" t="s">
        <v>5465</v>
      </c>
      <c r="B1308" s="5" t="s">
        <v>5463</v>
      </c>
      <c r="C1308" s="5" t="s">
        <v>44</v>
      </c>
      <c r="D1308" s="21">
        <v>1</v>
      </c>
      <c r="E1308" s="12">
        <v>159</v>
      </c>
      <c r="F1308" s="10" t="str">
        <f>_xlfn.XLOOKUP(C1308,menu!A:A,menu!B:B)</f>
        <v>Fried Chicken</v>
      </c>
      <c r="G1308" s="10" t="str">
        <f>_xlfn.XLOOKUP(C1308,menu!A:A,menu!C:C)</f>
        <v>Starters</v>
      </c>
      <c r="H1308" s="10">
        <f>_xlfn.XLOOKUP(C1308,menu!A:A,menu!E:E)</f>
        <v>48</v>
      </c>
      <c r="I1308" s="10">
        <f t="shared" si="20"/>
        <v>48</v>
      </c>
      <c r="K1308" s="10"/>
      <c r="L1308" s="5"/>
    </row>
    <row r="1309" spans="1:12" x14ac:dyDescent="0.25">
      <c r="A1309" s="5" t="s">
        <v>5464</v>
      </c>
      <c r="B1309" s="5" t="s">
        <v>5463</v>
      </c>
      <c r="C1309" s="5" t="s">
        <v>24</v>
      </c>
      <c r="D1309" s="21">
        <v>1</v>
      </c>
      <c r="E1309" s="12">
        <v>89</v>
      </c>
      <c r="F1309" s="10" t="str">
        <f>_xlfn.XLOOKUP(C1309,menu!A:A,menu!B:B)</f>
        <v>Paneer Burger</v>
      </c>
      <c r="G1309" s="10" t="str">
        <f>_xlfn.XLOOKUP(C1309,menu!A:A,menu!C:C)</f>
        <v>Burger</v>
      </c>
      <c r="H1309" s="10">
        <f>_xlfn.XLOOKUP(C1309,menu!A:A,menu!E:E)</f>
        <v>27</v>
      </c>
      <c r="I1309" s="10">
        <f t="shared" si="20"/>
        <v>27</v>
      </c>
      <c r="K1309" s="10"/>
      <c r="L1309" s="5"/>
    </row>
    <row r="1310" spans="1:12" x14ac:dyDescent="0.25">
      <c r="A1310" s="5" t="s">
        <v>5462</v>
      </c>
      <c r="B1310" s="5" t="s">
        <v>5460</v>
      </c>
      <c r="C1310" s="5" t="s">
        <v>5</v>
      </c>
      <c r="D1310" s="21">
        <v>2</v>
      </c>
      <c r="E1310" s="12">
        <v>158</v>
      </c>
      <c r="F1310" s="10" t="str">
        <f>_xlfn.XLOOKUP(C1310,menu!A:A,menu!B:B)</f>
        <v>Veg Sandwich</v>
      </c>
      <c r="G1310" s="10" t="str">
        <f>_xlfn.XLOOKUP(C1310,menu!A:A,menu!C:C)</f>
        <v>Sandwich</v>
      </c>
      <c r="H1310" s="10">
        <f>_xlfn.XLOOKUP(C1310,menu!A:A,menu!E:E)</f>
        <v>24</v>
      </c>
      <c r="I1310" s="10">
        <f t="shared" si="20"/>
        <v>48</v>
      </c>
      <c r="K1310" s="10"/>
      <c r="L1310" s="5"/>
    </row>
    <row r="1311" spans="1:12" x14ac:dyDescent="0.25">
      <c r="A1311" s="5" t="s">
        <v>5461</v>
      </c>
      <c r="B1311" s="5" t="s">
        <v>5460</v>
      </c>
      <c r="C1311" s="5" t="s">
        <v>26</v>
      </c>
      <c r="D1311" s="21">
        <v>2</v>
      </c>
      <c r="E1311" s="12">
        <v>118</v>
      </c>
      <c r="F1311" s="10" t="str">
        <f>_xlfn.XLOOKUP(C1311,menu!A:A,menu!B:B)</f>
        <v>Veg Roll</v>
      </c>
      <c r="G1311" s="10" t="str">
        <f>_xlfn.XLOOKUP(C1311,menu!A:A,menu!C:C)</f>
        <v>Rolls</v>
      </c>
      <c r="H1311" s="10">
        <f>_xlfn.XLOOKUP(C1311,menu!A:A,menu!E:E)</f>
        <v>18</v>
      </c>
      <c r="I1311" s="10">
        <f t="shared" si="20"/>
        <v>36</v>
      </c>
      <c r="K1311" s="10"/>
      <c r="L1311" s="5"/>
    </row>
    <row r="1312" spans="1:12" x14ac:dyDescent="0.25">
      <c r="A1312" s="5" t="s">
        <v>5459</v>
      </c>
      <c r="B1312" s="5" t="s">
        <v>5457</v>
      </c>
      <c r="C1312" s="5" t="s">
        <v>40</v>
      </c>
      <c r="D1312" s="21">
        <v>4</v>
      </c>
      <c r="E1312" s="12">
        <v>396</v>
      </c>
      <c r="F1312" s="10" t="str">
        <f>_xlfn.XLOOKUP(C1312,menu!A:A,menu!B:B)</f>
        <v>Veg Nuggets</v>
      </c>
      <c r="G1312" s="10" t="str">
        <f>_xlfn.XLOOKUP(C1312,menu!A:A,menu!C:C)</f>
        <v>Starters</v>
      </c>
      <c r="H1312" s="10">
        <f>_xlfn.XLOOKUP(C1312,menu!A:A,menu!E:E)</f>
        <v>30</v>
      </c>
      <c r="I1312" s="10">
        <f t="shared" si="20"/>
        <v>120</v>
      </c>
      <c r="K1312" s="10"/>
      <c r="L1312" s="5"/>
    </row>
    <row r="1313" spans="1:12" x14ac:dyDescent="0.25">
      <c r="A1313" s="5" t="s">
        <v>5458</v>
      </c>
      <c r="B1313" s="5" t="s">
        <v>5457</v>
      </c>
      <c r="C1313" s="5" t="s">
        <v>48</v>
      </c>
      <c r="D1313" s="21">
        <v>3</v>
      </c>
      <c r="E1313" s="12">
        <v>477</v>
      </c>
      <c r="F1313" s="10" t="str">
        <f>_xlfn.XLOOKUP(C1313,menu!A:A,menu!B:B)</f>
        <v>Chicken Lollipop</v>
      </c>
      <c r="G1313" s="10" t="str">
        <f>_xlfn.XLOOKUP(C1313,menu!A:A,menu!C:C)</f>
        <v>Starters</v>
      </c>
      <c r="H1313" s="10">
        <f>_xlfn.XLOOKUP(C1313,menu!A:A,menu!E:E)</f>
        <v>48</v>
      </c>
      <c r="I1313" s="10">
        <f t="shared" si="20"/>
        <v>144</v>
      </c>
      <c r="K1313" s="10"/>
      <c r="L1313" s="5"/>
    </row>
    <row r="1314" spans="1:12" x14ac:dyDescent="0.25">
      <c r="A1314" s="5" t="s">
        <v>5456</v>
      </c>
      <c r="B1314" s="5" t="s">
        <v>5454</v>
      </c>
      <c r="C1314" s="5" t="s">
        <v>52</v>
      </c>
      <c r="D1314" s="21">
        <v>5</v>
      </c>
      <c r="E1314" s="12">
        <v>495</v>
      </c>
      <c r="F1314" s="10" t="str">
        <f>_xlfn.XLOOKUP(C1314,menu!A:A,menu!B:B)</f>
        <v>French Fries</v>
      </c>
      <c r="G1314" s="10" t="str">
        <f>_xlfn.XLOOKUP(C1314,menu!A:A,menu!C:C)</f>
        <v>Starters</v>
      </c>
      <c r="H1314" s="10">
        <f>_xlfn.XLOOKUP(C1314,menu!A:A,menu!E:E)</f>
        <v>30</v>
      </c>
      <c r="I1314" s="10">
        <f t="shared" si="20"/>
        <v>150</v>
      </c>
      <c r="K1314" s="10"/>
      <c r="L1314" s="5"/>
    </row>
    <row r="1315" spans="1:12" x14ac:dyDescent="0.25">
      <c r="A1315" s="5" t="s">
        <v>5455</v>
      </c>
      <c r="B1315" s="5" t="s">
        <v>5454</v>
      </c>
      <c r="C1315" s="5" t="s">
        <v>38</v>
      </c>
      <c r="D1315" s="21">
        <v>1</v>
      </c>
      <c r="E1315" s="12">
        <v>149</v>
      </c>
      <c r="F1315" s="10" t="str">
        <f>_xlfn.XLOOKUP(C1315,menu!A:A,menu!B:B)</f>
        <v>Chicken Wings</v>
      </c>
      <c r="G1315" s="10" t="str">
        <f>_xlfn.XLOOKUP(C1315,menu!A:A,menu!C:C)</f>
        <v>Starters</v>
      </c>
      <c r="H1315" s="10">
        <f>_xlfn.XLOOKUP(C1315,menu!A:A,menu!E:E)</f>
        <v>45</v>
      </c>
      <c r="I1315" s="10">
        <f t="shared" si="20"/>
        <v>45</v>
      </c>
      <c r="K1315" s="10"/>
      <c r="L1315" s="5"/>
    </row>
    <row r="1316" spans="1:12" x14ac:dyDescent="0.25">
      <c r="A1316" s="5" t="s">
        <v>5453</v>
      </c>
      <c r="B1316" s="5" t="s">
        <v>5451</v>
      </c>
      <c r="C1316" s="5" t="s">
        <v>54</v>
      </c>
      <c r="D1316" s="21">
        <v>4</v>
      </c>
      <c r="E1316" s="12">
        <v>556</v>
      </c>
      <c r="F1316" s="10" t="str">
        <f>_xlfn.XLOOKUP(C1316,menu!A:A,menu!B:B)</f>
        <v>Chicken Strips</v>
      </c>
      <c r="G1316" s="10" t="str">
        <f>_xlfn.XLOOKUP(C1316,menu!A:A,menu!C:C)</f>
        <v>Starters</v>
      </c>
      <c r="H1316" s="10">
        <f>_xlfn.XLOOKUP(C1316,menu!A:A,menu!E:E)</f>
        <v>42</v>
      </c>
      <c r="I1316" s="10">
        <f t="shared" si="20"/>
        <v>168</v>
      </c>
      <c r="K1316" s="10"/>
      <c r="L1316" s="5"/>
    </row>
    <row r="1317" spans="1:12" x14ac:dyDescent="0.25">
      <c r="A1317" s="5" t="s">
        <v>5452</v>
      </c>
      <c r="B1317" s="5" t="s">
        <v>5451</v>
      </c>
      <c r="C1317" s="5" t="s">
        <v>33</v>
      </c>
      <c r="D1317" s="21">
        <v>4</v>
      </c>
      <c r="E1317" s="12">
        <v>276</v>
      </c>
      <c r="F1317" s="10" t="str">
        <f>_xlfn.XLOOKUP(C1317,menu!A:A,menu!B:B)</f>
        <v>Spring Roll</v>
      </c>
      <c r="G1317" s="10" t="str">
        <f>_xlfn.XLOOKUP(C1317,menu!A:A,menu!C:C)</f>
        <v>Rolls</v>
      </c>
      <c r="H1317" s="10">
        <f>_xlfn.XLOOKUP(C1317,menu!A:A,menu!E:E)</f>
        <v>21</v>
      </c>
      <c r="I1317" s="10">
        <f t="shared" si="20"/>
        <v>84</v>
      </c>
      <c r="K1317" s="10"/>
      <c r="L1317" s="5"/>
    </row>
    <row r="1318" spans="1:12" x14ac:dyDescent="0.25">
      <c r="A1318" s="5" t="s">
        <v>5450</v>
      </c>
      <c r="B1318" s="5" t="s">
        <v>5449</v>
      </c>
      <c r="C1318" s="5" t="s">
        <v>50</v>
      </c>
      <c r="D1318" s="21">
        <v>2</v>
      </c>
      <c r="E1318" s="12">
        <v>298</v>
      </c>
      <c r="F1318" s="10" t="str">
        <f>_xlfn.XLOOKUP(C1318,menu!A:A,menu!B:B)</f>
        <v>Grab Lollipop</v>
      </c>
      <c r="G1318" s="10" t="str">
        <f>_xlfn.XLOOKUP(C1318,menu!A:A,menu!C:C)</f>
        <v>Starters</v>
      </c>
      <c r="H1318" s="10">
        <f>_xlfn.XLOOKUP(C1318,menu!A:A,menu!E:E)</f>
        <v>45</v>
      </c>
      <c r="I1318" s="10">
        <f t="shared" si="20"/>
        <v>90</v>
      </c>
      <c r="K1318" s="10"/>
      <c r="L1318" s="5"/>
    </row>
    <row r="1319" spans="1:12" x14ac:dyDescent="0.25">
      <c r="A1319" s="5" t="s">
        <v>5448</v>
      </c>
      <c r="B1319" s="5" t="s">
        <v>5446</v>
      </c>
      <c r="C1319" s="5" t="s">
        <v>52</v>
      </c>
      <c r="D1319" s="21">
        <v>5</v>
      </c>
      <c r="E1319" s="12">
        <v>495</v>
      </c>
      <c r="F1319" s="10" t="str">
        <f>_xlfn.XLOOKUP(C1319,menu!A:A,menu!B:B)</f>
        <v>French Fries</v>
      </c>
      <c r="G1319" s="10" t="str">
        <f>_xlfn.XLOOKUP(C1319,menu!A:A,menu!C:C)</f>
        <v>Starters</v>
      </c>
      <c r="H1319" s="10">
        <f>_xlfn.XLOOKUP(C1319,menu!A:A,menu!E:E)</f>
        <v>30</v>
      </c>
      <c r="I1319" s="10">
        <f t="shared" si="20"/>
        <v>150</v>
      </c>
      <c r="K1319" s="10"/>
      <c r="L1319" s="5"/>
    </row>
    <row r="1320" spans="1:12" x14ac:dyDescent="0.25">
      <c r="A1320" s="5" t="s">
        <v>5447</v>
      </c>
      <c r="B1320" s="5" t="s">
        <v>5446</v>
      </c>
      <c r="C1320" s="5" t="s">
        <v>15</v>
      </c>
      <c r="D1320" s="21">
        <v>3</v>
      </c>
      <c r="E1320" s="12">
        <v>297</v>
      </c>
      <c r="F1320" s="10" t="str">
        <f>_xlfn.XLOOKUP(C1320,menu!A:A,menu!B:B)</f>
        <v>Chicken Momos</v>
      </c>
      <c r="G1320" s="10" t="str">
        <f>_xlfn.XLOOKUP(C1320,menu!A:A,menu!C:C)</f>
        <v>Momos</v>
      </c>
      <c r="H1320" s="10">
        <f>_xlfn.XLOOKUP(C1320,menu!A:A,menu!E:E)</f>
        <v>30</v>
      </c>
      <c r="I1320" s="10">
        <f t="shared" si="20"/>
        <v>90</v>
      </c>
      <c r="K1320" s="10"/>
      <c r="L1320" s="5"/>
    </row>
    <row r="1321" spans="1:12" x14ac:dyDescent="0.25">
      <c r="A1321" s="5" t="s">
        <v>5445</v>
      </c>
      <c r="B1321" s="5" t="s">
        <v>5443</v>
      </c>
      <c r="C1321" s="5" t="s">
        <v>12</v>
      </c>
      <c r="D1321" s="21">
        <v>4</v>
      </c>
      <c r="E1321" s="12">
        <v>316</v>
      </c>
      <c r="F1321" s="10" t="str">
        <f>_xlfn.XLOOKUP(C1321,menu!A:A,menu!B:B)</f>
        <v>Veg Momos</v>
      </c>
      <c r="G1321" s="10" t="str">
        <f>_xlfn.XLOOKUP(C1321,menu!A:A,menu!C:C)</f>
        <v>Momos</v>
      </c>
      <c r="H1321" s="10">
        <f>_xlfn.XLOOKUP(C1321,menu!A:A,menu!E:E)</f>
        <v>24</v>
      </c>
      <c r="I1321" s="10">
        <f t="shared" si="20"/>
        <v>96</v>
      </c>
      <c r="K1321" s="10"/>
      <c r="L1321" s="5"/>
    </row>
    <row r="1322" spans="1:12" x14ac:dyDescent="0.25">
      <c r="A1322" s="5" t="s">
        <v>5444</v>
      </c>
      <c r="B1322" s="5" t="s">
        <v>5443</v>
      </c>
      <c r="C1322" s="5" t="s">
        <v>50</v>
      </c>
      <c r="D1322" s="21">
        <v>1</v>
      </c>
      <c r="E1322" s="12">
        <v>149</v>
      </c>
      <c r="F1322" s="10" t="str">
        <f>_xlfn.XLOOKUP(C1322,menu!A:A,menu!B:B)</f>
        <v>Grab Lollipop</v>
      </c>
      <c r="G1322" s="10" t="str">
        <f>_xlfn.XLOOKUP(C1322,menu!A:A,menu!C:C)</f>
        <v>Starters</v>
      </c>
      <c r="H1322" s="10">
        <f>_xlfn.XLOOKUP(C1322,menu!A:A,menu!E:E)</f>
        <v>45</v>
      </c>
      <c r="I1322" s="10">
        <f t="shared" si="20"/>
        <v>45</v>
      </c>
      <c r="K1322" s="10"/>
      <c r="L1322" s="5"/>
    </row>
    <row r="1323" spans="1:12" x14ac:dyDescent="0.25">
      <c r="A1323" s="5" t="s">
        <v>5442</v>
      </c>
      <c r="B1323" s="5" t="s">
        <v>5440</v>
      </c>
      <c r="C1323" s="5" t="s">
        <v>50</v>
      </c>
      <c r="D1323" s="21">
        <v>4</v>
      </c>
      <c r="E1323" s="12">
        <v>596</v>
      </c>
      <c r="F1323" s="10" t="str">
        <f>_xlfn.XLOOKUP(C1323,menu!A:A,menu!B:B)</f>
        <v>Grab Lollipop</v>
      </c>
      <c r="G1323" s="10" t="str">
        <f>_xlfn.XLOOKUP(C1323,menu!A:A,menu!C:C)</f>
        <v>Starters</v>
      </c>
      <c r="H1323" s="10">
        <f>_xlfn.XLOOKUP(C1323,menu!A:A,menu!E:E)</f>
        <v>45</v>
      </c>
      <c r="I1323" s="10">
        <f t="shared" si="20"/>
        <v>180</v>
      </c>
      <c r="K1323" s="10"/>
      <c r="L1323" s="5"/>
    </row>
    <row r="1324" spans="1:12" x14ac:dyDescent="0.25">
      <c r="A1324" s="5" t="s">
        <v>5441</v>
      </c>
      <c r="B1324" s="5" t="s">
        <v>5440</v>
      </c>
      <c r="C1324" s="5" t="s">
        <v>54</v>
      </c>
      <c r="D1324" s="21">
        <v>5</v>
      </c>
      <c r="E1324" s="12">
        <v>695</v>
      </c>
      <c r="F1324" s="10" t="str">
        <f>_xlfn.XLOOKUP(C1324,menu!A:A,menu!B:B)</f>
        <v>Chicken Strips</v>
      </c>
      <c r="G1324" s="10" t="str">
        <f>_xlfn.XLOOKUP(C1324,menu!A:A,menu!C:C)</f>
        <v>Starters</v>
      </c>
      <c r="H1324" s="10">
        <f>_xlfn.XLOOKUP(C1324,menu!A:A,menu!E:E)</f>
        <v>42</v>
      </c>
      <c r="I1324" s="10">
        <f t="shared" si="20"/>
        <v>210</v>
      </c>
      <c r="K1324" s="10"/>
      <c r="L1324" s="5"/>
    </row>
    <row r="1325" spans="1:12" x14ac:dyDescent="0.25">
      <c r="A1325" s="5" t="s">
        <v>5439</v>
      </c>
      <c r="B1325" s="5" t="s">
        <v>5437</v>
      </c>
      <c r="C1325" s="5" t="s">
        <v>19</v>
      </c>
      <c r="D1325" s="21">
        <v>1</v>
      </c>
      <c r="E1325" s="12">
        <v>79</v>
      </c>
      <c r="F1325" s="10" t="str">
        <f>_xlfn.XLOOKUP(C1325,menu!A:A,menu!B:B)</f>
        <v>Veg Burger</v>
      </c>
      <c r="G1325" s="10" t="str">
        <f>_xlfn.XLOOKUP(C1325,menu!A:A,menu!C:C)</f>
        <v>Burger</v>
      </c>
      <c r="H1325" s="10">
        <f>_xlfn.XLOOKUP(C1325,menu!A:A,menu!E:E)</f>
        <v>24</v>
      </c>
      <c r="I1325" s="10">
        <f t="shared" si="20"/>
        <v>24</v>
      </c>
      <c r="K1325" s="10"/>
      <c r="L1325" s="5"/>
    </row>
    <row r="1326" spans="1:12" x14ac:dyDescent="0.25">
      <c r="A1326" s="5" t="s">
        <v>5438</v>
      </c>
      <c r="B1326" s="5" t="s">
        <v>5437</v>
      </c>
      <c r="C1326" s="5" t="s">
        <v>48</v>
      </c>
      <c r="D1326" s="21">
        <v>1</v>
      </c>
      <c r="E1326" s="12">
        <v>159</v>
      </c>
      <c r="F1326" s="10" t="str">
        <f>_xlfn.XLOOKUP(C1326,menu!A:A,menu!B:B)</f>
        <v>Chicken Lollipop</v>
      </c>
      <c r="G1326" s="10" t="str">
        <f>_xlfn.XLOOKUP(C1326,menu!A:A,menu!C:C)</f>
        <v>Starters</v>
      </c>
      <c r="H1326" s="10">
        <f>_xlfn.XLOOKUP(C1326,menu!A:A,menu!E:E)</f>
        <v>48</v>
      </c>
      <c r="I1326" s="10">
        <f t="shared" si="20"/>
        <v>48</v>
      </c>
      <c r="K1326" s="10"/>
      <c r="L1326" s="5"/>
    </row>
    <row r="1327" spans="1:12" x14ac:dyDescent="0.25">
      <c r="A1327" s="5" t="s">
        <v>5436</v>
      </c>
      <c r="B1327" s="5" t="s">
        <v>5432</v>
      </c>
      <c r="C1327" s="5" t="s">
        <v>5</v>
      </c>
      <c r="D1327" s="21">
        <v>1</v>
      </c>
      <c r="E1327" s="12">
        <v>79</v>
      </c>
      <c r="F1327" s="10" t="str">
        <f>_xlfn.XLOOKUP(C1327,menu!A:A,menu!B:B)</f>
        <v>Veg Sandwich</v>
      </c>
      <c r="G1327" s="10" t="str">
        <f>_xlfn.XLOOKUP(C1327,menu!A:A,menu!C:C)</f>
        <v>Sandwich</v>
      </c>
      <c r="H1327" s="10">
        <f>_xlfn.XLOOKUP(C1327,menu!A:A,menu!E:E)</f>
        <v>24</v>
      </c>
      <c r="I1327" s="10">
        <f t="shared" si="20"/>
        <v>24</v>
      </c>
      <c r="K1327" s="10"/>
      <c r="L1327" s="5"/>
    </row>
    <row r="1328" spans="1:12" x14ac:dyDescent="0.25">
      <c r="A1328" s="5" t="s">
        <v>5435</v>
      </c>
      <c r="B1328" s="5" t="s">
        <v>5432</v>
      </c>
      <c r="C1328" s="5" t="s">
        <v>10</v>
      </c>
      <c r="D1328" s="21">
        <v>1</v>
      </c>
      <c r="E1328" s="12">
        <v>119</v>
      </c>
      <c r="F1328" s="10" t="str">
        <f>_xlfn.XLOOKUP(C1328,menu!A:A,menu!B:B)</f>
        <v>Chicken Sandwich</v>
      </c>
      <c r="G1328" s="10" t="str">
        <f>_xlfn.XLOOKUP(C1328,menu!A:A,menu!C:C)</f>
        <v>Sandwich</v>
      </c>
      <c r="H1328" s="10">
        <f>_xlfn.XLOOKUP(C1328,menu!A:A,menu!E:E)</f>
        <v>36</v>
      </c>
      <c r="I1328" s="10">
        <f t="shared" si="20"/>
        <v>36</v>
      </c>
      <c r="K1328" s="10"/>
      <c r="L1328" s="5"/>
    </row>
    <row r="1329" spans="1:12" x14ac:dyDescent="0.25">
      <c r="A1329" s="5" t="s">
        <v>5434</v>
      </c>
      <c r="B1329" s="5" t="s">
        <v>5432</v>
      </c>
      <c r="C1329" s="5" t="s">
        <v>19</v>
      </c>
      <c r="D1329" s="21">
        <v>1</v>
      </c>
      <c r="E1329" s="12">
        <v>79</v>
      </c>
      <c r="F1329" s="10" t="str">
        <f>_xlfn.XLOOKUP(C1329,menu!A:A,menu!B:B)</f>
        <v>Veg Burger</v>
      </c>
      <c r="G1329" s="10" t="str">
        <f>_xlfn.XLOOKUP(C1329,menu!A:A,menu!C:C)</f>
        <v>Burger</v>
      </c>
      <c r="H1329" s="10">
        <f>_xlfn.XLOOKUP(C1329,menu!A:A,menu!E:E)</f>
        <v>24</v>
      </c>
      <c r="I1329" s="10">
        <f t="shared" si="20"/>
        <v>24</v>
      </c>
      <c r="K1329" s="10"/>
      <c r="L1329" s="5"/>
    </row>
    <row r="1330" spans="1:12" x14ac:dyDescent="0.25">
      <c r="A1330" s="5" t="s">
        <v>5433</v>
      </c>
      <c r="B1330" s="5" t="s">
        <v>5432</v>
      </c>
      <c r="C1330" s="5" t="s">
        <v>52</v>
      </c>
      <c r="D1330" s="21">
        <v>2</v>
      </c>
      <c r="E1330" s="12">
        <v>198</v>
      </c>
      <c r="F1330" s="10" t="str">
        <f>_xlfn.XLOOKUP(C1330,menu!A:A,menu!B:B)</f>
        <v>French Fries</v>
      </c>
      <c r="G1330" s="10" t="str">
        <f>_xlfn.XLOOKUP(C1330,menu!A:A,menu!C:C)</f>
        <v>Starters</v>
      </c>
      <c r="H1330" s="10">
        <f>_xlfn.XLOOKUP(C1330,menu!A:A,menu!E:E)</f>
        <v>30</v>
      </c>
      <c r="I1330" s="10">
        <f t="shared" si="20"/>
        <v>60</v>
      </c>
      <c r="K1330" s="10"/>
      <c r="L1330" s="5"/>
    </row>
    <row r="1331" spans="1:12" x14ac:dyDescent="0.25">
      <c r="A1331" s="5" t="s">
        <v>5431</v>
      </c>
      <c r="B1331" s="5" t="s">
        <v>5427</v>
      </c>
      <c r="C1331" s="5" t="s">
        <v>19</v>
      </c>
      <c r="D1331" s="21">
        <v>2</v>
      </c>
      <c r="E1331" s="12">
        <v>158</v>
      </c>
      <c r="F1331" s="10" t="str">
        <f>_xlfn.XLOOKUP(C1331,menu!A:A,menu!B:B)</f>
        <v>Veg Burger</v>
      </c>
      <c r="G1331" s="10" t="str">
        <f>_xlfn.XLOOKUP(C1331,menu!A:A,menu!C:C)</f>
        <v>Burger</v>
      </c>
      <c r="H1331" s="10">
        <f>_xlfn.XLOOKUP(C1331,menu!A:A,menu!E:E)</f>
        <v>24</v>
      </c>
      <c r="I1331" s="10">
        <f t="shared" si="20"/>
        <v>48</v>
      </c>
      <c r="K1331" s="10"/>
      <c r="L1331" s="5"/>
    </row>
    <row r="1332" spans="1:12" x14ac:dyDescent="0.25">
      <c r="A1332" s="5" t="s">
        <v>5430</v>
      </c>
      <c r="B1332" s="5" t="s">
        <v>5427</v>
      </c>
      <c r="C1332" s="5" t="s">
        <v>63</v>
      </c>
      <c r="D1332" s="21">
        <v>3</v>
      </c>
      <c r="E1332" s="12">
        <v>237</v>
      </c>
      <c r="F1332" s="10" t="str">
        <f>_xlfn.XLOOKUP(C1332,menu!A:A,menu!B:B)</f>
        <v>Virgin Mojito</v>
      </c>
      <c r="G1332" s="10" t="str">
        <f>_xlfn.XLOOKUP(C1332,menu!A:A,menu!C:C)</f>
        <v>Beverages</v>
      </c>
      <c r="H1332" s="10">
        <f>_xlfn.XLOOKUP(C1332,menu!A:A,menu!E:E)</f>
        <v>24</v>
      </c>
      <c r="I1332" s="10">
        <f t="shared" si="20"/>
        <v>72</v>
      </c>
      <c r="K1332" s="10"/>
      <c r="L1332" s="5"/>
    </row>
    <row r="1333" spans="1:12" x14ac:dyDescent="0.25">
      <c r="A1333" s="5" t="s">
        <v>5429</v>
      </c>
      <c r="B1333" s="5" t="s">
        <v>5427</v>
      </c>
      <c r="C1333" s="5" t="s">
        <v>54</v>
      </c>
      <c r="D1333" s="21">
        <v>1</v>
      </c>
      <c r="E1333" s="12">
        <v>139</v>
      </c>
      <c r="F1333" s="10" t="str">
        <f>_xlfn.XLOOKUP(C1333,menu!A:A,menu!B:B)</f>
        <v>Chicken Strips</v>
      </c>
      <c r="G1333" s="10" t="str">
        <f>_xlfn.XLOOKUP(C1333,menu!A:A,menu!C:C)</f>
        <v>Starters</v>
      </c>
      <c r="H1333" s="10">
        <f>_xlfn.XLOOKUP(C1333,menu!A:A,menu!E:E)</f>
        <v>42</v>
      </c>
      <c r="I1333" s="10">
        <f t="shared" si="20"/>
        <v>42</v>
      </c>
      <c r="K1333" s="10"/>
      <c r="L1333" s="5"/>
    </row>
    <row r="1334" spans="1:12" x14ac:dyDescent="0.25">
      <c r="A1334" s="5" t="s">
        <v>5428</v>
      </c>
      <c r="B1334" s="5" t="s">
        <v>5427</v>
      </c>
      <c r="C1334" s="5" t="s">
        <v>29</v>
      </c>
      <c r="D1334" s="21">
        <v>1</v>
      </c>
      <c r="E1334" s="12">
        <v>79</v>
      </c>
      <c r="F1334" s="10" t="str">
        <f>_xlfn.XLOOKUP(C1334,menu!A:A,menu!B:B)</f>
        <v>Paneer Roll</v>
      </c>
      <c r="G1334" s="10" t="str">
        <f>_xlfn.XLOOKUP(C1334,menu!A:A,menu!C:C)</f>
        <v>Rolls</v>
      </c>
      <c r="H1334" s="10">
        <f>_xlfn.XLOOKUP(C1334,menu!A:A,menu!E:E)</f>
        <v>24</v>
      </c>
      <c r="I1334" s="10">
        <f t="shared" si="20"/>
        <v>24</v>
      </c>
      <c r="K1334" s="10"/>
      <c r="L1334" s="5"/>
    </row>
    <row r="1335" spans="1:12" x14ac:dyDescent="0.25">
      <c r="A1335" s="5" t="s">
        <v>5426</v>
      </c>
      <c r="B1335" s="5" t="s">
        <v>5424</v>
      </c>
      <c r="C1335" s="5" t="s">
        <v>17</v>
      </c>
      <c r="D1335" s="21">
        <v>1</v>
      </c>
      <c r="E1335" s="12">
        <v>89</v>
      </c>
      <c r="F1335" s="10" t="str">
        <f>_xlfn.XLOOKUP(C1335,menu!A:A,menu!B:B)</f>
        <v>Paneer Momos</v>
      </c>
      <c r="G1335" s="10" t="str">
        <f>_xlfn.XLOOKUP(C1335,menu!A:A,menu!C:C)</f>
        <v>Momos</v>
      </c>
      <c r="H1335" s="10">
        <f>_xlfn.XLOOKUP(C1335,menu!A:A,menu!E:E)</f>
        <v>27</v>
      </c>
      <c r="I1335" s="10">
        <f t="shared" si="20"/>
        <v>27</v>
      </c>
      <c r="K1335" s="10"/>
      <c r="L1335" s="5"/>
    </row>
    <row r="1336" spans="1:12" x14ac:dyDescent="0.25">
      <c r="A1336" s="5" t="s">
        <v>5425</v>
      </c>
      <c r="B1336" s="5" t="s">
        <v>5424</v>
      </c>
      <c r="C1336" s="5" t="s">
        <v>56</v>
      </c>
      <c r="D1336" s="21">
        <v>2</v>
      </c>
      <c r="E1336" s="12">
        <v>158</v>
      </c>
      <c r="F1336" s="10" t="str">
        <f>_xlfn.XLOOKUP(C1336,menu!A:A,menu!B:B)</f>
        <v>Mint Mojito</v>
      </c>
      <c r="G1336" s="10" t="str">
        <f>_xlfn.XLOOKUP(C1336,menu!A:A,menu!C:C)</f>
        <v>Beverages</v>
      </c>
      <c r="H1336" s="10">
        <f>_xlfn.XLOOKUP(C1336,menu!A:A,menu!E:E)</f>
        <v>24</v>
      </c>
      <c r="I1336" s="10">
        <f t="shared" si="20"/>
        <v>48</v>
      </c>
      <c r="K1336" s="10"/>
      <c r="L1336" s="5"/>
    </row>
    <row r="1337" spans="1:12" x14ac:dyDescent="0.25">
      <c r="A1337" s="5" t="s">
        <v>5423</v>
      </c>
      <c r="B1337" s="5" t="s">
        <v>5421</v>
      </c>
      <c r="C1337" s="5" t="s">
        <v>35</v>
      </c>
      <c r="D1337" s="21">
        <v>1</v>
      </c>
      <c r="E1337" s="12">
        <v>119</v>
      </c>
      <c r="F1337" s="10" t="str">
        <f>_xlfn.XLOOKUP(C1337,menu!A:A,menu!B:B)</f>
        <v>Chicken Nuggets</v>
      </c>
      <c r="G1337" s="10" t="str">
        <f>_xlfn.XLOOKUP(C1337,menu!A:A,menu!C:C)</f>
        <v>Starters</v>
      </c>
      <c r="H1337" s="10">
        <f>_xlfn.XLOOKUP(C1337,menu!A:A,menu!E:E)</f>
        <v>36</v>
      </c>
      <c r="I1337" s="10">
        <f t="shared" si="20"/>
        <v>36</v>
      </c>
      <c r="K1337" s="10"/>
      <c r="L1337" s="5"/>
    </row>
    <row r="1338" spans="1:12" x14ac:dyDescent="0.25">
      <c r="A1338" s="5" t="s">
        <v>5422</v>
      </c>
      <c r="B1338" s="5" t="s">
        <v>5421</v>
      </c>
      <c r="C1338" s="5" t="s">
        <v>26</v>
      </c>
      <c r="D1338" s="21">
        <v>1</v>
      </c>
      <c r="E1338" s="12">
        <v>59</v>
      </c>
      <c r="F1338" s="10" t="str">
        <f>_xlfn.XLOOKUP(C1338,menu!A:A,menu!B:B)</f>
        <v>Veg Roll</v>
      </c>
      <c r="G1338" s="10" t="str">
        <f>_xlfn.XLOOKUP(C1338,menu!A:A,menu!C:C)</f>
        <v>Rolls</v>
      </c>
      <c r="H1338" s="10">
        <f>_xlfn.XLOOKUP(C1338,menu!A:A,menu!E:E)</f>
        <v>18</v>
      </c>
      <c r="I1338" s="10">
        <f t="shared" si="20"/>
        <v>18</v>
      </c>
      <c r="K1338" s="10"/>
      <c r="L1338" s="5"/>
    </row>
    <row r="1339" spans="1:12" x14ac:dyDescent="0.25">
      <c r="A1339" s="5" t="s">
        <v>5420</v>
      </c>
      <c r="B1339" s="5" t="s">
        <v>5418</v>
      </c>
      <c r="C1339" s="5" t="s">
        <v>35</v>
      </c>
      <c r="D1339" s="21">
        <v>2</v>
      </c>
      <c r="E1339" s="12">
        <v>238</v>
      </c>
      <c r="F1339" s="10" t="str">
        <f>_xlfn.XLOOKUP(C1339,menu!A:A,menu!B:B)</f>
        <v>Chicken Nuggets</v>
      </c>
      <c r="G1339" s="10" t="str">
        <f>_xlfn.XLOOKUP(C1339,menu!A:A,menu!C:C)</f>
        <v>Starters</v>
      </c>
      <c r="H1339" s="10">
        <f>_xlfn.XLOOKUP(C1339,menu!A:A,menu!E:E)</f>
        <v>36</v>
      </c>
      <c r="I1339" s="10">
        <f t="shared" si="20"/>
        <v>72</v>
      </c>
      <c r="K1339" s="10"/>
      <c r="L1339" s="5"/>
    </row>
    <row r="1340" spans="1:12" x14ac:dyDescent="0.25">
      <c r="A1340" s="5" t="s">
        <v>5419</v>
      </c>
      <c r="B1340" s="5" t="s">
        <v>5418</v>
      </c>
      <c r="C1340" s="5" t="s">
        <v>46</v>
      </c>
      <c r="D1340" s="21">
        <v>4</v>
      </c>
      <c r="E1340" s="12">
        <v>596</v>
      </c>
      <c r="F1340" s="10" t="str">
        <f>_xlfn.XLOOKUP(C1340,menu!A:A,menu!B:B)</f>
        <v>Fish Finger</v>
      </c>
      <c r="G1340" s="10" t="str">
        <f>_xlfn.XLOOKUP(C1340,menu!A:A,menu!C:C)</f>
        <v>Starters</v>
      </c>
      <c r="H1340" s="10">
        <f>_xlfn.XLOOKUP(C1340,menu!A:A,menu!E:E)</f>
        <v>45</v>
      </c>
      <c r="I1340" s="10">
        <f t="shared" si="20"/>
        <v>180</v>
      </c>
      <c r="K1340" s="10"/>
      <c r="L1340" s="5"/>
    </row>
    <row r="1341" spans="1:12" x14ac:dyDescent="0.25">
      <c r="A1341" s="5" t="s">
        <v>5417</v>
      </c>
      <c r="B1341" s="5" t="s">
        <v>5413</v>
      </c>
      <c r="C1341" s="5" t="s">
        <v>19</v>
      </c>
      <c r="D1341" s="21">
        <v>3</v>
      </c>
      <c r="E1341" s="12">
        <v>237</v>
      </c>
      <c r="F1341" s="10" t="str">
        <f>_xlfn.XLOOKUP(C1341,menu!A:A,menu!B:B)</f>
        <v>Veg Burger</v>
      </c>
      <c r="G1341" s="10" t="str">
        <f>_xlfn.XLOOKUP(C1341,menu!A:A,menu!C:C)</f>
        <v>Burger</v>
      </c>
      <c r="H1341" s="10">
        <f>_xlfn.XLOOKUP(C1341,menu!A:A,menu!E:E)</f>
        <v>24</v>
      </c>
      <c r="I1341" s="10">
        <f t="shared" si="20"/>
        <v>72</v>
      </c>
      <c r="K1341" s="10"/>
      <c r="L1341" s="5"/>
    </row>
    <row r="1342" spans="1:12" x14ac:dyDescent="0.25">
      <c r="A1342" s="5" t="s">
        <v>5416</v>
      </c>
      <c r="B1342" s="5" t="s">
        <v>5413</v>
      </c>
      <c r="C1342" s="5" t="s">
        <v>33</v>
      </c>
      <c r="D1342" s="21">
        <v>2</v>
      </c>
      <c r="E1342" s="12">
        <v>138</v>
      </c>
      <c r="F1342" s="10" t="str">
        <f>_xlfn.XLOOKUP(C1342,menu!A:A,menu!B:B)</f>
        <v>Spring Roll</v>
      </c>
      <c r="G1342" s="10" t="str">
        <f>_xlfn.XLOOKUP(C1342,menu!A:A,menu!C:C)</f>
        <v>Rolls</v>
      </c>
      <c r="H1342" s="10">
        <f>_xlfn.XLOOKUP(C1342,menu!A:A,menu!E:E)</f>
        <v>21</v>
      </c>
      <c r="I1342" s="10">
        <f t="shared" si="20"/>
        <v>42</v>
      </c>
      <c r="K1342" s="10"/>
      <c r="L1342" s="5"/>
    </row>
    <row r="1343" spans="1:12" x14ac:dyDescent="0.25">
      <c r="A1343" s="5" t="s">
        <v>5415</v>
      </c>
      <c r="B1343" s="5" t="s">
        <v>5413</v>
      </c>
      <c r="C1343" s="5" t="s">
        <v>31</v>
      </c>
      <c r="D1343" s="21">
        <v>2</v>
      </c>
      <c r="E1343" s="12">
        <v>178</v>
      </c>
      <c r="F1343" s="10" t="str">
        <f>_xlfn.XLOOKUP(C1343,menu!A:A,menu!B:B)</f>
        <v>Chicken Roll</v>
      </c>
      <c r="G1343" s="10" t="str">
        <f>_xlfn.XLOOKUP(C1343,menu!A:A,menu!C:C)</f>
        <v>Rolls</v>
      </c>
      <c r="H1343" s="10">
        <f>_xlfn.XLOOKUP(C1343,menu!A:A,menu!E:E)</f>
        <v>27</v>
      </c>
      <c r="I1343" s="10">
        <f t="shared" si="20"/>
        <v>54</v>
      </c>
      <c r="K1343" s="10"/>
      <c r="L1343" s="5"/>
    </row>
    <row r="1344" spans="1:12" x14ac:dyDescent="0.25">
      <c r="A1344" s="5" t="s">
        <v>5414</v>
      </c>
      <c r="B1344" s="5" t="s">
        <v>5413</v>
      </c>
      <c r="C1344" s="5" t="s">
        <v>48</v>
      </c>
      <c r="D1344" s="21">
        <v>1</v>
      </c>
      <c r="E1344" s="12">
        <v>159</v>
      </c>
      <c r="F1344" s="10" t="str">
        <f>_xlfn.XLOOKUP(C1344,menu!A:A,menu!B:B)</f>
        <v>Chicken Lollipop</v>
      </c>
      <c r="G1344" s="10" t="str">
        <f>_xlfn.XLOOKUP(C1344,menu!A:A,menu!C:C)</f>
        <v>Starters</v>
      </c>
      <c r="H1344" s="10">
        <f>_xlfn.XLOOKUP(C1344,menu!A:A,menu!E:E)</f>
        <v>48</v>
      </c>
      <c r="I1344" s="10">
        <f t="shared" si="20"/>
        <v>48</v>
      </c>
      <c r="K1344" s="10"/>
      <c r="L1344" s="5"/>
    </row>
    <row r="1345" spans="1:12" x14ac:dyDescent="0.25">
      <c r="A1345" s="5" t="s">
        <v>5412</v>
      </c>
      <c r="B1345" s="5" t="s">
        <v>5410</v>
      </c>
      <c r="C1345" s="5" t="s">
        <v>59</v>
      </c>
      <c r="D1345" s="21">
        <v>1</v>
      </c>
      <c r="E1345" s="12">
        <v>79</v>
      </c>
      <c r="F1345" s="10" t="str">
        <f>_xlfn.XLOOKUP(C1345,menu!A:A,menu!B:B)</f>
        <v>Blue Curacao Mojito</v>
      </c>
      <c r="G1345" s="10" t="str">
        <f>_xlfn.XLOOKUP(C1345,menu!A:A,menu!C:C)</f>
        <v>Beverages</v>
      </c>
      <c r="H1345" s="10">
        <f>_xlfn.XLOOKUP(C1345,menu!A:A,menu!E:E)</f>
        <v>24</v>
      </c>
      <c r="I1345" s="10">
        <f t="shared" si="20"/>
        <v>24</v>
      </c>
      <c r="K1345" s="10"/>
      <c r="L1345" s="5"/>
    </row>
    <row r="1346" spans="1:12" x14ac:dyDescent="0.25">
      <c r="A1346" s="5" t="s">
        <v>5411</v>
      </c>
      <c r="B1346" s="5" t="s">
        <v>5410</v>
      </c>
      <c r="C1346" s="5" t="s">
        <v>24</v>
      </c>
      <c r="D1346" s="21">
        <v>1</v>
      </c>
      <c r="E1346" s="12">
        <v>89</v>
      </c>
      <c r="F1346" s="10" t="str">
        <f>_xlfn.XLOOKUP(C1346,menu!A:A,menu!B:B)</f>
        <v>Paneer Burger</v>
      </c>
      <c r="G1346" s="10" t="str">
        <f>_xlfn.XLOOKUP(C1346,menu!A:A,menu!C:C)</f>
        <v>Burger</v>
      </c>
      <c r="H1346" s="10">
        <f>_xlfn.XLOOKUP(C1346,menu!A:A,menu!E:E)</f>
        <v>27</v>
      </c>
      <c r="I1346" s="10">
        <f t="shared" si="20"/>
        <v>27</v>
      </c>
      <c r="K1346" s="10"/>
      <c r="L1346" s="5"/>
    </row>
    <row r="1347" spans="1:12" x14ac:dyDescent="0.25">
      <c r="A1347" s="5" t="s">
        <v>5409</v>
      </c>
      <c r="B1347" s="5" t="s">
        <v>5405</v>
      </c>
      <c r="C1347" s="5" t="s">
        <v>17</v>
      </c>
      <c r="D1347" s="21">
        <v>1</v>
      </c>
      <c r="E1347" s="12">
        <v>89</v>
      </c>
      <c r="F1347" s="10" t="str">
        <f>_xlfn.XLOOKUP(C1347,menu!A:A,menu!B:B)</f>
        <v>Paneer Momos</v>
      </c>
      <c r="G1347" s="10" t="str">
        <f>_xlfn.XLOOKUP(C1347,menu!A:A,menu!C:C)</f>
        <v>Momos</v>
      </c>
      <c r="H1347" s="10">
        <f>_xlfn.XLOOKUP(C1347,menu!A:A,menu!E:E)</f>
        <v>27</v>
      </c>
      <c r="I1347" s="10">
        <f t="shared" ref="I1347:I1410" si="21">D1347*H1347</f>
        <v>27</v>
      </c>
      <c r="K1347" s="10"/>
      <c r="L1347" s="5"/>
    </row>
    <row r="1348" spans="1:12" x14ac:dyDescent="0.25">
      <c r="A1348" s="5" t="s">
        <v>5408</v>
      </c>
      <c r="B1348" s="5" t="s">
        <v>5405</v>
      </c>
      <c r="C1348" s="5" t="s">
        <v>56</v>
      </c>
      <c r="D1348" s="21">
        <v>2</v>
      </c>
      <c r="E1348" s="12">
        <v>158</v>
      </c>
      <c r="F1348" s="10" t="str">
        <f>_xlfn.XLOOKUP(C1348,menu!A:A,menu!B:B)</f>
        <v>Mint Mojito</v>
      </c>
      <c r="G1348" s="10" t="str">
        <f>_xlfn.XLOOKUP(C1348,menu!A:A,menu!C:C)</f>
        <v>Beverages</v>
      </c>
      <c r="H1348" s="10">
        <f>_xlfn.XLOOKUP(C1348,menu!A:A,menu!E:E)</f>
        <v>24</v>
      </c>
      <c r="I1348" s="10">
        <f t="shared" si="21"/>
        <v>48</v>
      </c>
      <c r="K1348" s="10"/>
      <c r="L1348" s="5"/>
    </row>
    <row r="1349" spans="1:12" x14ac:dyDescent="0.25">
      <c r="A1349" s="5" t="s">
        <v>5407</v>
      </c>
      <c r="B1349" s="5" t="s">
        <v>5405</v>
      </c>
      <c r="C1349" s="5" t="s">
        <v>50</v>
      </c>
      <c r="D1349" s="21">
        <v>1</v>
      </c>
      <c r="E1349" s="12">
        <v>149</v>
      </c>
      <c r="F1349" s="10" t="str">
        <f>_xlfn.XLOOKUP(C1349,menu!A:A,menu!B:B)</f>
        <v>Grab Lollipop</v>
      </c>
      <c r="G1349" s="10" t="str">
        <f>_xlfn.XLOOKUP(C1349,menu!A:A,menu!C:C)</f>
        <v>Starters</v>
      </c>
      <c r="H1349" s="10">
        <f>_xlfn.XLOOKUP(C1349,menu!A:A,menu!E:E)</f>
        <v>45</v>
      </c>
      <c r="I1349" s="10">
        <f t="shared" si="21"/>
        <v>45</v>
      </c>
      <c r="K1349" s="10"/>
      <c r="L1349" s="5"/>
    </row>
    <row r="1350" spans="1:12" x14ac:dyDescent="0.25">
      <c r="A1350" s="5" t="s">
        <v>5406</v>
      </c>
      <c r="B1350" s="5" t="s">
        <v>5405</v>
      </c>
      <c r="C1350" s="5" t="s">
        <v>5</v>
      </c>
      <c r="D1350" s="21">
        <v>3</v>
      </c>
      <c r="E1350" s="12">
        <v>237</v>
      </c>
      <c r="F1350" s="10" t="str">
        <f>_xlfn.XLOOKUP(C1350,menu!A:A,menu!B:B)</f>
        <v>Veg Sandwich</v>
      </c>
      <c r="G1350" s="10" t="str">
        <f>_xlfn.XLOOKUP(C1350,menu!A:A,menu!C:C)</f>
        <v>Sandwich</v>
      </c>
      <c r="H1350" s="10">
        <f>_xlfn.XLOOKUP(C1350,menu!A:A,menu!E:E)</f>
        <v>24</v>
      </c>
      <c r="I1350" s="10">
        <f t="shared" si="21"/>
        <v>72</v>
      </c>
      <c r="K1350" s="10"/>
      <c r="L1350" s="5"/>
    </row>
    <row r="1351" spans="1:12" x14ac:dyDescent="0.25">
      <c r="A1351" s="5" t="s">
        <v>5404</v>
      </c>
      <c r="B1351" s="5" t="s">
        <v>5401</v>
      </c>
      <c r="C1351" s="5" t="s">
        <v>12</v>
      </c>
      <c r="D1351" s="21">
        <v>1</v>
      </c>
      <c r="E1351" s="12">
        <v>79</v>
      </c>
      <c r="F1351" s="10" t="str">
        <f>_xlfn.XLOOKUP(C1351,menu!A:A,menu!B:B)</f>
        <v>Veg Momos</v>
      </c>
      <c r="G1351" s="10" t="str">
        <f>_xlfn.XLOOKUP(C1351,menu!A:A,menu!C:C)</f>
        <v>Momos</v>
      </c>
      <c r="H1351" s="10">
        <f>_xlfn.XLOOKUP(C1351,menu!A:A,menu!E:E)</f>
        <v>24</v>
      </c>
      <c r="I1351" s="10">
        <f t="shared" si="21"/>
        <v>24</v>
      </c>
      <c r="K1351" s="10"/>
      <c r="L1351" s="5"/>
    </row>
    <row r="1352" spans="1:12" x14ac:dyDescent="0.25">
      <c r="A1352" s="5" t="s">
        <v>5403</v>
      </c>
      <c r="B1352" s="5" t="s">
        <v>5401</v>
      </c>
      <c r="C1352" s="5" t="s">
        <v>52</v>
      </c>
      <c r="D1352" s="21">
        <v>2</v>
      </c>
      <c r="E1352" s="12">
        <v>198</v>
      </c>
      <c r="F1352" s="10" t="str">
        <f>_xlfn.XLOOKUP(C1352,menu!A:A,menu!B:B)</f>
        <v>French Fries</v>
      </c>
      <c r="G1352" s="10" t="str">
        <f>_xlfn.XLOOKUP(C1352,menu!A:A,menu!C:C)</f>
        <v>Starters</v>
      </c>
      <c r="H1352" s="10">
        <f>_xlfn.XLOOKUP(C1352,menu!A:A,menu!E:E)</f>
        <v>30</v>
      </c>
      <c r="I1352" s="10">
        <f t="shared" si="21"/>
        <v>60</v>
      </c>
      <c r="K1352" s="10"/>
      <c r="L1352" s="5"/>
    </row>
    <row r="1353" spans="1:12" x14ac:dyDescent="0.25">
      <c r="A1353" s="5" t="s">
        <v>5402</v>
      </c>
      <c r="B1353" s="5" t="s">
        <v>5401</v>
      </c>
      <c r="C1353" s="5" t="s">
        <v>50</v>
      </c>
      <c r="D1353" s="21">
        <v>1</v>
      </c>
      <c r="E1353" s="12">
        <v>149</v>
      </c>
      <c r="F1353" s="10" t="str">
        <f>_xlfn.XLOOKUP(C1353,menu!A:A,menu!B:B)</f>
        <v>Grab Lollipop</v>
      </c>
      <c r="G1353" s="10" t="str">
        <f>_xlfn.XLOOKUP(C1353,menu!A:A,menu!C:C)</f>
        <v>Starters</v>
      </c>
      <c r="H1353" s="10">
        <f>_xlfn.XLOOKUP(C1353,menu!A:A,menu!E:E)</f>
        <v>45</v>
      </c>
      <c r="I1353" s="10">
        <f t="shared" si="21"/>
        <v>45</v>
      </c>
      <c r="K1353" s="10"/>
      <c r="L1353" s="5"/>
    </row>
    <row r="1354" spans="1:12" x14ac:dyDescent="0.25">
      <c r="A1354" s="5" t="s">
        <v>5400</v>
      </c>
      <c r="B1354" s="5" t="s">
        <v>5397</v>
      </c>
      <c r="C1354" s="5" t="s">
        <v>54</v>
      </c>
      <c r="D1354" s="21">
        <v>1</v>
      </c>
      <c r="E1354" s="12">
        <v>139</v>
      </c>
      <c r="F1354" s="10" t="str">
        <f>_xlfn.XLOOKUP(C1354,menu!A:A,menu!B:B)</f>
        <v>Chicken Strips</v>
      </c>
      <c r="G1354" s="10" t="str">
        <f>_xlfn.XLOOKUP(C1354,menu!A:A,menu!C:C)</f>
        <v>Starters</v>
      </c>
      <c r="H1354" s="10">
        <f>_xlfn.XLOOKUP(C1354,menu!A:A,menu!E:E)</f>
        <v>42</v>
      </c>
      <c r="I1354" s="10">
        <f t="shared" si="21"/>
        <v>42</v>
      </c>
      <c r="K1354" s="10"/>
      <c r="L1354" s="5"/>
    </row>
    <row r="1355" spans="1:12" x14ac:dyDescent="0.25">
      <c r="A1355" s="5" t="s">
        <v>5399</v>
      </c>
      <c r="B1355" s="5" t="s">
        <v>5397</v>
      </c>
      <c r="C1355" s="5" t="s">
        <v>42</v>
      </c>
      <c r="D1355" s="21">
        <v>2</v>
      </c>
      <c r="E1355" s="12">
        <v>298</v>
      </c>
      <c r="F1355" s="10" t="str">
        <f>_xlfn.XLOOKUP(C1355,menu!A:A,menu!B:B)</f>
        <v>Chicken Popcorn</v>
      </c>
      <c r="G1355" s="10" t="str">
        <f>_xlfn.XLOOKUP(C1355,menu!A:A,menu!C:C)</f>
        <v>Starters</v>
      </c>
      <c r="H1355" s="10">
        <f>_xlfn.XLOOKUP(C1355,menu!A:A,menu!E:E)</f>
        <v>45</v>
      </c>
      <c r="I1355" s="10">
        <f t="shared" si="21"/>
        <v>90</v>
      </c>
      <c r="K1355" s="10"/>
      <c r="L1355" s="5"/>
    </row>
    <row r="1356" spans="1:12" x14ac:dyDescent="0.25">
      <c r="A1356" s="5" t="s">
        <v>5398</v>
      </c>
      <c r="B1356" s="5" t="s">
        <v>5397</v>
      </c>
      <c r="C1356" s="5" t="s">
        <v>59</v>
      </c>
      <c r="D1356" s="21">
        <v>2</v>
      </c>
      <c r="E1356" s="12">
        <v>158</v>
      </c>
      <c r="F1356" s="10" t="str">
        <f>_xlfn.XLOOKUP(C1356,menu!A:A,menu!B:B)</f>
        <v>Blue Curacao Mojito</v>
      </c>
      <c r="G1356" s="10" t="str">
        <f>_xlfn.XLOOKUP(C1356,menu!A:A,menu!C:C)</f>
        <v>Beverages</v>
      </c>
      <c r="H1356" s="10">
        <f>_xlfn.XLOOKUP(C1356,menu!A:A,menu!E:E)</f>
        <v>24</v>
      </c>
      <c r="I1356" s="10">
        <f t="shared" si="21"/>
        <v>48</v>
      </c>
      <c r="K1356" s="10"/>
      <c r="L1356" s="5"/>
    </row>
    <row r="1357" spans="1:12" x14ac:dyDescent="0.25">
      <c r="A1357" s="5" t="s">
        <v>5396</v>
      </c>
      <c r="B1357" s="5" t="s">
        <v>5394</v>
      </c>
      <c r="C1357" s="5" t="s">
        <v>12</v>
      </c>
      <c r="D1357" s="21">
        <v>1</v>
      </c>
      <c r="E1357" s="12">
        <v>79</v>
      </c>
      <c r="F1357" s="10" t="str">
        <f>_xlfn.XLOOKUP(C1357,menu!A:A,menu!B:B)</f>
        <v>Veg Momos</v>
      </c>
      <c r="G1357" s="10" t="str">
        <f>_xlfn.XLOOKUP(C1357,menu!A:A,menu!C:C)</f>
        <v>Momos</v>
      </c>
      <c r="H1357" s="10">
        <f>_xlfn.XLOOKUP(C1357,menu!A:A,menu!E:E)</f>
        <v>24</v>
      </c>
      <c r="I1357" s="10">
        <f t="shared" si="21"/>
        <v>24</v>
      </c>
      <c r="K1357" s="10"/>
      <c r="L1357" s="5"/>
    </row>
    <row r="1358" spans="1:12" x14ac:dyDescent="0.25">
      <c r="A1358" s="5" t="s">
        <v>5395</v>
      </c>
      <c r="B1358" s="5" t="s">
        <v>5394</v>
      </c>
      <c r="C1358" s="5" t="s">
        <v>59</v>
      </c>
      <c r="D1358" s="21">
        <v>1</v>
      </c>
      <c r="E1358" s="12">
        <v>79</v>
      </c>
      <c r="F1358" s="10" t="str">
        <f>_xlfn.XLOOKUP(C1358,menu!A:A,menu!B:B)</f>
        <v>Blue Curacao Mojito</v>
      </c>
      <c r="G1358" s="10" t="str">
        <f>_xlfn.XLOOKUP(C1358,menu!A:A,menu!C:C)</f>
        <v>Beverages</v>
      </c>
      <c r="H1358" s="10">
        <f>_xlfn.XLOOKUP(C1358,menu!A:A,menu!E:E)</f>
        <v>24</v>
      </c>
      <c r="I1358" s="10">
        <f t="shared" si="21"/>
        <v>24</v>
      </c>
      <c r="K1358" s="10"/>
      <c r="L1358" s="5"/>
    </row>
    <row r="1359" spans="1:12" x14ac:dyDescent="0.25">
      <c r="A1359" s="5" t="s">
        <v>5393</v>
      </c>
      <c r="B1359" s="5" t="s">
        <v>5391</v>
      </c>
      <c r="C1359" s="5" t="s">
        <v>33</v>
      </c>
      <c r="D1359" s="21">
        <v>1</v>
      </c>
      <c r="E1359" s="12">
        <v>69</v>
      </c>
      <c r="F1359" s="10" t="str">
        <f>_xlfn.XLOOKUP(C1359,menu!A:A,menu!B:B)</f>
        <v>Spring Roll</v>
      </c>
      <c r="G1359" s="10" t="str">
        <f>_xlfn.XLOOKUP(C1359,menu!A:A,menu!C:C)</f>
        <v>Rolls</v>
      </c>
      <c r="H1359" s="10">
        <f>_xlfn.XLOOKUP(C1359,menu!A:A,menu!E:E)</f>
        <v>21</v>
      </c>
      <c r="I1359" s="10">
        <f t="shared" si="21"/>
        <v>21</v>
      </c>
      <c r="K1359" s="10"/>
      <c r="L1359" s="5"/>
    </row>
    <row r="1360" spans="1:12" x14ac:dyDescent="0.25">
      <c r="A1360" s="5" t="s">
        <v>5392</v>
      </c>
      <c r="B1360" s="5" t="s">
        <v>5391</v>
      </c>
      <c r="C1360" s="5" t="s">
        <v>65</v>
      </c>
      <c r="D1360" s="21">
        <v>1</v>
      </c>
      <c r="E1360" s="12">
        <v>49</v>
      </c>
      <c r="F1360" s="10" t="str">
        <f>_xlfn.XLOOKUP(C1360,menu!A:A,menu!B:B)</f>
        <v>Lemon Juice</v>
      </c>
      <c r="G1360" s="10" t="str">
        <f>_xlfn.XLOOKUP(C1360,menu!A:A,menu!C:C)</f>
        <v>Beverages</v>
      </c>
      <c r="H1360" s="10">
        <f>_xlfn.XLOOKUP(C1360,menu!A:A,menu!E:E)</f>
        <v>15</v>
      </c>
      <c r="I1360" s="10">
        <f t="shared" si="21"/>
        <v>15</v>
      </c>
      <c r="K1360" s="10"/>
      <c r="L1360" s="5"/>
    </row>
    <row r="1361" spans="1:12" x14ac:dyDescent="0.25">
      <c r="A1361" s="5" t="s">
        <v>5390</v>
      </c>
      <c r="B1361" s="5" t="s">
        <v>5386</v>
      </c>
      <c r="C1361" s="5" t="s">
        <v>35</v>
      </c>
      <c r="D1361" s="21">
        <v>5</v>
      </c>
      <c r="E1361" s="12">
        <v>595</v>
      </c>
      <c r="F1361" s="10" t="str">
        <f>_xlfn.XLOOKUP(C1361,menu!A:A,menu!B:B)</f>
        <v>Chicken Nuggets</v>
      </c>
      <c r="G1361" s="10" t="str">
        <f>_xlfn.XLOOKUP(C1361,menu!A:A,menu!C:C)</f>
        <v>Starters</v>
      </c>
      <c r="H1361" s="10">
        <f>_xlfn.XLOOKUP(C1361,menu!A:A,menu!E:E)</f>
        <v>36</v>
      </c>
      <c r="I1361" s="10">
        <f t="shared" si="21"/>
        <v>180</v>
      </c>
      <c r="K1361" s="10"/>
      <c r="L1361" s="5"/>
    </row>
    <row r="1362" spans="1:12" x14ac:dyDescent="0.25">
      <c r="A1362" s="5" t="s">
        <v>5389</v>
      </c>
      <c r="B1362" s="5" t="s">
        <v>5386</v>
      </c>
      <c r="C1362" s="5" t="s">
        <v>46</v>
      </c>
      <c r="D1362" s="21">
        <v>2</v>
      </c>
      <c r="E1362" s="12">
        <v>298</v>
      </c>
      <c r="F1362" s="10" t="str">
        <f>_xlfn.XLOOKUP(C1362,menu!A:A,menu!B:B)</f>
        <v>Fish Finger</v>
      </c>
      <c r="G1362" s="10" t="str">
        <f>_xlfn.XLOOKUP(C1362,menu!A:A,menu!C:C)</f>
        <v>Starters</v>
      </c>
      <c r="H1362" s="10">
        <f>_xlfn.XLOOKUP(C1362,menu!A:A,menu!E:E)</f>
        <v>45</v>
      </c>
      <c r="I1362" s="10">
        <f t="shared" si="21"/>
        <v>90</v>
      </c>
      <c r="K1362" s="10"/>
      <c r="L1362" s="5"/>
    </row>
    <row r="1363" spans="1:12" x14ac:dyDescent="0.25">
      <c r="A1363" s="5" t="s">
        <v>5388</v>
      </c>
      <c r="B1363" s="5" t="s">
        <v>5386</v>
      </c>
      <c r="C1363" s="5" t="s">
        <v>15</v>
      </c>
      <c r="D1363" s="21">
        <v>2</v>
      </c>
      <c r="E1363" s="12">
        <v>198</v>
      </c>
      <c r="F1363" s="10" t="str">
        <f>_xlfn.XLOOKUP(C1363,menu!A:A,menu!B:B)</f>
        <v>Chicken Momos</v>
      </c>
      <c r="G1363" s="10" t="str">
        <f>_xlfn.XLOOKUP(C1363,menu!A:A,menu!C:C)</f>
        <v>Momos</v>
      </c>
      <c r="H1363" s="10">
        <f>_xlfn.XLOOKUP(C1363,menu!A:A,menu!E:E)</f>
        <v>30</v>
      </c>
      <c r="I1363" s="10">
        <f t="shared" si="21"/>
        <v>60</v>
      </c>
      <c r="K1363" s="10"/>
      <c r="L1363" s="5"/>
    </row>
    <row r="1364" spans="1:12" x14ac:dyDescent="0.25">
      <c r="A1364" s="5" t="s">
        <v>5387</v>
      </c>
      <c r="B1364" s="5" t="s">
        <v>5386</v>
      </c>
      <c r="C1364" s="5" t="s">
        <v>38</v>
      </c>
      <c r="D1364" s="21">
        <v>1</v>
      </c>
      <c r="E1364" s="12">
        <v>149</v>
      </c>
      <c r="F1364" s="10" t="str">
        <f>_xlfn.XLOOKUP(C1364,menu!A:A,menu!B:B)</f>
        <v>Chicken Wings</v>
      </c>
      <c r="G1364" s="10" t="str">
        <f>_xlfn.XLOOKUP(C1364,menu!A:A,menu!C:C)</f>
        <v>Starters</v>
      </c>
      <c r="H1364" s="10">
        <f>_xlfn.XLOOKUP(C1364,menu!A:A,menu!E:E)</f>
        <v>45</v>
      </c>
      <c r="I1364" s="10">
        <f t="shared" si="21"/>
        <v>45</v>
      </c>
      <c r="K1364" s="10"/>
      <c r="L1364" s="5"/>
    </row>
    <row r="1365" spans="1:12" x14ac:dyDescent="0.25">
      <c r="A1365" s="5" t="s">
        <v>5385</v>
      </c>
      <c r="B1365" s="5" t="s">
        <v>5383</v>
      </c>
      <c r="C1365" s="5" t="s">
        <v>5</v>
      </c>
      <c r="D1365" s="21">
        <v>3</v>
      </c>
      <c r="E1365" s="12">
        <v>237</v>
      </c>
      <c r="F1365" s="10" t="str">
        <f>_xlfn.XLOOKUP(C1365,menu!A:A,menu!B:B)</f>
        <v>Veg Sandwich</v>
      </c>
      <c r="G1365" s="10" t="str">
        <f>_xlfn.XLOOKUP(C1365,menu!A:A,menu!C:C)</f>
        <v>Sandwich</v>
      </c>
      <c r="H1365" s="10">
        <f>_xlfn.XLOOKUP(C1365,menu!A:A,menu!E:E)</f>
        <v>24</v>
      </c>
      <c r="I1365" s="10">
        <f t="shared" si="21"/>
        <v>72</v>
      </c>
      <c r="K1365" s="10"/>
      <c r="L1365" s="5"/>
    </row>
    <row r="1366" spans="1:12" x14ac:dyDescent="0.25">
      <c r="A1366" s="5" t="s">
        <v>5384</v>
      </c>
      <c r="B1366" s="5" t="s">
        <v>5383</v>
      </c>
      <c r="C1366" s="5" t="s">
        <v>29</v>
      </c>
      <c r="D1366" s="21">
        <v>1</v>
      </c>
      <c r="E1366" s="12">
        <v>79</v>
      </c>
      <c r="F1366" s="10" t="str">
        <f>_xlfn.XLOOKUP(C1366,menu!A:A,menu!B:B)</f>
        <v>Paneer Roll</v>
      </c>
      <c r="G1366" s="10" t="str">
        <f>_xlfn.XLOOKUP(C1366,menu!A:A,menu!C:C)</f>
        <v>Rolls</v>
      </c>
      <c r="H1366" s="10">
        <f>_xlfn.XLOOKUP(C1366,menu!A:A,menu!E:E)</f>
        <v>24</v>
      </c>
      <c r="I1366" s="10">
        <f t="shared" si="21"/>
        <v>24</v>
      </c>
      <c r="K1366" s="10"/>
      <c r="L1366" s="5"/>
    </row>
    <row r="1367" spans="1:12" x14ac:dyDescent="0.25">
      <c r="A1367" s="5" t="s">
        <v>5382</v>
      </c>
      <c r="B1367" s="5" t="s">
        <v>5380</v>
      </c>
      <c r="C1367" s="5" t="s">
        <v>59</v>
      </c>
      <c r="D1367" s="21">
        <v>1</v>
      </c>
      <c r="E1367" s="12">
        <v>79</v>
      </c>
      <c r="F1367" s="10" t="str">
        <f>_xlfn.XLOOKUP(C1367,menu!A:A,menu!B:B)</f>
        <v>Blue Curacao Mojito</v>
      </c>
      <c r="G1367" s="10" t="str">
        <f>_xlfn.XLOOKUP(C1367,menu!A:A,menu!C:C)</f>
        <v>Beverages</v>
      </c>
      <c r="H1367" s="10">
        <f>_xlfn.XLOOKUP(C1367,menu!A:A,menu!E:E)</f>
        <v>24</v>
      </c>
      <c r="I1367" s="10">
        <f t="shared" si="21"/>
        <v>24</v>
      </c>
      <c r="K1367" s="10"/>
      <c r="L1367" s="5"/>
    </row>
    <row r="1368" spans="1:12" x14ac:dyDescent="0.25">
      <c r="A1368" s="5" t="s">
        <v>5381</v>
      </c>
      <c r="B1368" s="5" t="s">
        <v>5380</v>
      </c>
      <c r="C1368" s="5" t="s">
        <v>24</v>
      </c>
      <c r="D1368" s="21">
        <v>4</v>
      </c>
      <c r="E1368" s="12">
        <v>356</v>
      </c>
      <c r="F1368" s="10" t="str">
        <f>_xlfn.XLOOKUP(C1368,menu!A:A,menu!B:B)</f>
        <v>Paneer Burger</v>
      </c>
      <c r="G1368" s="10" t="str">
        <f>_xlfn.XLOOKUP(C1368,menu!A:A,menu!C:C)</f>
        <v>Burger</v>
      </c>
      <c r="H1368" s="10">
        <f>_xlfn.XLOOKUP(C1368,menu!A:A,menu!E:E)</f>
        <v>27</v>
      </c>
      <c r="I1368" s="10">
        <f t="shared" si="21"/>
        <v>108</v>
      </c>
      <c r="K1368" s="10"/>
      <c r="L1368" s="5"/>
    </row>
    <row r="1369" spans="1:12" x14ac:dyDescent="0.25">
      <c r="A1369" s="5" t="s">
        <v>5379</v>
      </c>
      <c r="B1369" s="5" t="s">
        <v>5377</v>
      </c>
      <c r="C1369" s="5" t="s">
        <v>40</v>
      </c>
      <c r="D1369" s="21">
        <v>1</v>
      </c>
      <c r="E1369" s="12">
        <v>99</v>
      </c>
      <c r="F1369" s="10" t="str">
        <f>_xlfn.XLOOKUP(C1369,menu!A:A,menu!B:B)</f>
        <v>Veg Nuggets</v>
      </c>
      <c r="G1369" s="10" t="str">
        <f>_xlfn.XLOOKUP(C1369,menu!A:A,menu!C:C)</f>
        <v>Starters</v>
      </c>
      <c r="H1369" s="10">
        <f>_xlfn.XLOOKUP(C1369,menu!A:A,menu!E:E)</f>
        <v>30</v>
      </c>
      <c r="I1369" s="10">
        <f t="shared" si="21"/>
        <v>30</v>
      </c>
      <c r="K1369" s="10"/>
      <c r="L1369" s="5"/>
    </row>
    <row r="1370" spans="1:12" x14ac:dyDescent="0.25">
      <c r="A1370" s="5" t="s">
        <v>5378</v>
      </c>
      <c r="B1370" s="5" t="s">
        <v>5377</v>
      </c>
      <c r="C1370" s="5" t="s">
        <v>46</v>
      </c>
      <c r="D1370" s="21">
        <v>2</v>
      </c>
      <c r="E1370" s="12">
        <v>298</v>
      </c>
      <c r="F1370" s="10" t="str">
        <f>_xlfn.XLOOKUP(C1370,menu!A:A,menu!B:B)</f>
        <v>Fish Finger</v>
      </c>
      <c r="G1370" s="10" t="str">
        <f>_xlfn.XLOOKUP(C1370,menu!A:A,menu!C:C)</f>
        <v>Starters</v>
      </c>
      <c r="H1370" s="10">
        <f>_xlfn.XLOOKUP(C1370,menu!A:A,menu!E:E)</f>
        <v>45</v>
      </c>
      <c r="I1370" s="10">
        <f t="shared" si="21"/>
        <v>90</v>
      </c>
      <c r="K1370" s="10"/>
      <c r="L1370" s="5"/>
    </row>
    <row r="1371" spans="1:12" x14ac:dyDescent="0.25">
      <c r="A1371" s="5" t="s">
        <v>5376</v>
      </c>
      <c r="B1371" s="5" t="s">
        <v>5374</v>
      </c>
      <c r="C1371" s="5" t="s">
        <v>50</v>
      </c>
      <c r="D1371" s="21">
        <v>1</v>
      </c>
      <c r="E1371" s="12">
        <v>149</v>
      </c>
      <c r="F1371" s="10" t="str">
        <f>_xlfn.XLOOKUP(C1371,menu!A:A,menu!B:B)</f>
        <v>Grab Lollipop</v>
      </c>
      <c r="G1371" s="10" t="str">
        <f>_xlfn.XLOOKUP(C1371,menu!A:A,menu!C:C)</f>
        <v>Starters</v>
      </c>
      <c r="H1371" s="10">
        <f>_xlfn.XLOOKUP(C1371,menu!A:A,menu!E:E)</f>
        <v>45</v>
      </c>
      <c r="I1371" s="10">
        <f t="shared" si="21"/>
        <v>45</v>
      </c>
      <c r="K1371" s="10"/>
      <c r="L1371" s="5"/>
    </row>
    <row r="1372" spans="1:12" x14ac:dyDescent="0.25">
      <c r="A1372" s="5" t="s">
        <v>5375</v>
      </c>
      <c r="B1372" s="5" t="s">
        <v>5374</v>
      </c>
      <c r="C1372" s="5" t="s">
        <v>54</v>
      </c>
      <c r="D1372" s="21">
        <v>2</v>
      </c>
      <c r="E1372" s="12">
        <v>278</v>
      </c>
      <c r="F1372" s="10" t="str">
        <f>_xlfn.XLOOKUP(C1372,menu!A:A,menu!B:B)</f>
        <v>Chicken Strips</v>
      </c>
      <c r="G1372" s="10" t="str">
        <f>_xlfn.XLOOKUP(C1372,menu!A:A,menu!C:C)</f>
        <v>Starters</v>
      </c>
      <c r="H1372" s="10">
        <f>_xlfn.XLOOKUP(C1372,menu!A:A,menu!E:E)</f>
        <v>42</v>
      </c>
      <c r="I1372" s="10">
        <f t="shared" si="21"/>
        <v>84</v>
      </c>
      <c r="K1372" s="10"/>
      <c r="L1372" s="5"/>
    </row>
    <row r="1373" spans="1:12" x14ac:dyDescent="0.25">
      <c r="A1373" s="5" t="s">
        <v>5373</v>
      </c>
      <c r="B1373" s="5" t="s">
        <v>5371</v>
      </c>
      <c r="C1373" s="5" t="s">
        <v>5</v>
      </c>
      <c r="D1373" s="21">
        <v>3</v>
      </c>
      <c r="E1373" s="12">
        <v>237</v>
      </c>
      <c r="F1373" s="10" t="str">
        <f>_xlfn.XLOOKUP(C1373,menu!A:A,menu!B:B)</f>
        <v>Veg Sandwich</v>
      </c>
      <c r="G1373" s="10" t="str">
        <f>_xlfn.XLOOKUP(C1373,menu!A:A,menu!C:C)</f>
        <v>Sandwich</v>
      </c>
      <c r="H1373" s="10">
        <f>_xlfn.XLOOKUP(C1373,menu!A:A,menu!E:E)</f>
        <v>24</v>
      </c>
      <c r="I1373" s="10">
        <f t="shared" si="21"/>
        <v>72</v>
      </c>
      <c r="K1373" s="10"/>
      <c r="L1373" s="5"/>
    </row>
    <row r="1374" spans="1:12" x14ac:dyDescent="0.25">
      <c r="A1374" s="5" t="s">
        <v>5372</v>
      </c>
      <c r="B1374" s="5" t="s">
        <v>5371</v>
      </c>
      <c r="C1374" s="5" t="s">
        <v>59</v>
      </c>
      <c r="D1374" s="21">
        <v>1</v>
      </c>
      <c r="E1374" s="12">
        <v>79</v>
      </c>
      <c r="F1374" s="10" t="str">
        <f>_xlfn.XLOOKUP(C1374,menu!A:A,menu!B:B)</f>
        <v>Blue Curacao Mojito</v>
      </c>
      <c r="G1374" s="10" t="str">
        <f>_xlfn.XLOOKUP(C1374,menu!A:A,menu!C:C)</f>
        <v>Beverages</v>
      </c>
      <c r="H1374" s="10">
        <f>_xlfn.XLOOKUP(C1374,menu!A:A,menu!E:E)</f>
        <v>24</v>
      </c>
      <c r="I1374" s="10">
        <f t="shared" si="21"/>
        <v>24</v>
      </c>
      <c r="K1374" s="10"/>
      <c r="L1374" s="5"/>
    </row>
    <row r="1375" spans="1:12" x14ac:dyDescent="0.25">
      <c r="A1375" s="5" t="s">
        <v>5370</v>
      </c>
      <c r="B1375" s="5" t="s">
        <v>5367</v>
      </c>
      <c r="C1375" s="5" t="s">
        <v>5</v>
      </c>
      <c r="D1375" s="21">
        <v>3</v>
      </c>
      <c r="E1375" s="12">
        <v>237</v>
      </c>
      <c r="F1375" s="10" t="str">
        <f>_xlfn.XLOOKUP(C1375,menu!A:A,menu!B:B)</f>
        <v>Veg Sandwich</v>
      </c>
      <c r="G1375" s="10" t="str">
        <f>_xlfn.XLOOKUP(C1375,menu!A:A,menu!C:C)</f>
        <v>Sandwich</v>
      </c>
      <c r="H1375" s="10">
        <f>_xlfn.XLOOKUP(C1375,menu!A:A,menu!E:E)</f>
        <v>24</v>
      </c>
      <c r="I1375" s="10">
        <f t="shared" si="21"/>
        <v>72</v>
      </c>
      <c r="K1375" s="10"/>
      <c r="L1375" s="5"/>
    </row>
    <row r="1376" spans="1:12" x14ac:dyDescent="0.25">
      <c r="A1376" s="5" t="s">
        <v>5369</v>
      </c>
      <c r="B1376" s="5" t="s">
        <v>5367</v>
      </c>
      <c r="C1376" s="5" t="s">
        <v>33</v>
      </c>
      <c r="D1376" s="21">
        <v>3</v>
      </c>
      <c r="E1376" s="12">
        <v>207</v>
      </c>
      <c r="F1376" s="10" t="str">
        <f>_xlfn.XLOOKUP(C1376,menu!A:A,menu!B:B)</f>
        <v>Spring Roll</v>
      </c>
      <c r="G1376" s="10" t="str">
        <f>_xlfn.XLOOKUP(C1376,menu!A:A,menu!C:C)</f>
        <v>Rolls</v>
      </c>
      <c r="H1376" s="10">
        <f>_xlfn.XLOOKUP(C1376,menu!A:A,menu!E:E)</f>
        <v>21</v>
      </c>
      <c r="I1376" s="10">
        <f t="shared" si="21"/>
        <v>63</v>
      </c>
      <c r="K1376" s="10"/>
      <c r="L1376" s="5"/>
    </row>
    <row r="1377" spans="1:12" x14ac:dyDescent="0.25">
      <c r="A1377" s="5" t="s">
        <v>5368</v>
      </c>
      <c r="B1377" s="5" t="s">
        <v>5367</v>
      </c>
      <c r="C1377" s="5" t="s">
        <v>31</v>
      </c>
      <c r="D1377" s="21">
        <v>2</v>
      </c>
      <c r="E1377" s="12">
        <v>178</v>
      </c>
      <c r="F1377" s="10" t="str">
        <f>_xlfn.XLOOKUP(C1377,menu!A:A,menu!B:B)</f>
        <v>Chicken Roll</v>
      </c>
      <c r="G1377" s="10" t="str">
        <f>_xlfn.XLOOKUP(C1377,menu!A:A,menu!C:C)</f>
        <v>Rolls</v>
      </c>
      <c r="H1377" s="10">
        <f>_xlfn.XLOOKUP(C1377,menu!A:A,menu!E:E)</f>
        <v>27</v>
      </c>
      <c r="I1377" s="10">
        <f t="shared" si="21"/>
        <v>54</v>
      </c>
      <c r="K1377" s="10"/>
      <c r="L1377" s="5"/>
    </row>
    <row r="1378" spans="1:12" x14ac:dyDescent="0.25">
      <c r="A1378" s="5" t="s">
        <v>5366</v>
      </c>
      <c r="B1378" s="5" t="s">
        <v>5364</v>
      </c>
      <c r="C1378" s="5" t="s">
        <v>10</v>
      </c>
      <c r="D1378" s="21">
        <v>3</v>
      </c>
      <c r="E1378" s="12">
        <v>357</v>
      </c>
      <c r="F1378" s="10" t="str">
        <f>_xlfn.XLOOKUP(C1378,menu!A:A,menu!B:B)</f>
        <v>Chicken Sandwich</v>
      </c>
      <c r="G1378" s="10" t="str">
        <f>_xlfn.XLOOKUP(C1378,menu!A:A,menu!C:C)</f>
        <v>Sandwich</v>
      </c>
      <c r="H1378" s="10">
        <f>_xlfn.XLOOKUP(C1378,menu!A:A,menu!E:E)</f>
        <v>36</v>
      </c>
      <c r="I1378" s="10">
        <f t="shared" si="21"/>
        <v>108</v>
      </c>
      <c r="K1378" s="10"/>
      <c r="L1378" s="5"/>
    </row>
    <row r="1379" spans="1:12" x14ac:dyDescent="0.25">
      <c r="A1379" s="5" t="s">
        <v>5365</v>
      </c>
      <c r="B1379" s="5" t="s">
        <v>5364</v>
      </c>
      <c r="C1379" s="5" t="s">
        <v>26</v>
      </c>
      <c r="D1379" s="21">
        <v>2</v>
      </c>
      <c r="E1379" s="12">
        <v>118</v>
      </c>
      <c r="F1379" s="10" t="str">
        <f>_xlfn.XLOOKUP(C1379,menu!A:A,menu!B:B)</f>
        <v>Veg Roll</v>
      </c>
      <c r="G1379" s="10" t="str">
        <f>_xlfn.XLOOKUP(C1379,menu!A:A,menu!C:C)</f>
        <v>Rolls</v>
      </c>
      <c r="H1379" s="10">
        <f>_xlfn.XLOOKUP(C1379,menu!A:A,menu!E:E)</f>
        <v>18</v>
      </c>
      <c r="I1379" s="10">
        <f t="shared" si="21"/>
        <v>36</v>
      </c>
      <c r="K1379" s="10"/>
      <c r="L1379" s="5"/>
    </row>
    <row r="1380" spans="1:12" x14ac:dyDescent="0.25">
      <c r="A1380" s="5" t="s">
        <v>5363</v>
      </c>
      <c r="B1380" s="5" t="s">
        <v>5360</v>
      </c>
      <c r="C1380" s="5" t="s">
        <v>44</v>
      </c>
      <c r="D1380" s="21">
        <v>4</v>
      </c>
      <c r="E1380" s="12">
        <v>636</v>
      </c>
      <c r="F1380" s="10" t="str">
        <f>_xlfn.XLOOKUP(C1380,menu!A:A,menu!B:B)</f>
        <v>Fried Chicken</v>
      </c>
      <c r="G1380" s="10" t="str">
        <f>_xlfn.XLOOKUP(C1380,menu!A:A,menu!C:C)</f>
        <v>Starters</v>
      </c>
      <c r="H1380" s="10">
        <f>_xlfn.XLOOKUP(C1380,menu!A:A,menu!E:E)</f>
        <v>48</v>
      </c>
      <c r="I1380" s="10">
        <f t="shared" si="21"/>
        <v>192</v>
      </c>
      <c r="K1380" s="10"/>
      <c r="L1380" s="5"/>
    </row>
    <row r="1381" spans="1:12" x14ac:dyDescent="0.25">
      <c r="A1381" s="5" t="s">
        <v>5362</v>
      </c>
      <c r="B1381" s="5" t="s">
        <v>5360</v>
      </c>
      <c r="C1381" s="5" t="s">
        <v>15</v>
      </c>
      <c r="D1381" s="21">
        <v>3</v>
      </c>
      <c r="E1381" s="12">
        <v>297</v>
      </c>
      <c r="F1381" s="10" t="str">
        <f>_xlfn.XLOOKUP(C1381,menu!A:A,menu!B:B)</f>
        <v>Chicken Momos</v>
      </c>
      <c r="G1381" s="10" t="str">
        <f>_xlfn.XLOOKUP(C1381,menu!A:A,menu!C:C)</f>
        <v>Momos</v>
      </c>
      <c r="H1381" s="10">
        <f>_xlfn.XLOOKUP(C1381,menu!A:A,menu!E:E)</f>
        <v>30</v>
      </c>
      <c r="I1381" s="10">
        <f t="shared" si="21"/>
        <v>90</v>
      </c>
      <c r="K1381" s="10"/>
      <c r="L1381" s="5"/>
    </row>
    <row r="1382" spans="1:12" x14ac:dyDescent="0.25">
      <c r="A1382" s="5" t="s">
        <v>5361</v>
      </c>
      <c r="B1382" s="5" t="s">
        <v>5360</v>
      </c>
      <c r="C1382" s="5" t="s">
        <v>48</v>
      </c>
      <c r="D1382" s="21">
        <v>2</v>
      </c>
      <c r="E1382" s="12">
        <v>318</v>
      </c>
      <c r="F1382" s="10" t="str">
        <f>_xlfn.XLOOKUP(C1382,menu!A:A,menu!B:B)</f>
        <v>Chicken Lollipop</v>
      </c>
      <c r="G1382" s="10" t="str">
        <f>_xlfn.XLOOKUP(C1382,menu!A:A,menu!C:C)</f>
        <v>Starters</v>
      </c>
      <c r="H1382" s="10">
        <f>_xlfn.XLOOKUP(C1382,menu!A:A,menu!E:E)</f>
        <v>48</v>
      </c>
      <c r="I1382" s="10">
        <f t="shared" si="21"/>
        <v>96</v>
      </c>
      <c r="K1382" s="10"/>
      <c r="L1382" s="5"/>
    </row>
    <row r="1383" spans="1:12" x14ac:dyDescent="0.25">
      <c r="A1383" s="5" t="s">
        <v>5359</v>
      </c>
      <c r="B1383" s="5" t="s">
        <v>5358</v>
      </c>
      <c r="C1383" s="5" t="s">
        <v>38</v>
      </c>
      <c r="D1383" s="21">
        <v>1</v>
      </c>
      <c r="E1383" s="12">
        <v>149</v>
      </c>
      <c r="F1383" s="10" t="str">
        <f>_xlfn.XLOOKUP(C1383,menu!A:A,menu!B:B)</f>
        <v>Chicken Wings</v>
      </c>
      <c r="G1383" s="10" t="str">
        <f>_xlfn.XLOOKUP(C1383,menu!A:A,menu!C:C)</f>
        <v>Starters</v>
      </c>
      <c r="H1383" s="10">
        <f>_xlfn.XLOOKUP(C1383,menu!A:A,menu!E:E)</f>
        <v>45</v>
      </c>
      <c r="I1383" s="10">
        <f t="shared" si="21"/>
        <v>45</v>
      </c>
      <c r="K1383" s="10"/>
      <c r="L1383" s="5"/>
    </row>
    <row r="1384" spans="1:12" x14ac:dyDescent="0.25">
      <c r="A1384" s="5" t="s">
        <v>5357</v>
      </c>
      <c r="B1384" s="5" t="s">
        <v>5354</v>
      </c>
      <c r="C1384" s="5" t="s">
        <v>35</v>
      </c>
      <c r="D1384" s="21">
        <v>2</v>
      </c>
      <c r="E1384" s="12">
        <v>238</v>
      </c>
      <c r="F1384" s="10" t="str">
        <f>_xlfn.XLOOKUP(C1384,menu!A:A,menu!B:B)</f>
        <v>Chicken Nuggets</v>
      </c>
      <c r="G1384" s="10" t="str">
        <f>_xlfn.XLOOKUP(C1384,menu!A:A,menu!C:C)</f>
        <v>Starters</v>
      </c>
      <c r="H1384" s="10">
        <f>_xlfn.XLOOKUP(C1384,menu!A:A,menu!E:E)</f>
        <v>36</v>
      </c>
      <c r="I1384" s="10">
        <f t="shared" si="21"/>
        <v>72</v>
      </c>
      <c r="K1384" s="10"/>
      <c r="L1384" s="5"/>
    </row>
    <row r="1385" spans="1:12" x14ac:dyDescent="0.25">
      <c r="A1385" s="5" t="s">
        <v>5356</v>
      </c>
      <c r="B1385" s="5" t="s">
        <v>5354</v>
      </c>
      <c r="C1385" s="5" t="s">
        <v>54</v>
      </c>
      <c r="D1385" s="21">
        <v>1</v>
      </c>
      <c r="E1385" s="12">
        <v>139</v>
      </c>
      <c r="F1385" s="10" t="str">
        <f>_xlfn.XLOOKUP(C1385,menu!A:A,menu!B:B)</f>
        <v>Chicken Strips</v>
      </c>
      <c r="G1385" s="10" t="str">
        <f>_xlfn.XLOOKUP(C1385,menu!A:A,menu!C:C)</f>
        <v>Starters</v>
      </c>
      <c r="H1385" s="10">
        <f>_xlfn.XLOOKUP(C1385,menu!A:A,menu!E:E)</f>
        <v>42</v>
      </c>
      <c r="I1385" s="10">
        <f t="shared" si="21"/>
        <v>42</v>
      </c>
      <c r="K1385" s="10"/>
      <c r="L1385" s="5"/>
    </row>
    <row r="1386" spans="1:12" x14ac:dyDescent="0.25">
      <c r="A1386" s="5" t="s">
        <v>5355</v>
      </c>
      <c r="B1386" s="5" t="s">
        <v>5354</v>
      </c>
      <c r="C1386" s="5" t="s">
        <v>44</v>
      </c>
      <c r="D1386" s="21">
        <v>3</v>
      </c>
      <c r="E1386" s="12">
        <v>477</v>
      </c>
      <c r="F1386" s="10" t="str">
        <f>_xlfn.XLOOKUP(C1386,menu!A:A,menu!B:B)</f>
        <v>Fried Chicken</v>
      </c>
      <c r="G1386" s="10" t="str">
        <f>_xlfn.XLOOKUP(C1386,menu!A:A,menu!C:C)</f>
        <v>Starters</v>
      </c>
      <c r="H1386" s="10">
        <f>_xlfn.XLOOKUP(C1386,menu!A:A,menu!E:E)</f>
        <v>48</v>
      </c>
      <c r="I1386" s="10">
        <f t="shared" si="21"/>
        <v>144</v>
      </c>
      <c r="K1386" s="10"/>
      <c r="L1386" s="5"/>
    </row>
    <row r="1387" spans="1:12" x14ac:dyDescent="0.25">
      <c r="A1387" s="5" t="s">
        <v>5353</v>
      </c>
      <c r="B1387" s="5" t="s">
        <v>5350</v>
      </c>
      <c r="C1387" s="5" t="s">
        <v>46</v>
      </c>
      <c r="D1387" s="21">
        <v>1</v>
      </c>
      <c r="E1387" s="12">
        <v>149</v>
      </c>
      <c r="F1387" s="10" t="str">
        <f>_xlfn.XLOOKUP(C1387,menu!A:A,menu!B:B)</f>
        <v>Fish Finger</v>
      </c>
      <c r="G1387" s="10" t="str">
        <f>_xlfn.XLOOKUP(C1387,menu!A:A,menu!C:C)</f>
        <v>Starters</v>
      </c>
      <c r="H1387" s="10">
        <f>_xlfn.XLOOKUP(C1387,menu!A:A,menu!E:E)</f>
        <v>45</v>
      </c>
      <c r="I1387" s="10">
        <f t="shared" si="21"/>
        <v>45</v>
      </c>
      <c r="K1387" s="10"/>
      <c r="L1387" s="5"/>
    </row>
    <row r="1388" spans="1:12" x14ac:dyDescent="0.25">
      <c r="A1388" s="5" t="s">
        <v>5352</v>
      </c>
      <c r="B1388" s="5" t="s">
        <v>5350</v>
      </c>
      <c r="C1388" s="5" t="s">
        <v>31</v>
      </c>
      <c r="D1388" s="21">
        <v>1</v>
      </c>
      <c r="E1388" s="12">
        <v>89</v>
      </c>
      <c r="F1388" s="10" t="str">
        <f>_xlfn.XLOOKUP(C1388,menu!A:A,menu!B:B)</f>
        <v>Chicken Roll</v>
      </c>
      <c r="G1388" s="10" t="str">
        <f>_xlfn.XLOOKUP(C1388,menu!A:A,menu!C:C)</f>
        <v>Rolls</v>
      </c>
      <c r="H1388" s="10">
        <f>_xlfn.XLOOKUP(C1388,menu!A:A,menu!E:E)</f>
        <v>27</v>
      </c>
      <c r="I1388" s="10">
        <f t="shared" si="21"/>
        <v>27</v>
      </c>
      <c r="K1388" s="10"/>
      <c r="L1388" s="5"/>
    </row>
    <row r="1389" spans="1:12" x14ac:dyDescent="0.25">
      <c r="A1389" s="5" t="s">
        <v>5351</v>
      </c>
      <c r="B1389" s="5" t="s">
        <v>5350</v>
      </c>
      <c r="C1389" s="5" t="s">
        <v>38</v>
      </c>
      <c r="D1389" s="21">
        <v>1</v>
      </c>
      <c r="E1389" s="12">
        <v>149</v>
      </c>
      <c r="F1389" s="10" t="str">
        <f>_xlfn.XLOOKUP(C1389,menu!A:A,menu!B:B)</f>
        <v>Chicken Wings</v>
      </c>
      <c r="G1389" s="10" t="str">
        <f>_xlfn.XLOOKUP(C1389,menu!A:A,menu!C:C)</f>
        <v>Starters</v>
      </c>
      <c r="H1389" s="10">
        <f>_xlfn.XLOOKUP(C1389,menu!A:A,menu!E:E)</f>
        <v>45</v>
      </c>
      <c r="I1389" s="10">
        <f t="shared" si="21"/>
        <v>45</v>
      </c>
      <c r="K1389" s="10"/>
      <c r="L1389" s="5"/>
    </row>
    <row r="1390" spans="1:12" x14ac:dyDescent="0.25">
      <c r="A1390" s="5" t="s">
        <v>5349</v>
      </c>
      <c r="B1390" s="5" t="s">
        <v>5345</v>
      </c>
      <c r="C1390" s="5" t="s">
        <v>29</v>
      </c>
      <c r="D1390" s="21">
        <v>1</v>
      </c>
      <c r="E1390" s="12">
        <v>79</v>
      </c>
      <c r="F1390" s="10" t="str">
        <f>_xlfn.XLOOKUP(C1390,menu!A:A,menu!B:B)</f>
        <v>Paneer Roll</v>
      </c>
      <c r="G1390" s="10" t="str">
        <f>_xlfn.XLOOKUP(C1390,menu!A:A,menu!C:C)</f>
        <v>Rolls</v>
      </c>
      <c r="H1390" s="10">
        <f>_xlfn.XLOOKUP(C1390,menu!A:A,menu!E:E)</f>
        <v>24</v>
      </c>
      <c r="I1390" s="10">
        <f t="shared" si="21"/>
        <v>24</v>
      </c>
      <c r="K1390" s="10"/>
      <c r="L1390" s="5"/>
    </row>
    <row r="1391" spans="1:12" x14ac:dyDescent="0.25">
      <c r="A1391" s="5" t="s">
        <v>5348</v>
      </c>
      <c r="B1391" s="5" t="s">
        <v>5345</v>
      </c>
      <c r="C1391" s="5" t="s">
        <v>56</v>
      </c>
      <c r="D1391" s="21">
        <v>1</v>
      </c>
      <c r="E1391" s="12">
        <v>79</v>
      </c>
      <c r="F1391" s="10" t="str">
        <f>_xlfn.XLOOKUP(C1391,menu!A:A,menu!B:B)</f>
        <v>Mint Mojito</v>
      </c>
      <c r="G1391" s="10" t="str">
        <f>_xlfn.XLOOKUP(C1391,menu!A:A,menu!C:C)</f>
        <v>Beverages</v>
      </c>
      <c r="H1391" s="10">
        <f>_xlfn.XLOOKUP(C1391,menu!A:A,menu!E:E)</f>
        <v>24</v>
      </c>
      <c r="I1391" s="10">
        <f t="shared" si="21"/>
        <v>24</v>
      </c>
      <c r="K1391" s="10"/>
      <c r="L1391" s="5"/>
    </row>
    <row r="1392" spans="1:12" x14ac:dyDescent="0.25">
      <c r="A1392" s="5" t="s">
        <v>5347</v>
      </c>
      <c r="B1392" s="5" t="s">
        <v>5345</v>
      </c>
      <c r="C1392" s="5" t="s">
        <v>35</v>
      </c>
      <c r="D1392" s="21">
        <v>2</v>
      </c>
      <c r="E1392" s="12">
        <v>238</v>
      </c>
      <c r="F1392" s="10" t="str">
        <f>_xlfn.XLOOKUP(C1392,menu!A:A,menu!B:B)</f>
        <v>Chicken Nuggets</v>
      </c>
      <c r="G1392" s="10" t="str">
        <f>_xlfn.XLOOKUP(C1392,menu!A:A,menu!C:C)</f>
        <v>Starters</v>
      </c>
      <c r="H1392" s="10">
        <f>_xlfn.XLOOKUP(C1392,menu!A:A,menu!E:E)</f>
        <v>36</v>
      </c>
      <c r="I1392" s="10">
        <f t="shared" si="21"/>
        <v>72</v>
      </c>
      <c r="K1392" s="10"/>
      <c r="L1392" s="5"/>
    </row>
    <row r="1393" spans="1:12" x14ac:dyDescent="0.25">
      <c r="A1393" s="5" t="s">
        <v>5346</v>
      </c>
      <c r="B1393" s="5" t="s">
        <v>5345</v>
      </c>
      <c r="C1393" s="5" t="s">
        <v>15</v>
      </c>
      <c r="D1393" s="21">
        <v>3</v>
      </c>
      <c r="E1393" s="12">
        <v>297</v>
      </c>
      <c r="F1393" s="10" t="str">
        <f>_xlfn.XLOOKUP(C1393,menu!A:A,menu!B:B)</f>
        <v>Chicken Momos</v>
      </c>
      <c r="G1393" s="10" t="str">
        <f>_xlfn.XLOOKUP(C1393,menu!A:A,menu!C:C)</f>
        <v>Momos</v>
      </c>
      <c r="H1393" s="10">
        <f>_xlfn.XLOOKUP(C1393,menu!A:A,menu!E:E)</f>
        <v>30</v>
      </c>
      <c r="I1393" s="10">
        <f t="shared" si="21"/>
        <v>90</v>
      </c>
      <c r="K1393" s="10"/>
      <c r="L1393" s="5"/>
    </row>
    <row r="1394" spans="1:12" x14ac:dyDescent="0.25">
      <c r="A1394" s="5" t="s">
        <v>5344</v>
      </c>
      <c r="B1394" s="5" t="s">
        <v>5342</v>
      </c>
      <c r="C1394" s="5" t="s">
        <v>50</v>
      </c>
      <c r="D1394" s="21">
        <v>1</v>
      </c>
      <c r="E1394" s="12">
        <v>149</v>
      </c>
      <c r="F1394" s="10" t="str">
        <f>_xlfn.XLOOKUP(C1394,menu!A:A,menu!B:B)</f>
        <v>Grab Lollipop</v>
      </c>
      <c r="G1394" s="10" t="str">
        <f>_xlfn.XLOOKUP(C1394,menu!A:A,menu!C:C)</f>
        <v>Starters</v>
      </c>
      <c r="H1394" s="10">
        <f>_xlfn.XLOOKUP(C1394,menu!A:A,menu!E:E)</f>
        <v>45</v>
      </c>
      <c r="I1394" s="10">
        <f t="shared" si="21"/>
        <v>45</v>
      </c>
      <c r="K1394" s="10"/>
      <c r="L1394" s="5"/>
    </row>
    <row r="1395" spans="1:12" x14ac:dyDescent="0.25">
      <c r="A1395" s="5" t="s">
        <v>5343</v>
      </c>
      <c r="B1395" s="5" t="s">
        <v>5342</v>
      </c>
      <c r="C1395" s="5" t="s">
        <v>48</v>
      </c>
      <c r="D1395" s="21">
        <v>3</v>
      </c>
      <c r="E1395" s="12">
        <v>477</v>
      </c>
      <c r="F1395" s="10" t="str">
        <f>_xlfn.XLOOKUP(C1395,menu!A:A,menu!B:B)</f>
        <v>Chicken Lollipop</v>
      </c>
      <c r="G1395" s="10" t="str">
        <f>_xlfn.XLOOKUP(C1395,menu!A:A,menu!C:C)</f>
        <v>Starters</v>
      </c>
      <c r="H1395" s="10">
        <f>_xlfn.XLOOKUP(C1395,menu!A:A,menu!E:E)</f>
        <v>48</v>
      </c>
      <c r="I1395" s="10">
        <f t="shared" si="21"/>
        <v>144</v>
      </c>
      <c r="K1395" s="10"/>
      <c r="L1395" s="5"/>
    </row>
    <row r="1396" spans="1:12" x14ac:dyDescent="0.25">
      <c r="A1396" s="5" t="s">
        <v>5341</v>
      </c>
      <c r="B1396" s="5" t="s">
        <v>5338</v>
      </c>
      <c r="C1396" s="5" t="s">
        <v>46</v>
      </c>
      <c r="D1396" s="21">
        <v>2</v>
      </c>
      <c r="E1396" s="12">
        <v>298</v>
      </c>
      <c r="F1396" s="10" t="str">
        <f>_xlfn.XLOOKUP(C1396,menu!A:A,menu!B:B)</f>
        <v>Fish Finger</v>
      </c>
      <c r="G1396" s="10" t="str">
        <f>_xlfn.XLOOKUP(C1396,menu!A:A,menu!C:C)</f>
        <v>Starters</v>
      </c>
      <c r="H1396" s="10">
        <f>_xlfn.XLOOKUP(C1396,menu!A:A,menu!E:E)</f>
        <v>45</v>
      </c>
      <c r="I1396" s="10">
        <f t="shared" si="21"/>
        <v>90</v>
      </c>
      <c r="K1396" s="10"/>
      <c r="L1396" s="5"/>
    </row>
    <row r="1397" spans="1:12" x14ac:dyDescent="0.25">
      <c r="A1397" s="5" t="s">
        <v>5340</v>
      </c>
      <c r="B1397" s="5" t="s">
        <v>5338</v>
      </c>
      <c r="C1397" s="5" t="s">
        <v>22</v>
      </c>
      <c r="D1397" s="21">
        <v>2</v>
      </c>
      <c r="E1397" s="12">
        <v>198</v>
      </c>
      <c r="F1397" s="10" t="str">
        <f>_xlfn.XLOOKUP(C1397,menu!A:A,menu!B:B)</f>
        <v>Chicken Burger</v>
      </c>
      <c r="G1397" s="10" t="str">
        <f>_xlfn.XLOOKUP(C1397,menu!A:A,menu!C:C)</f>
        <v>Burger</v>
      </c>
      <c r="H1397" s="10">
        <f>_xlfn.XLOOKUP(C1397,menu!A:A,menu!E:E)</f>
        <v>30</v>
      </c>
      <c r="I1397" s="10">
        <f t="shared" si="21"/>
        <v>60</v>
      </c>
      <c r="K1397" s="10"/>
      <c r="L1397" s="5"/>
    </row>
    <row r="1398" spans="1:12" x14ac:dyDescent="0.25">
      <c r="A1398" s="5" t="s">
        <v>5339</v>
      </c>
      <c r="B1398" s="5" t="s">
        <v>5338</v>
      </c>
      <c r="C1398" s="5" t="s">
        <v>38</v>
      </c>
      <c r="D1398" s="21">
        <v>2</v>
      </c>
      <c r="E1398" s="12">
        <v>298</v>
      </c>
      <c r="F1398" s="10" t="str">
        <f>_xlfn.XLOOKUP(C1398,menu!A:A,menu!B:B)</f>
        <v>Chicken Wings</v>
      </c>
      <c r="G1398" s="10" t="str">
        <f>_xlfn.XLOOKUP(C1398,menu!A:A,menu!C:C)</f>
        <v>Starters</v>
      </c>
      <c r="H1398" s="10">
        <f>_xlfn.XLOOKUP(C1398,menu!A:A,menu!E:E)</f>
        <v>45</v>
      </c>
      <c r="I1398" s="10">
        <f t="shared" si="21"/>
        <v>90</v>
      </c>
      <c r="K1398" s="10"/>
      <c r="L1398" s="5"/>
    </row>
    <row r="1399" spans="1:12" x14ac:dyDescent="0.25">
      <c r="A1399" s="5" t="s">
        <v>5337</v>
      </c>
      <c r="B1399" s="5" t="s">
        <v>5335</v>
      </c>
      <c r="C1399" s="5" t="s">
        <v>46</v>
      </c>
      <c r="D1399" s="21">
        <v>1</v>
      </c>
      <c r="E1399" s="12">
        <v>149</v>
      </c>
      <c r="F1399" s="10" t="str">
        <f>_xlfn.XLOOKUP(C1399,menu!A:A,menu!B:B)</f>
        <v>Fish Finger</v>
      </c>
      <c r="G1399" s="10" t="str">
        <f>_xlfn.XLOOKUP(C1399,menu!A:A,menu!C:C)</f>
        <v>Starters</v>
      </c>
      <c r="H1399" s="10">
        <f>_xlfn.XLOOKUP(C1399,menu!A:A,menu!E:E)</f>
        <v>45</v>
      </c>
      <c r="I1399" s="10">
        <f t="shared" si="21"/>
        <v>45</v>
      </c>
      <c r="K1399" s="10"/>
      <c r="L1399" s="5"/>
    </row>
    <row r="1400" spans="1:12" x14ac:dyDescent="0.25">
      <c r="A1400" s="5" t="s">
        <v>5336</v>
      </c>
      <c r="B1400" s="5" t="s">
        <v>5335</v>
      </c>
      <c r="C1400" s="5" t="s">
        <v>26</v>
      </c>
      <c r="D1400" s="21">
        <v>3</v>
      </c>
      <c r="E1400" s="12">
        <v>177</v>
      </c>
      <c r="F1400" s="10" t="str">
        <f>_xlfn.XLOOKUP(C1400,menu!A:A,menu!B:B)</f>
        <v>Veg Roll</v>
      </c>
      <c r="G1400" s="10" t="str">
        <f>_xlfn.XLOOKUP(C1400,menu!A:A,menu!C:C)</f>
        <v>Rolls</v>
      </c>
      <c r="H1400" s="10">
        <f>_xlfn.XLOOKUP(C1400,menu!A:A,menu!E:E)</f>
        <v>18</v>
      </c>
      <c r="I1400" s="10">
        <f t="shared" si="21"/>
        <v>54</v>
      </c>
      <c r="K1400" s="10"/>
      <c r="L1400" s="5"/>
    </row>
    <row r="1401" spans="1:12" x14ac:dyDescent="0.25">
      <c r="A1401" s="5" t="s">
        <v>5334</v>
      </c>
      <c r="B1401" s="5" t="s">
        <v>5333</v>
      </c>
      <c r="C1401" s="5" t="s">
        <v>22</v>
      </c>
      <c r="D1401" s="21">
        <v>1</v>
      </c>
      <c r="E1401" s="12">
        <v>99</v>
      </c>
      <c r="F1401" s="10" t="str">
        <f>_xlfn.XLOOKUP(C1401,menu!A:A,menu!B:B)</f>
        <v>Chicken Burger</v>
      </c>
      <c r="G1401" s="10" t="str">
        <f>_xlfn.XLOOKUP(C1401,menu!A:A,menu!C:C)</f>
        <v>Burger</v>
      </c>
      <c r="H1401" s="10">
        <f>_xlfn.XLOOKUP(C1401,menu!A:A,menu!E:E)</f>
        <v>30</v>
      </c>
      <c r="I1401" s="10">
        <f t="shared" si="21"/>
        <v>30</v>
      </c>
      <c r="K1401" s="10"/>
      <c r="L1401" s="5"/>
    </row>
    <row r="1402" spans="1:12" x14ac:dyDescent="0.25">
      <c r="A1402" s="5" t="s">
        <v>5332</v>
      </c>
      <c r="B1402" s="5" t="s">
        <v>5329</v>
      </c>
      <c r="C1402" s="5" t="s">
        <v>42</v>
      </c>
      <c r="D1402" s="21">
        <v>1</v>
      </c>
      <c r="E1402" s="12">
        <v>149</v>
      </c>
      <c r="F1402" s="10" t="str">
        <f>_xlfn.XLOOKUP(C1402,menu!A:A,menu!B:B)</f>
        <v>Chicken Popcorn</v>
      </c>
      <c r="G1402" s="10" t="str">
        <f>_xlfn.XLOOKUP(C1402,menu!A:A,menu!C:C)</f>
        <v>Starters</v>
      </c>
      <c r="H1402" s="10">
        <f>_xlfn.XLOOKUP(C1402,menu!A:A,menu!E:E)</f>
        <v>45</v>
      </c>
      <c r="I1402" s="10">
        <f t="shared" si="21"/>
        <v>45</v>
      </c>
      <c r="K1402" s="10"/>
      <c r="L1402" s="5"/>
    </row>
    <row r="1403" spans="1:12" x14ac:dyDescent="0.25">
      <c r="A1403" s="5" t="s">
        <v>5331</v>
      </c>
      <c r="B1403" s="5" t="s">
        <v>5329</v>
      </c>
      <c r="C1403" s="5" t="s">
        <v>65</v>
      </c>
      <c r="D1403" s="21">
        <v>1</v>
      </c>
      <c r="E1403" s="12">
        <v>49</v>
      </c>
      <c r="F1403" s="10" t="str">
        <f>_xlfn.XLOOKUP(C1403,menu!A:A,menu!B:B)</f>
        <v>Lemon Juice</v>
      </c>
      <c r="G1403" s="10" t="str">
        <f>_xlfn.XLOOKUP(C1403,menu!A:A,menu!C:C)</f>
        <v>Beverages</v>
      </c>
      <c r="H1403" s="10">
        <f>_xlfn.XLOOKUP(C1403,menu!A:A,menu!E:E)</f>
        <v>15</v>
      </c>
      <c r="I1403" s="10">
        <f t="shared" si="21"/>
        <v>15</v>
      </c>
      <c r="K1403" s="10"/>
      <c r="L1403" s="5"/>
    </row>
    <row r="1404" spans="1:12" x14ac:dyDescent="0.25">
      <c r="A1404" s="5" t="s">
        <v>5330</v>
      </c>
      <c r="B1404" s="5" t="s">
        <v>5329</v>
      </c>
      <c r="C1404" s="5" t="s">
        <v>31</v>
      </c>
      <c r="D1404" s="21">
        <v>1</v>
      </c>
      <c r="E1404" s="12">
        <v>89</v>
      </c>
      <c r="F1404" s="10" t="str">
        <f>_xlfn.XLOOKUP(C1404,menu!A:A,menu!B:B)</f>
        <v>Chicken Roll</v>
      </c>
      <c r="G1404" s="10" t="str">
        <f>_xlfn.XLOOKUP(C1404,menu!A:A,menu!C:C)</f>
        <v>Rolls</v>
      </c>
      <c r="H1404" s="10">
        <f>_xlfn.XLOOKUP(C1404,menu!A:A,menu!E:E)</f>
        <v>27</v>
      </c>
      <c r="I1404" s="10">
        <f t="shared" si="21"/>
        <v>27</v>
      </c>
      <c r="K1404" s="10"/>
      <c r="L1404" s="5"/>
    </row>
    <row r="1405" spans="1:12" x14ac:dyDescent="0.25">
      <c r="A1405" s="5" t="s">
        <v>5328</v>
      </c>
      <c r="B1405" s="5" t="s">
        <v>5326</v>
      </c>
      <c r="C1405" s="5" t="s">
        <v>52</v>
      </c>
      <c r="D1405" s="21">
        <v>1</v>
      </c>
      <c r="E1405" s="12">
        <v>99</v>
      </c>
      <c r="F1405" s="10" t="str">
        <f>_xlfn.XLOOKUP(C1405,menu!A:A,menu!B:B)</f>
        <v>French Fries</v>
      </c>
      <c r="G1405" s="10" t="str">
        <f>_xlfn.XLOOKUP(C1405,menu!A:A,menu!C:C)</f>
        <v>Starters</v>
      </c>
      <c r="H1405" s="10">
        <f>_xlfn.XLOOKUP(C1405,menu!A:A,menu!E:E)</f>
        <v>30</v>
      </c>
      <c r="I1405" s="10">
        <f t="shared" si="21"/>
        <v>30</v>
      </c>
      <c r="K1405" s="10"/>
      <c r="L1405" s="5"/>
    </row>
    <row r="1406" spans="1:12" x14ac:dyDescent="0.25">
      <c r="A1406" s="5" t="s">
        <v>5327</v>
      </c>
      <c r="B1406" s="5" t="s">
        <v>5326</v>
      </c>
      <c r="C1406" s="5" t="s">
        <v>56</v>
      </c>
      <c r="D1406" s="21">
        <v>1</v>
      </c>
      <c r="E1406" s="12">
        <v>79</v>
      </c>
      <c r="F1406" s="10" t="str">
        <f>_xlfn.XLOOKUP(C1406,menu!A:A,menu!B:B)</f>
        <v>Mint Mojito</v>
      </c>
      <c r="G1406" s="10" t="str">
        <f>_xlfn.XLOOKUP(C1406,menu!A:A,menu!C:C)</f>
        <v>Beverages</v>
      </c>
      <c r="H1406" s="10">
        <f>_xlfn.XLOOKUP(C1406,menu!A:A,menu!E:E)</f>
        <v>24</v>
      </c>
      <c r="I1406" s="10">
        <f t="shared" si="21"/>
        <v>24</v>
      </c>
      <c r="K1406" s="10"/>
      <c r="L1406" s="5"/>
    </row>
    <row r="1407" spans="1:12" x14ac:dyDescent="0.25">
      <c r="A1407" s="5" t="s">
        <v>5325</v>
      </c>
      <c r="B1407" s="5" t="s">
        <v>5321</v>
      </c>
      <c r="C1407" s="5" t="s">
        <v>29</v>
      </c>
      <c r="D1407" s="21">
        <v>2</v>
      </c>
      <c r="E1407" s="12">
        <v>158</v>
      </c>
      <c r="F1407" s="10" t="str">
        <f>_xlfn.XLOOKUP(C1407,menu!A:A,menu!B:B)</f>
        <v>Paneer Roll</v>
      </c>
      <c r="G1407" s="10" t="str">
        <f>_xlfn.XLOOKUP(C1407,menu!A:A,menu!C:C)</f>
        <v>Rolls</v>
      </c>
      <c r="H1407" s="10">
        <f>_xlfn.XLOOKUP(C1407,menu!A:A,menu!E:E)</f>
        <v>24</v>
      </c>
      <c r="I1407" s="10">
        <f t="shared" si="21"/>
        <v>48</v>
      </c>
      <c r="K1407" s="10"/>
      <c r="L1407" s="5"/>
    </row>
    <row r="1408" spans="1:12" x14ac:dyDescent="0.25">
      <c r="A1408" s="5" t="s">
        <v>5324</v>
      </c>
      <c r="B1408" s="5" t="s">
        <v>5321</v>
      </c>
      <c r="C1408" s="5" t="s">
        <v>44</v>
      </c>
      <c r="D1408" s="21">
        <v>1</v>
      </c>
      <c r="E1408" s="12">
        <v>159</v>
      </c>
      <c r="F1408" s="10" t="str">
        <f>_xlfn.XLOOKUP(C1408,menu!A:A,menu!B:B)</f>
        <v>Fried Chicken</v>
      </c>
      <c r="G1408" s="10" t="str">
        <f>_xlfn.XLOOKUP(C1408,menu!A:A,menu!C:C)</f>
        <v>Starters</v>
      </c>
      <c r="H1408" s="10">
        <f>_xlfn.XLOOKUP(C1408,menu!A:A,menu!E:E)</f>
        <v>48</v>
      </c>
      <c r="I1408" s="10">
        <f t="shared" si="21"/>
        <v>48</v>
      </c>
      <c r="K1408" s="10"/>
      <c r="L1408" s="5"/>
    </row>
    <row r="1409" spans="1:12" x14ac:dyDescent="0.25">
      <c r="A1409" s="5" t="s">
        <v>5323</v>
      </c>
      <c r="B1409" s="5" t="s">
        <v>5321</v>
      </c>
      <c r="C1409" s="5" t="s">
        <v>35</v>
      </c>
      <c r="D1409" s="21">
        <v>1</v>
      </c>
      <c r="E1409" s="12">
        <v>119</v>
      </c>
      <c r="F1409" s="10" t="str">
        <f>_xlfn.XLOOKUP(C1409,menu!A:A,menu!B:B)</f>
        <v>Chicken Nuggets</v>
      </c>
      <c r="G1409" s="10" t="str">
        <f>_xlfn.XLOOKUP(C1409,menu!A:A,menu!C:C)</f>
        <v>Starters</v>
      </c>
      <c r="H1409" s="10">
        <f>_xlfn.XLOOKUP(C1409,menu!A:A,menu!E:E)</f>
        <v>36</v>
      </c>
      <c r="I1409" s="10">
        <f t="shared" si="21"/>
        <v>36</v>
      </c>
      <c r="K1409" s="10"/>
      <c r="L1409" s="5"/>
    </row>
    <row r="1410" spans="1:12" x14ac:dyDescent="0.25">
      <c r="A1410" s="5" t="s">
        <v>5322</v>
      </c>
      <c r="B1410" s="5" t="s">
        <v>5321</v>
      </c>
      <c r="C1410" s="5" t="s">
        <v>42</v>
      </c>
      <c r="D1410" s="21">
        <v>1</v>
      </c>
      <c r="E1410" s="12">
        <v>149</v>
      </c>
      <c r="F1410" s="10" t="str">
        <f>_xlfn.XLOOKUP(C1410,menu!A:A,menu!B:B)</f>
        <v>Chicken Popcorn</v>
      </c>
      <c r="G1410" s="10" t="str">
        <f>_xlfn.XLOOKUP(C1410,menu!A:A,menu!C:C)</f>
        <v>Starters</v>
      </c>
      <c r="H1410" s="10">
        <f>_xlfn.XLOOKUP(C1410,menu!A:A,menu!E:E)</f>
        <v>45</v>
      </c>
      <c r="I1410" s="10">
        <f t="shared" si="21"/>
        <v>45</v>
      </c>
      <c r="K1410" s="10"/>
      <c r="L1410" s="5"/>
    </row>
    <row r="1411" spans="1:12" x14ac:dyDescent="0.25">
      <c r="A1411" s="5" t="s">
        <v>5320</v>
      </c>
      <c r="B1411" s="5" t="s">
        <v>5317</v>
      </c>
      <c r="C1411" s="5" t="s">
        <v>19</v>
      </c>
      <c r="D1411" s="21">
        <v>4</v>
      </c>
      <c r="E1411" s="12">
        <v>316</v>
      </c>
      <c r="F1411" s="10" t="str">
        <f>_xlfn.XLOOKUP(C1411,menu!A:A,menu!B:B)</f>
        <v>Veg Burger</v>
      </c>
      <c r="G1411" s="10" t="str">
        <f>_xlfn.XLOOKUP(C1411,menu!A:A,menu!C:C)</f>
        <v>Burger</v>
      </c>
      <c r="H1411" s="10">
        <f>_xlfn.XLOOKUP(C1411,menu!A:A,menu!E:E)</f>
        <v>24</v>
      </c>
      <c r="I1411" s="10">
        <f t="shared" ref="I1411:I1474" si="22">D1411*H1411</f>
        <v>96</v>
      </c>
      <c r="K1411" s="10"/>
      <c r="L1411" s="5"/>
    </row>
    <row r="1412" spans="1:12" x14ac:dyDescent="0.25">
      <c r="A1412" s="5" t="s">
        <v>5319</v>
      </c>
      <c r="B1412" s="5" t="s">
        <v>5317</v>
      </c>
      <c r="C1412" s="5" t="s">
        <v>26</v>
      </c>
      <c r="D1412" s="21">
        <v>1</v>
      </c>
      <c r="E1412" s="12">
        <v>59</v>
      </c>
      <c r="F1412" s="10" t="str">
        <f>_xlfn.XLOOKUP(C1412,menu!A:A,menu!B:B)</f>
        <v>Veg Roll</v>
      </c>
      <c r="G1412" s="10" t="str">
        <f>_xlfn.XLOOKUP(C1412,menu!A:A,menu!C:C)</f>
        <v>Rolls</v>
      </c>
      <c r="H1412" s="10">
        <f>_xlfn.XLOOKUP(C1412,menu!A:A,menu!E:E)</f>
        <v>18</v>
      </c>
      <c r="I1412" s="10">
        <f t="shared" si="22"/>
        <v>18</v>
      </c>
      <c r="K1412" s="10"/>
      <c r="L1412" s="5"/>
    </row>
    <row r="1413" spans="1:12" x14ac:dyDescent="0.25">
      <c r="A1413" s="5" t="s">
        <v>5318</v>
      </c>
      <c r="B1413" s="5" t="s">
        <v>5317</v>
      </c>
      <c r="C1413" s="5" t="s">
        <v>61</v>
      </c>
      <c r="D1413" s="21">
        <v>2</v>
      </c>
      <c r="E1413" s="12">
        <v>158</v>
      </c>
      <c r="F1413" s="10" t="str">
        <f>_xlfn.XLOOKUP(C1413,menu!A:A,menu!B:B)</f>
        <v>Watermelon Mojito</v>
      </c>
      <c r="G1413" s="10" t="str">
        <f>_xlfn.XLOOKUP(C1413,menu!A:A,menu!C:C)</f>
        <v>Beverages</v>
      </c>
      <c r="H1413" s="10">
        <f>_xlfn.XLOOKUP(C1413,menu!A:A,menu!E:E)</f>
        <v>24</v>
      </c>
      <c r="I1413" s="10">
        <f t="shared" si="22"/>
        <v>48</v>
      </c>
      <c r="K1413" s="10"/>
      <c r="L1413" s="5"/>
    </row>
    <row r="1414" spans="1:12" x14ac:dyDescent="0.25">
      <c r="A1414" s="5" t="s">
        <v>5316</v>
      </c>
      <c r="B1414" s="5" t="s">
        <v>5314</v>
      </c>
      <c r="C1414" s="5" t="s">
        <v>46</v>
      </c>
      <c r="D1414" s="21">
        <v>1</v>
      </c>
      <c r="E1414" s="12">
        <v>149</v>
      </c>
      <c r="F1414" s="10" t="str">
        <f>_xlfn.XLOOKUP(C1414,menu!A:A,menu!B:B)</f>
        <v>Fish Finger</v>
      </c>
      <c r="G1414" s="10" t="str">
        <f>_xlfn.XLOOKUP(C1414,menu!A:A,menu!C:C)</f>
        <v>Starters</v>
      </c>
      <c r="H1414" s="10">
        <f>_xlfn.XLOOKUP(C1414,menu!A:A,menu!E:E)</f>
        <v>45</v>
      </c>
      <c r="I1414" s="10">
        <f t="shared" si="22"/>
        <v>45</v>
      </c>
      <c r="K1414" s="10"/>
      <c r="L1414" s="5"/>
    </row>
    <row r="1415" spans="1:12" x14ac:dyDescent="0.25">
      <c r="A1415" s="5" t="s">
        <v>5315</v>
      </c>
      <c r="B1415" s="5" t="s">
        <v>5314</v>
      </c>
      <c r="C1415" s="5" t="s">
        <v>8</v>
      </c>
      <c r="D1415" s="21">
        <v>2</v>
      </c>
      <c r="E1415" s="12">
        <v>198</v>
      </c>
      <c r="F1415" s="10" t="str">
        <f>_xlfn.XLOOKUP(C1415,menu!A:A,menu!B:B)</f>
        <v>Paneer Sandwich</v>
      </c>
      <c r="G1415" s="10" t="str">
        <f>_xlfn.XLOOKUP(C1415,menu!A:A,menu!C:C)</f>
        <v>Sandwich</v>
      </c>
      <c r="H1415" s="10">
        <f>_xlfn.XLOOKUP(C1415,menu!A:A,menu!E:E)</f>
        <v>30</v>
      </c>
      <c r="I1415" s="10">
        <f t="shared" si="22"/>
        <v>60</v>
      </c>
      <c r="K1415" s="10"/>
      <c r="L1415" s="5"/>
    </row>
    <row r="1416" spans="1:12" x14ac:dyDescent="0.25">
      <c r="A1416" s="5" t="s">
        <v>5313</v>
      </c>
      <c r="B1416" s="5" t="s">
        <v>5311</v>
      </c>
      <c r="C1416" s="5" t="s">
        <v>52</v>
      </c>
      <c r="D1416" s="21">
        <v>3</v>
      </c>
      <c r="E1416" s="12">
        <v>297</v>
      </c>
      <c r="F1416" s="10" t="str">
        <f>_xlfn.XLOOKUP(C1416,menu!A:A,menu!B:B)</f>
        <v>French Fries</v>
      </c>
      <c r="G1416" s="10" t="str">
        <f>_xlfn.XLOOKUP(C1416,menu!A:A,menu!C:C)</f>
        <v>Starters</v>
      </c>
      <c r="H1416" s="10">
        <f>_xlfn.XLOOKUP(C1416,menu!A:A,menu!E:E)</f>
        <v>30</v>
      </c>
      <c r="I1416" s="10">
        <f t="shared" si="22"/>
        <v>90</v>
      </c>
      <c r="K1416" s="10"/>
      <c r="L1416" s="5"/>
    </row>
    <row r="1417" spans="1:12" x14ac:dyDescent="0.25">
      <c r="A1417" s="5" t="s">
        <v>5312</v>
      </c>
      <c r="B1417" s="5" t="s">
        <v>5311</v>
      </c>
      <c r="C1417" s="5" t="s">
        <v>26</v>
      </c>
      <c r="D1417" s="21">
        <v>4</v>
      </c>
      <c r="E1417" s="12">
        <v>236</v>
      </c>
      <c r="F1417" s="10" t="str">
        <f>_xlfn.XLOOKUP(C1417,menu!A:A,menu!B:B)</f>
        <v>Veg Roll</v>
      </c>
      <c r="G1417" s="10" t="str">
        <f>_xlfn.XLOOKUP(C1417,menu!A:A,menu!C:C)</f>
        <v>Rolls</v>
      </c>
      <c r="H1417" s="10">
        <f>_xlfn.XLOOKUP(C1417,menu!A:A,menu!E:E)</f>
        <v>18</v>
      </c>
      <c r="I1417" s="10">
        <f t="shared" si="22"/>
        <v>72</v>
      </c>
      <c r="K1417" s="10"/>
      <c r="L1417" s="5"/>
    </row>
    <row r="1418" spans="1:12" x14ac:dyDescent="0.25">
      <c r="A1418" s="5" t="s">
        <v>5310</v>
      </c>
      <c r="B1418" s="5" t="s">
        <v>5306</v>
      </c>
      <c r="C1418" s="5" t="s">
        <v>10</v>
      </c>
      <c r="D1418" s="21">
        <v>2</v>
      </c>
      <c r="E1418" s="12">
        <v>238</v>
      </c>
      <c r="F1418" s="10" t="str">
        <f>_xlfn.XLOOKUP(C1418,menu!A:A,menu!B:B)</f>
        <v>Chicken Sandwich</v>
      </c>
      <c r="G1418" s="10" t="str">
        <f>_xlfn.XLOOKUP(C1418,menu!A:A,menu!C:C)</f>
        <v>Sandwich</v>
      </c>
      <c r="H1418" s="10">
        <f>_xlfn.XLOOKUP(C1418,menu!A:A,menu!E:E)</f>
        <v>36</v>
      </c>
      <c r="I1418" s="10">
        <f t="shared" si="22"/>
        <v>72</v>
      </c>
      <c r="K1418" s="10"/>
      <c r="L1418" s="5"/>
    </row>
    <row r="1419" spans="1:12" x14ac:dyDescent="0.25">
      <c r="A1419" s="5" t="s">
        <v>5309</v>
      </c>
      <c r="B1419" s="5" t="s">
        <v>5306</v>
      </c>
      <c r="C1419" s="5" t="s">
        <v>44</v>
      </c>
      <c r="D1419" s="21">
        <v>4</v>
      </c>
      <c r="E1419" s="12">
        <v>636</v>
      </c>
      <c r="F1419" s="10" t="str">
        <f>_xlfn.XLOOKUP(C1419,menu!A:A,menu!B:B)</f>
        <v>Fried Chicken</v>
      </c>
      <c r="G1419" s="10" t="str">
        <f>_xlfn.XLOOKUP(C1419,menu!A:A,menu!C:C)</f>
        <v>Starters</v>
      </c>
      <c r="H1419" s="10">
        <f>_xlfn.XLOOKUP(C1419,menu!A:A,menu!E:E)</f>
        <v>48</v>
      </c>
      <c r="I1419" s="10">
        <f t="shared" si="22"/>
        <v>192</v>
      </c>
      <c r="K1419" s="10"/>
      <c r="L1419" s="5"/>
    </row>
    <row r="1420" spans="1:12" x14ac:dyDescent="0.25">
      <c r="A1420" s="5" t="s">
        <v>5308</v>
      </c>
      <c r="B1420" s="5" t="s">
        <v>5306</v>
      </c>
      <c r="C1420" s="5" t="s">
        <v>42</v>
      </c>
      <c r="D1420" s="21">
        <v>1</v>
      </c>
      <c r="E1420" s="12">
        <v>149</v>
      </c>
      <c r="F1420" s="10" t="str">
        <f>_xlfn.XLOOKUP(C1420,menu!A:A,menu!B:B)</f>
        <v>Chicken Popcorn</v>
      </c>
      <c r="G1420" s="10" t="str">
        <f>_xlfn.XLOOKUP(C1420,menu!A:A,menu!C:C)</f>
        <v>Starters</v>
      </c>
      <c r="H1420" s="10">
        <f>_xlfn.XLOOKUP(C1420,menu!A:A,menu!E:E)</f>
        <v>45</v>
      </c>
      <c r="I1420" s="10">
        <f t="shared" si="22"/>
        <v>45</v>
      </c>
      <c r="K1420" s="10"/>
      <c r="L1420" s="5"/>
    </row>
    <row r="1421" spans="1:12" x14ac:dyDescent="0.25">
      <c r="A1421" s="5" t="s">
        <v>5307</v>
      </c>
      <c r="B1421" s="5" t="s">
        <v>5306</v>
      </c>
      <c r="C1421" s="5" t="s">
        <v>61</v>
      </c>
      <c r="D1421" s="21">
        <v>1</v>
      </c>
      <c r="E1421" s="12">
        <v>79</v>
      </c>
      <c r="F1421" s="10" t="str">
        <f>_xlfn.XLOOKUP(C1421,menu!A:A,menu!B:B)</f>
        <v>Watermelon Mojito</v>
      </c>
      <c r="G1421" s="10" t="str">
        <f>_xlfn.XLOOKUP(C1421,menu!A:A,menu!C:C)</f>
        <v>Beverages</v>
      </c>
      <c r="H1421" s="10">
        <f>_xlfn.XLOOKUP(C1421,menu!A:A,menu!E:E)</f>
        <v>24</v>
      </c>
      <c r="I1421" s="10">
        <f t="shared" si="22"/>
        <v>24</v>
      </c>
      <c r="K1421" s="10"/>
      <c r="L1421" s="5"/>
    </row>
    <row r="1422" spans="1:12" x14ac:dyDescent="0.25">
      <c r="A1422" s="5" t="s">
        <v>5305</v>
      </c>
      <c r="B1422" s="5" t="s">
        <v>5301</v>
      </c>
      <c r="C1422" s="5" t="s">
        <v>5</v>
      </c>
      <c r="D1422" s="21">
        <v>1</v>
      </c>
      <c r="E1422" s="12">
        <v>79</v>
      </c>
      <c r="F1422" s="10" t="str">
        <f>_xlfn.XLOOKUP(C1422,menu!A:A,menu!B:B)</f>
        <v>Veg Sandwich</v>
      </c>
      <c r="G1422" s="10" t="str">
        <f>_xlfn.XLOOKUP(C1422,menu!A:A,menu!C:C)</f>
        <v>Sandwich</v>
      </c>
      <c r="H1422" s="10">
        <f>_xlfn.XLOOKUP(C1422,menu!A:A,menu!E:E)</f>
        <v>24</v>
      </c>
      <c r="I1422" s="10">
        <f t="shared" si="22"/>
        <v>24</v>
      </c>
      <c r="K1422" s="10"/>
      <c r="L1422" s="5"/>
    </row>
    <row r="1423" spans="1:12" x14ac:dyDescent="0.25">
      <c r="A1423" s="5" t="s">
        <v>5304</v>
      </c>
      <c r="B1423" s="5" t="s">
        <v>5301</v>
      </c>
      <c r="C1423" s="5" t="s">
        <v>50</v>
      </c>
      <c r="D1423" s="21">
        <v>2</v>
      </c>
      <c r="E1423" s="12">
        <v>298</v>
      </c>
      <c r="F1423" s="10" t="str">
        <f>_xlfn.XLOOKUP(C1423,menu!A:A,menu!B:B)</f>
        <v>Grab Lollipop</v>
      </c>
      <c r="G1423" s="10" t="str">
        <f>_xlfn.XLOOKUP(C1423,menu!A:A,menu!C:C)</f>
        <v>Starters</v>
      </c>
      <c r="H1423" s="10">
        <f>_xlfn.XLOOKUP(C1423,menu!A:A,menu!E:E)</f>
        <v>45</v>
      </c>
      <c r="I1423" s="10">
        <f t="shared" si="22"/>
        <v>90</v>
      </c>
      <c r="K1423" s="10"/>
      <c r="L1423" s="5"/>
    </row>
    <row r="1424" spans="1:12" x14ac:dyDescent="0.25">
      <c r="A1424" s="5" t="s">
        <v>5303</v>
      </c>
      <c r="B1424" s="5" t="s">
        <v>5301</v>
      </c>
      <c r="C1424" s="5" t="s">
        <v>42</v>
      </c>
      <c r="D1424" s="21">
        <v>1</v>
      </c>
      <c r="E1424" s="12">
        <v>149</v>
      </c>
      <c r="F1424" s="10" t="str">
        <f>_xlfn.XLOOKUP(C1424,menu!A:A,menu!B:B)</f>
        <v>Chicken Popcorn</v>
      </c>
      <c r="G1424" s="10" t="str">
        <f>_xlfn.XLOOKUP(C1424,menu!A:A,menu!C:C)</f>
        <v>Starters</v>
      </c>
      <c r="H1424" s="10">
        <f>_xlfn.XLOOKUP(C1424,menu!A:A,menu!E:E)</f>
        <v>45</v>
      </c>
      <c r="I1424" s="10">
        <f t="shared" si="22"/>
        <v>45</v>
      </c>
      <c r="K1424" s="10"/>
      <c r="L1424" s="5"/>
    </row>
    <row r="1425" spans="1:12" x14ac:dyDescent="0.25">
      <c r="A1425" s="5" t="s">
        <v>5302</v>
      </c>
      <c r="B1425" s="5" t="s">
        <v>5301</v>
      </c>
      <c r="C1425" s="5" t="s">
        <v>17</v>
      </c>
      <c r="D1425" s="21">
        <v>2</v>
      </c>
      <c r="E1425" s="12">
        <v>178</v>
      </c>
      <c r="F1425" s="10" t="str">
        <f>_xlfn.XLOOKUP(C1425,menu!A:A,menu!B:B)</f>
        <v>Paneer Momos</v>
      </c>
      <c r="G1425" s="10" t="str">
        <f>_xlfn.XLOOKUP(C1425,menu!A:A,menu!C:C)</f>
        <v>Momos</v>
      </c>
      <c r="H1425" s="10">
        <f>_xlfn.XLOOKUP(C1425,menu!A:A,menu!E:E)</f>
        <v>27</v>
      </c>
      <c r="I1425" s="10">
        <f t="shared" si="22"/>
        <v>54</v>
      </c>
      <c r="K1425" s="10"/>
      <c r="L1425" s="5"/>
    </row>
    <row r="1426" spans="1:12" x14ac:dyDescent="0.25">
      <c r="A1426" s="5" t="s">
        <v>5300</v>
      </c>
      <c r="B1426" s="5" t="s">
        <v>5296</v>
      </c>
      <c r="C1426" s="5" t="s">
        <v>29</v>
      </c>
      <c r="D1426" s="21">
        <v>1</v>
      </c>
      <c r="E1426" s="12">
        <v>79</v>
      </c>
      <c r="F1426" s="10" t="str">
        <f>_xlfn.XLOOKUP(C1426,menu!A:A,menu!B:B)</f>
        <v>Paneer Roll</v>
      </c>
      <c r="G1426" s="10" t="str">
        <f>_xlfn.XLOOKUP(C1426,menu!A:A,menu!C:C)</f>
        <v>Rolls</v>
      </c>
      <c r="H1426" s="10">
        <f>_xlfn.XLOOKUP(C1426,menu!A:A,menu!E:E)</f>
        <v>24</v>
      </c>
      <c r="I1426" s="10">
        <f t="shared" si="22"/>
        <v>24</v>
      </c>
      <c r="K1426" s="10"/>
      <c r="L1426" s="5"/>
    </row>
    <row r="1427" spans="1:12" x14ac:dyDescent="0.25">
      <c r="A1427" s="5" t="s">
        <v>5299</v>
      </c>
      <c r="B1427" s="5" t="s">
        <v>5296</v>
      </c>
      <c r="C1427" s="5" t="s">
        <v>35</v>
      </c>
      <c r="D1427" s="21">
        <v>1</v>
      </c>
      <c r="E1427" s="12">
        <v>119</v>
      </c>
      <c r="F1427" s="10" t="str">
        <f>_xlfn.XLOOKUP(C1427,menu!A:A,menu!B:B)</f>
        <v>Chicken Nuggets</v>
      </c>
      <c r="G1427" s="10" t="str">
        <f>_xlfn.XLOOKUP(C1427,menu!A:A,menu!C:C)</f>
        <v>Starters</v>
      </c>
      <c r="H1427" s="10">
        <f>_xlfn.XLOOKUP(C1427,menu!A:A,menu!E:E)</f>
        <v>36</v>
      </c>
      <c r="I1427" s="10">
        <f t="shared" si="22"/>
        <v>36</v>
      </c>
      <c r="K1427" s="10"/>
      <c r="L1427" s="5"/>
    </row>
    <row r="1428" spans="1:12" x14ac:dyDescent="0.25">
      <c r="A1428" s="5" t="s">
        <v>5298</v>
      </c>
      <c r="B1428" s="5" t="s">
        <v>5296</v>
      </c>
      <c r="C1428" s="5" t="s">
        <v>65</v>
      </c>
      <c r="D1428" s="21">
        <v>2</v>
      </c>
      <c r="E1428" s="12">
        <v>98</v>
      </c>
      <c r="F1428" s="10" t="str">
        <f>_xlfn.XLOOKUP(C1428,menu!A:A,menu!B:B)</f>
        <v>Lemon Juice</v>
      </c>
      <c r="G1428" s="10" t="str">
        <f>_xlfn.XLOOKUP(C1428,menu!A:A,menu!C:C)</f>
        <v>Beverages</v>
      </c>
      <c r="H1428" s="10">
        <f>_xlfn.XLOOKUP(C1428,menu!A:A,menu!E:E)</f>
        <v>15</v>
      </c>
      <c r="I1428" s="10">
        <f t="shared" si="22"/>
        <v>30</v>
      </c>
      <c r="K1428" s="10"/>
      <c r="L1428" s="5"/>
    </row>
    <row r="1429" spans="1:12" x14ac:dyDescent="0.25">
      <c r="A1429" s="5" t="s">
        <v>5297</v>
      </c>
      <c r="B1429" s="5" t="s">
        <v>5296</v>
      </c>
      <c r="C1429" s="5" t="s">
        <v>17</v>
      </c>
      <c r="D1429" s="21">
        <v>1</v>
      </c>
      <c r="E1429" s="12">
        <v>89</v>
      </c>
      <c r="F1429" s="10" t="str">
        <f>_xlfn.XLOOKUP(C1429,menu!A:A,menu!B:B)</f>
        <v>Paneer Momos</v>
      </c>
      <c r="G1429" s="10" t="str">
        <f>_xlfn.XLOOKUP(C1429,menu!A:A,menu!C:C)</f>
        <v>Momos</v>
      </c>
      <c r="H1429" s="10">
        <f>_xlfn.XLOOKUP(C1429,menu!A:A,menu!E:E)</f>
        <v>27</v>
      </c>
      <c r="I1429" s="10">
        <f t="shared" si="22"/>
        <v>27</v>
      </c>
      <c r="K1429" s="10"/>
      <c r="L1429" s="5"/>
    </row>
    <row r="1430" spans="1:12" x14ac:dyDescent="0.25">
      <c r="A1430" s="5" t="s">
        <v>5295</v>
      </c>
      <c r="B1430" s="5" t="s">
        <v>5294</v>
      </c>
      <c r="C1430" s="5" t="s">
        <v>12</v>
      </c>
      <c r="D1430" s="21">
        <v>1</v>
      </c>
      <c r="E1430" s="12">
        <v>79</v>
      </c>
      <c r="F1430" s="10" t="str">
        <f>_xlfn.XLOOKUP(C1430,menu!A:A,menu!B:B)</f>
        <v>Veg Momos</v>
      </c>
      <c r="G1430" s="10" t="str">
        <f>_xlfn.XLOOKUP(C1430,menu!A:A,menu!C:C)</f>
        <v>Momos</v>
      </c>
      <c r="H1430" s="10">
        <f>_xlfn.XLOOKUP(C1430,menu!A:A,menu!E:E)</f>
        <v>24</v>
      </c>
      <c r="I1430" s="10">
        <f t="shared" si="22"/>
        <v>24</v>
      </c>
      <c r="K1430" s="10"/>
      <c r="L1430" s="5"/>
    </row>
    <row r="1431" spans="1:12" x14ac:dyDescent="0.25">
      <c r="A1431" s="5" t="s">
        <v>5293</v>
      </c>
      <c r="B1431" s="5" t="s">
        <v>5292</v>
      </c>
      <c r="C1431" s="5" t="s">
        <v>61</v>
      </c>
      <c r="D1431" s="21">
        <v>1</v>
      </c>
      <c r="E1431" s="12">
        <v>79</v>
      </c>
      <c r="F1431" s="10" t="str">
        <f>_xlfn.XLOOKUP(C1431,menu!A:A,menu!B:B)</f>
        <v>Watermelon Mojito</v>
      </c>
      <c r="G1431" s="10" t="str">
        <f>_xlfn.XLOOKUP(C1431,menu!A:A,menu!C:C)</f>
        <v>Beverages</v>
      </c>
      <c r="H1431" s="10">
        <f>_xlfn.XLOOKUP(C1431,menu!A:A,menu!E:E)</f>
        <v>24</v>
      </c>
      <c r="I1431" s="10">
        <f t="shared" si="22"/>
        <v>24</v>
      </c>
      <c r="K1431" s="10"/>
      <c r="L1431" s="5"/>
    </row>
    <row r="1432" spans="1:12" x14ac:dyDescent="0.25">
      <c r="A1432" s="5" t="s">
        <v>5291</v>
      </c>
      <c r="B1432" s="5" t="s">
        <v>5289</v>
      </c>
      <c r="C1432" s="5" t="s">
        <v>40</v>
      </c>
      <c r="D1432" s="21">
        <v>1</v>
      </c>
      <c r="E1432" s="12">
        <v>99</v>
      </c>
      <c r="F1432" s="10" t="str">
        <f>_xlfn.XLOOKUP(C1432,menu!A:A,menu!B:B)</f>
        <v>Veg Nuggets</v>
      </c>
      <c r="G1432" s="10" t="str">
        <f>_xlfn.XLOOKUP(C1432,menu!A:A,menu!C:C)</f>
        <v>Starters</v>
      </c>
      <c r="H1432" s="10">
        <f>_xlfn.XLOOKUP(C1432,menu!A:A,menu!E:E)</f>
        <v>30</v>
      </c>
      <c r="I1432" s="10">
        <f t="shared" si="22"/>
        <v>30</v>
      </c>
      <c r="K1432" s="10"/>
      <c r="L1432" s="5"/>
    </row>
    <row r="1433" spans="1:12" x14ac:dyDescent="0.25">
      <c r="A1433" s="5" t="s">
        <v>5290</v>
      </c>
      <c r="B1433" s="5" t="s">
        <v>5289</v>
      </c>
      <c r="C1433" s="5" t="s">
        <v>46</v>
      </c>
      <c r="D1433" s="21">
        <v>2</v>
      </c>
      <c r="E1433" s="12">
        <v>298</v>
      </c>
      <c r="F1433" s="10" t="str">
        <f>_xlfn.XLOOKUP(C1433,menu!A:A,menu!B:B)</f>
        <v>Fish Finger</v>
      </c>
      <c r="G1433" s="10" t="str">
        <f>_xlfn.XLOOKUP(C1433,menu!A:A,menu!C:C)</f>
        <v>Starters</v>
      </c>
      <c r="H1433" s="10">
        <f>_xlfn.XLOOKUP(C1433,menu!A:A,menu!E:E)</f>
        <v>45</v>
      </c>
      <c r="I1433" s="10">
        <f t="shared" si="22"/>
        <v>90</v>
      </c>
      <c r="K1433" s="10"/>
      <c r="L1433" s="5"/>
    </row>
    <row r="1434" spans="1:12" x14ac:dyDescent="0.25">
      <c r="A1434" s="5" t="s">
        <v>5288</v>
      </c>
      <c r="B1434" s="5" t="s">
        <v>5286</v>
      </c>
      <c r="C1434" s="5" t="s">
        <v>19</v>
      </c>
      <c r="D1434" s="21">
        <v>1</v>
      </c>
      <c r="E1434" s="12">
        <v>79</v>
      </c>
      <c r="F1434" s="10" t="str">
        <f>_xlfn.XLOOKUP(C1434,menu!A:A,menu!B:B)</f>
        <v>Veg Burger</v>
      </c>
      <c r="G1434" s="10" t="str">
        <f>_xlfn.XLOOKUP(C1434,menu!A:A,menu!C:C)</f>
        <v>Burger</v>
      </c>
      <c r="H1434" s="10">
        <f>_xlfn.XLOOKUP(C1434,menu!A:A,menu!E:E)</f>
        <v>24</v>
      </c>
      <c r="I1434" s="10">
        <f t="shared" si="22"/>
        <v>24</v>
      </c>
      <c r="K1434" s="10"/>
      <c r="L1434" s="5"/>
    </row>
    <row r="1435" spans="1:12" x14ac:dyDescent="0.25">
      <c r="A1435" s="5" t="s">
        <v>5287</v>
      </c>
      <c r="B1435" s="5" t="s">
        <v>5286</v>
      </c>
      <c r="C1435" s="5" t="s">
        <v>48</v>
      </c>
      <c r="D1435" s="21">
        <v>3</v>
      </c>
      <c r="E1435" s="12">
        <v>477</v>
      </c>
      <c r="F1435" s="10" t="str">
        <f>_xlfn.XLOOKUP(C1435,menu!A:A,menu!B:B)</f>
        <v>Chicken Lollipop</v>
      </c>
      <c r="G1435" s="10" t="str">
        <f>_xlfn.XLOOKUP(C1435,menu!A:A,menu!C:C)</f>
        <v>Starters</v>
      </c>
      <c r="H1435" s="10">
        <f>_xlfn.XLOOKUP(C1435,menu!A:A,menu!E:E)</f>
        <v>48</v>
      </c>
      <c r="I1435" s="10">
        <f t="shared" si="22"/>
        <v>144</v>
      </c>
      <c r="K1435" s="10"/>
      <c r="L1435" s="5"/>
    </row>
    <row r="1436" spans="1:12" x14ac:dyDescent="0.25">
      <c r="A1436" s="5" t="s">
        <v>5285</v>
      </c>
      <c r="B1436" s="5" t="s">
        <v>5283</v>
      </c>
      <c r="C1436" s="5" t="s">
        <v>52</v>
      </c>
      <c r="D1436" s="21">
        <v>1</v>
      </c>
      <c r="E1436" s="12">
        <v>99</v>
      </c>
      <c r="F1436" s="10" t="str">
        <f>_xlfn.XLOOKUP(C1436,menu!A:A,menu!B:B)</f>
        <v>French Fries</v>
      </c>
      <c r="G1436" s="10" t="str">
        <f>_xlfn.XLOOKUP(C1436,menu!A:A,menu!C:C)</f>
        <v>Starters</v>
      </c>
      <c r="H1436" s="10">
        <f>_xlfn.XLOOKUP(C1436,menu!A:A,menu!E:E)</f>
        <v>30</v>
      </c>
      <c r="I1436" s="10">
        <f t="shared" si="22"/>
        <v>30</v>
      </c>
      <c r="K1436" s="10"/>
      <c r="L1436" s="5"/>
    </row>
    <row r="1437" spans="1:12" x14ac:dyDescent="0.25">
      <c r="A1437" s="5" t="s">
        <v>5284</v>
      </c>
      <c r="B1437" s="5" t="s">
        <v>5283</v>
      </c>
      <c r="C1437" s="5" t="s">
        <v>31</v>
      </c>
      <c r="D1437" s="21">
        <v>1</v>
      </c>
      <c r="E1437" s="12">
        <v>89</v>
      </c>
      <c r="F1437" s="10" t="str">
        <f>_xlfn.XLOOKUP(C1437,menu!A:A,menu!B:B)</f>
        <v>Chicken Roll</v>
      </c>
      <c r="G1437" s="10" t="str">
        <f>_xlfn.XLOOKUP(C1437,menu!A:A,menu!C:C)</f>
        <v>Rolls</v>
      </c>
      <c r="H1437" s="10">
        <f>_xlfn.XLOOKUP(C1437,menu!A:A,menu!E:E)</f>
        <v>27</v>
      </c>
      <c r="I1437" s="10">
        <f t="shared" si="22"/>
        <v>27</v>
      </c>
      <c r="K1437" s="10"/>
      <c r="L1437" s="5"/>
    </row>
    <row r="1438" spans="1:12" x14ac:dyDescent="0.25">
      <c r="A1438" s="5" t="s">
        <v>5282</v>
      </c>
      <c r="B1438" s="5" t="s">
        <v>5279</v>
      </c>
      <c r="C1438" s="5" t="s">
        <v>40</v>
      </c>
      <c r="D1438" s="21">
        <v>3</v>
      </c>
      <c r="E1438" s="12">
        <v>297</v>
      </c>
      <c r="F1438" s="10" t="str">
        <f>_xlfn.XLOOKUP(C1438,menu!A:A,menu!B:B)</f>
        <v>Veg Nuggets</v>
      </c>
      <c r="G1438" s="10" t="str">
        <f>_xlfn.XLOOKUP(C1438,menu!A:A,menu!C:C)</f>
        <v>Starters</v>
      </c>
      <c r="H1438" s="10">
        <f>_xlfn.XLOOKUP(C1438,menu!A:A,menu!E:E)</f>
        <v>30</v>
      </c>
      <c r="I1438" s="10">
        <f t="shared" si="22"/>
        <v>90</v>
      </c>
      <c r="K1438" s="10"/>
      <c r="L1438" s="5"/>
    </row>
    <row r="1439" spans="1:12" x14ac:dyDescent="0.25">
      <c r="A1439" s="5" t="s">
        <v>5281</v>
      </c>
      <c r="B1439" s="5" t="s">
        <v>5279</v>
      </c>
      <c r="C1439" s="5" t="s">
        <v>46</v>
      </c>
      <c r="D1439" s="21">
        <v>4</v>
      </c>
      <c r="E1439" s="12">
        <v>596</v>
      </c>
      <c r="F1439" s="10" t="str">
        <f>_xlfn.XLOOKUP(C1439,menu!A:A,menu!B:B)</f>
        <v>Fish Finger</v>
      </c>
      <c r="G1439" s="10" t="str">
        <f>_xlfn.XLOOKUP(C1439,menu!A:A,menu!C:C)</f>
        <v>Starters</v>
      </c>
      <c r="H1439" s="10">
        <f>_xlfn.XLOOKUP(C1439,menu!A:A,menu!E:E)</f>
        <v>45</v>
      </c>
      <c r="I1439" s="10">
        <f t="shared" si="22"/>
        <v>180</v>
      </c>
      <c r="K1439" s="10"/>
      <c r="L1439" s="5"/>
    </row>
    <row r="1440" spans="1:12" x14ac:dyDescent="0.25">
      <c r="A1440" s="5" t="s">
        <v>5280</v>
      </c>
      <c r="B1440" s="5" t="s">
        <v>5279</v>
      </c>
      <c r="C1440" s="5" t="s">
        <v>8</v>
      </c>
      <c r="D1440" s="21">
        <v>4</v>
      </c>
      <c r="E1440" s="12">
        <v>396</v>
      </c>
      <c r="F1440" s="10" t="str">
        <f>_xlfn.XLOOKUP(C1440,menu!A:A,menu!B:B)</f>
        <v>Paneer Sandwich</v>
      </c>
      <c r="G1440" s="10" t="str">
        <f>_xlfn.XLOOKUP(C1440,menu!A:A,menu!C:C)</f>
        <v>Sandwich</v>
      </c>
      <c r="H1440" s="10">
        <f>_xlfn.XLOOKUP(C1440,menu!A:A,menu!E:E)</f>
        <v>30</v>
      </c>
      <c r="I1440" s="10">
        <f t="shared" si="22"/>
        <v>120</v>
      </c>
      <c r="K1440" s="10"/>
      <c r="L1440" s="5"/>
    </row>
    <row r="1441" spans="1:12" x14ac:dyDescent="0.25">
      <c r="A1441" s="5" t="s">
        <v>5278</v>
      </c>
      <c r="B1441" s="5" t="s">
        <v>5275</v>
      </c>
      <c r="C1441" s="5" t="s">
        <v>52</v>
      </c>
      <c r="D1441" s="21">
        <v>2</v>
      </c>
      <c r="E1441" s="12">
        <v>198</v>
      </c>
      <c r="F1441" s="10" t="str">
        <f>_xlfn.XLOOKUP(C1441,menu!A:A,menu!B:B)</f>
        <v>French Fries</v>
      </c>
      <c r="G1441" s="10" t="str">
        <f>_xlfn.XLOOKUP(C1441,menu!A:A,menu!C:C)</f>
        <v>Starters</v>
      </c>
      <c r="H1441" s="10">
        <f>_xlfn.XLOOKUP(C1441,menu!A:A,menu!E:E)</f>
        <v>30</v>
      </c>
      <c r="I1441" s="10">
        <f t="shared" si="22"/>
        <v>60</v>
      </c>
      <c r="K1441" s="10"/>
      <c r="L1441" s="5"/>
    </row>
    <row r="1442" spans="1:12" x14ac:dyDescent="0.25">
      <c r="A1442" s="5" t="s">
        <v>5277</v>
      </c>
      <c r="B1442" s="5" t="s">
        <v>5275</v>
      </c>
      <c r="C1442" s="5" t="s">
        <v>50</v>
      </c>
      <c r="D1442" s="21">
        <v>4</v>
      </c>
      <c r="E1442" s="12">
        <v>596</v>
      </c>
      <c r="F1442" s="10" t="str">
        <f>_xlfn.XLOOKUP(C1442,menu!A:A,menu!B:B)</f>
        <v>Grab Lollipop</v>
      </c>
      <c r="G1442" s="10" t="str">
        <f>_xlfn.XLOOKUP(C1442,menu!A:A,menu!C:C)</f>
        <v>Starters</v>
      </c>
      <c r="H1442" s="10">
        <f>_xlfn.XLOOKUP(C1442,menu!A:A,menu!E:E)</f>
        <v>45</v>
      </c>
      <c r="I1442" s="10">
        <f t="shared" si="22"/>
        <v>180</v>
      </c>
      <c r="K1442" s="10"/>
      <c r="L1442" s="5"/>
    </row>
    <row r="1443" spans="1:12" x14ac:dyDescent="0.25">
      <c r="A1443" s="5" t="s">
        <v>5276</v>
      </c>
      <c r="B1443" s="5" t="s">
        <v>5275</v>
      </c>
      <c r="C1443" s="5" t="s">
        <v>61</v>
      </c>
      <c r="D1443" s="21">
        <v>4</v>
      </c>
      <c r="E1443" s="12">
        <v>316</v>
      </c>
      <c r="F1443" s="10" t="str">
        <f>_xlfn.XLOOKUP(C1443,menu!A:A,menu!B:B)</f>
        <v>Watermelon Mojito</v>
      </c>
      <c r="G1443" s="10" t="str">
        <f>_xlfn.XLOOKUP(C1443,menu!A:A,menu!C:C)</f>
        <v>Beverages</v>
      </c>
      <c r="H1443" s="10">
        <f>_xlfn.XLOOKUP(C1443,menu!A:A,menu!E:E)</f>
        <v>24</v>
      </c>
      <c r="I1443" s="10">
        <f t="shared" si="22"/>
        <v>96</v>
      </c>
      <c r="K1443" s="10"/>
      <c r="L1443" s="5"/>
    </row>
    <row r="1444" spans="1:12" x14ac:dyDescent="0.25">
      <c r="A1444" s="5" t="s">
        <v>5274</v>
      </c>
      <c r="B1444" s="5" t="s">
        <v>5272</v>
      </c>
      <c r="C1444" s="5" t="s">
        <v>50</v>
      </c>
      <c r="D1444" s="21">
        <v>4</v>
      </c>
      <c r="E1444" s="12">
        <v>596</v>
      </c>
      <c r="F1444" s="10" t="str">
        <f>_xlfn.XLOOKUP(C1444,menu!A:A,menu!B:B)</f>
        <v>Grab Lollipop</v>
      </c>
      <c r="G1444" s="10" t="str">
        <f>_xlfn.XLOOKUP(C1444,menu!A:A,menu!C:C)</f>
        <v>Starters</v>
      </c>
      <c r="H1444" s="10">
        <f>_xlfn.XLOOKUP(C1444,menu!A:A,menu!E:E)</f>
        <v>45</v>
      </c>
      <c r="I1444" s="10">
        <f t="shared" si="22"/>
        <v>180</v>
      </c>
      <c r="K1444" s="10"/>
      <c r="L1444" s="5"/>
    </row>
    <row r="1445" spans="1:12" x14ac:dyDescent="0.25">
      <c r="A1445" s="5" t="s">
        <v>5273</v>
      </c>
      <c r="B1445" s="5" t="s">
        <v>5272</v>
      </c>
      <c r="C1445" s="5" t="s">
        <v>31</v>
      </c>
      <c r="D1445" s="21">
        <v>1</v>
      </c>
      <c r="E1445" s="12">
        <v>89</v>
      </c>
      <c r="F1445" s="10" t="str">
        <f>_xlfn.XLOOKUP(C1445,menu!A:A,menu!B:B)</f>
        <v>Chicken Roll</v>
      </c>
      <c r="G1445" s="10" t="str">
        <f>_xlfn.XLOOKUP(C1445,menu!A:A,menu!C:C)</f>
        <v>Rolls</v>
      </c>
      <c r="H1445" s="10">
        <f>_xlfn.XLOOKUP(C1445,menu!A:A,menu!E:E)</f>
        <v>27</v>
      </c>
      <c r="I1445" s="10">
        <f t="shared" si="22"/>
        <v>27</v>
      </c>
      <c r="K1445" s="10"/>
      <c r="L1445" s="5"/>
    </row>
    <row r="1446" spans="1:12" x14ac:dyDescent="0.25">
      <c r="A1446" s="5" t="s">
        <v>5271</v>
      </c>
      <c r="B1446" s="5" t="s">
        <v>5268</v>
      </c>
      <c r="C1446" s="5" t="s">
        <v>29</v>
      </c>
      <c r="D1446" s="21">
        <v>3</v>
      </c>
      <c r="E1446" s="12">
        <v>237</v>
      </c>
      <c r="F1446" s="10" t="str">
        <f>_xlfn.XLOOKUP(C1446,menu!A:A,menu!B:B)</f>
        <v>Paneer Roll</v>
      </c>
      <c r="G1446" s="10" t="str">
        <f>_xlfn.XLOOKUP(C1446,menu!A:A,menu!C:C)</f>
        <v>Rolls</v>
      </c>
      <c r="H1446" s="10">
        <f>_xlfn.XLOOKUP(C1446,menu!A:A,menu!E:E)</f>
        <v>24</v>
      </c>
      <c r="I1446" s="10">
        <f t="shared" si="22"/>
        <v>72</v>
      </c>
      <c r="K1446" s="10"/>
      <c r="L1446" s="5"/>
    </row>
    <row r="1447" spans="1:12" x14ac:dyDescent="0.25">
      <c r="A1447" s="5" t="s">
        <v>5270</v>
      </c>
      <c r="B1447" s="5" t="s">
        <v>5268</v>
      </c>
      <c r="C1447" s="5" t="s">
        <v>50</v>
      </c>
      <c r="D1447" s="21">
        <v>2</v>
      </c>
      <c r="E1447" s="12">
        <v>298</v>
      </c>
      <c r="F1447" s="10" t="str">
        <f>_xlfn.XLOOKUP(C1447,menu!A:A,menu!B:B)</f>
        <v>Grab Lollipop</v>
      </c>
      <c r="G1447" s="10" t="str">
        <f>_xlfn.XLOOKUP(C1447,menu!A:A,menu!C:C)</f>
        <v>Starters</v>
      </c>
      <c r="H1447" s="10">
        <f>_xlfn.XLOOKUP(C1447,menu!A:A,menu!E:E)</f>
        <v>45</v>
      </c>
      <c r="I1447" s="10">
        <f t="shared" si="22"/>
        <v>90</v>
      </c>
      <c r="K1447" s="10"/>
      <c r="L1447" s="5"/>
    </row>
    <row r="1448" spans="1:12" x14ac:dyDescent="0.25">
      <c r="A1448" s="5" t="s">
        <v>5269</v>
      </c>
      <c r="B1448" s="5" t="s">
        <v>5268</v>
      </c>
      <c r="C1448" s="5" t="s">
        <v>46</v>
      </c>
      <c r="D1448" s="21">
        <v>1</v>
      </c>
      <c r="E1448" s="12">
        <v>149</v>
      </c>
      <c r="F1448" s="10" t="str">
        <f>_xlfn.XLOOKUP(C1448,menu!A:A,menu!B:B)</f>
        <v>Fish Finger</v>
      </c>
      <c r="G1448" s="10" t="str">
        <f>_xlfn.XLOOKUP(C1448,menu!A:A,menu!C:C)</f>
        <v>Starters</v>
      </c>
      <c r="H1448" s="10">
        <f>_xlfn.XLOOKUP(C1448,menu!A:A,menu!E:E)</f>
        <v>45</v>
      </c>
      <c r="I1448" s="10">
        <f t="shared" si="22"/>
        <v>45</v>
      </c>
      <c r="K1448" s="10"/>
      <c r="L1448" s="5"/>
    </row>
    <row r="1449" spans="1:12" x14ac:dyDescent="0.25">
      <c r="A1449" s="5" t="s">
        <v>5267</v>
      </c>
      <c r="B1449" s="5" t="s">
        <v>5263</v>
      </c>
      <c r="C1449" s="5" t="s">
        <v>19</v>
      </c>
      <c r="D1449" s="21">
        <v>4</v>
      </c>
      <c r="E1449" s="12">
        <v>316</v>
      </c>
      <c r="F1449" s="10" t="str">
        <f>_xlfn.XLOOKUP(C1449,menu!A:A,menu!B:B)</f>
        <v>Veg Burger</v>
      </c>
      <c r="G1449" s="10" t="str">
        <f>_xlfn.XLOOKUP(C1449,menu!A:A,menu!C:C)</f>
        <v>Burger</v>
      </c>
      <c r="H1449" s="10">
        <f>_xlfn.XLOOKUP(C1449,menu!A:A,menu!E:E)</f>
        <v>24</v>
      </c>
      <c r="I1449" s="10">
        <f t="shared" si="22"/>
        <v>96</v>
      </c>
      <c r="K1449" s="10"/>
      <c r="L1449" s="5"/>
    </row>
    <row r="1450" spans="1:12" x14ac:dyDescent="0.25">
      <c r="A1450" s="5" t="s">
        <v>5266</v>
      </c>
      <c r="B1450" s="5" t="s">
        <v>5263</v>
      </c>
      <c r="C1450" s="5" t="s">
        <v>54</v>
      </c>
      <c r="D1450" s="21">
        <v>1</v>
      </c>
      <c r="E1450" s="12">
        <v>139</v>
      </c>
      <c r="F1450" s="10" t="str">
        <f>_xlfn.XLOOKUP(C1450,menu!A:A,menu!B:B)</f>
        <v>Chicken Strips</v>
      </c>
      <c r="G1450" s="10" t="str">
        <f>_xlfn.XLOOKUP(C1450,menu!A:A,menu!C:C)</f>
        <v>Starters</v>
      </c>
      <c r="H1450" s="10">
        <f>_xlfn.XLOOKUP(C1450,menu!A:A,menu!E:E)</f>
        <v>42</v>
      </c>
      <c r="I1450" s="10">
        <f t="shared" si="22"/>
        <v>42</v>
      </c>
      <c r="K1450" s="10"/>
      <c r="L1450" s="5"/>
    </row>
    <row r="1451" spans="1:12" x14ac:dyDescent="0.25">
      <c r="A1451" s="5" t="s">
        <v>5265</v>
      </c>
      <c r="B1451" s="5" t="s">
        <v>5263</v>
      </c>
      <c r="C1451" s="5" t="s">
        <v>8</v>
      </c>
      <c r="D1451" s="21">
        <v>2</v>
      </c>
      <c r="E1451" s="12">
        <v>198</v>
      </c>
      <c r="F1451" s="10" t="str">
        <f>_xlfn.XLOOKUP(C1451,menu!A:A,menu!B:B)</f>
        <v>Paneer Sandwich</v>
      </c>
      <c r="G1451" s="10" t="str">
        <f>_xlfn.XLOOKUP(C1451,menu!A:A,menu!C:C)</f>
        <v>Sandwich</v>
      </c>
      <c r="H1451" s="10">
        <f>_xlfn.XLOOKUP(C1451,menu!A:A,menu!E:E)</f>
        <v>30</v>
      </c>
      <c r="I1451" s="10">
        <f t="shared" si="22"/>
        <v>60</v>
      </c>
      <c r="K1451" s="10"/>
      <c r="L1451" s="5"/>
    </row>
    <row r="1452" spans="1:12" x14ac:dyDescent="0.25">
      <c r="A1452" s="5" t="s">
        <v>5264</v>
      </c>
      <c r="B1452" s="5" t="s">
        <v>5263</v>
      </c>
      <c r="C1452" s="5" t="s">
        <v>38</v>
      </c>
      <c r="D1452" s="21">
        <v>1</v>
      </c>
      <c r="E1452" s="12">
        <v>149</v>
      </c>
      <c r="F1452" s="10" t="str">
        <f>_xlfn.XLOOKUP(C1452,menu!A:A,menu!B:B)</f>
        <v>Chicken Wings</v>
      </c>
      <c r="G1452" s="10" t="str">
        <f>_xlfn.XLOOKUP(C1452,menu!A:A,menu!C:C)</f>
        <v>Starters</v>
      </c>
      <c r="H1452" s="10">
        <f>_xlfn.XLOOKUP(C1452,menu!A:A,menu!E:E)</f>
        <v>45</v>
      </c>
      <c r="I1452" s="10">
        <f t="shared" si="22"/>
        <v>45</v>
      </c>
      <c r="K1452" s="10"/>
      <c r="L1452" s="5"/>
    </row>
    <row r="1453" spans="1:12" x14ac:dyDescent="0.25">
      <c r="A1453" s="5" t="s">
        <v>5262</v>
      </c>
      <c r="B1453" s="5" t="s">
        <v>5259</v>
      </c>
      <c r="C1453" s="5" t="s">
        <v>19</v>
      </c>
      <c r="D1453" s="21">
        <v>2</v>
      </c>
      <c r="E1453" s="12">
        <v>158</v>
      </c>
      <c r="F1453" s="10" t="str">
        <f>_xlfn.XLOOKUP(C1453,menu!A:A,menu!B:B)</f>
        <v>Veg Burger</v>
      </c>
      <c r="G1453" s="10" t="str">
        <f>_xlfn.XLOOKUP(C1453,menu!A:A,menu!C:C)</f>
        <v>Burger</v>
      </c>
      <c r="H1453" s="10">
        <f>_xlfn.XLOOKUP(C1453,menu!A:A,menu!E:E)</f>
        <v>24</v>
      </c>
      <c r="I1453" s="10">
        <f t="shared" si="22"/>
        <v>48</v>
      </c>
      <c r="K1453" s="10"/>
      <c r="L1453" s="5"/>
    </row>
    <row r="1454" spans="1:12" x14ac:dyDescent="0.25">
      <c r="A1454" s="5" t="s">
        <v>5261</v>
      </c>
      <c r="B1454" s="5" t="s">
        <v>5259</v>
      </c>
      <c r="C1454" s="5" t="s">
        <v>46</v>
      </c>
      <c r="D1454" s="21">
        <v>1</v>
      </c>
      <c r="E1454" s="12">
        <v>149</v>
      </c>
      <c r="F1454" s="10" t="str">
        <f>_xlfn.XLOOKUP(C1454,menu!A:A,menu!B:B)</f>
        <v>Fish Finger</v>
      </c>
      <c r="G1454" s="10" t="str">
        <f>_xlfn.XLOOKUP(C1454,menu!A:A,menu!C:C)</f>
        <v>Starters</v>
      </c>
      <c r="H1454" s="10">
        <f>_xlfn.XLOOKUP(C1454,menu!A:A,menu!E:E)</f>
        <v>45</v>
      </c>
      <c r="I1454" s="10">
        <f t="shared" si="22"/>
        <v>45</v>
      </c>
      <c r="K1454" s="10"/>
      <c r="L1454" s="5"/>
    </row>
    <row r="1455" spans="1:12" x14ac:dyDescent="0.25">
      <c r="A1455" s="5" t="s">
        <v>5260</v>
      </c>
      <c r="B1455" s="5" t="s">
        <v>5259</v>
      </c>
      <c r="C1455" s="5" t="s">
        <v>17</v>
      </c>
      <c r="D1455" s="21">
        <v>1</v>
      </c>
      <c r="E1455" s="12">
        <v>89</v>
      </c>
      <c r="F1455" s="10" t="str">
        <f>_xlfn.XLOOKUP(C1455,menu!A:A,menu!B:B)</f>
        <v>Paneer Momos</v>
      </c>
      <c r="G1455" s="10" t="str">
        <f>_xlfn.XLOOKUP(C1455,menu!A:A,menu!C:C)</f>
        <v>Momos</v>
      </c>
      <c r="H1455" s="10">
        <f>_xlfn.XLOOKUP(C1455,menu!A:A,menu!E:E)</f>
        <v>27</v>
      </c>
      <c r="I1455" s="10">
        <f t="shared" si="22"/>
        <v>27</v>
      </c>
      <c r="K1455" s="10"/>
      <c r="L1455" s="5"/>
    </row>
    <row r="1456" spans="1:12" x14ac:dyDescent="0.25">
      <c r="A1456" s="5" t="s">
        <v>5258</v>
      </c>
      <c r="B1456" s="5" t="s">
        <v>5255</v>
      </c>
      <c r="C1456" s="5" t="s">
        <v>29</v>
      </c>
      <c r="D1456" s="21">
        <v>1</v>
      </c>
      <c r="E1456" s="12">
        <v>79</v>
      </c>
      <c r="F1456" s="10" t="str">
        <f>_xlfn.XLOOKUP(C1456,menu!A:A,menu!B:B)</f>
        <v>Paneer Roll</v>
      </c>
      <c r="G1456" s="10" t="str">
        <f>_xlfn.XLOOKUP(C1456,menu!A:A,menu!C:C)</f>
        <v>Rolls</v>
      </c>
      <c r="H1456" s="10">
        <f>_xlfn.XLOOKUP(C1456,menu!A:A,menu!E:E)</f>
        <v>24</v>
      </c>
      <c r="I1456" s="10">
        <f t="shared" si="22"/>
        <v>24</v>
      </c>
      <c r="K1456" s="10"/>
      <c r="L1456" s="5"/>
    </row>
    <row r="1457" spans="1:12" x14ac:dyDescent="0.25">
      <c r="A1457" s="5" t="s">
        <v>5257</v>
      </c>
      <c r="B1457" s="5" t="s">
        <v>5255</v>
      </c>
      <c r="C1457" s="5" t="s">
        <v>10</v>
      </c>
      <c r="D1457" s="21">
        <v>2</v>
      </c>
      <c r="E1457" s="12">
        <v>238</v>
      </c>
      <c r="F1457" s="10" t="str">
        <f>_xlfn.XLOOKUP(C1457,menu!A:A,menu!B:B)</f>
        <v>Chicken Sandwich</v>
      </c>
      <c r="G1457" s="10" t="str">
        <f>_xlfn.XLOOKUP(C1457,menu!A:A,menu!C:C)</f>
        <v>Sandwich</v>
      </c>
      <c r="H1457" s="10">
        <f>_xlfn.XLOOKUP(C1457,menu!A:A,menu!E:E)</f>
        <v>36</v>
      </c>
      <c r="I1457" s="10">
        <f t="shared" si="22"/>
        <v>72</v>
      </c>
      <c r="K1457" s="10"/>
      <c r="L1457" s="5"/>
    </row>
    <row r="1458" spans="1:12" x14ac:dyDescent="0.25">
      <c r="A1458" s="5" t="s">
        <v>5256</v>
      </c>
      <c r="B1458" s="5" t="s">
        <v>5255</v>
      </c>
      <c r="C1458" s="5" t="s">
        <v>42</v>
      </c>
      <c r="D1458" s="21">
        <v>1</v>
      </c>
      <c r="E1458" s="12">
        <v>149</v>
      </c>
      <c r="F1458" s="10" t="str">
        <f>_xlfn.XLOOKUP(C1458,menu!A:A,menu!B:B)</f>
        <v>Chicken Popcorn</v>
      </c>
      <c r="G1458" s="10" t="str">
        <f>_xlfn.XLOOKUP(C1458,menu!A:A,menu!C:C)</f>
        <v>Starters</v>
      </c>
      <c r="H1458" s="10">
        <f>_xlfn.XLOOKUP(C1458,menu!A:A,menu!E:E)</f>
        <v>45</v>
      </c>
      <c r="I1458" s="10">
        <f t="shared" si="22"/>
        <v>45</v>
      </c>
      <c r="K1458" s="10"/>
      <c r="L1458" s="5"/>
    </row>
    <row r="1459" spans="1:12" x14ac:dyDescent="0.25">
      <c r="A1459" s="5" t="s">
        <v>5254</v>
      </c>
      <c r="B1459" s="5" t="s">
        <v>5253</v>
      </c>
      <c r="C1459" s="5" t="s">
        <v>42</v>
      </c>
      <c r="D1459" s="21">
        <v>1</v>
      </c>
      <c r="E1459" s="12">
        <v>149</v>
      </c>
      <c r="F1459" s="10" t="str">
        <f>_xlfn.XLOOKUP(C1459,menu!A:A,menu!B:B)</f>
        <v>Chicken Popcorn</v>
      </c>
      <c r="G1459" s="10" t="str">
        <f>_xlfn.XLOOKUP(C1459,menu!A:A,menu!C:C)</f>
        <v>Starters</v>
      </c>
      <c r="H1459" s="10">
        <f>_xlfn.XLOOKUP(C1459,menu!A:A,menu!E:E)</f>
        <v>45</v>
      </c>
      <c r="I1459" s="10">
        <f t="shared" si="22"/>
        <v>45</v>
      </c>
      <c r="K1459" s="10"/>
      <c r="L1459" s="5"/>
    </row>
    <row r="1460" spans="1:12" x14ac:dyDescent="0.25">
      <c r="A1460" s="5" t="s">
        <v>5252</v>
      </c>
      <c r="B1460" s="5" t="s">
        <v>5248</v>
      </c>
      <c r="C1460" s="5" t="s">
        <v>5</v>
      </c>
      <c r="D1460" s="21">
        <v>2</v>
      </c>
      <c r="E1460" s="12">
        <v>158</v>
      </c>
      <c r="F1460" s="10" t="str">
        <f>_xlfn.XLOOKUP(C1460,menu!A:A,menu!B:B)</f>
        <v>Veg Sandwich</v>
      </c>
      <c r="G1460" s="10" t="str">
        <f>_xlfn.XLOOKUP(C1460,menu!A:A,menu!C:C)</f>
        <v>Sandwich</v>
      </c>
      <c r="H1460" s="10">
        <f>_xlfn.XLOOKUP(C1460,menu!A:A,menu!E:E)</f>
        <v>24</v>
      </c>
      <c r="I1460" s="10">
        <f t="shared" si="22"/>
        <v>48</v>
      </c>
      <c r="K1460" s="10"/>
      <c r="L1460" s="5"/>
    </row>
    <row r="1461" spans="1:12" x14ac:dyDescent="0.25">
      <c r="A1461" s="5" t="s">
        <v>5251</v>
      </c>
      <c r="B1461" s="5" t="s">
        <v>5248</v>
      </c>
      <c r="C1461" s="5" t="s">
        <v>52</v>
      </c>
      <c r="D1461" s="21">
        <v>3</v>
      </c>
      <c r="E1461" s="12">
        <v>297</v>
      </c>
      <c r="F1461" s="10" t="str">
        <f>_xlfn.XLOOKUP(C1461,menu!A:A,menu!B:B)</f>
        <v>French Fries</v>
      </c>
      <c r="G1461" s="10" t="str">
        <f>_xlfn.XLOOKUP(C1461,menu!A:A,menu!C:C)</f>
        <v>Starters</v>
      </c>
      <c r="H1461" s="10">
        <f>_xlfn.XLOOKUP(C1461,menu!A:A,menu!E:E)</f>
        <v>30</v>
      </c>
      <c r="I1461" s="10">
        <f t="shared" si="22"/>
        <v>90</v>
      </c>
      <c r="K1461" s="10"/>
      <c r="L1461" s="5"/>
    </row>
    <row r="1462" spans="1:12" x14ac:dyDescent="0.25">
      <c r="A1462" s="5" t="s">
        <v>5250</v>
      </c>
      <c r="B1462" s="5" t="s">
        <v>5248</v>
      </c>
      <c r="C1462" s="5" t="s">
        <v>44</v>
      </c>
      <c r="D1462" s="21">
        <v>2</v>
      </c>
      <c r="E1462" s="12">
        <v>318</v>
      </c>
      <c r="F1462" s="10" t="str">
        <f>_xlfn.XLOOKUP(C1462,menu!A:A,menu!B:B)</f>
        <v>Fried Chicken</v>
      </c>
      <c r="G1462" s="10" t="str">
        <f>_xlfn.XLOOKUP(C1462,menu!A:A,menu!C:C)</f>
        <v>Starters</v>
      </c>
      <c r="H1462" s="10">
        <f>_xlfn.XLOOKUP(C1462,menu!A:A,menu!E:E)</f>
        <v>48</v>
      </c>
      <c r="I1462" s="10">
        <f t="shared" si="22"/>
        <v>96</v>
      </c>
      <c r="K1462" s="10"/>
      <c r="L1462" s="5"/>
    </row>
    <row r="1463" spans="1:12" x14ac:dyDescent="0.25">
      <c r="A1463" s="5" t="s">
        <v>5249</v>
      </c>
      <c r="B1463" s="5" t="s">
        <v>5248</v>
      </c>
      <c r="C1463" s="5" t="s">
        <v>59</v>
      </c>
      <c r="D1463" s="21">
        <v>2</v>
      </c>
      <c r="E1463" s="12">
        <v>158</v>
      </c>
      <c r="F1463" s="10" t="str">
        <f>_xlfn.XLOOKUP(C1463,menu!A:A,menu!B:B)</f>
        <v>Blue Curacao Mojito</v>
      </c>
      <c r="G1463" s="10" t="str">
        <f>_xlfn.XLOOKUP(C1463,menu!A:A,menu!C:C)</f>
        <v>Beverages</v>
      </c>
      <c r="H1463" s="10">
        <f>_xlfn.XLOOKUP(C1463,menu!A:A,menu!E:E)</f>
        <v>24</v>
      </c>
      <c r="I1463" s="10">
        <f t="shared" si="22"/>
        <v>48</v>
      </c>
      <c r="K1463" s="10"/>
      <c r="L1463" s="5"/>
    </row>
    <row r="1464" spans="1:12" x14ac:dyDescent="0.25">
      <c r="A1464" s="5" t="s">
        <v>5247</v>
      </c>
      <c r="B1464" s="5" t="s">
        <v>5244</v>
      </c>
      <c r="C1464" s="5" t="s">
        <v>44</v>
      </c>
      <c r="D1464" s="21">
        <v>3</v>
      </c>
      <c r="E1464" s="12">
        <v>477</v>
      </c>
      <c r="F1464" s="10" t="str">
        <f>_xlfn.XLOOKUP(C1464,menu!A:A,menu!B:B)</f>
        <v>Fried Chicken</v>
      </c>
      <c r="G1464" s="10" t="str">
        <f>_xlfn.XLOOKUP(C1464,menu!A:A,menu!C:C)</f>
        <v>Starters</v>
      </c>
      <c r="H1464" s="10">
        <f>_xlfn.XLOOKUP(C1464,menu!A:A,menu!E:E)</f>
        <v>48</v>
      </c>
      <c r="I1464" s="10">
        <f t="shared" si="22"/>
        <v>144</v>
      </c>
      <c r="K1464" s="10"/>
      <c r="L1464" s="5"/>
    </row>
    <row r="1465" spans="1:12" x14ac:dyDescent="0.25">
      <c r="A1465" s="5" t="s">
        <v>5246</v>
      </c>
      <c r="B1465" s="5" t="s">
        <v>5244</v>
      </c>
      <c r="C1465" s="5" t="s">
        <v>42</v>
      </c>
      <c r="D1465" s="21">
        <v>2</v>
      </c>
      <c r="E1465" s="12">
        <v>298</v>
      </c>
      <c r="F1465" s="10" t="str">
        <f>_xlfn.XLOOKUP(C1465,menu!A:A,menu!B:B)</f>
        <v>Chicken Popcorn</v>
      </c>
      <c r="G1465" s="10" t="str">
        <f>_xlfn.XLOOKUP(C1465,menu!A:A,menu!C:C)</f>
        <v>Starters</v>
      </c>
      <c r="H1465" s="10">
        <f>_xlfn.XLOOKUP(C1465,menu!A:A,menu!E:E)</f>
        <v>45</v>
      </c>
      <c r="I1465" s="10">
        <f t="shared" si="22"/>
        <v>90</v>
      </c>
      <c r="K1465" s="10"/>
      <c r="L1465" s="5"/>
    </row>
    <row r="1466" spans="1:12" x14ac:dyDescent="0.25">
      <c r="A1466" s="5" t="s">
        <v>5245</v>
      </c>
      <c r="B1466" s="5" t="s">
        <v>5244</v>
      </c>
      <c r="C1466" s="5" t="s">
        <v>65</v>
      </c>
      <c r="D1466" s="21">
        <v>1</v>
      </c>
      <c r="E1466" s="12">
        <v>49</v>
      </c>
      <c r="F1466" s="10" t="str">
        <f>_xlfn.XLOOKUP(C1466,menu!A:A,menu!B:B)</f>
        <v>Lemon Juice</v>
      </c>
      <c r="G1466" s="10" t="str">
        <f>_xlfn.XLOOKUP(C1466,menu!A:A,menu!C:C)</f>
        <v>Beverages</v>
      </c>
      <c r="H1466" s="10">
        <f>_xlfn.XLOOKUP(C1466,menu!A:A,menu!E:E)</f>
        <v>15</v>
      </c>
      <c r="I1466" s="10">
        <f t="shared" si="22"/>
        <v>15</v>
      </c>
      <c r="K1466" s="10"/>
      <c r="L1466" s="5"/>
    </row>
    <row r="1467" spans="1:12" x14ac:dyDescent="0.25">
      <c r="A1467" s="5" t="s">
        <v>5243</v>
      </c>
      <c r="B1467" s="5" t="s">
        <v>5241</v>
      </c>
      <c r="C1467" s="5" t="s">
        <v>52</v>
      </c>
      <c r="D1467" s="21">
        <v>1</v>
      </c>
      <c r="E1467" s="12">
        <v>99</v>
      </c>
      <c r="F1467" s="10" t="str">
        <f>_xlfn.XLOOKUP(C1467,menu!A:A,menu!B:B)</f>
        <v>French Fries</v>
      </c>
      <c r="G1467" s="10" t="str">
        <f>_xlfn.XLOOKUP(C1467,menu!A:A,menu!C:C)</f>
        <v>Starters</v>
      </c>
      <c r="H1467" s="10">
        <f>_xlfn.XLOOKUP(C1467,menu!A:A,menu!E:E)</f>
        <v>30</v>
      </c>
      <c r="I1467" s="10">
        <f t="shared" si="22"/>
        <v>30</v>
      </c>
      <c r="K1467" s="10"/>
      <c r="L1467" s="5"/>
    </row>
    <row r="1468" spans="1:12" x14ac:dyDescent="0.25">
      <c r="A1468" s="5" t="s">
        <v>5242</v>
      </c>
      <c r="B1468" s="5" t="s">
        <v>5241</v>
      </c>
      <c r="C1468" s="5" t="s">
        <v>65</v>
      </c>
      <c r="D1468" s="21">
        <v>1</v>
      </c>
      <c r="E1468" s="12">
        <v>49</v>
      </c>
      <c r="F1468" s="10" t="str">
        <f>_xlfn.XLOOKUP(C1468,menu!A:A,menu!B:B)</f>
        <v>Lemon Juice</v>
      </c>
      <c r="G1468" s="10" t="str">
        <f>_xlfn.XLOOKUP(C1468,menu!A:A,menu!C:C)</f>
        <v>Beverages</v>
      </c>
      <c r="H1468" s="10">
        <f>_xlfn.XLOOKUP(C1468,menu!A:A,menu!E:E)</f>
        <v>15</v>
      </c>
      <c r="I1468" s="10">
        <f t="shared" si="22"/>
        <v>15</v>
      </c>
      <c r="K1468" s="10"/>
      <c r="L1468" s="5"/>
    </row>
    <row r="1469" spans="1:12" x14ac:dyDescent="0.25">
      <c r="A1469" s="5" t="s">
        <v>5240</v>
      </c>
      <c r="B1469" s="5" t="s">
        <v>5236</v>
      </c>
      <c r="C1469" s="5" t="s">
        <v>35</v>
      </c>
      <c r="D1469" s="21">
        <v>2</v>
      </c>
      <c r="E1469" s="12">
        <v>238</v>
      </c>
      <c r="F1469" s="10" t="str">
        <f>_xlfn.XLOOKUP(C1469,menu!A:A,menu!B:B)</f>
        <v>Chicken Nuggets</v>
      </c>
      <c r="G1469" s="10" t="str">
        <f>_xlfn.XLOOKUP(C1469,menu!A:A,menu!C:C)</f>
        <v>Starters</v>
      </c>
      <c r="H1469" s="10">
        <f>_xlfn.XLOOKUP(C1469,menu!A:A,menu!E:E)</f>
        <v>36</v>
      </c>
      <c r="I1469" s="10">
        <f t="shared" si="22"/>
        <v>72</v>
      </c>
      <c r="K1469" s="10"/>
      <c r="L1469" s="5"/>
    </row>
    <row r="1470" spans="1:12" x14ac:dyDescent="0.25">
      <c r="A1470" s="5" t="s">
        <v>5239</v>
      </c>
      <c r="B1470" s="5" t="s">
        <v>5236</v>
      </c>
      <c r="C1470" s="5" t="s">
        <v>44</v>
      </c>
      <c r="D1470" s="21">
        <v>3</v>
      </c>
      <c r="E1470" s="12">
        <v>477</v>
      </c>
      <c r="F1470" s="10" t="str">
        <f>_xlfn.XLOOKUP(C1470,menu!A:A,menu!B:B)</f>
        <v>Fried Chicken</v>
      </c>
      <c r="G1470" s="10" t="str">
        <f>_xlfn.XLOOKUP(C1470,menu!A:A,menu!C:C)</f>
        <v>Starters</v>
      </c>
      <c r="H1470" s="10">
        <f>_xlfn.XLOOKUP(C1470,menu!A:A,menu!E:E)</f>
        <v>48</v>
      </c>
      <c r="I1470" s="10">
        <f t="shared" si="22"/>
        <v>144</v>
      </c>
      <c r="K1470" s="10"/>
      <c r="L1470" s="5"/>
    </row>
    <row r="1471" spans="1:12" x14ac:dyDescent="0.25">
      <c r="A1471" s="5" t="s">
        <v>5238</v>
      </c>
      <c r="B1471" s="5" t="s">
        <v>5236</v>
      </c>
      <c r="C1471" s="5" t="s">
        <v>42</v>
      </c>
      <c r="D1471" s="21">
        <v>1</v>
      </c>
      <c r="E1471" s="12">
        <v>149</v>
      </c>
      <c r="F1471" s="10" t="str">
        <f>_xlfn.XLOOKUP(C1471,menu!A:A,menu!B:B)</f>
        <v>Chicken Popcorn</v>
      </c>
      <c r="G1471" s="10" t="str">
        <f>_xlfn.XLOOKUP(C1471,menu!A:A,menu!C:C)</f>
        <v>Starters</v>
      </c>
      <c r="H1471" s="10">
        <f>_xlfn.XLOOKUP(C1471,menu!A:A,menu!E:E)</f>
        <v>45</v>
      </c>
      <c r="I1471" s="10">
        <f t="shared" si="22"/>
        <v>45</v>
      </c>
      <c r="K1471" s="10"/>
      <c r="L1471" s="5"/>
    </row>
    <row r="1472" spans="1:12" x14ac:dyDescent="0.25">
      <c r="A1472" s="5" t="s">
        <v>5237</v>
      </c>
      <c r="B1472" s="5" t="s">
        <v>5236</v>
      </c>
      <c r="C1472" s="5" t="s">
        <v>33</v>
      </c>
      <c r="D1472" s="21">
        <v>2</v>
      </c>
      <c r="E1472" s="12">
        <v>138</v>
      </c>
      <c r="F1472" s="10" t="str">
        <f>_xlfn.XLOOKUP(C1472,menu!A:A,menu!B:B)</f>
        <v>Spring Roll</v>
      </c>
      <c r="G1472" s="10" t="str">
        <f>_xlfn.XLOOKUP(C1472,menu!A:A,menu!C:C)</f>
        <v>Rolls</v>
      </c>
      <c r="H1472" s="10">
        <f>_xlfn.XLOOKUP(C1472,menu!A:A,menu!E:E)</f>
        <v>21</v>
      </c>
      <c r="I1472" s="10">
        <f t="shared" si="22"/>
        <v>42</v>
      </c>
      <c r="K1472" s="10"/>
      <c r="L1472" s="5"/>
    </row>
    <row r="1473" spans="1:12" x14ac:dyDescent="0.25">
      <c r="A1473" s="5" t="s">
        <v>5235</v>
      </c>
      <c r="B1473" s="5" t="s">
        <v>5234</v>
      </c>
      <c r="C1473" s="5" t="s">
        <v>33</v>
      </c>
      <c r="D1473" s="21">
        <v>2</v>
      </c>
      <c r="E1473" s="12">
        <v>138</v>
      </c>
      <c r="F1473" s="10" t="str">
        <f>_xlfn.XLOOKUP(C1473,menu!A:A,menu!B:B)</f>
        <v>Spring Roll</v>
      </c>
      <c r="G1473" s="10" t="str">
        <f>_xlfn.XLOOKUP(C1473,menu!A:A,menu!C:C)</f>
        <v>Rolls</v>
      </c>
      <c r="H1473" s="10">
        <f>_xlfn.XLOOKUP(C1473,menu!A:A,menu!E:E)</f>
        <v>21</v>
      </c>
      <c r="I1473" s="10">
        <f t="shared" si="22"/>
        <v>42</v>
      </c>
      <c r="K1473" s="10"/>
      <c r="L1473" s="5"/>
    </row>
    <row r="1474" spans="1:12" x14ac:dyDescent="0.25">
      <c r="A1474" s="5" t="s">
        <v>5233</v>
      </c>
      <c r="B1474" s="5" t="s">
        <v>5231</v>
      </c>
      <c r="C1474" s="5" t="s">
        <v>40</v>
      </c>
      <c r="D1474" s="21">
        <v>4</v>
      </c>
      <c r="E1474" s="12">
        <v>396</v>
      </c>
      <c r="F1474" s="10" t="str">
        <f>_xlfn.XLOOKUP(C1474,menu!A:A,menu!B:B)</f>
        <v>Veg Nuggets</v>
      </c>
      <c r="G1474" s="10" t="str">
        <f>_xlfn.XLOOKUP(C1474,menu!A:A,menu!C:C)</f>
        <v>Starters</v>
      </c>
      <c r="H1474" s="10">
        <f>_xlfn.XLOOKUP(C1474,menu!A:A,menu!E:E)</f>
        <v>30</v>
      </c>
      <c r="I1474" s="10">
        <f t="shared" si="22"/>
        <v>120</v>
      </c>
      <c r="K1474" s="10"/>
      <c r="L1474" s="5"/>
    </row>
    <row r="1475" spans="1:12" x14ac:dyDescent="0.25">
      <c r="A1475" s="5" t="s">
        <v>5232</v>
      </c>
      <c r="B1475" s="5" t="s">
        <v>5231</v>
      </c>
      <c r="C1475" s="5" t="s">
        <v>22</v>
      </c>
      <c r="D1475" s="21">
        <v>3</v>
      </c>
      <c r="E1475" s="12">
        <v>297</v>
      </c>
      <c r="F1475" s="10" t="str">
        <f>_xlfn.XLOOKUP(C1475,menu!A:A,menu!B:B)</f>
        <v>Chicken Burger</v>
      </c>
      <c r="G1475" s="10" t="str">
        <f>_xlfn.XLOOKUP(C1475,menu!A:A,menu!C:C)</f>
        <v>Burger</v>
      </c>
      <c r="H1475" s="10">
        <f>_xlfn.XLOOKUP(C1475,menu!A:A,menu!E:E)</f>
        <v>30</v>
      </c>
      <c r="I1475" s="10">
        <f t="shared" ref="I1475:I1538" si="23">D1475*H1475</f>
        <v>90</v>
      </c>
      <c r="K1475" s="10"/>
      <c r="L1475" s="5"/>
    </row>
    <row r="1476" spans="1:12" x14ac:dyDescent="0.25">
      <c r="A1476" s="5" t="s">
        <v>5230</v>
      </c>
      <c r="B1476" s="5" t="s">
        <v>5226</v>
      </c>
      <c r="C1476" s="5" t="s">
        <v>29</v>
      </c>
      <c r="D1476" s="21">
        <v>1</v>
      </c>
      <c r="E1476" s="12">
        <v>79</v>
      </c>
      <c r="F1476" s="10" t="str">
        <f>_xlfn.XLOOKUP(C1476,menu!A:A,menu!B:B)</f>
        <v>Paneer Roll</v>
      </c>
      <c r="G1476" s="10" t="str">
        <f>_xlfn.XLOOKUP(C1476,menu!A:A,menu!C:C)</f>
        <v>Rolls</v>
      </c>
      <c r="H1476" s="10">
        <f>_xlfn.XLOOKUP(C1476,menu!A:A,menu!E:E)</f>
        <v>24</v>
      </c>
      <c r="I1476" s="10">
        <f t="shared" si="23"/>
        <v>24</v>
      </c>
      <c r="K1476" s="10"/>
      <c r="L1476" s="5"/>
    </row>
    <row r="1477" spans="1:12" x14ac:dyDescent="0.25">
      <c r="A1477" s="5" t="s">
        <v>5229</v>
      </c>
      <c r="B1477" s="5" t="s">
        <v>5226</v>
      </c>
      <c r="C1477" s="5" t="s">
        <v>33</v>
      </c>
      <c r="D1477" s="21">
        <v>4</v>
      </c>
      <c r="E1477" s="12">
        <v>276</v>
      </c>
      <c r="F1477" s="10" t="str">
        <f>_xlfn.XLOOKUP(C1477,menu!A:A,menu!B:B)</f>
        <v>Spring Roll</v>
      </c>
      <c r="G1477" s="10" t="str">
        <f>_xlfn.XLOOKUP(C1477,menu!A:A,menu!C:C)</f>
        <v>Rolls</v>
      </c>
      <c r="H1477" s="10">
        <f>_xlfn.XLOOKUP(C1477,menu!A:A,menu!E:E)</f>
        <v>21</v>
      </c>
      <c r="I1477" s="10">
        <f t="shared" si="23"/>
        <v>84</v>
      </c>
      <c r="K1477" s="10"/>
      <c r="L1477" s="5"/>
    </row>
    <row r="1478" spans="1:12" x14ac:dyDescent="0.25">
      <c r="A1478" s="5" t="s">
        <v>5228</v>
      </c>
      <c r="B1478" s="5" t="s">
        <v>5226</v>
      </c>
      <c r="C1478" s="5" t="s">
        <v>48</v>
      </c>
      <c r="D1478" s="21">
        <v>4</v>
      </c>
      <c r="E1478" s="12">
        <v>636</v>
      </c>
      <c r="F1478" s="10" t="str">
        <f>_xlfn.XLOOKUP(C1478,menu!A:A,menu!B:B)</f>
        <v>Chicken Lollipop</v>
      </c>
      <c r="G1478" s="10" t="str">
        <f>_xlfn.XLOOKUP(C1478,menu!A:A,menu!C:C)</f>
        <v>Starters</v>
      </c>
      <c r="H1478" s="10">
        <f>_xlfn.XLOOKUP(C1478,menu!A:A,menu!E:E)</f>
        <v>48</v>
      </c>
      <c r="I1478" s="10">
        <f t="shared" si="23"/>
        <v>192</v>
      </c>
      <c r="K1478" s="10"/>
      <c r="L1478" s="5"/>
    </row>
    <row r="1479" spans="1:12" x14ac:dyDescent="0.25">
      <c r="A1479" s="5" t="s">
        <v>5227</v>
      </c>
      <c r="B1479" s="5" t="s">
        <v>5226</v>
      </c>
      <c r="C1479" s="5" t="s">
        <v>40</v>
      </c>
      <c r="D1479" s="21">
        <v>2</v>
      </c>
      <c r="E1479" s="12">
        <v>198</v>
      </c>
      <c r="F1479" s="10" t="str">
        <f>_xlfn.XLOOKUP(C1479,menu!A:A,menu!B:B)</f>
        <v>Veg Nuggets</v>
      </c>
      <c r="G1479" s="10" t="str">
        <f>_xlfn.XLOOKUP(C1479,menu!A:A,menu!C:C)</f>
        <v>Starters</v>
      </c>
      <c r="H1479" s="10">
        <f>_xlfn.XLOOKUP(C1479,menu!A:A,menu!E:E)</f>
        <v>30</v>
      </c>
      <c r="I1479" s="10">
        <f t="shared" si="23"/>
        <v>60</v>
      </c>
      <c r="K1479" s="10"/>
      <c r="L1479" s="5"/>
    </row>
    <row r="1480" spans="1:12" x14ac:dyDescent="0.25">
      <c r="A1480" s="5" t="s">
        <v>5225</v>
      </c>
      <c r="B1480" s="5" t="s">
        <v>5222</v>
      </c>
      <c r="C1480" s="5" t="s">
        <v>50</v>
      </c>
      <c r="D1480" s="21">
        <v>3</v>
      </c>
      <c r="E1480" s="12">
        <v>447</v>
      </c>
      <c r="F1480" s="10" t="str">
        <f>_xlfn.XLOOKUP(C1480,menu!A:A,menu!B:B)</f>
        <v>Grab Lollipop</v>
      </c>
      <c r="G1480" s="10" t="str">
        <f>_xlfn.XLOOKUP(C1480,menu!A:A,menu!C:C)</f>
        <v>Starters</v>
      </c>
      <c r="H1480" s="10">
        <f>_xlfn.XLOOKUP(C1480,menu!A:A,menu!E:E)</f>
        <v>45</v>
      </c>
      <c r="I1480" s="10">
        <f t="shared" si="23"/>
        <v>135</v>
      </c>
      <c r="K1480" s="10"/>
      <c r="L1480" s="5"/>
    </row>
    <row r="1481" spans="1:12" x14ac:dyDescent="0.25">
      <c r="A1481" s="5" t="s">
        <v>5224</v>
      </c>
      <c r="B1481" s="5" t="s">
        <v>5222</v>
      </c>
      <c r="C1481" s="5" t="s">
        <v>35</v>
      </c>
      <c r="D1481" s="21">
        <v>2</v>
      </c>
      <c r="E1481" s="12">
        <v>238</v>
      </c>
      <c r="F1481" s="10" t="str">
        <f>_xlfn.XLOOKUP(C1481,menu!A:A,menu!B:B)</f>
        <v>Chicken Nuggets</v>
      </c>
      <c r="G1481" s="10" t="str">
        <f>_xlfn.XLOOKUP(C1481,menu!A:A,menu!C:C)</f>
        <v>Starters</v>
      </c>
      <c r="H1481" s="10">
        <f>_xlfn.XLOOKUP(C1481,menu!A:A,menu!E:E)</f>
        <v>36</v>
      </c>
      <c r="I1481" s="10">
        <f t="shared" si="23"/>
        <v>72</v>
      </c>
      <c r="K1481" s="10"/>
      <c r="L1481" s="5"/>
    </row>
    <row r="1482" spans="1:12" x14ac:dyDescent="0.25">
      <c r="A1482" s="5" t="s">
        <v>5223</v>
      </c>
      <c r="B1482" s="5" t="s">
        <v>5222</v>
      </c>
      <c r="C1482" s="5" t="s">
        <v>48</v>
      </c>
      <c r="D1482" s="21">
        <v>2</v>
      </c>
      <c r="E1482" s="12">
        <v>318</v>
      </c>
      <c r="F1482" s="10" t="str">
        <f>_xlfn.XLOOKUP(C1482,menu!A:A,menu!B:B)</f>
        <v>Chicken Lollipop</v>
      </c>
      <c r="G1482" s="10" t="str">
        <f>_xlfn.XLOOKUP(C1482,menu!A:A,menu!C:C)</f>
        <v>Starters</v>
      </c>
      <c r="H1482" s="10">
        <f>_xlfn.XLOOKUP(C1482,menu!A:A,menu!E:E)</f>
        <v>48</v>
      </c>
      <c r="I1482" s="10">
        <f t="shared" si="23"/>
        <v>96</v>
      </c>
      <c r="K1482" s="10"/>
      <c r="L1482" s="5"/>
    </row>
    <row r="1483" spans="1:12" x14ac:dyDescent="0.25">
      <c r="A1483" s="5" t="s">
        <v>5221</v>
      </c>
      <c r="B1483" s="5" t="s">
        <v>5219</v>
      </c>
      <c r="C1483" s="5" t="s">
        <v>17</v>
      </c>
      <c r="D1483" s="21">
        <v>1</v>
      </c>
      <c r="E1483" s="12">
        <v>89</v>
      </c>
      <c r="F1483" s="10" t="str">
        <f>_xlfn.XLOOKUP(C1483,menu!A:A,menu!B:B)</f>
        <v>Paneer Momos</v>
      </c>
      <c r="G1483" s="10" t="str">
        <f>_xlfn.XLOOKUP(C1483,menu!A:A,menu!C:C)</f>
        <v>Momos</v>
      </c>
      <c r="H1483" s="10">
        <f>_xlfn.XLOOKUP(C1483,menu!A:A,menu!E:E)</f>
        <v>27</v>
      </c>
      <c r="I1483" s="10">
        <f t="shared" si="23"/>
        <v>27</v>
      </c>
      <c r="K1483" s="10"/>
      <c r="L1483" s="5"/>
    </row>
    <row r="1484" spans="1:12" x14ac:dyDescent="0.25">
      <c r="A1484" s="5" t="s">
        <v>5220</v>
      </c>
      <c r="B1484" s="5" t="s">
        <v>5219</v>
      </c>
      <c r="C1484" s="5" t="s">
        <v>48</v>
      </c>
      <c r="D1484" s="21">
        <v>3</v>
      </c>
      <c r="E1484" s="12">
        <v>477</v>
      </c>
      <c r="F1484" s="10" t="str">
        <f>_xlfn.XLOOKUP(C1484,menu!A:A,menu!B:B)</f>
        <v>Chicken Lollipop</v>
      </c>
      <c r="G1484" s="10" t="str">
        <f>_xlfn.XLOOKUP(C1484,menu!A:A,menu!C:C)</f>
        <v>Starters</v>
      </c>
      <c r="H1484" s="10">
        <f>_xlfn.XLOOKUP(C1484,menu!A:A,menu!E:E)</f>
        <v>48</v>
      </c>
      <c r="I1484" s="10">
        <f t="shared" si="23"/>
        <v>144</v>
      </c>
      <c r="K1484" s="10"/>
      <c r="L1484" s="5"/>
    </row>
    <row r="1485" spans="1:12" x14ac:dyDescent="0.25">
      <c r="A1485" s="5" t="s">
        <v>5218</v>
      </c>
      <c r="B1485" s="5" t="s">
        <v>5216</v>
      </c>
      <c r="C1485" s="5" t="s">
        <v>17</v>
      </c>
      <c r="D1485" s="21">
        <v>1</v>
      </c>
      <c r="E1485" s="12">
        <v>89</v>
      </c>
      <c r="F1485" s="10" t="str">
        <f>_xlfn.XLOOKUP(C1485,menu!A:A,menu!B:B)</f>
        <v>Paneer Momos</v>
      </c>
      <c r="G1485" s="10" t="str">
        <f>_xlfn.XLOOKUP(C1485,menu!A:A,menu!C:C)</f>
        <v>Momos</v>
      </c>
      <c r="H1485" s="10">
        <f>_xlfn.XLOOKUP(C1485,menu!A:A,menu!E:E)</f>
        <v>27</v>
      </c>
      <c r="I1485" s="10">
        <f t="shared" si="23"/>
        <v>27</v>
      </c>
      <c r="K1485" s="10"/>
      <c r="L1485" s="5"/>
    </row>
    <row r="1486" spans="1:12" x14ac:dyDescent="0.25">
      <c r="A1486" s="5" t="s">
        <v>5217</v>
      </c>
      <c r="B1486" s="5" t="s">
        <v>5216</v>
      </c>
      <c r="C1486" s="5" t="s">
        <v>26</v>
      </c>
      <c r="D1486" s="21">
        <v>3</v>
      </c>
      <c r="E1486" s="12">
        <v>177</v>
      </c>
      <c r="F1486" s="10" t="str">
        <f>_xlfn.XLOOKUP(C1486,menu!A:A,menu!B:B)</f>
        <v>Veg Roll</v>
      </c>
      <c r="G1486" s="10" t="str">
        <f>_xlfn.XLOOKUP(C1486,menu!A:A,menu!C:C)</f>
        <v>Rolls</v>
      </c>
      <c r="H1486" s="10">
        <f>_xlfn.XLOOKUP(C1486,menu!A:A,menu!E:E)</f>
        <v>18</v>
      </c>
      <c r="I1486" s="10">
        <f t="shared" si="23"/>
        <v>54</v>
      </c>
      <c r="K1486" s="10"/>
      <c r="L1486" s="5"/>
    </row>
    <row r="1487" spans="1:12" x14ac:dyDescent="0.25">
      <c r="A1487" s="5" t="s">
        <v>5215</v>
      </c>
      <c r="B1487" s="5" t="s">
        <v>5213</v>
      </c>
      <c r="C1487" s="5" t="s">
        <v>15</v>
      </c>
      <c r="D1487" s="21">
        <v>2</v>
      </c>
      <c r="E1487" s="12">
        <v>198</v>
      </c>
      <c r="F1487" s="10" t="str">
        <f>_xlfn.XLOOKUP(C1487,menu!A:A,menu!B:B)</f>
        <v>Chicken Momos</v>
      </c>
      <c r="G1487" s="10" t="str">
        <f>_xlfn.XLOOKUP(C1487,menu!A:A,menu!C:C)</f>
        <v>Momos</v>
      </c>
      <c r="H1487" s="10">
        <f>_xlfn.XLOOKUP(C1487,menu!A:A,menu!E:E)</f>
        <v>30</v>
      </c>
      <c r="I1487" s="10">
        <f t="shared" si="23"/>
        <v>60</v>
      </c>
      <c r="K1487" s="10"/>
      <c r="L1487" s="5"/>
    </row>
    <row r="1488" spans="1:12" x14ac:dyDescent="0.25">
      <c r="A1488" s="5" t="s">
        <v>5214</v>
      </c>
      <c r="B1488" s="5" t="s">
        <v>5213</v>
      </c>
      <c r="C1488" s="5" t="s">
        <v>24</v>
      </c>
      <c r="D1488" s="21">
        <v>1</v>
      </c>
      <c r="E1488" s="12">
        <v>89</v>
      </c>
      <c r="F1488" s="10" t="str">
        <f>_xlfn.XLOOKUP(C1488,menu!A:A,menu!B:B)</f>
        <v>Paneer Burger</v>
      </c>
      <c r="G1488" s="10" t="str">
        <f>_xlfn.XLOOKUP(C1488,menu!A:A,menu!C:C)</f>
        <v>Burger</v>
      </c>
      <c r="H1488" s="10">
        <f>_xlfn.XLOOKUP(C1488,menu!A:A,menu!E:E)</f>
        <v>27</v>
      </c>
      <c r="I1488" s="10">
        <f t="shared" si="23"/>
        <v>27</v>
      </c>
      <c r="K1488" s="10"/>
      <c r="L1488" s="5"/>
    </row>
    <row r="1489" spans="1:12" x14ac:dyDescent="0.25">
      <c r="A1489" s="5" t="s">
        <v>5212</v>
      </c>
      <c r="B1489" s="5" t="s">
        <v>5211</v>
      </c>
      <c r="C1489" s="5" t="s">
        <v>40</v>
      </c>
      <c r="D1489" s="21">
        <v>2</v>
      </c>
      <c r="E1489" s="12">
        <v>198</v>
      </c>
      <c r="F1489" s="10" t="str">
        <f>_xlfn.XLOOKUP(C1489,menu!A:A,menu!B:B)</f>
        <v>Veg Nuggets</v>
      </c>
      <c r="G1489" s="10" t="str">
        <f>_xlfn.XLOOKUP(C1489,menu!A:A,menu!C:C)</f>
        <v>Starters</v>
      </c>
      <c r="H1489" s="10">
        <f>_xlfn.XLOOKUP(C1489,menu!A:A,menu!E:E)</f>
        <v>30</v>
      </c>
      <c r="I1489" s="10">
        <f t="shared" si="23"/>
        <v>60</v>
      </c>
      <c r="K1489" s="10"/>
      <c r="L1489" s="5"/>
    </row>
    <row r="1490" spans="1:12" x14ac:dyDescent="0.25">
      <c r="A1490" s="5" t="s">
        <v>5210</v>
      </c>
      <c r="B1490" s="5" t="s">
        <v>5208</v>
      </c>
      <c r="C1490" s="5" t="s">
        <v>61</v>
      </c>
      <c r="D1490" s="21">
        <v>1</v>
      </c>
      <c r="E1490" s="12">
        <v>79</v>
      </c>
      <c r="F1490" s="10" t="str">
        <f>_xlfn.XLOOKUP(C1490,menu!A:A,menu!B:B)</f>
        <v>Watermelon Mojito</v>
      </c>
      <c r="G1490" s="10" t="str">
        <f>_xlfn.XLOOKUP(C1490,menu!A:A,menu!C:C)</f>
        <v>Beverages</v>
      </c>
      <c r="H1490" s="10">
        <f>_xlfn.XLOOKUP(C1490,menu!A:A,menu!E:E)</f>
        <v>24</v>
      </c>
      <c r="I1490" s="10">
        <f t="shared" si="23"/>
        <v>24</v>
      </c>
      <c r="K1490" s="10"/>
      <c r="L1490" s="5"/>
    </row>
    <row r="1491" spans="1:12" x14ac:dyDescent="0.25">
      <c r="A1491" s="5" t="s">
        <v>5209</v>
      </c>
      <c r="B1491" s="5" t="s">
        <v>5208</v>
      </c>
      <c r="C1491" s="5" t="s">
        <v>24</v>
      </c>
      <c r="D1491" s="21">
        <v>1</v>
      </c>
      <c r="E1491" s="12">
        <v>89</v>
      </c>
      <c r="F1491" s="10" t="str">
        <f>_xlfn.XLOOKUP(C1491,menu!A:A,menu!B:B)</f>
        <v>Paneer Burger</v>
      </c>
      <c r="G1491" s="10" t="str">
        <f>_xlfn.XLOOKUP(C1491,menu!A:A,menu!C:C)</f>
        <v>Burger</v>
      </c>
      <c r="H1491" s="10">
        <f>_xlfn.XLOOKUP(C1491,menu!A:A,menu!E:E)</f>
        <v>27</v>
      </c>
      <c r="I1491" s="10">
        <f t="shared" si="23"/>
        <v>27</v>
      </c>
      <c r="K1491" s="10"/>
      <c r="L1491" s="5"/>
    </row>
    <row r="1492" spans="1:12" x14ac:dyDescent="0.25">
      <c r="A1492" s="5" t="s">
        <v>5207</v>
      </c>
      <c r="B1492" s="5" t="s">
        <v>5205</v>
      </c>
      <c r="C1492" s="5" t="s">
        <v>54</v>
      </c>
      <c r="D1492" s="21">
        <v>3</v>
      </c>
      <c r="E1492" s="12">
        <v>417</v>
      </c>
      <c r="F1492" s="10" t="str">
        <f>_xlfn.XLOOKUP(C1492,menu!A:A,menu!B:B)</f>
        <v>Chicken Strips</v>
      </c>
      <c r="G1492" s="10" t="str">
        <f>_xlfn.XLOOKUP(C1492,menu!A:A,menu!C:C)</f>
        <v>Starters</v>
      </c>
      <c r="H1492" s="10">
        <f>_xlfn.XLOOKUP(C1492,menu!A:A,menu!E:E)</f>
        <v>42</v>
      </c>
      <c r="I1492" s="10">
        <f t="shared" si="23"/>
        <v>126</v>
      </c>
      <c r="K1492" s="10"/>
      <c r="L1492" s="5"/>
    </row>
    <row r="1493" spans="1:12" x14ac:dyDescent="0.25">
      <c r="A1493" s="5" t="s">
        <v>5206</v>
      </c>
      <c r="B1493" s="5" t="s">
        <v>5205</v>
      </c>
      <c r="C1493" s="5" t="s">
        <v>65</v>
      </c>
      <c r="D1493" s="21">
        <v>1</v>
      </c>
      <c r="E1493" s="12">
        <v>49</v>
      </c>
      <c r="F1493" s="10" t="str">
        <f>_xlfn.XLOOKUP(C1493,menu!A:A,menu!B:B)</f>
        <v>Lemon Juice</v>
      </c>
      <c r="G1493" s="10" t="str">
        <f>_xlfn.XLOOKUP(C1493,menu!A:A,menu!C:C)</f>
        <v>Beverages</v>
      </c>
      <c r="H1493" s="10">
        <f>_xlfn.XLOOKUP(C1493,menu!A:A,menu!E:E)</f>
        <v>15</v>
      </c>
      <c r="I1493" s="10">
        <f t="shared" si="23"/>
        <v>15</v>
      </c>
      <c r="K1493" s="10"/>
      <c r="L1493" s="5"/>
    </row>
    <row r="1494" spans="1:12" x14ac:dyDescent="0.25">
      <c r="A1494" s="5" t="s">
        <v>5204</v>
      </c>
      <c r="B1494" s="5" t="s">
        <v>5201</v>
      </c>
      <c r="C1494" s="5" t="s">
        <v>48</v>
      </c>
      <c r="D1494" s="21">
        <v>1</v>
      </c>
      <c r="E1494" s="12">
        <v>159</v>
      </c>
      <c r="F1494" s="10" t="str">
        <f>_xlfn.XLOOKUP(C1494,menu!A:A,menu!B:B)</f>
        <v>Chicken Lollipop</v>
      </c>
      <c r="G1494" s="10" t="str">
        <f>_xlfn.XLOOKUP(C1494,menu!A:A,menu!C:C)</f>
        <v>Starters</v>
      </c>
      <c r="H1494" s="10">
        <f>_xlfn.XLOOKUP(C1494,menu!A:A,menu!E:E)</f>
        <v>48</v>
      </c>
      <c r="I1494" s="10">
        <f t="shared" si="23"/>
        <v>48</v>
      </c>
      <c r="K1494" s="10"/>
      <c r="L1494" s="5"/>
    </row>
    <row r="1495" spans="1:12" x14ac:dyDescent="0.25">
      <c r="A1495" s="5" t="s">
        <v>5203</v>
      </c>
      <c r="B1495" s="5" t="s">
        <v>5201</v>
      </c>
      <c r="C1495" s="5" t="s">
        <v>50</v>
      </c>
      <c r="D1495" s="21">
        <v>4</v>
      </c>
      <c r="E1495" s="12">
        <v>596</v>
      </c>
      <c r="F1495" s="10" t="str">
        <f>_xlfn.XLOOKUP(C1495,menu!A:A,menu!B:B)</f>
        <v>Grab Lollipop</v>
      </c>
      <c r="G1495" s="10" t="str">
        <f>_xlfn.XLOOKUP(C1495,menu!A:A,menu!C:C)</f>
        <v>Starters</v>
      </c>
      <c r="H1495" s="10">
        <f>_xlfn.XLOOKUP(C1495,menu!A:A,menu!E:E)</f>
        <v>45</v>
      </c>
      <c r="I1495" s="10">
        <f t="shared" si="23"/>
        <v>180</v>
      </c>
      <c r="K1495" s="10"/>
      <c r="L1495" s="5"/>
    </row>
    <row r="1496" spans="1:12" x14ac:dyDescent="0.25">
      <c r="A1496" s="5" t="s">
        <v>5202</v>
      </c>
      <c r="B1496" s="5" t="s">
        <v>5201</v>
      </c>
      <c r="C1496" s="5" t="s">
        <v>38</v>
      </c>
      <c r="D1496" s="21">
        <v>1</v>
      </c>
      <c r="E1496" s="12">
        <v>149</v>
      </c>
      <c r="F1496" s="10" t="str">
        <f>_xlfn.XLOOKUP(C1496,menu!A:A,menu!B:B)</f>
        <v>Chicken Wings</v>
      </c>
      <c r="G1496" s="10" t="str">
        <f>_xlfn.XLOOKUP(C1496,menu!A:A,menu!C:C)</f>
        <v>Starters</v>
      </c>
      <c r="H1496" s="10">
        <f>_xlfn.XLOOKUP(C1496,menu!A:A,menu!E:E)</f>
        <v>45</v>
      </c>
      <c r="I1496" s="10">
        <f t="shared" si="23"/>
        <v>45</v>
      </c>
      <c r="K1496" s="10"/>
      <c r="L1496" s="5"/>
    </row>
    <row r="1497" spans="1:12" x14ac:dyDescent="0.25">
      <c r="A1497" s="5" t="s">
        <v>5200</v>
      </c>
      <c r="B1497" s="5" t="s">
        <v>5198</v>
      </c>
      <c r="C1497" s="5" t="s">
        <v>54</v>
      </c>
      <c r="D1497" s="21">
        <v>1</v>
      </c>
      <c r="E1497" s="12">
        <v>139</v>
      </c>
      <c r="F1497" s="10" t="str">
        <f>_xlfn.XLOOKUP(C1497,menu!A:A,menu!B:B)</f>
        <v>Chicken Strips</v>
      </c>
      <c r="G1497" s="10" t="str">
        <f>_xlfn.XLOOKUP(C1497,menu!A:A,menu!C:C)</f>
        <v>Starters</v>
      </c>
      <c r="H1497" s="10">
        <f>_xlfn.XLOOKUP(C1497,menu!A:A,menu!E:E)</f>
        <v>42</v>
      </c>
      <c r="I1497" s="10">
        <f t="shared" si="23"/>
        <v>42</v>
      </c>
      <c r="K1497" s="10"/>
      <c r="L1497" s="5"/>
    </row>
    <row r="1498" spans="1:12" x14ac:dyDescent="0.25">
      <c r="A1498" s="5" t="s">
        <v>5199</v>
      </c>
      <c r="B1498" s="5" t="s">
        <v>5198</v>
      </c>
      <c r="C1498" s="5" t="s">
        <v>42</v>
      </c>
      <c r="D1498" s="21">
        <v>1</v>
      </c>
      <c r="E1498" s="12">
        <v>149</v>
      </c>
      <c r="F1498" s="10" t="str">
        <f>_xlfn.XLOOKUP(C1498,menu!A:A,menu!B:B)</f>
        <v>Chicken Popcorn</v>
      </c>
      <c r="G1498" s="10" t="str">
        <f>_xlfn.XLOOKUP(C1498,menu!A:A,menu!C:C)</f>
        <v>Starters</v>
      </c>
      <c r="H1498" s="10">
        <f>_xlfn.XLOOKUP(C1498,menu!A:A,menu!E:E)</f>
        <v>45</v>
      </c>
      <c r="I1498" s="10">
        <f t="shared" si="23"/>
        <v>45</v>
      </c>
      <c r="K1498" s="10"/>
      <c r="L1498" s="5"/>
    </row>
    <row r="1499" spans="1:12" x14ac:dyDescent="0.25">
      <c r="A1499" s="5" t="s">
        <v>5197</v>
      </c>
      <c r="B1499" s="5" t="s">
        <v>5193</v>
      </c>
      <c r="C1499" s="5" t="s">
        <v>5</v>
      </c>
      <c r="D1499" s="21">
        <v>1</v>
      </c>
      <c r="E1499" s="12">
        <v>79</v>
      </c>
      <c r="F1499" s="10" t="str">
        <f>_xlfn.XLOOKUP(C1499,menu!A:A,menu!B:B)</f>
        <v>Veg Sandwich</v>
      </c>
      <c r="G1499" s="10" t="str">
        <f>_xlfn.XLOOKUP(C1499,menu!A:A,menu!C:C)</f>
        <v>Sandwich</v>
      </c>
      <c r="H1499" s="10">
        <f>_xlfn.XLOOKUP(C1499,menu!A:A,menu!E:E)</f>
        <v>24</v>
      </c>
      <c r="I1499" s="10">
        <f t="shared" si="23"/>
        <v>24</v>
      </c>
      <c r="K1499" s="10"/>
      <c r="L1499" s="5"/>
    </row>
    <row r="1500" spans="1:12" x14ac:dyDescent="0.25">
      <c r="A1500" s="5" t="s">
        <v>5196</v>
      </c>
      <c r="B1500" s="5" t="s">
        <v>5193</v>
      </c>
      <c r="C1500" s="5" t="s">
        <v>10</v>
      </c>
      <c r="D1500" s="21">
        <v>1</v>
      </c>
      <c r="E1500" s="12">
        <v>119</v>
      </c>
      <c r="F1500" s="10" t="str">
        <f>_xlfn.XLOOKUP(C1500,menu!A:A,menu!B:B)</f>
        <v>Chicken Sandwich</v>
      </c>
      <c r="G1500" s="10" t="str">
        <f>_xlfn.XLOOKUP(C1500,menu!A:A,menu!C:C)</f>
        <v>Sandwich</v>
      </c>
      <c r="H1500" s="10">
        <f>_xlfn.XLOOKUP(C1500,menu!A:A,menu!E:E)</f>
        <v>36</v>
      </c>
      <c r="I1500" s="10">
        <f t="shared" si="23"/>
        <v>36</v>
      </c>
      <c r="K1500" s="10"/>
      <c r="L1500" s="5"/>
    </row>
    <row r="1501" spans="1:12" x14ac:dyDescent="0.25">
      <c r="A1501" s="5" t="s">
        <v>5195</v>
      </c>
      <c r="B1501" s="5" t="s">
        <v>5193</v>
      </c>
      <c r="C1501" s="5" t="s">
        <v>50</v>
      </c>
      <c r="D1501" s="21">
        <v>1</v>
      </c>
      <c r="E1501" s="12">
        <v>149</v>
      </c>
      <c r="F1501" s="10" t="str">
        <f>_xlfn.XLOOKUP(C1501,menu!A:A,menu!B:B)</f>
        <v>Grab Lollipop</v>
      </c>
      <c r="G1501" s="10" t="str">
        <f>_xlfn.XLOOKUP(C1501,menu!A:A,menu!C:C)</f>
        <v>Starters</v>
      </c>
      <c r="H1501" s="10">
        <f>_xlfn.XLOOKUP(C1501,menu!A:A,menu!E:E)</f>
        <v>45</v>
      </c>
      <c r="I1501" s="10">
        <f t="shared" si="23"/>
        <v>45</v>
      </c>
      <c r="K1501" s="10"/>
      <c r="L1501" s="5"/>
    </row>
    <row r="1502" spans="1:12" x14ac:dyDescent="0.25">
      <c r="A1502" s="5" t="s">
        <v>5194</v>
      </c>
      <c r="B1502" s="5" t="s">
        <v>5193</v>
      </c>
      <c r="C1502" s="5" t="s">
        <v>40</v>
      </c>
      <c r="D1502" s="21">
        <v>1</v>
      </c>
      <c r="E1502" s="12">
        <v>99</v>
      </c>
      <c r="F1502" s="10" t="str">
        <f>_xlfn.XLOOKUP(C1502,menu!A:A,menu!B:B)</f>
        <v>Veg Nuggets</v>
      </c>
      <c r="G1502" s="10" t="str">
        <f>_xlfn.XLOOKUP(C1502,menu!A:A,menu!C:C)</f>
        <v>Starters</v>
      </c>
      <c r="H1502" s="10">
        <f>_xlfn.XLOOKUP(C1502,menu!A:A,menu!E:E)</f>
        <v>30</v>
      </c>
      <c r="I1502" s="10">
        <f t="shared" si="23"/>
        <v>30</v>
      </c>
      <c r="K1502" s="10"/>
      <c r="L1502" s="5"/>
    </row>
    <row r="1503" spans="1:12" x14ac:dyDescent="0.25">
      <c r="A1503" s="5" t="s">
        <v>5192</v>
      </c>
      <c r="B1503" s="5" t="s">
        <v>5188</v>
      </c>
      <c r="C1503" s="5" t="s">
        <v>54</v>
      </c>
      <c r="D1503" s="21">
        <v>2</v>
      </c>
      <c r="E1503" s="12">
        <v>278</v>
      </c>
      <c r="F1503" s="10" t="str">
        <f>_xlfn.XLOOKUP(C1503,menu!A:A,menu!B:B)</f>
        <v>Chicken Strips</v>
      </c>
      <c r="G1503" s="10" t="str">
        <f>_xlfn.XLOOKUP(C1503,menu!A:A,menu!C:C)</f>
        <v>Starters</v>
      </c>
      <c r="H1503" s="10">
        <f>_xlfn.XLOOKUP(C1503,menu!A:A,menu!E:E)</f>
        <v>42</v>
      </c>
      <c r="I1503" s="10">
        <f t="shared" si="23"/>
        <v>84</v>
      </c>
      <c r="K1503" s="10"/>
      <c r="L1503" s="5"/>
    </row>
    <row r="1504" spans="1:12" x14ac:dyDescent="0.25">
      <c r="A1504" s="5" t="s">
        <v>5191</v>
      </c>
      <c r="B1504" s="5" t="s">
        <v>5188</v>
      </c>
      <c r="C1504" s="5" t="s">
        <v>46</v>
      </c>
      <c r="D1504" s="21">
        <v>2</v>
      </c>
      <c r="E1504" s="12">
        <v>298</v>
      </c>
      <c r="F1504" s="10" t="str">
        <f>_xlfn.XLOOKUP(C1504,menu!A:A,menu!B:B)</f>
        <v>Fish Finger</v>
      </c>
      <c r="G1504" s="10" t="str">
        <f>_xlfn.XLOOKUP(C1504,menu!A:A,menu!C:C)</f>
        <v>Starters</v>
      </c>
      <c r="H1504" s="10">
        <f>_xlfn.XLOOKUP(C1504,menu!A:A,menu!E:E)</f>
        <v>45</v>
      </c>
      <c r="I1504" s="10">
        <f t="shared" si="23"/>
        <v>90</v>
      </c>
      <c r="K1504" s="10"/>
      <c r="L1504" s="5"/>
    </row>
    <row r="1505" spans="1:12" x14ac:dyDescent="0.25">
      <c r="A1505" s="5" t="s">
        <v>5190</v>
      </c>
      <c r="B1505" s="5" t="s">
        <v>5188</v>
      </c>
      <c r="C1505" s="5" t="s">
        <v>44</v>
      </c>
      <c r="D1505" s="21">
        <v>1</v>
      </c>
      <c r="E1505" s="12">
        <v>159</v>
      </c>
      <c r="F1505" s="10" t="str">
        <f>_xlfn.XLOOKUP(C1505,menu!A:A,menu!B:B)</f>
        <v>Fried Chicken</v>
      </c>
      <c r="G1505" s="10" t="str">
        <f>_xlfn.XLOOKUP(C1505,menu!A:A,menu!C:C)</f>
        <v>Starters</v>
      </c>
      <c r="H1505" s="10">
        <f>_xlfn.XLOOKUP(C1505,menu!A:A,menu!E:E)</f>
        <v>48</v>
      </c>
      <c r="I1505" s="10">
        <f t="shared" si="23"/>
        <v>48</v>
      </c>
      <c r="K1505" s="10"/>
      <c r="L1505" s="5"/>
    </row>
    <row r="1506" spans="1:12" x14ac:dyDescent="0.25">
      <c r="A1506" s="5" t="s">
        <v>5189</v>
      </c>
      <c r="B1506" s="5" t="s">
        <v>5188</v>
      </c>
      <c r="C1506" s="5" t="s">
        <v>38</v>
      </c>
      <c r="D1506" s="21">
        <v>1</v>
      </c>
      <c r="E1506" s="12">
        <v>149</v>
      </c>
      <c r="F1506" s="10" t="str">
        <f>_xlfn.XLOOKUP(C1506,menu!A:A,menu!B:B)</f>
        <v>Chicken Wings</v>
      </c>
      <c r="G1506" s="10" t="str">
        <f>_xlfn.XLOOKUP(C1506,menu!A:A,menu!C:C)</f>
        <v>Starters</v>
      </c>
      <c r="H1506" s="10">
        <f>_xlfn.XLOOKUP(C1506,menu!A:A,menu!E:E)</f>
        <v>45</v>
      </c>
      <c r="I1506" s="10">
        <f t="shared" si="23"/>
        <v>45</v>
      </c>
      <c r="K1506" s="10"/>
      <c r="L1506" s="5"/>
    </row>
    <row r="1507" spans="1:12" x14ac:dyDescent="0.25">
      <c r="A1507" s="5" t="s">
        <v>5187</v>
      </c>
      <c r="B1507" s="5" t="s">
        <v>5185</v>
      </c>
      <c r="C1507" s="5" t="s">
        <v>63</v>
      </c>
      <c r="D1507" s="21">
        <v>1</v>
      </c>
      <c r="E1507" s="12">
        <v>79</v>
      </c>
      <c r="F1507" s="10" t="str">
        <f>_xlfn.XLOOKUP(C1507,menu!A:A,menu!B:B)</f>
        <v>Virgin Mojito</v>
      </c>
      <c r="G1507" s="10" t="str">
        <f>_xlfn.XLOOKUP(C1507,menu!A:A,menu!C:C)</f>
        <v>Beverages</v>
      </c>
      <c r="H1507" s="10">
        <f>_xlfn.XLOOKUP(C1507,menu!A:A,menu!E:E)</f>
        <v>24</v>
      </c>
      <c r="I1507" s="10">
        <f t="shared" si="23"/>
        <v>24</v>
      </c>
      <c r="K1507" s="10"/>
      <c r="L1507" s="5"/>
    </row>
    <row r="1508" spans="1:12" x14ac:dyDescent="0.25">
      <c r="A1508" s="5" t="s">
        <v>5186</v>
      </c>
      <c r="B1508" s="5" t="s">
        <v>5185</v>
      </c>
      <c r="C1508" s="5" t="s">
        <v>46</v>
      </c>
      <c r="D1508" s="21">
        <v>1</v>
      </c>
      <c r="E1508" s="12">
        <v>149</v>
      </c>
      <c r="F1508" s="10" t="str">
        <f>_xlfn.XLOOKUP(C1508,menu!A:A,menu!B:B)</f>
        <v>Fish Finger</v>
      </c>
      <c r="G1508" s="10" t="str">
        <f>_xlfn.XLOOKUP(C1508,menu!A:A,menu!C:C)</f>
        <v>Starters</v>
      </c>
      <c r="H1508" s="10">
        <f>_xlfn.XLOOKUP(C1508,menu!A:A,menu!E:E)</f>
        <v>45</v>
      </c>
      <c r="I1508" s="10">
        <f t="shared" si="23"/>
        <v>45</v>
      </c>
      <c r="K1508" s="10"/>
      <c r="L1508" s="5"/>
    </row>
    <row r="1509" spans="1:12" x14ac:dyDescent="0.25">
      <c r="A1509" s="5" t="s">
        <v>5184</v>
      </c>
      <c r="B1509" s="5" t="s">
        <v>5182</v>
      </c>
      <c r="C1509" s="5" t="s">
        <v>56</v>
      </c>
      <c r="D1509" s="21">
        <v>1</v>
      </c>
      <c r="E1509" s="12">
        <v>79</v>
      </c>
      <c r="F1509" s="10" t="str">
        <f>_xlfn.XLOOKUP(C1509,menu!A:A,menu!B:B)</f>
        <v>Mint Mojito</v>
      </c>
      <c r="G1509" s="10" t="str">
        <f>_xlfn.XLOOKUP(C1509,menu!A:A,menu!C:C)</f>
        <v>Beverages</v>
      </c>
      <c r="H1509" s="10">
        <f>_xlfn.XLOOKUP(C1509,menu!A:A,menu!E:E)</f>
        <v>24</v>
      </c>
      <c r="I1509" s="10">
        <f t="shared" si="23"/>
        <v>24</v>
      </c>
      <c r="K1509" s="10"/>
      <c r="L1509" s="5"/>
    </row>
    <row r="1510" spans="1:12" x14ac:dyDescent="0.25">
      <c r="A1510" s="5" t="s">
        <v>5183</v>
      </c>
      <c r="B1510" s="5" t="s">
        <v>5182</v>
      </c>
      <c r="C1510" s="5" t="s">
        <v>50</v>
      </c>
      <c r="D1510" s="21">
        <v>3</v>
      </c>
      <c r="E1510" s="12">
        <v>447</v>
      </c>
      <c r="F1510" s="10" t="str">
        <f>_xlfn.XLOOKUP(C1510,menu!A:A,menu!B:B)</f>
        <v>Grab Lollipop</v>
      </c>
      <c r="G1510" s="10" t="str">
        <f>_xlfn.XLOOKUP(C1510,menu!A:A,menu!C:C)</f>
        <v>Starters</v>
      </c>
      <c r="H1510" s="10">
        <f>_xlfn.XLOOKUP(C1510,menu!A:A,menu!E:E)</f>
        <v>45</v>
      </c>
      <c r="I1510" s="10">
        <f t="shared" si="23"/>
        <v>135</v>
      </c>
      <c r="K1510" s="10"/>
      <c r="L1510" s="5"/>
    </row>
    <row r="1511" spans="1:12" x14ac:dyDescent="0.25">
      <c r="A1511" s="5" t="s">
        <v>5181</v>
      </c>
      <c r="B1511" s="5" t="s">
        <v>5179</v>
      </c>
      <c r="C1511" s="5" t="s">
        <v>19</v>
      </c>
      <c r="D1511" s="21">
        <v>1</v>
      </c>
      <c r="E1511" s="12">
        <v>79</v>
      </c>
      <c r="F1511" s="10" t="str">
        <f>_xlfn.XLOOKUP(C1511,menu!A:A,menu!B:B)</f>
        <v>Veg Burger</v>
      </c>
      <c r="G1511" s="10" t="str">
        <f>_xlfn.XLOOKUP(C1511,menu!A:A,menu!C:C)</f>
        <v>Burger</v>
      </c>
      <c r="H1511" s="10">
        <f>_xlfn.XLOOKUP(C1511,menu!A:A,menu!E:E)</f>
        <v>24</v>
      </c>
      <c r="I1511" s="10">
        <f t="shared" si="23"/>
        <v>24</v>
      </c>
      <c r="K1511" s="10"/>
      <c r="L1511" s="5"/>
    </row>
    <row r="1512" spans="1:12" x14ac:dyDescent="0.25">
      <c r="A1512" s="5" t="s">
        <v>5180</v>
      </c>
      <c r="B1512" s="5" t="s">
        <v>5179</v>
      </c>
      <c r="C1512" s="5" t="s">
        <v>44</v>
      </c>
      <c r="D1512" s="21">
        <v>1</v>
      </c>
      <c r="E1512" s="12">
        <v>159</v>
      </c>
      <c r="F1512" s="10" t="str">
        <f>_xlfn.XLOOKUP(C1512,menu!A:A,menu!B:B)</f>
        <v>Fried Chicken</v>
      </c>
      <c r="G1512" s="10" t="str">
        <f>_xlfn.XLOOKUP(C1512,menu!A:A,menu!C:C)</f>
        <v>Starters</v>
      </c>
      <c r="H1512" s="10">
        <f>_xlfn.XLOOKUP(C1512,menu!A:A,menu!E:E)</f>
        <v>48</v>
      </c>
      <c r="I1512" s="10">
        <f t="shared" si="23"/>
        <v>48</v>
      </c>
      <c r="K1512" s="10"/>
      <c r="L1512" s="5"/>
    </row>
    <row r="1513" spans="1:12" x14ac:dyDescent="0.25">
      <c r="A1513" s="5" t="s">
        <v>5178</v>
      </c>
      <c r="B1513" s="5" t="s">
        <v>5175</v>
      </c>
      <c r="C1513" s="5" t="s">
        <v>5</v>
      </c>
      <c r="D1513" s="21">
        <v>1</v>
      </c>
      <c r="E1513" s="12">
        <v>79</v>
      </c>
      <c r="F1513" s="10" t="str">
        <f>_xlfn.XLOOKUP(C1513,menu!A:A,menu!B:B)</f>
        <v>Veg Sandwich</v>
      </c>
      <c r="G1513" s="10" t="str">
        <f>_xlfn.XLOOKUP(C1513,menu!A:A,menu!C:C)</f>
        <v>Sandwich</v>
      </c>
      <c r="H1513" s="10">
        <f>_xlfn.XLOOKUP(C1513,menu!A:A,menu!E:E)</f>
        <v>24</v>
      </c>
      <c r="I1513" s="10">
        <f t="shared" si="23"/>
        <v>24</v>
      </c>
      <c r="K1513" s="10"/>
      <c r="L1513" s="5"/>
    </row>
    <row r="1514" spans="1:12" x14ac:dyDescent="0.25">
      <c r="A1514" s="5" t="s">
        <v>5177</v>
      </c>
      <c r="B1514" s="5" t="s">
        <v>5175</v>
      </c>
      <c r="C1514" s="5" t="s">
        <v>52</v>
      </c>
      <c r="D1514" s="21">
        <v>2</v>
      </c>
      <c r="E1514" s="12">
        <v>198</v>
      </c>
      <c r="F1514" s="10" t="str">
        <f>_xlfn.XLOOKUP(C1514,menu!A:A,menu!B:B)</f>
        <v>French Fries</v>
      </c>
      <c r="G1514" s="10" t="str">
        <f>_xlfn.XLOOKUP(C1514,menu!A:A,menu!C:C)</f>
        <v>Starters</v>
      </c>
      <c r="H1514" s="10">
        <f>_xlfn.XLOOKUP(C1514,menu!A:A,menu!E:E)</f>
        <v>30</v>
      </c>
      <c r="I1514" s="10">
        <f t="shared" si="23"/>
        <v>60</v>
      </c>
      <c r="K1514" s="10"/>
      <c r="L1514" s="5"/>
    </row>
    <row r="1515" spans="1:12" x14ac:dyDescent="0.25">
      <c r="A1515" s="5" t="s">
        <v>5176</v>
      </c>
      <c r="B1515" s="5" t="s">
        <v>5175</v>
      </c>
      <c r="C1515" s="5" t="s">
        <v>48</v>
      </c>
      <c r="D1515" s="21">
        <v>4</v>
      </c>
      <c r="E1515" s="12">
        <v>636</v>
      </c>
      <c r="F1515" s="10" t="str">
        <f>_xlfn.XLOOKUP(C1515,menu!A:A,menu!B:B)</f>
        <v>Chicken Lollipop</v>
      </c>
      <c r="G1515" s="10" t="str">
        <f>_xlfn.XLOOKUP(C1515,menu!A:A,menu!C:C)</f>
        <v>Starters</v>
      </c>
      <c r="H1515" s="10">
        <f>_xlfn.XLOOKUP(C1515,menu!A:A,menu!E:E)</f>
        <v>48</v>
      </c>
      <c r="I1515" s="10">
        <f t="shared" si="23"/>
        <v>192</v>
      </c>
      <c r="K1515" s="10"/>
      <c r="L1515" s="5"/>
    </row>
    <row r="1516" spans="1:12" x14ac:dyDescent="0.25">
      <c r="A1516" s="5" t="s">
        <v>5174</v>
      </c>
      <c r="B1516" s="5" t="s">
        <v>5172</v>
      </c>
      <c r="C1516" s="5" t="s">
        <v>24</v>
      </c>
      <c r="D1516" s="21">
        <v>1</v>
      </c>
      <c r="E1516" s="12">
        <v>89</v>
      </c>
      <c r="F1516" s="10" t="str">
        <f>_xlfn.XLOOKUP(C1516,menu!A:A,menu!B:B)</f>
        <v>Paneer Burger</v>
      </c>
      <c r="G1516" s="10" t="str">
        <f>_xlfn.XLOOKUP(C1516,menu!A:A,menu!C:C)</f>
        <v>Burger</v>
      </c>
      <c r="H1516" s="10">
        <f>_xlfn.XLOOKUP(C1516,menu!A:A,menu!E:E)</f>
        <v>27</v>
      </c>
      <c r="I1516" s="10">
        <f t="shared" si="23"/>
        <v>27</v>
      </c>
      <c r="K1516" s="10"/>
      <c r="L1516" s="5"/>
    </row>
    <row r="1517" spans="1:12" x14ac:dyDescent="0.25">
      <c r="A1517" s="5" t="s">
        <v>5173</v>
      </c>
      <c r="B1517" s="5" t="s">
        <v>5172</v>
      </c>
      <c r="C1517" s="5" t="s">
        <v>48</v>
      </c>
      <c r="D1517" s="21">
        <v>1</v>
      </c>
      <c r="E1517" s="12">
        <v>159</v>
      </c>
      <c r="F1517" s="10" t="str">
        <f>_xlfn.XLOOKUP(C1517,menu!A:A,menu!B:B)</f>
        <v>Chicken Lollipop</v>
      </c>
      <c r="G1517" s="10" t="str">
        <f>_xlfn.XLOOKUP(C1517,menu!A:A,menu!C:C)</f>
        <v>Starters</v>
      </c>
      <c r="H1517" s="10">
        <f>_xlfn.XLOOKUP(C1517,menu!A:A,menu!E:E)</f>
        <v>48</v>
      </c>
      <c r="I1517" s="10">
        <f t="shared" si="23"/>
        <v>48</v>
      </c>
      <c r="K1517" s="10"/>
      <c r="L1517" s="5"/>
    </row>
    <row r="1518" spans="1:12" x14ac:dyDescent="0.25">
      <c r="A1518" s="5" t="s">
        <v>5171</v>
      </c>
      <c r="B1518" s="5" t="s">
        <v>5169</v>
      </c>
      <c r="C1518" s="5" t="s">
        <v>52</v>
      </c>
      <c r="D1518" s="21">
        <v>1</v>
      </c>
      <c r="E1518" s="12">
        <v>99</v>
      </c>
      <c r="F1518" s="10" t="str">
        <f>_xlfn.XLOOKUP(C1518,menu!A:A,menu!B:B)</f>
        <v>French Fries</v>
      </c>
      <c r="G1518" s="10" t="str">
        <f>_xlfn.XLOOKUP(C1518,menu!A:A,menu!C:C)</f>
        <v>Starters</v>
      </c>
      <c r="H1518" s="10">
        <f>_xlfn.XLOOKUP(C1518,menu!A:A,menu!E:E)</f>
        <v>30</v>
      </c>
      <c r="I1518" s="10">
        <f t="shared" si="23"/>
        <v>30</v>
      </c>
      <c r="K1518" s="10"/>
      <c r="L1518" s="5"/>
    </row>
    <row r="1519" spans="1:12" x14ac:dyDescent="0.25">
      <c r="A1519" s="5" t="s">
        <v>5170</v>
      </c>
      <c r="B1519" s="5" t="s">
        <v>5169</v>
      </c>
      <c r="C1519" s="5" t="s">
        <v>8</v>
      </c>
      <c r="D1519" s="21">
        <v>1</v>
      </c>
      <c r="E1519" s="12">
        <v>99</v>
      </c>
      <c r="F1519" s="10" t="str">
        <f>_xlfn.XLOOKUP(C1519,menu!A:A,menu!B:B)</f>
        <v>Paneer Sandwich</v>
      </c>
      <c r="G1519" s="10" t="str">
        <f>_xlfn.XLOOKUP(C1519,menu!A:A,menu!C:C)</f>
        <v>Sandwich</v>
      </c>
      <c r="H1519" s="10">
        <f>_xlfn.XLOOKUP(C1519,menu!A:A,menu!E:E)</f>
        <v>30</v>
      </c>
      <c r="I1519" s="10">
        <f t="shared" si="23"/>
        <v>30</v>
      </c>
      <c r="K1519" s="10"/>
      <c r="L1519" s="5"/>
    </row>
    <row r="1520" spans="1:12" x14ac:dyDescent="0.25">
      <c r="A1520" s="5" t="s">
        <v>5168</v>
      </c>
      <c r="B1520" s="5" t="s">
        <v>5164</v>
      </c>
      <c r="C1520" s="5" t="s">
        <v>56</v>
      </c>
      <c r="D1520" s="21">
        <v>2</v>
      </c>
      <c r="E1520" s="12">
        <v>158</v>
      </c>
      <c r="F1520" s="10" t="str">
        <f>_xlfn.XLOOKUP(C1520,menu!A:A,menu!B:B)</f>
        <v>Mint Mojito</v>
      </c>
      <c r="G1520" s="10" t="str">
        <f>_xlfn.XLOOKUP(C1520,menu!A:A,menu!C:C)</f>
        <v>Beverages</v>
      </c>
      <c r="H1520" s="10">
        <f>_xlfn.XLOOKUP(C1520,menu!A:A,menu!E:E)</f>
        <v>24</v>
      </c>
      <c r="I1520" s="10">
        <f t="shared" si="23"/>
        <v>48</v>
      </c>
      <c r="K1520" s="10"/>
      <c r="L1520" s="5"/>
    </row>
    <row r="1521" spans="1:12" x14ac:dyDescent="0.25">
      <c r="A1521" s="5" t="s">
        <v>5167</v>
      </c>
      <c r="B1521" s="5" t="s">
        <v>5164</v>
      </c>
      <c r="C1521" s="5" t="s">
        <v>54</v>
      </c>
      <c r="D1521" s="21">
        <v>3</v>
      </c>
      <c r="E1521" s="12">
        <v>417</v>
      </c>
      <c r="F1521" s="10" t="str">
        <f>_xlfn.XLOOKUP(C1521,menu!A:A,menu!B:B)</f>
        <v>Chicken Strips</v>
      </c>
      <c r="G1521" s="10" t="str">
        <f>_xlfn.XLOOKUP(C1521,menu!A:A,menu!C:C)</f>
        <v>Starters</v>
      </c>
      <c r="H1521" s="10">
        <f>_xlfn.XLOOKUP(C1521,menu!A:A,menu!E:E)</f>
        <v>42</v>
      </c>
      <c r="I1521" s="10">
        <f t="shared" si="23"/>
        <v>126</v>
      </c>
      <c r="K1521" s="10"/>
      <c r="L1521" s="5"/>
    </row>
    <row r="1522" spans="1:12" x14ac:dyDescent="0.25">
      <c r="A1522" s="5" t="s">
        <v>5166</v>
      </c>
      <c r="B1522" s="5" t="s">
        <v>5164</v>
      </c>
      <c r="C1522" s="5" t="s">
        <v>10</v>
      </c>
      <c r="D1522" s="21">
        <v>1</v>
      </c>
      <c r="E1522" s="12">
        <v>119</v>
      </c>
      <c r="F1522" s="10" t="str">
        <f>_xlfn.XLOOKUP(C1522,menu!A:A,menu!B:B)</f>
        <v>Chicken Sandwich</v>
      </c>
      <c r="G1522" s="10" t="str">
        <f>_xlfn.XLOOKUP(C1522,menu!A:A,menu!C:C)</f>
        <v>Sandwich</v>
      </c>
      <c r="H1522" s="10">
        <f>_xlfn.XLOOKUP(C1522,menu!A:A,menu!E:E)</f>
        <v>36</v>
      </c>
      <c r="I1522" s="10">
        <f t="shared" si="23"/>
        <v>36</v>
      </c>
      <c r="K1522" s="10"/>
      <c r="L1522" s="5"/>
    </row>
    <row r="1523" spans="1:12" x14ac:dyDescent="0.25">
      <c r="A1523" s="5" t="s">
        <v>5165</v>
      </c>
      <c r="B1523" s="5" t="s">
        <v>5164</v>
      </c>
      <c r="C1523" s="5" t="s">
        <v>38</v>
      </c>
      <c r="D1523" s="21">
        <v>3</v>
      </c>
      <c r="E1523" s="12">
        <v>447</v>
      </c>
      <c r="F1523" s="10" t="str">
        <f>_xlfn.XLOOKUP(C1523,menu!A:A,menu!B:B)</f>
        <v>Chicken Wings</v>
      </c>
      <c r="G1523" s="10" t="str">
        <f>_xlfn.XLOOKUP(C1523,menu!A:A,menu!C:C)</f>
        <v>Starters</v>
      </c>
      <c r="H1523" s="10">
        <f>_xlfn.XLOOKUP(C1523,menu!A:A,menu!E:E)</f>
        <v>45</v>
      </c>
      <c r="I1523" s="10">
        <f t="shared" si="23"/>
        <v>135</v>
      </c>
      <c r="K1523" s="10"/>
      <c r="L1523" s="5"/>
    </row>
    <row r="1524" spans="1:12" x14ac:dyDescent="0.25">
      <c r="A1524" s="5" t="s">
        <v>5163</v>
      </c>
      <c r="B1524" s="5" t="s">
        <v>5161</v>
      </c>
      <c r="C1524" s="5" t="s">
        <v>50</v>
      </c>
      <c r="D1524" s="21">
        <v>2</v>
      </c>
      <c r="E1524" s="12">
        <v>298</v>
      </c>
      <c r="F1524" s="10" t="str">
        <f>_xlfn.XLOOKUP(C1524,menu!A:A,menu!B:B)</f>
        <v>Grab Lollipop</v>
      </c>
      <c r="G1524" s="10" t="str">
        <f>_xlfn.XLOOKUP(C1524,menu!A:A,menu!C:C)</f>
        <v>Starters</v>
      </c>
      <c r="H1524" s="10">
        <f>_xlfn.XLOOKUP(C1524,menu!A:A,menu!E:E)</f>
        <v>45</v>
      </c>
      <c r="I1524" s="10">
        <f t="shared" si="23"/>
        <v>90</v>
      </c>
      <c r="K1524" s="10"/>
      <c r="L1524" s="5"/>
    </row>
    <row r="1525" spans="1:12" x14ac:dyDescent="0.25">
      <c r="A1525" s="5" t="s">
        <v>5162</v>
      </c>
      <c r="B1525" s="5" t="s">
        <v>5161</v>
      </c>
      <c r="C1525" s="5" t="s">
        <v>24</v>
      </c>
      <c r="D1525" s="21">
        <v>1</v>
      </c>
      <c r="E1525" s="12">
        <v>89</v>
      </c>
      <c r="F1525" s="10" t="str">
        <f>_xlfn.XLOOKUP(C1525,menu!A:A,menu!B:B)</f>
        <v>Paneer Burger</v>
      </c>
      <c r="G1525" s="10" t="str">
        <f>_xlfn.XLOOKUP(C1525,menu!A:A,menu!C:C)</f>
        <v>Burger</v>
      </c>
      <c r="H1525" s="10">
        <f>_xlfn.XLOOKUP(C1525,menu!A:A,menu!E:E)</f>
        <v>27</v>
      </c>
      <c r="I1525" s="10">
        <f t="shared" si="23"/>
        <v>27</v>
      </c>
      <c r="K1525" s="10"/>
      <c r="L1525" s="5"/>
    </row>
    <row r="1526" spans="1:12" x14ac:dyDescent="0.25">
      <c r="A1526" s="5" t="s">
        <v>5160</v>
      </c>
      <c r="B1526" s="5" t="s">
        <v>5158</v>
      </c>
      <c r="C1526" s="5" t="s">
        <v>65</v>
      </c>
      <c r="D1526" s="21">
        <v>2</v>
      </c>
      <c r="E1526" s="12">
        <v>98</v>
      </c>
      <c r="F1526" s="10" t="str">
        <f>_xlfn.XLOOKUP(C1526,menu!A:A,menu!B:B)</f>
        <v>Lemon Juice</v>
      </c>
      <c r="G1526" s="10" t="str">
        <f>_xlfn.XLOOKUP(C1526,menu!A:A,menu!C:C)</f>
        <v>Beverages</v>
      </c>
      <c r="H1526" s="10">
        <f>_xlfn.XLOOKUP(C1526,menu!A:A,menu!E:E)</f>
        <v>15</v>
      </c>
      <c r="I1526" s="10">
        <f t="shared" si="23"/>
        <v>30</v>
      </c>
      <c r="K1526" s="10"/>
      <c r="L1526" s="5"/>
    </row>
    <row r="1527" spans="1:12" x14ac:dyDescent="0.25">
      <c r="A1527" s="5" t="s">
        <v>5159</v>
      </c>
      <c r="B1527" s="5" t="s">
        <v>5158</v>
      </c>
      <c r="C1527" s="5" t="s">
        <v>31</v>
      </c>
      <c r="D1527" s="21">
        <v>4</v>
      </c>
      <c r="E1527" s="12">
        <v>356</v>
      </c>
      <c r="F1527" s="10" t="str">
        <f>_xlfn.XLOOKUP(C1527,menu!A:A,menu!B:B)</f>
        <v>Chicken Roll</v>
      </c>
      <c r="G1527" s="10" t="str">
        <f>_xlfn.XLOOKUP(C1527,menu!A:A,menu!C:C)</f>
        <v>Rolls</v>
      </c>
      <c r="H1527" s="10">
        <f>_xlfn.XLOOKUP(C1527,menu!A:A,menu!E:E)</f>
        <v>27</v>
      </c>
      <c r="I1527" s="10">
        <f t="shared" si="23"/>
        <v>108</v>
      </c>
      <c r="K1527" s="10"/>
      <c r="L1527" s="5"/>
    </row>
    <row r="1528" spans="1:12" x14ac:dyDescent="0.25">
      <c r="A1528" s="5" t="s">
        <v>5157</v>
      </c>
      <c r="B1528" s="5" t="s">
        <v>5155</v>
      </c>
      <c r="C1528" s="5" t="s">
        <v>12</v>
      </c>
      <c r="D1528" s="21">
        <v>1</v>
      </c>
      <c r="E1528" s="12">
        <v>79</v>
      </c>
      <c r="F1528" s="10" t="str">
        <f>_xlfn.XLOOKUP(C1528,menu!A:A,menu!B:B)</f>
        <v>Veg Momos</v>
      </c>
      <c r="G1528" s="10" t="str">
        <f>_xlfn.XLOOKUP(C1528,menu!A:A,menu!C:C)</f>
        <v>Momos</v>
      </c>
      <c r="H1528" s="10">
        <f>_xlfn.XLOOKUP(C1528,menu!A:A,menu!E:E)</f>
        <v>24</v>
      </c>
      <c r="I1528" s="10">
        <f t="shared" si="23"/>
        <v>24</v>
      </c>
      <c r="K1528" s="10"/>
      <c r="L1528" s="5"/>
    </row>
    <row r="1529" spans="1:12" x14ac:dyDescent="0.25">
      <c r="A1529" s="5" t="s">
        <v>5156</v>
      </c>
      <c r="B1529" s="5" t="s">
        <v>5155</v>
      </c>
      <c r="C1529" s="5" t="s">
        <v>24</v>
      </c>
      <c r="D1529" s="21">
        <v>2</v>
      </c>
      <c r="E1529" s="12">
        <v>178</v>
      </c>
      <c r="F1529" s="10" t="str">
        <f>_xlfn.XLOOKUP(C1529,menu!A:A,menu!B:B)</f>
        <v>Paneer Burger</v>
      </c>
      <c r="G1529" s="10" t="str">
        <f>_xlfn.XLOOKUP(C1529,menu!A:A,menu!C:C)</f>
        <v>Burger</v>
      </c>
      <c r="H1529" s="10">
        <f>_xlfn.XLOOKUP(C1529,menu!A:A,menu!E:E)</f>
        <v>27</v>
      </c>
      <c r="I1529" s="10">
        <f t="shared" si="23"/>
        <v>54</v>
      </c>
      <c r="K1529" s="10"/>
      <c r="L1529" s="5"/>
    </row>
    <row r="1530" spans="1:12" x14ac:dyDescent="0.25">
      <c r="A1530" s="5" t="s">
        <v>5154</v>
      </c>
      <c r="B1530" s="5" t="s">
        <v>5150</v>
      </c>
      <c r="C1530" s="5" t="s">
        <v>40</v>
      </c>
      <c r="D1530" s="21">
        <v>2</v>
      </c>
      <c r="E1530" s="12">
        <v>198</v>
      </c>
      <c r="F1530" s="10" t="str">
        <f>_xlfn.XLOOKUP(C1530,menu!A:A,menu!B:B)</f>
        <v>Veg Nuggets</v>
      </c>
      <c r="G1530" s="10" t="str">
        <f>_xlfn.XLOOKUP(C1530,menu!A:A,menu!C:C)</f>
        <v>Starters</v>
      </c>
      <c r="H1530" s="10">
        <f>_xlfn.XLOOKUP(C1530,menu!A:A,menu!E:E)</f>
        <v>30</v>
      </c>
      <c r="I1530" s="10">
        <f t="shared" si="23"/>
        <v>60</v>
      </c>
      <c r="K1530" s="10"/>
      <c r="L1530" s="5"/>
    </row>
    <row r="1531" spans="1:12" x14ac:dyDescent="0.25">
      <c r="A1531" s="5" t="s">
        <v>5153</v>
      </c>
      <c r="B1531" s="5" t="s">
        <v>5150</v>
      </c>
      <c r="C1531" s="5" t="s">
        <v>50</v>
      </c>
      <c r="D1531" s="21">
        <v>1</v>
      </c>
      <c r="E1531" s="12">
        <v>149</v>
      </c>
      <c r="F1531" s="10" t="str">
        <f>_xlfn.XLOOKUP(C1531,menu!A:A,menu!B:B)</f>
        <v>Grab Lollipop</v>
      </c>
      <c r="G1531" s="10" t="str">
        <f>_xlfn.XLOOKUP(C1531,menu!A:A,menu!C:C)</f>
        <v>Starters</v>
      </c>
      <c r="H1531" s="10">
        <f>_xlfn.XLOOKUP(C1531,menu!A:A,menu!E:E)</f>
        <v>45</v>
      </c>
      <c r="I1531" s="10">
        <f t="shared" si="23"/>
        <v>45</v>
      </c>
      <c r="K1531" s="10"/>
      <c r="L1531" s="5"/>
    </row>
    <row r="1532" spans="1:12" x14ac:dyDescent="0.25">
      <c r="A1532" s="5" t="s">
        <v>5152</v>
      </c>
      <c r="B1532" s="5" t="s">
        <v>5150</v>
      </c>
      <c r="C1532" s="5" t="s">
        <v>54</v>
      </c>
      <c r="D1532" s="21">
        <v>3</v>
      </c>
      <c r="E1532" s="12">
        <v>417</v>
      </c>
      <c r="F1532" s="10" t="str">
        <f>_xlfn.XLOOKUP(C1532,menu!A:A,menu!B:B)</f>
        <v>Chicken Strips</v>
      </c>
      <c r="G1532" s="10" t="str">
        <f>_xlfn.XLOOKUP(C1532,menu!A:A,menu!C:C)</f>
        <v>Starters</v>
      </c>
      <c r="H1532" s="10">
        <f>_xlfn.XLOOKUP(C1532,menu!A:A,menu!E:E)</f>
        <v>42</v>
      </c>
      <c r="I1532" s="10">
        <f t="shared" si="23"/>
        <v>126</v>
      </c>
      <c r="K1532" s="10"/>
      <c r="L1532" s="5"/>
    </row>
    <row r="1533" spans="1:12" x14ac:dyDescent="0.25">
      <c r="A1533" s="5" t="s">
        <v>5151</v>
      </c>
      <c r="B1533" s="5" t="s">
        <v>5150</v>
      </c>
      <c r="C1533" s="5" t="s">
        <v>8</v>
      </c>
      <c r="D1533" s="21">
        <v>3</v>
      </c>
      <c r="E1533" s="12">
        <v>297</v>
      </c>
      <c r="F1533" s="10" t="str">
        <f>_xlfn.XLOOKUP(C1533,menu!A:A,menu!B:B)</f>
        <v>Paneer Sandwich</v>
      </c>
      <c r="G1533" s="10" t="str">
        <f>_xlfn.XLOOKUP(C1533,menu!A:A,menu!C:C)</f>
        <v>Sandwich</v>
      </c>
      <c r="H1533" s="10">
        <f>_xlfn.XLOOKUP(C1533,menu!A:A,menu!E:E)</f>
        <v>30</v>
      </c>
      <c r="I1533" s="10">
        <f t="shared" si="23"/>
        <v>90</v>
      </c>
      <c r="K1533" s="10"/>
      <c r="L1533" s="5"/>
    </row>
    <row r="1534" spans="1:12" x14ac:dyDescent="0.25">
      <c r="A1534" s="5" t="s">
        <v>5149</v>
      </c>
      <c r="B1534" s="5" t="s">
        <v>5147</v>
      </c>
      <c r="C1534" s="5" t="s">
        <v>19</v>
      </c>
      <c r="D1534" s="21">
        <v>2</v>
      </c>
      <c r="E1534" s="12">
        <v>158</v>
      </c>
      <c r="F1534" s="10" t="str">
        <f>_xlfn.XLOOKUP(C1534,menu!A:A,menu!B:B)</f>
        <v>Veg Burger</v>
      </c>
      <c r="G1534" s="10" t="str">
        <f>_xlfn.XLOOKUP(C1534,menu!A:A,menu!C:C)</f>
        <v>Burger</v>
      </c>
      <c r="H1534" s="10">
        <f>_xlfn.XLOOKUP(C1534,menu!A:A,menu!E:E)</f>
        <v>24</v>
      </c>
      <c r="I1534" s="10">
        <f t="shared" si="23"/>
        <v>48</v>
      </c>
      <c r="K1534" s="10"/>
      <c r="L1534" s="5"/>
    </row>
    <row r="1535" spans="1:12" x14ac:dyDescent="0.25">
      <c r="A1535" s="5" t="s">
        <v>5148</v>
      </c>
      <c r="B1535" s="5" t="s">
        <v>5147</v>
      </c>
      <c r="C1535" s="5" t="s">
        <v>63</v>
      </c>
      <c r="D1535" s="21">
        <v>2</v>
      </c>
      <c r="E1535" s="12">
        <v>158</v>
      </c>
      <c r="F1535" s="10" t="str">
        <f>_xlfn.XLOOKUP(C1535,menu!A:A,menu!B:B)</f>
        <v>Virgin Mojito</v>
      </c>
      <c r="G1535" s="10" t="str">
        <f>_xlfn.XLOOKUP(C1535,menu!A:A,menu!C:C)</f>
        <v>Beverages</v>
      </c>
      <c r="H1535" s="10">
        <f>_xlfn.XLOOKUP(C1535,menu!A:A,menu!E:E)</f>
        <v>24</v>
      </c>
      <c r="I1535" s="10">
        <f t="shared" si="23"/>
        <v>48</v>
      </c>
      <c r="K1535" s="10"/>
      <c r="L1535" s="5"/>
    </row>
    <row r="1536" spans="1:12" x14ac:dyDescent="0.25">
      <c r="A1536" s="5" t="s">
        <v>5146</v>
      </c>
      <c r="B1536" s="5" t="s">
        <v>5144</v>
      </c>
      <c r="C1536" s="5" t="s">
        <v>50</v>
      </c>
      <c r="D1536" s="21">
        <v>1</v>
      </c>
      <c r="E1536" s="12">
        <v>149</v>
      </c>
      <c r="F1536" s="10" t="str">
        <f>_xlfn.XLOOKUP(C1536,menu!A:A,menu!B:B)</f>
        <v>Grab Lollipop</v>
      </c>
      <c r="G1536" s="10" t="str">
        <f>_xlfn.XLOOKUP(C1536,menu!A:A,menu!C:C)</f>
        <v>Starters</v>
      </c>
      <c r="H1536" s="10">
        <f>_xlfn.XLOOKUP(C1536,menu!A:A,menu!E:E)</f>
        <v>45</v>
      </c>
      <c r="I1536" s="10">
        <f t="shared" si="23"/>
        <v>45</v>
      </c>
      <c r="K1536" s="10"/>
      <c r="L1536" s="5"/>
    </row>
    <row r="1537" spans="1:12" x14ac:dyDescent="0.25">
      <c r="A1537" s="5" t="s">
        <v>5145</v>
      </c>
      <c r="B1537" s="5" t="s">
        <v>5144</v>
      </c>
      <c r="C1537" s="5" t="s">
        <v>15</v>
      </c>
      <c r="D1537" s="21">
        <v>5</v>
      </c>
      <c r="E1537" s="12">
        <v>495</v>
      </c>
      <c r="F1537" s="10" t="str">
        <f>_xlfn.XLOOKUP(C1537,menu!A:A,menu!B:B)</f>
        <v>Chicken Momos</v>
      </c>
      <c r="G1537" s="10" t="str">
        <f>_xlfn.XLOOKUP(C1537,menu!A:A,menu!C:C)</f>
        <v>Momos</v>
      </c>
      <c r="H1537" s="10">
        <f>_xlfn.XLOOKUP(C1537,menu!A:A,menu!E:E)</f>
        <v>30</v>
      </c>
      <c r="I1537" s="10">
        <f t="shared" si="23"/>
        <v>150</v>
      </c>
      <c r="K1537" s="10"/>
      <c r="L1537" s="5"/>
    </row>
    <row r="1538" spans="1:12" x14ac:dyDescent="0.25">
      <c r="A1538" s="5" t="s">
        <v>5143</v>
      </c>
      <c r="B1538" s="5" t="s">
        <v>5142</v>
      </c>
      <c r="C1538" s="5" t="s">
        <v>12</v>
      </c>
      <c r="D1538" s="21">
        <v>5</v>
      </c>
      <c r="E1538" s="12">
        <v>395</v>
      </c>
      <c r="F1538" s="10" t="str">
        <f>_xlfn.XLOOKUP(C1538,menu!A:A,menu!B:B)</f>
        <v>Veg Momos</v>
      </c>
      <c r="G1538" s="10" t="str">
        <f>_xlfn.XLOOKUP(C1538,menu!A:A,menu!C:C)</f>
        <v>Momos</v>
      </c>
      <c r="H1538" s="10">
        <f>_xlfn.XLOOKUP(C1538,menu!A:A,menu!E:E)</f>
        <v>24</v>
      </c>
      <c r="I1538" s="10">
        <f t="shared" si="23"/>
        <v>120</v>
      </c>
      <c r="K1538" s="10"/>
      <c r="L1538" s="5"/>
    </row>
    <row r="1539" spans="1:12" x14ac:dyDescent="0.25">
      <c r="A1539" s="5" t="s">
        <v>5141</v>
      </c>
      <c r="B1539" s="5" t="s">
        <v>5139</v>
      </c>
      <c r="C1539" s="5" t="s">
        <v>52</v>
      </c>
      <c r="D1539" s="21">
        <v>4</v>
      </c>
      <c r="E1539" s="12">
        <v>396</v>
      </c>
      <c r="F1539" s="10" t="str">
        <f>_xlfn.XLOOKUP(C1539,menu!A:A,menu!B:B)</f>
        <v>French Fries</v>
      </c>
      <c r="G1539" s="10" t="str">
        <f>_xlfn.XLOOKUP(C1539,menu!A:A,menu!C:C)</f>
        <v>Starters</v>
      </c>
      <c r="H1539" s="10">
        <f>_xlfn.XLOOKUP(C1539,menu!A:A,menu!E:E)</f>
        <v>30</v>
      </c>
      <c r="I1539" s="10">
        <f t="shared" ref="I1539:I1602" si="24">D1539*H1539</f>
        <v>120</v>
      </c>
      <c r="K1539" s="10"/>
      <c r="L1539" s="5"/>
    </row>
    <row r="1540" spans="1:12" x14ac:dyDescent="0.25">
      <c r="A1540" s="5" t="s">
        <v>5140</v>
      </c>
      <c r="B1540" s="5" t="s">
        <v>5139</v>
      </c>
      <c r="C1540" s="5" t="s">
        <v>46</v>
      </c>
      <c r="D1540" s="21">
        <v>1</v>
      </c>
      <c r="E1540" s="12">
        <v>149</v>
      </c>
      <c r="F1540" s="10" t="str">
        <f>_xlfn.XLOOKUP(C1540,menu!A:A,menu!B:B)</f>
        <v>Fish Finger</v>
      </c>
      <c r="G1540" s="10" t="str">
        <f>_xlfn.XLOOKUP(C1540,menu!A:A,menu!C:C)</f>
        <v>Starters</v>
      </c>
      <c r="H1540" s="10">
        <f>_xlfn.XLOOKUP(C1540,menu!A:A,menu!E:E)</f>
        <v>45</v>
      </c>
      <c r="I1540" s="10">
        <f t="shared" si="24"/>
        <v>45</v>
      </c>
      <c r="K1540" s="10"/>
      <c r="L1540" s="5"/>
    </row>
    <row r="1541" spans="1:12" x14ac:dyDescent="0.25">
      <c r="A1541" s="5" t="s">
        <v>5138</v>
      </c>
      <c r="B1541" s="5" t="s">
        <v>5135</v>
      </c>
      <c r="C1541" s="5" t="s">
        <v>5</v>
      </c>
      <c r="D1541" s="21">
        <v>1</v>
      </c>
      <c r="E1541" s="12">
        <v>79</v>
      </c>
      <c r="F1541" s="10" t="str">
        <f>_xlfn.XLOOKUP(C1541,menu!A:A,menu!B:B)</f>
        <v>Veg Sandwich</v>
      </c>
      <c r="G1541" s="10" t="str">
        <f>_xlfn.XLOOKUP(C1541,menu!A:A,menu!C:C)</f>
        <v>Sandwich</v>
      </c>
      <c r="H1541" s="10">
        <f>_xlfn.XLOOKUP(C1541,menu!A:A,menu!E:E)</f>
        <v>24</v>
      </c>
      <c r="I1541" s="10">
        <f t="shared" si="24"/>
        <v>24</v>
      </c>
      <c r="K1541" s="10"/>
      <c r="L1541" s="5"/>
    </row>
    <row r="1542" spans="1:12" x14ac:dyDescent="0.25">
      <c r="A1542" s="5" t="s">
        <v>5137</v>
      </c>
      <c r="B1542" s="5" t="s">
        <v>5135</v>
      </c>
      <c r="C1542" s="5" t="s">
        <v>52</v>
      </c>
      <c r="D1542" s="21">
        <v>1</v>
      </c>
      <c r="E1542" s="12">
        <v>99</v>
      </c>
      <c r="F1542" s="10" t="str">
        <f>_xlfn.XLOOKUP(C1542,menu!A:A,menu!B:B)</f>
        <v>French Fries</v>
      </c>
      <c r="G1542" s="10" t="str">
        <f>_xlfn.XLOOKUP(C1542,menu!A:A,menu!C:C)</f>
        <v>Starters</v>
      </c>
      <c r="H1542" s="10">
        <f>_xlfn.XLOOKUP(C1542,menu!A:A,menu!E:E)</f>
        <v>30</v>
      </c>
      <c r="I1542" s="10">
        <f t="shared" si="24"/>
        <v>30</v>
      </c>
      <c r="K1542" s="10"/>
      <c r="L1542" s="5"/>
    </row>
    <row r="1543" spans="1:12" x14ac:dyDescent="0.25">
      <c r="A1543" s="5" t="s">
        <v>5136</v>
      </c>
      <c r="B1543" s="5" t="s">
        <v>5135</v>
      </c>
      <c r="C1543" s="5" t="s">
        <v>33</v>
      </c>
      <c r="D1543" s="21">
        <v>5</v>
      </c>
      <c r="E1543" s="12">
        <v>345</v>
      </c>
      <c r="F1543" s="10" t="str">
        <f>_xlfn.XLOOKUP(C1543,menu!A:A,menu!B:B)</f>
        <v>Spring Roll</v>
      </c>
      <c r="G1543" s="10" t="str">
        <f>_xlfn.XLOOKUP(C1543,menu!A:A,menu!C:C)</f>
        <v>Rolls</v>
      </c>
      <c r="H1543" s="10">
        <f>_xlfn.XLOOKUP(C1543,menu!A:A,menu!E:E)</f>
        <v>21</v>
      </c>
      <c r="I1543" s="10">
        <f t="shared" si="24"/>
        <v>105</v>
      </c>
      <c r="K1543" s="10"/>
      <c r="L1543" s="5"/>
    </row>
    <row r="1544" spans="1:12" x14ac:dyDescent="0.25">
      <c r="A1544" s="5" t="s">
        <v>5134</v>
      </c>
      <c r="B1544" s="5" t="s">
        <v>5132</v>
      </c>
      <c r="C1544" s="5" t="s">
        <v>29</v>
      </c>
      <c r="D1544" s="21">
        <v>1</v>
      </c>
      <c r="E1544" s="12">
        <v>79</v>
      </c>
      <c r="F1544" s="10" t="str">
        <f>_xlfn.XLOOKUP(C1544,menu!A:A,menu!B:B)</f>
        <v>Paneer Roll</v>
      </c>
      <c r="G1544" s="10" t="str">
        <f>_xlfn.XLOOKUP(C1544,menu!A:A,menu!C:C)</f>
        <v>Rolls</v>
      </c>
      <c r="H1544" s="10">
        <f>_xlfn.XLOOKUP(C1544,menu!A:A,menu!E:E)</f>
        <v>24</v>
      </c>
      <c r="I1544" s="10">
        <f t="shared" si="24"/>
        <v>24</v>
      </c>
      <c r="K1544" s="10"/>
      <c r="L1544" s="5"/>
    </row>
    <row r="1545" spans="1:12" x14ac:dyDescent="0.25">
      <c r="A1545" s="5" t="s">
        <v>5133</v>
      </c>
      <c r="B1545" s="5" t="s">
        <v>5132</v>
      </c>
      <c r="C1545" s="5" t="s">
        <v>40</v>
      </c>
      <c r="D1545" s="21">
        <v>2</v>
      </c>
      <c r="E1545" s="12">
        <v>198</v>
      </c>
      <c r="F1545" s="10" t="str">
        <f>_xlfn.XLOOKUP(C1545,menu!A:A,menu!B:B)</f>
        <v>Veg Nuggets</v>
      </c>
      <c r="G1545" s="10" t="str">
        <f>_xlfn.XLOOKUP(C1545,menu!A:A,menu!C:C)</f>
        <v>Starters</v>
      </c>
      <c r="H1545" s="10">
        <f>_xlfn.XLOOKUP(C1545,menu!A:A,menu!E:E)</f>
        <v>30</v>
      </c>
      <c r="I1545" s="10">
        <f t="shared" si="24"/>
        <v>60</v>
      </c>
      <c r="K1545" s="10"/>
      <c r="L1545" s="5"/>
    </row>
    <row r="1546" spans="1:12" x14ac:dyDescent="0.25">
      <c r="A1546" s="5" t="s">
        <v>5131</v>
      </c>
      <c r="B1546" s="5" t="s">
        <v>5128</v>
      </c>
      <c r="C1546" s="5" t="s">
        <v>17</v>
      </c>
      <c r="D1546" s="21">
        <v>1</v>
      </c>
      <c r="E1546" s="12">
        <v>89</v>
      </c>
      <c r="F1546" s="10" t="str">
        <f>_xlfn.XLOOKUP(C1546,menu!A:A,menu!B:B)</f>
        <v>Paneer Momos</v>
      </c>
      <c r="G1546" s="10" t="str">
        <f>_xlfn.XLOOKUP(C1546,menu!A:A,menu!C:C)</f>
        <v>Momos</v>
      </c>
      <c r="H1546" s="10">
        <f>_xlfn.XLOOKUP(C1546,menu!A:A,menu!E:E)</f>
        <v>27</v>
      </c>
      <c r="I1546" s="10">
        <f t="shared" si="24"/>
        <v>27</v>
      </c>
      <c r="K1546" s="10"/>
      <c r="L1546" s="5"/>
    </row>
    <row r="1547" spans="1:12" x14ac:dyDescent="0.25">
      <c r="A1547" s="5" t="s">
        <v>5130</v>
      </c>
      <c r="B1547" s="5" t="s">
        <v>5128</v>
      </c>
      <c r="C1547" s="5" t="s">
        <v>44</v>
      </c>
      <c r="D1547" s="21">
        <v>1</v>
      </c>
      <c r="E1547" s="12">
        <v>159</v>
      </c>
      <c r="F1547" s="10" t="str">
        <f>_xlfn.XLOOKUP(C1547,menu!A:A,menu!B:B)</f>
        <v>Fried Chicken</v>
      </c>
      <c r="G1547" s="10" t="str">
        <f>_xlfn.XLOOKUP(C1547,menu!A:A,menu!C:C)</f>
        <v>Starters</v>
      </c>
      <c r="H1547" s="10">
        <f>_xlfn.XLOOKUP(C1547,menu!A:A,menu!E:E)</f>
        <v>48</v>
      </c>
      <c r="I1547" s="10">
        <f t="shared" si="24"/>
        <v>48</v>
      </c>
      <c r="K1547" s="10"/>
      <c r="L1547" s="5"/>
    </row>
    <row r="1548" spans="1:12" x14ac:dyDescent="0.25">
      <c r="A1548" s="5" t="s">
        <v>5129</v>
      </c>
      <c r="B1548" s="5" t="s">
        <v>5128</v>
      </c>
      <c r="C1548" s="5" t="s">
        <v>42</v>
      </c>
      <c r="D1548" s="21">
        <v>1</v>
      </c>
      <c r="E1548" s="12">
        <v>149</v>
      </c>
      <c r="F1548" s="10" t="str">
        <f>_xlfn.XLOOKUP(C1548,menu!A:A,menu!B:B)</f>
        <v>Chicken Popcorn</v>
      </c>
      <c r="G1548" s="10" t="str">
        <f>_xlfn.XLOOKUP(C1548,menu!A:A,menu!C:C)</f>
        <v>Starters</v>
      </c>
      <c r="H1548" s="10">
        <f>_xlfn.XLOOKUP(C1548,menu!A:A,menu!E:E)</f>
        <v>45</v>
      </c>
      <c r="I1548" s="10">
        <f t="shared" si="24"/>
        <v>45</v>
      </c>
      <c r="K1548" s="10"/>
      <c r="L1548" s="5"/>
    </row>
    <row r="1549" spans="1:12" x14ac:dyDescent="0.25">
      <c r="A1549" s="5" t="s">
        <v>5127</v>
      </c>
      <c r="B1549" s="5" t="s">
        <v>5124</v>
      </c>
      <c r="C1549" s="5" t="s">
        <v>50</v>
      </c>
      <c r="D1549" s="21">
        <v>5</v>
      </c>
      <c r="E1549" s="12">
        <v>745</v>
      </c>
      <c r="F1549" s="10" t="str">
        <f>_xlfn.XLOOKUP(C1549,menu!A:A,menu!B:B)</f>
        <v>Grab Lollipop</v>
      </c>
      <c r="G1549" s="10" t="str">
        <f>_xlfn.XLOOKUP(C1549,menu!A:A,menu!C:C)</f>
        <v>Starters</v>
      </c>
      <c r="H1549" s="10">
        <f>_xlfn.XLOOKUP(C1549,menu!A:A,menu!E:E)</f>
        <v>45</v>
      </c>
      <c r="I1549" s="10">
        <f t="shared" si="24"/>
        <v>225</v>
      </c>
      <c r="K1549" s="10"/>
      <c r="L1549" s="5"/>
    </row>
    <row r="1550" spans="1:12" x14ac:dyDescent="0.25">
      <c r="A1550" s="5" t="s">
        <v>5126</v>
      </c>
      <c r="B1550" s="5" t="s">
        <v>5124</v>
      </c>
      <c r="C1550" s="5" t="s">
        <v>35</v>
      </c>
      <c r="D1550" s="21">
        <v>1</v>
      </c>
      <c r="E1550" s="12">
        <v>119</v>
      </c>
      <c r="F1550" s="10" t="str">
        <f>_xlfn.XLOOKUP(C1550,menu!A:A,menu!B:B)</f>
        <v>Chicken Nuggets</v>
      </c>
      <c r="G1550" s="10" t="str">
        <f>_xlfn.XLOOKUP(C1550,menu!A:A,menu!C:C)</f>
        <v>Starters</v>
      </c>
      <c r="H1550" s="10">
        <f>_xlfn.XLOOKUP(C1550,menu!A:A,menu!E:E)</f>
        <v>36</v>
      </c>
      <c r="I1550" s="10">
        <f t="shared" si="24"/>
        <v>36</v>
      </c>
      <c r="K1550" s="10"/>
      <c r="L1550" s="5"/>
    </row>
    <row r="1551" spans="1:12" x14ac:dyDescent="0.25">
      <c r="A1551" s="5" t="s">
        <v>5125</v>
      </c>
      <c r="B1551" s="5" t="s">
        <v>5124</v>
      </c>
      <c r="C1551" s="5" t="s">
        <v>15</v>
      </c>
      <c r="D1551" s="21">
        <v>3</v>
      </c>
      <c r="E1551" s="12">
        <v>297</v>
      </c>
      <c r="F1551" s="10" t="str">
        <f>_xlfn.XLOOKUP(C1551,menu!A:A,menu!B:B)</f>
        <v>Chicken Momos</v>
      </c>
      <c r="G1551" s="10" t="str">
        <f>_xlfn.XLOOKUP(C1551,menu!A:A,menu!C:C)</f>
        <v>Momos</v>
      </c>
      <c r="H1551" s="10">
        <f>_xlfn.XLOOKUP(C1551,menu!A:A,menu!E:E)</f>
        <v>30</v>
      </c>
      <c r="I1551" s="10">
        <f t="shared" si="24"/>
        <v>90</v>
      </c>
      <c r="K1551" s="10"/>
      <c r="L1551" s="5"/>
    </row>
    <row r="1552" spans="1:12" x14ac:dyDescent="0.25">
      <c r="A1552" s="5" t="s">
        <v>5123</v>
      </c>
      <c r="B1552" s="5" t="s">
        <v>5120</v>
      </c>
      <c r="C1552" s="5" t="s">
        <v>12</v>
      </c>
      <c r="D1552" s="21">
        <v>2</v>
      </c>
      <c r="E1552" s="12">
        <v>158</v>
      </c>
      <c r="F1552" s="10" t="str">
        <f>_xlfn.XLOOKUP(C1552,menu!A:A,menu!B:B)</f>
        <v>Veg Momos</v>
      </c>
      <c r="G1552" s="10" t="str">
        <f>_xlfn.XLOOKUP(C1552,menu!A:A,menu!C:C)</f>
        <v>Momos</v>
      </c>
      <c r="H1552" s="10">
        <f>_xlfn.XLOOKUP(C1552,menu!A:A,menu!E:E)</f>
        <v>24</v>
      </c>
      <c r="I1552" s="10">
        <f t="shared" si="24"/>
        <v>48</v>
      </c>
      <c r="K1552" s="10"/>
      <c r="L1552" s="5"/>
    </row>
    <row r="1553" spans="1:12" x14ac:dyDescent="0.25">
      <c r="A1553" s="5" t="s">
        <v>5122</v>
      </c>
      <c r="B1553" s="5" t="s">
        <v>5120</v>
      </c>
      <c r="C1553" s="5" t="s">
        <v>26</v>
      </c>
      <c r="D1553" s="21">
        <v>1</v>
      </c>
      <c r="E1553" s="12">
        <v>59</v>
      </c>
      <c r="F1553" s="10" t="str">
        <f>_xlfn.XLOOKUP(C1553,menu!A:A,menu!B:B)</f>
        <v>Veg Roll</v>
      </c>
      <c r="G1553" s="10" t="str">
        <f>_xlfn.XLOOKUP(C1553,menu!A:A,menu!C:C)</f>
        <v>Rolls</v>
      </c>
      <c r="H1553" s="10">
        <f>_xlfn.XLOOKUP(C1553,menu!A:A,menu!E:E)</f>
        <v>18</v>
      </c>
      <c r="I1553" s="10">
        <f t="shared" si="24"/>
        <v>18</v>
      </c>
      <c r="K1553" s="10"/>
      <c r="L1553" s="5"/>
    </row>
    <row r="1554" spans="1:12" x14ac:dyDescent="0.25">
      <c r="A1554" s="5" t="s">
        <v>5121</v>
      </c>
      <c r="B1554" s="5" t="s">
        <v>5120</v>
      </c>
      <c r="C1554" s="5" t="s">
        <v>38</v>
      </c>
      <c r="D1554" s="21">
        <v>1</v>
      </c>
      <c r="E1554" s="12">
        <v>149</v>
      </c>
      <c r="F1554" s="10" t="str">
        <f>_xlfn.XLOOKUP(C1554,menu!A:A,menu!B:B)</f>
        <v>Chicken Wings</v>
      </c>
      <c r="G1554" s="10" t="str">
        <f>_xlfn.XLOOKUP(C1554,menu!A:A,menu!C:C)</f>
        <v>Starters</v>
      </c>
      <c r="H1554" s="10">
        <f>_xlfn.XLOOKUP(C1554,menu!A:A,menu!E:E)</f>
        <v>45</v>
      </c>
      <c r="I1554" s="10">
        <f t="shared" si="24"/>
        <v>45</v>
      </c>
      <c r="K1554" s="10"/>
      <c r="L1554" s="5"/>
    </row>
    <row r="1555" spans="1:12" x14ac:dyDescent="0.25">
      <c r="A1555" s="5" t="s">
        <v>5119</v>
      </c>
      <c r="B1555" s="5" t="s">
        <v>5116</v>
      </c>
      <c r="C1555" s="5" t="s">
        <v>40</v>
      </c>
      <c r="D1555" s="21">
        <v>2</v>
      </c>
      <c r="E1555" s="12">
        <v>198</v>
      </c>
      <c r="F1555" s="10" t="str">
        <f>_xlfn.XLOOKUP(C1555,menu!A:A,menu!B:B)</f>
        <v>Veg Nuggets</v>
      </c>
      <c r="G1555" s="10" t="str">
        <f>_xlfn.XLOOKUP(C1555,menu!A:A,menu!C:C)</f>
        <v>Starters</v>
      </c>
      <c r="H1555" s="10">
        <f>_xlfn.XLOOKUP(C1555,menu!A:A,menu!E:E)</f>
        <v>30</v>
      </c>
      <c r="I1555" s="10">
        <f t="shared" si="24"/>
        <v>60</v>
      </c>
      <c r="K1555" s="10"/>
      <c r="L1555" s="5"/>
    </row>
    <row r="1556" spans="1:12" x14ac:dyDescent="0.25">
      <c r="A1556" s="5" t="s">
        <v>5118</v>
      </c>
      <c r="B1556" s="5" t="s">
        <v>5116</v>
      </c>
      <c r="C1556" s="5" t="s">
        <v>54</v>
      </c>
      <c r="D1556" s="21">
        <v>3</v>
      </c>
      <c r="E1556" s="12">
        <v>417</v>
      </c>
      <c r="F1556" s="10" t="str">
        <f>_xlfn.XLOOKUP(C1556,menu!A:A,menu!B:B)</f>
        <v>Chicken Strips</v>
      </c>
      <c r="G1556" s="10" t="str">
        <f>_xlfn.XLOOKUP(C1556,menu!A:A,menu!C:C)</f>
        <v>Starters</v>
      </c>
      <c r="H1556" s="10">
        <f>_xlfn.XLOOKUP(C1556,menu!A:A,menu!E:E)</f>
        <v>42</v>
      </c>
      <c r="I1556" s="10">
        <f t="shared" si="24"/>
        <v>126</v>
      </c>
      <c r="K1556" s="10"/>
      <c r="L1556" s="5"/>
    </row>
    <row r="1557" spans="1:12" x14ac:dyDescent="0.25">
      <c r="A1557" s="5" t="s">
        <v>5117</v>
      </c>
      <c r="B1557" s="5" t="s">
        <v>5116</v>
      </c>
      <c r="C1557" s="5" t="s">
        <v>48</v>
      </c>
      <c r="D1557" s="21">
        <v>2</v>
      </c>
      <c r="E1557" s="12">
        <v>318</v>
      </c>
      <c r="F1557" s="10" t="str">
        <f>_xlfn.XLOOKUP(C1557,menu!A:A,menu!B:B)</f>
        <v>Chicken Lollipop</v>
      </c>
      <c r="G1557" s="10" t="str">
        <f>_xlfn.XLOOKUP(C1557,menu!A:A,menu!C:C)</f>
        <v>Starters</v>
      </c>
      <c r="H1557" s="10">
        <f>_xlfn.XLOOKUP(C1557,menu!A:A,menu!E:E)</f>
        <v>48</v>
      </c>
      <c r="I1557" s="10">
        <f t="shared" si="24"/>
        <v>96</v>
      </c>
      <c r="K1557" s="10"/>
      <c r="L1557" s="5"/>
    </row>
    <row r="1558" spans="1:12" x14ac:dyDescent="0.25">
      <c r="A1558" s="5" t="s">
        <v>5115</v>
      </c>
      <c r="B1558" s="5" t="s">
        <v>5113</v>
      </c>
      <c r="C1558" s="5" t="s">
        <v>40</v>
      </c>
      <c r="D1558" s="21">
        <v>4</v>
      </c>
      <c r="E1558" s="12">
        <v>396</v>
      </c>
      <c r="F1558" s="10" t="str">
        <f>_xlfn.XLOOKUP(C1558,menu!A:A,menu!B:B)</f>
        <v>Veg Nuggets</v>
      </c>
      <c r="G1558" s="10" t="str">
        <f>_xlfn.XLOOKUP(C1558,menu!A:A,menu!C:C)</f>
        <v>Starters</v>
      </c>
      <c r="H1558" s="10">
        <f>_xlfn.XLOOKUP(C1558,menu!A:A,menu!E:E)</f>
        <v>30</v>
      </c>
      <c r="I1558" s="10">
        <f t="shared" si="24"/>
        <v>120</v>
      </c>
      <c r="K1558" s="10"/>
      <c r="L1558" s="5"/>
    </row>
    <row r="1559" spans="1:12" x14ac:dyDescent="0.25">
      <c r="A1559" s="5" t="s">
        <v>5114</v>
      </c>
      <c r="B1559" s="5" t="s">
        <v>5113</v>
      </c>
      <c r="C1559" s="5" t="s">
        <v>65</v>
      </c>
      <c r="D1559" s="21">
        <v>1</v>
      </c>
      <c r="E1559" s="12">
        <v>49</v>
      </c>
      <c r="F1559" s="10" t="str">
        <f>_xlfn.XLOOKUP(C1559,menu!A:A,menu!B:B)</f>
        <v>Lemon Juice</v>
      </c>
      <c r="G1559" s="10" t="str">
        <f>_xlfn.XLOOKUP(C1559,menu!A:A,menu!C:C)</f>
        <v>Beverages</v>
      </c>
      <c r="H1559" s="10">
        <f>_xlfn.XLOOKUP(C1559,menu!A:A,menu!E:E)</f>
        <v>15</v>
      </c>
      <c r="I1559" s="10">
        <f t="shared" si="24"/>
        <v>15</v>
      </c>
      <c r="K1559" s="10"/>
      <c r="L1559" s="5"/>
    </row>
    <row r="1560" spans="1:12" x14ac:dyDescent="0.25">
      <c r="A1560" s="5" t="s">
        <v>5112</v>
      </c>
      <c r="B1560" s="5" t="s">
        <v>5111</v>
      </c>
      <c r="C1560" s="5" t="s">
        <v>29</v>
      </c>
      <c r="D1560" s="21">
        <v>1</v>
      </c>
      <c r="E1560" s="12">
        <v>79</v>
      </c>
      <c r="F1560" s="10" t="str">
        <f>_xlfn.XLOOKUP(C1560,menu!A:A,menu!B:B)</f>
        <v>Paneer Roll</v>
      </c>
      <c r="G1560" s="10" t="str">
        <f>_xlfn.XLOOKUP(C1560,menu!A:A,menu!C:C)</f>
        <v>Rolls</v>
      </c>
      <c r="H1560" s="10">
        <f>_xlfn.XLOOKUP(C1560,menu!A:A,menu!E:E)</f>
        <v>24</v>
      </c>
      <c r="I1560" s="10">
        <f t="shared" si="24"/>
        <v>24</v>
      </c>
      <c r="K1560" s="10"/>
      <c r="L1560" s="5"/>
    </row>
    <row r="1561" spans="1:12" x14ac:dyDescent="0.25">
      <c r="A1561" s="5" t="s">
        <v>5110</v>
      </c>
      <c r="B1561" s="5" t="s">
        <v>5107</v>
      </c>
      <c r="C1561" s="5" t="s">
        <v>63</v>
      </c>
      <c r="D1561" s="21">
        <v>4</v>
      </c>
      <c r="E1561" s="12">
        <v>316</v>
      </c>
      <c r="F1561" s="10" t="str">
        <f>_xlfn.XLOOKUP(C1561,menu!A:A,menu!B:B)</f>
        <v>Virgin Mojito</v>
      </c>
      <c r="G1561" s="10" t="str">
        <f>_xlfn.XLOOKUP(C1561,menu!A:A,menu!C:C)</f>
        <v>Beverages</v>
      </c>
      <c r="H1561" s="10">
        <f>_xlfn.XLOOKUP(C1561,menu!A:A,menu!E:E)</f>
        <v>24</v>
      </c>
      <c r="I1561" s="10">
        <f t="shared" si="24"/>
        <v>96</v>
      </c>
      <c r="K1561" s="10"/>
      <c r="L1561" s="5"/>
    </row>
    <row r="1562" spans="1:12" x14ac:dyDescent="0.25">
      <c r="A1562" s="5" t="s">
        <v>5109</v>
      </c>
      <c r="B1562" s="5" t="s">
        <v>5107</v>
      </c>
      <c r="C1562" s="5" t="s">
        <v>54</v>
      </c>
      <c r="D1562" s="21">
        <v>5</v>
      </c>
      <c r="E1562" s="12">
        <v>695</v>
      </c>
      <c r="F1562" s="10" t="str">
        <f>_xlfn.XLOOKUP(C1562,menu!A:A,menu!B:B)</f>
        <v>Chicken Strips</v>
      </c>
      <c r="G1562" s="10" t="str">
        <f>_xlfn.XLOOKUP(C1562,menu!A:A,menu!C:C)</f>
        <v>Starters</v>
      </c>
      <c r="H1562" s="10">
        <f>_xlfn.XLOOKUP(C1562,menu!A:A,menu!E:E)</f>
        <v>42</v>
      </c>
      <c r="I1562" s="10">
        <f t="shared" si="24"/>
        <v>210</v>
      </c>
      <c r="K1562" s="10"/>
      <c r="L1562" s="5"/>
    </row>
    <row r="1563" spans="1:12" x14ac:dyDescent="0.25">
      <c r="A1563" s="5" t="s">
        <v>5108</v>
      </c>
      <c r="B1563" s="5" t="s">
        <v>5107</v>
      </c>
      <c r="C1563" s="5" t="s">
        <v>52</v>
      </c>
      <c r="D1563" s="21">
        <v>2</v>
      </c>
      <c r="E1563" s="12">
        <v>198</v>
      </c>
      <c r="F1563" s="10" t="str">
        <f>_xlfn.XLOOKUP(C1563,menu!A:A,menu!B:B)</f>
        <v>French Fries</v>
      </c>
      <c r="G1563" s="10" t="str">
        <f>_xlfn.XLOOKUP(C1563,menu!A:A,menu!C:C)</f>
        <v>Starters</v>
      </c>
      <c r="H1563" s="10">
        <f>_xlfn.XLOOKUP(C1563,menu!A:A,menu!E:E)</f>
        <v>30</v>
      </c>
      <c r="I1563" s="10">
        <f t="shared" si="24"/>
        <v>60</v>
      </c>
      <c r="K1563" s="10"/>
      <c r="L1563" s="5"/>
    </row>
    <row r="1564" spans="1:12" x14ac:dyDescent="0.25">
      <c r="A1564" s="5" t="s">
        <v>5106</v>
      </c>
      <c r="B1564" s="5" t="s">
        <v>5105</v>
      </c>
      <c r="C1564" s="5" t="s">
        <v>56</v>
      </c>
      <c r="D1564" s="21">
        <v>1</v>
      </c>
      <c r="E1564" s="12">
        <v>79</v>
      </c>
      <c r="F1564" s="10" t="str">
        <f>_xlfn.XLOOKUP(C1564,menu!A:A,menu!B:B)</f>
        <v>Mint Mojito</v>
      </c>
      <c r="G1564" s="10" t="str">
        <f>_xlfn.XLOOKUP(C1564,menu!A:A,menu!C:C)</f>
        <v>Beverages</v>
      </c>
      <c r="H1564" s="10">
        <f>_xlfn.XLOOKUP(C1564,menu!A:A,menu!E:E)</f>
        <v>24</v>
      </c>
      <c r="I1564" s="10">
        <f t="shared" si="24"/>
        <v>24</v>
      </c>
      <c r="K1564" s="10"/>
      <c r="L1564" s="5"/>
    </row>
    <row r="1565" spans="1:12" x14ac:dyDescent="0.25">
      <c r="A1565" s="5" t="s">
        <v>5104</v>
      </c>
      <c r="B1565" s="5" t="s">
        <v>5102</v>
      </c>
      <c r="C1565" s="5" t="s">
        <v>54</v>
      </c>
      <c r="D1565" s="21">
        <v>3</v>
      </c>
      <c r="E1565" s="12">
        <v>417</v>
      </c>
      <c r="F1565" s="10" t="str">
        <f>_xlfn.XLOOKUP(C1565,menu!A:A,menu!B:B)</f>
        <v>Chicken Strips</v>
      </c>
      <c r="G1565" s="10" t="str">
        <f>_xlfn.XLOOKUP(C1565,menu!A:A,menu!C:C)</f>
        <v>Starters</v>
      </c>
      <c r="H1565" s="10">
        <f>_xlfn.XLOOKUP(C1565,menu!A:A,menu!E:E)</f>
        <v>42</v>
      </c>
      <c r="I1565" s="10">
        <f t="shared" si="24"/>
        <v>126</v>
      </c>
      <c r="K1565" s="10"/>
      <c r="L1565" s="5"/>
    </row>
    <row r="1566" spans="1:12" x14ac:dyDescent="0.25">
      <c r="A1566" s="5" t="s">
        <v>5103</v>
      </c>
      <c r="B1566" s="5" t="s">
        <v>5102</v>
      </c>
      <c r="C1566" s="5" t="s">
        <v>24</v>
      </c>
      <c r="D1566" s="21">
        <v>2</v>
      </c>
      <c r="E1566" s="12">
        <v>178</v>
      </c>
      <c r="F1566" s="10" t="str">
        <f>_xlfn.XLOOKUP(C1566,menu!A:A,menu!B:B)</f>
        <v>Paneer Burger</v>
      </c>
      <c r="G1566" s="10" t="str">
        <f>_xlfn.XLOOKUP(C1566,menu!A:A,menu!C:C)</f>
        <v>Burger</v>
      </c>
      <c r="H1566" s="10">
        <f>_xlfn.XLOOKUP(C1566,menu!A:A,menu!E:E)</f>
        <v>27</v>
      </c>
      <c r="I1566" s="10">
        <f t="shared" si="24"/>
        <v>54</v>
      </c>
      <c r="K1566" s="10"/>
      <c r="L1566" s="5"/>
    </row>
    <row r="1567" spans="1:12" x14ac:dyDescent="0.25">
      <c r="A1567" s="5" t="s">
        <v>5101</v>
      </c>
      <c r="B1567" s="5" t="s">
        <v>5100</v>
      </c>
      <c r="C1567" s="5" t="s">
        <v>46</v>
      </c>
      <c r="D1567" s="21">
        <v>1</v>
      </c>
      <c r="E1567" s="12">
        <v>149</v>
      </c>
      <c r="F1567" s="10" t="str">
        <f>_xlfn.XLOOKUP(C1567,menu!A:A,menu!B:B)</f>
        <v>Fish Finger</v>
      </c>
      <c r="G1567" s="10" t="str">
        <f>_xlfn.XLOOKUP(C1567,menu!A:A,menu!C:C)</f>
        <v>Starters</v>
      </c>
      <c r="H1567" s="10">
        <f>_xlfn.XLOOKUP(C1567,menu!A:A,menu!E:E)</f>
        <v>45</v>
      </c>
      <c r="I1567" s="10">
        <f t="shared" si="24"/>
        <v>45</v>
      </c>
      <c r="K1567" s="10"/>
      <c r="L1567" s="5"/>
    </row>
    <row r="1568" spans="1:12" x14ac:dyDescent="0.25">
      <c r="A1568" s="5" t="s">
        <v>5099</v>
      </c>
      <c r="B1568" s="5" t="s">
        <v>5098</v>
      </c>
      <c r="C1568" s="5" t="s">
        <v>42</v>
      </c>
      <c r="D1568" s="21">
        <v>2</v>
      </c>
      <c r="E1568" s="12">
        <v>298</v>
      </c>
      <c r="F1568" s="10" t="str">
        <f>_xlfn.XLOOKUP(C1568,menu!A:A,menu!B:B)</f>
        <v>Chicken Popcorn</v>
      </c>
      <c r="G1568" s="10" t="str">
        <f>_xlfn.XLOOKUP(C1568,menu!A:A,menu!C:C)</f>
        <v>Starters</v>
      </c>
      <c r="H1568" s="10">
        <f>_xlfn.XLOOKUP(C1568,menu!A:A,menu!E:E)</f>
        <v>45</v>
      </c>
      <c r="I1568" s="10">
        <f t="shared" si="24"/>
        <v>90</v>
      </c>
      <c r="K1568" s="10"/>
      <c r="L1568" s="5"/>
    </row>
    <row r="1569" spans="1:12" x14ac:dyDescent="0.25">
      <c r="A1569" s="5" t="s">
        <v>5097</v>
      </c>
      <c r="B1569" s="5" t="s">
        <v>5095</v>
      </c>
      <c r="C1569" s="5" t="s">
        <v>10</v>
      </c>
      <c r="D1569" s="21">
        <v>4</v>
      </c>
      <c r="E1569" s="12">
        <v>476</v>
      </c>
      <c r="F1569" s="10" t="str">
        <f>_xlfn.XLOOKUP(C1569,menu!A:A,menu!B:B)</f>
        <v>Chicken Sandwich</v>
      </c>
      <c r="G1569" s="10" t="str">
        <f>_xlfn.XLOOKUP(C1569,menu!A:A,menu!C:C)</f>
        <v>Sandwich</v>
      </c>
      <c r="H1569" s="10">
        <f>_xlfn.XLOOKUP(C1569,menu!A:A,menu!E:E)</f>
        <v>36</v>
      </c>
      <c r="I1569" s="10">
        <f t="shared" si="24"/>
        <v>144</v>
      </c>
      <c r="K1569" s="10"/>
      <c r="L1569" s="5"/>
    </row>
    <row r="1570" spans="1:12" x14ac:dyDescent="0.25">
      <c r="A1570" s="5" t="s">
        <v>5096</v>
      </c>
      <c r="B1570" s="5" t="s">
        <v>5095</v>
      </c>
      <c r="C1570" s="5" t="s">
        <v>54</v>
      </c>
      <c r="D1570" s="21">
        <v>1</v>
      </c>
      <c r="E1570" s="12">
        <v>139</v>
      </c>
      <c r="F1570" s="10" t="str">
        <f>_xlfn.XLOOKUP(C1570,menu!A:A,menu!B:B)</f>
        <v>Chicken Strips</v>
      </c>
      <c r="G1570" s="10" t="str">
        <f>_xlfn.XLOOKUP(C1570,menu!A:A,menu!C:C)</f>
        <v>Starters</v>
      </c>
      <c r="H1570" s="10">
        <f>_xlfn.XLOOKUP(C1570,menu!A:A,menu!E:E)</f>
        <v>42</v>
      </c>
      <c r="I1570" s="10">
        <f t="shared" si="24"/>
        <v>42</v>
      </c>
      <c r="K1570" s="10"/>
      <c r="L1570" s="5"/>
    </row>
    <row r="1571" spans="1:12" x14ac:dyDescent="0.25">
      <c r="A1571" s="5" t="s">
        <v>5094</v>
      </c>
      <c r="B1571" s="5" t="s">
        <v>5092</v>
      </c>
      <c r="C1571" s="5" t="s">
        <v>10</v>
      </c>
      <c r="D1571" s="21">
        <v>2</v>
      </c>
      <c r="E1571" s="12">
        <v>238</v>
      </c>
      <c r="F1571" s="10" t="str">
        <f>_xlfn.XLOOKUP(C1571,menu!A:A,menu!B:B)</f>
        <v>Chicken Sandwich</v>
      </c>
      <c r="G1571" s="10" t="str">
        <f>_xlfn.XLOOKUP(C1571,menu!A:A,menu!C:C)</f>
        <v>Sandwich</v>
      </c>
      <c r="H1571" s="10">
        <f>_xlfn.XLOOKUP(C1571,menu!A:A,menu!E:E)</f>
        <v>36</v>
      </c>
      <c r="I1571" s="10">
        <f t="shared" si="24"/>
        <v>72</v>
      </c>
      <c r="K1571" s="10"/>
      <c r="L1571" s="5"/>
    </row>
    <row r="1572" spans="1:12" x14ac:dyDescent="0.25">
      <c r="A1572" s="5" t="s">
        <v>5093</v>
      </c>
      <c r="B1572" s="5" t="s">
        <v>5092</v>
      </c>
      <c r="C1572" s="5" t="s">
        <v>31</v>
      </c>
      <c r="D1572" s="21">
        <v>1</v>
      </c>
      <c r="E1572" s="12">
        <v>89</v>
      </c>
      <c r="F1572" s="10" t="str">
        <f>_xlfn.XLOOKUP(C1572,menu!A:A,menu!B:B)</f>
        <v>Chicken Roll</v>
      </c>
      <c r="G1572" s="10" t="str">
        <f>_xlfn.XLOOKUP(C1572,menu!A:A,menu!C:C)</f>
        <v>Rolls</v>
      </c>
      <c r="H1572" s="10">
        <f>_xlfn.XLOOKUP(C1572,menu!A:A,menu!E:E)</f>
        <v>27</v>
      </c>
      <c r="I1572" s="10">
        <f t="shared" si="24"/>
        <v>27</v>
      </c>
      <c r="K1572" s="10"/>
      <c r="L1572" s="5"/>
    </row>
    <row r="1573" spans="1:12" x14ac:dyDescent="0.25">
      <c r="A1573" s="5" t="s">
        <v>5091</v>
      </c>
      <c r="B1573" s="5" t="s">
        <v>5090</v>
      </c>
      <c r="C1573" s="5" t="s">
        <v>24</v>
      </c>
      <c r="D1573" s="21">
        <v>2</v>
      </c>
      <c r="E1573" s="12">
        <v>178</v>
      </c>
      <c r="F1573" s="10" t="str">
        <f>_xlfn.XLOOKUP(C1573,menu!A:A,menu!B:B)</f>
        <v>Paneer Burger</v>
      </c>
      <c r="G1573" s="10" t="str">
        <f>_xlfn.XLOOKUP(C1573,menu!A:A,menu!C:C)</f>
        <v>Burger</v>
      </c>
      <c r="H1573" s="10">
        <f>_xlfn.XLOOKUP(C1573,menu!A:A,menu!E:E)</f>
        <v>27</v>
      </c>
      <c r="I1573" s="10">
        <f t="shared" si="24"/>
        <v>54</v>
      </c>
      <c r="K1573" s="10"/>
      <c r="L1573" s="5"/>
    </row>
    <row r="1574" spans="1:12" x14ac:dyDescent="0.25">
      <c r="A1574" s="5" t="s">
        <v>5089</v>
      </c>
      <c r="B1574" s="5" t="s">
        <v>5088</v>
      </c>
      <c r="C1574" s="5" t="s">
        <v>29</v>
      </c>
      <c r="D1574" s="21">
        <v>1</v>
      </c>
      <c r="E1574" s="12">
        <v>79</v>
      </c>
      <c r="F1574" s="10" t="str">
        <f>_xlfn.XLOOKUP(C1574,menu!A:A,menu!B:B)</f>
        <v>Paneer Roll</v>
      </c>
      <c r="G1574" s="10" t="str">
        <f>_xlfn.XLOOKUP(C1574,menu!A:A,menu!C:C)</f>
        <v>Rolls</v>
      </c>
      <c r="H1574" s="10">
        <f>_xlfn.XLOOKUP(C1574,menu!A:A,menu!E:E)</f>
        <v>24</v>
      </c>
      <c r="I1574" s="10">
        <f t="shared" si="24"/>
        <v>24</v>
      </c>
      <c r="K1574" s="10"/>
      <c r="L1574" s="5"/>
    </row>
    <row r="1575" spans="1:12" x14ac:dyDescent="0.25">
      <c r="A1575" s="5" t="s">
        <v>5087</v>
      </c>
      <c r="B1575" s="5" t="s">
        <v>5084</v>
      </c>
      <c r="C1575" s="5" t="s">
        <v>19</v>
      </c>
      <c r="D1575" s="21">
        <v>3</v>
      </c>
      <c r="E1575" s="12">
        <v>237</v>
      </c>
      <c r="F1575" s="10" t="str">
        <f>_xlfn.XLOOKUP(C1575,menu!A:A,menu!B:B)</f>
        <v>Veg Burger</v>
      </c>
      <c r="G1575" s="10" t="str">
        <f>_xlfn.XLOOKUP(C1575,menu!A:A,menu!C:C)</f>
        <v>Burger</v>
      </c>
      <c r="H1575" s="10">
        <f>_xlfn.XLOOKUP(C1575,menu!A:A,menu!E:E)</f>
        <v>24</v>
      </c>
      <c r="I1575" s="10">
        <f t="shared" si="24"/>
        <v>72</v>
      </c>
      <c r="K1575" s="10"/>
      <c r="L1575" s="5"/>
    </row>
    <row r="1576" spans="1:12" x14ac:dyDescent="0.25">
      <c r="A1576" s="5" t="s">
        <v>5086</v>
      </c>
      <c r="B1576" s="5" t="s">
        <v>5084</v>
      </c>
      <c r="C1576" s="5" t="s">
        <v>29</v>
      </c>
      <c r="D1576" s="21">
        <v>3</v>
      </c>
      <c r="E1576" s="12">
        <v>237</v>
      </c>
      <c r="F1576" s="10" t="str">
        <f>_xlfn.XLOOKUP(C1576,menu!A:A,menu!B:B)</f>
        <v>Paneer Roll</v>
      </c>
      <c r="G1576" s="10" t="str">
        <f>_xlfn.XLOOKUP(C1576,menu!A:A,menu!C:C)</f>
        <v>Rolls</v>
      </c>
      <c r="H1576" s="10">
        <f>_xlfn.XLOOKUP(C1576,menu!A:A,menu!E:E)</f>
        <v>24</v>
      </c>
      <c r="I1576" s="10">
        <f t="shared" si="24"/>
        <v>72</v>
      </c>
      <c r="K1576" s="10"/>
      <c r="L1576" s="5"/>
    </row>
    <row r="1577" spans="1:12" x14ac:dyDescent="0.25">
      <c r="A1577" s="5" t="s">
        <v>5085</v>
      </c>
      <c r="B1577" s="5" t="s">
        <v>5084</v>
      </c>
      <c r="C1577" s="5" t="s">
        <v>48</v>
      </c>
      <c r="D1577" s="21">
        <v>1</v>
      </c>
      <c r="E1577" s="12">
        <v>159</v>
      </c>
      <c r="F1577" s="10" t="str">
        <f>_xlfn.XLOOKUP(C1577,menu!A:A,menu!B:B)</f>
        <v>Chicken Lollipop</v>
      </c>
      <c r="G1577" s="10" t="str">
        <f>_xlfn.XLOOKUP(C1577,menu!A:A,menu!C:C)</f>
        <v>Starters</v>
      </c>
      <c r="H1577" s="10">
        <f>_xlfn.XLOOKUP(C1577,menu!A:A,menu!E:E)</f>
        <v>48</v>
      </c>
      <c r="I1577" s="10">
        <f t="shared" si="24"/>
        <v>48</v>
      </c>
      <c r="K1577" s="10"/>
      <c r="L1577" s="5"/>
    </row>
    <row r="1578" spans="1:12" x14ac:dyDescent="0.25">
      <c r="A1578" s="5" t="s">
        <v>5083</v>
      </c>
      <c r="B1578" s="5" t="s">
        <v>5081</v>
      </c>
      <c r="C1578" s="5" t="s">
        <v>12</v>
      </c>
      <c r="D1578" s="21">
        <v>2</v>
      </c>
      <c r="E1578" s="12">
        <v>158</v>
      </c>
      <c r="F1578" s="10" t="str">
        <f>_xlfn.XLOOKUP(C1578,menu!A:A,menu!B:B)</f>
        <v>Veg Momos</v>
      </c>
      <c r="G1578" s="10" t="str">
        <f>_xlfn.XLOOKUP(C1578,menu!A:A,menu!C:C)</f>
        <v>Momos</v>
      </c>
      <c r="H1578" s="10">
        <f>_xlfn.XLOOKUP(C1578,menu!A:A,menu!E:E)</f>
        <v>24</v>
      </c>
      <c r="I1578" s="10">
        <f t="shared" si="24"/>
        <v>48</v>
      </c>
      <c r="K1578" s="10"/>
      <c r="L1578" s="5"/>
    </row>
    <row r="1579" spans="1:12" x14ac:dyDescent="0.25">
      <c r="A1579" s="5" t="s">
        <v>5082</v>
      </c>
      <c r="B1579" s="5" t="s">
        <v>5081</v>
      </c>
      <c r="C1579" s="5" t="s">
        <v>8</v>
      </c>
      <c r="D1579" s="21">
        <v>1</v>
      </c>
      <c r="E1579" s="12">
        <v>99</v>
      </c>
      <c r="F1579" s="10" t="str">
        <f>_xlfn.XLOOKUP(C1579,menu!A:A,menu!B:B)</f>
        <v>Paneer Sandwich</v>
      </c>
      <c r="G1579" s="10" t="str">
        <f>_xlfn.XLOOKUP(C1579,menu!A:A,menu!C:C)</f>
        <v>Sandwich</v>
      </c>
      <c r="H1579" s="10">
        <f>_xlfn.XLOOKUP(C1579,menu!A:A,menu!E:E)</f>
        <v>30</v>
      </c>
      <c r="I1579" s="10">
        <f t="shared" si="24"/>
        <v>30</v>
      </c>
      <c r="K1579" s="10"/>
      <c r="L1579" s="5"/>
    </row>
    <row r="1580" spans="1:12" x14ac:dyDescent="0.25">
      <c r="A1580" s="5" t="s">
        <v>5080</v>
      </c>
      <c r="B1580" s="5" t="s">
        <v>5076</v>
      </c>
      <c r="C1580" s="5" t="s">
        <v>5</v>
      </c>
      <c r="D1580" s="21">
        <v>1</v>
      </c>
      <c r="E1580" s="12">
        <v>79</v>
      </c>
      <c r="F1580" s="10" t="str">
        <f>_xlfn.XLOOKUP(C1580,menu!A:A,menu!B:B)</f>
        <v>Veg Sandwich</v>
      </c>
      <c r="G1580" s="10" t="str">
        <f>_xlfn.XLOOKUP(C1580,menu!A:A,menu!C:C)</f>
        <v>Sandwich</v>
      </c>
      <c r="H1580" s="10">
        <f>_xlfn.XLOOKUP(C1580,menu!A:A,menu!E:E)</f>
        <v>24</v>
      </c>
      <c r="I1580" s="10">
        <f t="shared" si="24"/>
        <v>24</v>
      </c>
      <c r="K1580" s="10"/>
      <c r="L1580" s="5"/>
    </row>
    <row r="1581" spans="1:12" x14ac:dyDescent="0.25">
      <c r="A1581" s="5" t="s">
        <v>5079</v>
      </c>
      <c r="B1581" s="5" t="s">
        <v>5076</v>
      </c>
      <c r="C1581" s="5" t="s">
        <v>44</v>
      </c>
      <c r="D1581" s="21">
        <v>4</v>
      </c>
      <c r="E1581" s="12">
        <v>636</v>
      </c>
      <c r="F1581" s="10" t="str">
        <f>_xlfn.XLOOKUP(C1581,menu!A:A,menu!B:B)</f>
        <v>Fried Chicken</v>
      </c>
      <c r="G1581" s="10" t="str">
        <f>_xlfn.XLOOKUP(C1581,menu!A:A,menu!C:C)</f>
        <v>Starters</v>
      </c>
      <c r="H1581" s="10">
        <f>_xlfn.XLOOKUP(C1581,menu!A:A,menu!E:E)</f>
        <v>48</v>
      </c>
      <c r="I1581" s="10">
        <f t="shared" si="24"/>
        <v>192</v>
      </c>
      <c r="K1581" s="10"/>
      <c r="L1581" s="5"/>
    </row>
    <row r="1582" spans="1:12" x14ac:dyDescent="0.25">
      <c r="A1582" s="5" t="s">
        <v>5078</v>
      </c>
      <c r="B1582" s="5" t="s">
        <v>5076</v>
      </c>
      <c r="C1582" s="5" t="s">
        <v>33</v>
      </c>
      <c r="D1582" s="21">
        <v>1</v>
      </c>
      <c r="E1582" s="12">
        <v>69</v>
      </c>
      <c r="F1582" s="10" t="str">
        <f>_xlfn.XLOOKUP(C1582,menu!A:A,menu!B:B)</f>
        <v>Spring Roll</v>
      </c>
      <c r="G1582" s="10" t="str">
        <f>_xlfn.XLOOKUP(C1582,menu!A:A,menu!C:C)</f>
        <v>Rolls</v>
      </c>
      <c r="H1582" s="10">
        <f>_xlfn.XLOOKUP(C1582,menu!A:A,menu!E:E)</f>
        <v>21</v>
      </c>
      <c r="I1582" s="10">
        <f t="shared" si="24"/>
        <v>21</v>
      </c>
      <c r="K1582" s="10"/>
      <c r="L1582" s="5"/>
    </row>
    <row r="1583" spans="1:12" x14ac:dyDescent="0.25">
      <c r="A1583" s="5" t="s">
        <v>5077</v>
      </c>
      <c r="B1583" s="5" t="s">
        <v>5076</v>
      </c>
      <c r="C1583" s="5" t="s">
        <v>26</v>
      </c>
      <c r="D1583" s="21">
        <v>2</v>
      </c>
      <c r="E1583" s="12">
        <v>118</v>
      </c>
      <c r="F1583" s="10" t="str">
        <f>_xlfn.XLOOKUP(C1583,menu!A:A,menu!B:B)</f>
        <v>Veg Roll</v>
      </c>
      <c r="G1583" s="10" t="str">
        <f>_xlfn.XLOOKUP(C1583,menu!A:A,menu!C:C)</f>
        <v>Rolls</v>
      </c>
      <c r="H1583" s="10">
        <f>_xlfn.XLOOKUP(C1583,menu!A:A,menu!E:E)</f>
        <v>18</v>
      </c>
      <c r="I1583" s="10">
        <f t="shared" si="24"/>
        <v>36</v>
      </c>
      <c r="K1583" s="10"/>
      <c r="L1583" s="5"/>
    </row>
    <row r="1584" spans="1:12" x14ac:dyDescent="0.25">
      <c r="A1584" s="5" t="s">
        <v>5075</v>
      </c>
      <c r="B1584" s="5" t="s">
        <v>5071</v>
      </c>
      <c r="C1584" s="5" t="s">
        <v>26</v>
      </c>
      <c r="D1584" s="21">
        <v>1</v>
      </c>
      <c r="E1584" s="12">
        <v>59</v>
      </c>
      <c r="F1584" s="10" t="str">
        <f>_xlfn.XLOOKUP(C1584,menu!A:A,menu!B:B)</f>
        <v>Veg Roll</v>
      </c>
      <c r="G1584" s="10" t="str">
        <f>_xlfn.XLOOKUP(C1584,menu!A:A,menu!C:C)</f>
        <v>Rolls</v>
      </c>
      <c r="H1584" s="10">
        <f>_xlfn.XLOOKUP(C1584,menu!A:A,menu!E:E)</f>
        <v>18</v>
      </c>
      <c r="I1584" s="10">
        <f t="shared" si="24"/>
        <v>18</v>
      </c>
      <c r="K1584" s="10"/>
      <c r="L1584" s="5"/>
    </row>
    <row r="1585" spans="1:12" x14ac:dyDescent="0.25">
      <c r="A1585" s="5" t="s">
        <v>5074</v>
      </c>
      <c r="B1585" s="5" t="s">
        <v>5071</v>
      </c>
      <c r="C1585" s="5" t="s">
        <v>46</v>
      </c>
      <c r="D1585" s="21">
        <v>5</v>
      </c>
      <c r="E1585" s="12">
        <v>745</v>
      </c>
      <c r="F1585" s="10" t="str">
        <f>_xlfn.XLOOKUP(C1585,menu!A:A,menu!B:B)</f>
        <v>Fish Finger</v>
      </c>
      <c r="G1585" s="10" t="str">
        <f>_xlfn.XLOOKUP(C1585,menu!A:A,menu!C:C)</f>
        <v>Starters</v>
      </c>
      <c r="H1585" s="10">
        <f>_xlfn.XLOOKUP(C1585,menu!A:A,menu!E:E)</f>
        <v>45</v>
      </c>
      <c r="I1585" s="10">
        <f t="shared" si="24"/>
        <v>225</v>
      </c>
      <c r="K1585" s="10"/>
      <c r="L1585" s="5"/>
    </row>
    <row r="1586" spans="1:12" x14ac:dyDescent="0.25">
      <c r="A1586" s="5" t="s">
        <v>5073</v>
      </c>
      <c r="B1586" s="5" t="s">
        <v>5071</v>
      </c>
      <c r="C1586" s="5" t="s">
        <v>22</v>
      </c>
      <c r="D1586" s="21">
        <v>3</v>
      </c>
      <c r="E1586" s="12">
        <v>297</v>
      </c>
      <c r="F1586" s="10" t="str">
        <f>_xlfn.XLOOKUP(C1586,menu!A:A,menu!B:B)</f>
        <v>Chicken Burger</v>
      </c>
      <c r="G1586" s="10" t="str">
        <f>_xlfn.XLOOKUP(C1586,menu!A:A,menu!C:C)</f>
        <v>Burger</v>
      </c>
      <c r="H1586" s="10">
        <f>_xlfn.XLOOKUP(C1586,menu!A:A,menu!E:E)</f>
        <v>30</v>
      </c>
      <c r="I1586" s="10">
        <f t="shared" si="24"/>
        <v>90</v>
      </c>
      <c r="K1586" s="10"/>
      <c r="L1586" s="5"/>
    </row>
    <row r="1587" spans="1:12" x14ac:dyDescent="0.25">
      <c r="A1587" s="5" t="s">
        <v>5072</v>
      </c>
      <c r="B1587" s="5" t="s">
        <v>5071</v>
      </c>
      <c r="C1587" s="5" t="s">
        <v>31</v>
      </c>
      <c r="D1587" s="21">
        <v>3</v>
      </c>
      <c r="E1587" s="12">
        <v>267</v>
      </c>
      <c r="F1587" s="10" t="str">
        <f>_xlfn.XLOOKUP(C1587,menu!A:A,menu!B:B)</f>
        <v>Chicken Roll</v>
      </c>
      <c r="G1587" s="10" t="str">
        <f>_xlfn.XLOOKUP(C1587,menu!A:A,menu!C:C)</f>
        <v>Rolls</v>
      </c>
      <c r="H1587" s="10">
        <f>_xlfn.XLOOKUP(C1587,menu!A:A,menu!E:E)</f>
        <v>27</v>
      </c>
      <c r="I1587" s="10">
        <f t="shared" si="24"/>
        <v>81</v>
      </c>
      <c r="K1587" s="10"/>
      <c r="L1587" s="5"/>
    </row>
    <row r="1588" spans="1:12" x14ac:dyDescent="0.25">
      <c r="A1588" s="5" t="s">
        <v>5070</v>
      </c>
      <c r="B1588" s="5" t="s">
        <v>5066</v>
      </c>
      <c r="C1588" s="5" t="s">
        <v>17</v>
      </c>
      <c r="D1588" s="21">
        <v>5</v>
      </c>
      <c r="E1588" s="12">
        <v>445</v>
      </c>
      <c r="F1588" s="10" t="str">
        <f>_xlfn.XLOOKUP(C1588,menu!A:A,menu!B:B)</f>
        <v>Paneer Momos</v>
      </c>
      <c r="G1588" s="10" t="str">
        <f>_xlfn.XLOOKUP(C1588,menu!A:A,menu!C:C)</f>
        <v>Momos</v>
      </c>
      <c r="H1588" s="10">
        <f>_xlfn.XLOOKUP(C1588,menu!A:A,menu!E:E)</f>
        <v>27</v>
      </c>
      <c r="I1588" s="10">
        <f t="shared" si="24"/>
        <v>135</v>
      </c>
      <c r="K1588" s="10"/>
      <c r="L1588" s="5"/>
    </row>
    <row r="1589" spans="1:12" x14ac:dyDescent="0.25">
      <c r="A1589" s="5" t="s">
        <v>5069</v>
      </c>
      <c r="B1589" s="5" t="s">
        <v>5066</v>
      </c>
      <c r="C1589" s="5" t="s">
        <v>56</v>
      </c>
      <c r="D1589" s="21">
        <v>3</v>
      </c>
      <c r="E1589" s="12">
        <v>237</v>
      </c>
      <c r="F1589" s="10" t="str">
        <f>_xlfn.XLOOKUP(C1589,menu!A:A,menu!B:B)</f>
        <v>Mint Mojito</v>
      </c>
      <c r="G1589" s="10" t="str">
        <f>_xlfn.XLOOKUP(C1589,menu!A:A,menu!C:C)</f>
        <v>Beverages</v>
      </c>
      <c r="H1589" s="10">
        <f>_xlfn.XLOOKUP(C1589,menu!A:A,menu!E:E)</f>
        <v>24</v>
      </c>
      <c r="I1589" s="10">
        <f t="shared" si="24"/>
        <v>72</v>
      </c>
      <c r="K1589" s="10"/>
      <c r="L1589" s="5"/>
    </row>
    <row r="1590" spans="1:12" x14ac:dyDescent="0.25">
      <c r="A1590" s="5" t="s">
        <v>5068</v>
      </c>
      <c r="B1590" s="5" t="s">
        <v>5066</v>
      </c>
      <c r="C1590" s="5" t="s">
        <v>63</v>
      </c>
      <c r="D1590" s="21">
        <v>1</v>
      </c>
      <c r="E1590" s="12">
        <v>79</v>
      </c>
      <c r="F1590" s="10" t="str">
        <f>_xlfn.XLOOKUP(C1590,menu!A:A,menu!B:B)</f>
        <v>Virgin Mojito</v>
      </c>
      <c r="G1590" s="10" t="str">
        <f>_xlfn.XLOOKUP(C1590,menu!A:A,menu!C:C)</f>
        <v>Beverages</v>
      </c>
      <c r="H1590" s="10">
        <f>_xlfn.XLOOKUP(C1590,menu!A:A,menu!E:E)</f>
        <v>24</v>
      </c>
      <c r="I1590" s="10">
        <f t="shared" si="24"/>
        <v>24</v>
      </c>
      <c r="K1590" s="10"/>
      <c r="L1590" s="5"/>
    </row>
    <row r="1591" spans="1:12" x14ac:dyDescent="0.25">
      <c r="A1591" s="5" t="s">
        <v>5067</v>
      </c>
      <c r="B1591" s="5" t="s">
        <v>5066</v>
      </c>
      <c r="C1591" s="5" t="s">
        <v>61</v>
      </c>
      <c r="D1591" s="21">
        <v>1</v>
      </c>
      <c r="E1591" s="12">
        <v>79</v>
      </c>
      <c r="F1591" s="10" t="str">
        <f>_xlfn.XLOOKUP(C1591,menu!A:A,menu!B:B)</f>
        <v>Watermelon Mojito</v>
      </c>
      <c r="G1591" s="10" t="str">
        <f>_xlfn.XLOOKUP(C1591,menu!A:A,menu!C:C)</f>
        <v>Beverages</v>
      </c>
      <c r="H1591" s="10">
        <f>_xlfn.XLOOKUP(C1591,menu!A:A,menu!E:E)</f>
        <v>24</v>
      </c>
      <c r="I1591" s="10">
        <f t="shared" si="24"/>
        <v>24</v>
      </c>
      <c r="K1591" s="10"/>
      <c r="L1591" s="5"/>
    </row>
    <row r="1592" spans="1:12" x14ac:dyDescent="0.25">
      <c r="A1592" s="5" t="s">
        <v>5065</v>
      </c>
      <c r="B1592" s="5" t="s">
        <v>5064</v>
      </c>
      <c r="C1592" s="5" t="s">
        <v>15</v>
      </c>
      <c r="D1592" s="21">
        <v>4</v>
      </c>
      <c r="E1592" s="12">
        <v>396</v>
      </c>
      <c r="F1592" s="10" t="str">
        <f>_xlfn.XLOOKUP(C1592,menu!A:A,menu!B:B)</f>
        <v>Chicken Momos</v>
      </c>
      <c r="G1592" s="10" t="str">
        <f>_xlfn.XLOOKUP(C1592,menu!A:A,menu!C:C)</f>
        <v>Momos</v>
      </c>
      <c r="H1592" s="10">
        <f>_xlfn.XLOOKUP(C1592,menu!A:A,menu!E:E)</f>
        <v>30</v>
      </c>
      <c r="I1592" s="10">
        <f t="shared" si="24"/>
        <v>120</v>
      </c>
      <c r="K1592" s="10"/>
      <c r="L1592" s="5"/>
    </row>
    <row r="1593" spans="1:12" x14ac:dyDescent="0.25">
      <c r="A1593" s="5" t="s">
        <v>5063</v>
      </c>
      <c r="B1593" s="5" t="s">
        <v>5059</v>
      </c>
      <c r="C1593" s="5" t="s">
        <v>29</v>
      </c>
      <c r="D1593" s="21">
        <v>2</v>
      </c>
      <c r="E1593" s="12">
        <v>158</v>
      </c>
      <c r="F1593" s="10" t="str">
        <f>_xlfn.XLOOKUP(C1593,menu!A:A,menu!B:B)</f>
        <v>Paneer Roll</v>
      </c>
      <c r="G1593" s="10" t="str">
        <f>_xlfn.XLOOKUP(C1593,menu!A:A,menu!C:C)</f>
        <v>Rolls</v>
      </c>
      <c r="H1593" s="10">
        <f>_xlfn.XLOOKUP(C1593,menu!A:A,menu!E:E)</f>
        <v>24</v>
      </c>
      <c r="I1593" s="10">
        <f t="shared" si="24"/>
        <v>48</v>
      </c>
      <c r="K1593" s="10"/>
      <c r="L1593" s="5"/>
    </row>
    <row r="1594" spans="1:12" x14ac:dyDescent="0.25">
      <c r="A1594" s="5" t="s">
        <v>5062</v>
      </c>
      <c r="B1594" s="5" t="s">
        <v>5059</v>
      </c>
      <c r="C1594" s="5" t="s">
        <v>35</v>
      </c>
      <c r="D1594" s="21">
        <v>2</v>
      </c>
      <c r="E1594" s="12">
        <v>238</v>
      </c>
      <c r="F1594" s="10" t="str">
        <f>_xlfn.XLOOKUP(C1594,menu!A:A,menu!B:B)</f>
        <v>Chicken Nuggets</v>
      </c>
      <c r="G1594" s="10" t="str">
        <f>_xlfn.XLOOKUP(C1594,menu!A:A,menu!C:C)</f>
        <v>Starters</v>
      </c>
      <c r="H1594" s="10">
        <f>_xlfn.XLOOKUP(C1594,menu!A:A,menu!E:E)</f>
        <v>36</v>
      </c>
      <c r="I1594" s="10">
        <f t="shared" si="24"/>
        <v>72</v>
      </c>
      <c r="K1594" s="10"/>
      <c r="L1594" s="5"/>
    </row>
    <row r="1595" spans="1:12" x14ac:dyDescent="0.25">
      <c r="A1595" s="5" t="s">
        <v>5061</v>
      </c>
      <c r="B1595" s="5" t="s">
        <v>5059</v>
      </c>
      <c r="C1595" s="5" t="s">
        <v>31</v>
      </c>
      <c r="D1595" s="21">
        <v>4</v>
      </c>
      <c r="E1595" s="12">
        <v>356</v>
      </c>
      <c r="F1595" s="10" t="str">
        <f>_xlfn.XLOOKUP(C1595,menu!A:A,menu!B:B)</f>
        <v>Chicken Roll</v>
      </c>
      <c r="G1595" s="10" t="str">
        <f>_xlfn.XLOOKUP(C1595,menu!A:A,menu!C:C)</f>
        <v>Rolls</v>
      </c>
      <c r="H1595" s="10">
        <f>_xlfn.XLOOKUP(C1595,menu!A:A,menu!E:E)</f>
        <v>27</v>
      </c>
      <c r="I1595" s="10">
        <f t="shared" si="24"/>
        <v>108</v>
      </c>
      <c r="K1595" s="10"/>
      <c r="L1595" s="5"/>
    </row>
    <row r="1596" spans="1:12" x14ac:dyDescent="0.25">
      <c r="A1596" s="5" t="s">
        <v>5060</v>
      </c>
      <c r="B1596" s="5" t="s">
        <v>5059</v>
      </c>
      <c r="C1596" s="5" t="s">
        <v>38</v>
      </c>
      <c r="D1596" s="21">
        <v>2</v>
      </c>
      <c r="E1596" s="12">
        <v>298</v>
      </c>
      <c r="F1596" s="10" t="str">
        <f>_xlfn.XLOOKUP(C1596,menu!A:A,menu!B:B)</f>
        <v>Chicken Wings</v>
      </c>
      <c r="G1596" s="10" t="str">
        <f>_xlfn.XLOOKUP(C1596,menu!A:A,menu!C:C)</f>
        <v>Starters</v>
      </c>
      <c r="H1596" s="10">
        <f>_xlfn.XLOOKUP(C1596,menu!A:A,menu!E:E)</f>
        <v>45</v>
      </c>
      <c r="I1596" s="10">
        <f t="shared" si="24"/>
        <v>90</v>
      </c>
      <c r="K1596" s="10"/>
      <c r="L1596" s="5"/>
    </row>
    <row r="1597" spans="1:12" x14ac:dyDescent="0.25">
      <c r="A1597" s="5" t="s">
        <v>5058</v>
      </c>
      <c r="B1597" s="5" t="s">
        <v>5055</v>
      </c>
      <c r="C1597" s="5" t="s">
        <v>56</v>
      </c>
      <c r="D1597" s="21">
        <v>1</v>
      </c>
      <c r="E1597" s="12">
        <v>79</v>
      </c>
      <c r="F1597" s="10" t="str">
        <f>_xlfn.XLOOKUP(C1597,menu!A:A,menu!B:B)</f>
        <v>Mint Mojito</v>
      </c>
      <c r="G1597" s="10" t="str">
        <f>_xlfn.XLOOKUP(C1597,menu!A:A,menu!C:C)</f>
        <v>Beverages</v>
      </c>
      <c r="H1597" s="10">
        <f>_xlfn.XLOOKUP(C1597,menu!A:A,menu!E:E)</f>
        <v>24</v>
      </c>
      <c r="I1597" s="10">
        <f t="shared" si="24"/>
        <v>24</v>
      </c>
      <c r="K1597" s="10"/>
      <c r="L1597" s="5"/>
    </row>
    <row r="1598" spans="1:12" x14ac:dyDescent="0.25">
      <c r="A1598" s="5" t="s">
        <v>5057</v>
      </c>
      <c r="B1598" s="5" t="s">
        <v>5055</v>
      </c>
      <c r="C1598" s="5" t="s">
        <v>52</v>
      </c>
      <c r="D1598" s="21">
        <v>1</v>
      </c>
      <c r="E1598" s="12">
        <v>99</v>
      </c>
      <c r="F1598" s="10" t="str">
        <f>_xlfn.XLOOKUP(C1598,menu!A:A,menu!B:B)</f>
        <v>French Fries</v>
      </c>
      <c r="G1598" s="10" t="str">
        <f>_xlfn.XLOOKUP(C1598,menu!A:A,menu!C:C)</f>
        <v>Starters</v>
      </c>
      <c r="H1598" s="10">
        <f>_xlfn.XLOOKUP(C1598,menu!A:A,menu!E:E)</f>
        <v>30</v>
      </c>
      <c r="I1598" s="10">
        <f t="shared" si="24"/>
        <v>30</v>
      </c>
      <c r="K1598" s="10"/>
      <c r="L1598" s="5"/>
    </row>
    <row r="1599" spans="1:12" x14ac:dyDescent="0.25">
      <c r="A1599" s="5" t="s">
        <v>5056</v>
      </c>
      <c r="B1599" s="5" t="s">
        <v>5055</v>
      </c>
      <c r="C1599" s="5" t="s">
        <v>48</v>
      </c>
      <c r="D1599" s="21">
        <v>1</v>
      </c>
      <c r="E1599" s="12">
        <v>159</v>
      </c>
      <c r="F1599" s="10" t="str">
        <f>_xlfn.XLOOKUP(C1599,menu!A:A,menu!B:B)</f>
        <v>Chicken Lollipop</v>
      </c>
      <c r="G1599" s="10" t="str">
        <f>_xlfn.XLOOKUP(C1599,menu!A:A,menu!C:C)</f>
        <v>Starters</v>
      </c>
      <c r="H1599" s="10">
        <f>_xlfn.XLOOKUP(C1599,menu!A:A,menu!E:E)</f>
        <v>48</v>
      </c>
      <c r="I1599" s="10">
        <f t="shared" si="24"/>
        <v>48</v>
      </c>
      <c r="K1599" s="10"/>
      <c r="L1599" s="5"/>
    </row>
    <row r="1600" spans="1:12" x14ac:dyDescent="0.25">
      <c r="A1600" s="5" t="s">
        <v>5054</v>
      </c>
      <c r="B1600" s="5" t="s">
        <v>5052</v>
      </c>
      <c r="C1600" s="5" t="s">
        <v>5</v>
      </c>
      <c r="D1600" s="21">
        <v>2</v>
      </c>
      <c r="E1600" s="12">
        <v>158</v>
      </c>
      <c r="F1600" s="10" t="str">
        <f>_xlfn.XLOOKUP(C1600,menu!A:A,menu!B:B)</f>
        <v>Veg Sandwich</v>
      </c>
      <c r="G1600" s="10" t="str">
        <f>_xlfn.XLOOKUP(C1600,menu!A:A,menu!C:C)</f>
        <v>Sandwich</v>
      </c>
      <c r="H1600" s="10">
        <f>_xlfn.XLOOKUP(C1600,menu!A:A,menu!E:E)</f>
        <v>24</v>
      </c>
      <c r="I1600" s="10">
        <f t="shared" si="24"/>
        <v>48</v>
      </c>
      <c r="K1600" s="10"/>
      <c r="L1600" s="5"/>
    </row>
    <row r="1601" spans="1:12" x14ac:dyDescent="0.25">
      <c r="A1601" s="5" t="s">
        <v>5053</v>
      </c>
      <c r="B1601" s="5" t="s">
        <v>5052</v>
      </c>
      <c r="C1601" s="5" t="s">
        <v>38</v>
      </c>
      <c r="D1601" s="21">
        <v>1</v>
      </c>
      <c r="E1601" s="12">
        <v>149</v>
      </c>
      <c r="F1601" s="10" t="str">
        <f>_xlfn.XLOOKUP(C1601,menu!A:A,menu!B:B)</f>
        <v>Chicken Wings</v>
      </c>
      <c r="G1601" s="10" t="str">
        <f>_xlfn.XLOOKUP(C1601,menu!A:A,menu!C:C)</f>
        <v>Starters</v>
      </c>
      <c r="H1601" s="10">
        <f>_xlfn.XLOOKUP(C1601,menu!A:A,menu!E:E)</f>
        <v>45</v>
      </c>
      <c r="I1601" s="10">
        <f t="shared" si="24"/>
        <v>45</v>
      </c>
      <c r="K1601" s="10"/>
      <c r="L1601" s="5"/>
    </row>
    <row r="1602" spans="1:12" x14ac:dyDescent="0.25">
      <c r="A1602" s="5" t="s">
        <v>5051</v>
      </c>
      <c r="B1602" s="5" t="s">
        <v>5049</v>
      </c>
      <c r="C1602" s="5" t="s">
        <v>31</v>
      </c>
      <c r="D1602" s="21">
        <v>3</v>
      </c>
      <c r="E1602" s="12">
        <v>267</v>
      </c>
      <c r="F1602" s="10" t="str">
        <f>_xlfn.XLOOKUP(C1602,menu!A:A,menu!B:B)</f>
        <v>Chicken Roll</v>
      </c>
      <c r="G1602" s="10" t="str">
        <f>_xlfn.XLOOKUP(C1602,menu!A:A,menu!C:C)</f>
        <v>Rolls</v>
      </c>
      <c r="H1602" s="10">
        <f>_xlfn.XLOOKUP(C1602,menu!A:A,menu!E:E)</f>
        <v>27</v>
      </c>
      <c r="I1602" s="10">
        <f t="shared" si="24"/>
        <v>81</v>
      </c>
      <c r="K1602" s="10"/>
      <c r="L1602" s="5"/>
    </row>
    <row r="1603" spans="1:12" x14ac:dyDescent="0.25">
      <c r="A1603" s="5" t="s">
        <v>5050</v>
      </c>
      <c r="B1603" s="5" t="s">
        <v>5049</v>
      </c>
      <c r="C1603" s="5" t="s">
        <v>24</v>
      </c>
      <c r="D1603" s="21">
        <v>1</v>
      </c>
      <c r="E1603" s="12">
        <v>89</v>
      </c>
      <c r="F1603" s="10" t="str">
        <f>_xlfn.XLOOKUP(C1603,menu!A:A,menu!B:B)</f>
        <v>Paneer Burger</v>
      </c>
      <c r="G1603" s="10" t="str">
        <f>_xlfn.XLOOKUP(C1603,menu!A:A,menu!C:C)</f>
        <v>Burger</v>
      </c>
      <c r="H1603" s="10">
        <f>_xlfn.XLOOKUP(C1603,menu!A:A,menu!E:E)</f>
        <v>27</v>
      </c>
      <c r="I1603" s="10">
        <f t="shared" ref="I1603:I1666" si="25">D1603*H1603</f>
        <v>27</v>
      </c>
      <c r="K1603" s="10"/>
      <c r="L1603" s="5"/>
    </row>
    <row r="1604" spans="1:12" x14ac:dyDescent="0.25">
      <c r="A1604" s="5" t="s">
        <v>5048</v>
      </c>
      <c r="B1604" s="5" t="s">
        <v>5045</v>
      </c>
      <c r="C1604" s="5" t="s">
        <v>12</v>
      </c>
      <c r="D1604" s="21">
        <v>1</v>
      </c>
      <c r="E1604" s="12">
        <v>79</v>
      </c>
      <c r="F1604" s="10" t="str">
        <f>_xlfn.XLOOKUP(C1604,menu!A:A,menu!B:B)</f>
        <v>Veg Momos</v>
      </c>
      <c r="G1604" s="10" t="str">
        <f>_xlfn.XLOOKUP(C1604,menu!A:A,menu!C:C)</f>
        <v>Momos</v>
      </c>
      <c r="H1604" s="10">
        <f>_xlfn.XLOOKUP(C1604,menu!A:A,menu!E:E)</f>
        <v>24</v>
      </c>
      <c r="I1604" s="10">
        <f t="shared" si="25"/>
        <v>24</v>
      </c>
      <c r="K1604" s="10"/>
      <c r="L1604" s="5"/>
    </row>
    <row r="1605" spans="1:12" x14ac:dyDescent="0.25">
      <c r="A1605" s="5" t="s">
        <v>5047</v>
      </c>
      <c r="B1605" s="5" t="s">
        <v>5045</v>
      </c>
      <c r="C1605" s="5" t="s">
        <v>52</v>
      </c>
      <c r="D1605" s="21">
        <v>1</v>
      </c>
      <c r="E1605" s="12">
        <v>99</v>
      </c>
      <c r="F1605" s="10" t="str">
        <f>_xlfn.XLOOKUP(C1605,menu!A:A,menu!B:B)</f>
        <v>French Fries</v>
      </c>
      <c r="G1605" s="10" t="str">
        <f>_xlfn.XLOOKUP(C1605,menu!A:A,menu!C:C)</f>
        <v>Starters</v>
      </c>
      <c r="H1605" s="10">
        <f>_xlfn.XLOOKUP(C1605,menu!A:A,menu!E:E)</f>
        <v>30</v>
      </c>
      <c r="I1605" s="10">
        <f t="shared" si="25"/>
        <v>30</v>
      </c>
      <c r="K1605" s="10"/>
      <c r="L1605" s="5"/>
    </row>
    <row r="1606" spans="1:12" x14ac:dyDescent="0.25">
      <c r="A1606" s="5" t="s">
        <v>5046</v>
      </c>
      <c r="B1606" s="5" t="s">
        <v>5045</v>
      </c>
      <c r="C1606" s="5" t="s">
        <v>54</v>
      </c>
      <c r="D1606" s="21">
        <v>2</v>
      </c>
      <c r="E1606" s="12">
        <v>278</v>
      </c>
      <c r="F1606" s="10" t="str">
        <f>_xlfn.XLOOKUP(C1606,menu!A:A,menu!B:B)</f>
        <v>Chicken Strips</v>
      </c>
      <c r="G1606" s="10" t="str">
        <f>_xlfn.XLOOKUP(C1606,menu!A:A,menu!C:C)</f>
        <v>Starters</v>
      </c>
      <c r="H1606" s="10">
        <f>_xlfn.XLOOKUP(C1606,menu!A:A,menu!E:E)</f>
        <v>42</v>
      </c>
      <c r="I1606" s="10">
        <f t="shared" si="25"/>
        <v>84</v>
      </c>
      <c r="K1606" s="10"/>
      <c r="L1606" s="5"/>
    </row>
    <row r="1607" spans="1:12" x14ac:dyDescent="0.25">
      <c r="A1607" s="5" t="s">
        <v>5044</v>
      </c>
      <c r="B1607" s="5" t="s">
        <v>5042</v>
      </c>
      <c r="C1607" s="5" t="s">
        <v>44</v>
      </c>
      <c r="D1607" s="21">
        <v>3</v>
      </c>
      <c r="E1607" s="12">
        <v>477</v>
      </c>
      <c r="F1607" s="10" t="str">
        <f>_xlfn.XLOOKUP(C1607,menu!A:A,menu!B:B)</f>
        <v>Fried Chicken</v>
      </c>
      <c r="G1607" s="10" t="str">
        <f>_xlfn.XLOOKUP(C1607,menu!A:A,menu!C:C)</f>
        <v>Starters</v>
      </c>
      <c r="H1607" s="10">
        <f>_xlfn.XLOOKUP(C1607,menu!A:A,menu!E:E)</f>
        <v>48</v>
      </c>
      <c r="I1607" s="10">
        <f t="shared" si="25"/>
        <v>144</v>
      </c>
      <c r="K1607" s="10"/>
      <c r="L1607" s="5"/>
    </row>
    <row r="1608" spans="1:12" x14ac:dyDescent="0.25">
      <c r="A1608" s="5" t="s">
        <v>5043</v>
      </c>
      <c r="B1608" s="5" t="s">
        <v>5042</v>
      </c>
      <c r="C1608" s="5" t="s">
        <v>42</v>
      </c>
      <c r="D1608" s="21">
        <v>2</v>
      </c>
      <c r="E1608" s="12">
        <v>298</v>
      </c>
      <c r="F1608" s="10" t="str">
        <f>_xlfn.XLOOKUP(C1608,menu!A:A,menu!B:B)</f>
        <v>Chicken Popcorn</v>
      </c>
      <c r="G1608" s="10" t="str">
        <f>_xlfn.XLOOKUP(C1608,menu!A:A,menu!C:C)</f>
        <v>Starters</v>
      </c>
      <c r="H1608" s="10">
        <f>_xlfn.XLOOKUP(C1608,menu!A:A,menu!E:E)</f>
        <v>45</v>
      </c>
      <c r="I1608" s="10">
        <f t="shared" si="25"/>
        <v>90</v>
      </c>
      <c r="K1608" s="10"/>
      <c r="L1608" s="5"/>
    </row>
    <row r="1609" spans="1:12" x14ac:dyDescent="0.25">
      <c r="A1609" s="5" t="s">
        <v>5041</v>
      </c>
      <c r="B1609" s="5" t="s">
        <v>5038</v>
      </c>
      <c r="C1609" s="5" t="s">
        <v>5</v>
      </c>
      <c r="D1609" s="21">
        <v>4</v>
      </c>
      <c r="E1609" s="12">
        <v>316</v>
      </c>
      <c r="F1609" s="10" t="str">
        <f>_xlfn.XLOOKUP(C1609,menu!A:A,menu!B:B)</f>
        <v>Veg Sandwich</v>
      </c>
      <c r="G1609" s="10" t="str">
        <f>_xlfn.XLOOKUP(C1609,menu!A:A,menu!C:C)</f>
        <v>Sandwich</v>
      </c>
      <c r="H1609" s="10">
        <f>_xlfn.XLOOKUP(C1609,menu!A:A,menu!E:E)</f>
        <v>24</v>
      </c>
      <c r="I1609" s="10">
        <f t="shared" si="25"/>
        <v>96</v>
      </c>
      <c r="K1609" s="10"/>
      <c r="L1609" s="5"/>
    </row>
    <row r="1610" spans="1:12" x14ac:dyDescent="0.25">
      <c r="A1610" s="5" t="s">
        <v>5040</v>
      </c>
      <c r="B1610" s="5" t="s">
        <v>5038</v>
      </c>
      <c r="C1610" s="5" t="s">
        <v>10</v>
      </c>
      <c r="D1610" s="21">
        <v>2</v>
      </c>
      <c r="E1610" s="12">
        <v>238</v>
      </c>
      <c r="F1610" s="10" t="str">
        <f>_xlfn.XLOOKUP(C1610,menu!A:A,menu!B:B)</f>
        <v>Chicken Sandwich</v>
      </c>
      <c r="G1610" s="10" t="str">
        <f>_xlfn.XLOOKUP(C1610,menu!A:A,menu!C:C)</f>
        <v>Sandwich</v>
      </c>
      <c r="H1610" s="10">
        <f>_xlfn.XLOOKUP(C1610,menu!A:A,menu!E:E)</f>
        <v>36</v>
      </c>
      <c r="I1610" s="10">
        <f t="shared" si="25"/>
        <v>72</v>
      </c>
      <c r="K1610" s="10"/>
      <c r="L1610" s="5"/>
    </row>
    <row r="1611" spans="1:12" x14ac:dyDescent="0.25">
      <c r="A1611" s="5" t="s">
        <v>5039</v>
      </c>
      <c r="B1611" s="5" t="s">
        <v>5038</v>
      </c>
      <c r="C1611" s="5" t="s">
        <v>54</v>
      </c>
      <c r="D1611" s="21">
        <v>1</v>
      </c>
      <c r="E1611" s="12">
        <v>139</v>
      </c>
      <c r="F1611" s="10" t="str">
        <f>_xlfn.XLOOKUP(C1611,menu!A:A,menu!B:B)</f>
        <v>Chicken Strips</v>
      </c>
      <c r="G1611" s="10" t="str">
        <f>_xlfn.XLOOKUP(C1611,menu!A:A,menu!C:C)</f>
        <v>Starters</v>
      </c>
      <c r="H1611" s="10">
        <f>_xlfn.XLOOKUP(C1611,menu!A:A,menu!E:E)</f>
        <v>42</v>
      </c>
      <c r="I1611" s="10">
        <f t="shared" si="25"/>
        <v>42</v>
      </c>
      <c r="K1611" s="10"/>
      <c r="L1611" s="5"/>
    </row>
    <row r="1612" spans="1:12" x14ac:dyDescent="0.25">
      <c r="A1612" s="5" t="s">
        <v>5037</v>
      </c>
      <c r="B1612" s="5" t="s">
        <v>5033</v>
      </c>
      <c r="C1612" s="5" t="s">
        <v>46</v>
      </c>
      <c r="D1612" s="21">
        <v>3</v>
      </c>
      <c r="E1612" s="12">
        <v>447</v>
      </c>
      <c r="F1612" s="10" t="str">
        <f>_xlfn.XLOOKUP(C1612,menu!A:A,menu!B:B)</f>
        <v>Fish Finger</v>
      </c>
      <c r="G1612" s="10" t="str">
        <f>_xlfn.XLOOKUP(C1612,menu!A:A,menu!C:C)</f>
        <v>Starters</v>
      </c>
      <c r="H1612" s="10">
        <f>_xlfn.XLOOKUP(C1612,menu!A:A,menu!E:E)</f>
        <v>45</v>
      </c>
      <c r="I1612" s="10">
        <f t="shared" si="25"/>
        <v>135</v>
      </c>
      <c r="K1612" s="10"/>
      <c r="L1612" s="5"/>
    </row>
    <row r="1613" spans="1:12" x14ac:dyDescent="0.25">
      <c r="A1613" s="5" t="s">
        <v>5036</v>
      </c>
      <c r="B1613" s="5" t="s">
        <v>5033</v>
      </c>
      <c r="C1613" s="5" t="s">
        <v>22</v>
      </c>
      <c r="D1613" s="21">
        <v>2</v>
      </c>
      <c r="E1613" s="12">
        <v>198</v>
      </c>
      <c r="F1613" s="10" t="str">
        <f>_xlfn.XLOOKUP(C1613,menu!A:A,menu!B:B)</f>
        <v>Chicken Burger</v>
      </c>
      <c r="G1613" s="10" t="str">
        <f>_xlfn.XLOOKUP(C1613,menu!A:A,menu!C:C)</f>
        <v>Burger</v>
      </c>
      <c r="H1613" s="10">
        <f>_xlfn.XLOOKUP(C1613,menu!A:A,menu!E:E)</f>
        <v>30</v>
      </c>
      <c r="I1613" s="10">
        <f t="shared" si="25"/>
        <v>60</v>
      </c>
      <c r="K1613" s="10"/>
      <c r="L1613" s="5"/>
    </row>
    <row r="1614" spans="1:12" x14ac:dyDescent="0.25">
      <c r="A1614" s="5" t="s">
        <v>5035</v>
      </c>
      <c r="B1614" s="5" t="s">
        <v>5033</v>
      </c>
      <c r="C1614" s="5" t="s">
        <v>26</v>
      </c>
      <c r="D1614" s="21">
        <v>1</v>
      </c>
      <c r="E1614" s="12">
        <v>59</v>
      </c>
      <c r="F1614" s="10" t="str">
        <f>_xlfn.XLOOKUP(C1614,menu!A:A,menu!B:B)</f>
        <v>Veg Roll</v>
      </c>
      <c r="G1614" s="10" t="str">
        <f>_xlfn.XLOOKUP(C1614,menu!A:A,menu!C:C)</f>
        <v>Rolls</v>
      </c>
      <c r="H1614" s="10">
        <f>_xlfn.XLOOKUP(C1614,menu!A:A,menu!E:E)</f>
        <v>18</v>
      </c>
      <c r="I1614" s="10">
        <f t="shared" si="25"/>
        <v>18</v>
      </c>
      <c r="K1614" s="10"/>
      <c r="L1614" s="5"/>
    </row>
    <row r="1615" spans="1:12" x14ac:dyDescent="0.25">
      <c r="A1615" s="5" t="s">
        <v>5034</v>
      </c>
      <c r="B1615" s="5" t="s">
        <v>5033</v>
      </c>
      <c r="C1615" s="5" t="s">
        <v>24</v>
      </c>
      <c r="D1615" s="21">
        <v>1</v>
      </c>
      <c r="E1615" s="12">
        <v>89</v>
      </c>
      <c r="F1615" s="10" t="str">
        <f>_xlfn.XLOOKUP(C1615,menu!A:A,menu!B:B)</f>
        <v>Paneer Burger</v>
      </c>
      <c r="G1615" s="10" t="str">
        <f>_xlfn.XLOOKUP(C1615,menu!A:A,menu!C:C)</f>
        <v>Burger</v>
      </c>
      <c r="H1615" s="10">
        <f>_xlfn.XLOOKUP(C1615,menu!A:A,menu!E:E)</f>
        <v>27</v>
      </c>
      <c r="I1615" s="10">
        <f t="shared" si="25"/>
        <v>27</v>
      </c>
      <c r="K1615" s="10"/>
      <c r="L1615" s="5"/>
    </row>
    <row r="1616" spans="1:12" x14ac:dyDescent="0.25">
      <c r="A1616" s="5" t="s">
        <v>5032</v>
      </c>
      <c r="B1616" s="5" t="s">
        <v>5030</v>
      </c>
      <c r="C1616" s="5" t="s">
        <v>40</v>
      </c>
      <c r="D1616" s="21">
        <v>1</v>
      </c>
      <c r="E1616" s="12">
        <v>99</v>
      </c>
      <c r="F1616" s="10" t="str">
        <f>_xlfn.XLOOKUP(C1616,menu!A:A,menu!B:B)</f>
        <v>Veg Nuggets</v>
      </c>
      <c r="G1616" s="10" t="str">
        <f>_xlfn.XLOOKUP(C1616,menu!A:A,menu!C:C)</f>
        <v>Starters</v>
      </c>
      <c r="H1616" s="10">
        <f>_xlfn.XLOOKUP(C1616,menu!A:A,menu!E:E)</f>
        <v>30</v>
      </c>
      <c r="I1616" s="10">
        <f t="shared" si="25"/>
        <v>30</v>
      </c>
      <c r="K1616" s="10"/>
      <c r="L1616" s="5"/>
    </row>
    <row r="1617" spans="1:12" x14ac:dyDescent="0.25">
      <c r="A1617" s="5" t="s">
        <v>5031</v>
      </c>
      <c r="B1617" s="5" t="s">
        <v>5030</v>
      </c>
      <c r="C1617" s="5" t="s">
        <v>12</v>
      </c>
      <c r="D1617" s="21">
        <v>2</v>
      </c>
      <c r="E1617" s="12">
        <v>158</v>
      </c>
      <c r="F1617" s="10" t="str">
        <f>_xlfn.XLOOKUP(C1617,menu!A:A,menu!B:B)</f>
        <v>Veg Momos</v>
      </c>
      <c r="G1617" s="10" t="str">
        <f>_xlfn.XLOOKUP(C1617,menu!A:A,menu!C:C)</f>
        <v>Momos</v>
      </c>
      <c r="H1617" s="10">
        <f>_xlfn.XLOOKUP(C1617,menu!A:A,menu!E:E)</f>
        <v>24</v>
      </c>
      <c r="I1617" s="10">
        <f t="shared" si="25"/>
        <v>48</v>
      </c>
      <c r="K1617" s="10"/>
      <c r="L1617" s="5"/>
    </row>
    <row r="1618" spans="1:12" x14ac:dyDescent="0.25">
      <c r="A1618" s="5" t="s">
        <v>5029</v>
      </c>
      <c r="B1618" s="5" t="s">
        <v>5027</v>
      </c>
      <c r="C1618" s="5" t="s">
        <v>10</v>
      </c>
      <c r="D1618" s="21">
        <v>1</v>
      </c>
      <c r="E1618" s="12">
        <v>119</v>
      </c>
      <c r="F1618" s="10" t="str">
        <f>_xlfn.XLOOKUP(C1618,menu!A:A,menu!B:B)</f>
        <v>Chicken Sandwich</v>
      </c>
      <c r="G1618" s="10" t="str">
        <f>_xlfn.XLOOKUP(C1618,menu!A:A,menu!C:C)</f>
        <v>Sandwich</v>
      </c>
      <c r="H1618" s="10">
        <f>_xlfn.XLOOKUP(C1618,menu!A:A,menu!E:E)</f>
        <v>36</v>
      </c>
      <c r="I1618" s="10">
        <f t="shared" si="25"/>
        <v>36</v>
      </c>
      <c r="K1618" s="10"/>
      <c r="L1618" s="5"/>
    </row>
    <row r="1619" spans="1:12" x14ac:dyDescent="0.25">
      <c r="A1619" s="5" t="s">
        <v>5028</v>
      </c>
      <c r="B1619" s="5" t="s">
        <v>5027</v>
      </c>
      <c r="C1619" s="5" t="s">
        <v>31</v>
      </c>
      <c r="D1619" s="21">
        <v>5</v>
      </c>
      <c r="E1619" s="12">
        <v>445</v>
      </c>
      <c r="F1619" s="10" t="str">
        <f>_xlfn.XLOOKUP(C1619,menu!A:A,menu!B:B)</f>
        <v>Chicken Roll</v>
      </c>
      <c r="G1619" s="10" t="str">
        <f>_xlfn.XLOOKUP(C1619,menu!A:A,menu!C:C)</f>
        <v>Rolls</v>
      </c>
      <c r="H1619" s="10">
        <f>_xlfn.XLOOKUP(C1619,menu!A:A,menu!E:E)</f>
        <v>27</v>
      </c>
      <c r="I1619" s="10">
        <f t="shared" si="25"/>
        <v>135</v>
      </c>
      <c r="K1619" s="10"/>
      <c r="L1619" s="5"/>
    </row>
    <row r="1620" spans="1:12" x14ac:dyDescent="0.25">
      <c r="A1620" s="5" t="s">
        <v>5026</v>
      </c>
      <c r="B1620" s="5" t="s">
        <v>5024</v>
      </c>
      <c r="C1620" s="5" t="s">
        <v>17</v>
      </c>
      <c r="D1620" s="21">
        <v>2</v>
      </c>
      <c r="E1620" s="12">
        <v>178</v>
      </c>
      <c r="F1620" s="10" t="str">
        <f>_xlfn.XLOOKUP(C1620,menu!A:A,menu!B:B)</f>
        <v>Paneer Momos</v>
      </c>
      <c r="G1620" s="10" t="str">
        <f>_xlfn.XLOOKUP(C1620,menu!A:A,menu!C:C)</f>
        <v>Momos</v>
      </c>
      <c r="H1620" s="10">
        <f>_xlfn.XLOOKUP(C1620,menu!A:A,menu!E:E)</f>
        <v>27</v>
      </c>
      <c r="I1620" s="10">
        <f t="shared" si="25"/>
        <v>54</v>
      </c>
      <c r="K1620" s="10"/>
      <c r="L1620" s="5"/>
    </row>
    <row r="1621" spans="1:12" x14ac:dyDescent="0.25">
      <c r="A1621" s="5" t="s">
        <v>5025</v>
      </c>
      <c r="B1621" s="5" t="s">
        <v>5024</v>
      </c>
      <c r="C1621" s="5" t="s">
        <v>50</v>
      </c>
      <c r="D1621" s="21">
        <v>3</v>
      </c>
      <c r="E1621" s="12">
        <v>447</v>
      </c>
      <c r="F1621" s="10" t="str">
        <f>_xlfn.XLOOKUP(C1621,menu!A:A,menu!B:B)</f>
        <v>Grab Lollipop</v>
      </c>
      <c r="G1621" s="10" t="str">
        <f>_xlfn.XLOOKUP(C1621,menu!A:A,menu!C:C)</f>
        <v>Starters</v>
      </c>
      <c r="H1621" s="10">
        <f>_xlfn.XLOOKUP(C1621,menu!A:A,menu!E:E)</f>
        <v>45</v>
      </c>
      <c r="I1621" s="10">
        <f t="shared" si="25"/>
        <v>135</v>
      </c>
      <c r="K1621" s="10"/>
      <c r="L1621" s="5"/>
    </row>
    <row r="1622" spans="1:12" x14ac:dyDescent="0.25">
      <c r="A1622" s="5" t="s">
        <v>5023</v>
      </c>
      <c r="B1622" s="5" t="s">
        <v>5021</v>
      </c>
      <c r="C1622" s="5" t="s">
        <v>50</v>
      </c>
      <c r="D1622" s="21">
        <v>1</v>
      </c>
      <c r="E1622" s="12">
        <v>149</v>
      </c>
      <c r="F1622" s="10" t="str">
        <f>_xlfn.XLOOKUP(C1622,menu!A:A,menu!B:B)</f>
        <v>Grab Lollipop</v>
      </c>
      <c r="G1622" s="10" t="str">
        <f>_xlfn.XLOOKUP(C1622,menu!A:A,menu!C:C)</f>
        <v>Starters</v>
      </c>
      <c r="H1622" s="10">
        <f>_xlfn.XLOOKUP(C1622,menu!A:A,menu!E:E)</f>
        <v>45</v>
      </c>
      <c r="I1622" s="10">
        <f t="shared" si="25"/>
        <v>45</v>
      </c>
      <c r="K1622" s="10"/>
      <c r="L1622" s="5"/>
    </row>
    <row r="1623" spans="1:12" x14ac:dyDescent="0.25">
      <c r="A1623" s="5" t="s">
        <v>5022</v>
      </c>
      <c r="B1623" s="5" t="s">
        <v>5021</v>
      </c>
      <c r="C1623" s="5" t="s">
        <v>35</v>
      </c>
      <c r="D1623" s="21">
        <v>3</v>
      </c>
      <c r="E1623" s="12">
        <v>357</v>
      </c>
      <c r="F1623" s="10" t="str">
        <f>_xlfn.XLOOKUP(C1623,menu!A:A,menu!B:B)</f>
        <v>Chicken Nuggets</v>
      </c>
      <c r="G1623" s="10" t="str">
        <f>_xlfn.XLOOKUP(C1623,menu!A:A,menu!C:C)</f>
        <v>Starters</v>
      </c>
      <c r="H1623" s="10">
        <f>_xlfn.XLOOKUP(C1623,menu!A:A,menu!E:E)</f>
        <v>36</v>
      </c>
      <c r="I1623" s="10">
        <f t="shared" si="25"/>
        <v>108</v>
      </c>
      <c r="K1623" s="10"/>
      <c r="L1623" s="5"/>
    </row>
    <row r="1624" spans="1:12" x14ac:dyDescent="0.25">
      <c r="A1624" s="5" t="s">
        <v>5020</v>
      </c>
      <c r="B1624" s="5" t="s">
        <v>5019</v>
      </c>
      <c r="C1624" s="5" t="s">
        <v>17</v>
      </c>
      <c r="D1624" s="21">
        <v>3</v>
      </c>
      <c r="E1624" s="12">
        <v>267</v>
      </c>
      <c r="F1624" s="10" t="str">
        <f>_xlfn.XLOOKUP(C1624,menu!A:A,menu!B:B)</f>
        <v>Paneer Momos</v>
      </c>
      <c r="G1624" s="10" t="str">
        <f>_xlfn.XLOOKUP(C1624,menu!A:A,menu!C:C)</f>
        <v>Momos</v>
      </c>
      <c r="H1624" s="10">
        <f>_xlfn.XLOOKUP(C1624,menu!A:A,menu!E:E)</f>
        <v>27</v>
      </c>
      <c r="I1624" s="10">
        <f t="shared" si="25"/>
        <v>81</v>
      </c>
      <c r="K1624" s="10"/>
      <c r="L1624" s="5"/>
    </row>
    <row r="1625" spans="1:12" x14ac:dyDescent="0.25">
      <c r="A1625" s="5" t="s">
        <v>5018</v>
      </c>
      <c r="B1625" s="5" t="s">
        <v>5016</v>
      </c>
      <c r="C1625" s="5" t="s">
        <v>44</v>
      </c>
      <c r="D1625" s="21">
        <v>2</v>
      </c>
      <c r="E1625" s="12">
        <v>318</v>
      </c>
      <c r="F1625" s="10" t="str">
        <f>_xlfn.XLOOKUP(C1625,menu!A:A,menu!B:B)</f>
        <v>Fried Chicken</v>
      </c>
      <c r="G1625" s="10" t="str">
        <f>_xlfn.XLOOKUP(C1625,menu!A:A,menu!C:C)</f>
        <v>Starters</v>
      </c>
      <c r="H1625" s="10">
        <f>_xlfn.XLOOKUP(C1625,menu!A:A,menu!E:E)</f>
        <v>48</v>
      </c>
      <c r="I1625" s="10">
        <f t="shared" si="25"/>
        <v>96</v>
      </c>
      <c r="K1625" s="10"/>
      <c r="L1625" s="5"/>
    </row>
    <row r="1626" spans="1:12" x14ac:dyDescent="0.25">
      <c r="A1626" s="5" t="s">
        <v>5017</v>
      </c>
      <c r="B1626" s="5" t="s">
        <v>5016</v>
      </c>
      <c r="C1626" s="5" t="s">
        <v>48</v>
      </c>
      <c r="D1626" s="21">
        <v>2</v>
      </c>
      <c r="E1626" s="12">
        <v>318</v>
      </c>
      <c r="F1626" s="10" t="str">
        <f>_xlfn.XLOOKUP(C1626,menu!A:A,menu!B:B)</f>
        <v>Chicken Lollipop</v>
      </c>
      <c r="G1626" s="10" t="str">
        <f>_xlfn.XLOOKUP(C1626,menu!A:A,menu!C:C)</f>
        <v>Starters</v>
      </c>
      <c r="H1626" s="10">
        <f>_xlfn.XLOOKUP(C1626,menu!A:A,menu!E:E)</f>
        <v>48</v>
      </c>
      <c r="I1626" s="10">
        <f t="shared" si="25"/>
        <v>96</v>
      </c>
      <c r="K1626" s="10"/>
      <c r="L1626" s="5"/>
    </row>
    <row r="1627" spans="1:12" x14ac:dyDescent="0.25">
      <c r="A1627" s="5" t="s">
        <v>5015</v>
      </c>
      <c r="B1627" s="5" t="s">
        <v>5013</v>
      </c>
      <c r="C1627" s="5" t="s">
        <v>52</v>
      </c>
      <c r="D1627" s="21">
        <v>3</v>
      </c>
      <c r="E1627" s="12">
        <v>297</v>
      </c>
      <c r="F1627" s="10" t="str">
        <f>_xlfn.XLOOKUP(C1627,menu!A:A,menu!B:B)</f>
        <v>French Fries</v>
      </c>
      <c r="G1627" s="10" t="str">
        <f>_xlfn.XLOOKUP(C1627,menu!A:A,menu!C:C)</f>
        <v>Starters</v>
      </c>
      <c r="H1627" s="10">
        <f>_xlfn.XLOOKUP(C1627,menu!A:A,menu!E:E)</f>
        <v>30</v>
      </c>
      <c r="I1627" s="10">
        <f t="shared" si="25"/>
        <v>90</v>
      </c>
      <c r="K1627" s="10"/>
      <c r="L1627" s="5"/>
    </row>
    <row r="1628" spans="1:12" x14ac:dyDescent="0.25">
      <c r="A1628" s="5" t="s">
        <v>5014</v>
      </c>
      <c r="B1628" s="5" t="s">
        <v>5013</v>
      </c>
      <c r="C1628" s="5" t="s">
        <v>15</v>
      </c>
      <c r="D1628" s="21">
        <v>2</v>
      </c>
      <c r="E1628" s="12">
        <v>198</v>
      </c>
      <c r="F1628" s="10" t="str">
        <f>_xlfn.XLOOKUP(C1628,menu!A:A,menu!B:B)</f>
        <v>Chicken Momos</v>
      </c>
      <c r="G1628" s="10" t="str">
        <f>_xlfn.XLOOKUP(C1628,menu!A:A,menu!C:C)</f>
        <v>Momos</v>
      </c>
      <c r="H1628" s="10">
        <f>_xlfn.XLOOKUP(C1628,menu!A:A,menu!E:E)</f>
        <v>30</v>
      </c>
      <c r="I1628" s="10">
        <f t="shared" si="25"/>
        <v>60</v>
      </c>
      <c r="K1628" s="10"/>
      <c r="L1628" s="5"/>
    </row>
    <row r="1629" spans="1:12" x14ac:dyDescent="0.25">
      <c r="A1629" s="5" t="s">
        <v>5012</v>
      </c>
      <c r="B1629" s="5" t="s">
        <v>5009</v>
      </c>
      <c r="C1629" s="5" t="s">
        <v>29</v>
      </c>
      <c r="D1629" s="21">
        <v>1</v>
      </c>
      <c r="E1629" s="12">
        <v>79</v>
      </c>
      <c r="F1629" s="10" t="str">
        <f>_xlfn.XLOOKUP(C1629,menu!A:A,menu!B:B)</f>
        <v>Paneer Roll</v>
      </c>
      <c r="G1629" s="10" t="str">
        <f>_xlfn.XLOOKUP(C1629,menu!A:A,menu!C:C)</f>
        <v>Rolls</v>
      </c>
      <c r="H1629" s="10">
        <f>_xlfn.XLOOKUP(C1629,menu!A:A,menu!E:E)</f>
        <v>24</v>
      </c>
      <c r="I1629" s="10">
        <f t="shared" si="25"/>
        <v>24</v>
      </c>
      <c r="K1629" s="10"/>
      <c r="L1629" s="5"/>
    </row>
    <row r="1630" spans="1:12" x14ac:dyDescent="0.25">
      <c r="A1630" s="5" t="s">
        <v>5011</v>
      </c>
      <c r="B1630" s="5" t="s">
        <v>5009</v>
      </c>
      <c r="C1630" s="5" t="s">
        <v>65</v>
      </c>
      <c r="D1630" s="21">
        <v>1</v>
      </c>
      <c r="E1630" s="12">
        <v>49</v>
      </c>
      <c r="F1630" s="10" t="str">
        <f>_xlfn.XLOOKUP(C1630,menu!A:A,menu!B:B)</f>
        <v>Lemon Juice</v>
      </c>
      <c r="G1630" s="10" t="str">
        <f>_xlfn.XLOOKUP(C1630,menu!A:A,menu!C:C)</f>
        <v>Beverages</v>
      </c>
      <c r="H1630" s="10">
        <f>_xlfn.XLOOKUP(C1630,menu!A:A,menu!E:E)</f>
        <v>15</v>
      </c>
      <c r="I1630" s="10">
        <f t="shared" si="25"/>
        <v>15</v>
      </c>
      <c r="K1630" s="10"/>
      <c r="L1630" s="5"/>
    </row>
    <row r="1631" spans="1:12" x14ac:dyDescent="0.25">
      <c r="A1631" s="5" t="s">
        <v>5010</v>
      </c>
      <c r="B1631" s="5" t="s">
        <v>5009</v>
      </c>
      <c r="C1631" s="5" t="s">
        <v>17</v>
      </c>
      <c r="D1631" s="21">
        <v>1</v>
      </c>
      <c r="E1631" s="12">
        <v>89</v>
      </c>
      <c r="F1631" s="10" t="str">
        <f>_xlfn.XLOOKUP(C1631,menu!A:A,menu!B:B)</f>
        <v>Paneer Momos</v>
      </c>
      <c r="G1631" s="10" t="str">
        <f>_xlfn.XLOOKUP(C1631,menu!A:A,menu!C:C)</f>
        <v>Momos</v>
      </c>
      <c r="H1631" s="10">
        <f>_xlfn.XLOOKUP(C1631,menu!A:A,menu!E:E)</f>
        <v>27</v>
      </c>
      <c r="I1631" s="10">
        <f t="shared" si="25"/>
        <v>27</v>
      </c>
      <c r="K1631" s="10"/>
      <c r="L1631" s="5"/>
    </row>
    <row r="1632" spans="1:12" x14ac:dyDescent="0.25">
      <c r="A1632" s="5" t="s">
        <v>5008</v>
      </c>
      <c r="B1632" s="5" t="s">
        <v>5005</v>
      </c>
      <c r="C1632" s="5" t="s">
        <v>50</v>
      </c>
      <c r="D1632" s="21">
        <v>1</v>
      </c>
      <c r="E1632" s="12">
        <v>149</v>
      </c>
      <c r="F1632" s="10" t="str">
        <f>_xlfn.XLOOKUP(C1632,menu!A:A,menu!B:B)</f>
        <v>Grab Lollipop</v>
      </c>
      <c r="G1632" s="10" t="str">
        <f>_xlfn.XLOOKUP(C1632,menu!A:A,menu!C:C)</f>
        <v>Starters</v>
      </c>
      <c r="H1632" s="10">
        <f>_xlfn.XLOOKUP(C1632,menu!A:A,menu!E:E)</f>
        <v>45</v>
      </c>
      <c r="I1632" s="10">
        <f t="shared" si="25"/>
        <v>45</v>
      </c>
      <c r="K1632" s="10"/>
      <c r="L1632" s="5"/>
    </row>
    <row r="1633" spans="1:12" x14ac:dyDescent="0.25">
      <c r="A1633" s="5" t="s">
        <v>5007</v>
      </c>
      <c r="B1633" s="5" t="s">
        <v>5005</v>
      </c>
      <c r="C1633" s="5" t="s">
        <v>65</v>
      </c>
      <c r="D1633" s="21">
        <v>2</v>
      </c>
      <c r="E1633" s="12">
        <v>98</v>
      </c>
      <c r="F1633" s="10" t="str">
        <f>_xlfn.XLOOKUP(C1633,menu!A:A,menu!B:B)</f>
        <v>Lemon Juice</v>
      </c>
      <c r="G1633" s="10" t="str">
        <f>_xlfn.XLOOKUP(C1633,menu!A:A,menu!C:C)</f>
        <v>Beverages</v>
      </c>
      <c r="H1633" s="10">
        <f>_xlfn.XLOOKUP(C1633,menu!A:A,menu!E:E)</f>
        <v>15</v>
      </c>
      <c r="I1633" s="10">
        <f t="shared" si="25"/>
        <v>30</v>
      </c>
      <c r="K1633" s="10"/>
      <c r="L1633" s="5"/>
    </row>
    <row r="1634" spans="1:12" x14ac:dyDescent="0.25">
      <c r="A1634" s="5" t="s">
        <v>5006</v>
      </c>
      <c r="B1634" s="5" t="s">
        <v>5005</v>
      </c>
      <c r="C1634" s="5" t="s">
        <v>24</v>
      </c>
      <c r="D1634" s="21">
        <v>1</v>
      </c>
      <c r="E1634" s="12">
        <v>89</v>
      </c>
      <c r="F1634" s="10" t="str">
        <f>_xlfn.XLOOKUP(C1634,menu!A:A,menu!B:B)</f>
        <v>Paneer Burger</v>
      </c>
      <c r="G1634" s="10" t="str">
        <f>_xlfn.XLOOKUP(C1634,menu!A:A,menu!C:C)</f>
        <v>Burger</v>
      </c>
      <c r="H1634" s="10">
        <f>_xlfn.XLOOKUP(C1634,menu!A:A,menu!E:E)</f>
        <v>27</v>
      </c>
      <c r="I1634" s="10">
        <f t="shared" si="25"/>
        <v>27</v>
      </c>
      <c r="K1634" s="10"/>
      <c r="L1634" s="5"/>
    </row>
    <row r="1635" spans="1:12" x14ac:dyDescent="0.25">
      <c r="A1635" s="5" t="s">
        <v>5004</v>
      </c>
      <c r="B1635" s="5" t="s">
        <v>5001</v>
      </c>
      <c r="C1635" s="5" t="s">
        <v>29</v>
      </c>
      <c r="D1635" s="21">
        <v>1</v>
      </c>
      <c r="E1635" s="12">
        <v>79</v>
      </c>
      <c r="F1635" s="10" t="str">
        <f>_xlfn.XLOOKUP(C1635,menu!A:A,menu!B:B)</f>
        <v>Paneer Roll</v>
      </c>
      <c r="G1635" s="10" t="str">
        <f>_xlfn.XLOOKUP(C1635,menu!A:A,menu!C:C)</f>
        <v>Rolls</v>
      </c>
      <c r="H1635" s="10">
        <f>_xlfn.XLOOKUP(C1635,menu!A:A,menu!E:E)</f>
        <v>24</v>
      </c>
      <c r="I1635" s="10">
        <f t="shared" si="25"/>
        <v>24</v>
      </c>
      <c r="K1635" s="10"/>
      <c r="L1635" s="5"/>
    </row>
    <row r="1636" spans="1:12" x14ac:dyDescent="0.25">
      <c r="A1636" s="5" t="s">
        <v>5003</v>
      </c>
      <c r="B1636" s="5" t="s">
        <v>5001</v>
      </c>
      <c r="C1636" s="5" t="s">
        <v>56</v>
      </c>
      <c r="D1636" s="21">
        <v>3</v>
      </c>
      <c r="E1636" s="12">
        <v>237</v>
      </c>
      <c r="F1636" s="10" t="str">
        <f>_xlfn.XLOOKUP(C1636,menu!A:A,menu!B:B)</f>
        <v>Mint Mojito</v>
      </c>
      <c r="G1636" s="10" t="str">
        <f>_xlfn.XLOOKUP(C1636,menu!A:A,menu!C:C)</f>
        <v>Beverages</v>
      </c>
      <c r="H1636" s="10">
        <f>_xlfn.XLOOKUP(C1636,menu!A:A,menu!E:E)</f>
        <v>24</v>
      </c>
      <c r="I1636" s="10">
        <f t="shared" si="25"/>
        <v>72</v>
      </c>
      <c r="K1636" s="10"/>
      <c r="L1636" s="5"/>
    </row>
    <row r="1637" spans="1:12" x14ac:dyDescent="0.25">
      <c r="A1637" s="5" t="s">
        <v>5002</v>
      </c>
      <c r="B1637" s="5" t="s">
        <v>5001</v>
      </c>
      <c r="C1637" s="5" t="s">
        <v>19</v>
      </c>
      <c r="D1637" s="21">
        <v>2</v>
      </c>
      <c r="E1637" s="12">
        <v>158</v>
      </c>
      <c r="F1637" s="10" t="str">
        <f>_xlfn.XLOOKUP(C1637,menu!A:A,menu!B:B)</f>
        <v>Veg Burger</v>
      </c>
      <c r="G1637" s="10" t="str">
        <f>_xlfn.XLOOKUP(C1637,menu!A:A,menu!C:C)</f>
        <v>Burger</v>
      </c>
      <c r="H1637" s="10">
        <f>_xlfn.XLOOKUP(C1637,menu!A:A,menu!E:E)</f>
        <v>24</v>
      </c>
      <c r="I1637" s="10">
        <f t="shared" si="25"/>
        <v>48</v>
      </c>
      <c r="K1637" s="10"/>
      <c r="L1637" s="5"/>
    </row>
    <row r="1638" spans="1:12" x14ac:dyDescent="0.25">
      <c r="A1638" s="5" t="s">
        <v>5000</v>
      </c>
      <c r="B1638" s="5" t="s">
        <v>4997</v>
      </c>
      <c r="C1638" s="5" t="s">
        <v>52</v>
      </c>
      <c r="D1638" s="21">
        <v>4</v>
      </c>
      <c r="E1638" s="12">
        <v>396</v>
      </c>
      <c r="F1638" s="10" t="str">
        <f>_xlfn.XLOOKUP(C1638,menu!A:A,menu!B:B)</f>
        <v>French Fries</v>
      </c>
      <c r="G1638" s="10" t="str">
        <f>_xlfn.XLOOKUP(C1638,menu!A:A,menu!C:C)</f>
        <v>Starters</v>
      </c>
      <c r="H1638" s="10">
        <f>_xlfn.XLOOKUP(C1638,menu!A:A,menu!E:E)</f>
        <v>30</v>
      </c>
      <c r="I1638" s="10">
        <f t="shared" si="25"/>
        <v>120</v>
      </c>
      <c r="K1638" s="10"/>
      <c r="L1638" s="5"/>
    </row>
    <row r="1639" spans="1:12" x14ac:dyDescent="0.25">
      <c r="A1639" s="5" t="s">
        <v>4999</v>
      </c>
      <c r="B1639" s="5" t="s">
        <v>4997</v>
      </c>
      <c r="C1639" s="5" t="s">
        <v>35</v>
      </c>
      <c r="D1639" s="21">
        <v>1</v>
      </c>
      <c r="E1639" s="12">
        <v>119</v>
      </c>
      <c r="F1639" s="10" t="str">
        <f>_xlfn.XLOOKUP(C1639,menu!A:A,menu!B:B)</f>
        <v>Chicken Nuggets</v>
      </c>
      <c r="G1639" s="10" t="str">
        <f>_xlfn.XLOOKUP(C1639,menu!A:A,menu!C:C)</f>
        <v>Starters</v>
      </c>
      <c r="H1639" s="10">
        <f>_xlfn.XLOOKUP(C1639,menu!A:A,menu!E:E)</f>
        <v>36</v>
      </c>
      <c r="I1639" s="10">
        <f t="shared" si="25"/>
        <v>36</v>
      </c>
      <c r="K1639" s="10"/>
      <c r="L1639" s="5"/>
    </row>
    <row r="1640" spans="1:12" x14ac:dyDescent="0.25">
      <c r="A1640" s="5" t="s">
        <v>4998</v>
      </c>
      <c r="B1640" s="5" t="s">
        <v>4997</v>
      </c>
      <c r="C1640" s="5" t="s">
        <v>38</v>
      </c>
      <c r="D1640" s="21">
        <v>1</v>
      </c>
      <c r="E1640" s="12">
        <v>149</v>
      </c>
      <c r="F1640" s="10" t="str">
        <f>_xlfn.XLOOKUP(C1640,menu!A:A,menu!B:B)</f>
        <v>Chicken Wings</v>
      </c>
      <c r="G1640" s="10" t="str">
        <f>_xlfn.XLOOKUP(C1640,menu!A:A,menu!C:C)</f>
        <v>Starters</v>
      </c>
      <c r="H1640" s="10">
        <f>_xlfn.XLOOKUP(C1640,menu!A:A,menu!E:E)</f>
        <v>45</v>
      </c>
      <c r="I1640" s="10">
        <f t="shared" si="25"/>
        <v>45</v>
      </c>
      <c r="K1640" s="10"/>
      <c r="L1640" s="5"/>
    </row>
    <row r="1641" spans="1:12" x14ac:dyDescent="0.25">
      <c r="A1641" s="5" t="s">
        <v>4996</v>
      </c>
      <c r="B1641" s="5" t="s">
        <v>4995</v>
      </c>
      <c r="C1641" s="5" t="s">
        <v>44</v>
      </c>
      <c r="D1641" s="21">
        <v>1</v>
      </c>
      <c r="E1641" s="12">
        <v>159</v>
      </c>
      <c r="F1641" s="10" t="str">
        <f>_xlfn.XLOOKUP(C1641,menu!A:A,menu!B:B)</f>
        <v>Fried Chicken</v>
      </c>
      <c r="G1641" s="10" t="str">
        <f>_xlfn.XLOOKUP(C1641,menu!A:A,menu!C:C)</f>
        <v>Starters</v>
      </c>
      <c r="H1641" s="10">
        <f>_xlfn.XLOOKUP(C1641,menu!A:A,menu!E:E)</f>
        <v>48</v>
      </c>
      <c r="I1641" s="10">
        <f t="shared" si="25"/>
        <v>48</v>
      </c>
      <c r="K1641" s="10"/>
      <c r="L1641" s="5"/>
    </row>
    <row r="1642" spans="1:12" x14ac:dyDescent="0.25">
      <c r="A1642" s="5" t="s">
        <v>4994</v>
      </c>
      <c r="B1642" s="5" t="s">
        <v>4991</v>
      </c>
      <c r="C1642" s="5" t="s">
        <v>12</v>
      </c>
      <c r="D1642" s="21">
        <v>3</v>
      </c>
      <c r="E1642" s="12">
        <v>237</v>
      </c>
      <c r="F1642" s="10" t="str">
        <f>_xlfn.XLOOKUP(C1642,menu!A:A,menu!B:B)</f>
        <v>Veg Momos</v>
      </c>
      <c r="G1642" s="10" t="str">
        <f>_xlfn.XLOOKUP(C1642,menu!A:A,menu!C:C)</f>
        <v>Momos</v>
      </c>
      <c r="H1642" s="10">
        <f>_xlfn.XLOOKUP(C1642,menu!A:A,menu!E:E)</f>
        <v>24</v>
      </c>
      <c r="I1642" s="10">
        <f t="shared" si="25"/>
        <v>72</v>
      </c>
      <c r="K1642" s="10"/>
      <c r="L1642" s="5"/>
    </row>
    <row r="1643" spans="1:12" x14ac:dyDescent="0.25">
      <c r="A1643" s="5" t="s">
        <v>4993</v>
      </c>
      <c r="B1643" s="5" t="s">
        <v>4991</v>
      </c>
      <c r="C1643" s="5" t="s">
        <v>35</v>
      </c>
      <c r="D1643" s="21">
        <v>4</v>
      </c>
      <c r="E1643" s="12">
        <v>476</v>
      </c>
      <c r="F1643" s="10" t="str">
        <f>_xlfn.XLOOKUP(C1643,menu!A:A,menu!B:B)</f>
        <v>Chicken Nuggets</v>
      </c>
      <c r="G1643" s="10" t="str">
        <f>_xlfn.XLOOKUP(C1643,menu!A:A,menu!C:C)</f>
        <v>Starters</v>
      </c>
      <c r="H1643" s="10">
        <f>_xlfn.XLOOKUP(C1643,menu!A:A,menu!E:E)</f>
        <v>36</v>
      </c>
      <c r="I1643" s="10">
        <f t="shared" si="25"/>
        <v>144</v>
      </c>
      <c r="K1643" s="10"/>
      <c r="L1643" s="5"/>
    </row>
    <row r="1644" spans="1:12" x14ac:dyDescent="0.25">
      <c r="A1644" s="5" t="s">
        <v>4992</v>
      </c>
      <c r="B1644" s="5" t="s">
        <v>4991</v>
      </c>
      <c r="C1644" s="5" t="s">
        <v>29</v>
      </c>
      <c r="D1644" s="21">
        <v>2</v>
      </c>
      <c r="E1644" s="12">
        <v>158</v>
      </c>
      <c r="F1644" s="10" t="str">
        <f>_xlfn.XLOOKUP(C1644,menu!A:A,menu!B:B)</f>
        <v>Paneer Roll</v>
      </c>
      <c r="G1644" s="10" t="str">
        <f>_xlfn.XLOOKUP(C1644,menu!A:A,menu!C:C)</f>
        <v>Rolls</v>
      </c>
      <c r="H1644" s="10">
        <f>_xlfn.XLOOKUP(C1644,menu!A:A,menu!E:E)</f>
        <v>24</v>
      </c>
      <c r="I1644" s="10">
        <f t="shared" si="25"/>
        <v>48</v>
      </c>
      <c r="K1644" s="10"/>
      <c r="L1644" s="5"/>
    </row>
    <row r="1645" spans="1:12" x14ac:dyDescent="0.25">
      <c r="A1645" s="5" t="s">
        <v>4990</v>
      </c>
      <c r="B1645" s="5" t="s">
        <v>4988</v>
      </c>
      <c r="C1645" s="5" t="s">
        <v>17</v>
      </c>
      <c r="D1645" s="21">
        <v>1</v>
      </c>
      <c r="E1645" s="12">
        <v>89</v>
      </c>
      <c r="F1645" s="10" t="str">
        <f>_xlfn.XLOOKUP(C1645,menu!A:A,menu!B:B)</f>
        <v>Paneer Momos</v>
      </c>
      <c r="G1645" s="10" t="str">
        <f>_xlfn.XLOOKUP(C1645,menu!A:A,menu!C:C)</f>
        <v>Momos</v>
      </c>
      <c r="H1645" s="10">
        <f>_xlfn.XLOOKUP(C1645,menu!A:A,menu!E:E)</f>
        <v>27</v>
      </c>
      <c r="I1645" s="10">
        <f t="shared" si="25"/>
        <v>27</v>
      </c>
      <c r="K1645" s="10"/>
      <c r="L1645" s="5"/>
    </row>
    <row r="1646" spans="1:12" x14ac:dyDescent="0.25">
      <c r="A1646" s="5" t="s">
        <v>4989</v>
      </c>
      <c r="B1646" s="5" t="s">
        <v>4988</v>
      </c>
      <c r="C1646" s="5" t="s">
        <v>48</v>
      </c>
      <c r="D1646" s="21">
        <v>1</v>
      </c>
      <c r="E1646" s="12">
        <v>159</v>
      </c>
      <c r="F1646" s="10" t="str">
        <f>_xlfn.XLOOKUP(C1646,menu!A:A,menu!B:B)</f>
        <v>Chicken Lollipop</v>
      </c>
      <c r="G1646" s="10" t="str">
        <f>_xlfn.XLOOKUP(C1646,menu!A:A,menu!C:C)</f>
        <v>Starters</v>
      </c>
      <c r="H1646" s="10">
        <f>_xlfn.XLOOKUP(C1646,menu!A:A,menu!E:E)</f>
        <v>48</v>
      </c>
      <c r="I1646" s="10">
        <f t="shared" si="25"/>
        <v>48</v>
      </c>
      <c r="K1646" s="10"/>
      <c r="L1646" s="5"/>
    </row>
    <row r="1647" spans="1:12" x14ac:dyDescent="0.25">
      <c r="A1647" s="5" t="s">
        <v>4987</v>
      </c>
      <c r="B1647" s="5" t="s">
        <v>4985</v>
      </c>
      <c r="C1647" s="5" t="s">
        <v>52</v>
      </c>
      <c r="D1647" s="21">
        <v>4</v>
      </c>
      <c r="E1647" s="12">
        <v>396</v>
      </c>
      <c r="F1647" s="10" t="str">
        <f>_xlfn.XLOOKUP(C1647,menu!A:A,menu!B:B)</f>
        <v>French Fries</v>
      </c>
      <c r="G1647" s="10" t="str">
        <f>_xlfn.XLOOKUP(C1647,menu!A:A,menu!C:C)</f>
        <v>Starters</v>
      </c>
      <c r="H1647" s="10">
        <f>_xlfn.XLOOKUP(C1647,menu!A:A,menu!E:E)</f>
        <v>30</v>
      </c>
      <c r="I1647" s="10">
        <f t="shared" si="25"/>
        <v>120</v>
      </c>
      <c r="K1647" s="10"/>
      <c r="L1647" s="5"/>
    </row>
    <row r="1648" spans="1:12" x14ac:dyDescent="0.25">
      <c r="A1648" s="5" t="s">
        <v>4986</v>
      </c>
      <c r="B1648" s="5" t="s">
        <v>4985</v>
      </c>
      <c r="C1648" s="5" t="s">
        <v>54</v>
      </c>
      <c r="D1648" s="21">
        <v>1</v>
      </c>
      <c r="E1648" s="12">
        <v>139</v>
      </c>
      <c r="F1648" s="10" t="str">
        <f>_xlfn.XLOOKUP(C1648,menu!A:A,menu!B:B)</f>
        <v>Chicken Strips</v>
      </c>
      <c r="G1648" s="10" t="str">
        <f>_xlfn.XLOOKUP(C1648,menu!A:A,menu!C:C)</f>
        <v>Starters</v>
      </c>
      <c r="H1648" s="10">
        <f>_xlfn.XLOOKUP(C1648,menu!A:A,menu!E:E)</f>
        <v>42</v>
      </c>
      <c r="I1648" s="10">
        <f t="shared" si="25"/>
        <v>42</v>
      </c>
      <c r="K1648" s="10"/>
      <c r="L1648" s="5"/>
    </row>
    <row r="1649" spans="1:12" x14ac:dyDescent="0.25">
      <c r="A1649" s="5" t="s">
        <v>4984</v>
      </c>
      <c r="B1649" s="5" t="s">
        <v>4983</v>
      </c>
      <c r="C1649" s="5" t="s">
        <v>33</v>
      </c>
      <c r="D1649" s="21">
        <v>1</v>
      </c>
      <c r="E1649" s="12">
        <v>69</v>
      </c>
      <c r="F1649" s="10" t="str">
        <f>_xlfn.XLOOKUP(C1649,menu!A:A,menu!B:B)</f>
        <v>Spring Roll</v>
      </c>
      <c r="G1649" s="10" t="str">
        <f>_xlfn.XLOOKUP(C1649,menu!A:A,menu!C:C)</f>
        <v>Rolls</v>
      </c>
      <c r="H1649" s="10">
        <f>_xlfn.XLOOKUP(C1649,menu!A:A,menu!E:E)</f>
        <v>21</v>
      </c>
      <c r="I1649" s="10">
        <f t="shared" si="25"/>
        <v>21</v>
      </c>
      <c r="K1649" s="10"/>
      <c r="L1649" s="5"/>
    </row>
    <row r="1650" spans="1:12" x14ac:dyDescent="0.25">
      <c r="A1650" s="5" t="s">
        <v>4982</v>
      </c>
      <c r="B1650" s="5" t="s">
        <v>4980</v>
      </c>
      <c r="C1650" s="5" t="s">
        <v>52</v>
      </c>
      <c r="D1650" s="21">
        <v>3</v>
      </c>
      <c r="E1650" s="12">
        <v>297</v>
      </c>
      <c r="F1650" s="10" t="str">
        <f>_xlfn.XLOOKUP(C1650,menu!A:A,menu!B:B)</f>
        <v>French Fries</v>
      </c>
      <c r="G1650" s="10" t="str">
        <f>_xlfn.XLOOKUP(C1650,menu!A:A,menu!C:C)</f>
        <v>Starters</v>
      </c>
      <c r="H1650" s="10">
        <f>_xlfn.XLOOKUP(C1650,menu!A:A,menu!E:E)</f>
        <v>30</v>
      </c>
      <c r="I1650" s="10">
        <f t="shared" si="25"/>
        <v>90</v>
      </c>
      <c r="K1650" s="10"/>
      <c r="L1650" s="5"/>
    </row>
    <row r="1651" spans="1:12" x14ac:dyDescent="0.25">
      <c r="A1651" s="5" t="s">
        <v>4981</v>
      </c>
      <c r="B1651" s="5" t="s">
        <v>4980</v>
      </c>
      <c r="C1651" s="5" t="s">
        <v>31</v>
      </c>
      <c r="D1651" s="21">
        <v>1</v>
      </c>
      <c r="E1651" s="12">
        <v>89</v>
      </c>
      <c r="F1651" s="10" t="str">
        <f>_xlfn.XLOOKUP(C1651,menu!A:A,menu!B:B)</f>
        <v>Chicken Roll</v>
      </c>
      <c r="G1651" s="10" t="str">
        <f>_xlfn.XLOOKUP(C1651,menu!A:A,menu!C:C)</f>
        <v>Rolls</v>
      </c>
      <c r="H1651" s="10">
        <f>_xlfn.XLOOKUP(C1651,menu!A:A,menu!E:E)</f>
        <v>27</v>
      </c>
      <c r="I1651" s="10">
        <f t="shared" si="25"/>
        <v>27</v>
      </c>
      <c r="K1651" s="10"/>
      <c r="L1651" s="5"/>
    </row>
    <row r="1652" spans="1:12" x14ac:dyDescent="0.25">
      <c r="A1652" s="5" t="s">
        <v>4979</v>
      </c>
      <c r="B1652" s="5" t="s">
        <v>4976</v>
      </c>
      <c r="C1652" s="5" t="s">
        <v>12</v>
      </c>
      <c r="D1652" s="21">
        <v>1</v>
      </c>
      <c r="E1652" s="12">
        <v>79</v>
      </c>
      <c r="F1652" s="10" t="str">
        <f>_xlfn.XLOOKUP(C1652,menu!A:A,menu!B:B)</f>
        <v>Veg Momos</v>
      </c>
      <c r="G1652" s="10" t="str">
        <f>_xlfn.XLOOKUP(C1652,menu!A:A,menu!C:C)</f>
        <v>Momos</v>
      </c>
      <c r="H1652" s="10">
        <f>_xlfn.XLOOKUP(C1652,menu!A:A,menu!E:E)</f>
        <v>24</v>
      </c>
      <c r="I1652" s="10">
        <f t="shared" si="25"/>
        <v>24</v>
      </c>
      <c r="K1652" s="10"/>
      <c r="L1652" s="5"/>
    </row>
    <row r="1653" spans="1:12" x14ac:dyDescent="0.25">
      <c r="A1653" s="5" t="s">
        <v>4978</v>
      </c>
      <c r="B1653" s="5" t="s">
        <v>4976</v>
      </c>
      <c r="C1653" s="5" t="s">
        <v>33</v>
      </c>
      <c r="D1653" s="21">
        <v>4</v>
      </c>
      <c r="E1653" s="12">
        <v>276</v>
      </c>
      <c r="F1653" s="10" t="str">
        <f>_xlfn.XLOOKUP(C1653,menu!A:A,menu!B:B)</f>
        <v>Spring Roll</v>
      </c>
      <c r="G1653" s="10" t="str">
        <f>_xlfn.XLOOKUP(C1653,menu!A:A,menu!C:C)</f>
        <v>Rolls</v>
      </c>
      <c r="H1653" s="10">
        <f>_xlfn.XLOOKUP(C1653,menu!A:A,menu!E:E)</f>
        <v>21</v>
      </c>
      <c r="I1653" s="10">
        <f t="shared" si="25"/>
        <v>84</v>
      </c>
      <c r="K1653" s="10"/>
      <c r="L1653" s="5"/>
    </row>
    <row r="1654" spans="1:12" x14ac:dyDescent="0.25">
      <c r="A1654" s="5" t="s">
        <v>4977</v>
      </c>
      <c r="B1654" s="5" t="s">
        <v>4976</v>
      </c>
      <c r="C1654" s="5" t="s">
        <v>17</v>
      </c>
      <c r="D1654" s="21">
        <v>3</v>
      </c>
      <c r="E1654" s="12">
        <v>267</v>
      </c>
      <c r="F1654" s="10" t="str">
        <f>_xlfn.XLOOKUP(C1654,menu!A:A,menu!B:B)</f>
        <v>Paneer Momos</v>
      </c>
      <c r="G1654" s="10" t="str">
        <f>_xlfn.XLOOKUP(C1654,menu!A:A,menu!C:C)</f>
        <v>Momos</v>
      </c>
      <c r="H1654" s="10">
        <f>_xlfn.XLOOKUP(C1654,menu!A:A,menu!E:E)</f>
        <v>27</v>
      </c>
      <c r="I1654" s="10">
        <f t="shared" si="25"/>
        <v>81</v>
      </c>
      <c r="K1654" s="10"/>
      <c r="L1654" s="5"/>
    </row>
    <row r="1655" spans="1:12" x14ac:dyDescent="0.25">
      <c r="A1655" s="5" t="s">
        <v>4975</v>
      </c>
      <c r="B1655" s="5" t="s">
        <v>4973</v>
      </c>
      <c r="C1655" s="5" t="s">
        <v>46</v>
      </c>
      <c r="D1655" s="21">
        <v>2</v>
      </c>
      <c r="E1655" s="12">
        <v>298</v>
      </c>
      <c r="F1655" s="10" t="str">
        <f>_xlfn.XLOOKUP(C1655,menu!A:A,menu!B:B)</f>
        <v>Fish Finger</v>
      </c>
      <c r="G1655" s="10" t="str">
        <f>_xlfn.XLOOKUP(C1655,menu!A:A,menu!C:C)</f>
        <v>Starters</v>
      </c>
      <c r="H1655" s="10">
        <f>_xlfn.XLOOKUP(C1655,menu!A:A,menu!E:E)</f>
        <v>45</v>
      </c>
      <c r="I1655" s="10">
        <f t="shared" si="25"/>
        <v>90</v>
      </c>
      <c r="K1655" s="10"/>
      <c r="L1655" s="5"/>
    </row>
    <row r="1656" spans="1:12" x14ac:dyDescent="0.25">
      <c r="A1656" s="5" t="s">
        <v>4974</v>
      </c>
      <c r="B1656" s="5" t="s">
        <v>4973</v>
      </c>
      <c r="C1656" s="5" t="s">
        <v>26</v>
      </c>
      <c r="D1656" s="21">
        <v>1</v>
      </c>
      <c r="E1656" s="12">
        <v>59</v>
      </c>
      <c r="F1656" s="10" t="str">
        <f>_xlfn.XLOOKUP(C1656,menu!A:A,menu!B:B)</f>
        <v>Veg Roll</v>
      </c>
      <c r="G1656" s="10" t="str">
        <f>_xlfn.XLOOKUP(C1656,menu!A:A,menu!C:C)</f>
        <v>Rolls</v>
      </c>
      <c r="H1656" s="10">
        <f>_xlfn.XLOOKUP(C1656,menu!A:A,menu!E:E)</f>
        <v>18</v>
      </c>
      <c r="I1656" s="10">
        <f t="shared" si="25"/>
        <v>18</v>
      </c>
      <c r="K1656" s="10"/>
      <c r="L1656" s="5"/>
    </row>
    <row r="1657" spans="1:12" x14ac:dyDescent="0.25">
      <c r="A1657" s="5" t="s">
        <v>4972</v>
      </c>
      <c r="B1657" s="5" t="s">
        <v>4970</v>
      </c>
      <c r="C1657" s="5" t="s">
        <v>61</v>
      </c>
      <c r="D1657" s="21">
        <v>1</v>
      </c>
      <c r="E1657" s="12">
        <v>79</v>
      </c>
      <c r="F1657" s="10" t="str">
        <f>_xlfn.XLOOKUP(C1657,menu!A:A,menu!B:B)</f>
        <v>Watermelon Mojito</v>
      </c>
      <c r="G1657" s="10" t="str">
        <f>_xlfn.XLOOKUP(C1657,menu!A:A,menu!C:C)</f>
        <v>Beverages</v>
      </c>
      <c r="H1657" s="10">
        <f>_xlfn.XLOOKUP(C1657,menu!A:A,menu!E:E)</f>
        <v>24</v>
      </c>
      <c r="I1657" s="10">
        <f t="shared" si="25"/>
        <v>24</v>
      </c>
      <c r="K1657" s="10"/>
      <c r="L1657" s="5"/>
    </row>
    <row r="1658" spans="1:12" x14ac:dyDescent="0.25">
      <c r="A1658" s="5" t="s">
        <v>4971</v>
      </c>
      <c r="B1658" s="5" t="s">
        <v>4970</v>
      </c>
      <c r="C1658" s="5" t="s">
        <v>24</v>
      </c>
      <c r="D1658" s="21">
        <v>2</v>
      </c>
      <c r="E1658" s="12">
        <v>178</v>
      </c>
      <c r="F1658" s="10" t="str">
        <f>_xlfn.XLOOKUP(C1658,menu!A:A,menu!B:B)</f>
        <v>Paneer Burger</v>
      </c>
      <c r="G1658" s="10" t="str">
        <f>_xlfn.XLOOKUP(C1658,menu!A:A,menu!C:C)</f>
        <v>Burger</v>
      </c>
      <c r="H1658" s="10">
        <f>_xlfn.XLOOKUP(C1658,menu!A:A,menu!E:E)</f>
        <v>27</v>
      </c>
      <c r="I1658" s="10">
        <f t="shared" si="25"/>
        <v>54</v>
      </c>
      <c r="K1658" s="10"/>
      <c r="L1658" s="5"/>
    </row>
    <row r="1659" spans="1:12" x14ac:dyDescent="0.25">
      <c r="A1659" s="5" t="s">
        <v>4969</v>
      </c>
      <c r="B1659" s="5" t="s">
        <v>4967</v>
      </c>
      <c r="C1659" s="5" t="s">
        <v>19</v>
      </c>
      <c r="D1659" s="21">
        <v>2</v>
      </c>
      <c r="E1659" s="12">
        <v>158</v>
      </c>
      <c r="F1659" s="10" t="str">
        <f>_xlfn.XLOOKUP(C1659,menu!A:A,menu!B:B)</f>
        <v>Veg Burger</v>
      </c>
      <c r="G1659" s="10" t="str">
        <f>_xlfn.XLOOKUP(C1659,menu!A:A,menu!C:C)</f>
        <v>Burger</v>
      </c>
      <c r="H1659" s="10">
        <f>_xlfn.XLOOKUP(C1659,menu!A:A,menu!E:E)</f>
        <v>24</v>
      </c>
      <c r="I1659" s="10">
        <f t="shared" si="25"/>
        <v>48</v>
      </c>
      <c r="K1659" s="10"/>
      <c r="L1659" s="5"/>
    </row>
    <row r="1660" spans="1:12" x14ac:dyDescent="0.25">
      <c r="A1660" s="5" t="s">
        <v>4968</v>
      </c>
      <c r="B1660" s="5" t="s">
        <v>4967</v>
      </c>
      <c r="C1660" s="5" t="s">
        <v>54</v>
      </c>
      <c r="D1660" s="21">
        <v>1</v>
      </c>
      <c r="E1660" s="12">
        <v>139</v>
      </c>
      <c r="F1660" s="10" t="str">
        <f>_xlfn.XLOOKUP(C1660,menu!A:A,menu!B:B)</f>
        <v>Chicken Strips</v>
      </c>
      <c r="G1660" s="10" t="str">
        <f>_xlfn.XLOOKUP(C1660,menu!A:A,menu!C:C)</f>
        <v>Starters</v>
      </c>
      <c r="H1660" s="10">
        <f>_xlfn.XLOOKUP(C1660,menu!A:A,menu!E:E)</f>
        <v>42</v>
      </c>
      <c r="I1660" s="10">
        <f t="shared" si="25"/>
        <v>42</v>
      </c>
      <c r="K1660" s="10"/>
      <c r="L1660" s="5"/>
    </row>
    <row r="1661" spans="1:12" x14ac:dyDescent="0.25">
      <c r="A1661" s="5" t="s">
        <v>4966</v>
      </c>
      <c r="B1661" s="5" t="s">
        <v>4963</v>
      </c>
      <c r="C1661" s="5" t="s">
        <v>40</v>
      </c>
      <c r="D1661" s="21">
        <v>1</v>
      </c>
      <c r="E1661" s="12">
        <v>99</v>
      </c>
      <c r="F1661" s="10" t="str">
        <f>_xlfn.XLOOKUP(C1661,menu!A:A,menu!B:B)</f>
        <v>Veg Nuggets</v>
      </c>
      <c r="G1661" s="10" t="str">
        <f>_xlfn.XLOOKUP(C1661,menu!A:A,menu!C:C)</f>
        <v>Starters</v>
      </c>
      <c r="H1661" s="10">
        <f>_xlfn.XLOOKUP(C1661,menu!A:A,menu!E:E)</f>
        <v>30</v>
      </c>
      <c r="I1661" s="10">
        <f t="shared" si="25"/>
        <v>30</v>
      </c>
      <c r="K1661" s="10"/>
      <c r="L1661" s="5"/>
    </row>
    <row r="1662" spans="1:12" x14ac:dyDescent="0.25">
      <c r="A1662" s="5" t="s">
        <v>4965</v>
      </c>
      <c r="B1662" s="5" t="s">
        <v>4963</v>
      </c>
      <c r="C1662" s="5" t="s">
        <v>42</v>
      </c>
      <c r="D1662" s="21">
        <v>4</v>
      </c>
      <c r="E1662" s="12">
        <v>596</v>
      </c>
      <c r="F1662" s="10" t="str">
        <f>_xlfn.XLOOKUP(C1662,menu!A:A,menu!B:B)</f>
        <v>Chicken Popcorn</v>
      </c>
      <c r="G1662" s="10" t="str">
        <f>_xlfn.XLOOKUP(C1662,menu!A:A,menu!C:C)</f>
        <v>Starters</v>
      </c>
      <c r="H1662" s="10">
        <f>_xlfn.XLOOKUP(C1662,menu!A:A,menu!E:E)</f>
        <v>45</v>
      </c>
      <c r="I1662" s="10">
        <f t="shared" si="25"/>
        <v>180</v>
      </c>
      <c r="K1662" s="10"/>
      <c r="L1662" s="5"/>
    </row>
    <row r="1663" spans="1:12" x14ac:dyDescent="0.25">
      <c r="A1663" s="5" t="s">
        <v>4964</v>
      </c>
      <c r="B1663" s="5" t="s">
        <v>4963</v>
      </c>
      <c r="C1663" s="5" t="s">
        <v>38</v>
      </c>
      <c r="D1663" s="21">
        <v>2</v>
      </c>
      <c r="E1663" s="12">
        <v>298</v>
      </c>
      <c r="F1663" s="10" t="str">
        <f>_xlfn.XLOOKUP(C1663,menu!A:A,menu!B:B)</f>
        <v>Chicken Wings</v>
      </c>
      <c r="G1663" s="10" t="str">
        <f>_xlfn.XLOOKUP(C1663,menu!A:A,menu!C:C)</f>
        <v>Starters</v>
      </c>
      <c r="H1663" s="10">
        <f>_xlfn.XLOOKUP(C1663,menu!A:A,menu!E:E)</f>
        <v>45</v>
      </c>
      <c r="I1663" s="10">
        <f t="shared" si="25"/>
        <v>90</v>
      </c>
      <c r="K1663" s="10"/>
      <c r="L1663" s="5"/>
    </row>
    <row r="1664" spans="1:12" x14ac:dyDescent="0.25">
      <c r="A1664" s="5" t="s">
        <v>4962</v>
      </c>
      <c r="B1664" s="5" t="s">
        <v>4960</v>
      </c>
      <c r="C1664" s="5" t="s">
        <v>19</v>
      </c>
      <c r="D1664" s="21">
        <v>3</v>
      </c>
      <c r="E1664" s="12">
        <v>237</v>
      </c>
      <c r="F1664" s="10" t="str">
        <f>_xlfn.XLOOKUP(C1664,menu!A:A,menu!B:B)</f>
        <v>Veg Burger</v>
      </c>
      <c r="G1664" s="10" t="str">
        <f>_xlfn.XLOOKUP(C1664,menu!A:A,menu!C:C)</f>
        <v>Burger</v>
      </c>
      <c r="H1664" s="10">
        <f>_xlfn.XLOOKUP(C1664,menu!A:A,menu!E:E)</f>
        <v>24</v>
      </c>
      <c r="I1664" s="10">
        <f t="shared" si="25"/>
        <v>72</v>
      </c>
      <c r="K1664" s="10"/>
      <c r="L1664" s="5"/>
    </row>
    <row r="1665" spans="1:12" x14ac:dyDescent="0.25">
      <c r="A1665" s="5" t="s">
        <v>4961</v>
      </c>
      <c r="B1665" s="5" t="s">
        <v>4960</v>
      </c>
      <c r="C1665" s="5" t="s">
        <v>24</v>
      </c>
      <c r="D1665" s="21">
        <v>3</v>
      </c>
      <c r="E1665" s="12">
        <v>267</v>
      </c>
      <c r="F1665" s="10" t="str">
        <f>_xlfn.XLOOKUP(C1665,menu!A:A,menu!B:B)</f>
        <v>Paneer Burger</v>
      </c>
      <c r="G1665" s="10" t="str">
        <f>_xlfn.XLOOKUP(C1665,menu!A:A,menu!C:C)</f>
        <v>Burger</v>
      </c>
      <c r="H1665" s="10">
        <f>_xlfn.XLOOKUP(C1665,menu!A:A,menu!E:E)</f>
        <v>27</v>
      </c>
      <c r="I1665" s="10">
        <f t="shared" si="25"/>
        <v>81</v>
      </c>
      <c r="K1665" s="10"/>
      <c r="L1665" s="5"/>
    </row>
    <row r="1666" spans="1:12" x14ac:dyDescent="0.25">
      <c r="A1666" s="5" t="s">
        <v>4959</v>
      </c>
      <c r="B1666" s="5" t="s">
        <v>4956</v>
      </c>
      <c r="C1666" s="5" t="s">
        <v>29</v>
      </c>
      <c r="D1666" s="21">
        <v>4</v>
      </c>
      <c r="E1666" s="12">
        <v>316</v>
      </c>
      <c r="F1666" s="10" t="str">
        <f>_xlfn.XLOOKUP(C1666,menu!A:A,menu!B:B)</f>
        <v>Paneer Roll</v>
      </c>
      <c r="G1666" s="10" t="str">
        <f>_xlfn.XLOOKUP(C1666,menu!A:A,menu!C:C)</f>
        <v>Rolls</v>
      </c>
      <c r="H1666" s="10">
        <f>_xlfn.XLOOKUP(C1666,menu!A:A,menu!E:E)</f>
        <v>24</v>
      </c>
      <c r="I1666" s="10">
        <f t="shared" si="25"/>
        <v>96</v>
      </c>
      <c r="K1666" s="10"/>
      <c r="L1666" s="5"/>
    </row>
    <row r="1667" spans="1:12" x14ac:dyDescent="0.25">
      <c r="A1667" s="5" t="s">
        <v>4958</v>
      </c>
      <c r="B1667" s="5" t="s">
        <v>4956</v>
      </c>
      <c r="C1667" s="5" t="s">
        <v>44</v>
      </c>
      <c r="D1667" s="21">
        <v>2</v>
      </c>
      <c r="E1667" s="12">
        <v>318</v>
      </c>
      <c r="F1667" s="10" t="str">
        <f>_xlfn.XLOOKUP(C1667,menu!A:A,menu!B:B)</f>
        <v>Fried Chicken</v>
      </c>
      <c r="G1667" s="10" t="str">
        <f>_xlfn.XLOOKUP(C1667,menu!A:A,menu!C:C)</f>
        <v>Starters</v>
      </c>
      <c r="H1667" s="10">
        <f>_xlfn.XLOOKUP(C1667,menu!A:A,menu!E:E)</f>
        <v>48</v>
      </c>
      <c r="I1667" s="10">
        <f t="shared" ref="I1667:I1730" si="26">D1667*H1667</f>
        <v>96</v>
      </c>
      <c r="K1667" s="10"/>
      <c r="L1667" s="5"/>
    </row>
    <row r="1668" spans="1:12" x14ac:dyDescent="0.25">
      <c r="A1668" s="5" t="s">
        <v>4957</v>
      </c>
      <c r="B1668" s="5" t="s">
        <v>4956</v>
      </c>
      <c r="C1668" s="5" t="s">
        <v>8</v>
      </c>
      <c r="D1668" s="21">
        <v>1</v>
      </c>
      <c r="E1668" s="12">
        <v>99</v>
      </c>
      <c r="F1668" s="10" t="str">
        <f>_xlfn.XLOOKUP(C1668,menu!A:A,menu!B:B)</f>
        <v>Paneer Sandwich</v>
      </c>
      <c r="G1668" s="10" t="str">
        <f>_xlfn.XLOOKUP(C1668,menu!A:A,menu!C:C)</f>
        <v>Sandwich</v>
      </c>
      <c r="H1668" s="10">
        <f>_xlfn.XLOOKUP(C1668,menu!A:A,menu!E:E)</f>
        <v>30</v>
      </c>
      <c r="I1668" s="10">
        <f t="shared" si="26"/>
        <v>30</v>
      </c>
      <c r="K1668" s="10"/>
      <c r="L1668" s="5"/>
    </row>
    <row r="1669" spans="1:12" x14ac:dyDescent="0.25">
      <c r="A1669" s="5" t="s">
        <v>4955</v>
      </c>
      <c r="B1669" s="5" t="s">
        <v>4953</v>
      </c>
      <c r="C1669" s="5" t="s">
        <v>17</v>
      </c>
      <c r="D1669" s="21">
        <v>4</v>
      </c>
      <c r="E1669" s="12">
        <v>356</v>
      </c>
      <c r="F1669" s="10" t="str">
        <f>_xlfn.XLOOKUP(C1669,menu!A:A,menu!B:B)</f>
        <v>Paneer Momos</v>
      </c>
      <c r="G1669" s="10" t="str">
        <f>_xlfn.XLOOKUP(C1669,menu!A:A,menu!C:C)</f>
        <v>Momos</v>
      </c>
      <c r="H1669" s="10">
        <f>_xlfn.XLOOKUP(C1669,menu!A:A,menu!E:E)</f>
        <v>27</v>
      </c>
      <c r="I1669" s="10">
        <f t="shared" si="26"/>
        <v>108</v>
      </c>
      <c r="K1669" s="10"/>
      <c r="L1669" s="5"/>
    </row>
    <row r="1670" spans="1:12" x14ac:dyDescent="0.25">
      <c r="A1670" s="5" t="s">
        <v>4954</v>
      </c>
      <c r="B1670" s="5" t="s">
        <v>4953</v>
      </c>
      <c r="C1670" s="5" t="s">
        <v>52</v>
      </c>
      <c r="D1670" s="21">
        <v>3</v>
      </c>
      <c r="E1670" s="12">
        <v>297</v>
      </c>
      <c r="F1670" s="10" t="str">
        <f>_xlfn.XLOOKUP(C1670,menu!A:A,menu!B:B)</f>
        <v>French Fries</v>
      </c>
      <c r="G1670" s="10" t="str">
        <f>_xlfn.XLOOKUP(C1670,menu!A:A,menu!C:C)</f>
        <v>Starters</v>
      </c>
      <c r="H1670" s="10">
        <f>_xlfn.XLOOKUP(C1670,menu!A:A,menu!E:E)</f>
        <v>30</v>
      </c>
      <c r="I1670" s="10">
        <f t="shared" si="26"/>
        <v>90</v>
      </c>
      <c r="K1670" s="10"/>
      <c r="L1670" s="5"/>
    </row>
    <row r="1671" spans="1:12" x14ac:dyDescent="0.25">
      <c r="A1671" s="5" t="s">
        <v>4952</v>
      </c>
      <c r="B1671" s="5" t="s">
        <v>4950</v>
      </c>
      <c r="C1671" s="5" t="s">
        <v>15</v>
      </c>
      <c r="D1671" s="21">
        <v>1</v>
      </c>
      <c r="E1671" s="12">
        <v>99</v>
      </c>
      <c r="F1671" s="10" t="str">
        <f>_xlfn.XLOOKUP(C1671,menu!A:A,menu!B:B)</f>
        <v>Chicken Momos</v>
      </c>
      <c r="G1671" s="10" t="str">
        <f>_xlfn.XLOOKUP(C1671,menu!A:A,menu!C:C)</f>
        <v>Momos</v>
      </c>
      <c r="H1671" s="10">
        <f>_xlfn.XLOOKUP(C1671,menu!A:A,menu!E:E)</f>
        <v>30</v>
      </c>
      <c r="I1671" s="10">
        <f t="shared" si="26"/>
        <v>30</v>
      </c>
      <c r="K1671" s="10"/>
      <c r="L1671" s="5"/>
    </row>
    <row r="1672" spans="1:12" x14ac:dyDescent="0.25">
      <c r="A1672" s="5" t="s">
        <v>4951</v>
      </c>
      <c r="B1672" s="5" t="s">
        <v>4950</v>
      </c>
      <c r="C1672" s="5" t="s">
        <v>59</v>
      </c>
      <c r="D1672" s="21">
        <v>1</v>
      </c>
      <c r="E1672" s="12">
        <v>79</v>
      </c>
      <c r="F1672" s="10" t="str">
        <f>_xlfn.XLOOKUP(C1672,menu!A:A,menu!B:B)</f>
        <v>Blue Curacao Mojito</v>
      </c>
      <c r="G1672" s="10" t="str">
        <f>_xlfn.XLOOKUP(C1672,menu!A:A,menu!C:C)</f>
        <v>Beverages</v>
      </c>
      <c r="H1672" s="10">
        <f>_xlfn.XLOOKUP(C1672,menu!A:A,menu!E:E)</f>
        <v>24</v>
      </c>
      <c r="I1672" s="10">
        <f t="shared" si="26"/>
        <v>24</v>
      </c>
      <c r="K1672" s="10"/>
      <c r="L1672" s="5"/>
    </row>
    <row r="1673" spans="1:12" x14ac:dyDescent="0.25">
      <c r="A1673" s="5" t="s">
        <v>4949</v>
      </c>
      <c r="B1673" s="5" t="s">
        <v>4947</v>
      </c>
      <c r="C1673" s="5" t="s">
        <v>12</v>
      </c>
      <c r="D1673" s="21">
        <v>1</v>
      </c>
      <c r="E1673" s="12">
        <v>79</v>
      </c>
      <c r="F1673" s="10" t="str">
        <f>_xlfn.XLOOKUP(C1673,menu!A:A,menu!B:B)</f>
        <v>Veg Momos</v>
      </c>
      <c r="G1673" s="10" t="str">
        <f>_xlfn.XLOOKUP(C1673,menu!A:A,menu!C:C)</f>
        <v>Momos</v>
      </c>
      <c r="H1673" s="10">
        <f>_xlfn.XLOOKUP(C1673,menu!A:A,menu!E:E)</f>
        <v>24</v>
      </c>
      <c r="I1673" s="10">
        <f t="shared" si="26"/>
        <v>24</v>
      </c>
      <c r="K1673" s="10"/>
      <c r="L1673" s="5"/>
    </row>
    <row r="1674" spans="1:12" x14ac:dyDescent="0.25">
      <c r="A1674" s="5" t="s">
        <v>4948</v>
      </c>
      <c r="B1674" s="5" t="s">
        <v>4947</v>
      </c>
      <c r="C1674" s="5" t="s">
        <v>10</v>
      </c>
      <c r="D1674" s="21">
        <v>2</v>
      </c>
      <c r="E1674" s="12">
        <v>238</v>
      </c>
      <c r="F1674" s="10" t="str">
        <f>_xlfn.XLOOKUP(C1674,menu!A:A,menu!B:B)</f>
        <v>Chicken Sandwich</v>
      </c>
      <c r="G1674" s="10" t="str">
        <f>_xlfn.XLOOKUP(C1674,menu!A:A,menu!C:C)</f>
        <v>Sandwich</v>
      </c>
      <c r="H1674" s="10">
        <f>_xlfn.XLOOKUP(C1674,menu!A:A,menu!E:E)</f>
        <v>36</v>
      </c>
      <c r="I1674" s="10">
        <f t="shared" si="26"/>
        <v>72</v>
      </c>
      <c r="K1674" s="10"/>
      <c r="L1674" s="5"/>
    </row>
    <row r="1675" spans="1:12" x14ac:dyDescent="0.25">
      <c r="A1675" s="5" t="s">
        <v>4946</v>
      </c>
      <c r="B1675" s="5" t="s">
        <v>4943</v>
      </c>
      <c r="C1675" s="5" t="s">
        <v>50</v>
      </c>
      <c r="D1675" s="21">
        <v>1</v>
      </c>
      <c r="E1675" s="12">
        <v>149</v>
      </c>
      <c r="F1675" s="10" t="str">
        <f>_xlfn.XLOOKUP(C1675,menu!A:A,menu!B:B)</f>
        <v>Grab Lollipop</v>
      </c>
      <c r="G1675" s="10" t="str">
        <f>_xlfn.XLOOKUP(C1675,menu!A:A,menu!C:C)</f>
        <v>Starters</v>
      </c>
      <c r="H1675" s="10">
        <f>_xlfn.XLOOKUP(C1675,menu!A:A,menu!E:E)</f>
        <v>45</v>
      </c>
      <c r="I1675" s="10">
        <f t="shared" si="26"/>
        <v>45</v>
      </c>
      <c r="K1675" s="10"/>
      <c r="L1675" s="5"/>
    </row>
    <row r="1676" spans="1:12" x14ac:dyDescent="0.25">
      <c r="A1676" s="5" t="s">
        <v>4945</v>
      </c>
      <c r="B1676" s="5" t="s">
        <v>4943</v>
      </c>
      <c r="C1676" s="5" t="s">
        <v>44</v>
      </c>
      <c r="D1676" s="21">
        <v>1</v>
      </c>
      <c r="E1676" s="12">
        <v>159</v>
      </c>
      <c r="F1676" s="10" t="str">
        <f>_xlfn.XLOOKUP(C1676,menu!A:A,menu!B:B)</f>
        <v>Fried Chicken</v>
      </c>
      <c r="G1676" s="10" t="str">
        <f>_xlfn.XLOOKUP(C1676,menu!A:A,menu!C:C)</f>
        <v>Starters</v>
      </c>
      <c r="H1676" s="10">
        <f>_xlfn.XLOOKUP(C1676,menu!A:A,menu!E:E)</f>
        <v>48</v>
      </c>
      <c r="I1676" s="10">
        <f t="shared" si="26"/>
        <v>48</v>
      </c>
      <c r="K1676" s="10"/>
      <c r="L1676" s="5"/>
    </row>
    <row r="1677" spans="1:12" x14ac:dyDescent="0.25">
      <c r="A1677" s="5" t="s">
        <v>4944</v>
      </c>
      <c r="B1677" s="5" t="s">
        <v>4943</v>
      </c>
      <c r="C1677" s="5" t="s">
        <v>65</v>
      </c>
      <c r="D1677" s="21">
        <v>1</v>
      </c>
      <c r="E1677" s="12">
        <v>49</v>
      </c>
      <c r="F1677" s="10" t="str">
        <f>_xlfn.XLOOKUP(C1677,menu!A:A,menu!B:B)</f>
        <v>Lemon Juice</v>
      </c>
      <c r="G1677" s="10" t="str">
        <f>_xlfn.XLOOKUP(C1677,menu!A:A,menu!C:C)</f>
        <v>Beverages</v>
      </c>
      <c r="H1677" s="10">
        <f>_xlfn.XLOOKUP(C1677,menu!A:A,menu!E:E)</f>
        <v>15</v>
      </c>
      <c r="I1677" s="10">
        <f t="shared" si="26"/>
        <v>15</v>
      </c>
      <c r="K1677" s="10"/>
      <c r="L1677" s="5"/>
    </row>
    <row r="1678" spans="1:12" x14ac:dyDescent="0.25">
      <c r="A1678" s="5" t="s">
        <v>4942</v>
      </c>
      <c r="B1678" s="5" t="s">
        <v>4940</v>
      </c>
      <c r="C1678" s="5" t="s">
        <v>46</v>
      </c>
      <c r="D1678" s="21">
        <v>2</v>
      </c>
      <c r="E1678" s="12">
        <v>298</v>
      </c>
      <c r="F1678" s="10" t="str">
        <f>_xlfn.XLOOKUP(C1678,menu!A:A,menu!B:B)</f>
        <v>Fish Finger</v>
      </c>
      <c r="G1678" s="10" t="str">
        <f>_xlfn.XLOOKUP(C1678,menu!A:A,menu!C:C)</f>
        <v>Starters</v>
      </c>
      <c r="H1678" s="10">
        <f>_xlfn.XLOOKUP(C1678,menu!A:A,menu!E:E)</f>
        <v>45</v>
      </c>
      <c r="I1678" s="10">
        <f t="shared" si="26"/>
        <v>90</v>
      </c>
      <c r="K1678" s="10"/>
      <c r="L1678" s="5"/>
    </row>
    <row r="1679" spans="1:12" x14ac:dyDescent="0.25">
      <c r="A1679" s="5" t="s">
        <v>4941</v>
      </c>
      <c r="B1679" s="5" t="s">
        <v>4940</v>
      </c>
      <c r="C1679" s="5" t="s">
        <v>38</v>
      </c>
      <c r="D1679" s="21">
        <v>1</v>
      </c>
      <c r="E1679" s="12">
        <v>149</v>
      </c>
      <c r="F1679" s="10" t="str">
        <f>_xlfn.XLOOKUP(C1679,menu!A:A,menu!B:B)</f>
        <v>Chicken Wings</v>
      </c>
      <c r="G1679" s="10" t="str">
        <f>_xlfn.XLOOKUP(C1679,menu!A:A,menu!C:C)</f>
        <v>Starters</v>
      </c>
      <c r="H1679" s="10">
        <f>_xlfn.XLOOKUP(C1679,menu!A:A,menu!E:E)</f>
        <v>45</v>
      </c>
      <c r="I1679" s="10">
        <f t="shared" si="26"/>
        <v>45</v>
      </c>
      <c r="K1679" s="10"/>
      <c r="L1679" s="5"/>
    </row>
    <row r="1680" spans="1:12" x14ac:dyDescent="0.25">
      <c r="A1680" s="5" t="s">
        <v>4939</v>
      </c>
      <c r="B1680" s="5" t="s">
        <v>4936</v>
      </c>
      <c r="C1680" s="5" t="s">
        <v>12</v>
      </c>
      <c r="D1680" s="21">
        <v>2</v>
      </c>
      <c r="E1680" s="12">
        <v>158</v>
      </c>
      <c r="F1680" s="10" t="str">
        <f>_xlfn.XLOOKUP(C1680,menu!A:A,menu!B:B)</f>
        <v>Veg Momos</v>
      </c>
      <c r="G1680" s="10" t="str">
        <f>_xlfn.XLOOKUP(C1680,menu!A:A,menu!C:C)</f>
        <v>Momos</v>
      </c>
      <c r="H1680" s="10">
        <f>_xlfn.XLOOKUP(C1680,menu!A:A,menu!E:E)</f>
        <v>24</v>
      </c>
      <c r="I1680" s="10">
        <f t="shared" si="26"/>
        <v>48</v>
      </c>
      <c r="K1680" s="10"/>
      <c r="L1680" s="5"/>
    </row>
    <row r="1681" spans="1:12" x14ac:dyDescent="0.25">
      <c r="A1681" s="5" t="s">
        <v>4938</v>
      </c>
      <c r="B1681" s="5" t="s">
        <v>4936</v>
      </c>
      <c r="C1681" s="5" t="s">
        <v>54</v>
      </c>
      <c r="D1681" s="21">
        <v>3</v>
      </c>
      <c r="E1681" s="12">
        <v>417</v>
      </c>
      <c r="F1681" s="10" t="str">
        <f>_xlfn.XLOOKUP(C1681,menu!A:A,menu!B:B)</f>
        <v>Chicken Strips</v>
      </c>
      <c r="G1681" s="10" t="str">
        <f>_xlfn.XLOOKUP(C1681,menu!A:A,menu!C:C)</f>
        <v>Starters</v>
      </c>
      <c r="H1681" s="10">
        <f>_xlfn.XLOOKUP(C1681,menu!A:A,menu!E:E)</f>
        <v>42</v>
      </c>
      <c r="I1681" s="10">
        <f t="shared" si="26"/>
        <v>126</v>
      </c>
      <c r="K1681" s="10"/>
      <c r="L1681" s="5"/>
    </row>
    <row r="1682" spans="1:12" x14ac:dyDescent="0.25">
      <c r="A1682" s="5" t="s">
        <v>4937</v>
      </c>
      <c r="B1682" s="5" t="s">
        <v>4936</v>
      </c>
      <c r="C1682" s="5" t="s">
        <v>29</v>
      </c>
      <c r="D1682" s="21">
        <v>1</v>
      </c>
      <c r="E1682" s="12">
        <v>79</v>
      </c>
      <c r="F1682" s="10" t="str">
        <f>_xlfn.XLOOKUP(C1682,menu!A:A,menu!B:B)</f>
        <v>Paneer Roll</v>
      </c>
      <c r="G1682" s="10" t="str">
        <f>_xlfn.XLOOKUP(C1682,menu!A:A,menu!C:C)</f>
        <v>Rolls</v>
      </c>
      <c r="H1682" s="10">
        <f>_xlfn.XLOOKUP(C1682,menu!A:A,menu!E:E)</f>
        <v>24</v>
      </c>
      <c r="I1682" s="10">
        <f t="shared" si="26"/>
        <v>24</v>
      </c>
      <c r="K1682" s="10"/>
      <c r="L1682" s="5"/>
    </row>
    <row r="1683" spans="1:12" x14ac:dyDescent="0.25">
      <c r="A1683" s="5" t="s">
        <v>4935</v>
      </c>
      <c r="B1683" s="5" t="s">
        <v>4933</v>
      </c>
      <c r="C1683" s="5" t="s">
        <v>46</v>
      </c>
      <c r="D1683" s="21">
        <v>1</v>
      </c>
      <c r="E1683" s="12">
        <v>149</v>
      </c>
      <c r="F1683" s="10" t="str">
        <f>_xlfn.XLOOKUP(C1683,menu!A:A,menu!B:B)</f>
        <v>Fish Finger</v>
      </c>
      <c r="G1683" s="10" t="str">
        <f>_xlfn.XLOOKUP(C1683,menu!A:A,menu!C:C)</f>
        <v>Starters</v>
      </c>
      <c r="H1683" s="10">
        <f>_xlfn.XLOOKUP(C1683,menu!A:A,menu!E:E)</f>
        <v>45</v>
      </c>
      <c r="I1683" s="10">
        <f t="shared" si="26"/>
        <v>45</v>
      </c>
      <c r="K1683" s="10"/>
      <c r="L1683" s="5"/>
    </row>
    <row r="1684" spans="1:12" x14ac:dyDescent="0.25">
      <c r="A1684" s="5" t="s">
        <v>4934</v>
      </c>
      <c r="B1684" s="5" t="s">
        <v>4933</v>
      </c>
      <c r="C1684" s="5" t="s">
        <v>26</v>
      </c>
      <c r="D1684" s="21">
        <v>1</v>
      </c>
      <c r="E1684" s="12">
        <v>59</v>
      </c>
      <c r="F1684" s="10" t="str">
        <f>_xlfn.XLOOKUP(C1684,menu!A:A,menu!B:B)</f>
        <v>Veg Roll</v>
      </c>
      <c r="G1684" s="10" t="str">
        <f>_xlfn.XLOOKUP(C1684,menu!A:A,menu!C:C)</f>
        <v>Rolls</v>
      </c>
      <c r="H1684" s="10">
        <f>_xlfn.XLOOKUP(C1684,menu!A:A,menu!E:E)</f>
        <v>18</v>
      </c>
      <c r="I1684" s="10">
        <f t="shared" si="26"/>
        <v>18</v>
      </c>
      <c r="K1684" s="10"/>
      <c r="L1684" s="5"/>
    </row>
    <row r="1685" spans="1:12" x14ac:dyDescent="0.25">
      <c r="A1685" s="5" t="s">
        <v>4932</v>
      </c>
      <c r="B1685" s="5" t="s">
        <v>4930</v>
      </c>
      <c r="C1685" s="5" t="s">
        <v>22</v>
      </c>
      <c r="D1685" s="21">
        <v>3</v>
      </c>
      <c r="E1685" s="12">
        <v>297</v>
      </c>
      <c r="F1685" s="10" t="str">
        <f>_xlfn.XLOOKUP(C1685,menu!A:A,menu!B:B)</f>
        <v>Chicken Burger</v>
      </c>
      <c r="G1685" s="10" t="str">
        <f>_xlfn.XLOOKUP(C1685,menu!A:A,menu!C:C)</f>
        <v>Burger</v>
      </c>
      <c r="H1685" s="10">
        <f>_xlfn.XLOOKUP(C1685,menu!A:A,menu!E:E)</f>
        <v>30</v>
      </c>
      <c r="I1685" s="10">
        <f t="shared" si="26"/>
        <v>90</v>
      </c>
      <c r="K1685" s="10"/>
      <c r="L1685" s="5"/>
    </row>
    <row r="1686" spans="1:12" x14ac:dyDescent="0.25">
      <c r="A1686" s="5" t="s">
        <v>4931</v>
      </c>
      <c r="B1686" s="5" t="s">
        <v>4930</v>
      </c>
      <c r="C1686" s="5" t="s">
        <v>61</v>
      </c>
      <c r="D1686" s="21">
        <v>1</v>
      </c>
      <c r="E1686" s="12">
        <v>79</v>
      </c>
      <c r="F1686" s="10" t="str">
        <f>_xlfn.XLOOKUP(C1686,menu!A:A,menu!B:B)</f>
        <v>Watermelon Mojito</v>
      </c>
      <c r="G1686" s="10" t="str">
        <f>_xlfn.XLOOKUP(C1686,menu!A:A,menu!C:C)</f>
        <v>Beverages</v>
      </c>
      <c r="H1686" s="10">
        <f>_xlfn.XLOOKUP(C1686,menu!A:A,menu!E:E)</f>
        <v>24</v>
      </c>
      <c r="I1686" s="10">
        <f t="shared" si="26"/>
        <v>24</v>
      </c>
      <c r="K1686" s="10"/>
      <c r="L1686" s="5"/>
    </row>
    <row r="1687" spans="1:12" x14ac:dyDescent="0.25">
      <c r="A1687" s="5" t="s">
        <v>4929</v>
      </c>
      <c r="B1687" s="5" t="s">
        <v>4928</v>
      </c>
      <c r="C1687" s="5" t="s">
        <v>61</v>
      </c>
      <c r="D1687" s="21">
        <v>1</v>
      </c>
      <c r="E1687" s="12">
        <v>79</v>
      </c>
      <c r="F1687" s="10" t="str">
        <f>_xlfn.XLOOKUP(C1687,menu!A:A,menu!B:B)</f>
        <v>Watermelon Mojito</v>
      </c>
      <c r="G1687" s="10" t="str">
        <f>_xlfn.XLOOKUP(C1687,menu!A:A,menu!C:C)</f>
        <v>Beverages</v>
      </c>
      <c r="H1687" s="10">
        <f>_xlfn.XLOOKUP(C1687,menu!A:A,menu!E:E)</f>
        <v>24</v>
      </c>
      <c r="I1687" s="10">
        <f t="shared" si="26"/>
        <v>24</v>
      </c>
      <c r="K1687" s="10"/>
      <c r="L1687" s="5"/>
    </row>
    <row r="1688" spans="1:12" x14ac:dyDescent="0.25">
      <c r="A1688" s="5" t="s">
        <v>4927</v>
      </c>
      <c r="B1688" s="5" t="s">
        <v>4924</v>
      </c>
      <c r="C1688" s="5" t="s">
        <v>5</v>
      </c>
      <c r="D1688" s="21">
        <v>1</v>
      </c>
      <c r="E1688" s="12">
        <v>79</v>
      </c>
      <c r="F1688" s="10" t="str">
        <f>_xlfn.XLOOKUP(C1688,menu!A:A,menu!B:B)</f>
        <v>Veg Sandwich</v>
      </c>
      <c r="G1688" s="10" t="str">
        <f>_xlfn.XLOOKUP(C1688,menu!A:A,menu!C:C)</f>
        <v>Sandwich</v>
      </c>
      <c r="H1688" s="10">
        <f>_xlfn.XLOOKUP(C1688,menu!A:A,menu!E:E)</f>
        <v>24</v>
      </c>
      <c r="I1688" s="10">
        <f t="shared" si="26"/>
        <v>24</v>
      </c>
      <c r="K1688" s="10"/>
      <c r="L1688" s="5"/>
    </row>
    <row r="1689" spans="1:12" x14ac:dyDescent="0.25">
      <c r="A1689" s="5" t="s">
        <v>4926</v>
      </c>
      <c r="B1689" s="5" t="s">
        <v>4924</v>
      </c>
      <c r="C1689" s="5" t="s">
        <v>54</v>
      </c>
      <c r="D1689" s="21">
        <v>1</v>
      </c>
      <c r="E1689" s="12">
        <v>139</v>
      </c>
      <c r="F1689" s="10" t="str">
        <f>_xlfn.XLOOKUP(C1689,menu!A:A,menu!B:B)</f>
        <v>Chicken Strips</v>
      </c>
      <c r="G1689" s="10" t="str">
        <f>_xlfn.XLOOKUP(C1689,menu!A:A,menu!C:C)</f>
        <v>Starters</v>
      </c>
      <c r="H1689" s="10">
        <f>_xlfn.XLOOKUP(C1689,menu!A:A,menu!E:E)</f>
        <v>42</v>
      </c>
      <c r="I1689" s="10">
        <f t="shared" si="26"/>
        <v>42</v>
      </c>
      <c r="K1689" s="10"/>
      <c r="L1689" s="5"/>
    </row>
    <row r="1690" spans="1:12" x14ac:dyDescent="0.25">
      <c r="A1690" s="5" t="s">
        <v>4925</v>
      </c>
      <c r="B1690" s="5" t="s">
        <v>4924</v>
      </c>
      <c r="C1690" s="5" t="s">
        <v>22</v>
      </c>
      <c r="D1690" s="21">
        <v>2</v>
      </c>
      <c r="E1690" s="12">
        <v>198</v>
      </c>
      <c r="F1690" s="10" t="str">
        <f>_xlfn.XLOOKUP(C1690,menu!A:A,menu!B:B)</f>
        <v>Chicken Burger</v>
      </c>
      <c r="G1690" s="10" t="str">
        <f>_xlfn.XLOOKUP(C1690,menu!A:A,menu!C:C)</f>
        <v>Burger</v>
      </c>
      <c r="H1690" s="10">
        <f>_xlfn.XLOOKUP(C1690,menu!A:A,menu!E:E)</f>
        <v>30</v>
      </c>
      <c r="I1690" s="10">
        <f t="shared" si="26"/>
        <v>60</v>
      </c>
      <c r="K1690" s="10"/>
      <c r="L1690" s="5"/>
    </row>
    <row r="1691" spans="1:12" x14ac:dyDescent="0.25">
      <c r="A1691" s="5" t="s">
        <v>4923</v>
      </c>
      <c r="B1691" s="5" t="s">
        <v>4921</v>
      </c>
      <c r="C1691" s="5" t="s">
        <v>48</v>
      </c>
      <c r="D1691" s="21">
        <v>2</v>
      </c>
      <c r="E1691" s="12">
        <v>318</v>
      </c>
      <c r="F1691" s="10" t="str">
        <f>_xlfn.XLOOKUP(C1691,menu!A:A,menu!B:B)</f>
        <v>Chicken Lollipop</v>
      </c>
      <c r="G1691" s="10" t="str">
        <f>_xlfn.XLOOKUP(C1691,menu!A:A,menu!C:C)</f>
        <v>Starters</v>
      </c>
      <c r="H1691" s="10">
        <f>_xlfn.XLOOKUP(C1691,menu!A:A,menu!E:E)</f>
        <v>48</v>
      </c>
      <c r="I1691" s="10">
        <f t="shared" si="26"/>
        <v>96</v>
      </c>
      <c r="K1691" s="10"/>
      <c r="L1691" s="5"/>
    </row>
    <row r="1692" spans="1:12" x14ac:dyDescent="0.25">
      <c r="A1692" s="5" t="s">
        <v>4922</v>
      </c>
      <c r="B1692" s="5" t="s">
        <v>4921</v>
      </c>
      <c r="C1692" s="5" t="s">
        <v>38</v>
      </c>
      <c r="D1692" s="21">
        <v>5</v>
      </c>
      <c r="E1692" s="12">
        <v>745</v>
      </c>
      <c r="F1692" s="10" t="str">
        <f>_xlfn.XLOOKUP(C1692,menu!A:A,menu!B:B)</f>
        <v>Chicken Wings</v>
      </c>
      <c r="G1692" s="10" t="str">
        <f>_xlfn.XLOOKUP(C1692,menu!A:A,menu!C:C)</f>
        <v>Starters</v>
      </c>
      <c r="H1692" s="10">
        <f>_xlfn.XLOOKUP(C1692,menu!A:A,menu!E:E)</f>
        <v>45</v>
      </c>
      <c r="I1692" s="10">
        <f t="shared" si="26"/>
        <v>225</v>
      </c>
      <c r="K1692" s="10"/>
      <c r="L1692" s="5"/>
    </row>
    <row r="1693" spans="1:12" x14ac:dyDescent="0.25">
      <c r="A1693" s="5" t="s">
        <v>4920</v>
      </c>
      <c r="B1693" s="5" t="s">
        <v>4919</v>
      </c>
      <c r="C1693" s="5" t="s">
        <v>44</v>
      </c>
      <c r="D1693" s="21">
        <v>1</v>
      </c>
      <c r="E1693" s="12">
        <v>159</v>
      </c>
      <c r="F1693" s="10" t="str">
        <f>_xlfn.XLOOKUP(C1693,menu!A:A,menu!B:B)</f>
        <v>Fried Chicken</v>
      </c>
      <c r="G1693" s="10" t="str">
        <f>_xlfn.XLOOKUP(C1693,menu!A:A,menu!C:C)</f>
        <v>Starters</v>
      </c>
      <c r="H1693" s="10">
        <f>_xlfn.XLOOKUP(C1693,menu!A:A,menu!E:E)</f>
        <v>48</v>
      </c>
      <c r="I1693" s="10">
        <f t="shared" si="26"/>
        <v>48</v>
      </c>
      <c r="K1693" s="10"/>
      <c r="L1693" s="5"/>
    </row>
    <row r="1694" spans="1:12" x14ac:dyDescent="0.25">
      <c r="A1694" s="5" t="s">
        <v>4918</v>
      </c>
      <c r="B1694" s="5" t="s">
        <v>4915</v>
      </c>
      <c r="C1694" s="5" t="s">
        <v>40</v>
      </c>
      <c r="D1694" s="21">
        <v>1</v>
      </c>
      <c r="E1694" s="12">
        <v>99</v>
      </c>
      <c r="F1694" s="10" t="str">
        <f>_xlfn.XLOOKUP(C1694,menu!A:A,menu!B:B)</f>
        <v>Veg Nuggets</v>
      </c>
      <c r="G1694" s="10" t="str">
        <f>_xlfn.XLOOKUP(C1694,menu!A:A,menu!C:C)</f>
        <v>Starters</v>
      </c>
      <c r="H1694" s="10">
        <f>_xlfn.XLOOKUP(C1694,menu!A:A,menu!E:E)</f>
        <v>30</v>
      </c>
      <c r="I1694" s="10">
        <f t="shared" si="26"/>
        <v>30</v>
      </c>
      <c r="K1694" s="10"/>
      <c r="L1694" s="5"/>
    </row>
    <row r="1695" spans="1:12" x14ac:dyDescent="0.25">
      <c r="A1695" s="5" t="s">
        <v>4917</v>
      </c>
      <c r="B1695" s="5" t="s">
        <v>4915</v>
      </c>
      <c r="C1695" s="5" t="s">
        <v>35</v>
      </c>
      <c r="D1695" s="21">
        <v>2</v>
      </c>
      <c r="E1695" s="12">
        <v>238</v>
      </c>
      <c r="F1695" s="10" t="str">
        <f>_xlfn.XLOOKUP(C1695,menu!A:A,menu!B:B)</f>
        <v>Chicken Nuggets</v>
      </c>
      <c r="G1695" s="10" t="str">
        <f>_xlfn.XLOOKUP(C1695,menu!A:A,menu!C:C)</f>
        <v>Starters</v>
      </c>
      <c r="H1695" s="10">
        <f>_xlfn.XLOOKUP(C1695,menu!A:A,menu!E:E)</f>
        <v>36</v>
      </c>
      <c r="I1695" s="10">
        <f t="shared" si="26"/>
        <v>72</v>
      </c>
      <c r="K1695" s="10"/>
      <c r="L1695" s="5"/>
    </row>
    <row r="1696" spans="1:12" x14ac:dyDescent="0.25">
      <c r="A1696" s="5" t="s">
        <v>4916</v>
      </c>
      <c r="B1696" s="5" t="s">
        <v>4915</v>
      </c>
      <c r="C1696" s="5" t="s">
        <v>42</v>
      </c>
      <c r="D1696" s="21">
        <v>2</v>
      </c>
      <c r="E1696" s="12">
        <v>298</v>
      </c>
      <c r="F1696" s="10" t="str">
        <f>_xlfn.XLOOKUP(C1696,menu!A:A,menu!B:B)</f>
        <v>Chicken Popcorn</v>
      </c>
      <c r="G1696" s="10" t="str">
        <f>_xlfn.XLOOKUP(C1696,menu!A:A,menu!C:C)</f>
        <v>Starters</v>
      </c>
      <c r="H1696" s="10">
        <f>_xlfn.XLOOKUP(C1696,menu!A:A,menu!E:E)</f>
        <v>45</v>
      </c>
      <c r="I1696" s="10">
        <f t="shared" si="26"/>
        <v>90</v>
      </c>
      <c r="K1696" s="10"/>
      <c r="L1696" s="5"/>
    </row>
    <row r="1697" spans="1:12" x14ac:dyDescent="0.25">
      <c r="A1697" s="5" t="s">
        <v>4914</v>
      </c>
      <c r="B1697" s="5" t="s">
        <v>4911</v>
      </c>
      <c r="C1697" s="5" t="s">
        <v>17</v>
      </c>
      <c r="D1697" s="21">
        <v>2</v>
      </c>
      <c r="E1697" s="12">
        <v>178</v>
      </c>
      <c r="F1697" s="10" t="str">
        <f>_xlfn.XLOOKUP(C1697,menu!A:A,menu!B:B)</f>
        <v>Paneer Momos</v>
      </c>
      <c r="G1697" s="10" t="str">
        <f>_xlfn.XLOOKUP(C1697,menu!A:A,menu!C:C)</f>
        <v>Momos</v>
      </c>
      <c r="H1697" s="10">
        <f>_xlfn.XLOOKUP(C1697,menu!A:A,menu!E:E)</f>
        <v>27</v>
      </c>
      <c r="I1697" s="10">
        <f t="shared" si="26"/>
        <v>54</v>
      </c>
      <c r="K1697" s="10"/>
      <c r="L1697" s="5"/>
    </row>
    <row r="1698" spans="1:12" x14ac:dyDescent="0.25">
      <c r="A1698" s="5" t="s">
        <v>4913</v>
      </c>
      <c r="B1698" s="5" t="s">
        <v>4911</v>
      </c>
      <c r="C1698" s="5" t="s">
        <v>56</v>
      </c>
      <c r="D1698" s="21">
        <v>1</v>
      </c>
      <c r="E1698" s="12">
        <v>79</v>
      </c>
      <c r="F1698" s="10" t="str">
        <f>_xlfn.XLOOKUP(C1698,menu!A:A,menu!B:B)</f>
        <v>Mint Mojito</v>
      </c>
      <c r="G1698" s="10" t="str">
        <f>_xlfn.XLOOKUP(C1698,menu!A:A,menu!C:C)</f>
        <v>Beverages</v>
      </c>
      <c r="H1698" s="10">
        <f>_xlfn.XLOOKUP(C1698,menu!A:A,menu!E:E)</f>
        <v>24</v>
      </c>
      <c r="I1698" s="10">
        <f t="shared" si="26"/>
        <v>24</v>
      </c>
      <c r="K1698" s="10"/>
      <c r="L1698" s="5"/>
    </row>
    <row r="1699" spans="1:12" x14ac:dyDescent="0.25">
      <c r="A1699" s="5" t="s">
        <v>4912</v>
      </c>
      <c r="B1699" s="5" t="s">
        <v>4911</v>
      </c>
      <c r="C1699" s="5" t="s">
        <v>35</v>
      </c>
      <c r="D1699" s="21">
        <v>2</v>
      </c>
      <c r="E1699" s="12">
        <v>238</v>
      </c>
      <c r="F1699" s="10" t="str">
        <f>_xlfn.XLOOKUP(C1699,menu!A:A,menu!B:B)</f>
        <v>Chicken Nuggets</v>
      </c>
      <c r="G1699" s="10" t="str">
        <f>_xlfn.XLOOKUP(C1699,menu!A:A,menu!C:C)</f>
        <v>Starters</v>
      </c>
      <c r="H1699" s="10">
        <f>_xlfn.XLOOKUP(C1699,menu!A:A,menu!E:E)</f>
        <v>36</v>
      </c>
      <c r="I1699" s="10">
        <f t="shared" si="26"/>
        <v>72</v>
      </c>
      <c r="K1699" s="10"/>
      <c r="L1699" s="5"/>
    </row>
    <row r="1700" spans="1:12" x14ac:dyDescent="0.25">
      <c r="A1700" s="5" t="s">
        <v>4910</v>
      </c>
      <c r="B1700" s="5" t="s">
        <v>4907</v>
      </c>
      <c r="C1700" s="5" t="s">
        <v>52</v>
      </c>
      <c r="D1700" s="21">
        <v>1</v>
      </c>
      <c r="E1700" s="12">
        <v>99</v>
      </c>
      <c r="F1700" s="10" t="str">
        <f>_xlfn.XLOOKUP(C1700,menu!A:A,menu!B:B)</f>
        <v>French Fries</v>
      </c>
      <c r="G1700" s="10" t="str">
        <f>_xlfn.XLOOKUP(C1700,menu!A:A,menu!C:C)</f>
        <v>Starters</v>
      </c>
      <c r="H1700" s="10">
        <f>_xlfn.XLOOKUP(C1700,menu!A:A,menu!E:E)</f>
        <v>30</v>
      </c>
      <c r="I1700" s="10">
        <f t="shared" si="26"/>
        <v>30</v>
      </c>
      <c r="K1700" s="10"/>
      <c r="L1700" s="5"/>
    </row>
    <row r="1701" spans="1:12" x14ac:dyDescent="0.25">
      <c r="A1701" s="5" t="s">
        <v>4909</v>
      </c>
      <c r="B1701" s="5" t="s">
        <v>4907</v>
      </c>
      <c r="C1701" s="5" t="s">
        <v>10</v>
      </c>
      <c r="D1701" s="21">
        <v>2</v>
      </c>
      <c r="E1701" s="12">
        <v>238</v>
      </c>
      <c r="F1701" s="10" t="str">
        <f>_xlfn.XLOOKUP(C1701,menu!A:A,menu!B:B)</f>
        <v>Chicken Sandwich</v>
      </c>
      <c r="G1701" s="10" t="str">
        <f>_xlfn.XLOOKUP(C1701,menu!A:A,menu!C:C)</f>
        <v>Sandwich</v>
      </c>
      <c r="H1701" s="10">
        <f>_xlfn.XLOOKUP(C1701,menu!A:A,menu!E:E)</f>
        <v>36</v>
      </c>
      <c r="I1701" s="10">
        <f t="shared" si="26"/>
        <v>72</v>
      </c>
      <c r="K1701" s="10"/>
      <c r="L1701" s="5"/>
    </row>
    <row r="1702" spans="1:12" x14ac:dyDescent="0.25">
      <c r="A1702" s="5" t="s">
        <v>4908</v>
      </c>
      <c r="B1702" s="5" t="s">
        <v>4907</v>
      </c>
      <c r="C1702" s="5" t="s">
        <v>65</v>
      </c>
      <c r="D1702" s="21">
        <v>5</v>
      </c>
      <c r="E1702" s="12">
        <v>245</v>
      </c>
      <c r="F1702" s="10" t="str">
        <f>_xlfn.XLOOKUP(C1702,menu!A:A,menu!B:B)</f>
        <v>Lemon Juice</v>
      </c>
      <c r="G1702" s="10" t="str">
        <f>_xlfn.XLOOKUP(C1702,menu!A:A,menu!C:C)</f>
        <v>Beverages</v>
      </c>
      <c r="H1702" s="10">
        <f>_xlfn.XLOOKUP(C1702,menu!A:A,menu!E:E)</f>
        <v>15</v>
      </c>
      <c r="I1702" s="10">
        <f t="shared" si="26"/>
        <v>75</v>
      </c>
      <c r="K1702" s="10"/>
      <c r="L1702" s="5"/>
    </row>
    <row r="1703" spans="1:12" x14ac:dyDescent="0.25">
      <c r="A1703" s="5" t="s">
        <v>4906</v>
      </c>
      <c r="B1703" s="5" t="s">
        <v>4903</v>
      </c>
      <c r="C1703" s="5" t="s">
        <v>40</v>
      </c>
      <c r="D1703" s="21">
        <v>3</v>
      </c>
      <c r="E1703" s="12">
        <v>297</v>
      </c>
      <c r="F1703" s="10" t="str">
        <f>_xlfn.XLOOKUP(C1703,menu!A:A,menu!B:B)</f>
        <v>Veg Nuggets</v>
      </c>
      <c r="G1703" s="10" t="str">
        <f>_xlfn.XLOOKUP(C1703,menu!A:A,menu!C:C)</f>
        <v>Starters</v>
      </c>
      <c r="H1703" s="10">
        <f>_xlfn.XLOOKUP(C1703,menu!A:A,menu!E:E)</f>
        <v>30</v>
      </c>
      <c r="I1703" s="10">
        <f t="shared" si="26"/>
        <v>90</v>
      </c>
      <c r="K1703" s="10"/>
      <c r="L1703" s="5"/>
    </row>
    <row r="1704" spans="1:12" x14ac:dyDescent="0.25">
      <c r="A1704" s="5" t="s">
        <v>4905</v>
      </c>
      <c r="B1704" s="5" t="s">
        <v>4903</v>
      </c>
      <c r="C1704" s="5" t="s">
        <v>63</v>
      </c>
      <c r="D1704" s="21">
        <v>3</v>
      </c>
      <c r="E1704" s="12">
        <v>237</v>
      </c>
      <c r="F1704" s="10" t="str">
        <f>_xlfn.XLOOKUP(C1704,menu!A:A,menu!B:B)</f>
        <v>Virgin Mojito</v>
      </c>
      <c r="G1704" s="10" t="str">
        <f>_xlfn.XLOOKUP(C1704,menu!A:A,menu!C:C)</f>
        <v>Beverages</v>
      </c>
      <c r="H1704" s="10">
        <f>_xlfn.XLOOKUP(C1704,menu!A:A,menu!E:E)</f>
        <v>24</v>
      </c>
      <c r="I1704" s="10">
        <f t="shared" si="26"/>
        <v>72</v>
      </c>
      <c r="K1704" s="10"/>
      <c r="L1704" s="5"/>
    </row>
    <row r="1705" spans="1:12" x14ac:dyDescent="0.25">
      <c r="A1705" s="5" t="s">
        <v>4904</v>
      </c>
      <c r="B1705" s="5" t="s">
        <v>4903</v>
      </c>
      <c r="C1705" s="5" t="s">
        <v>50</v>
      </c>
      <c r="D1705" s="21">
        <v>1</v>
      </c>
      <c r="E1705" s="12">
        <v>149</v>
      </c>
      <c r="F1705" s="10" t="str">
        <f>_xlfn.XLOOKUP(C1705,menu!A:A,menu!B:B)</f>
        <v>Grab Lollipop</v>
      </c>
      <c r="G1705" s="10" t="str">
        <f>_xlfn.XLOOKUP(C1705,menu!A:A,menu!C:C)</f>
        <v>Starters</v>
      </c>
      <c r="H1705" s="10">
        <f>_xlfn.XLOOKUP(C1705,menu!A:A,menu!E:E)</f>
        <v>45</v>
      </c>
      <c r="I1705" s="10">
        <f t="shared" si="26"/>
        <v>45</v>
      </c>
      <c r="K1705" s="10"/>
      <c r="L1705" s="5"/>
    </row>
    <row r="1706" spans="1:12" x14ac:dyDescent="0.25">
      <c r="A1706" s="5" t="s">
        <v>4902</v>
      </c>
      <c r="B1706" s="5" t="s">
        <v>4900</v>
      </c>
      <c r="C1706" s="5" t="s">
        <v>56</v>
      </c>
      <c r="D1706" s="21">
        <v>2</v>
      </c>
      <c r="E1706" s="12">
        <v>158</v>
      </c>
      <c r="F1706" s="10" t="str">
        <f>_xlfn.XLOOKUP(C1706,menu!A:A,menu!B:B)</f>
        <v>Mint Mojito</v>
      </c>
      <c r="G1706" s="10" t="str">
        <f>_xlfn.XLOOKUP(C1706,menu!A:A,menu!C:C)</f>
        <v>Beverages</v>
      </c>
      <c r="H1706" s="10">
        <f>_xlfn.XLOOKUP(C1706,menu!A:A,menu!E:E)</f>
        <v>24</v>
      </c>
      <c r="I1706" s="10">
        <f t="shared" si="26"/>
        <v>48</v>
      </c>
      <c r="K1706" s="10"/>
      <c r="L1706" s="5"/>
    </row>
    <row r="1707" spans="1:12" x14ac:dyDescent="0.25">
      <c r="A1707" s="5" t="s">
        <v>4901</v>
      </c>
      <c r="B1707" s="5" t="s">
        <v>4900</v>
      </c>
      <c r="C1707" s="5" t="s">
        <v>48</v>
      </c>
      <c r="D1707" s="21">
        <v>1</v>
      </c>
      <c r="E1707" s="12">
        <v>159</v>
      </c>
      <c r="F1707" s="10" t="str">
        <f>_xlfn.XLOOKUP(C1707,menu!A:A,menu!B:B)</f>
        <v>Chicken Lollipop</v>
      </c>
      <c r="G1707" s="10" t="str">
        <f>_xlfn.XLOOKUP(C1707,menu!A:A,menu!C:C)</f>
        <v>Starters</v>
      </c>
      <c r="H1707" s="10">
        <f>_xlfn.XLOOKUP(C1707,menu!A:A,menu!E:E)</f>
        <v>48</v>
      </c>
      <c r="I1707" s="10">
        <f t="shared" si="26"/>
        <v>48</v>
      </c>
      <c r="K1707" s="10"/>
      <c r="L1707" s="5"/>
    </row>
    <row r="1708" spans="1:12" x14ac:dyDescent="0.25">
      <c r="A1708" s="5" t="s">
        <v>4899</v>
      </c>
      <c r="B1708" s="5" t="s">
        <v>4897</v>
      </c>
      <c r="C1708" s="5" t="s">
        <v>5</v>
      </c>
      <c r="D1708" s="21">
        <v>1</v>
      </c>
      <c r="E1708" s="12">
        <v>79</v>
      </c>
      <c r="F1708" s="10" t="str">
        <f>_xlfn.XLOOKUP(C1708,menu!A:A,menu!B:B)</f>
        <v>Veg Sandwich</v>
      </c>
      <c r="G1708" s="10" t="str">
        <f>_xlfn.XLOOKUP(C1708,menu!A:A,menu!C:C)</f>
        <v>Sandwich</v>
      </c>
      <c r="H1708" s="10">
        <f>_xlfn.XLOOKUP(C1708,menu!A:A,menu!E:E)</f>
        <v>24</v>
      </c>
      <c r="I1708" s="10">
        <f t="shared" si="26"/>
        <v>24</v>
      </c>
      <c r="K1708" s="10"/>
      <c r="L1708" s="5"/>
    </row>
    <row r="1709" spans="1:12" x14ac:dyDescent="0.25">
      <c r="A1709" s="5" t="s">
        <v>4898</v>
      </c>
      <c r="B1709" s="5" t="s">
        <v>4897</v>
      </c>
      <c r="C1709" s="5" t="s">
        <v>52</v>
      </c>
      <c r="D1709" s="21">
        <v>1</v>
      </c>
      <c r="E1709" s="12">
        <v>99</v>
      </c>
      <c r="F1709" s="10" t="str">
        <f>_xlfn.XLOOKUP(C1709,menu!A:A,menu!B:B)</f>
        <v>French Fries</v>
      </c>
      <c r="G1709" s="10" t="str">
        <f>_xlfn.XLOOKUP(C1709,menu!A:A,menu!C:C)</f>
        <v>Starters</v>
      </c>
      <c r="H1709" s="10">
        <f>_xlfn.XLOOKUP(C1709,menu!A:A,menu!E:E)</f>
        <v>30</v>
      </c>
      <c r="I1709" s="10">
        <f t="shared" si="26"/>
        <v>30</v>
      </c>
      <c r="K1709" s="10"/>
      <c r="L1709" s="5"/>
    </row>
    <row r="1710" spans="1:12" x14ac:dyDescent="0.25">
      <c r="A1710" s="5" t="s">
        <v>4896</v>
      </c>
      <c r="B1710" s="5" t="s">
        <v>4892</v>
      </c>
      <c r="C1710" s="5" t="s">
        <v>17</v>
      </c>
      <c r="D1710" s="21">
        <v>1</v>
      </c>
      <c r="E1710" s="12">
        <v>89</v>
      </c>
      <c r="F1710" s="10" t="str">
        <f>_xlfn.XLOOKUP(C1710,menu!A:A,menu!B:B)</f>
        <v>Paneer Momos</v>
      </c>
      <c r="G1710" s="10" t="str">
        <f>_xlfn.XLOOKUP(C1710,menu!A:A,menu!C:C)</f>
        <v>Momos</v>
      </c>
      <c r="H1710" s="10">
        <f>_xlfn.XLOOKUP(C1710,menu!A:A,menu!E:E)</f>
        <v>27</v>
      </c>
      <c r="I1710" s="10">
        <f t="shared" si="26"/>
        <v>27</v>
      </c>
      <c r="K1710" s="10"/>
      <c r="L1710" s="5"/>
    </row>
    <row r="1711" spans="1:12" x14ac:dyDescent="0.25">
      <c r="A1711" s="5" t="s">
        <v>4895</v>
      </c>
      <c r="B1711" s="5" t="s">
        <v>4892</v>
      </c>
      <c r="C1711" s="5" t="s">
        <v>56</v>
      </c>
      <c r="D1711" s="21">
        <v>1</v>
      </c>
      <c r="E1711" s="12">
        <v>79</v>
      </c>
      <c r="F1711" s="10" t="str">
        <f>_xlfn.XLOOKUP(C1711,menu!A:A,menu!B:B)</f>
        <v>Mint Mojito</v>
      </c>
      <c r="G1711" s="10" t="str">
        <f>_xlfn.XLOOKUP(C1711,menu!A:A,menu!C:C)</f>
        <v>Beverages</v>
      </c>
      <c r="H1711" s="10">
        <f>_xlfn.XLOOKUP(C1711,menu!A:A,menu!E:E)</f>
        <v>24</v>
      </c>
      <c r="I1711" s="10">
        <f t="shared" si="26"/>
        <v>24</v>
      </c>
      <c r="K1711" s="10"/>
      <c r="L1711" s="5"/>
    </row>
    <row r="1712" spans="1:12" x14ac:dyDescent="0.25">
      <c r="A1712" s="5" t="s">
        <v>4894</v>
      </c>
      <c r="B1712" s="5" t="s">
        <v>4892</v>
      </c>
      <c r="C1712" s="5" t="s">
        <v>42</v>
      </c>
      <c r="D1712" s="21">
        <v>1</v>
      </c>
      <c r="E1712" s="12">
        <v>149</v>
      </c>
      <c r="F1712" s="10" t="str">
        <f>_xlfn.XLOOKUP(C1712,menu!A:A,menu!B:B)</f>
        <v>Chicken Popcorn</v>
      </c>
      <c r="G1712" s="10" t="str">
        <f>_xlfn.XLOOKUP(C1712,menu!A:A,menu!C:C)</f>
        <v>Starters</v>
      </c>
      <c r="H1712" s="10">
        <f>_xlfn.XLOOKUP(C1712,menu!A:A,menu!E:E)</f>
        <v>45</v>
      </c>
      <c r="I1712" s="10">
        <f t="shared" si="26"/>
        <v>45</v>
      </c>
      <c r="K1712" s="10"/>
      <c r="L1712" s="5"/>
    </row>
    <row r="1713" spans="1:12" x14ac:dyDescent="0.25">
      <c r="A1713" s="5" t="s">
        <v>4893</v>
      </c>
      <c r="B1713" s="5" t="s">
        <v>4892</v>
      </c>
      <c r="C1713" s="5" t="s">
        <v>48</v>
      </c>
      <c r="D1713" s="21">
        <v>2</v>
      </c>
      <c r="E1713" s="12">
        <v>318</v>
      </c>
      <c r="F1713" s="10" t="str">
        <f>_xlfn.XLOOKUP(C1713,menu!A:A,menu!B:B)</f>
        <v>Chicken Lollipop</v>
      </c>
      <c r="G1713" s="10" t="str">
        <f>_xlfn.XLOOKUP(C1713,menu!A:A,menu!C:C)</f>
        <v>Starters</v>
      </c>
      <c r="H1713" s="10">
        <f>_xlfn.XLOOKUP(C1713,menu!A:A,menu!E:E)</f>
        <v>48</v>
      </c>
      <c r="I1713" s="10">
        <f t="shared" si="26"/>
        <v>96</v>
      </c>
      <c r="K1713" s="10"/>
      <c r="L1713" s="5"/>
    </row>
    <row r="1714" spans="1:12" x14ac:dyDescent="0.25">
      <c r="A1714" s="5" t="s">
        <v>4891</v>
      </c>
      <c r="B1714" s="5" t="s">
        <v>4889</v>
      </c>
      <c r="C1714" s="5" t="s">
        <v>15</v>
      </c>
      <c r="D1714" s="21">
        <v>1</v>
      </c>
      <c r="E1714" s="12">
        <v>99</v>
      </c>
      <c r="F1714" s="10" t="str">
        <f>_xlfn.XLOOKUP(C1714,menu!A:A,menu!B:B)</f>
        <v>Chicken Momos</v>
      </c>
      <c r="G1714" s="10" t="str">
        <f>_xlfn.XLOOKUP(C1714,menu!A:A,menu!C:C)</f>
        <v>Momos</v>
      </c>
      <c r="H1714" s="10">
        <f>_xlfn.XLOOKUP(C1714,menu!A:A,menu!E:E)</f>
        <v>30</v>
      </c>
      <c r="I1714" s="10">
        <f t="shared" si="26"/>
        <v>30</v>
      </c>
      <c r="K1714" s="10"/>
      <c r="L1714" s="5"/>
    </row>
    <row r="1715" spans="1:12" x14ac:dyDescent="0.25">
      <c r="A1715" s="5" t="s">
        <v>4890</v>
      </c>
      <c r="B1715" s="5" t="s">
        <v>4889</v>
      </c>
      <c r="C1715" s="5" t="s">
        <v>65</v>
      </c>
      <c r="D1715" s="21">
        <v>4</v>
      </c>
      <c r="E1715" s="12">
        <v>196</v>
      </c>
      <c r="F1715" s="10" t="str">
        <f>_xlfn.XLOOKUP(C1715,menu!A:A,menu!B:B)</f>
        <v>Lemon Juice</v>
      </c>
      <c r="G1715" s="10" t="str">
        <f>_xlfn.XLOOKUP(C1715,menu!A:A,menu!C:C)</f>
        <v>Beverages</v>
      </c>
      <c r="H1715" s="10">
        <f>_xlfn.XLOOKUP(C1715,menu!A:A,menu!E:E)</f>
        <v>15</v>
      </c>
      <c r="I1715" s="10">
        <f t="shared" si="26"/>
        <v>60</v>
      </c>
      <c r="K1715" s="10"/>
      <c r="L1715" s="5"/>
    </row>
    <row r="1716" spans="1:12" x14ac:dyDescent="0.25">
      <c r="A1716" s="5" t="s">
        <v>4888</v>
      </c>
      <c r="B1716" s="5" t="s">
        <v>4884</v>
      </c>
      <c r="C1716" s="5" t="s">
        <v>19</v>
      </c>
      <c r="D1716" s="21">
        <v>1</v>
      </c>
      <c r="E1716" s="12">
        <v>79</v>
      </c>
      <c r="F1716" s="10" t="str">
        <f>_xlfn.XLOOKUP(C1716,menu!A:A,menu!B:B)</f>
        <v>Veg Burger</v>
      </c>
      <c r="G1716" s="10" t="str">
        <f>_xlfn.XLOOKUP(C1716,menu!A:A,menu!C:C)</f>
        <v>Burger</v>
      </c>
      <c r="H1716" s="10">
        <f>_xlfn.XLOOKUP(C1716,menu!A:A,menu!E:E)</f>
        <v>24</v>
      </c>
      <c r="I1716" s="10">
        <f t="shared" si="26"/>
        <v>24</v>
      </c>
      <c r="K1716" s="10"/>
      <c r="L1716" s="5"/>
    </row>
    <row r="1717" spans="1:12" x14ac:dyDescent="0.25">
      <c r="A1717" s="5" t="s">
        <v>4887</v>
      </c>
      <c r="B1717" s="5" t="s">
        <v>4884</v>
      </c>
      <c r="C1717" s="5" t="s">
        <v>54</v>
      </c>
      <c r="D1717" s="21">
        <v>3</v>
      </c>
      <c r="E1717" s="12">
        <v>417</v>
      </c>
      <c r="F1717" s="10" t="str">
        <f>_xlfn.XLOOKUP(C1717,menu!A:A,menu!B:B)</f>
        <v>Chicken Strips</v>
      </c>
      <c r="G1717" s="10" t="str">
        <f>_xlfn.XLOOKUP(C1717,menu!A:A,menu!C:C)</f>
        <v>Starters</v>
      </c>
      <c r="H1717" s="10">
        <f>_xlfn.XLOOKUP(C1717,menu!A:A,menu!E:E)</f>
        <v>42</v>
      </c>
      <c r="I1717" s="10">
        <f t="shared" si="26"/>
        <v>126</v>
      </c>
      <c r="K1717" s="10"/>
      <c r="L1717" s="5"/>
    </row>
    <row r="1718" spans="1:12" x14ac:dyDescent="0.25">
      <c r="A1718" s="5" t="s">
        <v>4886</v>
      </c>
      <c r="B1718" s="5" t="s">
        <v>4884</v>
      </c>
      <c r="C1718" s="5" t="s">
        <v>35</v>
      </c>
      <c r="D1718" s="21">
        <v>2</v>
      </c>
      <c r="E1718" s="12">
        <v>238</v>
      </c>
      <c r="F1718" s="10" t="str">
        <f>_xlfn.XLOOKUP(C1718,menu!A:A,menu!B:B)</f>
        <v>Chicken Nuggets</v>
      </c>
      <c r="G1718" s="10" t="str">
        <f>_xlfn.XLOOKUP(C1718,menu!A:A,menu!C:C)</f>
        <v>Starters</v>
      </c>
      <c r="H1718" s="10">
        <f>_xlfn.XLOOKUP(C1718,menu!A:A,menu!E:E)</f>
        <v>36</v>
      </c>
      <c r="I1718" s="10">
        <f t="shared" si="26"/>
        <v>72</v>
      </c>
      <c r="K1718" s="10"/>
      <c r="L1718" s="5"/>
    </row>
    <row r="1719" spans="1:12" x14ac:dyDescent="0.25">
      <c r="A1719" s="5" t="s">
        <v>4885</v>
      </c>
      <c r="B1719" s="5" t="s">
        <v>4884</v>
      </c>
      <c r="C1719" s="5" t="s">
        <v>8</v>
      </c>
      <c r="D1719" s="21">
        <v>1</v>
      </c>
      <c r="E1719" s="12">
        <v>99</v>
      </c>
      <c r="F1719" s="10" t="str">
        <f>_xlfn.XLOOKUP(C1719,menu!A:A,menu!B:B)</f>
        <v>Paneer Sandwich</v>
      </c>
      <c r="G1719" s="10" t="str">
        <f>_xlfn.XLOOKUP(C1719,menu!A:A,menu!C:C)</f>
        <v>Sandwich</v>
      </c>
      <c r="H1719" s="10">
        <f>_xlfn.XLOOKUP(C1719,menu!A:A,menu!E:E)</f>
        <v>30</v>
      </c>
      <c r="I1719" s="10">
        <f t="shared" si="26"/>
        <v>30</v>
      </c>
      <c r="K1719" s="10"/>
      <c r="L1719" s="5"/>
    </row>
    <row r="1720" spans="1:12" x14ac:dyDescent="0.25">
      <c r="A1720" s="5" t="s">
        <v>4883</v>
      </c>
      <c r="B1720" s="5" t="s">
        <v>4880</v>
      </c>
      <c r="C1720" s="5" t="s">
        <v>29</v>
      </c>
      <c r="D1720" s="21">
        <v>1</v>
      </c>
      <c r="E1720" s="12">
        <v>79</v>
      </c>
      <c r="F1720" s="10" t="str">
        <f>_xlfn.XLOOKUP(C1720,menu!A:A,menu!B:B)</f>
        <v>Paneer Roll</v>
      </c>
      <c r="G1720" s="10" t="str">
        <f>_xlfn.XLOOKUP(C1720,menu!A:A,menu!C:C)</f>
        <v>Rolls</v>
      </c>
      <c r="H1720" s="10">
        <f>_xlfn.XLOOKUP(C1720,menu!A:A,menu!E:E)</f>
        <v>24</v>
      </c>
      <c r="I1720" s="10">
        <f t="shared" si="26"/>
        <v>24</v>
      </c>
      <c r="K1720" s="10"/>
      <c r="L1720" s="5"/>
    </row>
    <row r="1721" spans="1:12" x14ac:dyDescent="0.25">
      <c r="A1721" s="5" t="s">
        <v>4882</v>
      </c>
      <c r="B1721" s="5" t="s">
        <v>4880</v>
      </c>
      <c r="C1721" s="5" t="s">
        <v>65</v>
      </c>
      <c r="D1721" s="21">
        <v>1</v>
      </c>
      <c r="E1721" s="12">
        <v>49</v>
      </c>
      <c r="F1721" s="10" t="str">
        <f>_xlfn.XLOOKUP(C1721,menu!A:A,menu!B:B)</f>
        <v>Lemon Juice</v>
      </c>
      <c r="G1721" s="10" t="str">
        <f>_xlfn.XLOOKUP(C1721,menu!A:A,menu!C:C)</f>
        <v>Beverages</v>
      </c>
      <c r="H1721" s="10">
        <f>_xlfn.XLOOKUP(C1721,menu!A:A,menu!E:E)</f>
        <v>15</v>
      </c>
      <c r="I1721" s="10">
        <f t="shared" si="26"/>
        <v>15</v>
      </c>
      <c r="K1721" s="10"/>
      <c r="L1721" s="5"/>
    </row>
    <row r="1722" spans="1:12" x14ac:dyDescent="0.25">
      <c r="A1722" s="5" t="s">
        <v>4881</v>
      </c>
      <c r="B1722" s="5" t="s">
        <v>4880</v>
      </c>
      <c r="C1722" s="5" t="s">
        <v>33</v>
      </c>
      <c r="D1722" s="21">
        <v>2</v>
      </c>
      <c r="E1722" s="12">
        <v>138</v>
      </c>
      <c r="F1722" s="10" t="str">
        <f>_xlfn.XLOOKUP(C1722,menu!A:A,menu!B:B)</f>
        <v>Spring Roll</v>
      </c>
      <c r="G1722" s="10" t="str">
        <f>_xlfn.XLOOKUP(C1722,menu!A:A,menu!C:C)</f>
        <v>Rolls</v>
      </c>
      <c r="H1722" s="10">
        <f>_xlfn.XLOOKUP(C1722,menu!A:A,menu!E:E)</f>
        <v>21</v>
      </c>
      <c r="I1722" s="10">
        <f t="shared" si="26"/>
        <v>42</v>
      </c>
      <c r="K1722" s="10"/>
      <c r="L1722" s="5"/>
    </row>
    <row r="1723" spans="1:12" x14ac:dyDescent="0.25">
      <c r="A1723" s="5" t="s">
        <v>4879</v>
      </c>
      <c r="B1723" s="5" t="s">
        <v>4877</v>
      </c>
      <c r="C1723" s="5" t="s">
        <v>54</v>
      </c>
      <c r="D1723" s="21">
        <v>1</v>
      </c>
      <c r="E1723" s="12">
        <v>139</v>
      </c>
      <c r="F1723" s="10" t="str">
        <f>_xlfn.XLOOKUP(C1723,menu!A:A,menu!B:B)</f>
        <v>Chicken Strips</v>
      </c>
      <c r="G1723" s="10" t="str">
        <f>_xlfn.XLOOKUP(C1723,menu!A:A,menu!C:C)</f>
        <v>Starters</v>
      </c>
      <c r="H1723" s="10">
        <f>_xlfn.XLOOKUP(C1723,menu!A:A,menu!E:E)</f>
        <v>42</v>
      </c>
      <c r="I1723" s="10">
        <f t="shared" si="26"/>
        <v>42</v>
      </c>
      <c r="K1723" s="10"/>
      <c r="L1723" s="5"/>
    </row>
    <row r="1724" spans="1:12" x14ac:dyDescent="0.25">
      <c r="A1724" s="5" t="s">
        <v>4878</v>
      </c>
      <c r="B1724" s="5" t="s">
        <v>4877</v>
      </c>
      <c r="C1724" s="5" t="s">
        <v>61</v>
      </c>
      <c r="D1724" s="21">
        <v>3</v>
      </c>
      <c r="E1724" s="12">
        <v>237</v>
      </c>
      <c r="F1724" s="10" t="str">
        <f>_xlfn.XLOOKUP(C1724,menu!A:A,menu!B:B)</f>
        <v>Watermelon Mojito</v>
      </c>
      <c r="G1724" s="10" t="str">
        <f>_xlfn.XLOOKUP(C1724,menu!A:A,menu!C:C)</f>
        <v>Beverages</v>
      </c>
      <c r="H1724" s="10">
        <f>_xlfn.XLOOKUP(C1724,menu!A:A,menu!E:E)</f>
        <v>24</v>
      </c>
      <c r="I1724" s="10">
        <f t="shared" si="26"/>
        <v>72</v>
      </c>
      <c r="K1724" s="10"/>
      <c r="L1724" s="5"/>
    </row>
    <row r="1725" spans="1:12" x14ac:dyDescent="0.25">
      <c r="A1725" s="5" t="s">
        <v>4876</v>
      </c>
      <c r="B1725" s="5" t="s">
        <v>4872</v>
      </c>
      <c r="C1725" s="5" t="s">
        <v>44</v>
      </c>
      <c r="D1725" s="21">
        <v>1</v>
      </c>
      <c r="E1725" s="12">
        <v>159</v>
      </c>
      <c r="F1725" s="10" t="str">
        <f>_xlfn.XLOOKUP(C1725,menu!A:A,menu!B:B)</f>
        <v>Fried Chicken</v>
      </c>
      <c r="G1725" s="10" t="str">
        <f>_xlfn.XLOOKUP(C1725,menu!A:A,menu!C:C)</f>
        <v>Starters</v>
      </c>
      <c r="H1725" s="10">
        <f>_xlfn.XLOOKUP(C1725,menu!A:A,menu!E:E)</f>
        <v>48</v>
      </c>
      <c r="I1725" s="10">
        <f t="shared" si="26"/>
        <v>48</v>
      </c>
      <c r="K1725" s="10"/>
      <c r="L1725" s="5"/>
    </row>
    <row r="1726" spans="1:12" x14ac:dyDescent="0.25">
      <c r="A1726" s="5" t="s">
        <v>4875</v>
      </c>
      <c r="B1726" s="5" t="s">
        <v>4872</v>
      </c>
      <c r="C1726" s="5" t="s">
        <v>15</v>
      </c>
      <c r="D1726" s="21">
        <v>2</v>
      </c>
      <c r="E1726" s="12">
        <v>198</v>
      </c>
      <c r="F1726" s="10" t="str">
        <f>_xlfn.XLOOKUP(C1726,menu!A:A,menu!B:B)</f>
        <v>Chicken Momos</v>
      </c>
      <c r="G1726" s="10" t="str">
        <f>_xlfn.XLOOKUP(C1726,menu!A:A,menu!C:C)</f>
        <v>Momos</v>
      </c>
      <c r="H1726" s="10">
        <f>_xlfn.XLOOKUP(C1726,menu!A:A,menu!E:E)</f>
        <v>30</v>
      </c>
      <c r="I1726" s="10">
        <f t="shared" si="26"/>
        <v>60</v>
      </c>
      <c r="K1726" s="10"/>
      <c r="L1726" s="5"/>
    </row>
    <row r="1727" spans="1:12" x14ac:dyDescent="0.25">
      <c r="A1727" s="5" t="s">
        <v>4874</v>
      </c>
      <c r="B1727" s="5" t="s">
        <v>4872</v>
      </c>
      <c r="C1727" s="5" t="s">
        <v>22</v>
      </c>
      <c r="D1727" s="21">
        <v>1</v>
      </c>
      <c r="E1727" s="12">
        <v>99</v>
      </c>
      <c r="F1727" s="10" t="str">
        <f>_xlfn.XLOOKUP(C1727,menu!A:A,menu!B:B)</f>
        <v>Chicken Burger</v>
      </c>
      <c r="G1727" s="10" t="str">
        <f>_xlfn.XLOOKUP(C1727,menu!A:A,menu!C:C)</f>
        <v>Burger</v>
      </c>
      <c r="H1727" s="10">
        <f>_xlfn.XLOOKUP(C1727,menu!A:A,menu!E:E)</f>
        <v>30</v>
      </c>
      <c r="I1727" s="10">
        <f t="shared" si="26"/>
        <v>30</v>
      </c>
      <c r="K1727" s="10"/>
      <c r="L1727" s="5"/>
    </row>
    <row r="1728" spans="1:12" x14ac:dyDescent="0.25">
      <c r="A1728" s="5" t="s">
        <v>4873</v>
      </c>
      <c r="B1728" s="5" t="s">
        <v>4872</v>
      </c>
      <c r="C1728" s="5" t="s">
        <v>26</v>
      </c>
      <c r="D1728" s="21">
        <v>1</v>
      </c>
      <c r="E1728" s="12">
        <v>59</v>
      </c>
      <c r="F1728" s="10" t="str">
        <f>_xlfn.XLOOKUP(C1728,menu!A:A,menu!B:B)</f>
        <v>Veg Roll</v>
      </c>
      <c r="G1728" s="10" t="str">
        <f>_xlfn.XLOOKUP(C1728,menu!A:A,menu!C:C)</f>
        <v>Rolls</v>
      </c>
      <c r="H1728" s="10">
        <f>_xlfn.XLOOKUP(C1728,menu!A:A,menu!E:E)</f>
        <v>18</v>
      </c>
      <c r="I1728" s="10">
        <f t="shared" si="26"/>
        <v>18</v>
      </c>
      <c r="K1728" s="10"/>
      <c r="L1728" s="5"/>
    </row>
    <row r="1729" spans="1:12" x14ac:dyDescent="0.25">
      <c r="A1729" s="5" t="s">
        <v>4871</v>
      </c>
      <c r="B1729" s="5" t="s">
        <v>4869</v>
      </c>
      <c r="C1729" s="5" t="s">
        <v>17</v>
      </c>
      <c r="D1729" s="21">
        <v>4</v>
      </c>
      <c r="E1729" s="12">
        <v>356</v>
      </c>
      <c r="F1729" s="10" t="str">
        <f>_xlfn.XLOOKUP(C1729,menu!A:A,menu!B:B)</f>
        <v>Paneer Momos</v>
      </c>
      <c r="G1729" s="10" t="str">
        <f>_xlfn.XLOOKUP(C1729,menu!A:A,menu!C:C)</f>
        <v>Momos</v>
      </c>
      <c r="H1729" s="10">
        <f>_xlfn.XLOOKUP(C1729,menu!A:A,menu!E:E)</f>
        <v>27</v>
      </c>
      <c r="I1729" s="10">
        <f t="shared" si="26"/>
        <v>108</v>
      </c>
      <c r="K1729" s="10"/>
      <c r="L1729" s="5"/>
    </row>
    <row r="1730" spans="1:12" x14ac:dyDescent="0.25">
      <c r="A1730" s="5" t="s">
        <v>4870</v>
      </c>
      <c r="B1730" s="5" t="s">
        <v>4869</v>
      </c>
      <c r="C1730" s="5" t="s">
        <v>15</v>
      </c>
      <c r="D1730" s="21">
        <v>5</v>
      </c>
      <c r="E1730" s="12">
        <v>495</v>
      </c>
      <c r="F1730" s="10" t="str">
        <f>_xlfn.XLOOKUP(C1730,menu!A:A,menu!B:B)</f>
        <v>Chicken Momos</v>
      </c>
      <c r="G1730" s="10" t="str">
        <f>_xlfn.XLOOKUP(C1730,menu!A:A,menu!C:C)</f>
        <v>Momos</v>
      </c>
      <c r="H1730" s="10">
        <f>_xlfn.XLOOKUP(C1730,menu!A:A,menu!E:E)</f>
        <v>30</v>
      </c>
      <c r="I1730" s="10">
        <f t="shared" si="26"/>
        <v>150</v>
      </c>
      <c r="K1730" s="10"/>
      <c r="L1730" s="5"/>
    </row>
    <row r="1731" spans="1:12" x14ac:dyDescent="0.25">
      <c r="A1731" s="5" t="s">
        <v>4868</v>
      </c>
      <c r="B1731" s="5" t="s">
        <v>4865</v>
      </c>
      <c r="C1731" s="5" t="s">
        <v>50</v>
      </c>
      <c r="D1731" s="21">
        <v>4</v>
      </c>
      <c r="E1731" s="12">
        <v>596</v>
      </c>
      <c r="F1731" s="10" t="str">
        <f>_xlfn.XLOOKUP(C1731,menu!A:A,menu!B:B)</f>
        <v>Grab Lollipop</v>
      </c>
      <c r="G1731" s="10" t="str">
        <f>_xlfn.XLOOKUP(C1731,menu!A:A,menu!C:C)</f>
        <v>Starters</v>
      </c>
      <c r="H1731" s="10">
        <f>_xlfn.XLOOKUP(C1731,menu!A:A,menu!E:E)</f>
        <v>45</v>
      </c>
      <c r="I1731" s="10">
        <f t="shared" ref="I1731:I1794" si="27">D1731*H1731</f>
        <v>180</v>
      </c>
      <c r="K1731" s="10"/>
      <c r="L1731" s="5"/>
    </row>
    <row r="1732" spans="1:12" x14ac:dyDescent="0.25">
      <c r="A1732" s="5" t="s">
        <v>4867</v>
      </c>
      <c r="B1732" s="5" t="s">
        <v>4865</v>
      </c>
      <c r="C1732" s="5" t="s">
        <v>22</v>
      </c>
      <c r="D1732" s="21">
        <v>1</v>
      </c>
      <c r="E1732" s="12">
        <v>99</v>
      </c>
      <c r="F1732" s="10" t="str">
        <f>_xlfn.XLOOKUP(C1732,menu!A:A,menu!B:B)</f>
        <v>Chicken Burger</v>
      </c>
      <c r="G1732" s="10" t="str">
        <f>_xlfn.XLOOKUP(C1732,menu!A:A,menu!C:C)</f>
        <v>Burger</v>
      </c>
      <c r="H1732" s="10">
        <f>_xlfn.XLOOKUP(C1732,menu!A:A,menu!E:E)</f>
        <v>30</v>
      </c>
      <c r="I1732" s="10">
        <f t="shared" si="27"/>
        <v>30</v>
      </c>
      <c r="K1732" s="10"/>
      <c r="L1732" s="5"/>
    </row>
    <row r="1733" spans="1:12" x14ac:dyDescent="0.25">
      <c r="A1733" s="5" t="s">
        <v>4866</v>
      </c>
      <c r="B1733" s="5" t="s">
        <v>4865</v>
      </c>
      <c r="C1733" s="5" t="s">
        <v>26</v>
      </c>
      <c r="D1733" s="21">
        <v>3</v>
      </c>
      <c r="E1733" s="12">
        <v>177</v>
      </c>
      <c r="F1733" s="10" t="str">
        <f>_xlfn.XLOOKUP(C1733,menu!A:A,menu!B:B)</f>
        <v>Veg Roll</v>
      </c>
      <c r="G1733" s="10" t="str">
        <f>_xlfn.XLOOKUP(C1733,menu!A:A,menu!C:C)</f>
        <v>Rolls</v>
      </c>
      <c r="H1733" s="10">
        <f>_xlfn.XLOOKUP(C1733,menu!A:A,menu!E:E)</f>
        <v>18</v>
      </c>
      <c r="I1733" s="10">
        <f t="shared" si="27"/>
        <v>54</v>
      </c>
      <c r="K1733" s="10"/>
      <c r="L1733" s="5"/>
    </row>
    <row r="1734" spans="1:12" x14ac:dyDescent="0.25">
      <c r="A1734" s="5" t="s">
        <v>4864</v>
      </c>
      <c r="B1734" s="5" t="s">
        <v>4862</v>
      </c>
      <c r="C1734" s="5" t="s">
        <v>19</v>
      </c>
      <c r="D1734" s="21">
        <v>1</v>
      </c>
      <c r="E1734" s="12">
        <v>79</v>
      </c>
      <c r="F1734" s="10" t="str">
        <f>_xlfn.XLOOKUP(C1734,menu!A:A,menu!B:B)</f>
        <v>Veg Burger</v>
      </c>
      <c r="G1734" s="10" t="str">
        <f>_xlfn.XLOOKUP(C1734,menu!A:A,menu!C:C)</f>
        <v>Burger</v>
      </c>
      <c r="H1734" s="10">
        <f>_xlfn.XLOOKUP(C1734,menu!A:A,menu!E:E)</f>
        <v>24</v>
      </c>
      <c r="I1734" s="10">
        <f t="shared" si="27"/>
        <v>24</v>
      </c>
      <c r="K1734" s="10"/>
      <c r="L1734" s="5"/>
    </row>
    <row r="1735" spans="1:12" x14ac:dyDescent="0.25">
      <c r="A1735" s="5" t="s">
        <v>4863</v>
      </c>
      <c r="B1735" s="5" t="s">
        <v>4862</v>
      </c>
      <c r="C1735" s="5" t="s">
        <v>33</v>
      </c>
      <c r="D1735" s="21">
        <v>5</v>
      </c>
      <c r="E1735" s="12">
        <v>345</v>
      </c>
      <c r="F1735" s="10" t="str">
        <f>_xlfn.XLOOKUP(C1735,menu!A:A,menu!B:B)</f>
        <v>Spring Roll</v>
      </c>
      <c r="G1735" s="10" t="str">
        <f>_xlfn.XLOOKUP(C1735,menu!A:A,menu!C:C)</f>
        <v>Rolls</v>
      </c>
      <c r="H1735" s="10">
        <f>_xlfn.XLOOKUP(C1735,menu!A:A,menu!E:E)</f>
        <v>21</v>
      </c>
      <c r="I1735" s="10">
        <f t="shared" si="27"/>
        <v>105</v>
      </c>
      <c r="K1735" s="10"/>
      <c r="L1735" s="5"/>
    </row>
    <row r="1736" spans="1:12" x14ac:dyDescent="0.25">
      <c r="A1736" s="5" t="s">
        <v>4861</v>
      </c>
      <c r="B1736" s="5" t="s">
        <v>4859</v>
      </c>
      <c r="C1736" s="5" t="s">
        <v>56</v>
      </c>
      <c r="D1736" s="21">
        <v>1</v>
      </c>
      <c r="E1736" s="12">
        <v>79</v>
      </c>
      <c r="F1736" s="10" t="str">
        <f>_xlfn.XLOOKUP(C1736,menu!A:A,menu!B:B)</f>
        <v>Mint Mojito</v>
      </c>
      <c r="G1736" s="10" t="str">
        <f>_xlfn.XLOOKUP(C1736,menu!A:A,menu!C:C)</f>
        <v>Beverages</v>
      </c>
      <c r="H1736" s="10">
        <f>_xlfn.XLOOKUP(C1736,menu!A:A,menu!E:E)</f>
        <v>24</v>
      </c>
      <c r="I1736" s="10">
        <f t="shared" si="27"/>
        <v>24</v>
      </c>
      <c r="K1736" s="10"/>
      <c r="L1736" s="5"/>
    </row>
    <row r="1737" spans="1:12" x14ac:dyDescent="0.25">
      <c r="A1737" s="5" t="s">
        <v>4860</v>
      </c>
      <c r="B1737" s="5" t="s">
        <v>4859</v>
      </c>
      <c r="C1737" s="5" t="s">
        <v>22</v>
      </c>
      <c r="D1737" s="21">
        <v>2</v>
      </c>
      <c r="E1737" s="12">
        <v>198</v>
      </c>
      <c r="F1737" s="10" t="str">
        <f>_xlfn.XLOOKUP(C1737,menu!A:A,menu!B:B)</f>
        <v>Chicken Burger</v>
      </c>
      <c r="G1737" s="10" t="str">
        <f>_xlfn.XLOOKUP(C1737,menu!A:A,menu!C:C)</f>
        <v>Burger</v>
      </c>
      <c r="H1737" s="10">
        <f>_xlfn.XLOOKUP(C1737,menu!A:A,menu!E:E)</f>
        <v>30</v>
      </c>
      <c r="I1737" s="10">
        <f t="shared" si="27"/>
        <v>60</v>
      </c>
      <c r="K1737" s="10"/>
      <c r="L1737" s="5"/>
    </row>
    <row r="1738" spans="1:12" x14ac:dyDescent="0.25">
      <c r="A1738" s="5" t="s">
        <v>4858</v>
      </c>
      <c r="B1738" s="5" t="s">
        <v>4856</v>
      </c>
      <c r="C1738" s="5" t="s">
        <v>15</v>
      </c>
      <c r="D1738" s="21">
        <v>1</v>
      </c>
      <c r="E1738" s="12">
        <v>99</v>
      </c>
      <c r="F1738" s="10" t="str">
        <f>_xlfn.XLOOKUP(C1738,menu!A:A,menu!B:B)</f>
        <v>Chicken Momos</v>
      </c>
      <c r="G1738" s="10" t="str">
        <f>_xlfn.XLOOKUP(C1738,menu!A:A,menu!C:C)</f>
        <v>Momos</v>
      </c>
      <c r="H1738" s="10">
        <f>_xlfn.XLOOKUP(C1738,menu!A:A,menu!E:E)</f>
        <v>30</v>
      </c>
      <c r="I1738" s="10">
        <f t="shared" si="27"/>
        <v>30</v>
      </c>
      <c r="K1738" s="10"/>
      <c r="L1738" s="5"/>
    </row>
    <row r="1739" spans="1:12" x14ac:dyDescent="0.25">
      <c r="A1739" s="5" t="s">
        <v>4857</v>
      </c>
      <c r="B1739" s="5" t="s">
        <v>4856</v>
      </c>
      <c r="C1739" s="5" t="s">
        <v>61</v>
      </c>
      <c r="D1739" s="21">
        <v>1</v>
      </c>
      <c r="E1739" s="12">
        <v>79</v>
      </c>
      <c r="F1739" s="10" t="str">
        <f>_xlfn.XLOOKUP(C1739,menu!A:A,menu!B:B)</f>
        <v>Watermelon Mojito</v>
      </c>
      <c r="G1739" s="10" t="str">
        <f>_xlfn.XLOOKUP(C1739,menu!A:A,menu!C:C)</f>
        <v>Beverages</v>
      </c>
      <c r="H1739" s="10">
        <f>_xlfn.XLOOKUP(C1739,menu!A:A,menu!E:E)</f>
        <v>24</v>
      </c>
      <c r="I1739" s="10">
        <f t="shared" si="27"/>
        <v>24</v>
      </c>
      <c r="K1739" s="10"/>
      <c r="L1739" s="5"/>
    </row>
    <row r="1740" spans="1:12" x14ac:dyDescent="0.25">
      <c r="A1740" s="5" t="s">
        <v>4855</v>
      </c>
      <c r="B1740" s="5" t="s">
        <v>4853</v>
      </c>
      <c r="C1740" s="5" t="s">
        <v>63</v>
      </c>
      <c r="D1740" s="21">
        <v>2</v>
      </c>
      <c r="E1740" s="12">
        <v>158</v>
      </c>
      <c r="F1740" s="10" t="str">
        <f>_xlfn.XLOOKUP(C1740,menu!A:A,menu!B:B)</f>
        <v>Virgin Mojito</v>
      </c>
      <c r="G1740" s="10" t="str">
        <f>_xlfn.XLOOKUP(C1740,menu!A:A,menu!C:C)</f>
        <v>Beverages</v>
      </c>
      <c r="H1740" s="10">
        <f>_xlfn.XLOOKUP(C1740,menu!A:A,menu!E:E)</f>
        <v>24</v>
      </c>
      <c r="I1740" s="10">
        <f t="shared" si="27"/>
        <v>48</v>
      </c>
      <c r="K1740" s="10"/>
      <c r="L1740" s="5"/>
    </row>
    <row r="1741" spans="1:12" x14ac:dyDescent="0.25">
      <c r="A1741" s="5" t="s">
        <v>4854</v>
      </c>
      <c r="B1741" s="5" t="s">
        <v>4853</v>
      </c>
      <c r="C1741" s="5" t="s">
        <v>46</v>
      </c>
      <c r="D1741" s="21">
        <v>2</v>
      </c>
      <c r="E1741" s="12">
        <v>298</v>
      </c>
      <c r="F1741" s="10" t="str">
        <f>_xlfn.XLOOKUP(C1741,menu!A:A,menu!B:B)</f>
        <v>Fish Finger</v>
      </c>
      <c r="G1741" s="10" t="str">
        <f>_xlfn.XLOOKUP(C1741,menu!A:A,menu!C:C)</f>
        <v>Starters</v>
      </c>
      <c r="H1741" s="10">
        <f>_xlfn.XLOOKUP(C1741,menu!A:A,menu!E:E)</f>
        <v>45</v>
      </c>
      <c r="I1741" s="10">
        <f t="shared" si="27"/>
        <v>90</v>
      </c>
      <c r="K1741" s="10"/>
      <c r="L1741" s="5"/>
    </row>
    <row r="1742" spans="1:12" x14ac:dyDescent="0.25">
      <c r="A1742" s="5" t="s">
        <v>4852</v>
      </c>
      <c r="B1742" s="5" t="s">
        <v>4849</v>
      </c>
      <c r="C1742" s="5" t="s">
        <v>5</v>
      </c>
      <c r="D1742" s="21">
        <v>2</v>
      </c>
      <c r="E1742" s="12">
        <v>158</v>
      </c>
      <c r="F1742" s="10" t="str">
        <f>_xlfn.XLOOKUP(C1742,menu!A:A,menu!B:B)</f>
        <v>Veg Sandwich</v>
      </c>
      <c r="G1742" s="10" t="str">
        <f>_xlfn.XLOOKUP(C1742,menu!A:A,menu!C:C)</f>
        <v>Sandwich</v>
      </c>
      <c r="H1742" s="10">
        <f>_xlfn.XLOOKUP(C1742,menu!A:A,menu!E:E)</f>
        <v>24</v>
      </c>
      <c r="I1742" s="10">
        <f t="shared" si="27"/>
        <v>48</v>
      </c>
      <c r="K1742" s="10"/>
      <c r="L1742" s="5"/>
    </row>
    <row r="1743" spans="1:12" x14ac:dyDescent="0.25">
      <c r="A1743" s="5" t="s">
        <v>4851</v>
      </c>
      <c r="B1743" s="5" t="s">
        <v>4849</v>
      </c>
      <c r="C1743" s="5" t="s">
        <v>52</v>
      </c>
      <c r="D1743" s="21">
        <v>3</v>
      </c>
      <c r="E1743" s="12">
        <v>297</v>
      </c>
      <c r="F1743" s="10" t="str">
        <f>_xlfn.XLOOKUP(C1743,menu!A:A,menu!B:B)</f>
        <v>French Fries</v>
      </c>
      <c r="G1743" s="10" t="str">
        <f>_xlfn.XLOOKUP(C1743,menu!A:A,menu!C:C)</f>
        <v>Starters</v>
      </c>
      <c r="H1743" s="10">
        <f>_xlfn.XLOOKUP(C1743,menu!A:A,menu!E:E)</f>
        <v>30</v>
      </c>
      <c r="I1743" s="10">
        <f t="shared" si="27"/>
        <v>90</v>
      </c>
      <c r="K1743" s="10"/>
      <c r="L1743" s="5"/>
    </row>
    <row r="1744" spans="1:12" x14ac:dyDescent="0.25">
      <c r="A1744" s="5" t="s">
        <v>4850</v>
      </c>
      <c r="B1744" s="5" t="s">
        <v>4849</v>
      </c>
      <c r="C1744" s="5" t="s">
        <v>65</v>
      </c>
      <c r="D1744" s="21">
        <v>1</v>
      </c>
      <c r="E1744" s="12">
        <v>49</v>
      </c>
      <c r="F1744" s="10" t="str">
        <f>_xlfn.XLOOKUP(C1744,menu!A:A,menu!B:B)</f>
        <v>Lemon Juice</v>
      </c>
      <c r="G1744" s="10" t="str">
        <f>_xlfn.XLOOKUP(C1744,menu!A:A,menu!C:C)</f>
        <v>Beverages</v>
      </c>
      <c r="H1744" s="10">
        <f>_xlfn.XLOOKUP(C1744,menu!A:A,menu!E:E)</f>
        <v>15</v>
      </c>
      <c r="I1744" s="10">
        <f t="shared" si="27"/>
        <v>15</v>
      </c>
      <c r="K1744" s="10"/>
      <c r="L1744" s="5"/>
    </row>
    <row r="1745" spans="1:12" x14ac:dyDescent="0.25">
      <c r="A1745" s="5" t="s">
        <v>4848</v>
      </c>
      <c r="B1745" s="5" t="s">
        <v>4845</v>
      </c>
      <c r="C1745" s="5" t="s">
        <v>50</v>
      </c>
      <c r="D1745" s="21">
        <v>2</v>
      </c>
      <c r="E1745" s="12">
        <v>298</v>
      </c>
      <c r="F1745" s="10" t="str">
        <f>_xlfn.XLOOKUP(C1745,menu!A:A,menu!B:B)</f>
        <v>Grab Lollipop</v>
      </c>
      <c r="G1745" s="10" t="str">
        <f>_xlfn.XLOOKUP(C1745,menu!A:A,menu!C:C)</f>
        <v>Starters</v>
      </c>
      <c r="H1745" s="10">
        <f>_xlfn.XLOOKUP(C1745,menu!A:A,menu!E:E)</f>
        <v>45</v>
      </c>
      <c r="I1745" s="10">
        <f t="shared" si="27"/>
        <v>90</v>
      </c>
      <c r="K1745" s="10"/>
      <c r="L1745" s="5"/>
    </row>
    <row r="1746" spans="1:12" x14ac:dyDescent="0.25">
      <c r="A1746" s="5" t="s">
        <v>4847</v>
      </c>
      <c r="B1746" s="5" t="s">
        <v>4845</v>
      </c>
      <c r="C1746" s="5" t="s">
        <v>35</v>
      </c>
      <c r="D1746" s="21">
        <v>2</v>
      </c>
      <c r="E1746" s="12">
        <v>238</v>
      </c>
      <c r="F1746" s="10" t="str">
        <f>_xlfn.XLOOKUP(C1746,menu!A:A,menu!B:B)</f>
        <v>Chicken Nuggets</v>
      </c>
      <c r="G1746" s="10" t="str">
        <f>_xlfn.XLOOKUP(C1746,menu!A:A,menu!C:C)</f>
        <v>Starters</v>
      </c>
      <c r="H1746" s="10">
        <f>_xlfn.XLOOKUP(C1746,menu!A:A,menu!E:E)</f>
        <v>36</v>
      </c>
      <c r="I1746" s="10">
        <f t="shared" si="27"/>
        <v>72</v>
      </c>
      <c r="K1746" s="10"/>
      <c r="L1746" s="5"/>
    </row>
    <row r="1747" spans="1:12" x14ac:dyDescent="0.25">
      <c r="A1747" s="5" t="s">
        <v>4846</v>
      </c>
      <c r="B1747" s="5" t="s">
        <v>4845</v>
      </c>
      <c r="C1747" s="5" t="s">
        <v>22</v>
      </c>
      <c r="D1747" s="21">
        <v>1</v>
      </c>
      <c r="E1747" s="12">
        <v>99</v>
      </c>
      <c r="F1747" s="10" t="str">
        <f>_xlfn.XLOOKUP(C1747,menu!A:A,menu!B:B)</f>
        <v>Chicken Burger</v>
      </c>
      <c r="G1747" s="10" t="str">
        <f>_xlfn.XLOOKUP(C1747,menu!A:A,menu!C:C)</f>
        <v>Burger</v>
      </c>
      <c r="H1747" s="10">
        <f>_xlfn.XLOOKUP(C1747,menu!A:A,menu!E:E)</f>
        <v>30</v>
      </c>
      <c r="I1747" s="10">
        <f t="shared" si="27"/>
        <v>30</v>
      </c>
      <c r="K1747" s="10"/>
      <c r="L1747" s="5"/>
    </row>
    <row r="1748" spans="1:12" x14ac:dyDescent="0.25">
      <c r="A1748" s="5" t="s">
        <v>4844</v>
      </c>
      <c r="B1748" s="5" t="s">
        <v>4841</v>
      </c>
      <c r="C1748" s="5" t="s">
        <v>50</v>
      </c>
      <c r="D1748" s="21">
        <v>1</v>
      </c>
      <c r="E1748" s="12">
        <v>149</v>
      </c>
      <c r="F1748" s="10" t="str">
        <f>_xlfn.XLOOKUP(C1748,menu!A:A,menu!B:B)</f>
        <v>Grab Lollipop</v>
      </c>
      <c r="G1748" s="10" t="str">
        <f>_xlfn.XLOOKUP(C1748,menu!A:A,menu!C:C)</f>
        <v>Starters</v>
      </c>
      <c r="H1748" s="10">
        <f>_xlfn.XLOOKUP(C1748,menu!A:A,menu!E:E)</f>
        <v>45</v>
      </c>
      <c r="I1748" s="10">
        <f t="shared" si="27"/>
        <v>45</v>
      </c>
      <c r="K1748" s="10"/>
      <c r="L1748" s="5"/>
    </row>
    <row r="1749" spans="1:12" x14ac:dyDescent="0.25">
      <c r="A1749" s="5" t="s">
        <v>4843</v>
      </c>
      <c r="B1749" s="5" t="s">
        <v>4841</v>
      </c>
      <c r="C1749" s="5" t="s">
        <v>22</v>
      </c>
      <c r="D1749" s="21">
        <v>2</v>
      </c>
      <c r="E1749" s="12">
        <v>198</v>
      </c>
      <c r="F1749" s="10" t="str">
        <f>_xlfn.XLOOKUP(C1749,menu!A:A,menu!B:B)</f>
        <v>Chicken Burger</v>
      </c>
      <c r="G1749" s="10" t="str">
        <f>_xlfn.XLOOKUP(C1749,menu!A:A,menu!C:C)</f>
        <v>Burger</v>
      </c>
      <c r="H1749" s="10">
        <f>_xlfn.XLOOKUP(C1749,menu!A:A,menu!E:E)</f>
        <v>30</v>
      </c>
      <c r="I1749" s="10">
        <f t="shared" si="27"/>
        <v>60</v>
      </c>
      <c r="K1749" s="10"/>
      <c r="L1749" s="5"/>
    </row>
    <row r="1750" spans="1:12" x14ac:dyDescent="0.25">
      <c r="A1750" s="5" t="s">
        <v>4842</v>
      </c>
      <c r="B1750" s="5" t="s">
        <v>4841</v>
      </c>
      <c r="C1750" s="5" t="s">
        <v>33</v>
      </c>
      <c r="D1750" s="21">
        <v>1</v>
      </c>
      <c r="E1750" s="12">
        <v>69</v>
      </c>
      <c r="F1750" s="10" t="str">
        <f>_xlfn.XLOOKUP(C1750,menu!A:A,menu!B:B)</f>
        <v>Spring Roll</v>
      </c>
      <c r="G1750" s="10" t="str">
        <f>_xlfn.XLOOKUP(C1750,menu!A:A,menu!C:C)</f>
        <v>Rolls</v>
      </c>
      <c r="H1750" s="10">
        <f>_xlfn.XLOOKUP(C1750,menu!A:A,menu!E:E)</f>
        <v>21</v>
      </c>
      <c r="I1750" s="10">
        <f t="shared" si="27"/>
        <v>21</v>
      </c>
      <c r="K1750" s="10"/>
      <c r="L1750" s="5"/>
    </row>
    <row r="1751" spans="1:12" x14ac:dyDescent="0.25">
      <c r="A1751" s="5" t="s">
        <v>4840</v>
      </c>
      <c r="B1751" s="5" t="s">
        <v>4838</v>
      </c>
      <c r="C1751" s="5" t="s">
        <v>10</v>
      </c>
      <c r="D1751" s="21">
        <v>3</v>
      </c>
      <c r="E1751" s="12">
        <v>357</v>
      </c>
      <c r="F1751" s="10" t="str">
        <f>_xlfn.XLOOKUP(C1751,menu!A:A,menu!B:B)</f>
        <v>Chicken Sandwich</v>
      </c>
      <c r="G1751" s="10" t="str">
        <f>_xlfn.XLOOKUP(C1751,menu!A:A,menu!C:C)</f>
        <v>Sandwich</v>
      </c>
      <c r="H1751" s="10">
        <f>_xlfn.XLOOKUP(C1751,menu!A:A,menu!E:E)</f>
        <v>36</v>
      </c>
      <c r="I1751" s="10">
        <f t="shared" si="27"/>
        <v>108</v>
      </c>
      <c r="K1751" s="10"/>
      <c r="L1751" s="5"/>
    </row>
    <row r="1752" spans="1:12" x14ac:dyDescent="0.25">
      <c r="A1752" s="5" t="s">
        <v>4839</v>
      </c>
      <c r="B1752" s="5" t="s">
        <v>4838</v>
      </c>
      <c r="C1752" s="5" t="s">
        <v>65</v>
      </c>
      <c r="D1752" s="21">
        <v>2</v>
      </c>
      <c r="E1752" s="12">
        <v>98</v>
      </c>
      <c r="F1752" s="10" t="str">
        <f>_xlfn.XLOOKUP(C1752,menu!A:A,menu!B:B)</f>
        <v>Lemon Juice</v>
      </c>
      <c r="G1752" s="10" t="str">
        <f>_xlfn.XLOOKUP(C1752,menu!A:A,menu!C:C)</f>
        <v>Beverages</v>
      </c>
      <c r="H1752" s="10">
        <f>_xlfn.XLOOKUP(C1752,menu!A:A,menu!E:E)</f>
        <v>15</v>
      </c>
      <c r="I1752" s="10">
        <f t="shared" si="27"/>
        <v>30</v>
      </c>
      <c r="K1752" s="10"/>
      <c r="L1752" s="5"/>
    </row>
    <row r="1753" spans="1:12" x14ac:dyDescent="0.25">
      <c r="A1753" s="5" t="s">
        <v>4837</v>
      </c>
      <c r="B1753" s="5" t="s">
        <v>4834</v>
      </c>
      <c r="C1753" s="5" t="s">
        <v>29</v>
      </c>
      <c r="D1753" s="21">
        <v>3</v>
      </c>
      <c r="E1753" s="12">
        <v>237</v>
      </c>
      <c r="F1753" s="10" t="str">
        <f>_xlfn.XLOOKUP(C1753,menu!A:A,menu!B:B)</f>
        <v>Paneer Roll</v>
      </c>
      <c r="G1753" s="10" t="str">
        <f>_xlfn.XLOOKUP(C1753,menu!A:A,menu!C:C)</f>
        <v>Rolls</v>
      </c>
      <c r="H1753" s="10">
        <f>_xlfn.XLOOKUP(C1753,menu!A:A,menu!E:E)</f>
        <v>24</v>
      </c>
      <c r="I1753" s="10">
        <f t="shared" si="27"/>
        <v>72</v>
      </c>
      <c r="K1753" s="10"/>
      <c r="L1753" s="5"/>
    </row>
    <row r="1754" spans="1:12" x14ac:dyDescent="0.25">
      <c r="A1754" s="5" t="s">
        <v>4836</v>
      </c>
      <c r="B1754" s="5" t="s">
        <v>4834</v>
      </c>
      <c r="C1754" s="5" t="s">
        <v>15</v>
      </c>
      <c r="D1754" s="21">
        <v>2</v>
      </c>
      <c r="E1754" s="12">
        <v>198</v>
      </c>
      <c r="F1754" s="10" t="str">
        <f>_xlfn.XLOOKUP(C1754,menu!A:A,menu!B:B)</f>
        <v>Chicken Momos</v>
      </c>
      <c r="G1754" s="10" t="str">
        <f>_xlfn.XLOOKUP(C1754,menu!A:A,menu!C:C)</f>
        <v>Momos</v>
      </c>
      <c r="H1754" s="10">
        <f>_xlfn.XLOOKUP(C1754,menu!A:A,menu!E:E)</f>
        <v>30</v>
      </c>
      <c r="I1754" s="10">
        <f t="shared" si="27"/>
        <v>60</v>
      </c>
      <c r="K1754" s="10"/>
      <c r="L1754" s="5"/>
    </row>
    <row r="1755" spans="1:12" x14ac:dyDescent="0.25">
      <c r="A1755" s="5" t="s">
        <v>4835</v>
      </c>
      <c r="B1755" s="5" t="s">
        <v>4834</v>
      </c>
      <c r="C1755" s="5" t="s">
        <v>42</v>
      </c>
      <c r="D1755" s="21">
        <v>3</v>
      </c>
      <c r="E1755" s="12">
        <v>447</v>
      </c>
      <c r="F1755" s="10" t="str">
        <f>_xlfn.XLOOKUP(C1755,menu!A:A,menu!B:B)</f>
        <v>Chicken Popcorn</v>
      </c>
      <c r="G1755" s="10" t="str">
        <f>_xlfn.XLOOKUP(C1755,menu!A:A,menu!C:C)</f>
        <v>Starters</v>
      </c>
      <c r="H1755" s="10">
        <f>_xlfn.XLOOKUP(C1755,menu!A:A,menu!E:E)</f>
        <v>45</v>
      </c>
      <c r="I1755" s="10">
        <f t="shared" si="27"/>
        <v>135</v>
      </c>
      <c r="K1755" s="10"/>
      <c r="L1755" s="5"/>
    </row>
    <row r="1756" spans="1:12" x14ac:dyDescent="0.25">
      <c r="A1756" s="5" t="s">
        <v>4833</v>
      </c>
      <c r="B1756" s="5" t="s">
        <v>4831</v>
      </c>
      <c r="C1756" s="5" t="s">
        <v>48</v>
      </c>
      <c r="D1756" s="21">
        <v>2</v>
      </c>
      <c r="E1756" s="12">
        <v>318</v>
      </c>
      <c r="F1756" s="10" t="str">
        <f>_xlfn.XLOOKUP(C1756,menu!A:A,menu!B:B)</f>
        <v>Chicken Lollipop</v>
      </c>
      <c r="G1756" s="10" t="str">
        <f>_xlfn.XLOOKUP(C1756,menu!A:A,menu!C:C)</f>
        <v>Starters</v>
      </c>
      <c r="H1756" s="10">
        <f>_xlfn.XLOOKUP(C1756,menu!A:A,menu!E:E)</f>
        <v>48</v>
      </c>
      <c r="I1756" s="10">
        <f t="shared" si="27"/>
        <v>96</v>
      </c>
      <c r="K1756" s="10"/>
      <c r="L1756" s="5"/>
    </row>
    <row r="1757" spans="1:12" x14ac:dyDescent="0.25">
      <c r="A1757" s="5" t="s">
        <v>4832</v>
      </c>
      <c r="B1757" s="5" t="s">
        <v>4831</v>
      </c>
      <c r="C1757" s="5" t="s">
        <v>61</v>
      </c>
      <c r="D1757" s="21">
        <v>4</v>
      </c>
      <c r="E1757" s="12">
        <v>316</v>
      </c>
      <c r="F1757" s="10" t="str">
        <f>_xlfn.XLOOKUP(C1757,menu!A:A,menu!B:B)</f>
        <v>Watermelon Mojito</v>
      </c>
      <c r="G1757" s="10" t="str">
        <f>_xlfn.XLOOKUP(C1757,menu!A:A,menu!C:C)</f>
        <v>Beverages</v>
      </c>
      <c r="H1757" s="10">
        <f>_xlfn.XLOOKUP(C1757,menu!A:A,menu!E:E)</f>
        <v>24</v>
      </c>
      <c r="I1757" s="10">
        <f t="shared" si="27"/>
        <v>96</v>
      </c>
      <c r="K1757" s="10"/>
      <c r="L1757" s="5"/>
    </row>
    <row r="1758" spans="1:12" x14ac:dyDescent="0.25">
      <c r="A1758" s="5" t="s">
        <v>4830</v>
      </c>
      <c r="B1758" s="5" t="s">
        <v>4828</v>
      </c>
      <c r="C1758" s="5" t="s">
        <v>15</v>
      </c>
      <c r="D1758" s="21">
        <v>1</v>
      </c>
      <c r="E1758" s="12">
        <v>99</v>
      </c>
      <c r="F1758" s="10" t="str">
        <f>_xlfn.XLOOKUP(C1758,menu!A:A,menu!B:B)</f>
        <v>Chicken Momos</v>
      </c>
      <c r="G1758" s="10" t="str">
        <f>_xlfn.XLOOKUP(C1758,menu!A:A,menu!C:C)</f>
        <v>Momos</v>
      </c>
      <c r="H1758" s="10">
        <f>_xlfn.XLOOKUP(C1758,menu!A:A,menu!E:E)</f>
        <v>30</v>
      </c>
      <c r="I1758" s="10">
        <f t="shared" si="27"/>
        <v>30</v>
      </c>
      <c r="K1758" s="10"/>
      <c r="L1758" s="5"/>
    </row>
    <row r="1759" spans="1:12" x14ac:dyDescent="0.25">
      <c r="A1759" s="5" t="s">
        <v>4829</v>
      </c>
      <c r="B1759" s="5" t="s">
        <v>4828</v>
      </c>
      <c r="C1759" s="5" t="s">
        <v>61</v>
      </c>
      <c r="D1759" s="21">
        <v>1</v>
      </c>
      <c r="E1759" s="12">
        <v>79</v>
      </c>
      <c r="F1759" s="10" t="str">
        <f>_xlfn.XLOOKUP(C1759,menu!A:A,menu!B:B)</f>
        <v>Watermelon Mojito</v>
      </c>
      <c r="G1759" s="10" t="str">
        <f>_xlfn.XLOOKUP(C1759,menu!A:A,menu!C:C)</f>
        <v>Beverages</v>
      </c>
      <c r="H1759" s="10">
        <f>_xlfn.XLOOKUP(C1759,menu!A:A,menu!E:E)</f>
        <v>24</v>
      </c>
      <c r="I1759" s="10">
        <f t="shared" si="27"/>
        <v>24</v>
      </c>
      <c r="K1759" s="10"/>
      <c r="L1759" s="5"/>
    </row>
    <row r="1760" spans="1:12" x14ac:dyDescent="0.25">
      <c r="A1760" s="5" t="s">
        <v>4827</v>
      </c>
      <c r="B1760" s="5" t="s">
        <v>4825</v>
      </c>
      <c r="C1760" s="5" t="s">
        <v>52</v>
      </c>
      <c r="D1760" s="21">
        <v>3</v>
      </c>
      <c r="E1760" s="12">
        <v>297</v>
      </c>
      <c r="F1760" s="10" t="str">
        <f>_xlfn.XLOOKUP(C1760,menu!A:A,menu!B:B)</f>
        <v>French Fries</v>
      </c>
      <c r="G1760" s="10" t="str">
        <f>_xlfn.XLOOKUP(C1760,menu!A:A,menu!C:C)</f>
        <v>Starters</v>
      </c>
      <c r="H1760" s="10">
        <f>_xlfn.XLOOKUP(C1760,menu!A:A,menu!E:E)</f>
        <v>30</v>
      </c>
      <c r="I1760" s="10">
        <f t="shared" si="27"/>
        <v>90</v>
      </c>
      <c r="K1760" s="10"/>
      <c r="L1760" s="5"/>
    </row>
    <row r="1761" spans="1:12" x14ac:dyDescent="0.25">
      <c r="A1761" s="5" t="s">
        <v>4826</v>
      </c>
      <c r="B1761" s="5" t="s">
        <v>4825</v>
      </c>
      <c r="C1761" s="5" t="s">
        <v>50</v>
      </c>
      <c r="D1761" s="21">
        <v>4</v>
      </c>
      <c r="E1761" s="12">
        <v>596</v>
      </c>
      <c r="F1761" s="10" t="str">
        <f>_xlfn.XLOOKUP(C1761,menu!A:A,menu!B:B)</f>
        <v>Grab Lollipop</v>
      </c>
      <c r="G1761" s="10" t="str">
        <f>_xlfn.XLOOKUP(C1761,menu!A:A,menu!C:C)</f>
        <v>Starters</v>
      </c>
      <c r="H1761" s="10">
        <f>_xlfn.XLOOKUP(C1761,menu!A:A,menu!E:E)</f>
        <v>45</v>
      </c>
      <c r="I1761" s="10">
        <f t="shared" si="27"/>
        <v>180</v>
      </c>
      <c r="K1761" s="10"/>
      <c r="L1761" s="5"/>
    </row>
    <row r="1762" spans="1:12" x14ac:dyDescent="0.25">
      <c r="A1762" s="5" t="s">
        <v>4824</v>
      </c>
      <c r="B1762" s="5" t="s">
        <v>4822</v>
      </c>
      <c r="C1762" s="5" t="s">
        <v>15</v>
      </c>
      <c r="D1762" s="21">
        <v>1</v>
      </c>
      <c r="E1762" s="12">
        <v>99</v>
      </c>
      <c r="F1762" s="10" t="str">
        <f>_xlfn.XLOOKUP(C1762,menu!A:A,menu!B:B)</f>
        <v>Chicken Momos</v>
      </c>
      <c r="G1762" s="10" t="str">
        <f>_xlfn.XLOOKUP(C1762,menu!A:A,menu!C:C)</f>
        <v>Momos</v>
      </c>
      <c r="H1762" s="10">
        <f>_xlfn.XLOOKUP(C1762,menu!A:A,menu!E:E)</f>
        <v>30</v>
      </c>
      <c r="I1762" s="10">
        <f t="shared" si="27"/>
        <v>30</v>
      </c>
      <c r="K1762" s="10"/>
      <c r="L1762" s="5"/>
    </row>
    <row r="1763" spans="1:12" x14ac:dyDescent="0.25">
      <c r="A1763" s="5" t="s">
        <v>4823</v>
      </c>
      <c r="B1763" s="5" t="s">
        <v>4822</v>
      </c>
      <c r="C1763" s="5" t="s">
        <v>61</v>
      </c>
      <c r="D1763" s="21">
        <v>2</v>
      </c>
      <c r="E1763" s="12">
        <v>158</v>
      </c>
      <c r="F1763" s="10" t="str">
        <f>_xlfn.XLOOKUP(C1763,menu!A:A,menu!B:B)</f>
        <v>Watermelon Mojito</v>
      </c>
      <c r="G1763" s="10" t="str">
        <f>_xlfn.XLOOKUP(C1763,menu!A:A,menu!C:C)</f>
        <v>Beverages</v>
      </c>
      <c r="H1763" s="10">
        <f>_xlfn.XLOOKUP(C1763,menu!A:A,menu!E:E)</f>
        <v>24</v>
      </c>
      <c r="I1763" s="10">
        <f t="shared" si="27"/>
        <v>48</v>
      </c>
      <c r="K1763" s="10"/>
      <c r="L1763" s="5"/>
    </row>
    <row r="1764" spans="1:12" x14ac:dyDescent="0.25">
      <c r="A1764" s="5" t="s">
        <v>4821</v>
      </c>
      <c r="B1764" s="5" t="s">
        <v>4818</v>
      </c>
      <c r="C1764" s="5" t="s">
        <v>40</v>
      </c>
      <c r="D1764" s="21">
        <v>1</v>
      </c>
      <c r="E1764" s="12">
        <v>99</v>
      </c>
      <c r="F1764" s="10" t="str">
        <f>_xlfn.XLOOKUP(C1764,menu!A:A,menu!B:B)</f>
        <v>Veg Nuggets</v>
      </c>
      <c r="G1764" s="10" t="str">
        <f>_xlfn.XLOOKUP(C1764,menu!A:A,menu!C:C)</f>
        <v>Starters</v>
      </c>
      <c r="H1764" s="10">
        <f>_xlfn.XLOOKUP(C1764,menu!A:A,menu!E:E)</f>
        <v>30</v>
      </c>
      <c r="I1764" s="10">
        <f t="shared" si="27"/>
        <v>30</v>
      </c>
      <c r="K1764" s="10"/>
      <c r="L1764" s="5"/>
    </row>
    <row r="1765" spans="1:12" x14ac:dyDescent="0.25">
      <c r="A1765" s="5" t="s">
        <v>4820</v>
      </c>
      <c r="B1765" s="5" t="s">
        <v>4818</v>
      </c>
      <c r="C1765" s="5" t="s">
        <v>50</v>
      </c>
      <c r="D1765" s="21">
        <v>1</v>
      </c>
      <c r="E1765" s="12">
        <v>149</v>
      </c>
      <c r="F1765" s="10" t="str">
        <f>_xlfn.XLOOKUP(C1765,menu!A:A,menu!B:B)</f>
        <v>Grab Lollipop</v>
      </c>
      <c r="G1765" s="10" t="str">
        <f>_xlfn.XLOOKUP(C1765,menu!A:A,menu!C:C)</f>
        <v>Starters</v>
      </c>
      <c r="H1765" s="10">
        <f>_xlfn.XLOOKUP(C1765,menu!A:A,menu!E:E)</f>
        <v>45</v>
      </c>
      <c r="I1765" s="10">
        <f t="shared" si="27"/>
        <v>45</v>
      </c>
      <c r="K1765" s="10"/>
      <c r="L1765" s="5"/>
    </row>
    <row r="1766" spans="1:12" x14ac:dyDescent="0.25">
      <c r="A1766" s="5" t="s">
        <v>4819</v>
      </c>
      <c r="B1766" s="5" t="s">
        <v>4818</v>
      </c>
      <c r="C1766" s="5" t="s">
        <v>42</v>
      </c>
      <c r="D1766" s="21">
        <v>3</v>
      </c>
      <c r="E1766" s="12">
        <v>447</v>
      </c>
      <c r="F1766" s="10" t="str">
        <f>_xlfn.XLOOKUP(C1766,menu!A:A,menu!B:B)</f>
        <v>Chicken Popcorn</v>
      </c>
      <c r="G1766" s="10" t="str">
        <f>_xlfn.XLOOKUP(C1766,menu!A:A,menu!C:C)</f>
        <v>Starters</v>
      </c>
      <c r="H1766" s="10">
        <f>_xlfn.XLOOKUP(C1766,menu!A:A,menu!E:E)</f>
        <v>45</v>
      </c>
      <c r="I1766" s="10">
        <f t="shared" si="27"/>
        <v>135</v>
      </c>
      <c r="K1766" s="10"/>
      <c r="L1766" s="5"/>
    </row>
    <row r="1767" spans="1:12" x14ac:dyDescent="0.25">
      <c r="A1767" s="5" t="s">
        <v>4817</v>
      </c>
      <c r="B1767" s="5" t="s">
        <v>4813</v>
      </c>
      <c r="C1767" s="5" t="s">
        <v>17</v>
      </c>
      <c r="D1767" s="21">
        <v>2</v>
      </c>
      <c r="E1767" s="12">
        <v>178</v>
      </c>
      <c r="F1767" s="10" t="str">
        <f>_xlfn.XLOOKUP(C1767,menu!A:A,menu!B:B)</f>
        <v>Paneer Momos</v>
      </c>
      <c r="G1767" s="10" t="str">
        <f>_xlfn.XLOOKUP(C1767,menu!A:A,menu!C:C)</f>
        <v>Momos</v>
      </c>
      <c r="H1767" s="10">
        <f>_xlfn.XLOOKUP(C1767,menu!A:A,menu!E:E)</f>
        <v>27</v>
      </c>
      <c r="I1767" s="10">
        <f t="shared" si="27"/>
        <v>54</v>
      </c>
      <c r="K1767" s="10"/>
      <c r="L1767" s="5"/>
    </row>
    <row r="1768" spans="1:12" x14ac:dyDescent="0.25">
      <c r="A1768" s="5" t="s">
        <v>4816</v>
      </c>
      <c r="B1768" s="5" t="s">
        <v>4813</v>
      </c>
      <c r="C1768" s="5" t="s">
        <v>44</v>
      </c>
      <c r="D1768" s="21">
        <v>3</v>
      </c>
      <c r="E1768" s="12">
        <v>477</v>
      </c>
      <c r="F1768" s="10" t="str">
        <f>_xlfn.XLOOKUP(C1768,menu!A:A,menu!B:B)</f>
        <v>Fried Chicken</v>
      </c>
      <c r="G1768" s="10" t="str">
        <f>_xlfn.XLOOKUP(C1768,menu!A:A,menu!C:C)</f>
        <v>Starters</v>
      </c>
      <c r="H1768" s="10">
        <f>_xlfn.XLOOKUP(C1768,menu!A:A,menu!E:E)</f>
        <v>48</v>
      </c>
      <c r="I1768" s="10">
        <f t="shared" si="27"/>
        <v>144</v>
      </c>
      <c r="K1768" s="10"/>
      <c r="L1768" s="5"/>
    </row>
    <row r="1769" spans="1:12" x14ac:dyDescent="0.25">
      <c r="A1769" s="5" t="s">
        <v>4815</v>
      </c>
      <c r="B1769" s="5" t="s">
        <v>4813</v>
      </c>
      <c r="C1769" s="5" t="s">
        <v>22</v>
      </c>
      <c r="D1769" s="21">
        <v>2</v>
      </c>
      <c r="E1769" s="12">
        <v>198</v>
      </c>
      <c r="F1769" s="10" t="str">
        <f>_xlfn.XLOOKUP(C1769,menu!A:A,menu!B:B)</f>
        <v>Chicken Burger</v>
      </c>
      <c r="G1769" s="10" t="str">
        <f>_xlfn.XLOOKUP(C1769,menu!A:A,menu!C:C)</f>
        <v>Burger</v>
      </c>
      <c r="H1769" s="10">
        <f>_xlfn.XLOOKUP(C1769,menu!A:A,menu!E:E)</f>
        <v>30</v>
      </c>
      <c r="I1769" s="10">
        <f t="shared" si="27"/>
        <v>60</v>
      </c>
      <c r="K1769" s="10"/>
      <c r="L1769" s="5"/>
    </row>
    <row r="1770" spans="1:12" x14ac:dyDescent="0.25">
      <c r="A1770" s="5" t="s">
        <v>4814</v>
      </c>
      <c r="B1770" s="5" t="s">
        <v>4813</v>
      </c>
      <c r="C1770" s="5" t="s">
        <v>33</v>
      </c>
      <c r="D1770" s="21">
        <v>1</v>
      </c>
      <c r="E1770" s="12">
        <v>69</v>
      </c>
      <c r="F1770" s="10" t="str">
        <f>_xlfn.XLOOKUP(C1770,menu!A:A,menu!B:B)</f>
        <v>Spring Roll</v>
      </c>
      <c r="G1770" s="10" t="str">
        <f>_xlfn.XLOOKUP(C1770,menu!A:A,menu!C:C)</f>
        <v>Rolls</v>
      </c>
      <c r="H1770" s="10">
        <f>_xlfn.XLOOKUP(C1770,menu!A:A,menu!E:E)</f>
        <v>21</v>
      </c>
      <c r="I1770" s="10">
        <f t="shared" si="27"/>
        <v>21</v>
      </c>
      <c r="K1770" s="10"/>
      <c r="L1770" s="5"/>
    </row>
    <row r="1771" spans="1:12" x14ac:dyDescent="0.25">
      <c r="A1771" s="5" t="s">
        <v>4812</v>
      </c>
      <c r="B1771" s="5" t="s">
        <v>4810</v>
      </c>
      <c r="C1771" s="5" t="s">
        <v>44</v>
      </c>
      <c r="D1771" s="21">
        <v>1</v>
      </c>
      <c r="E1771" s="12">
        <v>159</v>
      </c>
      <c r="F1771" s="10" t="str">
        <f>_xlfn.XLOOKUP(C1771,menu!A:A,menu!B:B)</f>
        <v>Fried Chicken</v>
      </c>
      <c r="G1771" s="10" t="str">
        <f>_xlfn.XLOOKUP(C1771,menu!A:A,menu!C:C)</f>
        <v>Starters</v>
      </c>
      <c r="H1771" s="10">
        <f>_xlfn.XLOOKUP(C1771,menu!A:A,menu!E:E)</f>
        <v>48</v>
      </c>
      <c r="I1771" s="10">
        <f t="shared" si="27"/>
        <v>48</v>
      </c>
      <c r="K1771" s="10"/>
      <c r="L1771" s="5"/>
    </row>
    <row r="1772" spans="1:12" x14ac:dyDescent="0.25">
      <c r="A1772" s="5" t="s">
        <v>4811</v>
      </c>
      <c r="B1772" s="5" t="s">
        <v>4810</v>
      </c>
      <c r="C1772" s="5" t="s">
        <v>54</v>
      </c>
      <c r="D1772" s="21">
        <v>2</v>
      </c>
      <c r="E1772" s="12">
        <v>278</v>
      </c>
      <c r="F1772" s="10" t="str">
        <f>_xlfn.XLOOKUP(C1772,menu!A:A,menu!B:B)</f>
        <v>Chicken Strips</v>
      </c>
      <c r="G1772" s="10" t="str">
        <f>_xlfn.XLOOKUP(C1772,menu!A:A,menu!C:C)</f>
        <v>Starters</v>
      </c>
      <c r="H1772" s="10">
        <f>_xlfn.XLOOKUP(C1772,menu!A:A,menu!E:E)</f>
        <v>42</v>
      </c>
      <c r="I1772" s="10">
        <f t="shared" si="27"/>
        <v>84</v>
      </c>
      <c r="K1772" s="10"/>
      <c r="L1772" s="5"/>
    </row>
    <row r="1773" spans="1:12" x14ac:dyDescent="0.25">
      <c r="A1773" s="5" t="s">
        <v>4809</v>
      </c>
      <c r="B1773" s="5" t="s">
        <v>4808</v>
      </c>
      <c r="C1773" s="5" t="s">
        <v>48</v>
      </c>
      <c r="D1773" s="21">
        <v>2</v>
      </c>
      <c r="E1773" s="12">
        <v>318</v>
      </c>
      <c r="F1773" s="10" t="str">
        <f>_xlfn.XLOOKUP(C1773,menu!A:A,menu!B:B)</f>
        <v>Chicken Lollipop</v>
      </c>
      <c r="G1773" s="10" t="str">
        <f>_xlfn.XLOOKUP(C1773,menu!A:A,menu!C:C)</f>
        <v>Starters</v>
      </c>
      <c r="H1773" s="10">
        <f>_xlfn.XLOOKUP(C1773,menu!A:A,menu!E:E)</f>
        <v>48</v>
      </c>
      <c r="I1773" s="10">
        <f t="shared" si="27"/>
        <v>96</v>
      </c>
      <c r="K1773" s="10"/>
      <c r="L1773" s="5"/>
    </row>
    <row r="1774" spans="1:12" x14ac:dyDescent="0.25">
      <c r="A1774" s="5" t="s">
        <v>4807</v>
      </c>
      <c r="B1774" s="5" t="s">
        <v>4805</v>
      </c>
      <c r="C1774" s="5" t="s">
        <v>54</v>
      </c>
      <c r="D1774" s="21">
        <v>2</v>
      </c>
      <c r="E1774" s="12">
        <v>278</v>
      </c>
      <c r="F1774" s="10" t="str">
        <f>_xlfn.XLOOKUP(C1774,menu!A:A,menu!B:B)</f>
        <v>Chicken Strips</v>
      </c>
      <c r="G1774" s="10" t="str">
        <f>_xlfn.XLOOKUP(C1774,menu!A:A,menu!C:C)</f>
        <v>Starters</v>
      </c>
      <c r="H1774" s="10">
        <f>_xlfn.XLOOKUP(C1774,menu!A:A,menu!E:E)</f>
        <v>42</v>
      </c>
      <c r="I1774" s="10">
        <f t="shared" si="27"/>
        <v>84</v>
      </c>
      <c r="K1774" s="10"/>
      <c r="L1774" s="5"/>
    </row>
    <row r="1775" spans="1:12" x14ac:dyDescent="0.25">
      <c r="A1775" s="5" t="s">
        <v>4806</v>
      </c>
      <c r="B1775" s="5" t="s">
        <v>4805</v>
      </c>
      <c r="C1775" s="5" t="s">
        <v>42</v>
      </c>
      <c r="D1775" s="21">
        <v>1</v>
      </c>
      <c r="E1775" s="12">
        <v>149</v>
      </c>
      <c r="F1775" s="10" t="str">
        <f>_xlfn.XLOOKUP(C1775,menu!A:A,menu!B:B)</f>
        <v>Chicken Popcorn</v>
      </c>
      <c r="G1775" s="10" t="str">
        <f>_xlfn.XLOOKUP(C1775,menu!A:A,menu!C:C)</f>
        <v>Starters</v>
      </c>
      <c r="H1775" s="10">
        <f>_xlfn.XLOOKUP(C1775,menu!A:A,menu!E:E)</f>
        <v>45</v>
      </c>
      <c r="I1775" s="10">
        <f t="shared" si="27"/>
        <v>45</v>
      </c>
      <c r="K1775" s="10"/>
      <c r="L1775" s="5"/>
    </row>
    <row r="1776" spans="1:12" x14ac:dyDescent="0.25">
      <c r="A1776" s="5" t="s">
        <v>4804</v>
      </c>
      <c r="B1776" s="5" t="s">
        <v>4801</v>
      </c>
      <c r="C1776" s="5" t="s">
        <v>35</v>
      </c>
      <c r="D1776" s="21">
        <v>2</v>
      </c>
      <c r="E1776" s="12">
        <v>238</v>
      </c>
      <c r="F1776" s="10" t="str">
        <f>_xlfn.XLOOKUP(C1776,menu!A:A,menu!B:B)</f>
        <v>Chicken Nuggets</v>
      </c>
      <c r="G1776" s="10" t="str">
        <f>_xlfn.XLOOKUP(C1776,menu!A:A,menu!C:C)</f>
        <v>Starters</v>
      </c>
      <c r="H1776" s="10">
        <f>_xlfn.XLOOKUP(C1776,menu!A:A,menu!E:E)</f>
        <v>36</v>
      </c>
      <c r="I1776" s="10">
        <f t="shared" si="27"/>
        <v>72</v>
      </c>
      <c r="K1776" s="10"/>
      <c r="L1776" s="5"/>
    </row>
    <row r="1777" spans="1:12" x14ac:dyDescent="0.25">
      <c r="A1777" s="5" t="s">
        <v>4803</v>
      </c>
      <c r="B1777" s="5" t="s">
        <v>4801</v>
      </c>
      <c r="C1777" s="5" t="s">
        <v>44</v>
      </c>
      <c r="D1777" s="21">
        <v>3</v>
      </c>
      <c r="E1777" s="12">
        <v>477</v>
      </c>
      <c r="F1777" s="10" t="str">
        <f>_xlfn.XLOOKUP(C1777,menu!A:A,menu!B:B)</f>
        <v>Fried Chicken</v>
      </c>
      <c r="G1777" s="10" t="str">
        <f>_xlfn.XLOOKUP(C1777,menu!A:A,menu!C:C)</f>
        <v>Starters</v>
      </c>
      <c r="H1777" s="10">
        <f>_xlfn.XLOOKUP(C1777,menu!A:A,menu!E:E)</f>
        <v>48</v>
      </c>
      <c r="I1777" s="10">
        <f t="shared" si="27"/>
        <v>144</v>
      </c>
      <c r="K1777" s="10"/>
      <c r="L1777" s="5"/>
    </row>
    <row r="1778" spans="1:12" x14ac:dyDescent="0.25">
      <c r="A1778" s="5" t="s">
        <v>4802</v>
      </c>
      <c r="B1778" s="5" t="s">
        <v>4801</v>
      </c>
      <c r="C1778" s="5" t="s">
        <v>8</v>
      </c>
      <c r="D1778" s="21">
        <v>1</v>
      </c>
      <c r="E1778" s="12">
        <v>99</v>
      </c>
      <c r="F1778" s="10" t="str">
        <f>_xlfn.XLOOKUP(C1778,menu!A:A,menu!B:B)</f>
        <v>Paneer Sandwich</v>
      </c>
      <c r="G1778" s="10" t="str">
        <f>_xlfn.XLOOKUP(C1778,menu!A:A,menu!C:C)</f>
        <v>Sandwich</v>
      </c>
      <c r="H1778" s="10">
        <f>_xlfn.XLOOKUP(C1778,menu!A:A,menu!E:E)</f>
        <v>30</v>
      </c>
      <c r="I1778" s="10">
        <f t="shared" si="27"/>
        <v>30</v>
      </c>
      <c r="K1778" s="10"/>
      <c r="L1778" s="5"/>
    </row>
    <row r="1779" spans="1:12" x14ac:dyDescent="0.25">
      <c r="A1779" s="5" t="s">
        <v>4800</v>
      </c>
      <c r="B1779" s="5" t="s">
        <v>4797</v>
      </c>
      <c r="C1779" s="5" t="s">
        <v>33</v>
      </c>
      <c r="D1779" s="21">
        <v>1</v>
      </c>
      <c r="E1779" s="12">
        <v>69</v>
      </c>
      <c r="F1779" s="10" t="str">
        <f>_xlfn.XLOOKUP(C1779,menu!A:A,menu!B:B)</f>
        <v>Spring Roll</v>
      </c>
      <c r="G1779" s="10" t="str">
        <f>_xlfn.XLOOKUP(C1779,menu!A:A,menu!C:C)</f>
        <v>Rolls</v>
      </c>
      <c r="H1779" s="10">
        <f>_xlfn.XLOOKUP(C1779,menu!A:A,menu!E:E)</f>
        <v>21</v>
      </c>
      <c r="I1779" s="10">
        <f t="shared" si="27"/>
        <v>21</v>
      </c>
      <c r="K1779" s="10"/>
      <c r="L1779" s="5"/>
    </row>
    <row r="1780" spans="1:12" x14ac:dyDescent="0.25">
      <c r="A1780" s="5" t="s">
        <v>4799</v>
      </c>
      <c r="B1780" s="5" t="s">
        <v>4797</v>
      </c>
      <c r="C1780" s="5" t="s">
        <v>26</v>
      </c>
      <c r="D1780" s="21">
        <v>2</v>
      </c>
      <c r="E1780" s="12">
        <v>118</v>
      </c>
      <c r="F1780" s="10" t="str">
        <f>_xlfn.XLOOKUP(C1780,menu!A:A,menu!B:B)</f>
        <v>Veg Roll</v>
      </c>
      <c r="G1780" s="10" t="str">
        <f>_xlfn.XLOOKUP(C1780,menu!A:A,menu!C:C)</f>
        <v>Rolls</v>
      </c>
      <c r="H1780" s="10">
        <f>_xlfn.XLOOKUP(C1780,menu!A:A,menu!E:E)</f>
        <v>18</v>
      </c>
      <c r="I1780" s="10">
        <f t="shared" si="27"/>
        <v>36</v>
      </c>
      <c r="K1780" s="10"/>
      <c r="L1780" s="5"/>
    </row>
    <row r="1781" spans="1:12" x14ac:dyDescent="0.25">
      <c r="A1781" s="5" t="s">
        <v>4798</v>
      </c>
      <c r="B1781" s="5" t="s">
        <v>4797</v>
      </c>
      <c r="C1781" s="5" t="s">
        <v>24</v>
      </c>
      <c r="D1781" s="21">
        <v>4</v>
      </c>
      <c r="E1781" s="12">
        <v>356</v>
      </c>
      <c r="F1781" s="10" t="str">
        <f>_xlfn.XLOOKUP(C1781,menu!A:A,menu!B:B)</f>
        <v>Paneer Burger</v>
      </c>
      <c r="G1781" s="10" t="str">
        <f>_xlfn.XLOOKUP(C1781,menu!A:A,menu!C:C)</f>
        <v>Burger</v>
      </c>
      <c r="H1781" s="10">
        <f>_xlfn.XLOOKUP(C1781,menu!A:A,menu!E:E)</f>
        <v>27</v>
      </c>
      <c r="I1781" s="10">
        <f t="shared" si="27"/>
        <v>108</v>
      </c>
      <c r="K1781" s="10"/>
      <c r="L1781" s="5"/>
    </row>
    <row r="1782" spans="1:12" x14ac:dyDescent="0.25">
      <c r="A1782" s="5" t="s">
        <v>4796</v>
      </c>
      <c r="B1782" s="5" t="s">
        <v>4793</v>
      </c>
      <c r="C1782" s="5" t="s">
        <v>50</v>
      </c>
      <c r="D1782" s="21">
        <v>2</v>
      </c>
      <c r="E1782" s="12">
        <v>298</v>
      </c>
      <c r="F1782" s="10" t="str">
        <f>_xlfn.XLOOKUP(C1782,menu!A:A,menu!B:B)</f>
        <v>Grab Lollipop</v>
      </c>
      <c r="G1782" s="10" t="str">
        <f>_xlfn.XLOOKUP(C1782,menu!A:A,menu!C:C)</f>
        <v>Starters</v>
      </c>
      <c r="H1782" s="10">
        <f>_xlfn.XLOOKUP(C1782,menu!A:A,menu!E:E)</f>
        <v>45</v>
      </c>
      <c r="I1782" s="10">
        <f t="shared" si="27"/>
        <v>90</v>
      </c>
      <c r="K1782" s="10"/>
      <c r="L1782" s="5"/>
    </row>
    <row r="1783" spans="1:12" x14ac:dyDescent="0.25">
      <c r="A1783" s="5" t="s">
        <v>4795</v>
      </c>
      <c r="B1783" s="5" t="s">
        <v>4793</v>
      </c>
      <c r="C1783" s="5" t="s">
        <v>44</v>
      </c>
      <c r="D1783" s="21">
        <v>3</v>
      </c>
      <c r="E1783" s="12">
        <v>477</v>
      </c>
      <c r="F1783" s="10" t="str">
        <f>_xlfn.XLOOKUP(C1783,menu!A:A,menu!B:B)</f>
        <v>Fried Chicken</v>
      </c>
      <c r="G1783" s="10" t="str">
        <f>_xlfn.XLOOKUP(C1783,menu!A:A,menu!C:C)</f>
        <v>Starters</v>
      </c>
      <c r="H1783" s="10">
        <f>_xlfn.XLOOKUP(C1783,menu!A:A,menu!E:E)</f>
        <v>48</v>
      </c>
      <c r="I1783" s="10">
        <f t="shared" si="27"/>
        <v>144</v>
      </c>
      <c r="K1783" s="10"/>
      <c r="L1783" s="5"/>
    </row>
    <row r="1784" spans="1:12" x14ac:dyDescent="0.25">
      <c r="A1784" s="5" t="s">
        <v>4794</v>
      </c>
      <c r="B1784" s="5" t="s">
        <v>4793</v>
      </c>
      <c r="C1784" s="5" t="s">
        <v>15</v>
      </c>
      <c r="D1784" s="21">
        <v>2</v>
      </c>
      <c r="E1784" s="12">
        <v>198</v>
      </c>
      <c r="F1784" s="10" t="str">
        <f>_xlfn.XLOOKUP(C1784,menu!A:A,menu!B:B)</f>
        <v>Chicken Momos</v>
      </c>
      <c r="G1784" s="10" t="str">
        <f>_xlfn.XLOOKUP(C1784,menu!A:A,menu!C:C)</f>
        <v>Momos</v>
      </c>
      <c r="H1784" s="10">
        <f>_xlfn.XLOOKUP(C1784,menu!A:A,menu!E:E)</f>
        <v>30</v>
      </c>
      <c r="I1784" s="10">
        <f t="shared" si="27"/>
        <v>60</v>
      </c>
      <c r="K1784" s="10"/>
      <c r="L1784" s="5"/>
    </row>
    <row r="1785" spans="1:12" x14ac:dyDescent="0.25">
      <c r="A1785" s="5" t="s">
        <v>4792</v>
      </c>
      <c r="B1785" s="5" t="s">
        <v>4789</v>
      </c>
      <c r="C1785" s="5" t="s">
        <v>19</v>
      </c>
      <c r="D1785" s="21">
        <v>3</v>
      </c>
      <c r="E1785" s="12">
        <v>237</v>
      </c>
      <c r="F1785" s="10" t="str">
        <f>_xlfn.XLOOKUP(C1785,menu!A:A,menu!B:B)</f>
        <v>Veg Burger</v>
      </c>
      <c r="G1785" s="10" t="str">
        <f>_xlfn.XLOOKUP(C1785,menu!A:A,menu!C:C)</f>
        <v>Burger</v>
      </c>
      <c r="H1785" s="10">
        <f>_xlfn.XLOOKUP(C1785,menu!A:A,menu!E:E)</f>
        <v>24</v>
      </c>
      <c r="I1785" s="10">
        <f t="shared" si="27"/>
        <v>72</v>
      </c>
      <c r="K1785" s="10"/>
      <c r="L1785" s="5"/>
    </row>
    <row r="1786" spans="1:12" x14ac:dyDescent="0.25">
      <c r="A1786" s="5" t="s">
        <v>4791</v>
      </c>
      <c r="B1786" s="5" t="s">
        <v>4789</v>
      </c>
      <c r="C1786" s="5" t="s">
        <v>54</v>
      </c>
      <c r="D1786" s="21">
        <v>1</v>
      </c>
      <c r="E1786" s="12">
        <v>139</v>
      </c>
      <c r="F1786" s="10" t="str">
        <f>_xlfn.XLOOKUP(C1786,menu!A:A,menu!B:B)</f>
        <v>Chicken Strips</v>
      </c>
      <c r="G1786" s="10" t="str">
        <f>_xlfn.XLOOKUP(C1786,menu!A:A,menu!C:C)</f>
        <v>Starters</v>
      </c>
      <c r="H1786" s="10">
        <f>_xlfn.XLOOKUP(C1786,menu!A:A,menu!E:E)</f>
        <v>42</v>
      </c>
      <c r="I1786" s="10">
        <f t="shared" si="27"/>
        <v>42</v>
      </c>
      <c r="K1786" s="10"/>
      <c r="L1786" s="5"/>
    </row>
    <row r="1787" spans="1:12" x14ac:dyDescent="0.25">
      <c r="A1787" s="5" t="s">
        <v>4790</v>
      </c>
      <c r="B1787" s="5" t="s">
        <v>4789</v>
      </c>
      <c r="C1787" s="5" t="s">
        <v>48</v>
      </c>
      <c r="D1787" s="21">
        <v>2</v>
      </c>
      <c r="E1787" s="12">
        <v>318</v>
      </c>
      <c r="F1787" s="10" t="str">
        <f>_xlfn.XLOOKUP(C1787,menu!A:A,menu!B:B)</f>
        <v>Chicken Lollipop</v>
      </c>
      <c r="G1787" s="10" t="str">
        <f>_xlfn.XLOOKUP(C1787,menu!A:A,menu!C:C)</f>
        <v>Starters</v>
      </c>
      <c r="H1787" s="10">
        <f>_xlfn.XLOOKUP(C1787,menu!A:A,menu!E:E)</f>
        <v>48</v>
      </c>
      <c r="I1787" s="10">
        <f t="shared" si="27"/>
        <v>96</v>
      </c>
      <c r="K1787" s="10"/>
      <c r="L1787" s="5"/>
    </row>
    <row r="1788" spans="1:12" x14ac:dyDescent="0.25">
      <c r="A1788" s="5" t="s">
        <v>4788</v>
      </c>
      <c r="B1788" s="5" t="s">
        <v>4786</v>
      </c>
      <c r="C1788" s="5" t="s">
        <v>29</v>
      </c>
      <c r="D1788" s="21">
        <v>1</v>
      </c>
      <c r="E1788" s="12">
        <v>79</v>
      </c>
      <c r="F1788" s="10" t="str">
        <f>_xlfn.XLOOKUP(C1788,menu!A:A,menu!B:B)</f>
        <v>Paneer Roll</v>
      </c>
      <c r="G1788" s="10" t="str">
        <f>_xlfn.XLOOKUP(C1788,menu!A:A,menu!C:C)</f>
        <v>Rolls</v>
      </c>
      <c r="H1788" s="10">
        <f>_xlfn.XLOOKUP(C1788,menu!A:A,menu!E:E)</f>
        <v>24</v>
      </c>
      <c r="I1788" s="10">
        <f t="shared" si="27"/>
        <v>24</v>
      </c>
      <c r="K1788" s="10"/>
      <c r="L1788" s="5"/>
    </row>
    <row r="1789" spans="1:12" x14ac:dyDescent="0.25">
      <c r="A1789" s="5" t="s">
        <v>4787</v>
      </c>
      <c r="B1789" s="5" t="s">
        <v>4786</v>
      </c>
      <c r="C1789" s="5" t="s">
        <v>35</v>
      </c>
      <c r="D1789" s="21">
        <v>1</v>
      </c>
      <c r="E1789" s="12">
        <v>119</v>
      </c>
      <c r="F1789" s="10" t="str">
        <f>_xlfn.XLOOKUP(C1789,menu!A:A,menu!B:B)</f>
        <v>Chicken Nuggets</v>
      </c>
      <c r="G1789" s="10" t="str">
        <f>_xlfn.XLOOKUP(C1789,menu!A:A,menu!C:C)</f>
        <v>Starters</v>
      </c>
      <c r="H1789" s="10">
        <f>_xlfn.XLOOKUP(C1789,menu!A:A,menu!E:E)</f>
        <v>36</v>
      </c>
      <c r="I1789" s="10">
        <f t="shared" si="27"/>
        <v>36</v>
      </c>
      <c r="K1789" s="10"/>
      <c r="L1789" s="5"/>
    </row>
    <row r="1790" spans="1:12" x14ac:dyDescent="0.25">
      <c r="A1790" s="5" t="s">
        <v>4785</v>
      </c>
      <c r="B1790" s="5" t="s">
        <v>4782</v>
      </c>
      <c r="C1790" s="5" t="s">
        <v>12</v>
      </c>
      <c r="D1790" s="21">
        <v>4</v>
      </c>
      <c r="E1790" s="12">
        <v>316</v>
      </c>
      <c r="F1790" s="10" t="str">
        <f>_xlfn.XLOOKUP(C1790,menu!A:A,menu!B:B)</f>
        <v>Veg Momos</v>
      </c>
      <c r="G1790" s="10" t="str">
        <f>_xlfn.XLOOKUP(C1790,menu!A:A,menu!C:C)</f>
        <v>Momos</v>
      </c>
      <c r="H1790" s="10">
        <f>_xlfn.XLOOKUP(C1790,menu!A:A,menu!E:E)</f>
        <v>24</v>
      </c>
      <c r="I1790" s="10">
        <f t="shared" si="27"/>
        <v>96</v>
      </c>
      <c r="K1790" s="10"/>
      <c r="L1790" s="5"/>
    </row>
    <row r="1791" spans="1:12" x14ac:dyDescent="0.25">
      <c r="A1791" s="5" t="s">
        <v>4784</v>
      </c>
      <c r="B1791" s="5" t="s">
        <v>4782</v>
      </c>
      <c r="C1791" s="5" t="s">
        <v>10</v>
      </c>
      <c r="D1791" s="21">
        <v>2</v>
      </c>
      <c r="E1791" s="12">
        <v>238</v>
      </c>
      <c r="F1791" s="10" t="str">
        <f>_xlfn.XLOOKUP(C1791,menu!A:A,menu!B:B)</f>
        <v>Chicken Sandwich</v>
      </c>
      <c r="G1791" s="10" t="str">
        <f>_xlfn.XLOOKUP(C1791,menu!A:A,menu!C:C)</f>
        <v>Sandwich</v>
      </c>
      <c r="H1791" s="10">
        <f>_xlfn.XLOOKUP(C1791,menu!A:A,menu!E:E)</f>
        <v>36</v>
      </c>
      <c r="I1791" s="10">
        <f t="shared" si="27"/>
        <v>72</v>
      </c>
      <c r="K1791" s="10"/>
      <c r="L1791" s="5"/>
    </row>
    <row r="1792" spans="1:12" x14ac:dyDescent="0.25">
      <c r="A1792" s="5" t="s">
        <v>4783</v>
      </c>
      <c r="B1792" s="5" t="s">
        <v>4782</v>
      </c>
      <c r="C1792" s="5" t="s">
        <v>48</v>
      </c>
      <c r="D1792" s="21">
        <v>3</v>
      </c>
      <c r="E1792" s="12">
        <v>477</v>
      </c>
      <c r="F1792" s="10" t="str">
        <f>_xlfn.XLOOKUP(C1792,menu!A:A,menu!B:B)</f>
        <v>Chicken Lollipop</v>
      </c>
      <c r="G1792" s="10" t="str">
        <f>_xlfn.XLOOKUP(C1792,menu!A:A,menu!C:C)</f>
        <v>Starters</v>
      </c>
      <c r="H1792" s="10">
        <f>_xlfn.XLOOKUP(C1792,menu!A:A,menu!E:E)</f>
        <v>48</v>
      </c>
      <c r="I1792" s="10">
        <f t="shared" si="27"/>
        <v>144</v>
      </c>
      <c r="K1792" s="10"/>
      <c r="L1792" s="5"/>
    </row>
    <row r="1793" spans="1:12" x14ac:dyDescent="0.25">
      <c r="A1793" s="5" t="s">
        <v>4781</v>
      </c>
      <c r="B1793" s="5" t="s">
        <v>4778</v>
      </c>
      <c r="C1793" s="5" t="s">
        <v>10</v>
      </c>
      <c r="D1793" s="21">
        <v>1</v>
      </c>
      <c r="E1793" s="12">
        <v>119</v>
      </c>
      <c r="F1793" s="10" t="str">
        <f>_xlfn.XLOOKUP(C1793,menu!A:A,menu!B:B)</f>
        <v>Chicken Sandwich</v>
      </c>
      <c r="G1793" s="10" t="str">
        <f>_xlfn.XLOOKUP(C1793,menu!A:A,menu!C:C)</f>
        <v>Sandwich</v>
      </c>
      <c r="H1793" s="10">
        <f>_xlfn.XLOOKUP(C1793,menu!A:A,menu!E:E)</f>
        <v>36</v>
      </c>
      <c r="I1793" s="10">
        <f t="shared" si="27"/>
        <v>36</v>
      </c>
      <c r="K1793" s="10"/>
      <c r="L1793" s="5"/>
    </row>
    <row r="1794" spans="1:12" x14ac:dyDescent="0.25">
      <c r="A1794" s="5" t="s">
        <v>4780</v>
      </c>
      <c r="B1794" s="5" t="s">
        <v>4778</v>
      </c>
      <c r="C1794" s="5" t="s">
        <v>35</v>
      </c>
      <c r="D1794" s="21">
        <v>2</v>
      </c>
      <c r="E1794" s="12">
        <v>238</v>
      </c>
      <c r="F1794" s="10" t="str">
        <f>_xlfn.XLOOKUP(C1794,menu!A:A,menu!B:B)</f>
        <v>Chicken Nuggets</v>
      </c>
      <c r="G1794" s="10" t="str">
        <f>_xlfn.XLOOKUP(C1794,menu!A:A,menu!C:C)</f>
        <v>Starters</v>
      </c>
      <c r="H1794" s="10">
        <f>_xlfn.XLOOKUP(C1794,menu!A:A,menu!E:E)</f>
        <v>36</v>
      </c>
      <c r="I1794" s="10">
        <f t="shared" si="27"/>
        <v>72</v>
      </c>
      <c r="K1794" s="10"/>
      <c r="L1794" s="5"/>
    </row>
    <row r="1795" spans="1:12" x14ac:dyDescent="0.25">
      <c r="A1795" s="5" t="s">
        <v>4779</v>
      </c>
      <c r="B1795" s="5" t="s">
        <v>4778</v>
      </c>
      <c r="C1795" s="5" t="s">
        <v>65</v>
      </c>
      <c r="D1795" s="21">
        <v>2</v>
      </c>
      <c r="E1795" s="12">
        <v>98</v>
      </c>
      <c r="F1795" s="10" t="str">
        <f>_xlfn.XLOOKUP(C1795,menu!A:A,menu!B:B)</f>
        <v>Lemon Juice</v>
      </c>
      <c r="G1795" s="10" t="str">
        <f>_xlfn.XLOOKUP(C1795,menu!A:A,menu!C:C)</f>
        <v>Beverages</v>
      </c>
      <c r="H1795" s="10">
        <f>_xlfn.XLOOKUP(C1795,menu!A:A,menu!E:E)</f>
        <v>15</v>
      </c>
      <c r="I1795" s="10">
        <f t="shared" ref="I1795:I1858" si="28">D1795*H1795</f>
        <v>30</v>
      </c>
      <c r="K1795" s="10"/>
      <c r="L1795" s="5"/>
    </row>
    <row r="1796" spans="1:12" x14ac:dyDescent="0.25">
      <c r="A1796" s="5" t="s">
        <v>4777</v>
      </c>
      <c r="B1796" s="5" t="s">
        <v>4776</v>
      </c>
      <c r="C1796" s="5" t="s">
        <v>22</v>
      </c>
      <c r="D1796" s="21">
        <v>1</v>
      </c>
      <c r="E1796" s="12">
        <v>99</v>
      </c>
      <c r="F1796" s="10" t="str">
        <f>_xlfn.XLOOKUP(C1796,menu!A:A,menu!B:B)</f>
        <v>Chicken Burger</v>
      </c>
      <c r="G1796" s="10" t="str">
        <f>_xlfn.XLOOKUP(C1796,menu!A:A,menu!C:C)</f>
        <v>Burger</v>
      </c>
      <c r="H1796" s="10">
        <f>_xlfn.XLOOKUP(C1796,menu!A:A,menu!E:E)</f>
        <v>30</v>
      </c>
      <c r="I1796" s="10">
        <f t="shared" si="28"/>
        <v>30</v>
      </c>
      <c r="K1796" s="10"/>
      <c r="L1796" s="5"/>
    </row>
    <row r="1797" spans="1:12" x14ac:dyDescent="0.25">
      <c r="A1797" s="5" t="s">
        <v>4775</v>
      </c>
      <c r="B1797" s="5" t="s">
        <v>4773</v>
      </c>
      <c r="C1797" s="5" t="s">
        <v>42</v>
      </c>
      <c r="D1797" s="21">
        <v>1</v>
      </c>
      <c r="E1797" s="12">
        <v>149</v>
      </c>
      <c r="F1797" s="10" t="str">
        <f>_xlfn.XLOOKUP(C1797,menu!A:A,menu!B:B)</f>
        <v>Chicken Popcorn</v>
      </c>
      <c r="G1797" s="10" t="str">
        <f>_xlfn.XLOOKUP(C1797,menu!A:A,menu!C:C)</f>
        <v>Starters</v>
      </c>
      <c r="H1797" s="10">
        <f>_xlfn.XLOOKUP(C1797,menu!A:A,menu!E:E)</f>
        <v>45</v>
      </c>
      <c r="I1797" s="10">
        <f t="shared" si="28"/>
        <v>45</v>
      </c>
      <c r="K1797" s="10"/>
      <c r="L1797" s="5"/>
    </row>
    <row r="1798" spans="1:12" x14ac:dyDescent="0.25">
      <c r="A1798" s="5" t="s">
        <v>4774</v>
      </c>
      <c r="B1798" s="5" t="s">
        <v>4773</v>
      </c>
      <c r="C1798" s="5" t="s">
        <v>59</v>
      </c>
      <c r="D1798" s="21">
        <v>1</v>
      </c>
      <c r="E1798" s="12">
        <v>79</v>
      </c>
      <c r="F1798" s="10" t="str">
        <f>_xlfn.XLOOKUP(C1798,menu!A:A,menu!B:B)</f>
        <v>Blue Curacao Mojito</v>
      </c>
      <c r="G1798" s="10" t="str">
        <f>_xlfn.XLOOKUP(C1798,menu!A:A,menu!C:C)</f>
        <v>Beverages</v>
      </c>
      <c r="H1798" s="10">
        <f>_xlfn.XLOOKUP(C1798,menu!A:A,menu!E:E)</f>
        <v>24</v>
      </c>
      <c r="I1798" s="10">
        <f t="shared" si="28"/>
        <v>24</v>
      </c>
      <c r="K1798" s="10"/>
      <c r="L1798" s="5"/>
    </row>
    <row r="1799" spans="1:12" x14ac:dyDescent="0.25">
      <c r="A1799" s="5" t="s">
        <v>4772</v>
      </c>
      <c r="B1799" s="5" t="s">
        <v>4769</v>
      </c>
      <c r="C1799" s="5" t="s">
        <v>10</v>
      </c>
      <c r="D1799" s="21">
        <v>3</v>
      </c>
      <c r="E1799" s="12">
        <v>357</v>
      </c>
      <c r="F1799" s="10" t="str">
        <f>_xlfn.XLOOKUP(C1799,menu!A:A,menu!B:B)</f>
        <v>Chicken Sandwich</v>
      </c>
      <c r="G1799" s="10" t="str">
        <f>_xlfn.XLOOKUP(C1799,menu!A:A,menu!C:C)</f>
        <v>Sandwich</v>
      </c>
      <c r="H1799" s="10">
        <f>_xlfn.XLOOKUP(C1799,menu!A:A,menu!E:E)</f>
        <v>36</v>
      </c>
      <c r="I1799" s="10">
        <f t="shared" si="28"/>
        <v>108</v>
      </c>
      <c r="K1799" s="10"/>
      <c r="L1799" s="5"/>
    </row>
    <row r="1800" spans="1:12" x14ac:dyDescent="0.25">
      <c r="A1800" s="5" t="s">
        <v>4771</v>
      </c>
      <c r="B1800" s="5" t="s">
        <v>4769</v>
      </c>
      <c r="C1800" s="5" t="s">
        <v>46</v>
      </c>
      <c r="D1800" s="21">
        <v>2</v>
      </c>
      <c r="E1800" s="12">
        <v>298</v>
      </c>
      <c r="F1800" s="10" t="str">
        <f>_xlfn.XLOOKUP(C1800,menu!A:A,menu!B:B)</f>
        <v>Fish Finger</v>
      </c>
      <c r="G1800" s="10" t="str">
        <f>_xlfn.XLOOKUP(C1800,menu!A:A,menu!C:C)</f>
        <v>Starters</v>
      </c>
      <c r="H1800" s="10">
        <f>_xlfn.XLOOKUP(C1800,menu!A:A,menu!E:E)</f>
        <v>45</v>
      </c>
      <c r="I1800" s="10">
        <f t="shared" si="28"/>
        <v>90</v>
      </c>
      <c r="K1800" s="10"/>
      <c r="L1800" s="5"/>
    </row>
    <row r="1801" spans="1:12" x14ac:dyDescent="0.25">
      <c r="A1801" s="5" t="s">
        <v>4770</v>
      </c>
      <c r="B1801" s="5" t="s">
        <v>4769</v>
      </c>
      <c r="C1801" s="5" t="s">
        <v>26</v>
      </c>
      <c r="D1801" s="21">
        <v>3</v>
      </c>
      <c r="E1801" s="12">
        <v>177</v>
      </c>
      <c r="F1801" s="10" t="str">
        <f>_xlfn.XLOOKUP(C1801,menu!A:A,menu!B:B)</f>
        <v>Veg Roll</v>
      </c>
      <c r="G1801" s="10" t="str">
        <f>_xlfn.XLOOKUP(C1801,menu!A:A,menu!C:C)</f>
        <v>Rolls</v>
      </c>
      <c r="H1801" s="10">
        <f>_xlfn.XLOOKUP(C1801,menu!A:A,menu!E:E)</f>
        <v>18</v>
      </c>
      <c r="I1801" s="10">
        <f t="shared" si="28"/>
        <v>54</v>
      </c>
      <c r="K1801" s="10"/>
      <c r="L1801" s="5"/>
    </row>
    <row r="1802" spans="1:12" x14ac:dyDescent="0.25">
      <c r="A1802" s="5" t="s">
        <v>4768</v>
      </c>
      <c r="B1802" s="5" t="s">
        <v>4766</v>
      </c>
      <c r="C1802" s="5" t="s">
        <v>29</v>
      </c>
      <c r="D1802" s="21">
        <v>5</v>
      </c>
      <c r="E1802" s="12">
        <v>395</v>
      </c>
      <c r="F1802" s="10" t="str">
        <f>_xlfn.XLOOKUP(C1802,menu!A:A,menu!B:B)</f>
        <v>Paneer Roll</v>
      </c>
      <c r="G1802" s="10" t="str">
        <f>_xlfn.XLOOKUP(C1802,menu!A:A,menu!C:C)</f>
        <v>Rolls</v>
      </c>
      <c r="H1802" s="10">
        <f>_xlfn.XLOOKUP(C1802,menu!A:A,menu!E:E)</f>
        <v>24</v>
      </c>
      <c r="I1802" s="10">
        <f t="shared" si="28"/>
        <v>120</v>
      </c>
      <c r="K1802" s="10"/>
      <c r="L1802" s="5"/>
    </row>
    <row r="1803" spans="1:12" x14ac:dyDescent="0.25">
      <c r="A1803" s="5" t="s">
        <v>4767</v>
      </c>
      <c r="B1803" s="5" t="s">
        <v>4766</v>
      </c>
      <c r="C1803" s="5" t="s">
        <v>48</v>
      </c>
      <c r="D1803" s="21">
        <v>3</v>
      </c>
      <c r="E1803" s="12">
        <v>477</v>
      </c>
      <c r="F1803" s="10" t="str">
        <f>_xlfn.XLOOKUP(C1803,menu!A:A,menu!B:B)</f>
        <v>Chicken Lollipop</v>
      </c>
      <c r="G1803" s="10" t="str">
        <f>_xlfn.XLOOKUP(C1803,menu!A:A,menu!C:C)</f>
        <v>Starters</v>
      </c>
      <c r="H1803" s="10">
        <f>_xlfn.XLOOKUP(C1803,menu!A:A,menu!E:E)</f>
        <v>48</v>
      </c>
      <c r="I1803" s="10">
        <f t="shared" si="28"/>
        <v>144</v>
      </c>
      <c r="K1803" s="10"/>
      <c r="L1803" s="5"/>
    </row>
    <row r="1804" spans="1:12" x14ac:dyDescent="0.25">
      <c r="A1804" s="5" t="s">
        <v>4765</v>
      </c>
      <c r="B1804" s="5" t="s">
        <v>4762</v>
      </c>
      <c r="C1804" s="5" t="s">
        <v>17</v>
      </c>
      <c r="D1804" s="21">
        <v>1</v>
      </c>
      <c r="E1804" s="12">
        <v>89</v>
      </c>
      <c r="F1804" s="10" t="str">
        <f>_xlfn.XLOOKUP(C1804,menu!A:A,menu!B:B)</f>
        <v>Paneer Momos</v>
      </c>
      <c r="G1804" s="10" t="str">
        <f>_xlfn.XLOOKUP(C1804,menu!A:A,menu!C:C)</f>
        <v>Momos</v>
      </c>
      <c r="H1804" s="10">
        <f>_xlfn.XLOOKUP(C1804,menu!A:A,menu!E:E)</f>
        <v>27</v>
      </c>
      <c r="I1804" s="10">
        <f t="shared" si="28"/>
        <v>27</v>
      </c>
      <c r="K1804" s="10"/>
      <c r="L1804" s="5"/>
    </row>
    <row r="1805" spans="1:12" x14ac:dyDescent="0.25">
      <c r="A1805" s="5" t="s">
        <v>4764</v>
      </c>
      <c r="B1805" s="5" t="s">
        <v>4762</v>
      </c>
      <c r="C1805" s="5" t="s">
        <v>8</v>
      </c>
      <c r="D1805" s="21">
        <v>3</v>
      </c>
      <c r="E1805" s="12">
        <v>297</v>
      </c>
      <c r="F1805" s="10" t="str">
        <f>_xlfn.XLOOKUP(C1805,menu!A:A,menu!B:B)</f>
        <v>Paneer Sandwich</v>
      </c>
      <c r="G1805" s="10" t="str">
        <f>_xlfn.XLOOKUP(C1805,menu!A:A,menu!C:C)</f>
        <v>Sandwich</v>
      </c>
      <c r="H1805" s="10">
        <f>_xlfn.XLOOKUP(C1805,menu!A:A,menu!E:E)</f>
        <v>30</v>
      </c>
      <c r="I1805" s="10">
        <f t="shared" si="28"/>
        <v>90</v>
      </c>
      <c r="K1805" s="10"/>
      <c r="L1805" s="5"/>
    </row>
    <row r="1806" spans="1:12" x14ac:dyDescent="0.25">
      <c r="A1806" s="5" t="s">
        <v>4763</v>
      </c>
      <c r="B1806" s="5" t="s">
        <v>4762</v>
      </c>
      <c r="C1806" s="5" t="s">
        <v>40</v>
      </c>
      <c r="D1806" s="21">
        <v>1</v>
      </c>
      <c r="E1806" s="12">
        <v>99</v>
      </c>
      <c r="F1806" s="10" t="str">
        <f>_xlfn.XLOOKUP(C1806,menu!A:A,menu!B:B)</f>
        <v>Veg Nuggets</v>
      </c>
      <c r="G1806" s="10" t="str">
        <f>_xlfn.XLOOKUP(C1806,menu!A:A,menu!C:C)</f>
        <v>Starters</v>
      </c>
      <c r="H1806" s="10">
        <f>_xlfn.XLOOKUP(C1806,menu!A:A,menu!E:E)</f>
        <v>30</v>
      </c>
      <c r="I1806" s="10">
        <f t="shared" si="28"/>
        <v>30</v>
      </c>
      <c r="K1806" s="10"/>
      <c r="L1806" s="5"/>
    </row>
    <row r="1807" spans="1:12" x14ac:dyDescent="0.25">
      <c r="A1807" s="5" t="s">
        <v>4761</v>
      </c>
      <c r="B1807" s="5" t="s">
        <v>4759</v>
      </c>
      <c r="C1807" s="5" t="s">
        <v>61</v>
      </c>
      <c r="D1807" s="21">
        <v>5</v>
      </c>
      <c r="E1807" s="12">
        <v>395</v>
      </c>
      <c r="F1807" s="10" t="str">
        <f>_xlfn.XLOOKUP(C1807,menu!A:A,menu!B:B)</f>
        <v>Watermelon Mojito</v>
      </c>
      <c r="G1807" s="10" t="str">
        <f>_xlfn.XLOOKUP(C1807,menu!A:A,menu!C:C)</f>
        <v>Beverages</v>
      </c>
      <c r="H1807" s="10">
        <f>_xlfn.XLOOKUP(C1807,menu!A:A,menu!E:E)</f>
        <v>24</v>
      </c>
      <c r="I1807" s="10">
        <f t="shared" si="28"/>
        <v>120</v>
      </c>
      <c r="K1807" s="10"/>
      <c r="L1807" s="5"/>
    </row>
    <row r="1808" spans="1:12" x14ac:dyDescent="0.25">
      <c r="A1808" s="5" t="s">
        <v>4760</v>
      </c>
      <c r="B1808" s="5" t="s">
        <v>4759</v>
      </c>
      <c r="C1808" s="5" t="s">
        <v>48</v>
      </c>
      <c r="D1808" s="21">
        <v>1</v>
      </c>
      <c r="E1808" s="12">
        <v>159</v>
      </c>
      <c r="F1808" s="10" t="str">
        <f>_xlfn.XLOOKUP(C1808,menu!A:A,menu!B:B)</f>
        <v>Chicken Lollipop</v>
      </c>
      <c r="G1808" s="10" t="str">
        <f>_xlfn.XLOOKUP(C1808,menu!A:A,menu!C:C)</f>
        <v>Starters</v>
      </c>
      <c r="H1808" s="10">
        <f>_xlfn.XLOOKUP(C1808,menu!A:A,menu!E:E)</f>
        <v>48</v>
      </c>
      <c r="I1808" s="10">
        <f t="shared" si="28"/>
        <v>48</v>
      </c>
      <c r="K1808" s="10"/>
      <c r="L1808" s="5"/>
    </row>
    <row r="1809" spans="1:12" x14ac:dyDescent="0.25">
      <c r="A1809" s="5" t="s">
        <v>4758</v>
      </c>
      <c r="B1809" s="5" t="s">
        <v>4756</v>
      </c>
      <c r="C1809" s="5" t="s">
        <v>40</v>
      </c>
      <c r="D1809" s="21">
        <v>1</v>
      </c>
      <c r="E1809" s="12">
        <v>99</v>
      </c>
      <c r="F1809" s="10" t="str">
        <f>_xlfn.XLOOKUP(C1809,menu!A:A,menu!B:B)</f>
        <v>Veg Nuggets</v>
      </c>
      <c r="G1809" s="10" t="str">
        <f>_xlfn.XLOOKUP(C1809,menu!A:A,menu!C:C)</f>
        <v>Starters</v>
      </c>
      <c r="H1809" s="10">
        <f>_xlfn.XLOOKUP(C1809,menu!A:A,menu!E:E)</f>
        <v>30</v>
      </c>
      <c r="I1809" s="10">
        <f t="shared" si="28"/>
        <v>30</v>
      </c>
      <c r="K1809" s="10"/>
      <c r="L1809" s="5"/>
    </row>
    <row r="1810" spans="1:12" x14ac:dyDescent="0.25">
      <c r="A1810" s="5" t="s">
        <v>4757</v>
      </c>
      <c r="B1810" s="5" t="s">
        <v>4756</v>
      </c>
      <c r="C1810" s="5" t="s">
        <v>46</v>
      </c>
      <c r="D1810" s="21">
        <v>1</v>
      </c>
      <c r="E1810" s="12">
        <v>149</v>
      </c>
      <c r="F1810" s="10" t="str">
        <f>_xlfn.XLOOKUP(C1810,menu!A:A,menu!B:B)</f>
        <v>Fish Finger</v>
      </c>
      <c r="G1810" s="10" t="str">
        <f>_xlfn.XLOOKUP(C1810,menu!A:A,menu!C:C)</f>
        <v>Starters</v>
      </c>
      <c r="H1810" s="10">
        <f>_xlfn.XLOOKUP(C1810,menu!A:A,menu!E:E)</f>
        <v>45</v>
      </c>
      <c r="I1810" s="10">
        <f t="shared" si="28"/>
        <v>45</v>
      </c>
      <c r="K1810" s="10"/>
      <c r="L1810" s="5"/>
    </row>
    <row r="1811" spans="1:12" x14ac:dyDescent="0.25">
      <c r="A1811" s="5" t="s">
        <v>4755</v>
      </c>
      <c r="B1811" s="5" t="s">
        <v>4752</v>
      </c>
      <c r="C1811" s="5" t="s">
        <v>42</v>
      </c>
      <c r="D1811" s="21">
        <v>3</v>
      </c>
      <c r="E1811" s="12">
        <v>447</v>
      </c>
      <c r="F1811" s="10" t="str">
        <f>_xlfn.XLOOKUP(C1811,menu!A:A,menu!B:B)</f>
        <v>Chicken Popcorn</v>
      </c>
      <c r="G1811" s="10" t="str">
        <f>_xlfn.XLOOKUP(C1811,menu!A:A,menu!C:C)</f>
        <v>Starters</v>
      </c>
      <c r="H1811" s="10">
        <f>_xlfn.XLOOKUP(C1811,menu!A:A,menu!E:E)</f>
        <v>45</v>
      </c>
      <c r="I1811" s="10">
        <f t="shared" si="28"/>
        <v>135</v>
      </c>
      <c r="K1811" s="10"/>
      <c r="L1811" s="5"/>
    </row>
    <row r="1812" spans="1:12" x14ac:dyDescent="0.25">
      <c r="A1812" s="5" t="s">
        <v>4754</v>
      </c>
      <c r="B1812" s="5" t="s">
        <v>4752</v>
      </c>
      <c r="C1812" s="5" t="s">
        <v>22</v>
      </c>
      <c r="D1812" s="21">
        <v>1</v>
      </c>
      <c r="E1812" s="12">
        <v>99</v>
      </c>
      <c r="F1812" s="10" t="str">
        <f>_xlfn.XLOOKUP(C1812,menu!A:A,menu!B:B)</f>
        <v>Chicken Burger</v>
      </c>
      <c r="G1812" s="10" t="str">
        <f>_xlfn.XLOOKUP(C1812,menu!A:A,menu!C:C)</f>
        <v>Burger</v>
      </c>
      <c r="H1812" s="10">
        <f>_xlfn.XLOOKUP(C1812,menu!A:A,menu!E:E)</f>
        <v>30</v>
      </c>
      <c r="I1812" s="10">
        <f t="shared" si="28"/>
        <v>30</v>
      </c>
      <c r="K1812" s="10"/>
      <c r="L1812" s="5"/>
    </row>
    <row r="1813" spans="1:12" x14ac:dyDescent="0.25">
      <c r="A1813" s="5" t="s">
        <v>4753</v>
      </c>
      <c r="B1813" s="5" t="s">
        <v>4752</v>
      </c>
      <c r="C1813" s="5" t="s">
        <v>48</v>
      </c>
      <c r="D1813" s="21">
        <v>1</v>
      </c>
      <c r="E1813" s="12">
        <v>159</v>
      </c>
      <c r="F1813" s="10" t="str">
        <f>_xlfn.XLOOKUP(C1813,menu!A:A,menu!B:B)</f>
        <v>Chicken Lollipop</v>
      </c>
      <c r="G1813" s="10" t="str">
        <f>_xlfn.XLOOKUP(C1813,menu!A:A,menu!C:C)</f>
        <v>Starters</v>
      </c>
      <c r="H1813" s="10">
        <f>_xlfn.XLOOKUP(C1813,menu!A:A,menu!E:E)</f>
        <v>48</v>
      </c>
      <c r="I1813" s="10">
        <f t="shared" si="28"/>
        <v>48</v>
      </c>
      <c r="K1813" s="10"/>
      <c r="L1813" s="5"/>
    </row>
    <row r="1814" spans="1:12" x14ac:dyDescent="0.25">
      <c r="A1814" s="5" t="s">
        <v>4751</v>
      </c>
      <c r="B1814" s="5" t="s">
        <v>4749</v>
      </c>
      <c r="C1814" s="5" t="s">
        <v>35</v>
      </c>
      <c r="D1814" s="21">
        <v>1</v>
      </c>
      <c r="E1814" s="12">
        <v>119</v>
      </c>
      <c r="F1814" s="10" t="str">
        <f>_xlfn.XLOOKUP(C1814,menu!A:A,menu!B:B)</f>
        <v>Chicken Nuggets</v>
      </c>
      <c r="G1814" s="10" t="str">
        <f>_xlfn.XLOOKUP(C1814,menu!A:A,menu!C:C)</f>
        <v>Starters</v>
      </c>
      <c r="H1814" s="10">
        <f>_xlfn.XLOOKUP(C1814,menu!A:A,menu!E:E)</f>
        <v>36</v>
      </c>
      <c r="I1814" s="10">
        <f t="shared" si="28"/>
        <v>36</v>
      </c>
      <c r="K1814" s="10"/>
      <c r="L1814" s="5"/>
    </row>
    <row r="1815" spans="1:12" x14ac:dyDescent="0.25">
      <c r="A1815" s="5" t="s">
        <v>4750</v>
      </c>
      <c r="B1815" s="5" t="s">
        <v>4749</v>
      </c>
      <c r="C1815" s="5" t="s">
        <v>54</v>
      </c>
      <c r="D1815" s="21">
        <v>1</v>
      </c>
      <c r="E1815" s="12">
        <v>139</v>
      </c>
      <c r="F1815" s="10" t="str">
        <f>_xlfn.XLOOKUP(C1815,menu!A:A,menu!B:B)</f>
        <v>Chicken Strips</v>
      </c>
      <c r="G1815" s="10" t="str">
        <f>_xlfn.XLOOKUP(C1815,menu!A:A,menu!C:C)</f>
        <v>Starters</v>
      </c>
      <c r="H1815" s="10">
        <f>_xlfn.XLOOKUP(C1815,menu!A:A,menu!E:E)</f>
        <v>42</v>
      </c>
      <c r="I1815" s="10">
        <f t="shared" si="28"/>
        <v>42</v>
      </c>
      <c r="K1815" s="10"/>
      <c r="L1815" s="5"/>
    </row>
    <row r="1816" spans="1:12" x14ac:dyDescent="0.25">
      <c r="A1816" s="5" t="s">
        <v>4748</v>
      </c>
      <c r="B1816" s="5" t="s">
        <v>4744</v>
      </c>
      <c r="C1816" s="5" t="s">
        <v>40</v>
      </c>
      <c r="D1816" s="21">
        <v>1</v>
      </c>
      <c r="E1816" s="12">
        <v>99</v>
      </c>
      <c r="F1816" s="10" t="str">
        <f>_xlfn.XLOOKUP(C1816,menu!A:A,menu!B:B)</f>
        <v>Veg Nuggets</v>
      </c>
      <c r="G1816" s="10" t="str">
        <f>_xlfn.XLOOKUP(C1816,menu!A:A,menu!C:C)</f>
        <v>Starters</v>
      </c>
      <c r="H1816" s="10">
        <f>_xlfn.XLOOKUP(C1816,menu!A:A,menu!E:E)</f>
        <v>30</v>
      </c>
      <c r="I1816" s="10">
        <f t="shared" si="28"/>
        <v>30</v>
      </c>
      <c r="K1816" s="10"/>
      <c r="L1816" s="5"/>
    </row>
    <row r="1817" spans="1:12" x14ac:dyDescent="0.25">
      <c r="A1817" s="5" t="s">
        <v>4747</v>
      </c>
      <c r="B1817" s="5" t="s">
        <v>4744</v>
      </c>
      <c r="C1817" s="5" t="s">
        <v>50</v>
      </c>
      <c r="D1817" s="21">
        <v>2</v>
      </c>
      <c r="E1817" s="12">
        <v>298</v>
      </c>
      <c r="F1817" s="10" t="str">
        <f>_xlfn.XLOOKUP(C1817,menu!A:A,menu!B:B)</f>
        <v>Grab Lollipop</v>
      </c>
      <c r="G1817" s="10" t="str">
        <f>_xlfn.XLOOKUP(C1817,menu!A:A,menu!C:C)</f>
        <v>Starters</v>
      </c>
      <c r="H1817" s="10">
        <f>_xlfn.XLOOKUP(C1817,menu!A:A,menu!E:E)</f>
        <v>45</v>
      </c>
      <c r="I1817" s="10">
        <f t="shared" si="28"/>
        <v>90</v>
      </c>
      <c r="K1817" s="10"/>
      <c r="L1817" s="5"/>
    </row>
    <row r="1818" spans="1:12" x14ac:dyDescent="0.25">
      <c r="A1818" s="5" t="s">
        <v>4746</v>
      </c>
      <c r="B1818" s="5" t="s">
        <v>4744</v>
      </c>
      <c r="C1818" s="5" t="s">
        <v>44</v>
      </c>
      <c r="D1818" s="21">
        <v>5</v>
      </c>
      <c r="E1818" s="12">
        <v>795</v>
      </c>
      <c r="F1818" s="10" t="str">
        <f>_xlfn.XLOOKUP(C1818,menu!A:A,menu!B:B)</f>
        <v>Fried Chicken</v>
      </c>
      <c r="G1818" s="10" t="str">
        <f>_xlfn.XLOOKUP(C1818,menu!A:A,menu!C:C)</f>
        <v>Starters</v>
      </c>
      <c r="H1818" s="10">
        <f>_xlfn.XLOOKUP(C1818,menu!A:A,menu!E:E)</f>
        <v>48</v>
      </c>
      <c r="I1818" s="10">
        <f t="shared" si="28"/>
        <v>240</v>
      </c>
      <c r="K1818" s="10"/>
      <c r="L1818" s="5"/>
    </row>
    <row r="1819" spans="1:12" x14ac:dyDescent="0.25">
      <c r="A1819" s="5" t="s">
        <v>4745</v>
      </c>
      <c r="B1819" s="5" t="s">
        <v>4744</v>
      </c>
      <c r="C1819" s="5" t="s">
        <v>26</v>
      </c>
      <c r="D1819" s="21">
        <v>1</v>
      </c>
      <c r="E1819" s="12">
        <v>59</v>
      </c>
      <c r="F1819" s="10" t="str">
        <f>_xlfn.XLOOKUP(C1819,menu!A:A,menu!B:B)</f>
        <v>Veg Roll</v>
      </c>
      <c r="G1819" s="10" t="str">
        <f>_xlfn.XLOOKUP(C1819,menu!A:A,menu!C:C)</f>
        <v>Rolls</v>
      </c>
      <c r="H1819" s="10">
        <f>_xlfn.XLOOKUP(C1819,menu!A:A,menu!E:E)</f>
        <v>18</v>
      </c>
      <c r="I1819" s="10">
        <f t="shared" si="28"/>
        <v>18</v>
      </c>
      <c r="K1819" s="10"/>
      <c r="L1819" s="5"/>
    </row>
    <row r="1820" spans="1:12" x14ac:dyDescent="0.25">
      <c r="A1820" s="5" t="s">
        <v>4743</v>
      </c>
      <c r="B1820" s="5" t="s">
        <v>4739</v>
      </c>
      <c r="C1820" s="5" t="s">
        <v>17</v>
      </c>
      <c r="D1820" s="21">
        <v>2</v>
      </c>
      <c r="E1820" s="12">
        <v>178</v>
      </c>
      <c r="F1820" s="10" t="str">
        <f>_xlfn.XLOOKUP(C1820,menu!A:A,menu!B:B)</f>
        <v>Paneer Momos</v>
      </c>
      <c r="G1820" s="10" t="str">
        <f>_xlfn.XLOOKUP(C1820,menu!A:A,menu!C:C)</f>
        <v>Momos</v>
      </c>
      <c r="H1820" s="10">
        <f>_xlfn.XLOOKUP(C1820,menu!A:A,menu!E:E)</f>
        <v>27</v>
      </c>
      <c r="I1820" s="10">
        <f t="shared" si="28"/>
        <v>54</v>
      </c>
      <c r="K1820" s="10"/>
      <c r="L1820" s="5"/>
    </row>
    <row r="1821" spans="1:12" x14ac:dyDescent="0.25">
      <c r="A1821" s="5" t="s">
        <v>4742</v>
      </c>
      <c r="B1821" s="5" t="s">
        <v>4739</v>
      </c>
      <c r="C1821" s="5" t="s">
        <v>10</v>
      </c>
      <c r="D1821" s="21">
        <v>2</v>
      </c>
      <c r="E1821" s="12">
        <v>238</v>
      </c>
      <c r="F1821" s="10" t="str">
        <f>_xlfn.XLOOKUP(C1821,menu!A:A,menu!B:B)</f>
        <v>Chicken Sandwich</v>
      </c>
      <c r="G1821" s="10" t="str">
        <f>_xlfn.XLOOKUP(C1821,menu!A:A,menu!C:C)</f>
        <v>Sandwich</v>
      </c>
      <c r="H1821" s="10">
        <f>_xlfn.XLOOKUP(C1821,menu!A:A,menu!E:E)</f>
        <v>36</v>
      </c>
      <c r="I1821" s="10">
        <f t="shared" si="28"/>
        <v>72</v>
      </c>
      <c r="K1821" s="10"/>
      <c r="L1821" s="5"/>
    </row>
    <row r="1822" spans="1:12" x14ac:dyDescent="0.25">
      <c r="A1822" s="5" t="s">
        <v>4741</v>
      </c>
      <c r="B1822" s="5" t="s">
        <v>4739</v>
      </c>
      <c r="C1822" s="5" t="s">
        <v>42</v>
      </c>
      <c r="D1822" s="21">
        <v>2</v>
      </c>
      <c r="E1822" s="12">
        <v>298</v>
      </c>
      <c r="F1822" s="10" t="str">
        <f>_xlfn.XLOOKUP(C1822,menu!A:A,menu!B:B)</f>
        <v>Chicken Popcorn</v>
      </c>
      <c r="G1822" s="10" t="str">
        <f>_xlfn.XLOOKUP(C1822,menu!A:A,menu!C:C)</f>
        <v>Starters</v>
      </c>
      <c r="H1822" s="10">
        <f>_xlfn.XLOOKUP(C1822,menu!A:A,menu!E:E)</f>
        <v>45</v>
      </c>
      <c r="I1822" s="10">
        <f t="shared" si="28"/>
        <v>90</v>
      </c>
      <c r="K1822" s="10"/>
      <c r="L1822" s="5"/>
    </row>
    <row r="1823" spans="1:12" x14ac:dyDescent="0.25">
      <c r="A1823" s="5" t="s">
        <v>4740</v>
      </c>
      <c r="B1823" s="5" t="s">
        <v>4739</v>
      </c>
      <c r="C1823" s="5" t="s">
        <v>31</v>
      </c>
      <c r="D1823" s="21">
        <v>5</v>
      </c>
      <c r="E1823" s="12">
        <v>445</v>
      </c>
      <c r="F1823" s="10" t="str">
        <f>_xlfn.XLOOKUP(C1823,menu!A:A,menu!B:B)</f>
        <v>Chicken Roll</v>
      </c>
      <c r="G1823" s="10" t="str">
        <f>_xlfn.XLOOKUP(C1823,menu!A:A,menu!C:C)</f>
        <v>Rolls</v>
      </c>
      <c r="H1823" s="10">
        <f>_xlfn.XLOOKUP(C1823,menu!A:A,menu!E:E)</f>
        <v>27</v>
      </c>
      <c r="I1823" s="10">
        <f t="shared" si="28"/>
        <v>135</v>
      </c>
      <c r="K1823" s="10"/>
      <c r="L1823" s="5"/>
    </row>
    <row r="1824" spans="1:12" x14ac:dyDescent="0.25">
      <c r="A1824" s="5" t="s">
        <v>4738</v>
      </c>
      <c r="B1824" s="5" t="s">
        <v>4736</v>
      </c>
      <c r="C1824" s="5" t="s">
        <v>52</v>
      </c>
      <c r="D1824" s="21">
        <v>1</v>
      </c>
      <c r="E1824" s="12">
        <v>99</v>
      </c>
      <c r="F1824" s="10" t="str">
        <f>_xlfn.XLOOKUP(C1824,menu!A:A,menu!B:B)</f>
        <v>French Fries</v>
      </c>
      <c r="G1824" s="10" t="str">
        <f>_xlfn.XLOOKUP(C1824,menu!A:A,menu!C:C)</f>
        <v>Starters</v>
      </c>
      <c r="H1824" s="10">
        <f>_xlfn.XLOOKUP(C1824,menu!A:A,menu!E:E)</f>
        <v>30</v>
      </c>
      <c r="I1824" s="10">
        <f t="shared" si="28"/>
        <v>30</v>
      </c>
      <c r="K1824" s="10"/>
      <c r="L1824" s="5"/>
    </row>
    <row r="1825" spans="1:12" x14ac:dyDescent="0.25">
      <c r="A1825" s="5" t="s">
        <v>4737</v>
      </c>
      <c r="B1825" s="5" t="s">
        <v>4736</v>
      </c>
      <c r="C1825" s="5" t="s">
        <v>8</v>
      </c>
      <c r="D1825" s="21">
        <v>2</v>
      </c>
      <c r="E1825" s="12">
        <v>198</v>
      </c>
      <c r="F1825" s="10" t="str">
        <f>_xlfn.XLOOKUP(C1825,menu!A:A,menu!B:B)</f>
        <v>Paneer Sandwich</v>
      </c>
      <c r="G1825" s="10" t="str">
        <f>_xlfn.XLOOKUP(C1825,menu!A:A,menu!C:C)</f>
        <v>Sandwich</v>
      </c>
      <c r="H1825" s="10">
        <f>_xlfn.XLOOKUP(C1825,menu!A:A,menu!E:E)</f>
        <v>30</v>
      </c>
      <c r="I1825" s="10">
        <f t="shared" si="28"/>
        <v>60</v>
      </c>
      <c r="K1825" s="10"/>
      <c r="L1825" s="5"/>
    </row>
    <row r="1826" spans="1:12" x14ac:dyDescent="0.25">
      <c r="A1826" s="5" t="s">
        <v>4735</v>
      </c>
      <c r="B1826" s="5" t="s">
        <v>4733</v>
      </c>
      <c r="C1826" s="5" t="s">
        <v>56</v>
      </c>
      <c r="D1826" s="21">
        <v>2</v>
      </c>
      <c r="E1826" s="12">
        <v>158</v>
      </c>
      <c r="F1826" s="10" t="str">
        <f>_xlfn.XLOOKUP(C1826,menu!A:A,menu!B:B)</f>
        <v>Mint Mojito</v>
      </c>
      <c r="G1826" s="10" t="str">
        <f>_xlfn.XLOOKUP(C1826,menu!A:A,menu!C:C)</f>
        <v>Beverages</v>
      </c>
      <c r="H1826" s="10">
        <f>_xlfn.XLOOKUP(C1826,menu!A:A,menu!E:E)</f>
        <v>24</v>
      </c>
      <c r="I1826" s="10">
        <f t="shared" si="28"/>
        <v>48</v>
      </c>
      <c r="K1826" s="10"/>
      <c r="L1826" s="5"/>
    </row>
    <row r="1827" spans="1:12" x14ac:dyDescent="0.25">
      <c r="A1827" s="5" t="s">
        <v>4734</v>
      </c>
      <c r="B1827" s="5" t="s">
        <v>4733</v>
      </c>
      <c r="C1827" s="5" t="s">
        <v>38</v>
      </c>
      <c r="D1827" s="21">
        <v>5</v>
      </c>
      <c r="E1827" s="12">
        <v>745</v>
      </c>
      <c r="F1827" s="10" t="str">
        <f>_xlfn.XLOOKUP(C1827,menu!A:A,menu!B:B)</f>
        <v>Chicken Wings</v>
      </c>
      <c r="G1827" s="10" t="str">
        <f>_xlfn.XLOOKUP(C1827,menu!A:A,menu!C:C)</f>
        <v>Starters</v>
      </c>
      <c r="H1827" s="10">
        <f>_xlfn.XLOOKUP(C1827,menu!A:A,menu!E:E)</f>
        <v>45</v>
      </c>
      <c r="I1827" s="10">
        <f t="shared" si="28"/>
        <v>225</v>
      </c>
      <c r="K1827" s="10"/>
      <c r="L1827" s="5"/>
    </row>
    <row r="1828" spans="1:12" x14ac:dyDescent="0.25">
      <c r="A1828" s="5" t="s">
        <v>4732</v>
      </c>
      <c r="B1828" s="5" t="s">
        <v>4731</v>
      </c>
      <c r="C1828" s="5" t="s">
        <v>22</v>
      </c>
      <c r="D1828" s="21">
        <v>1</v>
      </c>
      <c r="E1828" s="12">
        <v>99</v>
      </c>
      <c r="F1828" s="10" t="str">
        <f>_xlfn.XLOOKUP(C1828,menu!A:A,menu!B:B)</f>
        <v>Chicken Burger</v>
      </c>
      <c r="G1828" s="10" t="str">
        <f>_xlfn.XLOOKUP(C1828,menu!A:A,menu!C:C)</f>
        <v>Burger</v>
      </c>
      <c r="H1828" s="10">
        <f>_xlfn.XLOOKUP(C1828,menu!A:A,menu!E:E)</f>
        <v>30</v>
      </c>
      <c r="I1828" s="10">
        <f t="shared" si="28"/>
        <v>30</v>
      </c>
      <c r="K1828" s="10"/>
      <c r="L1828" s="5"/>
    </row>
    <row r="1829" spans="1:12" x14ac:dyDescent="0.25">
      <c r="A1829" s="5" t="s">
        <v>4730</v>
      </c>
      <c r="B1829" s="5" t="s">
        <v>4729</v>
      </c>
      <c r="C1829" s="5" t="s">
        <v>40</v>
      </c>
      <c r="D1829" s="21">
        <v>2</v>
      </c>
      <c r="E1829" s="12">
        <v>198</v>
      </c>
      <c r="F1829" s="10" t="str">
        <f>_xlfn.XLOOKUP(C1829,menu!A:A,menu!B:B)</f>
        <v>Veg Nuggets</v>
      </c>
      <c r="G1829" s="10" t="str">
        <f>_xlfn.XLOOKUP(C1829,menu!A:A,menu!C:C)</f>
        <v>Starters</v>
      </c>
      <c r="H1829" s="10">
        <f>_xlfn.XLOOKUP(C1829,menu!A:A,menu!E:E)</f>
        <v>30</v>
      </c>
      <c r="I1829" s="10">
        <f t="shared" si="28"/>
        <v>60</v>
      </c>
      <c r="K1829" s="10"/>
      <c r="L1829" s="5"/>
    </row>
    <row r="1830" spans="1:12" x14ac:dyDescent="0.25">
      <c r="A1830" s="5" t="s">
        <v>4728</v>
      </c>
      <c r="B1830" s="5" t="s">
        <v>4726</v>
      </c>
      <c r="C1830" s="5" t="s">
        <v>17</v>
      </c>
      <c r="D1830" s="21">
        <v>4</v>
      </c>
      <c r="E1830" s="12">
        <v>356</v>
      </c>
      <c r="F1830" s="10" t="str">
        <f>_xlfn.XLOOKUP(C1830,menu!A:A,menu!B:B)</f>
        <v>Paneer Momos</v>
      </c>
      <c r="G1830" s="10" t="str">
        <f>_xlfn.XLOOKUP(C1830,menu!A:A,menu!C:C)</f>
        <v>Momos</v>
      </c>
      <c r="H1830" s="10">
        <f>_xlfn.XLOOKUP(C1830,menu!A:A,menu!E:E)</f>
        <v>27</v>
      </c>
      <c r="I1830" s="10">
        <f t="shared" si="28"/>
        <v>108</v>
      </c>
      <c r="K1830" s="10"/>
      <c r="L1830" s="5"/>
    </row>
    <row r="1831" spans="1:12" x14ac:dyDescent="0.25">
      <c r="A1831" s="5" t="s">
        <v>4727</v>
      </c>
      <c r="B1831" s="5" t="s">
        <v>4726</v>
      </c>
      <c r="C1831" s="5" t="s">
        <v>35</v>
      </c>
      <c r="D1831" s="21">
        <v>1</v>
      </c>
      <c r="E1831" s="12">
        <v>119</v>
      </c>
      <c r="F1831" s="10" t="str">
        <f>_xlfn.XLOOKUP(C1831,menu!A:A,menu!B:B)</f>
        <v>Chicken Nuggets</v>
      </c>
      <c r="G1831" s="10" t="str">
        <f>_xlfn.XLOOKUP(C1831,menu!A:A,menu!C:C)</f>
        <v>Starters</v>
      </c>
      <c r="H1831" s="10">
        <f>_xlfn.XLOOKUP(C1831,menu!A:A,menu!E:E)</f>
        <v>36</v>
      </c>
      <c r="I1831" s="10">
        <f t="shared" si="28"/>
        <v>36</v>
      </c>
      <c r="K1831" s="10"/>
      <c r="L1831" s="5"/>
    </row>
    <row r="1832" spans="1:12" x14ac:dyDescent="0.25">
      <c r="A1832" s="5" t="s">
        <v>4725</v>
      </c>
      <c r="B1832" s="5" t="s">
        <v>4723</v>
      </c>
      <c r="C1832" s="5" t="s">
        <v>50</v>
      </c>
      <c r="D1832" s="21">
        <v>2</v>
      </c>
      <c r="E1832" s="12">
        <v>298</v>
      </c>
      <c r="F1832" s="10" t="str">
        <f>_xlfn.XLOOKUP(C1832,menu!A:A,menu!B:B)</f>
        <v>Grab Lollipop</v>
      </c>
      <c r="G1832" s="10" t="str">
        <f>_xlfn.XLOOKUP(C1832,menu!A:A,menu!C:C)</f>
        <v>Starters</v>
      </c>
      <c r="H1832" s="10">
        <f>_xlfn.XLOOKUP(C1832,menu!A:A,menu!E:E)</f>
        <v>45</v>
      </c>
      <c r="I1832" s="10">
        <f t="shared" si="28"/>
        <v>90</v>
      </c>
      <c r="K1832" s="10"/>
      <c r="L1832" s="5"/>
    </row>
    <row r="1833" spans="1:12" x14ac:dyDescent="0.25">
      <c r="A1833" s="5" t="s">
        <v>4724</v>
      </c>
      <c r="B1833" s="5" t="s">
        <v>4723</v>
      </c>
      <c r="C1833" s="5" t="s">
        <v>24</v>
      </c>
      <c r="D1833" s="21">
        <v>1</v>
      </c>
      <c r="E1833" s="12">
        <v>89</v>
      </c>
      <c r="F1833" s="10" t="str">
        <f>_xlfn.XLOOKUP(C1833,menu!A:A,menu!B:B)</f>
        <v>Paneer Burger</v>
      </c>
      <c r="G1833" s="10" t="str">
        <f>_xlfn.XLOOKUP(C1833,menu!A:A,menu!C:C)</f>
        <v>Burger</v>
      </c>
      <c r="H1833" s="10">
        <f>_xlfn.XLOOKUP(C1833,menu!A:A,menu!E:E)</f>
        <v>27</v>
      </c>
      <c r="I1833" s="10">
        <f t="shared" si="28"/>
        <v>27</v>
      </c>
      <c r="K1833" s="10"/>
      <c r="L1833" s="5"/>
    </row>
    <row r="1834" spans="1:12" x14ac:dyDescent="0.25">
      <c r="A1834" s="5" t="s">
        <v>4722</v>
      </c>
      <c r="B1834" s="5" t="s">
        <v>4719</v>
      </c>
      <c r="C1834" s="5" t="s">
        <v>40</v>
      </c>
      <c r="D1834" s="21">
        <v>1</v>
      </c>
      <c r="E1834" s="12">
        <v>99</v>
      </c>
      <c r="F1834" s="10" t="str">
        <f>_xlfn.XLOOKUP(C1834,menu!A:A,menu!B:B)</f>
        <v>Veg Nuggets</v>
      </c>
      <c r="G1834" s="10" t="str">
        <f>_xlfn.XLOOKUP(C1834,menu!A:A,menu!C:C)</f>
        <v>Starters</v>
      </c>
      <c r="H1834" s="10">
        <f>_xlfn.XLOOKUP(C1834,menu!A:A,menu!E:E)</f>
        <v>30</v>
      </c>
      <c r="I1834" s="10">
        <f t="shared" si="28"/>
        <v>30</v>
      </c>
      <c r="K1834" s="10"/>
      <c r="L1834" s="5"/>
    </row>
    <row r="1835" spans="1:12" x14ac:dyDescent="0.25">
      <c r="A1835" s="5" t="s">
        <v>4721</v>
      </c>
      <c r="B1835" s="5" t="s">
        <v>4719</v>
      </c>
      <c r="C1835" s="5" t="s">
        <v>8</v>
      </c>
      <c r="D1835" s="21">
        <v>5</v>
      </c>
      <c r="E1835" s="12">
        <v>495</v>
      </c>
      <c r="F1835" s="10" t="str">
        <f>_xlfn.XLOOKUP(C1835,menu!A:A,menu!B:B)</f>
        <v>Paneer Sandwich</v>
      </c>
      <c r="G1835" s="10" t="str">
        <f>_xlfn.XLOOKUP(C1835,menu!A:A,menu!C:C)</f>
        <v>Sandwich</v>
      </c>
      <c r="H1835" s="10">
        <f>_xlfn.XLOOKUP(C1835,menu!A:A,menu!E:E)</f>
        <v>30</v>
      </c>
      <c r="I1835" s="10">
        <f t="shared" si="28"/>
        <v>150</v>
      </c>
      <c r="K1835" s="10"/>
      <c r="L1835" s="5"/>
    </row>
    <row r="1836" spans="1:12" x14ac:dyDescent="0.25">
      <c r="A1836" s="5" t="s">
        <v>4720</v>
      </c>
      <c r="B1836" s="5" t="s">
        <v>4719</v>
      </c>
      <c r="C1836" s="5" t="s">
        <v>24</v>
      </c>
      <c r="D1836" s="21">
        <v>1</v>
      </c>
      <c r="E1836" s="12">
        <v>89</v>
      </c>
      <c r="F1836" s="10" t="str">
        <f>_xlfn.XLOOKUP(C1836,menu!A:A,menu!B:B)</f>
        <v>Paneer Burger</v>
      </c>
      <c r="G1836" s="10" t="str">
        <f>_xlfn.XLOOKUP(C1836,menu!A:A,menu!C:C)</f>
        <v>Burger</v>
      </c>
      <c r="H1836" s="10">
        <f>_xlfn.XLOOKUP(C1836,menu!A:A,menu!E:E)</f>
        <v>27</v>
      </c>
      <c r="I1836" s="10">
        <f t="shared" si="28"/>
        <v>27</v>
      </c>
      <c r="K1836" s="10"/>
      <c r="L1836" s="5"/>
    </row>
    <row r="1837" spans="1:12" x14ac:dyDescent="0.25">
      <c r="A1837" s="5" t="s">
        <v>4718</v>
      </c>
      <c r="B1837" s="5" t="s">
        <v>4717</v>
      </c>
      <c r="C1837" s="5" t="s">
        <v>61</v>
      </c>
      <c r="D1837" s="21">
        <v>4</v>
      </c>
      <c r="E1837" s="12">
        <v>316</v>
      </c>
      <c r="F1837" s="10" t="str">
        <f>_xlfn.XLOOKUP(C1837,menu!A:A,menu!B:B)</f>
        <v>Watermelon Mojito</v>
      </c>
      <c r="G1837" s="10" t="str">
        <f>_xlfn.XLOOKUP(C1837,menu!A:A,menu!C:C)</f>
        <v>Beverages</v>
      </c>
      <c r="H1837" s="10">
        <f>_xlfn.XLOOKUP(C1837,menu!A:A,menu!E:E)</f>
        <v>24</v>
      </c>
      <c r="I1837" s="10">
        <f t="shared" si="28"/>
        <v>96</v>
      </c>
      <c r="K1837" s="10"/>
      <c r="L1837" s="5"/>
    </row>
    <row r="1838" spans="1:12" x14ac:dyDescent="0.25">
      <c r="A1838" s="5" t="s">
        <v>4716</v>
      </c>
      <c r="B1838" s="5" t="s">
        <v>4714</v>
      </c>
      <c r="C1838" s="5" t="s">
        <v>46</v>
      </c>
      <c r="D1838" s="21">
        <v>1</v>
      </c>
      <c r="E1838" s="12">
        <v>149</v>
      </c>
      <c r="F1838" s="10" t="str">
        <f>_xlfn.XLOOKUP(C1838,menu!A:A,menu!B:B)</f>
        <v>Fish Finger</v>
      </c>
      <c r="G1838" s="10" t="str">
        <f>_xlfn.XLOOKUP(C1838,menu!A:A,menu!C:C)</f>
        <v>Starters</v>
      </c>
      <c r="H1838" s="10">
        <f>_xlfn.XLOOKUP(C1838,menu!A:A,menu!E:E)</f>
        <v>45</v>
      </c>
      <c r="I1838" s="10">
        <f t="shared" si="28"/>
        <v>45</v>
      </c>
      <c r="K1838" s="10"/>
      <c r="L1838" s="5"/>
    </row>
    <row r="1839" spans="1:12" x14ac:dyDescent="0.25">
      <c r="A1839" s="5" t="s">
        <v>4715</v>
      </c>
      <c r="B1839" s="5" t="s">
        <v>4714</v>
      </c>
      <c r="C1839" s="5" t="s">
        <v>59</v>
      </c>
      <c r="D1839" s="21">
        <v>1</v>
      </c>
      <c r="E1839" s="12">
        <v>79</v>
      </c>
      <c r="F1839" s="10" t="str">
        <f>_xlfn.XLOOKUP(C1839,menu!A:A,menu!B:B)</f>
        <v>Blue Curacao Mojito</v>
      </c>
      <c r="G1839" s="10" t="str">
        <f>_xlfn.XLOOKUP(C1839,menu!A:A,menu!C:C)</f>
        <v>Beverages</v>
      </c>
      <c r="H1839" s="10">
        <f>_xlfn.XLOOKUP(C1839,menu!A:A,menu!E:E)</f>
        <v>24</v>
      </c>
      <c r="I1839" s="10">
        <f t="shared" si="28"/>
        <v>24</v>
      </c>
      <c r="K1839" s="10"/>
      <c r="L1839" s="5"/>
    </row>
    <row r="1840" spans="1:12" x14ac:dyDescent="0.25">
      <c r="A1840" s="5" t="s">
        <v>4713</v>
      </c>
      <c r="B1840" s="5" t="s">
        <v>4711</v>
      </c>
      <c r="C1840" s="5" t="s">
        <v>44</v>
      </c>
      <c r="D1840" s="21">
        <v>1</v>
      </c>
      <c r="E1840" s="12">
        <v>159</v>
      </c>
      <c r="F1840" s="10" t="str">
        <f>_xlfn.XLOOKUP(C1840,menu!A:A,menu!B:B)</f>
        <v>Fried Chicken</v>
      </c>
      <c r="G1840" s="10" t="str">
        <f>_xlfn.XLOOKUP(C1840,menu!A:A,menu!C:C)</f>
        <v>Starters</v>
      </c>
      <c r="H1840" s="10">
        <f>_xlfn.XLOOKUP(C1840,menu!A:A,menu!E:E)</f>
        <v>48</v>
      </c>
      <c r="I1840" s="10">
        <f t="shared" si="28"/>
        <v>48</v>
      </c>
      <c r="K1840" s="10"/>
      <c r="L1840" s="5"/>
    </row>
    <row r="1841" spans="1:12" x14ac:dyDescent="0.25">
      <c r="A1841" s="5" t="s">
        <v>4712</v>
      </c>
      <c r="B1841" s="5" t="s">
        <v>4711</v>
      </c>
      <c r="C1841" s="5" t="s">
        <v>42</v>
      </c>
      <c r="D1841" s="21">
        <v>4</v>
      </c>
      <c r="E1841" s="12">
        <v>596</v>
      </c>
      <c r="F1841" s="10" t="str">
        <f>_xlfn.XLOOKUP(C1841,menu!A:A,menu!B:B)</f>
        <v>Chicken Popcorn</v>
      </c>
      <c r="G1841" s="10" t="str">
        <f>_xlfn.XLOOKUP(C1841,menu!A:A,menu!C:C)</f>
        <v>Starters</v>
      </c>
      <c r="H1841" s="10">
        <f>_xlfn.XLOOKUP(C1841,menu!A:A,menu!E:E)</f>
        <v>45</v>
      </c>
      <c r="I1841" s="10">
        <f t="shared" si="28"/>
        <v>180</v>
      </c>
      <c r="K1841" s="10"/>
      <c r="L1841" s="5"/>
    </row>
    <row r="1842" spans="1:12" x14ac:dyDescent="0.25">
      <c r="A1842" s="5" t="s">
        <v>4710</v>
      </c>
      <c r="B1842" s="5" t="s">
        <v>4708</v>
      </c>
      <c r="C1842" s="5" t="s">
        <v>52</v>
      </c>
      <c r="D1842" s="21">
        <v>2</v>
      </c>
      <c r="E1842" s="12">
        <v>198</v>
      </c>
      <c r="F1842" s="10" t="str">
        <f>_xlfn.XLOOKUP(C1842,menu!A:A,menu!B:B)</f>
        <v>French Fries</v>
      </c>
      <c r="G1842" s="10" t="str">
        <f>_xlfn.XLOOKUP(C1842,menu!A:A,menu!C:C)</f>
        <v>Starters</v>
      </c>
      <c r="H1842" s="10">
        <f>_xlfn.XLOOKUP(C1842,menu!A:A,menu!E:E)</f>
        <v>30</v>
      </c>
      <c r="I1842" s="10">
        <f t="shared" si="28"/>
        <v>60</v>
      </c>
      <c r="K1842" s="10"/>
      <c r="L1842" s="5"/>
    </row>
    <row r="1843" spans="1:12" x14ac:dyDescent="0.25">
      <c r="A1843" s="5" t="s">
        <v>4709</v>
      </c>
      <c r="B1843" s="5" t="s">
        <v>4708</v>
      </c>
      <c r="C1843" s="5" t="s">
        <v>59</v>
      </c>
      <c r="D1843" s="21">
        <v>2</v>
      </c>
      <c r="E1843" s="12">
        <v>158</v>
      </c>
      <c r="F1843" s="10" t="str">
        <f>_xlfn.XLOOKUP(C1843,menu!A:A,menu!B:B)</f>
        <v>Blue Curacao Mojito</v>
      </c>
      <c r="G1843" s="10" t="str">
        <f>_xlfn.XLOOKUP(C1843,menu!A:A,menu!C:C)</f>
        <v>Beverages</v>
      </c>
      <c r="H1843" s="10">
        <f>_xlfn.XLOOKUP(C1843,menu!A:A,menu!E:E)</f>
        <v>24</v>
      </c>
      <c r="I1843" s="10">
        <f t="shared" si="28"/>
        <v>48</v>
      </c>
      <c r="K1843" s="10"/>
      <c r="L1843" s="5"/>
    </row>
    <row r="1844" spans="1:12" x14ac:dyDescent="0.25">
      <c r="A1844" s="5" t="s">
        <v>4707</v>
      </c>
      <c r="B1844" s="5" t="s">
        <v>4706</v>
      </c>
      <c r="C1844" s="5" t="s">
        <v>59</v>
      </c>
      <c r="D1844" s="21">
        <v>2</v>
      </c>
      <c r="E1844" s="12">
        <v>158</v>
      </c>
      <c r="F1844" s="10" t="str">
        <f>_xlfn.XLOOKUP(C1844,menu!A:A,menu!B:B)</f>
        <v>Blue Curacao Mojito</v>
      </c>
      <c r="G1844" s="10" t="str">
        <f>_xlfn.XLOOKUP(C1844,menu!A:A,menu!C:C)</f>
        <v>Beverages</v>
      </c>
      <c r="H1844" s="10">
        <f>_xlfn.XLOOKUP(C1844,menu!A:A,menu!E:E)</f>
        <v>24</v>
      </c>
      <c r="I1844" s="10">
        <f t="shared" si="28"/>
        <v>48</v>
      </c>
      <c r="K1844" s="10"/>
      <c r="L1844" s="5"/>
    </row>
    <row r="1845" spans="1:12" x14ac:dyDescent="0.25">
      <c r="A1845" s="5" t="s">
        <v>4705</v>
      </c>
      <c r="B1845" s="5" t="s">
        <v>4702</v>
      </c>
      <c r="C1845" s="5" t="s">
        <v>12</v>
      </c>
      <c r="D1845" s="21">
        <v>1</v>
      </c>
      <c r="E1845" s="12">
        <v>79</v>
      </c>
      <c r="F1845" s="10" t="str">
        <f>_xlfn.XLOOKUP(C1845,menu!A:A,menu!B:B)</f>
        <v>Veg Momos</v>
      </c>
      <c r="G1845" s="10" t="str">
        <f>_xlfn.XLOOKUP(C1845,menu!A:A,menu!C:C)</f>
        <v>Momos</v>
      </c>
      <c r="H1845" s="10">
        <f>_xlfn.XLOOKUP(C1845,menu!A:A,menu!E:E)</f>
        <v>24</v>
      </c>
      <c r="I1845" s="10">
        <f t="shared" si="28"/>
        <v>24</v>
      </c>
      <c r="K1845" s="10"/>
      <c r="L1845" s="5"/>
    </row>
    <row r="1846" spans="1:12" x14ac:dyDescent="0.25">
      <c r="A1846" s="5" t="s">
        <v>4704</v>
      </c>
      <c r="B1846" s="5" t="s">
        <v>4702</v>
      </c>
      <c r="C1846" s="5" t="s">
        <v>42</v>
      </c>
      <c r="D1846" s="21">
        <v>3</v>
      </c>
      <c r="E1846" s="12">
        <v>447</v>
      </c>
      <c r="F1846" s="10" t="str">
        <f>_xlfn.XLOOKUP(C1846,menu!A:A,menu!B:B)</f>
        <v>Chicken Popcorn</v>
      </c>
      <c r="G1846" s="10" t="str">
        <f>_xlfn.XLOOKUP(C1846,menu!A:A,menu!C:C)</f>
        <v>Starters</v>
      </c>
      <c r="H1846" s="10">
        <f>_xlfn.XLOOKUP(C1846,menu!A:A,menu!E:E)</f>
        <v>45</v>
      </c>
      <c r="I1846" s="10">
        <f t="shared" si="28"/>
        <v>135</v>
      </c>
      <c r="K1846" s="10"/>
      <c r="L1846" s="5"/>
    </row>
    <row r="1847" spans="1:12" x14ac:dyDescent="0.25">
      <c r="A1847" s="5" t="s">
        <v>4703</v>
      </c>
      <c r="B1847" s="5" t="s">
        <v>4702</v>
      </c>
      <c r="C1847" s="5" t="s">
        <v>24</v>
      </c>
      <c r="D1847" s="21">
        <v>4</v>
      </c>
      <c r="E1847" s="12">
        <v>356</v>
      </c>
      <c r="F1847" s="10" t="str">
        <f>_xlfn.XLOOKUP(C1847,menu!A:A,menu!B:B)</f>
        <v>Paneer Burger</v>
      </c>
      <c r="G1847" s="10" t="str">
        <f>_xlfn.XLOOKUP(C1847,menu!A:A,menu!C:C)</f>
        <v>Burger</v>
      </c>
      <c r="H1847" s="10">
        <f>_xlfn.XLOOKUP(C1847,menu!A:A,menu!E:E)</f>
        <v>27</v>
      </c>
      <c r="I1847" s="10">
        <f t="shared" si="28"/>
        <v>108</v>
      </c>
      <c r="K1847" s="10"/>
      <c r="L1847" s="5"/>
    </row>
    <row r="1848" spans="1:12" x14ac:dyDescent="0.25">
      <c r="A1848" s="5" t="s">
        <v>4701</v>
      </c>
      <c r="B1848" s="5" t="s">
        <v>4699</v>
      </c>
      <c r="C1848" s="5" t="s">
        <v>17</v>
      </c>
      <c r="D1848" s="21">
        <v>3</v>
      </c>
      <c r="E1848" s="12">
        <v>267</v>
      </c>
      <c r="F1848" s="10" t="str">
        <f>_xlfn.XLOOKUP(C1848,menu!A:A,menu!B:B)</f>
        <v>Paneer Momos</v>
      </c>
      <c r="G1848" s="10" t="str">
        <f>_xlfn.XLOOKUP(C1848,menu!A:A,menu!C:C)</f>
        <v>Momos</v>
      </c>
      <c r="H1848" s="10">
        <f>_xlfn.XLOOKUP(C1848,menu!A:A,menu!E:E)</f>
        <v>27</v>
      </c>
      <c r="I1848" s="10">
        <f t="shared" si="28"/>
        <v>81</v>
      </c>
      <c r="K1848" s="10"/>
      <c r="L1848" s="5"/>
    </row>
    <row r="1849" spans="1:12" x14ac:dyDescent="0.25">
      <c r="A1849" s="5" t="s">
        <v>4700</v>
      </c>
      <c r="B1849" s="5" t="s">
        <v>4699</v>
      </c>
      <c r="C1849" s="5" t="s">
        <v>54</v>
      </c>
      <c r="D1849" s="21">
        <v>3</v>
      </c>
      <c r="E1849" s="12">
        <v>417</v>
      </c>
      <c r="F1849" s="10" t="str">
        <f>_xlfn.XLOOKUP(C1849,menu!A:A,menu!B:B)</f>
        <v>Chicken Strips</v>
      </c>
      <c r="G1849" s="10" t="str">
        <f>_xlfn.XLOOKUP(C1849,menu!A:A,menu!C:C)</f>
        <v>Starters</v>
      </c>
      <c r="H1849" s="10">
        <f>_xlfn.XLOOKUP(C1849,menu!A:A,menu!E:E)</f>
        <v>42</v>
      </c>
      <c r="I1849" s="10">
        <f t="shared" si="28"/>
        <v>126</v>
      </c>
      <c r="K1849" s="10"/>
      <c r="L1849" s="5"/>
    </row>
    <row r="1850" spans="1:12" x14ac:dyDescent="0.25">
      <c r="A1850" s="5" t="s">
        <v>4698</v>
      </c>
      <c r="B1850" s="5" t="s">
        <v>4695</v>
      </c>
      <c r="C1850" s="5" t="s">
        <v>5</v>
      </c>
      <c r="D1850" s="21">
        <v>1</v>
      </c>
      <c r="E1850" s="12">
        <v>79</v>
      </c>
      <c r="F1850" s="10" t="str">
        <f>_xlfn.XLOOKUP(C1850,menu!A:A,menu!B:B)</f>
        <v>Veg Sandwich</v>
      </c>
      <c r="G1850" s="10" t="str">
        <f>_xlfn.XLOOKUP(C1850,menu!A:A,menu!C:C)</f>
        <v>Sandwich</v>
      </c>
      <c r="H1850" s="10">
        <f>_xlfn.XLOOKUP(C1850,menu!A:A,menu!E:E)</f>
        <v>24</v>
      </c>
      <c r="I1850" s="10">
        <f t="shared" si="28"/>
        <v>24</v>
      </c>
      <c r="K1850" s="10"/>
      <c r="L1850" s="5"/>
    </row>
    <row r="1851" spans="1:12" x14ac:dyDescent="0.25">
      <c r="A1851" s="5" t="s">
        <v>4697</v>
      </c>
      <c r="B1851" s="5" t="s">
        <v>4695</v>
      </c>
      <c r="C1851" s="5" t="s">
        <v>8</v>
      </c>
      <c r="D1851" s="21">
        <v>3</v>
      </c>
      <c r="E1851" s="12">
        <v>297</v>
      </c>
      <c r="F1851" s="10" t="str">
        <f>_xlfn.XLOOKUP(C1851,menu!A:A,menu!B:B)</f>
        <v>Paneer Sandwich</v>
      </c>
      <c r="G1851" s="10" t="str">
        <f>_xlfn.XLOOKUP(C1851,menu!A:A,menu!C:C)</f>
        <v>Sandwich</v>
      </c>
      <c r="H1851" s="10">
        <f>_xlfn.XLOOKUP(C1851,menu!A:A,menu!E:E)</f>
        <v>30</v>
      </c>
      <c r="I1851" s="10">
        <f t="shared" si="28"/>
        <v>90</v>
      </c>
      <c r="K1851" s="10"/>
      <c r="L1851" s="5"/>
    </row>
    <row r="1852" spans="1:12" x14ac:dyDescent="0.25">
      <c r="A1852" s="5" t="s">
        <v>4696</v>
      </c>
      <c r="B1852" s="5" t="s">
        <v>4695</v>
      </c>
      <c r="C1852" s="5" t="s">
        <v>48</v>
      </c>
      <c r="D1852" s="21">
        <v>1</v>
      </c>
      <c r="E1852" s="12">
        <v>159</v>
      </c>
      <c r="F1852" s="10" t="str">
        <f>_xlfn.XLOOKUP(C1852,menu!A:A,menu!B:B)</f>
        <v>Chicken Lollipop</v>
      </c>
      <c r="G1852" s="10" t="str">
        <f>_xlfn.XLOOKUP(C1852,menu!A:A,menu!C:C)</f>
        <v>Starters</v>
      </c>
      <c r="H1852" s="10">
        <f>_xlfn.XLOOKUP(C1852,menu!A:A,menu!E:E)</f>
        <v>48</v>
      </c>
      <c r="I1852" s="10">
        <f t="shared" si="28"/>
        <v>48</v>
      </c>
      <c r="K1852" s="10"/>
      <c r="L1852" s="5"/>
    </row>
    <row r="1853" spans="1:12" x14ac:dyDescent="0.25">
      <c r="A1853" s="5" t="s">
        <v>4694</v>
      </c>
      <c r="B1853" s="5" t="s">
        <v>4693</v>
      </c>
      <c r="C1853" s="5" t="s">
        <v>17</v>
      </c>
      <c r="D1853" s="21">
        <v>1</v>
      </c>
      <c r="E1853" s="12">
        <v>89</v>
      </c>
      <c r="F1853" s="10" t="str">
        <f>_xlfn.XLOOKUP(C1853,menu!A:A,menu!B:B)</f>
        <v>Paneer Momos</v>
      </c>
      <c r="G1853" s="10" t="str">
        <f>_xlfn.XLOOKUP(C1853,menu!A:A,menu!C:C)</f>
        <v>Momos</v>
      </c>
      <c r="H1853" s="10">
        <f>_xlfn.XLOOKUP(C1853,menu!A:A,menu!E:E)</f>
        <v>27</v>
      </c>
      <c r="I1853" s="10">
        <f t="shared" si="28"/>
        <v>27</v>
      </c>
      <c r="K1853" s="10"/>
      <c r="L1853" s="5"/>
    </row>
    <row r="1854" spans="1:12" x14ac:dyDescent="0.25">
      <c r="A1854" s="5" t="s">
        <v>4692</v>
      </c>
      <c r="B1854" s="5" t="s">
        <v>4689</v>
      </c>
      <c r="C1854" s="5" t="s">
        <v>12</v>
      </c>
      <c r="D1854" s="21">
        <v>2</v>
      </c>
      <c r="E1854" s="12">
        <v>158</v>
      </c>
      <c r="F1854" s="10" t="str">
        <f>_xlfn.XLOOKUP(C1854,menu!A:A,menu!B:B)</f>
        <v>Veg Momos</v>
      </c>
      <c r="G1854" s="10" t="str">
        <f>_xlfn.XLOOKUP(C1854,menu!A:A,menu!C:C)</f>
        <v>Momos</v>
      </c>
      <c r="H1854" s="10">
        <f>_xlfn.XLOOKUP(C1854,menu!A:A,menu!E:E)</f>
        <v>24</v>
      </c>
      <c r="I1854" s="10">
        <f t="shared" si="28"/>
        <v>48</v>
      </c>
      <c r="K1854" s="10"/>
      <c r="L1854" s="5"/>
    </row>
    <row r="1855" spans="1:12" x14ac:dyDescent="0.25">
      <c r="A1855" s="5" t="s">
        <v>4691</v>
      </c>
      <c r="B1855" s="5" t="s">
        <v>4689</v>
      </c>
      <c r="C1855" s="5" t="s">
        <v>10</v>
      </c>
      <c r="D1855" s="21">
        <v>1</v>
      </c>
      <c r="E1855" s="12">
        <v>119</v>
      </c>
      <c r="F1855" s="10" t="str">
        <f>_xlfn.XLOOKUP(C1855,menu!A:A,menu!B:B)</f>
        <v>Chicken Sandwich</v>
      </c>
      <c r="G1855" s="10" t="str">
        <f>_xlfn.XLOOKUP(C1855,menu!A:A,menu!C:C)</f>
        <v>Sandwich</v>
      </c>
      <c r="H1855" s="10">
        <f>_xlfn.XLOOKUP(C1855,menu!A:A,menu!E:E)</f>
        <v>36</v>
      </c>
      <c r="I1855" s="10">
        <f t="shared" si="28"/>
        <v>36</v>
      </c>
      <c r="K1855" s="10"/>
      <c r="L1855" s="5"/>
    </row>
    <row r="1856" spans="1:12" x14ac:dyDescent="0.25">
      <c r="A1856" s="5" t="s">
        <v>4690</v>
      </c>
      <c r="B1856" s="5" t="s">
        <v>4689</v>
      </c>
      <c r="C1856" s="5" t="s">
        <v>26</v>
      </c>
      <c r="D1856" s="21">
        <v>2</v>
      </c>
      <c r="E1856" s="12">
        <v>118</v>
      </c>
      <c r="F1856" s="10" t="str">
        <f>_xlfn.XLOOKUP(C1856,menu!A:A,menu!B:B)</f>
        <v>Veg Roll</v>
      </c>
      <c r="G1856" s="10" t="str">
        <f>_xlfn.XLOOKUP(C1856,menu!A:A,menu!C:C)</f>
        <v>Rolls</v>
      </c>
      <c r="H1856" s="10">
        <f>_xlfn.XLOOKUP(C1856,menu!A:A,menu!E:E)</f>
        <v>18</v>
      </c>
      <c r="I1856" s="10">
        <f t="shared" si="28"/>
        <v>36</v>
      </c>
      <c r="K1856" s="10"/>
      <c r="L1856" s="5"/>
    </row>
    <row r="1857" spans="1:12" x14ac:dyDescent="0.25">
      <c r="A1857" s="5" t="s">
        <v>4688</v>
      </c>
      <c r="B1857" s="5" t="s">
        <v>4687</v>
      </c>
      <c r="C1857" s="5" t="s">
        <v>31</v>
      </c>
      <c r="D1857" s="21">
        <v>2</v>
      </c>
      <c r="E1857" s="12">
        <v>178</v>
      </c>
      <c r="F1857" s="10" t="str">
        <f>_xlfn.XLOOKUP(C1857,menu!A:A,menu!B:B)</f>
        <v>Chicken Roll</v>
      </c>
      <c r="G1857" s="10" t="str">
        <f>_xlfn.XLOOKUP(C1857,menu!A:A,menu!C:C)</f>
        <v>Rolls</v>
      </c>
      <c r="H1857" s="10">
        <f>_xlfn.XLOOKUP(C1857,menu!A:A,menu!E:E)</f>
        <v>27</v>
      </c>
      <c r="I1857" s="10">
        <f t="shared" si="28"/>
        <v>54</v>
      </c>
      <c r="K1857" s="10"/>
      <c r="L1857" s="5"/>
    </row>
    <row r="1858" spans="1:12" x14ac:dyDescent="0.25">
      <c r="A1858" s="5" t="s">
        <v>4686</v>
      </c>
      <c r="B1858" s="5" t="s">
        <v>4683</v>
      </c>
      <c r="C1858" s="5" t="s">
        <v>35</v>
      </c>
      <c r="D1858" s="21">
        <v>3</v>
      </c>
      <c r="E1858" s="12">
        <v>357</v>
      </c>
      <c r="F1858" s="10" t="str">
        <f>_xlfn.XLOOKUP(C1858,menu!A:A,menu!B:B)</f>
        <v>Chicken Nuggets</v>
      </c>
      <c r="G1858" s="10" t="str">
        <f>_xlfn.XLOOKUP(C1858,menu!A:A,menu!C:C)</f>
        <v>Starters</v>
      </c>
      <c r="H1858" s="10">
        <f>_xlfn.XLOOKUP(C1858,menu!A:A,menu!E:E)</f>
        <v>36</v>
      </c>
      <c r="I1858" s="10">
        <f t="shared" si="28"/>
        <v>108</v>
      </c>
      <c r="K1858" s="10"/>
      <c r="L1858" s="5"/>
    </row>
    <row r="1859" spans="1:12" x14ac:dyDescent="0.25">
      <c r="A1859" s="5" t="s">
        <v>4685</v>
      </c>
      <c r="B1859" s="5" t="s">
        <v>4683</v>
      </c>
      <c r="C1859" s="5" t="s">
        <v>44</v>
      </c>
      <c r="D1859" s="21">
        <v>2</v>
      </c>
      <c r="E1859" s="12">
        <v>318</v>
      </c>
      <c r="F1859" s="10" t="str">
        <f>_xlfn.XLOOKUP(C1859,menu!A:A,menu!B:B)</f>
        <v>Fried Chicken</v>
      </c>
      <c r="G1859" s="10" t="str">
        <f>_xlfn.XLOOKUP(C1859,menu!A:A,menu!C:C)</f>
        <v>Starters</v>
      </c>
      <c r="H1859" s="10">
        <f>_xlfn.XLOOKUP(C1859,menu!A:A,menu!E:E)</f>
        <v>48</v>
      </c>
      <c r="I1859" s="10">
        <f t="shared" ref="I1859:I1922" si="29">D1859*H1859</f>
        <v>96</v>
      </c>
      <c r="K1859" s="10"/>
      <c r="L1859" s="5"/>
    </row>
    <row r="1860" spans="1:12" x14ac:dyDescent="0.25">
      <c r="A1860" s="5" t="s">
        <v>4684</v>
      </c>
      <c r="B1860" s="5" t="s">
        <v>4683</v>
      </c>
      <c r="C1860" s="5" t="s">
        <v>24</v>
      </c>
      <c r="D1860" s="21">
        <v>2</v>
      </c>
      <c r="E1860" s="12">
        <v>178</v>
      </c>
      <c r="F1860" s="10" t="str">
        <f>_xlfn.XLOOKUP(C1860,menu!A:A,menu!B:B)</f>
        <v>Paneer Burger</v>
      </c>
      <c r="G1860" s="10" t="str">
        <f>_xlfn.XLOOKUP(C1860,menu!A:A,menu!C:C)</f>
        <v>Burger</v>
      </c>
      <c r="H1860" s="10">
        <f>_xlfn.XLOOKUP(C1860,menu!A:A,menu!E:E)</f>
        <v>27</v>
      </c>
      <c r="I1860" s="10">
        <f t="shared" si="29"/>
        <v>54</v>
      </c>
      <c r="K1860" s="10"/>
      <c r="L1860" s="5"/>
    </row>
    <row r="1861" spans="1:12" x14ac:dyDescent="0.25">
      <c r="A1861" s="5" t="s">
        <v>4682</v>
      </c>
      <c r="B1861" s="5" t="s">
        <v>4680</v>
      </c>
      <c r="C1861" s="5" t="s">
        <v>63</v>
      </c>
      <c r="D1861" s="21">
        <v>1</v>
      </c>
      <c r="E1861" s="12">
        <v>79</v>
      </c>
      <c r="F1861" s="10" t="str">
        <f>_xlfn.XLOOKUP(C1861,menu!A:A,menu!B:B)</f>
        <v>Virgin Mojito</v>
      </c>
      <c r="G1861" s="10" t="str">
        <f>_xlfn.XLOOKUP(C1861,menu!A:A,menu!C:C)</f>
        <v>Beverages</v>
      </c>
      <c r="H1861" s="10">
        <f>_xlfn.XLOOKUP(C1861,menu!A:A,menu!E:E)</f>
        <v>24</v>
      </c>
      <c r="I1861" s="10">
        <f t="shared" si="29"/>
        <v>24</v>
      </c>
      <c r="K1861" s="10"/>
      <c r="L1861" s="5"/>
    </row>
    <row r="1862" spans="1:12" x14ac:dyDescent="0.25">
      <c r="A1862" s="5" t="s">
        <v>4681</v>
      </c>
      <c r="B1862" s="5" t="s">
        <v>4680</v>
      </c>
      <c r="C1862" s="5" t="s">
        <v>48</v>
      </c>
      <c r="D1862" s="21">
        <v>1</v>
      </c>
      <c r="E1862" s="12">
        <v>159</v>
      </c>
      <c r="F1862" s="10" t="str">
        <f>_xlfn.XLOOKUP(C1862,menu!A:A,menu!B:B)</f>
        <v>Chicken Lollipop</v>
      </c>
      <c r="G1862" s="10" t="str">
        <f>_xlfn.XLOOKUP(C1862,menu!A:A,menu!C:C)</f>
        <v>Starters</v>
      </c>
      <c r="H1862" s="10">
        <f>_xlfn.XLOOKUP(C1862,menu!A:A,menu!E:E)</f>
        <v>48</v>
      </c>
      <c r="I1862" s="10">
        <f t="shared" si="29"/>
        <v>48</v>
      </c>
      <c r="K1862" s="10"/>
      <c r="L1862" s="5"/>
    </row>
    <row r="1863" spans="1:12" x14ac:dyDescent="0.25">
      <c r="A1863" s="5" t="s">
        <v>4679</v>
      </c>
      <c r="B1863" s="5" t="s">
        <v>4677</v>
      </c>
      <c r="C1863" s="5" t="s">
        <v>19</v>
      </c>
      <c r="D1863" s="21">
        <v>1</v>
      </c>
      <c r="E1863" s="12">
        <v>79</v>
      </c>
      <c r="F1863" s="10" t="str">
        <f>_xlfn.XLOOKUP(C1863,menu!A:A,menu!B:B)</f>
        <v>Veg Burger</v>
      </c>
      <c r="G1863" s="10" t="str">
        <f>_xlfn.XLOOKUP(C1863,menu!A:A,menu!C:C)</f>
        <v>Burger</v>
      </c>
      <c r="H1863" s="10">
        <f>_xlfn.XLOOKUP(C1863,menu!A:A,menu!E:E)</f>
        <v>24</v>
      </c>
      <c r="I1863" s="10">
        <f t="shared" si="29"/>
        <v>24</v>
      </c>
      <c r="K1863" s="10"/>
      <c r="L1863" s="5"/>
    </row>
    <row r="1864" spans="1:12" x14ac:dyDescent="0.25">
      <c r="A1864" s="5" t="s">
        <v>4678</v>
      </c>
      <c r="B1864" s="5" t="s">
        <v>4677</v>
      </c>
      <c r="C1864" s="5" t="s">
        <v>44</v>
      </c>
      <c r="D1864" s="21">
        <v>4</v>
      </c>
      <c r="E1864" s="12">
        <v>636</v>
      </c>
      <c r="F1864" s="10" t="str">
        <f>_xlfn.XLOOKUP(C1864,menu!A:A,menu!B:B)</f>
        <v>Fried Chicken</v>
      </c>
      <c r="G1864" s="10" t="str">
        <f>_xlfn.XLOOKUP(C1864,menu!A:A,menu!C:C)</f>
        <v>Starters</v>
      </c>
      <c r="H1864" s="10">
        <f>_xlfn.XLOOKUP(C1864,menu!A:A,menu!E:E)</f>
        <v>48</v>
      </c>
      <c r="I1864" s="10">
        <f t="shared" si="29"/>
        <v>192</v>
      </c>
      <c r="K1864" s="10"/>
      <c r="L1864" s="5"/>
    </row>
    <row r="1865" spans="1:12" x14ac:dyDescent="0.25">
      <c r="A1865" s="5" t="s">
        <v>4676</v>
      </c>
      <c r="B1865" s="5" t="s">
        <v>4674</v>
      </c>
      <c r="C1865" s="5" t="s">
        <v>17</v>
      </c>
      <c r="D1865" s="21">
        <v>1</v>
      </c>
      <c r="E1865" s="12">
        <v>89</v>
      </c>
      <c r="F1865" s="10" t="str">
        <f>_xlfn.XLOOKUP(C1865,menu!A:A,menu!B:B)</f>
        <v>Paneer Momos</v>
      </c>
      <c r="G1865" s="10" t="str">
        <f>_xlfn.XLOOKUP(C1865,menu!A:A,menu!C:C)</f>
        <v>Momos</v>
      </c>
      <c r="H1865" s="10">
        <f>_xlfn.XLOOKUP(C1865,menu!A:A,menu!E:E)</f>
        <v>27</v>
      </c>
      <c r="I1865" s="10">
        <f t="shared" si="29"/>
        <v>27</v>
      </c>
      <c r="K1865" s="10"/>
      <c r="L1865" s="5"/>
    </row>
    <row r="1866" spans="1:12" x14ac:dyDescent="0.25">
      <c r="A1866" s="5" t="s">
        <v>4675</v>
      </c>
      <c r="B1866" s="5" t="s">
        <v>4674</v>
      </c>
      <c r="C1866" s="5" t="s">
        <v>19</v>
      </c>
      <c r="D1866" s="21">
        <v>3</v>
      </c>
      <c r="E1866" s="12">
        <v>237</v>
      </c>
      <c r="F1866" s="10" t="str">
        <f>_xlfn.XLOOKUP(C1866,menu!A:A,menu!B:B)</f>
        <v>Veg Burger</v>
      </c>
      <c r="G1866" s="10" t="str">
        <f>_xlfn.XLOOKUP(C1866,menu!A:A,menu!C:C)</f>
        <v>Burger</v>
      </c>
      <c r="H1866" s="10">
        <f>_xlfn.XLOOKUP(C1866,menu!A:A,menu!E:E)</f>
        <v>24</v>
      </c>
      <c r="I1866" s="10">
        <f t="shared" si="29"/>
        <v>72</v>
      </c>
      <c r="K1866" s="10"/>
      <c r="L1866" s="5"/>
    </row>
    <row r="1867" spans="1:12" x14ac:dyDescent="0.25">
      <c r="A1867" s="5" t="s">
        <v>4673</v>
      </c>
      <c r="B1867" s="5" t="s">
        <v>4671</v>
      </c>
      <c r="C1867" s="5" t="s">
        <v>12</v>
      </c>
      <c r="D1867" s="21">
        <v>2</v>
      </c>
      <c r="E1867" s="12">
        <v>158</v>
      </c>
      <c r="F1867" s="10" t="str">
        <f>_xlfn.XLOOKUP(C1867,menu!A:A,menu!B:B)</f>
        <v>Veg Momos</v>
      </c>
      <c r="G1867" s="10" t="str">
        <f>_xlfn.XLOOKUP(C1867,menu!A:A,menu!C:C)</f>
        <v>Momos</v>
      </c>
      <c r="H1867" s="10">
        <f>_xlfn.XLOOKUP(C1867,menu!A:A,menu!E:E)</f>
        <v>24</v>
      </c>
      <c r="I1867" s="10">
        <f t="shared" si="29"/>
        <v>48</v>
      </c>
      <c r="K1867" s="10"/>
      <c r="L1867" s="5"/>
    </row>
    <row r="1868" spans="1:12" x14ac:dyDescent="0.25">
      <c r="A1868" s="5" t="s">
        <v>4672</v>
      </c>
      <c r="B1868" s="5" t="s">
        <v>4671</v>
      </c>
      <c r="C1868" s="5" t="s">
        <v>15</v>
      </c>
      <c r="D1868" s="21">
        <v>1</v>
      </c>
      <c r="E1868" s="12">
        <v>99</v>
      </c>
      <c r="F1868" s="10" t="str">
        <f>_xlfn.XLOOKUP(C1868,menu!A:A,menu!B:B)</f>
        <v>Chicken Momos</v>
      </c>
      <c r="G1868" s="10" t="str">
        <f>_xlfn.XLOOKUP(C1868,menu!A:A,menu!C:C)</f>
        <v>Momos</v>
      </c>
      <c r="H1868" s="10">
        <f>_xlfn.XLOOKUP(C1868,menu!A:A,menu!E:E)</f>
        <v>30</v>
      </c>
      <c r="I1868" s="10">
        <f t="shared" si="29"/>
        <v>30</v>
      </c>
      <c r="K1868" s="10"/>
      <c r="L1868" s="5"/>
    </row>
    <row r="1869" spans="1:12" x14ac:dyDescent="0.25">
      <c r="A1869" s="5" t="s">
        <v>4670</v>
      </c>
      <c r="B1869" s="5" t="s">
        <v>4666</v>
      </c>
      <c r="C1869" s="5" t="s">
        <v>5</v>
      </c>
      <c r="D1869" s="21">
        <v>2</v>
      </c>
      <c r="E1869" s="12">
        <v>158</v>
      </c>
      <c r="F1869" s="10" t="str">
        <f>_xlfn.XLOOKUP(C1869,menu!A:A,menu!B:B)</f>
        <v>Veg Sandwich</v>
      </c>
      <c r="G1869" s="10" t="str">
        <f>_xlfn.XLOOKUP(C1869,menu!A:A,menu!C:C)</f>
        <v>Sandwich</v>
      </c>
      <c r="H1869" s="10">
        <f>_xlfn.XLOOKUP(C1869,menu!A:A,menu!E:E)</f>
        <v>24</v>
      </c>
      <c r="I1869" s="10">
        <f t="shared" si="29"/>
        <v>48</v>
      </c>
      <c r="K1869" s="10"/>
      <c r="L1869" s="5"/>
    </row>
    <row r="1870" spans="1:12" x14ac:dyDescent="0.25">
      <c r="A1870" s="5" t="s">
        <v>4669</v>
      </c>
      <c r="B1870" s="5" t="s">
        <v>4666</v>
      </c>
      <c r="C1870" s="5" t="s">
        <v>35</v>
      </c>
      <c r="D1870" s="21">
        <v>1</v>
      </c>
      <c r="E1870" s="12">
        <v>119</v>
      </c>
      <c r="F1870" s="10" t="str">
        <f>_xlfn.XLOOKUP(C1870,menu!A:A,menu!B:B)</f>
        <v>Chicken Nuggets</v>
      </c>
      <c r="G1870" s="10" t="str">
        <f>_xlfn.XLOOKUP(C1870,menu!A:A,menu!C:C)</f>
        <v>Starters</v>
      </c>
      <c r="H1870" s="10">
        <f>_xlfn.XLOOKUP(C1870,menu!A:A,menu!E:E)</f>
        <v>36</v>
      </c>
      <c r="I1870" s="10">
        <f t="shared" si="29"/>
        <v>36</v>
      </c>
      <c r="K1870" s="10"/>
      <c r="L1870" s="5"/>
    </row>
    <row r="1871" spans="1:12" x14ac:dyDescent="0.25">
      <c r="A1871" s="5" t="s">
        <v>4668</v>
      </c>
      <c r="B1871" s="5" t="s">
        <v>4666</v>
      </c>
      <c r="C1871" s="5" t="s">
        <v>17</v>
      </c>
      <c r="D1871" s="21">
        <v>5</v>
      </c>
      <c r="E1871" s="12">
        <v>445</v>
      </c>
      <c r="F1871" s="10" t="str">
        <f>_xlfn.XLOOKUP(C1871,menu!A:A,menu!B:B)</f>
        <v>Paneer Momos</v>
      </c>
      <c r="G1871" s="10" t="str">
        <f>_xlfn.XLOOKUP(C1871,menu!A:A,menu!C:C)</f>
        <v>Momos</v>
      </c>
      <c r="H1871" s="10">
        <f>_xlfn.XLOOKUP(C1871,menu!A:A,menu!E:E)</f>
        <v>27</v>
      </c>
      <c r="I1871" s="10">
        <f t="shared" si="29"/>
        <v>135</v>
      </c>
      <c r="K1871" s="10"/>
      <c r="L1871" s="5"/>
    </row>
    <row r="1872" spans="1:12" x14ac:dyDescent="0.25">
      <c r="A1872" s="5" t="s">
        <v>4667</v>
      </c>
      <c r="B1872" s="5" t="s">
        <v>4666</v>
      </c>
      <c r="C1872" s="5" t="s">
        <v>61</v>
      </c>
      <c r="D1872" s="21">
        <v>2</v>
      </c>
      <c r="E1872" s="12">
        <v>158</v>
      </c>
      <c r="F1872" s="10" t="str">
        <f>_xlfn.XLOOKUP(C1872,menu!A:A,menu!B:B)</f>
        <v>Watermelon Mojito</v>
      </c>
      <c r="G1872" s="10" t="str">
        <f>_xlfn.XLOOKUP(C1872,menu!A:A,menu!C:C)</f>
        <v>Beverages</v>
      </c>
      <c r="H1872" s="10">
        <f>_xlfn.XLOOKUP(C1872,menu!A:A,menu!E:E)</f>
        <v>24</v>
      </c>
      <c r="I1872" s="10">
        <f t="shared" si="29"/>
        <v>48</v>
      </c>
      <c r="K1872" s="10"/>
      <c r="L1872" s="5"/>
    </row>
    <row r="1873" spans="1:12" x14ac:dyDescent="0.25">
      <c r="A1873" s="5" t="s">
        <v>4665</v>
      </c>
      <c r="B1873" s="5" t="s">
        <v>4662</v>
      </c>
      <c r="C1873" s="5" t="s">
        <v>50</v>
      </c>
      <c r="D1873" s="21">
        <v>2</v>
      </c>
      <c r="E1873" s="12">
        <v>298</v>
      </c>
      <c r="F1873" s="10" t="str">
        <f>_xlfn.XLOOKUP(C1873,menu!A:A,menu!B:B)</f>
        <v>Grab Lollipop</v>
      </c>
      <c r="G1873" s="10" t="str">
        <f>_xlfn.XLOOKUP(C1873,menu!A:A,menu!C:C)</f>
        <v>Starters</v>
      </c>
      <c r="H1873" s="10">
        <f>_xlfn.XLOOKUP(C1873,menu!A:A,menu!E:E)</f>
        <v>45</v>
      </c>
      <c r="I1873" s="10">
        <f t="shared" si="29"/>
        <v>90</v>
      </c>
      <c r="K1873" s="10"/>
      <c r="L1873" s="5"/>
    </row>
    <row r="1874" spans="1:12" x14ac:dyDescent="0.25">
      <c r="A1874" s="5" t="s">
        <v>4664</v>
      </c>
      <c r="B1874" s="5" t="s">
        <v>4662</v>
      </c>
      <c r="C1874" s="5" t="s">
        <v>44</v>
      </c>
      <c r="D1874" s="21">
        <v>2</v>
      </c>
      <c r="E1874" s="12">
        <v>318</v>
      </c>
      <c r="F1874" s="10" t="str">
        <f>_xlfn.XLOOKUP(C1874,menu!A:A,menu!B:B)</f>
        <v>Fried Chicken</v>
      </c>
      <c r="G1874" s="10" t="str">
        <f>_xlfn.XLOOKUP(C1874,menu!A:A,menu!C:C)</f>
        <v>Starters</v>
      </c>
      <c r="H1874" s="10">
        <f>_xlfn.XLOOKUP(C1874,menu!A:A,menu!E:E)</f>
        <v>48</v>
      </c>
      <c r="I1874" s="10">
        <f t="shared" si="29"/>
        <v>96</v>
      </c>
      <c r="K1874" s="10"/>
      <c r="L1874" s="5"/>
    </row>
    <row r="1875" spans="1:12" x14ac:dyDescent="0.25">
      <c r="A1875" s="5" t="s">
        <v>4663</v>
      </c>
      <c r="B1875" s="5" t="s">
        <v>4662</v>
      </c>
      <c r="C1875" s="5" t="s">
        <v>38</v>
      </c>
      <c r="D1875" s="21">
        <v>1</v>
      </c>
      <c r="E1875" s="12">
        <v>149</v>
      </c>
      <c r="F1875" s="10" t="str">
        <f>_xlfn.XLOOKUP(C1875,menu!A:A,menu!B:B)</f>
        <v>Chicken Wings</v>
      </c>
      <c r="G1875" s="10" t="str">
        <f>_xlfn.XLOOKUP(C1875,menu!A:A,menu!C:C)</f>
        <v>Starters</v>
      </c>
      <c r="H1875" s="10">
        <f>_xlfn.XLOOKUP(C1875,menu!A:A,menu!E:E)</f>
        <v>45</v>
      </c>
      <c r="I1875" s="10">
        <f t="shared" si="29"/>
        <v>45</v>
      </c>
      <c r="K1875" s="10"/>
      <c r="L1875" s="5"/>
    </row>
    <row r="1876" spans="1:12" x14ac:dyDescent="0.25">
      <c r="A1876" s="5" t="s">
        <v>4661</v>
      </c>
      <c r="B1876" s="5" t="s">
        <v>4658</v>
      </c>
      <c r="C1876" s="5" t="s">
        <v>63</v>
      </c>
      <c r="D1876" s="21">
        <v>2</v>
      </c>
      <c r="E1876" s="12">
        <v>158</v>
      </c>
      <c r="F1876" s="10" t="str">
        <f>_xlfn.XLOOKUP(C1876,menu!A:A,menu!B:B)</f>
        <v>Virgin Mojito</v>
      </c>
      <c r="G1876" s="10" t="str">
        <f>_xlfn.XLOOKUP(C1876,menu!A:A,menu!C:C)</f>
        <v>Beverages</v>
      </c>
      <c r="H1876" s="10">
        <f>_xlfn.XLOOKUP(C1876,menu!A:A,menu!E:E)</f>
        <v>24</v>
      </c>
      <c r="I1876" s="10">
        <f t="shared" si="29"/>
        <v>48</v>
      </c>
      <c r="K1876" s="10"/>
      <c r="L1876" s="5"/>
    </row>
    <row r="1877" spans="1:12" x14ac:dyDescent="0.25">
      <c r="A1877" s="5" t="s">
        <v>4660</v>
      </c>
      <c r="B1877" s="5" t="s">
        <v>4658</v>
      </c>
      <c r="C1877" s="5" t="s">
        <v>10</v>
      </c>
      <c r="D1877" s="21">
        <v>1</v>
      </c>
      <c r="E1877" s="12">
        <v>119</v>
      </c>
      <c r="F1877" s="10" t="str">
        <f>_xlfn.XLOOKUP(C1877,menu!A:A,menu!B:B)</f>
        <v>Chicken Sandwich</v>
      </c>
      <c r="G1877" s="10" t="str">
        <f>_xlfn.XLOOKUP(C1877,menu!A:A,menu!C:C)</f>
        <v>Sandwich</v>
      </c>
      <c r="H1877" s="10">
        <f>_xlfn.XLOOKUP(C1877,menu!A:A,menu!E:E)</f>
        <v>36</v>
      </c>
      <c r="I1877" s="10">
        <f t="shared" si="29"/>
        <v>36</v>
      </c>
      <c r="K1877" s="10"/>
      <c r="L1877" s="5"/>
    </row>
    <row r="1878" spans="1:12" x14ac:dyDescent="0.25">
      <c r="A1878" s="5" t="s">
        <v>4659</v>
      </c>
      <c r="B1878" s="5" t="s">
        <v>4658</v>
      </c>
      <c r="C1878" s="5" t="s">
        <v>24</v>
      </c>
      <c r="D1878" s="21">
        <v>4</v>
      </c>
      <c r="E1878" s="12">
        <v>356</v>
      </c>
      <c r="F1878" s="10" t="str">
        <f>_xlfn.XLOOKUP(C1878,menu!A:A,menu!B:B)</f>
        <v>Paneer Burger</v>
      </c>
      <c r="G1878" s="10" t="str">
        <f>_xlfn.XLOOKUP(C1878,menu!A:A,menu!C:C)</f>
        <v>Burger</v>
      </c>
      <c r="H1878" s="10">
        <f>_xlfn.XLOOKUP(C1878,menu!A:A,menu!E:E)</f>
        <v>27</v>
      </c>
      <c r="I1878" s="10">
        <f t="shared" si="29"/>
        <v>108</v>
      </c>
      <c r="K1878" s="10"/>
      <c r="L1878" s="5"/>
    </row>
    <row r="1879" spans="1:12" x14ac:dyDescent="0.25">
      <c r="A1879" s="5" t="s">
        <v>4657</v>
      </c>
      <c r="B1879" s="5" t="s">
        <v>4655</v>
      </c>
      <c r="C1879" s="5" t="s">
        <v>12</v>
      </c>
      <c r="D1879" s="21">
        <v>1</v>
      </c>
      <c r="E1879" s="12">
        <v>79</v>
      </c>
      <c r="F1879" s="10" t="str">
        <f>_xlfn.XLOOKUP(C1879,menu!A:A,menu!B:B)</f>
        <v>Veg Momos</v>
      </c>
      <c r="G1879" s="10" t="str">
        <f>_xlfn.XLOOKUP(C1879,menu!A:A,menu!C:C)</f>
        <v>Momos</v>
      </c>
      <c r="H1879" s="10">
        <f>_xlfn.XLOOKUP(C1879,menu!A:A,menu!E:E)</f>
        <v>24</v>
      </c>
      <c r="I1879" s="10">
        <f t="shared" si="29"/>
        <v>24</v>
      </c>
      <c r="K1879" s="10"/>
      <c r="L1879" s="5"/>
    </row>
    <row r="1880" spans="1:12" x14ac:dyDescent="0.25">
      <c r="A1880" s="5" t="s">
        <v>4656</v>
      </c>
      <c r="B1880" s="5" t="s">
        <v>4655</v>
      </c>
      <c r="C1880" s="5" t="s">
        <v>59</v>
      </c>
      <c r="D1880" s="21">
        <v>2</v>
      </c>
      <c r="E1880" s="12">
        <v>158</v>
      </c>
      <c r="F1880" s="10" t="str">
        <f>_xlfn.XLOOKUP(C1880,menu!A:A,menu!B:B)</f>
        <v>Blue Curacao Mojito</v>
      </c>
      <c r="G1880" s="10" t="str">
        <f>_xlfn.XLOOKUP(C1880,menu!A:A,menu!C:C)</f>
        <v>Beverages</v>
      </c>
      <c r="H1880" s="10">
        <f>_xlfn.XLOOKUP(C1880,menu!A:A,menu!E:E)</f>
        <v>24</v>
      </c>
      <c r="I1880" s="10">
        <f t="shared" si="29"/>
        <v>48</v>
      </c>
      <c r="K1880" s="10"/>
      <c r="L1880" s="5"/>
    </row>
    <row r="1881" spans="1:12" x14ac:dyDescent="0.25">
      <c r="A1881" s="5" t="s">
        <v>4654</v>
      </c>
      <c r="B1881" s="5" t="s">
        <v>4652</v>
      </c>
      <c r="C1881" s="5" t="s">
        <v>15</v>
      </c>
      <c r="D1881" s="21">
        <v>1</v>
      </c>
      <c r="E1881" s="12">
        <v>99</v>
      </c>
      <c r="F1881" s="10" t="str">
        <f>_xlfn.XLOOKUP(C1881,menu!A:A,menu!B:B)</f>
        <v>Chicken Momos</v>
      </c>
      <c r="G1881" s="10" t="str">
        <f>_xlfn.XLOOKUP(C1881,menu!A:A,menu!C:C)</f>
        <v>Momos</v>
      </c>
      <c r="H1881" s="10">
        <f>_xlfn.XLOOKUP(C1881,menu!A:A,menu!E:E)</f>
        <v>30</v>
      </c>
      <c r="I1881" s="10">
        <f t="shared" si="29"/>
        <v>30</v>
      </c>
      <c r="K1881" s="10"/>
      <c r="L1881" s="5"/>
    </row>
    <row r="1882" spans="1:12" x14ac:dyDescent="0.25">
      <c r="A1882" s="5" t="s">
        <v>4653</v>
      </c>
      <c r="B1882" s="5" t="s">
        <v>4652</v>
      </c>
      <c r="C1882" s="5" t="s">
        <v>31</v>
      </c>
      <c r="D1882" s="21">
        <v>1</v>
      </c>
      <c r="E1882" s="12">
        <v>89</v>
      </c>
      <c r="F1882" s="10" t="str">
        <f>_xlfn.XLOOKUP(C1882,menu!A:A,menu!B:B)</f>
        <v>Chicken Roll</v>
      </c>
      <c r="G1882" s="10" t="str">
        <f>_xlfn.XLOOKUP(C1882,menu!A:A,menu!C:C)</f>
        <v>Rolls</v>
      </c>
      <c r="H1882" s="10">
        <f>_xlfn.XLOOKUP(C1882,menu!A:A,menu!E:E)</f>
        <v>27</v>
      </c>
      <c r="I1882" s="10">
        <f t="shared" si="29"/>
        <v>27</v>
      </c>
      <c r="K1882" s="10"/>
      <c r="L1882" s="5"/>
    </row>
    <row r="1883" spans="1:12" x14ac:dyDescent="0.25">
      <c r="A1883" s="5" t="s">
        <v>4651</v>
      </c>
      <c r="B1883" s="5" t="s">
        <v>4648</v>
      </c>
      <c r="C1883" s="5" t="s">
        <v>56</v>
      </c>
      <c r="D1883" s="21">
        <v>1</v>
      </c>
      <c r="E1883" s="12">
        <v>79</v>
      </c>
      <c r="F1883" s="10" t="str">
        <f>_xlfn.XLOOKUP(C1883,menu!A:A,menu!B:B)</f>
        <v>Mint Mojito</v>
      </c>
      <c r="G1883" s="10" t="str">
        <f>_xlfn.XLOOKUP(C1883,menu!A:A,menu!C:C)</f>
        <v>Beverages</v>
      </c>
      <c r="H1883" s="10">
        <f>_xlfn.XLOOKUP(C1883,menu!A:A,menu!E:E)</f>
        <v>24</v>
      </c>
      <c r="I1883" s="10">
        <f t="shared" si="29"/>
        <v>24</v>
      </c>
      <c r="K1883" s="10"/>
      <c r="L1883" s="5"/>
    </row>
    <row r="1884" spans="1:12" x14ac:dyDescent="0.25">
      <c r="A1884" s="5" t="s">
        <v>4650</v>
      </c>
      <c r="B1884" s="5" t="s">
        <v>4648</v>
      </c>
      <c r="C1884" s="5" t="s">
        <v>42</v>
      </c>
      <c r="D1884" s="21">
        <v>1</v>
      </c>
      <c r="E1884" s="12">
        <v>149</v>
      </c>
      <c r="F1884" s="10" t="str">
        <f>_xlfn.XLOOKUP(C1884,menu!A:A,menu!B:B)</f>
        <v>Chicken Popcorn</v>
      </c>
      <c r="G1884" s="10" t="str">
        <f>_xlfn.XLOOKUP(C1884,menu!A:A,menu!C:C)</f>
        <v>Starters</v>
      </c>
      <c r="H1884" s="10">
        <f>_xlfn.XLOOKUP(C1884,menu!A:A,menu!E:E)</f>
        <v>45</v>
      </c>
      <c r="I1884" s="10">
        <f t="shared" si="29"/>
        <v>45</v>
      </c>
      <c r="K1884" s="10"/>
      <c r="L1884" s="5"/>
    </row>
    <row r="1885" spans="1:12" x14ac:dyDescent="0.25">
      <c r="A1885" s="5" t="s">
        <v>4649</v>
      </c>
      <c r="B1885" s="5" t="s">
        <v>4648</v>
      </c>
      <c r="C1885" s="5" t="s">
        <v>65</v>
      </c>
      <c r="D1885" s="21">
        <v>1</v>
      </c>
      <c r="E1885" s="12">
        <v>49</v>
      </c>
      <c r="F1885" s="10" t="str">
        <f>_xlfn.XLOOKUP(C1885,menu!A:A,menu!B:B)</f>
        <v>Lemon Juice</v>
      </c>
      <c r="G1885" s="10" t="str">
        <f>_xlfn.XLOOKUP(C1885,menu!A:A,menu!C:C)</f>
        <v>Beverages</v>
      </c>
      <c r="H1885" s="10">
        <f>_xlfn.XLOOKUP(C1885,menu!A:A,menu!E:E)</f>
        <v>15</v>
      </c>
      <c r="I1885" s="10">
        <f t="shared" si="29"/>
        <v>15</v>
      </c>
      <c r="K1885" s="10"/>
      <c r="L1885" s="5"/>
    </row>
    <row r="1886" spans="1:12" x14ac:dyDescent="0.25">
      <c r="A1886" s="5" t="s">
        <v>4647</v>
      </c>
      <c r="B1886" s="5" t="s">
        <v>4644</v>
      </c>
      <c r="C1886" s="5" t="s">
        <v>5</v>
      </c>
      <c r="D1886" s="21">
        <v>1</v>
      </c>
      <c r="E1886" s="12">
        <v>79</v>
      </c>
      <c r="F1886" s="10" t="str">
        <f>_xlfn.XLOOKUP(C1886,menu!A:A,menu!B:B)</f>
        <v>Veg Sandwich</v>
      </c>
      <c r="G1886" s="10" t="str">
        <f>_xlfn.XLOOKUP(C1886,menu!A:A,menu!C:C)</f>
        <v>Sandwich</v>
      </c>
      <c r="H1886" s="10">
        <f>_xlfn.XLOOKUP(C1886,menu!A:A,menu!E:E)</f>
        <v>24</v>
      </c>
      <c r="I1886" s="10">
        <f t="shared" si="29"/>
        <v>24</v>
      </c>
      <c r="K1886" s="10"/>
      <c r="L1886" s="5"/>
    </row>
    <row r="1887" spans="1:12" x14ac:dyDescent="0.25">
      <c r="A1887" s="5" t="s">
        <v>4646</v>
      </c>
      <c r="B1887" s="5" t="s">
        <v>4644</v>
      </c>
      <c r="C1887" s="5" t="s">
        <v>52</v>
      </c>
      <c r="D1887" s="21">
        <v>1</v>
      </c>
      <c r="E1887" s="12">
        <v>99</v>
      </c>
      <c r="F1887" s="10" t="str">
        <f>_xlfn.XLOOKUP(C1887,menu!A:A,menu!B:B)</f>
        <v>French Fries</v>
      </c>
      <c r="G1887" s="10" t="str">
        <f>_xlfn.XLOOKUP(C1887,menu!A:A,menu!C:C)</f>
        <v>Starters</v>
      </c>
      <c r="H1887" s="10">
        <f>_xlfn.XLOOKUP(C1887,menu!A:A,menu!E:E)</f>
        <v>30</v>
      </c>
      <c r="I1887" s="10">
        <f t="shared" si="29"/>
        <v>30</v>
      </c>
      <c r="K1887" s="10"/>
      <c r="L1887" s="5"/>
    </row>
    <row r="1888" spans="1:12" x14ac:dyDescent="0.25">
      <c r="A1888" s="5" t="s">
        <v>4645</v>
      </c>
      <c r="B1888" s="5" t="s">
        <v>4644</v>
      </c>
      <c r="C1888" s="5" t="s">
        <v>56</v>
      </c>
      <c r="D1888" s="21">
        <v>3</v>
      </c>
      <c r="E1888" s="12">
        <v>237</v>
      </c>
      <c r="F1888" s="10" t="str">
        <f>_xlfn.XLOOKUP(C1888,menu!A:A,menu!B:B)</f>
        <v>Mint Mojito</v>
      </c>
      <c r="G1888" s="10" t="str">
        <f>_xlfn.XLOOKUP(C1888,menu!A:A,menu!C:C)</f>
        <v>Beverages</v>
      </c>
      <c r="H1888" s="10">
        <f>_xlfn.XLOOKUP(C1888,menu!A:A,menu!E:E)</f>
        <v>24</v>
      </c>
      <c r="I1888" s="10">
        <f t="shared" si="29"/>
        <v>72</v>
      </c>
      <c r="K1888" s="10"/>
      <c r="L1888" s="5"/>
    </row>
    <row r="1889" spans="1:12" x14ac:dyDescent="0.25">
      <c r="A1889" s="5" t="s">
        <v>4643</v>
      </c>
      <c r="B1889" s="5" t="s">
        <v>4640</v>
      </c>
      <c r="C1889" s="5" t="s">
        <v>26</v>
      </c>
      <c r="D1889" s="21">
        <v>1</v>
      </c>
      <c r="E1889" s="12">
        <v>59</v>
      </c>
      <c r="F1889" s="10" t="str">
        <f>_xlfn.XLOOKUP(C1889,menu!A:A,menu!B:B)</f>
        <v>Veg Roll</v>
      </c>
      <c r="G1889" s="10" t="str">
        <f>_xlfn.XLOOKUP(C1889,menu!A:A,menu!C:C)</f>
        <v>Rolls</v>
      </c>
      <c r="H1889" s="10">
        <f>_xlfn.XLOOKUP(C1889,menu!A:A,menu!E:E)</f>
        <v>18</v>
      </c>
      <c r="I1889" s="10">
        <f t="shared" si="29"/>
        <v>18</v>
      </c>
      <c r="K1889" s="10"/>
      <c r="L1889" s="5"/>
    </row>
    <row r="1890" spans="1:12" x14ac:dyDescent="0.25">
      <c r="A1890" s="5" t="s">
        <v>4642</v>
      </c>
      <c r="B1890" s="5" t="s">
        <v>4640</v>
      </c>
      <c r="C1890" s="5" t="s">
        <v>22</v>
      </c>
      <c r="D1890" s="21">
        <v>5</v>
      </c>
      <c r="E1890" s="12">
        <v>495</v>
      </c>
      <c r="F1890" s="10" t="str">
        <f>_xlfn.XLOOKUP(C1890,menu!A:A,menu!B:B)</f>
        <v>Chicken Burger</v>
      </c>
      <c r="G1890" s="10" t="str">
        <f>_xlfn.XLOOKUP(C1890,menu!A:A,menu!C:C)</f>
        <v>Burger</v>
      </c>
      <c r="H1890" s="10">
        <f>_xlfn.XLOOKUP(C1890,menu!A:A,menu!E:E)</f>
        <v>30</v>
      </c>
      <c r="I1890" s="10">
        <f t="shared" si="29"/>
        <v>150</v>
      </c>
      <c r="K1890" s="10"/>
      <c r="L1890" s="5"/>
    </row>
    <row r="1891" spans="1:12" x14ac:dyDescent="0.25">
      <c r="A1891" s="5" t="s">
        <v>4641</v>
      </c>
      <c r="B1891" s="5" t="s">
        <v>4640</v>
      </c>
      <c r="C1891" s="5" t="s">
        <v>65</v>
      </c>
      <c r="D1891" s="21">
        <v>2</v>
      </c>
      <c r="E1891" s="12">
        <v>98</v>
      </c>
      <c r="F1891" s="10" t="str">
        <f>_xlfn.XLOOKUP(C1891,menu!A:A,menu!B:B)</f>
        <v>Lemon Juice</v>
      </c>
      <c r="G1891" s="10" t="str">
        <f>_xlfn.XLOOKUP(C1891,menu!A:A,menu!C:C)</f>
        <v>Beverages</v>
      </c>
      <c r="H1891" s="10">
        <f>_xlfn.XLOOKUP(C1891,menu!A:A,menu!E:E)</f>
        <v>15</v>
      </c>
      <c r="I1891" s="10">
        <f t="shared" si="29"/>
        <v>30</v>
      </c>
      <c r="K1891" s="10"/>
      <c r="L1891" s="5"/>
    </row>
    <row r="1892" spans="1:12" x14ac:dyDescent="0.25">
      <c r="A1892" s="5" t="s">
        <v>4639</v>
      </c>
      <c r="B1892" s="5" t="s">
        <v>4637</v>
      </c>
      <c r="C1892" s="5" t="s">
        <v>35</v>
      </c>
      <c r="D1892" s="21">
        <v>2</v>
      </c>
      <c r="E1892" s="12">
        <v>238</v>
      </c>
      <c r="F1892" s="10" t="str">
        <f>_xlfn.XLOOKUP(C1892,menu!A:A,menu!B:B)</f>
        <v>Chicken Nuggets</v>
      </c>
      <c r="G1892" s="10" t="str">
        <f>_xlfn.XLOOKUP(C1892,menu!A:A,menu!C:C)</f>
        <v>Starters</v>
      </c>
      <c r="H1892" s="10">
        <f>_xlfn.XLOOKUP(C1892,menu!A:A,menu!E:E)</f>
        <v>36</v>
      </c>
      <c r="I1892" s="10">
        <f t="shared" si="29"/>
        <v>72</v>
      </c>
      <c r="K1892" s="10"/>
      <c r="L1892" s="5"/>
    </row>
    <row r="1893" spans="1:12" x14ac:dyDescent="0.25">
      <c r="A1893" s="5" t="s">
        <v>4638</v>
      </c>
      <c r="B1893" s="5" t="s">
        <v>4637</v>
      </c>
      <c r="C1893" s="5" t="s">
        <v>31</v>
      </c>
      <c r="D1893" s="21">
        <v>1</v>
      </c>
      <c r="E1893" s="12">
        <v>89</v>
      </c>
      <c r="F1893" s="10" t="str">
        <f>_xlfn.XLOOKUP(C1893,menu!A:A,menu!B:B)</f>
        <v>Chicken Roll</v>
      </c>
      <c r="G1893" s="10" t="str">
        <f>_xlfn.XLOOKUP(C1893,menu!A:A,menu!C:C)</f>
        <v>Rolls</v>
      </c>
      <c r="H1893" s="10">
        <f>_xlfn.XLOOKUP(C1893,menu!A:A,menu!E:E)</f>
        <v>27</v>
      </c>
      <c r="I1893" s="10">
        <f t="shared" si="29"/>
        <v>27</v>
      </c>
      <c r="K1893" s="10"/>
      <c r="L1893" s="5"/>
    </row>
    <row r="1894" spans="1:12" x14ac:dyDescent="0.25">
      <c r="A1894" s="5" t="s">
        <v>4636</v>
      </c>
      <c r="B1894" s="5" t="s">
        <v>4633</v>
      </c>
      <c r="C1894" s="5" t="s">
        <v>22</v>
      </c>
      <c r="D1894" s="21">
        <v>4</v>
      </c>
      <c r="E1894" s="12">
        <v>396</v>
      </c>
      <c r="F1894" s="10" t="str">
        <f>_xlfn.XLOOKUP(C1894,menu!A:A,menu!B:B)</f>
        <v>Chicken Burger</v>
      </c>
      <c r="G1894" s="10" t="str">
        <f>_xlfn.XLOOKUP(C1894,menu!A:A,menu!C:C)</f>
        <v>Burger</v>
      </c>
      <c r="H1894" s="10">
        <f>_xlfn.XLOOKUP(C1894,menu!A:A,menu!E:E)</f>
        <v>30</v>
      </c>
      <c r="I1894" s="10">
        <f t="shared" si="29"/>
        <v>120</v>
      </c>
      <c r="K1894" s="10"/>
      <c r="L1894" s="5"/>
    </row>
    <row r="1895" spans="1:12" x14ac:dyDescent="0.25">
      <c r="A1895" s="5" t="s">
        <v>4635</v>
      </c>
      <c r="B1895" s="5" t="s">
        <v>4633</v>
      </c>
      <c r="C1895" s="5" t="s">
        <v>59</v>
      </c>
      <c r="D1895" s="21">
        <v>1</v>
      </c>
      <c r="E1895" s="12">
        <v>79</v>
      </c>
      <c r="F1895" s="10" t="str">
        <f>_xlfn.XLOOKUP(C1895,menu!A:A,menu!B:B)</f>
        <v>Blue Curacao Mojito</v>
      </c>
      <c r="G1895" s="10" t="str">
        <f>_xlfn.XLOOKUP(C1895,menu!A:A,menu!C:C)</f>
        <v>Beverages</v>
      </c>
      <c r="H1895" s="10">
        <f>_xlfn.XLOOKUP(C1895,menu!A:A,menu!E:E)</f>
        <v>24</v>
      </c>
      <c r="I1895" s="10">
        <f t="shared" si="29"/>
        <v>24</v>
      </c>
      <c r="K1895" s="10"/>
      <c r="L1895" s="5"/>
    </row>
    <row r="1896" spans="1:12" x14ac:dyDescent="0.25">
      <c r="A1896" s="5" t="s">
        <v>4634</v>
      </c>
      <c r="B1896" s="5" t="s">
        <v>4633</v>
      </c>
      <c r="C1896" s="5" t="s">
        <v>38</v>
      </c>
      <c r="D1896" s="21">
        <v>2</v>
      </c>
      <c r="E1896" s="12">
        <v>298</v>
      </c>
      <c r="F1896" s="10" t="str">
        <f>_xlfn.XLOOKUP(C1896,menu!A:A,menu!B:B)</f>
        <v>Chicken Wings</v>
      </c>
      <c r="G1896" s="10" t="str">
        <f>_xlfn.XLOOKUP(C1896,menu!A:A,menu!C:C)</f>
        <v>Starters</v>
      </c>
      <c r="H1896" s="10">
        <f>_xlfn.XLOOKUP(C1896,menu!A:A,menu!E:E)</f>
        <v>45</v>
      </c>
      <c r="I1896" s="10">
        <f t="shared" si="29"/>
        <v>90</v>
      </c>
      <c r="K1896" s="10"/>
      <c r="L1896" s="5"/>
    </row>
    <row r="1897" spans="1:12" x14ac:dyDescent="0.25">
      <c r="A1897" s="5" t="s">
        <v>4632</v>
      </c>
      <c r="B1897" s="5" t="s">
        <v>4630</v>
      </c>
      <c r="C1897" s="5" t="s">
        <v>52</v>
      </c>
      <c r="D1897" s="21">
        <v>3</v>
      </c>
      <c r="E1897" s="12">
        <v>297</v>
      </c>
      <c r="F1897" s="10" t="str">
        <f>_xlfn.XLOOKUP(C1897,menu!A:A,menu!B:B)</f>
        <v>French Fries</v>
      </c>
      <c r="G1897" s="10" t="str">
        <f>_xlfn.XLOOKUP(C1897,menu!A:A,menu!C:C)</f>
        <v>Starters</v>
      </c>
      <c r="H1897" s="10">
        <f>_xlfn.XLOOKUP(C1897,menu!A:A,menu!E:E)</f>
        <v>30</v>
      </c>
      <c r="I1897" s="10">
        <f t="shared" si="29"/>
        <v>90</v>
      </c>
      <c r="K1897" s="10"/>
      <c r="L1897" s="5"/>
    </row>
    <row r="1898" spans="1:12" x14ac:dyDescent="0.25">
      <c r="A1898" s="5" t="s">
        <v>4631</v>
      </c>
      <c r="B1898" s="5" t="s">
        <v>4630</v>
      </c>
      <c r="C1898" s="5" t="s">
        <v>15</v>
      </c>
      <c r="D1898" s="21">
        <v>3</v>
      </c>
      <c r="E1898" s="12">
        <v>297</v>
      </c>
      <c r="F1898" s="10" t="str">
        <f>_xlfn.XLOOKUP(C1898,menu!A:A,menu!B:B)</f>
        <v>Chicken Momos</v>
      </c>
      <c r="G1898" s="10" t="str">
        <f>_xlfn.XLOOKUP(C1898,menu!A:A,menu!C:C)</f>
        <v>Momos</v>
      </c>
      <c r="H1898" s="10">
        <f>_xlfn.XLOOKUP(C1898,menu!A:A,menu!E:E)</f>
        <v>30</v>
      </c>
      <c r="I1898" s="10">
        <f t="shared" si="29"/>
        <v>90</v>
      </c>
      <c r="K1898" s="10"/>
      <c r="L1898" s="5"/>
    </row>
    <row r="1899" spans="1:12" x14ac:dyDescent="0.25">
      <c r="A1899" s="5" t="s">
        <v>4629</v>
      </c>
      <c r="B1899" s="5" t="s">
        <v>4627</v>
      </c>
      <c r="C1899" s="5" t="s">
        <v>35</v>
      </c>
      <c r="D1899" s="21">
        <v>3</v>
      </c>
      <c r="E1899" s="12">
        <v>357</v>
      </c>
      <c r="F1899" s="10" t="str">
        <f>_xlfn.XLOOKUP(C1899,menu!A:A,menu!B:B)</f>
        <v>Chicken Nuggets</v>
      </c>
      <c r="G1899" s="10" t="str">
        <f>_xlfn.XLOOKUP(C1899,menu!A:A,menu!C:C)</f>
        <v>Starters</v>
      </c>
      <c r="H1899" s="10">
        <f>_xlfn.XLOOKUP(C1899,menu!A:A,menu!E:E)</f>
        <v>36</v>
      </c>
      <c r="I1899" s="10">
        <f t="shared" si="29"/>
        <v>108</v>
      </c>
      <c r="K1899" s="10"/>
      <c r="L1899" s="5"/>
    </row>
    <row r="1900" spans="1:12" x14ac:dyDescent="0.25">
      <c r="A1900" s="5" t="s">
        <v>4628</v>
      </c>
      <c r="B1900" s="5" t="s">
        <v>4627</v>
      </c>
      <c r="C1900" s="5" t="s">
        <v>54</v>
      </c>
      <c r="D1900" s="21">
        <v>1</v>
      </c>
      <c r="E1900" s="12">
        <v>139</v>
      </c>
      <c r="F1900" s="10" t="str">
        <f>_xlfn.XLOOKUP(C1900,menu!A:A,menu!B:B)</f>
        <v>Chicken Strips</v>
      </c>
      <c r="G1900" s="10" t="str">
        <f>_xlfn.XLOOKUP(C1900,menu!A:A,menu!C:C)</f>
        <v>Starters</v>
      </c>
      <c r="H1900" s="10">
        <f>_xlfn.XLOOKUP(C1900,menu!A:A,menu!E:E)</f>
        <v>42</v>
      </c>
      <c r="I1900" s="10">
        <f t="shared" si="29"/>
        <v>42</v>
      </c>
      <c r="K1900" s="10"/>
      <c r="L1900" s="5"/>
    </row>
    <row r="1901" spans="1:12" x14ac:dyDescent="0.25">
      <c r="A1901" s="5" t="s">
        <v>4626</v>
      </c>
      <c r="B1901" s="5" t="s">
        <v>4624</v>
      </c>
      <c r="C1901" s="5" t="s">
        <v>19</v>
      </c>
      <c r="D1901" s="21">
        <v>2</v>
      </c>
      <c r="E1901" s="12">
        <v>158</v>
      </c>
      <c r="F1901" s="10" t="str">
        <f>_xlfn.XLOOKUP(C1901,menu!A:A,menu!B:B)</f>
        <v>Veg Burger</v>
      </c>
      <c r="G1901" s="10" t="str">
        <f>_xlfn.XLOOKUP(C1901,menu!A:A,menu!C:C)</f>
        <v>Burger</v>
      </c>
      <c r="H1901" s="10">
        <f>_xlfn.XLOOKUP(C1901,menu!A:A,menu!E:E)</f>
        <v>24</v>
      </c>
      <c r="I1901" s="10">
        <f t="shared" si="29"/>
        <v>48</v>
      </c>
      <c r="K1901" s="10"/>
      <c r="L1901" s="5"/>
    </row>
    <row r="1902" spans="1:12" x14ac:dyDescent="0.25">
      <c r="A1902" s="5" t="s">
        <v>4625</v>
      </c>
      <c r="B1902" s="5" t="s">
        <v>4624</v>
      </c>
      <c r="C1902" s="5" t="s">
        <v>46</v>
      </c>
      <c r="D1902" s="21">
        <v>1</v>
      </c>
      <c r="E1902" s="12">
        <v>149</v>
      </c>
      <c r="F1902" s="10" t="str">
        <f>_xlfn.XLOOKUP(C1902,menu!A:A,menu!B:B)</f>
        <v>Fish Finger</v>
      </c>
      <c r="G1902" s="10" t="str">
        <f>_xlfn.XLOOKUP(C1902,menu!A:A,menu!C:C)</f>
        <v>Starters</v>
      </c>
      <c r="H1902" s="10">
        <f>_xlfn.XLOOKUP(C1902,menu!A:A,menu!E:E)</f>
        <v>45</v>
      </c>
      <c r="I1902" s="10">
        <f t="shared" si="29"/>
        <v>45</v>
      </c>
      <c r="K1902" s="10"/>
      <c r="L1902" s="5"/>
    </row>
    <row r="1903" spans="1:12" x14ac:dyDescent="0.25">
      <c r="A1903" s="5" t="s">
        <v>4623</v>
      </c>
      <c r="B1903" s="5" t="s">
        <v>4620</v>
      </c>
      <c r="C1903" s="5" t="s">
        <v>17</v>
      </c>
      <c r="D1903" s="21">
        <v>1</v>
      </c>
      <c r="E1903" s="12">
        <v>89</v>
      </c>
      <c r="F1903" s="10" t="str">
        <f>_xlfn.XLOOKUP(C1903,menu!A:A,menu!B:B)</f>
        <v>Paneer Momos</v>
      </c>
      <c r="G1903" s="10" t="str">
        <f>_xlfn.XLOOKUP(C1903,menu!A:A,menu!C:C)</f>
        <v>Momos</v>
      </c>
      <c r="H1903" s="10">
        <f>_xlfn.XLOOKUP(C1903,menu!A:A,menu!E:E)</f>
        <v>27</v>
      </c>
      <c r="I1903" s="10">
        <f t="shared" si="29"/>
        <v>27</v>
      </c>
      <c r="K1903" s="10"/>
      <c r="L1903" s="5"/>
    </row>
    <row r="1904" spans="1:12" x14ac:dyDescent="0.25">
      <c r="A1904" s="5" t="s">
        <v>4622</v>
      </c>
      <c r="B1904" s="5" t="s">
        <v>4620</v>
      </c>
      <c r="C1904" s="5" t="s">
        <v>10</v>
      </c>
      <c r="D1904" s="21">
        <v>1</v>
      </c>
      <c r="E1904" s="12">
        <v>119</v>
      </c>
      <c r="F1904" s="10" t="str">
        <f>_xlfn.XLOOKUP(C1904,menu!A:A,menu!B:B)</f>
        <v>Chicken Sandwich</v>
      </c>
      <c r="G1904" s="10" t="str">
        <f>_xlfn.XLOOKUP(C1904,menu!A:A,menu!C:C)</f>
        <v>Sandwich</v>
      </c>
      <c r="H1904" s="10">
        <f>_xlfn.XLOOKUP(C1904,menu!A:A,menu!E:E)</f>
        <v>36</v>
      </c>
      <c r="I1904" s="10">
        <f t="shared" si="29"/>
        <v>36</v>
      </c>
      <c r="K1904" s="10"/>
      <c r="L1904" s="5"/>
    </row>
    <row r="1905" spans="1:12" x14ac:dyDescent="0.25">
      <c r="A1905" s="5" t="s">
        <v>4621</v>
      </c>
      <c r="B1905" s="5" t="s">
        <v>4620</v>
      </c>
      <c r="C1905" s="5" t="s">
        <v>5</v>
      </c>
      <c r="D1905" s="21">
        <v>2</v>
      </c>
      <c r="E1905" s="12">
        <v>158</v>
      </c>
      <c r="F1905" s="10" t="str">
        <f>_xlfn.XLOOKUP(C1905,menu!A:A,menu!B:B)</f>
        <v>Veg Sandwich</v>
      </c>
      <c r="G1905" s="10" t="str">
        <f>_xlfn.XLOOKUP(C1905,menu!A:A,menu!C:C)</f>
        <v>Sandwich</v>
      </c>
      <c r="H1905" s="10">
        <f>_xlfn.XLOOKUP(C1905,menu!A:A,menu!E:E)</f>
        <v>24</v>
      </c>
      <c r="I1905" s="10">
        <f t="shared" si="29"/>
        <v>48</v>
      </c>
      <c r="K1905" s="10"/>
      <c r="L1905" s="5"/>
    </row>
    <row r="1906" spans="1:12" x14ac:dyDescent="0.25">
      <c r="A1906" s="5" t="s">
        <v>4619</v>
      </c>
      <c r="B1906" s="5" t="s">
        <v>4617</v>
      </c>
      <c r="C1906" s="5" t="s">
        <v>54</v>
      </c>
      <c r="D1906" s="21">
        <v>1</v>
      </c>
      <c r="E1906" s="12">
        <v>139</v>
      </c>
      <c r="F1906" s="10" t="str">
        <f>_xlfn.XLOOKUP(C1906,menu!A:A,menu!B:B)</f>
        <v>Chicken Strips</v>
      </c>
      <c r="G1906" s="10" t="str">
        <f>_xlfn.XLOOKUP(C1906,menu!A:A,menu!C:C)</f>
        <v>Starters</v>
      </c>
      <c r="H1906" s="10">
        <f>_xlfn.XLOOKUP(C1906,menu!A:A,menu!E:E)</f>
        <v>42</v>
      </c>
      <c r="I1906" s="10">
        <f t="shared" si="29"/>
        <v>42</v>
      </c>
      <c r="K1906" s="10"/>
      <c r="L1906" s="5"/>
    </row>
    <row r="1907" spans="1:12" x14ac:dyDescent="0.25">
      <c r="A1907" s="5" t="s">
        <v>4618</v>
      </c>
      <c r="B1907" s="5" t="s">
        <v>4617</v>
      </c>
      <c r="C1907" s="5" t="s">
        <v>24</v>
      </c>
      <c r="D1907" s="21">
        <v>2</v>
      </c>
      <c r="E1907" s="12">
        <v>178</v>
      </c>
      <c r="F1907" s="10" t="str">
        <f>_xlfn.XLOOKUP(C1907,menu!A:A,menu!B:B)</f>
        <v>Paneer Burger</v>
      </c>
      <c r="G1907" s="10" t="str">
        <f>_xlfn.XLOOKUP(C1907,menu!A:A,menu!C:C)</f>
        <v>Burger</v>
      </c>
      <c r="H1907" s="10">
        <f>_xlfn.XLOOKUP(C1907,menu!A:A,menu!E:E)</f>
        <v>27</v>
      </c>
      <c r="I1907" s="10">
        <f t="shared" si="29"/>
        <v>54</v>
      </c>
      <c r="K1907" s="10"/>
      <c r="L1907" s="5"/>
    </row>
    <row r="1908" spans="1:12" x14ac:dyDescent="0.25">
      <c r="A1908" s="5" t="s">
        <v>4616</v>
      </c>
      <c r="B1908" s="5" t="s">
        <v>4614</v>
      </c>
      <c r="C1908" s="5" t="s">
        <v>29</v>
      </c>
      <c r="D1908" s="21">
        <v>3</v>
      </c>
      <c r="E1908" s="12">
        <v>237</v>
      </c>
      <c r="F1908" s="10" t="str">
        <f>_xlfn.XLOOKUP(C1908,menu!A:A,menu!B:B)</f>
        <v>Paneer Roll</v>
      </c>
      <c r="G1908" s="10" t="str">
        <f>_xlfn.XLOOKUP(C1908,menu!A:A,menu!C:C)</f>
        <v>Rolls</v>
      </c>
      <c r="H1908" s="10">
        <f>_xlfn.XLOOKUP(C1908,menu!A:A,menu!E:E)</f>
        <v>24</v>
      </c>
      <c r="I1908" s="10">
        <f t="shared" si="29"/>
        <v>72</v>
      </c>
      <c r="K1908" s="10"/>
      <c r="L1908" s="5"/>
    </row>
    <row r="1909" spans="1:12" x14ac:dyDescent="0.25">
      <c r="A1909" s="5" t="s">
        <v>4615</v>
      </c>
      <c r="B1909" s="5" t="s">
        <v>4614</v>
      </c>
      <c r="C1909" s="5" t="s">
        <v>10</v>
      </c>
      <c r="D1909" s="21">
        <v>2</v>
      </c>
      <c r="E1909" s="12">
        <v>238</v>
      </c>
      <c r="F1909" s="10" t="str">
        <f>_xlfn.XLOOKUP(C1909,menu!A:A,menu!B:B)</f>
        <v>Chicken Sandwich</v>
      </c>
      <c r="G1909" s="10" t="str">
        <f>_xlfn.XLOOKUP(C1909,menu!A:A,menu!C:C)</f>
        <v>Sandwich</v>
      </c>
      <c r="H1909" s="10">
        <f>_xlfn.XLOOKUP(C1909,menu!A:A,menu!E:E)</f>
        <v>36</v>
      </c>
      <c r="I1909" s="10">
        <f t="shared" si="29"/>
        <v>72</v>
      </c>
      <c r="K1909" s="10"/>
      <c r="L1909" s="5"/>
    </row>
    <row r="1910" spans="1:12" x14ac:dyDescent="0.25">
      <c r="A1910" s="5" t="s">
        <v>4613</v>
      </c>
      <c r="B1910" s="5" t="s">
        <v>4610</v>
      </c>
      <c r="C1910" s="5" t="s">
        <v>42</v>
      </c>
      <c r="D1910" s="21">
        <v>4</v>
      </c>
      <c r="E1910" s="12">
        <v>596</v>
      </c>
      <c r="F1910" s="10" t="str">
        <f>_xlfn.XLOOKUP(C1910,menu!A:A,menu!B:B)</f>
        <v>Chicken Popcorn</v>
      </c>
      <c r="G1910" s="10" t="str">
        <f>_xlfn.XLOOKUP(C1910,menu!A:A,menu!C:C)</f>
        <v>Starters</v>
      </c>
      <c r="H1910" s="10">
        <f>_xlfn.XLOOKUP(C1910,menu!A:A,menu!E:E)</f>
        <v>45</v>
      </c>
      <c r="I1910" s="10">
        <f t="shared" si="29"/>
        <v>180</v>
      </c>
      <c r="K1910" s="10"/>
      <c r="L1910" s="5"/>
    </row>
    <row r="1911" spans="1:12" x14ac:dyDescent="0.25">
      <c r="A1911" s="5" t="s">
        <v>4612</v>
      </c>
      <c r="B1911" s="5" t="s">
        <v>4610</v>
      </c>
      <c r="C1911" s="5" t="s">
        <v>59</v>
      </c>
      <c r="D1911" s="21">
        <v>2</v>
      </c>
      <c r="E1911" s="12">
        <v>158</v>
      </c>
      <c r="F1911" s="10" t="str">
        <f>_xlfn.XLOOKUP(C1911,menu!A:A,menu!B:B)</f>
        <v>Blue Curacao Mojito</v>
      </c>
      <c r="G1911" s="10" t="str">
        <f>_xlfn.XLOOKUP(C1911,menu!A:A,menu!C:C)</f>
        <v>Beverages</v>
      </c>
      <c r="H1911" s="10">
        <f>_xlfn.XLOOKUP(C1911,menu!A:A,menu!E:E)</f>
        <v>24</v>
      </c>
      <c r="I1911" s="10">
        <f t="shared" si="29"/>
        <v>48</v>
      </c>
      <c r="K1911" s="10"/>
      <c r="L1911" s="5"/>
    </row>
    <row r="1912" spans="1:12" x14ac:dyDescent="0.25">
      <c r="A1912" s="5" t="s">
        <v>4611</v>
      </c>
      <c r="B1912" s="5" t="s">
        <v>4610</v>
      </c>
      <c r="C1912" s="5" t="s">
        <v>48</v>
      </c>
      <c r="D1912" s="21">
        <v>2</v>
      </c>
      <c r="E1912" s="12">
        <v>318</v>
      </c>
      <c r="F1912" s="10" t="str">
        <f>_xlfn.XLOOKUP(C1912,menu!A:A,menu!B:B)</f>
        <v>Chicken Lollipop</v>
      </c>
      <c r="G1912" s="10" t="str">
        <f>_xlfn.XLOOKUP(C1912,menu!A:A,menu!C:C)</f>
        <v>Starters</v>
      </c>
      <c r="H1912" s="10">
        <f>_xlfn.XLOOKUP(C1912,menu!A:A,menu!E:E)</f>
        <v>48</v>
      </c>
      <c r="I1912" s="10">
        <f t="shared" si="29"/>
        <v>96</v>
      </c>
      <c r="K1912" s="10"/>
      <c r="L1912" s="5"/>
    </row>
    <row r="1913" spans="1:12" x14ac:dyDescent="0.25">
      <c r="A1913" s="5" t="s">
        <v>4609</v>
      </c>
      <c r="B1913" s="5" t="s">
        <v>4605</v>
      </c>
      <c r="C1913" s="5" t="s">
        <v>17</v>
      </c>
      <c r="D1913" s="21">
        <v>2</v>
      </c>
      <c r="E1913" s="12">
        <v>178</v>
      </c>
      <c r="F1913" s="10" t="str">
        <f>_xlfn.XLOOKUP(C1913,menu!A:A,menu!B:B)</f>
        <v>Paneer Momos</v>
      </c>
      <c r="G1913" s="10" t="str">
        <f>_xlfn.XLOOKUP(C1913,menu!A:A,menu!C:C)</f>
        <v>Momos</v>
      </c>
      <c r="H1913" s="10">
        <f>_xlfn.XLOOKUP(C1913,menu!A:A,menu!E:E)</f>
        <v>27</v>
      </c>
      <c r="I1913" s="10">
        <f t="shared" si="29"/>
        <v>54</v>
      </c>
      <c r="K1913" s="10"/>
      <c r="L1913" s="5"/>
    </row>
    <row r="1914" spans="1:12" x14ac:dyDescent="0.25">
      <c r="A1914" s="5" t="s">
        <v>4608</v>
      </c>
      <c r="B1914" s="5" t="s">
        <v>4605</v>
      </c>
      <c r="C1914" s="5" t="s">
        <v>42</v>
      </c>
      <c r="D1914" s="21">
        <v>2</v>
      </c>
      <c r="E1914" s="12">
        <v>298</v>
      </c>
      <c r="F1914" s="10" t="str">
        <f>_xlfn.XLOOKUP(C1914,menu!A:A,menu!B:B)</f>
        <v>Chicken Popcorn</v>
      </c>
      <c r="G1914" s="10" t="str">
        <f>_xlfn.XLOOKUP(C1914,menu!A:A,menu!C:C)</f>
        <v>Starters</v>
      </c>
      <c r="H1914" s="10">
        <f>_xlfn.XLOOKUP(C1914,menu!A:A,menu!E:E)</f>
        <v>45</v>
      </c>
      <c r="I1914" s="10">
        <f t="shared" si="29"/>
        <v>90</v>
      </c>
      <c r="K1914" s="10"/>
      <c r="L1914" s="5"/>
    </row>
    <row r="1915" spans="1:12" x14ac:dyDescent="0.25">
      <c r="A1915" s="5" t="s">
        <v>4607</v>
      </c>
      <c r="B1915" s="5" t="s">
        <v>4605</v>
      </c>
      <c r="C1915" s="5" t="s">
        <v>8</v>
      </c>
      <c r="D1915" s="21">
        <v>4</v>
      </c>
      <c r="E1915" s="12">
        <v>396</v>
      </c>
      <c r="F1915" s="10" t="str">
        <f>_xlfn.XLOOKUP(C1915,menu!A:A,menu!B:B)</f>
        <v>Paneer Sandwich</v>
      </c>
      <c r="G1915" s="10" t="str">
        <f>_xlfn.XLOOKUP(C1915,menu!A:A,menu!C:C)</f>
        <v>Sandwich</v>
      </c>
      <c r="H1915" s="10">
        <f>_xlfn.XLOOKUP(C1915,menu!A:A,menu!E:E)</f>
        <v>30</v>
      </c>
      <c r="I1915" s="10">
        <f t="shared" si="29"/>
        <v>120</v>
      </c>
      <c r="K1915" s="10"/>
      <c r="L1915" s="5"/>
    </row>
    <row r="1916" spans="1:12" x14ac:dyDescent="0.25">
      <c r="A1916" s="5" t="s">
        <v>4606</v>
      </c>
      <c r="B1916" s="5" t="s">
        <v>4605</v>
      </c>
      <c r="C1916" s="5" t="s">
        <v>29</v>
      </c>
      <c r="D1916" s="21">
        <v>3</v>
      </c>
      <c r="E1916" s="12">
        <v>237</v>
      </c>
      <c r="F1916" s="10" t="str">
        <f>_xlfn.XLOOKUP(C1916,menu!A:A,menu!B:B)</f>
        <v>Paneer Roll</v>
      </c>
      <c r="G1916" s="10" t="str">
        <f>_xlfn.XLOOKUP(C1916,menu!A:A,menu!C:C)</f>
        <v>Rolls</v>
      </c>
      <c r="H1916" s="10">
        <f>_xlfn.XLOOKUP(C1916,menu!A:A,menu!E:E)</f>
        <v>24</v>
      </c>
      <c r="I1916" s="10">
        <f t="shared" si="29"/>
        <v>72</v>
      </c>
      <c r="K1916" s="10"/>
      <c r="L1916" s="5"/>
    </row>
    <row r="1917" spans="1:12" x14ac:dyDescent="0.25">
      <c r="A1917" s="5" t="s">
        <v>4604</v>
      </c>
      <c r="B1917" s="5" t="s">
        <v>4601</v>
      </c>
      <c r="C1917" s="5" t="s">
        <v>52</v>
      </c>
      <c r="D1917" s="21">
        <v>1</v>
      </c>
      <c r="E1917" s="12">
        <v>99</v>
      </c>
      <c r="F1917" s="10" t="str">
        <f>_xlfn.XLOOKUP(C1917,menu!A:A,menu!B:B)</f>
        <v>French Fries</v>
      </c>
      <c r="G1917" s="10" t="str">
        <f>_xlfn.XLOOKUP(C1917,menu!A:A,menu!C:C)</f>
        <v>Starters</v>
      </c>
      <c r="H1917" s="10">
        <f>_xlfn.XLOOKUP(C1917,menu!A:A,menu!E:E)</f>
        <v>30</v>
      </c>
      <c r="I1917" s="10">
        <f t="shared" si="29"/>
        <v>30</v>
      </c>
      <c r="K1917" s="10"/>
      <c r="L1917" s="5"/>
    </row>
    <row r="1918" spans="1:12" x14ac:dyDescent="0.25">
      <c r="A1918" s="5" t="s">
        <v>4603</v>
      </c>
      <c r="B1918" s="5" t="s">
        <v>4601</v>
      </c>
      <c r="C1918" s="5" t="s">
        <v>54</v>
      </c>
      <c r="D1918" s="21">
        <v>1</v>
      </c>
      <c r="E1918" s="12">
        <v>139</v>
      </c>
      <c r="F1918" s="10" t="str">
        <f>_xlfn.XLOOKUP(C1918,menu!A:A,menu!B:B)</f>
        <v>Chicken Strips</v>
      </c>
      <c r="G1918" s="10" t="str">
        <f>_xlfn.XLOOKUP(C1918,menu!A:A,menu!C:C)</f>
        <v>Starters</v>
      </c>
      <c r="H1918" s="10">
        <f>_xlfn.XLOOKUP(C1918,menu!A:A,menu!E:E)</f>
        <v>42</v>
      </c>
      <c r="I1918" s="10">
        <f t="shared" si="29"/>
        <v>42</v>
      </c>
      <c r="K1918" s="10"/>
      <c r="L1918" s="5"/>
    </row>
    <row r="1919" spans="1:12" x14ac:dyDescent="0.25">
      <c r="A1919" s="5" t="s">
        <v>4602</v>
      </c>
      <c r="B1919" s="5" t="s">
        <v>4601</v>
      </c>
      <c r="C1919" s="5" t="s">
        <v>31</v>
      </c>
      <c r="D1919" s="21">
        <v>1</v>
      </c>
      <c r="E1919" s="12">
        <v>89</v>
      </c>
      <c r="F1919" s="10" t="str">
        <f>_xlfn.XLOOKUP(C1919,menu!A:A,menu!B:B)</f>
        <v>Chicken Roll</v>
      </c>
      <c r="G1919" s="10" t="str">
        <f>_xlfn.XLOOKUP(C1919,menu!A:A,menu!C:C)</f>
        <v>Rolls</v>
      </c>
      <c r="H1919" s="10">
        <f>_xlfn.XLOOKUP(C1919,menu!A:A,menu!E:E)</f>
        <v>27</v>
      </c>
      <c r="I1919" s="10">
        <f t="shared" si="29"/>
        <v>27</v>
      </c>
      <c r="K1919" s="10"/>
      <c r="L1919" s="5"/>
    </row>
    <row r="1920" spans="1:12" x14ac:dyDescent="0.25">
      <c r="A1920" s="5" t="s">
        <v>4600</v>
      </c>
      <c r="B1920" s="5" t="s">
        <v>4598</v>
      </c>
      <c r="C1920" s="5" t="s">
        <v>17</v>
      </c>
      <c r="D1920" s="21">
        <v>1</v>
      </c>
      <c r="E1920" s="12">
        <v>89</v>
      </c>
      <c r="F1920" s="10" t="str">
        <f>_xlfn.XLOOKUP(C1920,menu!A:A,menu!B:B)</f>
        <v>Paneer Momos</v>
      </c>
      <c r="G1920" s="10" t="str">
        <f>_xlfn.XLOOKUP(C1920,menu!A:A,menu!C:C)</f>
        <v>Momos</v>
      </c>
      <c r="H1920" s="10">
        <f>_xlfn.XLOOKUP(C1920,menu!A:A,menu!E:E)</f>
        <v>27</v>
      </c>
      <c r="I1920" s="10">
        <f t="shared" si="29"/>
        <v>27</v>
      </c>
      <c r="K1920" s="10"/>
      <c r="L1920" s="5"/>
    </row>
    <row r="1921" spans="1:12" x14ac:dyDescent="0.25">
      <c r="A1921" s="5" t="s">
        <v>4599</v>
      </c>
      <c r="B1921" s="5" t="s">
        <v>4598</v>
      </c>
      <c r="C1921" s="5" t="s">
        <v>38</v>
      </c>
      <c r="D1921" s="21">
        <v>3</v>
      </c>
      <c r="E1921" s="12">
        <v>447</v>
      </c>
      <c r="F1921" s="10" t="str">
        <f>_xlfn.XLOOKUP(C1921,menu!A:A,menu!B:B)</f>
        <v>Chicken Wings</v>
      </c>
      <c r="G1921" s="10" t="str">
        <f>_xlfn.XLOOKUP(C1921,menu!A:A,menu!C:C)</f>
        <v>Starters</v>
      </c>
      <c r="H1921" s="10">
        <f>_xlfn.XLOOKUP(C1921,menu!A:A,menu!E:E)</f>
        <v>45</v>
      </c>
      <c r="I1921" s="10">
        <f t="shared" si="29"/>
        <v>135</v>
      </c>
      <c r="K1921" s="10"/>
      <c r="L1921" s="5"/>
    </row>
    <row r="1922" spans="1:12" x14ac:dyDescent="0.25">
      <c r="A1922" s="5" t="s">
        <v>4597</v>
      </c>
      <c r="B1922" s="5" t="s">
        <v>4594</v>
      </c>
      <c r="C1922" s="5" t="s">
        <v>10</v>
      </c>
      <c r="D1922" s="21">
        <v>2</v>
      </c>
      <c r="E1922" s="12">
        <v>238</v>
      </c>
      <c r="F1922" s="10" t="str">
        <f>_xlfn.XLOOKUP(C1922,menu!A:A,menu!B:B)</f>
        <v>Chicken Sandwich</v>
      </c>
      <c r="G1922" s="10" t="str">
        <f>_xlfn.XLOOKUP(C1922,menu!A:A,menu!C:C)</f>
        <v>Sandwich</v>
      </c>
      <c r="H1922" s="10">
        <f>_xlfn.XLOOKUP(C1922,menu!A:A,menu!E:E)</f>
        <v>36</v>
      </c>
      <c r="I1922" s="10">
        <f t="shared" si="29"/>
        <v>72</v>
      </c>
      <c r="K1922" s="10"/>
      <c r="L1922" s="5"/>
    </row>
    <row r="1923" spans="1:12" x14ac:dyDescent="0.25">
      <c r="A1923" s="5" t="s">
        <v>4596</v>
      </c>
      <c r="B1923" s="5" t="s">
        <v>4594</v>
      </c>
      <c r="C1923" s="5" t="s">
        <v>63</v>
      </c>
      <c r="D1923" s="21">
        <v>1</v>
      </c>
      <c r="E1923" s="12">
        <v>79</v>
      </c>
      <c r="F1923" s="10" t="str">
        <f>_xlfn.XLOOKUP(C1923,menu!A:A,menu!B:B)</f>
        <v>Virgin Mojito</v>
      </c>
      <c r="G1923" s="10" t="str">
        <f>_xlfn.XLOOKUP(C1923,menu!A:A,menu!C:C)</f>
        <v>Beverages</v>
      </c>
      <c r="H1923" s="10">
        <f>_xlfn.XLOOKUP(C1923,menu!A:A,menu!E:E)</f>
        <v>24</v>
      </c>
      <c r="I1923" s="10">
        <f t="shared" ref="I1923:I1986" si="30">D1923*H1923</f>
        <v>24</v>
      </c>
      <c r="K1923" s="10"/>
      <c r="L1923" s="5"/>
    </row>
    <row r="1924" spans="1:12" x14ac:dyDescent="0.25">
      <c r="A1924" s="5" t="s">
        <v>4595</v>
      </c>
      <c r="B1924" s="5" t="s">
        <v>4594</v>
      </c>
      <c r="C1924" s="5" t="s">
        <v>26</v>
      </c>
      <c r="D1924" s="21">
        <v>1</v>
      </c>
      <c r="E1924" s="12">
        <v>59</v>
      </c>
      <c r="F1924" s="10" t="str">
        <f>_xlfn.XLOOKUP(C1924,menu!A:A,menu!B:B)</f>
        <v>Veg Roll</v>
      </c>
      <c r="G1924" s="10" t="str">
        <f>_xlfn.XLOOKUP(C1924,menu!A:A,menu!C:C)</f>
        <v>Rolls</v>
      </c>
      <c r="H1924" s="10">
        <f>_xlfn.XLOOKUP(C1924,menu!A:A,menu!E:E)</f>
        <v>18</v>
      </c>
      <c r="I1924" s="10">
        <f t="shared" si="30"/>
        <v>18</v>
      </c>
      <c r="K1924" s="10"/>
      <c r="L1924" s="5"/>
    </row>
    <row r="1925" spans="1:12" x14ac:dyDescent="0.25">
      <c r="A1925" s="5" t="s">
        <v>4593</v>
      </c>
      <c r="B1925" s="5" t="s">
        <v>4591</v>
      </c>
      <c r="C1925" s="5" t="s">
        <v>12</v>
      </c>
      <c r="D1925" s="21">
        <v>1</v>
      </c>
      <c r="E1925" s="12">
        <v>79</v>
      </c>
      <c r="F1925" s="10" t="str">
        <f>_xlfn.XLOOKUP(C1925,menu!A:A,menu!B:B)</f>
        <v>Veg Momos</v>
      </c>
      <c r="G1925" s="10" t="str">
        <f>_xlfn.XLOOKUP(C1925,menu!A:A,menu!C:C)</f>
        <v>Momos</v>
      </c>
      <c r="H1925" s="10">
        <f>_xlfn.XLOOKUP(C1925,menu!A:A,menu!E:E)</f>
        <v>24</v>
      </c>
      <c r="I1925" s="10">
        <f t="shared" si="30"/>
        <v>24</v>
      </c>
      <c r="K1925" s="10"/>
      <c r="L1925" s="5"/>
    </row>
    <row r="1926" spans="1:12" x14ac:dyDescent="0.25">
      <c r="A1926" s="5" t="s">
        <v>4592</v>
      </c>
      <c r="B1926" s="5" t="s">
        <v>4591</v>
      </c>
      <c r="C1926" s="5" t="s">
        <v>15</v>
      </c>
      <c r="D1926" s="21">
        <v>2</v>
      </c>
      <c r="E1926" s="12">
        <v>198</v>
      </c>
      <c r="F1926" s="10" t="str">
        <f>_xlfn.XLOOKUP(C1926,menu!A:A,menu!B:B)</f>
        <v>Chicken Momos</v>
      </c>
      <c r="G1926" s="10" t="str">
        <f>_xlfn.XLOOKUP(C1926,menu!A:A,menu!C:C)</f>
        <v>Momos</v>
      </c>
      <c r="H1926" s="10">
        <f>_xlfn.XLOOKUP(C1926,menu!A:A,menu!E:E)</f>
        <v>30</v>
      </c>
      <c r="I1926" s="10">
        <f t="shared" si="30"/>
        <v>60</v>
      </c>
      <c r="K1926" s="10"/>
      <c r="L1926" s="5"/>
    </row>
    <row r="1927" spans="1:12" x14ac:dyDescent="0.25">
      <c r="A1927" s="5" t="s">
        <v>4590</v>
      </c>
      <c r="B1927" s="5" t="s">
        <v>4587</v>
      </c>
      <c r="C1927" s="5" t="s">
        <v>44</v>
      </c>
      <c r="D1927" s="21">
        <v>4</v>
      </c>
      <c r="E1927" s="12">
        <v>636</v>
      </c>
      <c r="F1927" s="10" t="str">
        <f>_xlfn.XLOOKUP(C1927,menu!A:A,menu!B:B)</f>
        <v>Fried Chicken</v>
      </c>
      <c r="G1927" s="10" t="str">
        <f>_xlfn.XLOOKUP(C1927,menu!A:A,menu!C:C)</f>
        <v>Starters</v>
      </c>
      <c r="H1927" s="10">
        <f>_xlfn.XLOOKUP(C1927,menu!A:A,menu!E:E)</f>
        <v>48</v>
      </c>
      <c r="I1927" s="10">
        <f t="shared" si="30"/>
        <v>192</v>
      </c>
      <c r="K1927" s="10"/>
      <c r="L1927" s="5"/>
    </row>
    <row r="1928" spans="1:12" x14ac:dyDescent="0.25">
      <c r="A1928" s="5" t="s">
        <v>4589</v>
      </c>
      <c r="B1928" s="5" t="s">
        <v>4587</v>
      </c>
      <c r="C1928" s="5" t="s">
        <v>46</v>
      </c>
      <c r="D1928" s="21">
        <v>2</v>
      </c>
      <c r="E1928" s="12">
        <v>298</v>
      </c>
      <c r="F1928" s="10" t="str">
        <f>_xlfn.XLOOKUP(C1928,menu!A:A,menu!B:B)</f>
        <v>Fish Finger</v>
      </c>
      <c r="G1928" s="10" t="str">
        <f>_xlfn.XLOOKUP(C1928,menu!A:A,menu!C:C)</f>
        <v>Starters</v>
      </c>
      <c r="H1928" s="10">
        <f>_xlfn.XLOOKUP(C1928,menu!A:A,menu!E:E)</f>
        <v>45</v>
      </c>
      <c r="I1928" s="10">
        <f t="shared" si="30"/>
        <v>90</v>
      </c>
      <c r="K1928" s="10"/>
      <c r="L1928" s="5"/>
    </row>
    <row r="1929" spans="1:12" x14ac:dyDescent="0.25">
      <c r="A1929" s="5" t="s">
        <v>4588</v>
      </c>
      <c r="B1929" s="5" t="s">
        <v>4587</v>
      </c>
      <c r="C1929" s="5" t="s">
        <v>59</v>
      </c>
      <c r="D1929" s="21">
        <v>1</v>
      </c>
      <c r="E1929" s="12">
        <v>79</v>
      </c>
      <c r="F1929" s="10" t="str">
        <f>_xlfn.XLOOKUP(C1929,menu!A:A,menu!B:B)</f>
        <v>Blue Curacao Mojito</v>
      </c>
      <c r="G1929" s="10" t="str">
        <f>_xlfn.XLOOKUP(C1929,menu!A:A,menu!C:C)</f>
        <v>Beverages</v>
      </c>
      <c r="H1929" s="10">
        <f>_xlfn.XLOOKUP(C1929,menu!A:A,menu!E:E)</f>
        <v>24</v>
      </c>
      <c r="I1929" s="10">
        <f t="shared" si="30"/>
        <v>24</v>
      </c>
      <c r="K1929" s="10"/>
      <c r="L1929" s="5"/>
    </row>
    <row r="1930" spans="1:12" x14ac:dyDescent="0.25">
      <c r="A1930" s="5" t="s">
        <v>4586</v>
      </c>
      <c r="B1930" s="5" t="s">
        <v>4583</v>
      </c>
      <c r="C1930" s="5" t="s">
        <v>40</v>
      </c>
      <c r="D1930" s="21">
        <v>4</v>
      </c>
      <c r="E1930" s="12">
        <v>396</v>
      </c>
      <c r="F1930" s="10" t="str">
        <f>_xlfn.XLOOKUP(C1930,menu!A:A,menu!B:B)</f>
        <v>Veg Nuggets</v>
      </c>
      <c r="G1930" s="10" t="str">
        <f>_xlfn.XLOOKUP(C1930,menu!A:A,menu!C:C)</f>
        <v>Starters</v>
      </c>
      <c r="H1930" s="10">
        <f>_xlfn.XLOOKUP(C1930,menu!A:A,menu!E:E)</f>
        <v>30</v>
      </c>
      <c r="I1930" s="10">
        <f t="shared" si="30"/>
        <v>120</v>
      </c>
      <c r="K1930" s="10"/>
      <c r="L1930" s="5"/>
    </row>
    <row r="1931" spans="1:12" x14ac:dyDescent="0.25">
      <c r="A1931" s="5" t="s">
        <v>4585</v>
      </c>
      <c r="B1931" s="5" t="s">
        <v>4583</v>
      </c>
      <c r="C1931" s="5" t="s">
        <v>52</v>
      </c>
      <c r="D1931" s="21">
        <v>1</v>
      </c>
      <c r="E1931" s="12">
        <v>99</v>
      </c>
      <c r="F1931" s="10" t="str">
        <f>_xlfn.XLOOKUP(C1931,menu!A:A,menu!B:B)</f>
        <v>French Fries</v>
      </c>
      <c r="G1931" s="10" t="str">
        <f>_xlfn.XLOOKUP(C1931,menu!A:A,menu!C:C)</f>
        <v>Starters</v>
      </c>
      <c r="H1931" s="10">
        <f>_xlfn.XLOOKUP(C1931,menu!A:A,menu!E:E)</f>
        <v>30</v>
      </c>
      <c r="I1931" s="10">
        <f t="shared" si="30"/>
        <v>30</v>
      </c>
      <c r="K1931" s="10"/>
      <c r="L1931" s="5"/>
    </row>
    <row r="1932" spans="1:12" x14ac:dyDescent="0.25">
      <c r="A1932" s="5" t="s">
        <v>4584</v>
      </c>
      <c r="B1932" s="5" t="s">
        <v>4583</v>
      </c>
      <c r="C1932" s="5" t="s">
        <v>22</v>
      </c>
      <c r="D1932" s="21">
        <v>4</v>
      </c>
      <c r="E1932" s="12">
        <v>396</v>
      </c>
      <c r="F1932" s="10" t="str">
        <f>_xlfn.XLOOKUP(C1932,menu!A:A,menu!B:B)</f>
        <v>Chicken Burger</v>
      </c>
      <c r="G1932" s="10" t="str">
        <f>_xlfn.XLOOKUP(C1932,menu!A:A,menu!C:C)</f>
        <v>Burger</v>
      </c>
      <c r="H1932" s="10">
        <f>_xlfn.XLOOKUP(C1932,menu!A:A,menu!E:E)</f>
        <v>30</v>
      </c>
      <c r="I1932" s="10">
        <f t="shared" si="30"/>
        <v>120</v>
      </c>
      <c r="K1932" s="10"/>
      <c r="L1932" s="5"/>
    </row>
    <row r="1933" spans="1:12" x14ac:dyDescent="0.25">
      <c r="A1933" s="5" t="s">
        <v>4582</v>
      </c>
      <c r="B1933" s="5" t="s">
        <v>4580</v>
      </c>
      <c r="C1933" s="5" t="s">
        <v>52</v>
      </c>
      <c r="D1933" s="21">
        <v>1</v>
      </c>
      <c r="E1933" s="12">
        <v>99</v>
      </c>
      <c r="F1933" s="10" t="str">
        <f>_xlfn.XLOOKUP(C1933,menu!A:A,menu!B:B)</f>
        <v>French Fries</v>
      </c>
      <c r="G1933" s="10" t="str">
        <f>_xlfn.XLOOKUP(C1933,menu!A:A,menu!C:C)</f>
        <v>Starters</v>
      </c>
      <c r="H1933" s="10">
        <f>_xlfn.XLOOKUP(C1933,menu!A:A,menu!E:E)</f>
        <v>30</v>
      </c>
      <c r="I1933" s="10">
        <f t="shared" si="30"/>
        <v>30</v>
      </c>
      <c r="K1933" s="10"/>
      <c r="L1933" s="5"/>
    </row>
    <row r="1934" spans="1:12" x14ac:dyDescent="0.25">
      <c r="A1934" s="5" t="s">
        <v>4581</v>
      </c>
      <c r="B1934" s="5" t="s">
        <v>4580</v>
      </c>
      <c r="C1934" s="5" t="s">
        <v>50</v>
      </c>
      <c r="D1934" s="21">
        <v>1</v>
      </c>
      <c r="E1934" s="12">
        <v>149</v>
      </c>
      <c r="F1934" s="10" t="str">
        <f>_xlfn.XLOOKUP(C1934,menu!A:A,menu!B:B)</f>
        <v>Grab Lollipop</v>
      </c>
      <c r="G1934" s="10" t="str">
        <f>_xlfn.XLOOKUP(C1934,menu!A:A,menu!C:C)</f>
        <v>Starters</v>
      </c>
      <c r="H1934" s="10">
        <f>_xlfn.XLOOKUP(C1934,menu!A:A,menu!E:E)</f>
        <v>45</v>
      </c>
      <c r="I1934" s="10">
        <f t="shared" si="30"/>
        <v>45</v>
      </c>
      <c r="K1934" s="10"/>
      <c r="L1934" s="5"/>
    </row>
    <row r="1935" spans="1:12" x14ac:dyDescent="0.25">
      <c r="A1935" s="5" t="s">
        <v>4579</v>
      </c>
      <c r="B1935" s="5" t="s">
        <v>4577</v>
      </c>
      <c r="C1935" s="5" t="s">
        <v>22</v>
      </c>
      <c r="D1935" s="21">
        <v>5</v>
      </c>
      <c r="E1935" s="12">
        <v>495</v>
      </c>
      <c r="F1935" s="10" t="str">
        <f>_xlfn.XLOOKUP(C1935,menu!A:A,menu!B:B)</f>
        <v>Chicken Burger</v>
      </c>
      <c r="G1935" s="10" t="str">
        <f>_xlfn.XLOOKUP(C1935,menu!A:A,menu!C:C)</f>
        <v>Burger</v>
      </c>
      <c r="H1935" s="10">
        <f>_xlfn.XLOOKUP(C1935,menu!A:A,menu!E:E)</f>
        <v>30</v>
      </c>
      <c r="I1935" s="10">
        <f t="shared" si="30"/>
        <v>150</v>
      </c>
      <c r="K1935" s="10"/>
      <c r="L1935" s="5"/>
    </row>
    <row r="1936" spans="1:12" x14ac:dyDescent="0.25">
      <c r="A1936" s="5" t="s">
        <v>4578</v>
      </c>
      <c r="B1936" s="5" t="s">
        <v>4577</v>
      </c>
      <c r="C1936" s="5" t="s">
        <v>26</v>
      </c>
      <c r="D1936" s="21">
        <v>2</v>
      </c>
      <c r="E1936" s="12">
        <v>118</v>
      </c>
      <c r="F1936" s="10" t="str">
        <f>_xlfn.XLOOKUP(C1936,menu!A:A,menu!B:B)</f>
        <v>Veg Roll</v>
      </c>
      <c r="G1936" s="10" t="str">
        <f>_xlfn.XLOOKUP(C1936,menu!A:A,menu!C:C)</f>
        <v>Rolls</v>
      </c>
      <c r="H1936" s="10">
        <f>_xlfn.XLOOKUP(C1936,menu!A:A,menu!E:E)</f>
        <v>18</v>
      </c>
      <c r="I1936" s="10">
        <f t="shared" si="30"/>
        <v>36</v>
      </c>
      <c r="K1936" s="10"/>
      <c r="L1936" s="5"/>
    </row>
    <row r="1937" spans="1:12" x14ac:dyDescent="0.25">
      <c r="A1937" s="5" t="s">
        <v>4576</v>
      </c>
      <c r="B1937" s="5" t="s">
        <v>4573</v>
      </c>
      <c r="C1937" s="5" t="s">
        <v>22</v>
      </c>
      <c r="D1937" s="21">
        <v>2</v>
      </c>
      <c r="E1937" s="12">
        <v>198</v>
      </c>
      <c r="F1937" s="10" t="str">
        <f>_xlfn.XLOOKUP(C1937,menu!A:A,menu!B:B)</f>
        <v>Chicken Burger</v>
      </c>
      <c r="G1937" s="10" t="str">
        <f>_xlfn.XLOOKUP(C1937,menu!A:A,menu!C:C)</f>
        <v>Burger</v>
      </c>
      <c r="H1937" s="10">
        <f>_xlfn.XLOOKUP(C1937,menu!A:A,menu!E:E)</f>
        <v>30</v>
      </c>
      <c r="I1937" s="10">
        <f t="shared" si="30"/>
        <v>60</v>
      </c>
      <c r="K1937" s="10"/>
      <c r="L1937" s="5"/>
    </row>
    <row r="1938" spans="1:12" x14ac:dyDescent="0.25">
      <c r="A1938" s="5" t="s">
        <v>4575</v>
      </c>
      <c r="B1938" s="5" t="s">
        <v>4573</v>
      </c>
      <c r="C1938" s="5" t="s">
        <v>31</v>
      </c>
      <c r="D1938" s="21">
        <v>3</v>
      </c>
      <c r="E1938" s="12">
        <v>267</v>
      </c>
      <c r="F1938" s="10" t="str">
        <f>_xlfn.XLOOKUP(C1938,menu!A:A,menu!B:B)</f>
        <v>Chicken Roll</v>
      </c>
      <c r="G1938" s="10" t="str">
        <f>_xlfn.XLOOKUP(C1938,menu!A:A,menu!C:C)</f>
        <v>Rolls</v>
      </c>
      <c r="H1938" s="10">
        <f>_xlfn.XLOOKUP(C1938,menu!A:A,menu!E:E)</f>
        <v>27</v>
      </c>
      <c r="I1938" s="10">
        <f t="shared" si="30"/>
        <v>81</v>
      </c>
      <c r="K1938" s="10"/>
      <c r="L1938" s="5"/>
    </row>
    <row r="1939" spans="1:12" x14ac:dyDescent="0.25">
      <c r="A1939" s="5" t="s">
        <v>4574</v>
      </c>
      <c r="B1939" s="5" t="s">
        <v>4573</v>
      </c>
      <c r="C1939" s="5" t="s">
        <v>38</v>
      </c>
      <c r="D1939" s="21">
        <v>1</v>
      </c>
      <c r="E1939" s="12">
        <v>149</v>
      </c>
      <c r="F1939" s="10" t="str">
        <f>_xlfn.XLOOKUP(C1939,menu!A:A,menu!B:B)</f>
        <v>Chicken Wings</v>
      </c>
      <c r="G1939" s="10" t="str">
        <f>_xlfn.XLOOKUP(C1939,menu!A:A,menu!C:C)</f>
        <v>Starters</v>
      </c>
      <c r="H1939" s="10">
        <f>_xlfn.XLOOKUP(C1939,menu!A:A,menu!E:E)</f>
        <v>45</v>
      </c>
      <c r="I1939" s="10">
        <f t="shared" si="30"/>
        <v>45</v>
      </c>
      <c r="K1939" s="10"/>
      <c r="L1939" s="5"/>
    </row>
    <row r="1940" spans="1:12" x14ac:dyDescent="0.25">
      <c r="A1940" s="5" t="s">
        <v>4572</v>
      </c>
      <c r="B1940" s="5" t="s">
        <v>4570</v>
      </c>
      <c r="C1940" s="5" t="s">
        <v>15</v>
      </c>
      <c r="D1940" s="21">
        <v>1</v>
      </c>
      <c r="E1940" s="12">
        <v>99</v>
      </c>
      <c r="F1940" s="10" t="str">
        <f>_xlfn.XLOOKUP(C1940,menu!A:A,menu!B:B)</f>
        <v>Chicken Momos</v>
      </c>
      <c r="G1940" s="10" t="str">
        <f>_xlfn.XLOOKUP(C1940,menu!A:A,menu!C:C)</f>
        <v>Momos</v>
      </c>
      <c r="H1940" s="10">
        <f>_xlfn.XLOOKUP(C1940,menu!A:A,menu!E:E)</f>
        <v>30</v>
      </c>
      <c r="I1940" s="10">
        <f t="shared" si="30"/>
        <v>30</v>
      </c>
      <c r="K1940" s="10"/>
      <c r="L1940" s="5"/>
    </row>
    <row r="1941" spans="1:12" x14ac:dyDescent="0.25">
      <c r="A1941" s="5" t="s">
        <v>4571</v>
      </c>
      <c r="B1941" s="5" t="s">
        <v>4570</v>
      </c>
      <c r="C1941" s="5" t="s">
        <v>31</v>
      </c>
      <c r="D1941" s="21">
        <v>1</v>
      </c>
      <c r="E1941" s="12">
        <v>89</v>
      </c>
      <c r="F1941" s="10" t="str">
        <f>_xlfn.XLOOKUP(C1941,menu!A:A,menu!B:B)</f>
        <v>Chicken Roll</v>
      </c>
      <c r="G1941" s="10" t="str">
        <f>_xlfn.XLOOKUP(C1941,menu!A:A,menu!C:C)</f>
        <v>Rolls</v>
      </c>
      <c r="H1941" s="10">
        <f>_xlfn.XLOOKUP(C1941,menu!A:A,menu!E:E)</f>
        <v>27</v>
      </c>
      <c r="I1941" s="10">
        <f t="shared" si="30"/>
        <v>27</v>
      </c>
      <c r="K1941" s="10"/>
      <c r="L1941" s="5"/>
    </row>
    <row r="1942" spans="1:12" x14ac:dyDescent="0.25">
      <c r="A1942" s="5" t="s">
        <v>4569</v>
      </c>
      <c r="B1942" s="5" t="s">
        <v>4565</v>
      </c>
      <c r="C1942" s="5" t="s">
        <v>12</v>
      </c>
      <c r="D1942" s="21">
        <v>1</v>
      </c>
      <c r="E1942" s="12">
        <v>79</v>
      </c>
      <c r="F1942" s="10" t="str">
        <f>_xlfn.XLOOKUP(C1942,menu!A:A,menu!B:B)</f>
        <v>Veg Momos</v>
      </c>
      <c r="G1942" s="10" t="str">
        <f>_xlfn.XLOOKUP(C1942,menu!A:A,menu!C:C)</f>
        <v>Momos</v>
      </c>
      <c r="H1942" s="10">
        <f>_xlfn.XLOOKUP(C1942,menu!A:A,menu!E:E)</f>
        <v>24</v>
      </c>
      <c r="I1942" s="10">
        <f t="shared" si="30"/>
        <v>24</v>
      </c>
      <c r="K1942" s="10"/>
      <c r="L1942" s="5"/>
    </row>
    <row r="1943" spans="1:12" x14ac:dyDescent="0.25">
      <c r="A1943" s="5" t="s">
        <v>4568</v>
      </c>
      <c r="B1943" s="5" t="s">
        <v>4565</v>
      </c>
      <c r="C1943" s="5" t="s">
        <v>54</v>
      </c>
      <c r="D1943" s="21">
        <v>2</v>
      </c>
      <c r="E1943" s="12">
        <v>278</v>
      </c>
      <c r="F1943" s="10" t="str">
        <f>_xlfn.XLOOKUP(C1943,menu!A:A,menu!B:B)</f>
        <v>Chicken Strips</v>
      </c>
      <c r="G1943" s="10" t="str">
        <f>_xlfn.XLOOKUP(C1943,menu!A:A,menu!C:C)</f>
        <v>Starters</v>
      </c>
      <c r="H1943" s="10">
        <f>_xlfn.XLOOKUP(C1943,menu!A:A,menu!E:E)</f>
        <v>42</v>
      </c>
      <c r="I1943" s="10">
        <f t="shared" si="30"/>
        <v>84</v>
      </c>
      <c r="K1943" s="10"/>
      <c r="L1943" s="5"/>
    </row>
    <row r="1944" spans="1:12" x14ac:dyDescent="0.25">
      <c r="A1944" s="5" t="s">
        <v>4567</v>
      </c>
      <c r="B1944" s="5" t="s">
        <v>4565</v>
      </c>
      <c r="C1944" s="5" t="s">
        <v>40</v>
      </c>
      <c r="D1944" s="21">
        <v>2</v>
      </c>
      <c r="E1944" s="12">
        <v>198</v>
      </c>
      <c r="F1944" s="10" t="str">
        <f>_xlfn.XLOOKUP(C1944,menu!A:A,menu!B:B)</f>
        <v>Veg Nuggets</v>
      </c>
      <c r="G1944" s="10" t="str">
        <f>_xlfn.XLOOKUP(C1944,menu!A:A,menu!C:C)</f>
        <v>Starters</v>
      </c>
      <c r="H1944" s="10">
        <f>_xlfn.XLOOKUP(C1944,menu!A:A,menu!E:E)</f>
        <v>30</v>
      </c>
      <c r="I1944" s="10">
        <f t="shared" si="30"/>
        <v>60</v>
      </c>
      <c r="K1944" s="10"/>
      <c r="L1944" s="5"/>
    </row>
    <row r="1945" spans="1:12" x14ac:dyDescent="0.25">
      <c r="A1945" s="5" t="s">
        <v>4566</v>
      </c>
      <c r="B1945" s="5" t="s">
        <v>4565</v>
      </c>
      <c r="C1945" s="5" t="s">
        <v>29</v>
      </c>
      <c r="D1945" s="21">
        <v>2</v>
      </c>
      <c r="E1945" s="12">
        <v>158</v>
      </c>
      <c r="F1945" s="10" t="str">
        <f>_xlfn.XLOOKUP(C1945,menu!A:A,menu!B:B)</f>
        <v>Paneer Roll</v>
      </c>
      <c r="G1945" s="10" t="str">
        <f>_xlfn.XLOOKUP(C1945,menu!A:A,menu!C:C)</f>
        <v>Rolls</v>
      </c>
      <c r="H1945" s="10">
        <f>_xlfn.XLOOKUP(C1945,menu!A:A,menu!E:E)</f>
        <v>24</v>
      </c>
      <c r="I1945" s="10">
        <f t="shared" si="30"/>
        <v>48</v>
      </c>
      <c r="K1945" s="10"/>
      <c r="L1945" s="5"/>
    </row>
    <row r="1946" spans="1:12" x14ac:dyDescent="0.25">
      <c r="A1946" s="5" t="s">
        <v>4564</v>
      </c>
      <c r="B1946" s="5" t="s">
        <v>4563</v>
      </c>
      <c r="C1946" s="5" t="s">
        <v>48</v>
      </c>
      <c r="D1946" s="21">
        <v>1</v>
      </c>
      <c r="E1946" s="12">
        <v>159</v>
      </c>
      <c r="F1946" s="10" t="str">
        <f>_xlfn.XLOOKUP(C1946,menu!A:A,menu!B:B)</f>
        <v>Chicken Lollipop</v>
      </c>
      <c r="G1946" s="10" t="str">
        <f>_xlfn.XLOOKUP(C1946,menu!A:A,menu!C:C)</f>
        <v>Starters</v>
      </c>
      <c r="H1946" s="10">
        <f>_xlfn.XLOOKUP(C1946,menu!A:A,menu!E:E)</f>
        <v>48</v>
      </c>
      <c r="I1946" s="10">
        <f t="shared" si="30"/>
        <v>48</v>
      </c>
      <c r="K1946" s="10"/>
      <c r="L1946" s="5"/>
    </row>
    <row r="1947" spans="1:12" x14ac:dyDescent="0.25">
      <c r="A1947" s="5" t="s">
        <v>4562</v>
      </c>
      <c r="B1947" s="5" t="s">
        <v>4560</v>
      </c>
      <c r="C1947" s="5" t="s">
        <v>50</v>
      </c>
      <c r="D1947" s="21">
        <v>2</v>
      </c>
      <c r="E1947" s="12">
        <v>298</v>
      </c>
      <c r="F1947" s="10" t="str">
        <f>_xlfn.XLOOKUP(C1947,menu!A:A,menu!B:B)</f>
        <v>Grab Lollipop</v>
      </c>
      <c r="G1947" s="10" t="str">
        <f>_xlfn.XLOOKUP(C1947,menu!A:A,menu!C:C)</f>
        <v>Starters</v>
      </c>
      <c r="H1947" s="10">
        <f>_xlfn.XLOOKUP(C1947,menu!A:A,menu!E:E)</f>
        <v>45</v>
      </c>
      <c r="I1947" s="10">
        <f t="shared" si="30"/>
        <v>90</v>
      </c>
      <c r="K1947" s="10"/>
      <c r="L1947" s="5"/>
    </row>
    <row r="1948" spans="1:12" x14ac:dyDescent="0.25">
      <c r="A1948" s="5" t="s">
        <v>4561</v>
      </c>
      <c r="B1948" s="5" t="s">
        <v>4560</v>
      </c>
      <c r="C1948" s="5" t="s">
        <v>33</v>
      </c>
      <c r="D1948" s="21">
        <v>2</v>
      </c>
      <c r="E1948" s="12">
        <v>138</v>
      </c>
      <c r="F1948" s="10" t="str">
        <f>_xlfn.XLOOKUP(C1948,menu!A:A,menu!B:B)</f>
        <v>Spring Roll</v>
      </c>
      <c r="G1948" s="10" t="str">
        <f>_xlfn.XLOOKUP(C1948,menu!A:A,menu!C:C)</f>
        <v>Rolls</v>
      </c>
      <c r="H1948" s="10">
        <f>_xlfn.XLOOKUP(C1948,menu!A:A,menu!E:E)</f>
        <v>21</v>
      </c>
      <c r="I1948" s="10">
        <f t="shared" si="30"/>
        <v>42</v>
      </c>
      <c r="K1948" s="10"/>
      <c r="L1948" s="5"/>
    </row>
    <row r="1949" spans="1:12" x14ac:dyDescent="0.25">
      <c r="A1949" s="5" t="s">
        <v>4559</v>
      </c>
      <c r="B1949" s="5" t="s">
        <v>4557</v>
      </c>
      <c r="C1949" s="5" t="s">
        <v>50</v>
      </c>
      <c r="D1949" s="21">
        <v>1</v>
      </c>
      <c r="E1949" s="12">
        <v>149</v>
      </c>
      <c r="F1949" s="10" t="str">
        <f>_xlfn.XLOOKUP(C1949,menu!A:A,menu!B:B)</f>
        <v>Grab Lollipop</v>
      </c>
      <c r="G1949" s="10" t="str">
        <f>_xlfn.XLOOKUP(C1949,menu!A:A,menu!C:C)</f>
        <v>Starters</v>
      </c>
      <c r="H1949" s="10">
        <f>_xlfn.XLOOKUP(C1949,menu!A:A,menu!E:E)</f>
        <v>45</v>
      </c>
      <c r="I1949" s="10">
        <f t="shared" si="30"/>
        <v>45</v>
      </c>
      <c r="K1949" s="10"/>
      <c r="L1949" s="5"/>
    </row>
    <row r="1950" spans="1:12" x14ac:dyDescent="0.25">
      <c r="A1950" s="5" t="s">
        <v>4558</v>
      </c>
      <c r="B1950" s="5" t="s">
        <v>4557</v>
      </c>
      <c r="C1950" s="5" t="s">
        <v>54</v>
      </c>
      <c r="D1950" s="21">
        <v>1</v>
      </c>
      <c r="E1950" s="12">
        <v>139</v>
      </c>
      <c r="F1950" s="10" t="str">
        <f>_xlfn.XLOOKUP(C1950,menu!A:A,menu!B:B)</f>
        <v>Chicken Strips</v>
      </c>
      <c r="G1950" s="10" t="str">
        <f>_xlfn.XLOOKUP(C1950,menu!A:A,menu!C:C)</f>
        <v>Starters</v>
      </c>
      <c r="H1950" s="10">
        <f>_xlfn.XLOOKUP(C1950,menu!A:A,menu!E:E)</f>
        <v>42</v>
      </c>
      <c r="I1950" s="10">
        <f t="shared" si="30"/>
        <v>42</v>
      </c>
      <c r="K1950" s="10"/>
      <c r="L1950" s="5"/>
    </row>
    <row r="1951" spans="1:12" x14ac:dyDescent="0.25">
      <c r="A1951" s="5" t="s">
        <v>4556</v>
      </c>
      <c r="B1951" s="5" t="s">
        <v>4552</v>
      </c>
      <c r="C1951" s="5" t="s">
        <v>63</v>
      </c>
      <c r="D1951" s="21">
        <v>2</v>
      </c>
      <c r="E1951" s="12">
        <v>158</v>
      </c>
      <c r="F1951" s="10" t="str">
        <f>_xlfn.XLOOKUP(C1951,menu!A:A,menu!B:B)</f>
        <v>Virgin Mojito</v>
      </c>
      <c r="G1951" s="10" t="str">
        <f>_xlfn.XLOOKUP(C1951,menu!A:A,menu!C:C)</f>
        <v>Beverages</v>
      </c>
      <c r="H1951" s="10">
        <f>_xlfn.XLOOKUP(C1951,menu!A:A,menu!E:E)</f>
        <v>24</v>
      </c>
      <c r="I1951" s="10">
        <f t="shared" si="30"/>
        <v>48</v>
      </c>
      <c r="K1951" s="10"/>
      <c r="L1951" s="5"/>
    </row>
    <row r="1952" spans="1:12" x14ac:dyDescent="0.25">
      <c r="A1952" s="5" t="s">
        <v>4555</v>
      </c>
      <c r="B1952" s="5" t="s">
        <v>4552</v>
      </c>
      <c r="C1952" s="5" t="s">
        <v>15</v>
      </c>
      <c r="D1952" s="21">
        <v>1</v>
      </c>
      <c r="E1952" s="12">
        <v>99</v>
      </c>
      <c r="F1952" s="10" t="str">
        <f>_xlfn.XLOOKUP(C1952,menu!A:A,menu!B:B)</f>
        <v>Chicken Momos</v>
      </c>
      <c r="G1952" s="10" t="str">
        <f>_xlfn.XLOOKUP(C1952,menu!A:A,menu!C:C)</f>
        <v>Momos</v>
      </c>
      <c r="H1952" s="10">
        <f>_xlfn.XLOOKUP(C1952,menu!A:A,menu!E:E)</f>
        <v>30</v>
      </c>
      <c r="I1952" s="10">
        <f t="shared" si="30"/>
        <v>30</v>
      </c>
      <c r="K1952" s="10"/>
      <c r="L1952" s="5"/>
    </row>
    <row r="1953" spans="1:12" x14ac:dyDescent="0.25">
      <c r="A1953" s="5" t="s">
        <v>4554</v>
      </c>
      <c r="B1953" s="5" t="s">
        <v>4552</v>
      </c>
      <c r="C1953" s="5" t="s">
        <v>26</v>
      </c>
      <c r="D1953" s="21">
        <v>2</v>
      </c>
      <c r="E1953" s="12">
        <v>118</v>
      </c>
      <c r="F1953" s="10" t="str">
        <f>_xlfn.XLOOKUP(C1953,menu!A:A,menu!B:B)</f>
        <v>Veg Roll</v>
      </c>
      <c r="G1953" s="10" t="str">
        <f>_xlfn.XLOOKUP(C1953,menu!A:A,menu!C:C)</f>
        <v>Rolls</v>
      </c>
      <c r="H1953" s="10">
        <f>_xlfn.XLOOKUP(C1953,menu!A:A,menu!E:E)</f>
        <v>18</v>
      </c>
      <c r="I1953" s="10">
        <f t="shared" si="30"/>
        <v>36</v>
      </c>
      <c r="K1953" s="10"/>
      <c r="L1953" s="5"/>
    </row>
    <row r="1954" spans="1:12" x14ac:dyDescent="0.25">
      <c r="A1954" s="5" t="s">
        <v>4553</v>
      </c>
      <c r="B1954" s="5" t="s">
        <v>4552</v>
      </c>
      <c r="C1954" s="5" t="s">
        <v>31</v>
      </c>
      <c r="D1954" s="21">
        <v>1</v>
      </c>
      <c r="E1954" s="12">
        <v>89</v>
      </c>
      <c r="F1954" s="10" t="str">
        <f>_xlfn.XLOOKUP(C1954,menu!A:A,menu!B:B)</f>
        <v>Chicken Roll</v>
      </c>
      <c r="G1954" s="10" t="str">
        <f>_xlfn.XLOOKUP(C1954,menu!A:A,menu!C:C)</f>
        <v>Rolls</v>
      </c>
      <c r="H1954" s="10">
        <f>_xlfn.XLOOKUP(C1954,menu!A:A,menu!E:E)</f>
        <v>27</v>
      </c>
      <c r="I1954" s="10">
        <f t="shared" si="30"/>
        <v>27</v>
      </c>
      <c r="K1954" s="10"/>
      <c r="L1954" s="5"/>
    </row>
    <row r="1955" spans="1:12" x14ac:dyDescent="0.25">
      <c r="A1955" s="5" t="s">
        <v>4551</v>
      </c>
      <c r="B1955" s="5" t="s">
        <v>4549</v>
      </c>
      <c r="C1955" s="5" t="s">
        <v>29</v>
      </c>
      <c r="D1955" s="21">
        <v>1</v>
      </c>
      <c r="E1955" s="12">
        <v>79</v>
      </c>
      <c r="F1955" s="10" t="str">
        <f>_xlfn.XLOOKUP(C1955,menu!A:A,menu!B:B)</f>
        <v>Paneer Roll</v>
      </c>
      <c r="G1955" s="10" t="str">
        <f>_xlfn.XLOOKUP(C1955,menu!A:A,menu!C:C)</f>
        <v>Rolls</v>
      </c>
      <c r="H1955" s="10">
        <f>_xlfn.XLOOKUP(C1955,menu!A:A,menu!E:E)</f>
        <v>24</v>
      </c>
      <c r="I1955" s="10">
        <f t="shared" si="30"/>
        <v>24</v>
      </c>
      <c r="K1955" s="10"/>
      <c r="L1955" s="5"/>
    </row>
    <row r="1956" spans="1:12" x14ac:dyDescent="0.25">
      <c r="A1956" s="5" t="s">
        <v>4550</v>
      </c>
      <c r="B1956" s="5" t="s">
        <v>4549</v>
      </c>
      <c r="C1956" s="5" t="s">
        <v>38</v>
      </c>
      <c r="D1956" s="21">
        <v>4</v>
      </c>
      <c r="E1956" s="12">
        <v>596</v>
      </c>
      <c r="F1956" s="10" t="str">
        <f>_xlfn.XLOOKUP(C1956,menu!A:A,menu!B:B)</f>
        <v>Chicken Wings</v>
      </c>
      <c r="G1956" s="10" t="str">
        <f>_xlfn.XLOOKUP(C1956,menu!A:A,menu!C:C)</f>
        <v>Starters</v>
      </c>
      <c r="H1956" s="10">
        <f>_xlfn.XLOOKUP(C1956,menu!A:A,menu!E:E)</f>
        <v>45</v>
      </c>
      <c r="I1956" s="10">
        <f t="shared" si="30"/>
        <v>180</v>
      </c>
      <c r="K1956" s="10"/>
      <c r="L1956" s="5"/>
    </row>
    <row r="1957" spans="1:12" x14ac:dyDescent="0.25">
      <c r="A1957" s="5" t="s">
        <v>4548</v>
      </c>
      <c r="B1957" s="5" t="s">
        <v>4545</v>
      </c>
      <c r="C1957" s="5" t="s">
        <v>17</v>
      </c>
      <c r="D1957" s="21">
        <v>2</v>
      </c>
      <c r="E1957" s="12">
        <v>178</v>
      </c>
      <c r="F1957" s="10" t="str">
        <f>_xlfn.XLOOKUP(C1957,menu!A:A,menu!B:B)</f>
        <v>Paneer Momos</v>
      </c>
      <c r="G1957" s="10" t="str">
        <f>_xlfn.XLOOKUP(C1957,menu!A:A,menu!C:C)</f>
        <v>Momos</v>
      </c>
      <c r="H1957" s="10">
        <f>_xlfn.XLOOKUP(C1957,menu!A:A,menu!E:E)</f>
        <v>27</v>
      </c>
      <c r="I1957" s="10">
        <f t="shared" si="30"/>
        <v>54</v>
      </c>
      <c r="K1957" s="10"/>
      <c r="L1957" s="5"/>
    </row>
    <row r="1958" spans="1:12" x14ac:dyDescent="0.25">
      <c r="A1958" s="5" t="s">
        <v>4547</v>
      </c>
      <c r="B1958" s="5" t="s">
        <v>4545</v>
      </c>
      <c r="C1958" s="5" t="s">
        <v>15</v>
      </c>
      <c r="D1958" s="21">
        <v>1</v>
      </c>
      <c r="E1958" s="12">
        <v>99</v>
      </c>
      <c r="F1958" s="10" t="str">
        <f>_xlfn.XLOOKUP(C1958,menu!A:A,menu!B:B)</f>
        <v>Chicken Momos</v>
      </c>
      <c r="G1958" s="10" t="str">
        <f>_xlfn.XLOOKUP(C1958,menu!A:A,menu!C:C)</f>
        <v>Momos</v>
      </c>
      <c r="H1958" s="10">
        <f>_xlfn.XLOOKUP(C1958,menu!A:A,menu!E:E)</f>
        <v>30</v>
      </c>
      <c r="I1958" s="10">
        <f t="shared" si="30"/>
        <v>30</v>
      </c>
      <c r="K1958" s="10"/>
      <c r="L1958" s="5"/>
    </row>
    <row r="1959" spans="1:12" x14ac:dyDescent="0.25">
      <c r="A1959" s="5" t="s">
        <v>4546</v>
      </c>
      <c r="B1959" s="5" t="s">
        <v>4545</v>
      </c>
      <c r="C1959" s="5" t="s">
        <v>38</v>
      </c>
      <c r="D1959" s="21">
        <v>1</v>
      </c>
      <c r="E1959" s="12">
        <v>149</v>
      </c>
      <c r="F1959" s="10" t="str">
        <f>_xlfn.XLOOKUP(C1959,menu!A:A,menu!B:B)</f>
        <v>Chicken Wings</v>
      </c>
      <c r="G1959" s="10" t="str">
        <f>_xlfn.XLOOKUP(C1959,menu!A:A,menu!C:C)</f>
        <v>Starters</v>
      </c>
      <c r="H1959" s="10">
        <f>_xlfn.XLOOKUP(C1959,menu!A:A,menu!E:E)</f>
        <v>45</v>
      </c>
      <c r="I1959" s="10">
        <f t="shared" si="30"/>
        <v>45</v>
      </c>
      <c r="K1959" s="10"/>
      <c r="L1959" s="5"/>
    </row>
    <row r="1960" spans="1:12" x14ac:dyDescent="0.25">
      <c r="A1960" s="5" t="s">
        <v>4544</v>
      </c>
      <c r="B1960" s="5" t="s">
        <v>4542</v>
      </c>
      <c r="C1960" s="5" t="s">
        <v>12</v>
      </c>
      <c r="D1960" s="21">
        <v>1</v>
      </c>
      <c r="E1960" s="12">
        <v>79</v>
      </c>
      <c r="F1960" s="10" t="str">
        <f>_xlfn.XLOOKUP(C1960,menu!A:A,menu!B:B)</f>
        <v>Veg Momos</v>
      </c>
      <c r="G1960" s="10" t="str">
        <f>_xlfn.XLOOKUP(C1960,menu!A:A,menu!C:C)</f>
        <v>Momos</v>
      </c>
      <c r="H1960" s="10">
        <f>_xlfn.XLOOKUP(C1960,menu!A:A,menu!E:E)</f>
        <v>24</v>
      </c>
      <c r="I1960" s="10">
        <f t="shared" si="30"/>
        <v>24</v>
      </c>
      <c r="K1960" s="10"/>
      <c r="L1960" s="5"/>
    </row>
    <row r="1961" spans="1:12" x14ac:dyDescent="0.25">
      <c r="A1961" s="5" t="s">
        <v>4543</v>
      </c>
      <c r="B1961" s="5" t="s">
        <v>4542</v>
      </c>
      <c r="C1961" s="5" t="s">
        <v>31</v>
      </c>
      <c r="D1961" s="21">
        <v>4</v>
      </c>
      <c r="E1961" s="12">
        <v>356</v>
      </c>
      <c r="F1961" s="10" t="str">
        <f>_xlfn.XLOOKUP(C1961,menu!A:A,menu!B:B)</f>
        <v>Chicken Roll</v>
      </c>
      <c r="G1961" s="10" t="str">
        <f>_xlfn.XLOOKUP(C1961,menu!A:A,menu!C:C)</f>
        <v>Rolls</v>
      </c>
      <c r="H1961" s="10">
        <f>_xlfn.XLOOKUP(C1961,menu!A:A,menu!E:E)</f>
        <v>27</v>
      </c>
      <c r="I1961" s="10">
        <f t="shared" si="30"/>
        <v>108</v>
      </c>
      <c r="K1961" s="10"/>
      <c r="L1961" s="5"/>
    </row>
    <row r="1962" spans="1:12" x14ac:dyDescent="0.25">
      <c r="A1962" s="5" t="s">
        <v>4541</v>
      </c>
      <c r="B1962" s="5" t="s">
        <v>4539</v>
      </c>
      <c r="C1962" s="5" t="s">
        <v>19</v>
      </c>
      <c r="D1962" s="21">
        <v>4</v>
      </c>
      <c r="E1962" s="12">
        <v>316</v>
      </c>
      <c r="F1962" s="10" t="str">
        <f>_xlfn.XLOOKUP(C1962,menu!A:A,menu!B:B)</f>
        <v>Veg Burger</v>
      </c>
      <c r="G1962" s="10" t="str">
        <f>_xlfn.XLOOKUP(C1962,menu!A:A,menu!C:C)</f>
        <v>Burger</v>
      </c>
      <c r="H1962" s="10">
        <f>_xlfn.XLOOKUP(C1962,menu!A:A,menu!E:E)</f>
        <v>24</v>
      </c>
      <c r="I1962" s="10">
        <f t="shared" si="30"/>
        <v>96</v>
      </c>
      <c r="K1962" s="10"/>
      <c r="L1962" s="5"/>
    </row>
    <row r="1963" spans="1:12" x14ac:dyDescent="0.25">
      <c r="A1963" s="5" t="s">
        <v>4540</v>
      </c>
      <c r="B1963" s="5" t="s">
        <v>4539</v>
      </c>
      <c r="C1963" s="5" t="s">
        <v>44</v>
      </c>
      <c r="D1963" s="21">
        <v>3</v>
      </c>
      <c r="E1963" s="12">
        <v>477</v>
      </c>
      <c r="F1963" s="10" t="str">
        <f>_xlfn.XLOOKUP(C1963,menu!A:A,menu!B:B)</f>
        <v>Fried Chicken</v>
      </c>
      <c r="G1963" s="10" t="str">
        <f>_xlfn.XLOOKUP(C1963,menu!A:A,menu!C:C)</f>
        <v>Starters</v>
      </c>
      <c r="H1963" s="10">
        <f>_xlfn.XLOOKUP(C1963,menu!A:A,menu!E:E)</f>
        <v>48</v>
      </c>
      <c r="I1963" s="10">
        <f t="shared" si="30"/>
        <v>144</v>
      </c>
      <c r="K1963" s="10"/>
      <c r="L1963" s="5"/>
    </row>
    <row r="1964" spans="1:12" x14ac:dyDescent="0.25">
      <c r="A1964" s="5" t="s">
        <v>4538</v>
      </c>
      <c r="B1964" s="5" t="s">
        <v>4536</v>
      </c>
      <c r="C1964" s="5" t="s">
        <v>50</v>
      </c>
      <c r="D1964" s="21">
        <v>4</v>
      </c>
      <c r="E1964" s="12">
        <v>596</v>
      </c>
      <c r="F1964" s="10" t="str">
        <f>_xlfn.XLOOKUP(C1964,menu!A:A,menu!B:B)</f>
        <v>Grab Lollipop</v>
      </c>
      <c r="G1964" s="10" t="str">
        <f>_xlfn.XLOOKUP(C1964,menu!A:A,menu!C:C)</f>
        <v>Starters</v>
      </c>
      <c r="H1964" s="10">
        <f>_xlfn.XLOOKUP(C1964,menu!A:A,menu!E:E)</f>
        <v>45</v>
      </c>
      <c r="I1964" s="10">
        <f t="shared" si="30"/>
        <v>180</v>
      </c>
      <c r="K1964" s="10"/>
      <c r="L1964" s="5"/>
    </row>
    <row r="1965" spans="1:12" x14ac:dyDescent="0.25">
      <c r="A1965" s="5" t="s">
        <v>4537</v>
      </c>
      <c r="B1965" s="5" t="s">
        <v>4536</v>
      </c>
      <c r="C1965" s="5" t="s">
        <v>31</v>
      </c>
      <c r="D1965" s="21">
        <v>2</v>
      </c>
      <c r="E1965" s="12">
        <v>178</v>
      </c>
      <c r="F1965" s="10" t="str">
        <f>_xlfn.XLOOKUP(C1965,menu!A:A,menu!B:B)</f>
        <v>Chicken Roll</v>
      </c>
      <c r="G1965" s="10" t="str">
        <f>_xlfn.XLOOKUP(C1965,menu!A:A,menu!C:C)</f>
        <v>Rolls</v>
      </c>
      <c r="H1965" s="10">
        <f>_xlfn.XLOOKUP(C1965,menu!A:A,menu!E:E)</f>
        <v>27</v>
      </c>
      <c r="I1965" s="10">
        <f t="shared" si="30"/>
        <v>54</v>
      </c>
      <c r="K1965" s="10"/>
      <c r="L1965" s="5"/>
    </row>
    <row r="1966" spans="1:12" x14ac:dyDescent="0.25">
      <c r="A1966" s="5" t="s">
        <v>4535</v>
      </c>
      <c r="B1966" s="5" t="s">
        <v>4533</v>
      </c>
      <c r="C1966" s="5" t="s">
        <v>54</v>
      </c>
      <c r="D1966" s="21">
        <v>1</v>
      </c>
      <c r="E1966" s="12">
        <v>139</v>
      </c>
      <c r="F1966" s="10" t="str">
        <f>_xlfn.XLOOKUP(C1966,menu!A:A,menu!B:B)</f>
        <v>Chicken Strips</v>
      </c>
      <c r="G1966" s="10" t="str">
        <f>_xlfn.XLOOKUP(C1966,menu!A:A,menu!C:C)</f>
        <v>Starters</v>
      </c>
      <c r="H1966" s="10">
        <f>_xlfn.XLOOKUP(C1966,menu!A:A,menu!E:E)</f>
        <v>42</v>
      </c>
      <c r="I1966" s="10">
        <f t="shared" si="30"/>
        <v>42</v>
      </c>
      <c r="K1966" s="10"/>
      <c r="L1966" s="5"/>
    </row>
    <row r="1967" spans="1:12" x14ac:dyDescent="0.25">
      <c r="A1967" s="5" t="s">
        <v>4534</v>
      </c>
      <c r="B1967" s="5" t="s">
        <v>4533</v>
      </c>
      <c r="C1967" s="5" t="s">
        <v>61</v>
      </c>
      <c r="D1967" s="21">
        <v>1</v>
      </c>
      <c r="E1967" s="12">
        <v>79</v>
      </c>
      <c r="F1967" s="10" t="str">
        <f>_xlfn.XLOOKUP(C1967,menu!A:A,menu!B:B)</f>
        <v>Watermelon Mojito</v>
      </c>
      <c r="G1967" s="10" t="str">
        <f>_xlfn.XLOOKUP(C1967,menu!A:A,menu!C:C)</f>
        <v>Beverages</v>
      </c>
      <c r="H1967" s="10">
        <f>_xlfn.XLOOKUP(C1967,menu!A:A,menu!E:E)</f>
        <v>24</v>
      </c>
      <c r="I1967" s="10">
        <f t="shared" si="30"/>
        <v>24</v>
      </c>
      <c r="K1967" s="10"/>
      <c r="L1967" s="5"/>
    </row>
    <row r="1968" spans="1:12" x14ac:dyDescent="0.25">
      <c r="A1968" s="5" t="s">
        <v>4532</v>
      </c>
      <c r="B1968" s="5" t="s">
        <v>4530</v>
      </c>
      <c r="C1968" s="5" t="s">
        <v>46</v>
      </c>
      <c r="D1968" s="21">
        <v>1</v>
      </c>
      <c r="E1968" s="12">
        <v>149</v>
      </c>
      <c r="F1968" s="10" t="str">
        <f>_xlfn.XLOOKUP(C1968,menu!A:A,menu!B:B)</f>
        <v>Fish Finger</v>
      </c>
      <c r="G1968" s="10" t="str">
        <f>_xlfn.XLOOKUP(C1968,menu!A:A,menu!C:C)</f>
        <v>Starters</v>
      </c>
      <c r="H1968" s="10">
        <f>_xlfn.XLOOKUP(C1968,menu!A:A,menu!E:E)</f>
        <v>45</v>
      </c>
      <c r="I1968" s="10">
        <f t="shared" si="30"/>
        <v>45</v>
      </c>
      <c r="K1968" s="10"/>
      <c r="L1968" s="5"/>
    </row>
    <row r="1969" spans="1:12" x14ac:dyDescent="0.25">
      <c r="A1969" s="5" t="s">
        <v>4531</v>
      </c>
      <c r="B1969" s="5" t="s">
        <v>4530</v>
      </c>
      <c r="C1969" s="5" t="s">
        <v>24</v>
      </c>
      <c r="D1969" s="21">
        <v>1</v>
      </c>
      <c r="E1969" s="12">
        <v>89</v>
      </c>
      <c r="F1969" s="10" t="str">
        <f>_xlfn.XLOOKUP(C1969,menu!A:A,menu!B:B)</f>
        <v>Paneer Burger</v>
      </c>
      <c r="G1969" s="10" t="str">
        <f>_xlfn.XLOOKUP(C1969,menu!A:A,menu!C:C)</f>
        <v>Burger</v>
      </c>
      <c r="H1969" s="10">
        <f>_xlfn.XLOOKUP(C1969,menu!A:A,menu!E:E)</f>
        <v>27</v>
      </c>
      <c r="I1969" s="10">
        <f t="shared" si="30"/>
        <v>27</v>
      </c>
      <c r="K1969" s="10"/>
      <c r="L1969" s="5"/>
    </row>
    <row r="1970" spans="1:12" x14ac:dyDescent="0.25">
      <c r="A1970" s="5" t="s">
        <v>4529</v>
      </c>
      <c r="B1970" s="5" t="s">
        <v>4527</v>
      </c>
      <c r="C1970" s="5" t="s">
        <v>12</v>
      </c>
      <c r="D1970" s="21">
        <v>2</v>
      </c>
      <c r="E1970" s="12">
        <v>158</v>
      </c>
      <c r="F1970" s="10" t="str">
        <f>_xlfn.XLOOKUP(C1970,menu!A:A,menu!B:B)</f>
        <v>Veg Momos</v>
      </c>
      <c r="G1970" s="10" t="str">
        <f>_xlfn.XLOOKUP(C1970,menu!A:A,menu!C:C)</f>
        <v>Momos</v>
      </c>
      <c r="H1970" s="10">
        <f>_xlfn.XLOOKUP(C1970,menu!A:A,menu!E:E)</f>
        <v>24</v>
      </c>
      <c r="I1970" s="10">
        <f t="shared" si="30"/>
        <v>48</v>
      </c>
      <c r="K1970" s="10"/>
      <c r="L1970" s="5"/>
    </row>
    <row r="1971" spans="1:12" x14ac:dyDescent="0.25">
      <c r="A1971" s="5" t="s">
        <v>4528</v>
      </c>
      <c r="B1971" s="5" t="s">
        <v>4527</v>
      </c>
      <c r="C1971" s="5" t="s">
        <v>48</v>
      </c>
      <c r="D1971" s="21">
        <v>4</v>
      </c>
      <c r="E1971" s="12">
        <v>636</v>
      </c>
      <c r="F1971" s="10" t="str">
        <f>_xlfn.XLOOKUP(C1971,menu!A:A,menu!B:B)</f>
        <v>Chicken Lollipop</v>
      </c>
      <c r="G1971" s="10" t="str">
        <f>_xlfn.XLOOKUP(C1971,menu!A:A,menu!C:C)</f>
        <v>Starters</v>
      </c>
      <c r="H1971" s="10">
        <f>_xlfn.XLOOKUP(C1971,menu!A:A,menu!E:E)</f>
        <v>48</v>
      </c>
      <c r="I1971" s="10">
        <f t="shared" si="30"/>
        <v>192</v>
      </c>
      <c r="K1971" s="10"/>
      <c r="L1971" s="5"/>
    </row>
    <row r="1972" spans="1:12" x14ac:dyDescent="0.25">
      <c r="A1972" s="5" t="s">
        <v>4526</v>
      </c>
      <c r="B1972" s="5" t="s">
        <v>4525</v>
      </c>
      <c r="C1972" s="5" t="s">
        <v>46</v>
      </c>
      <c r="D1972" s="21">
        <v>1</v>
      </c>
      <c r="E1972" s="12">
        <v>149</v>
      </c>
      <c r="F1972" s="10" t="str">
        <f>_xlfn.XLOOKUP(C1972,menu!A:A,menu!B:B)</f>
        <v>Fish Finger</v>
      </c>
      <c r="G1972" s="10" t="str">
        <f>_xlfn.XLOOKUP(C1972,menu!A:A,menu!C:C)</f>
        <v>Starters</v>
      </c>
      <c r="H1972" s="10">
        <f>_xlfn.XLOOKUP(C1972,menu!A:A,menu!E:E)</f>
        <v>45</v>
      </c>
      <c r="I1972" s="10">
        <f t="shared" si="30"/>
        <v>45</v>
      </c>
      <c r="K1972" s="10"/>
      <c r="L1972" s="5"/>
    </row>
    <row r="1973" spans="1:12" x14ac:dyDescent="0.25">
      <c r="A1973" s="5" t="s">
        <v>4524</v>
      </c>
      <c r="B1973" s="5" t="s">
        <v>4521</v>
      </c>
      <c r="C1973" s="5" t="s">
        <v>17</v>
      </c>
      <c r="D1973" s="21">
        <v>2</v>
      </c>
      <c r="E1973" s="12">
        <v>178</v>
      </c>
      <c r="F1973" s="10" t="str">
        <f>_xlfn.XLOOKUP(C1973,menu!A:A,menu!B:B)</f>
        <v>Paneer Momos</v>
      </c>
      <c r="G1973" s="10" t="str">
        <f>_xlfn.XLOOKUP(C1973,menu!A:A,menu!C:C)</f>
        <v>Momos</v>
      </c>
      <c r="H1973" s="10">
        <f>_xlfn.XLOOKUP(C1973,menu!A:A,menu!E:E)</f>
        <v>27</v>
      </c>
      <c r="I1973" s="10">
        <f t="shared" si="30"/>
        <v>54</v>
      </c>
      <c r="K1973" s="10"/>
      <c r="L1973" s="5"/>
    </row>
    <row r="1974" spans="1:12" x14ac:dyDescent="0.25">
      <c r="A1974" s="5" t="s">
        <v>4523</v>
      </c>
      <c r="B1974" s="5" t="s">
        <v>4521</v>
      </c>
      <c r="C1974" s="5" t="s">
        <v>22</v>
      </c>
      <c r="D1974" s="21">
        <v>5</v>
      </c>
      <c r="E1974" s="12">
        <v>495</v>
      </c>
      <c r="F1974" s="10" t="str">
        <f>_xlfn.XLOOKUP(C1974,menu!A:A,menu!B:B)</f>
        <v>Chicken Burger</v>
      </c>
      <c r="G1974" s="10" t="str">
        <f>_xlfn.XLOOKUP(C1974,menu!A:A,menu!C:C)</f>
        <v>Burger</v>
      </c>
      <c r="H1974" s="10">
        <f>_xlfn.XLOOKUP(C1974,menu!A:A,menu!E:E)</f>
        <v>30</v>
      </c>
      <c r="I1974" s="10">
        <f t="shared" si="30"/>
        <v>150</v>
      </c>
      <c r="K1974" s="10"/>
      <c r="L1974" s="5"/>
    </row>
    <row r="1975" spans="1:12" x14ac:dyDescent="0.25">
      <c r="A1975" s="5" t="s">
        <v>4522</v>
      </c>
      <c r="B1975" s="5" t="s">
        <v>4521</v>
      </c>
      <c r="C1975" s="5" t="s">
        <v>48</v>
      </c>
      <c r="D1975" s="21">
        <v>1</v>
      </c>
      <c r="E1975" s="12">
        <v>159</v>
      </c>
      <c r="F1975" s="10" t="str">
        <f>_xlfn.XLOOKUP(C1975,menu!A:A,menu!B:B)</f>
        <v>Chicken Lollipop</v>
      </c>
      <c r="G1975" s="10" t="str">
        <f>_xlfn.XLOOKUP(C1975,menu!A:A,menu!C:C)</f>
        <v>Starters</v>
      </c>
      <c r="H1975" s="10">
        <f>_xlfn.XLOOKUP(C1975,menu!A:A,menu!E:E)</f>
        <v>48</v>
      </c>
      <c r="I1975" s="10">
        <f t="shared" si="30"/>
        <v>48</v>
      </c>
      <c r="K1975" s="10"/>
      <c r="L1975" s="5"/>
    </row>
    <row r="1976" spans="1:12" x14ac:dyDescent="0.25">
      <c r="A1976" s="5" t="s">
        <v>4520</v>
      </c>
      <c r="B1976" s="5" t="s">
        <v>4516</v>
      </c>
      <c r="C1976" s="5" t="s">
        <v>19</v>
      </c>
      <c r="D1976" s="21">
        <v>1</v>
      </c>
      <c r="E1976" s="12">
        <v>79</v>
      </c>
      <c r="F1976" s="10" t="str">
        <f>_xlfn.XLOOKUP(C1976,menu!A:A,menu!B:B)</f>
        <v>Veg Burger</v>
      </c>
      <c r="G1976" s="10" t="str">
        <f>_xlfn.XLOOKUP(C1976,menu!A:A,menu!C:C)</f>
        <v>Burger</v>
      </c>
      <c r="H1976" s="10">
        <f>_xlfn.XLOOKUP(C1976,menu!A:A,menu!E:E)</f>
        <v>24</v>
      </c>
      <c r="I1976" s="10">
        <f t="shared" si="30"/>
        <v>24</v>
      </c>
      <c r="K1976" s="10"/>
      <c r="L1976" s="5"/>
    </row>
    <row r="1977" spans="1:12" x14ac:dyDescent="0.25">
      <c r="A1977" s="5" t="s">
        <v>4519</v>
      </c>
      <c r="B1977" s="5" t="s">
        <v>4516</v>
      </c>
      <c r="C1977" s="5" t="s">
        <v>54</v>
      </c>
      <c r="D1977" s="21">
        <v>2</v>
      </c>
      <c r="E1977" s="12">
        <v>278</v>
      </c>
      <c r="F1977" s="10" t="str">
        <f>_xlfn.XLOOKUP(C1977,menu!A:A,menu!B:B)</f>
        <v>Chicken Strips</v>
      </c>
      <c r="G1977" s="10" t="str">
        <f>_xlfn.XLOOKUP(C1977,menu!A:A,menu!C:C)</f>
        <v>Starters</v>
      </c>
      <c r="H1977" s="10">
        <f>_xlfn.XLOOKUP(C1977,menu!A:A,menu!E:E)</f>
        <v>42</v>
      </c>
      <c r="I1977" s="10">
        <f t="shared" si="30"/>
        <v>84</v>
      </c>
      <c r="K1977" s="10"/>
      <c r="L1977" s="5"/>
    </row>
    <row r="1978" spans="1:12" x14ac:dyDescent="0.25">
      <c r="A1978" s="5" t="s">
        <v>4518</v>
      </c>
      <c r="B1978" s="5" t="s">
        <v>4516</v>
      </c>
      <c r="C1978" s="5" t="s">
        <v>8</v>
      </c>
      <c r="D1978" s="21">
        <v>2</v>
      </c>
      <c r="E1978" s="12">
        <v>198</v>
      </c>
      <c r="F1978" s="10" t="str">
        <f>_xlfn.XLOOKUP(C1978,menu!A:A,menu!B:B)</f>
        <v>Paneer Sandwich</v>
      </c>
      <c r="G1978" s="10" t="str">
        <f>_xlfn.XLOOKUP(C1978,menu!A:A,menu!C:C)</f>
        <v>Sandwich</v>
      </c>
      <c r="H1978" s="10">
        <f>_xlfn.XLOOKUP(C1978,menu!A:A,menu!E:E)</f>
        <v>30</v>
      </c>
      <c r="I1978" s="10">
        <f t="shared" si="30"/>
        <v>60</v>
      </c>
      <c r="K1978" s="10"/>
      <c r="L1978" s="5"/>
    </row>
    <row r="1979" spans="1:12" x14ac:dyDescent="0.25">
      <c r="A1979" s="5" t="s">
        <v>4517</v>
      </c>
      <c r="B1979" s="5" t="s">
        <v>4516</v>
      </c>
      <c r="C1979" s="5" t="s">
        <v>38</v>
      </c>
      <c r="D1979" s="21">
        <v>2</v>
      </c>
      <c r="E1979" s="12">
        <v>298</v>
      </c>
      <c r="F1979" s="10" t="str">
        <f>_xlfn.XLOOKUP(C1979,menu!A:A,menu!B:B)</f>
        <v>Chicken Wings</v>
      </c>
      <c r="G1979" s="10" t="str">
        <f>_xlfn.XLOOKUP(C1979,menu!A:A,menu!C:C)</f>
        <v>Starters</v>
      </c>
      <c r="H1979" s="10">
        <f>_xlfn.XLOOKUP(C1979,menu!A:A,menu!E:E)</f>
        <v>45</v>
      </c>
      <c r="I1979" s="10">
        <f t="shared" si="30"/>
        <v>90</v>
      </c>
      <c r="K1979" s="10"/>
      <c r="L1979" s="5"/>
    </row>
    <row r="1980" spans="1:12" x14ac:dyDescent="0.25">
      <c r="A1980" s="5" t="s">
        <v>4515</v>
      </c>
      <c r="B1980" s="5" t="s">
        <v>4513</v>
      </c>
      <c r="C1980" s="5" t="s">
        <v>35</v>
      </c>
      <c r="D1980" s="21">
        <v>1</v>
      </c>
      <c r="E1980" s="12">
        <v>119</v>
      </c>
      <c r="F1980" s="10" t="str">
        <f>_xlfn.XLOOKUP(C1980,menu!A:A,menu!B:B)</f>
        <v>Chicken Nuggets</v>
      </c>
      <c r="G1980" s="10" t="str">
        <f>_xlfn.XLOOKUP(C1980,menu!A:A,menu!C:C)</f>
        <v>Starters</v>
      </c>
      <c r="H1980" s="10">
        <f>_xlfn.XLOOKUP(C1980,menu!A:A,menu!E:E)</f>
        <v>36</v>
      </c>
      <c r="I1980" s="10">
        <f t="shared" si="30"/>
        <v>36</v>
      </c>
      <c r="K1980" s="10"/>
      <c r="L1980" s="5"/>
    </row>
    <row r="1981" spans="1:12" x14ac:dyDescent="0.25">
      <c r="A1981" s="5" t="s">
        <v>4514</v>
      </c>
      <c r="B1981" s="5" t="s">
        <v>4513</v>
      </c>
      <c r="C1981" s="5" t="s">
        <v>33</v>
      </c>
      <c r="D1981" s="21">
        <v>1</v>
      </c>
      <c r="E1981" s="12">
        <v>69</v>
      </c>
      <c r="F1981" s="10" t="str">
        <f>_xlfn.XLOOKUP(C1981,menu!A:A,menu!B:B)</f>
        <v>Spring Roll</v>
      </c>
      <c r="G1981" s="10" t="str">
        <f>_xlfn.XLOOKUP(C1981,menu!A:A,menu!C:C)</f>
        <v>Rolls</v>
      </c>
      <c r="H1981" s="10">
        <f>_xlfn.XLOOKUP(C1981,menu!A:A,menu!E:E)</f>
        <v>21</v>
      </c>
      <c r="I1981" s="10">
        <f t="shared" si="30"/>
        <v>21</v>
      </c>
      <c r="K1981" s="10"/>
      <c r="L1981" s="5"/>
    </row>
    <row r="1982" spans="1:12" x14ac:dyDescent="0.25">
      <c r="A1982" s="5" t="s">
        <v>4512</v>
      </c>
      <c r="B1982" s="5" t="s">
        <v>4508</v>
      </c>
      <c r="C1982" s="5" t="s">
        <v>35</v>
      </c>
      <c r="D1982" s="21">
        <v>4</v>
      </c>
      <c r="E1982" s="12">
        <v>476</v>
      </c>
      <c r="F1982" s="10" t="str">
        <f>_xlfn.XLOOKUP(C1982,menu!A:A,menu!B:B)</f>
        <v>Chicken Nuggets</v>
      </c>
      <c r="G1982" s="10" t="str">
        <f>_xlfn.XLOOKUP(C1982,menu!A:A,menu!C:C)</f>
        <v>Starters</v>
      </c>
      <c r="H1982" s="10">
        <f>_xlfn.XLOOKUP(C1982,menu!A:A,menu!E:E)</f>
        <v>36</v>
      </c>
      <c r="I1982" s="10">
        <f t="shared" si="30"/>
        <v>144</v>
      </c>
      <c r="K1982" s="10"/>
      <c r="L1982" s="5"/>
    </row>
    <row r="1983" spans="1:12" x14ac:dyDescent="0.25">
      <c r="A1983" s="5" t="s">
        <v>4511</v>
      </c>
      <c r="B1983" s="5" t="s">
        <v>4508</v>
      </c>
      <c r="C1983" s="5" t="s">
        <v>44</v>
      </c>
      <c r="D1983" s="21">
        <v>1</v>
      </c>
      <c r="E1983" s="12">
        <v>159</v>
      </c>
      <c r="F1983" s="10" t="str">
        <f>_xlfn.XLOOKUP(C1983,menu!A:A,menu!B:B)</f>
        <v>Fried Chicken</v>
      </c>
      <c r="G1983" s="10" t="str">
        <f>_xlfn.XLOOKUP(C1983,menu!A:A,menu!C:C)</f>
        <v>Starters</v>
      </c>
      <c r="H1983" s="10">
        <f>_xlfn.XLOOKUP(C1983,menu!A:A,menu!E:E)</f>
        <v>48</v>
      </c>
      <c r="I1983" s="10">
        <f t="shared" si="30"/>
        <v>48</v>
      </c>
      <c r="K1983" s="10"/>
      <c r="L1983" s="5"/>
    </row>
    <row r="1984" spans="1:12" x14ac:dyDescent="0.25">
      <c r="A1984" s="5" t="s">
        <v>4510</v>
      </c>
      <c r="B1984" s="5" t="s">
        <v>4508</v>
      </c>
      <c r="C1984" s="5" t="s">
        <v>46</v>
      </c>
      <c r="D1984" s="21">
        <v>4</v>
      </c>
      <c r="E1984" s="12">
        <v>596</v>
      </c>
      <c r="F1984" s="10" t="str">
        <f>_xlfn.XLOOKUP(C1984,menu!A:A,menu!B:B)</f>
        <v>Fish Finger</v>
      </c>
      <c r="G1984" s="10" t="str">
        <f>_xlfn.XLOOKUP(C1984,menu!A:A,menu!C:C)</f>
        <v>Starters</v>
      </c>
      <c r="H1984" s="10">
        <f>_xlfn.XLOOKUP(C1984,menu!A:A,menu!E:E)</f>
        <v>45</v>
      </c>
      <c r="I1984" s="10">
        <f t="shared" si="30"/>
        <v>180</v>
      </c>
      <c r="K1984" s="10"/>
      <c r="L1984" s="5"/>
    </row>
    <row r="1985" spans="1:12" x14ac:dyDescent="0.25">
      <c r="A1985" s="5" t="s">
        <v>4509</v>
      </c>
      <c r="B1985" s="5" t="s">
        <v>4508</v>
      </c>
      <c r="C1985" s="5" t="s">
        <v>40</v>
      </c>
      <c r="D1985" s="21">
        <v>5</v>
      </c>
      <c r="E1985" s="12">
        <v>495</v>
      </c>
      <c r="F1985" s="10" t="str">
        <f>_xlfn.XLOOKUP(C1985,menu!A:A,menu!B:B)</f>
        <v>Veg Nuggets</v>
      </c>
      <c r="G1985" s="10" t="str">
        <f>_xlfn.XLOOKUP(C1985,menu!A:A,menu!C:C)</f>
        <v>Starters</v>
      </c>
      <c r="H1985" s="10">
        <f>_xlfn.XLOOKUP(C1985,menu!A:A,menu!E:E)</f>
        <v>30</v>
      </c>
      <c r="I1985" s="10">
        <f t="shared" si="30"/>
        <v>150</v>
      </c>
      <c r="K1985" s="10"/>
      <c r="L1985" s="5"/>
    </row>
    <row r="1986" spans="1:12" x14ac:dyDescent="0.25">
      <c r="A1986" s="5" t="s">
        <v>4507</v>
      </c>
      <c r="B1986" s="5" t="s">
        <v>4506</v>
      </c>
      <c r="C1986" s="5" t="s">
        <v>33</v>
      </c>
      <c r="D1986" s="21">
        <v>1</v>
      </c>
      <c r="E1986" s="12">
        <v>69</v>
      </c>
      <c r="F1986" s="10" t="str">
        <f>_xlfn.XLOOKUP(C1986,menu!A:A,menu!B:B)</f>
        <v>Spring Roll</v>
      </c>
      <c r="G1986" s="10" t="str">
        <f>_xlfn.XLOOKUP(C1986,menu!A:A,menu!C:C)</f>
        <v>Rolls</v>
      </c>
      <c r="H1986" s="10">
        <f>_xlfn.XLOOKUP(C1986,menu!A:A,menu!E:E)</f>
        <v>21</v>
      </c>
      <c r="I1986" s="10">
        <f t="shared" si="30"/>
        <v>21</v>
      </c>
      <c r="K1986" s="10"/>
      <c r="L1986" s="5"/>
    </row>
    <row r="1987" spans="1:12" x14ac:dyDescent="0.25">
      <c r="A1987" s="5" t="s">
        <v>4505</v>
      </c>
      <c r="B1987" s="5" t="s">
        <v>4502</v>
      </c>
      <c r="C1987" s="5" t="s">
        <v>52</v>
      </c>
      <c r="D1987" s="21">
        <v>3</v>
      </c>
      <c r="E1987" s="12">
        <v>297</v>
      </c>
      <c r="F1987" s="10" t="str">
        <f>_xlfn.XLOOKUP(C1987,menu!A:A,menu!B:B)</f>
        <v>French Fries</v>
      </c>
      <c r="G1987" s="10" t="str">
        <f>_xlfn.XLOOKUP(C1987,menu!A:A,menu!C:C)</f>
        <v>Starters</v>
      </c>
      <c r="H1987" s="10">
        <f>_xlfn.XLOOKUP(C1987,menu!A:A,menu!E:E)</f>
        <v>30</v>
      </c>
      <c r="I1987" s="10">
        <f t="shared" ref="I1987:I2050" si="31">D1987*H1987</f>
        <v>90</v>
      </c>
      <c r="K1987" s="10"/>
      <c r="L1987" s="5"/>
    </row>
    <row r="1988" spans="1:12" x14ac:dyDescent="0.25">
      <c r="A1988" s="5" t="s">
        <v>4504</v>
      </c>
      <c r="B1988" s="5" t="s">
        <v>4502</v>
      </c>
      <c r="C1988" s="5" t="s">
        <v>26</v>
      </c>
      <c r="D1988" s="21">
        <v>1</v>
      </c>
      <c r="E1988" s="12">
        <v>59</v>
      </c>
      <c r="F1988" s="10" t="str">
        <f>_xlfn.XLOOKUP(C1988,menu!A:A,menu!B:B)</f>
        <v>Veg Roll</v>
      </c>
      <c r="G1988" s="10" t="str">
        <f>_xlfn.XLOOKUP(C1988,menu!A:A,menu!C:C)</f>
        <v>Rolls</v>
      </c>
      <c r="H1988" s="10">
        <f>_xlfn.XLOOKUP(C1988,menu!A:A,menu!E:E)</f>
        <v>18</v>
      </c>
      <c r="I1988" s="10">
        <f t="shared" si="31"/>
        <v>18</v>
      </c>
      <c r="K1988" s="10"/>
      <c r="L1988" s="5"/>
    </row>
    <row r="1989" spans="1:12" x14ac:dyDescent="0.25">
      <c r="A1989" s="5" t="s">
        <v>4503</v>
      </c>
      <c r="B1989" s="5" t="s">
        <v>4502</v>
      </c>
      <c r="C1989" s="5" t="s">
        <v>38</v>
      </c>
      <c r="D1989" s="21">
        <v>4</v>
      </c>
      <c r="E1989" s="12">
        <v>596</v>
      </c>
      <c r="F1989" s="10" t="str">
        <f>_xlfn.XLOOKUP(C1989,menu!A:A,menu!B:B)</f>
        <v>Chicken Wings</v>
      </c>
      <c r="G1989" s="10" t="str">
        <f>_xlfn.XLOOKUP(C1989,menu!A:A,menu!C:C)</f>
        <v>Starters</v>
      </c>
      <c r="H1989" s="10">
        <f>_xlfn.XLOOKUP(C1989,menu!A:A,menu!E:E)</f>
        <v>45</v>
      </c>
      <c r="I1989" s="10">
        <f t="shared" si="31"/>
        <v>180</v>
      </c>
      <c r="K1989" s="10"/>
      <c r="L1989" s="5"/>
    </row>
    <row r="1990" spans="1:12" x14ac:dyDescent="0.25">
      <c r="A1990" s="5" t="s">
        <v>4501</v>
      </c>
      <c r="B1990" s="5" t="s">
        <v>4498</v>
      </c>
      <c r="C1990" s="5" t="s">
        <v>56</v>
      </c>
      <c r="D1990" s="21">
        <v>1</v>
      </c>
      <c r="E1990" s="12">
        <v>79</v>
      </c>
      <c r="F1990" s="10" t="str">
        <f>_xlfn.XLOOKUP(C1990,menu!A:A,menu!B:B)</f>
        <v>Mint Mojito</v>
      </c>
      <c r="G1990" s="10" t="str">
        <f>_xlfn.XLOOKUP(C1990,menu!A:A,menu!C:C)</f>
        <v>Beverages</v>
      </c>
      <c r="H1990" s="10">
        <f>_xlfn.XLOOKUP(C1990,menu!A:A,menu!E:E)</f>
        <v>24</v>
      </c>
      <c r="I1990" s="10">
        <f t="shared" si="31"/>
        <v>24</v>
      </c>
      <c r="K1990" s="10"/>
      <c r="L1990" s="5"/>
    </row>
    <row r="1991" spans="1:12" x14ac:dyDescent="0.25">
      <c r="A1991" s="5" t="s">
        <v>4500</v>
      </c>
      <c r="B1991" s="5" t="s">
        <v>4498</v>
      </c>
      <c r="C1991" s="5" t="s">
        <v>35</v>
      </c>
      <c r="D1991" s="21">
        <v>1</v>
      </c>
      <c r="E1991" s="12">
        <v>119</v>
      </c>
      <c r="F1991" s="10" t="str">
        <f>_xlfn.XLOOKUP(C1991,menu!A:A,menu!B:B)</f>
        <v>Chicken Nuggets</v>
      </c>
      <c r="G1991" s="10" t="str">
        <f>_xlfn.XLOOKUP(C1991,menu!A:A,menu!C:C)</f>
        <v>Starters</v>
      </c>
      <c r="H1991" s="10">
        <f>_xlfn.XLOOKUP(C1991,menu!A:A,menu!E:E)</f>
        <v>36</v>
      </c>
      <c r="I1991" s="10">
        <f t="shared" si="31"/>
        <v>36</v>
      </c>
      <c r="K1991" s="10"/>
      <c r="L1991" s="5"/>
    </row>
    <row r="1992" spans="1:12" x14ac:dyDescent="0.25">
      <c r="A1992" s="5" t="s">
        <v>4499</v>
      </c>
      <c r="B1992" s="5" t="s">
        <v>4498</v>
      </c>
      <c r="C1992" s="5" t="s">
        <v>54</v>
      </c>
      <c r="D1992" s="21">
        <v>3</v>
      </c>
      <c r="E1992" s="12">
        <v>417</v>
      </c>
      <c r="F1992" s="10" t="str">
        <f>_xlfn.XLOOKUP(C1992,menu!A:A,menu!B:B)</f>
        <v>Chicken Strips</v>
      </c>
      <c r="G1992" s="10" t="str">
        <f>_xlfn.XLOOKUP(C1992,menu!A:A,menu!C:C)</f>
        <v>Starters</v>
      </c>
      <c r="H1992" s="10">
        <f>_xlfn.XLOOKUP(C1992,menu!A:A,menu!E:E)</f>
        <v>42</v>
      </c>
      <c r="I1992" s="10">
        <f t="shared" si="31"/>
        <v>126</v>
      </c>
      <c r="K1992" s="10"/>
      <c r="L1992" s="5"/>
    </row>
    <row r="1993" spans="1:12" x14ac:dyDescent="0.25">
      <c r="A1993" s="5" t="s">
        <v>4497</v>
      </c>
      <c r="B1993" s="5" t="s">
        <v>4493</v>
      </c>
      <c r="C1993" s="5" t="s">
        <v>40</v>
      </c>
      <c r="D1993" s="21">
        <v>1</v>
      </c>
      <c r="E1993" s="12">
        <v>99</v>
      </c>
      <c r="F1993" s="10" t="str">
        <f>_xlfn.XLOOKUP(C1993,menu!A:A,menu!B:B)</f>
        <v>Veg Nuggets</v>
      </c>
      <c r="G1993" s="10" t="str">
        <f>_xlfn.XLOOKUP(C1993,menu!A:A,menu!C:C)</f>
        <v>Starters</v>
      </c>
      <c r="H1993" s="10">
        <f>_xlfn.XLOOKUP(C1993,menu!A:A,menu!E:E)</f>
        <v>30</v>
      </c>
      <c r="I1993" s="10">
        <f t="shared" si="31"/>
        <v>30</v>
      </c>
      <c r="K1993" s="10"/>
      <c r="L1993" s="5"/>
    </row>
    <row r="1994" spans="1:12" x14ac:dyDescent="0.25">
      <c r="A1994" s="5" t="s">
        <v>4496</v>
      </c>
      <c r="B1994" s="5" t="s">
        <v>4493</v>
      </c>
      <c r="C1994" s="5" t="s">
        <v>52</v>
      </c>
      <c r="D1994" s="21">
        <v>1</v>
      </c>
      <c r="E1994" s="12">
        <v>99</v>
      </c>
      <c r="F1994" s="10" t="str">
        <f>_xlfn.XLOOKUP(C1994,menu!A:A,menu!B:B)</f>
        <v>French Fries</v>
      </c>
      <c r="G1994" s="10" t="str">
        <f>_xlfn.XLOOKUP(C1994,menu!A:A,menu!C:C)</f>
        <v>Starters</v>
      </c>
      <c r="H1994" s="10">
        <f>_xlfn.XLOOKUP(C1994,menu!A:A,menu!E:E)</f>
        <v>30</v>
      </c>
      <c r="I1994" s="10">
        <f t="shared" si="31"/>
        <v>30</v>
      </c>
      <c r="K1994" s="10"/>
      <c r="L1994" s="5"/>
    </row>
    <row r="1995" spans="1:12" x14ac:dyDescent="0.25">
      <c r="A1995" s="5" t="s">
        <v>4495</v>
      </c>
      <c r="B1995" s="5" t="s">
        <v>4493</v>
      </c>
      <c r="C1995" s="5" t="s">
        <v>5</v>
      </c>
      <c r="D1995" s="21">
        <v>1</v>
      </c>
      <c r="E1995" s="12">
        <v>79</v>
      </c>
      <c r="F1995" s="10" t="str">
        <f>_xlfn.XLOOKUP(C1995,menu!A:A,menu!B:B)</f>
        <v>Veg Sandwich</v>
      </c>
      <c r="G1995" s="10" t="str">
        <f>_xlfn.XLOOKUP(C1995,menu!A:A,menu!C:C)</f>
        <v>Sandwich</v>
      </c>
      <c r="H1995" s="10">
        <f>_xlfn.XLOOKUP(C1995,menu!A:A,menu!E:E)</f>
        <v>24</v>
      </c>
      <c r="I1995" s="10">
        <f t="shared" si="31"/>
        <v>24</v>
      </c>
      <c r="K1995" s="10"/>
      <c r="L1995" s="5"/>
    </row>
    <row r="1996" spans="1:12" x14ac:dyDescent="0.25">
      <c r="A1996" s="5" t="s">
        <v>4494</v>
      </c>
      <c r="B1996" s="5" t="s">
        <v>4493</v>
      </c>
      <c r="C1996" s="5" t="s">
        <v>12</v>
      </c>
      <c r="D1996" s="21">
        <v>3</v>
      </c>
      <c r="E1996" s="12">
        <v>237</v>
      </c>
      <c r="F1996" s="10" t="str">
        <f>_xlfn.XLOOKUP(C1996,menu!A:A,menu!B:B)</f>
        <v>Veg Momos</v>
      </c>
      <c r="G1996" s="10" t="str">
        <f>_xlfn.XLOOKUP(C1996,menu!A:A,menu!C:C)</f>
        <v>Momos</v>
      </c>
      <c r="H1996" s="10">
        <f>_xlfn.XLOOKUP(C1996,menu!A:A,menu!E:E)</f>
        <v>24</v>
      </c>
      <c r="I1996" s="10">
        <f t="shared" si="31"/>
        <v>72</v>
      </c>
      <c r="K1996" s="10"/>
      <c r="L1996" s="5"/>
    </row>
    <row r="1997" spans="1:12" x14ac:dyDescent="0.25">
      <c r="A1997" s="5" t="s">
        <v>4492</v>
      </c>
      <c r="B1997" s="5" t="s">
        <v>4490</v>
      </c>
      <c r="C1997" s="5" t="s">
        <v>19</v>
      </c>
      <c r="D1997" s="21">
        <v>2</v>
      </c>
      <c r="E1997" s="12">
        <v>158</v>
      </c>
      <c r="F1997" s="10" t="str">
        <f>_xlfn.XLOOKUP(C1997,menu!A:A,menu!B:B)</f>
        <v>Veg Burger</v>
      </c>
      <c r="G1997" s="10" t="str">
        <f>_xlfn.XLOOKUP(C1997,menu!A:A,menu!C:C)</f>
        <v>Burger</v>
      </c>
      <c r="H1997" s="10">
        <f>_xlfn.XLOOKUP(C1997,menu!A:A,menu!E:E)</f>
        <v>24</v>
      </c>
      <c r="I1997" s="10">
        <f t="shared" si="31"/>
        <v>48</v>
      </c>
      <c r="K1997" s="10"/>
      <c r="L1997" s="5"/>
    </row>
    <row r="1998" spans="1:12" x14ac:dyDescent="0.25">
      <c r="A1998" s="5" t="s">
        <v>4491</v>
      </c>
      <c r="B1998" s="5" t="s">
        <v>4490</v>
      </c>
      <c r="C1998" s="5" t="s">
        <v>33</v>
      </c>
      <c r="D1998" s="21">
        <v>2</v>
      </c>
      <c r="E1998" s="12">
        <v>138</v>
      </c>
      <c r="F1998" s="10" t="str">
        <f>_xlfn.XLOOKUP(C1998,menu!A:A,menu!B:B)</f>
        <v>Spring Roll</v>
      </c>
      <c r="G1998" s="10" t="str">
        <f>_xlfn.XLOOKUP(C1998,menu!A:A,menu!C:C)</f>
        <v>Rolls</v>
      </c>
      <c r="H1998" s="10">
        <f>_xlfn.XLOOKUP(C1998,menu!A:A,menu!E:E)</f>
        <v>21</v>
      </c>
      <c r="I1998" s="10">
        <f t="shared" si="31"/>
        <v>42</v>
      </c>
      <c r="K1998" s="10"/>
      <c r="L1998" s="5"/>
    </row>
    <row r="1999" spans="1:12" x14ac:dyDescent="0.25">
      <c r="A1999" s="5" t="s">
        <v>4489</v>
      </c>
      <c r="B1999" s="5" t="s">
        <v>4485</v>
      </c>
      <c r="C1999" s="5" t="s">
        <v>40</v>
      </c>
      <c r="D1999" s="21">
        <v>2</v>
      </c>
      <c r="E1999" s="12">
        <v>198</v>
      </c>
      <c r="F1999" s="10" t="str">
        <f>_xlfn.XLOOKUP(C1999,menu!A:A,menu!B:B)</f>
        <v>Veg Nuggets</v>
      </c>
      <c r="G1999" s="10" t="str">
        <f>_xlfn.XLOOKUP(C1999,menu!A:A,menu!C:C)</f>
        <v>Starters</v>
      </c>
      <c r="H1999" s="10">
        <f>_xlfn.XLOOKUP(C1999,menu!A:A,menu!E:E)</f>
        <v>30</v>
      </c>
      <c r="I1999" s="10">
        <f t="shared" si="31"/>
        <v>60</v>
      </c>
      <c r="K1999" s="10"/>
      <c r="L1999" s="5"/>
    </row>
    <row r="2000" spans="1:12" x14ac:dyDescent="0.25">
      <c r="A2000" s="5" t="s">
        <v>4488</v>
      </c>
      <c r="B2000" s="5" t="s">
        <v>4485</v>
      </c>
      <c r="C2000" s="5" t="s">
        <v>46</v>
      </c>
      <c r="D2000" s="21">
        <v>1</v>
      </c>
      <c r="E2000" s="12">
        <v>149</v>
      </c>
      <c r="F2000" s="10" t="str">
        <f>_xlfn.XLOOKUP(C2000,menu!A:A,menu!B:B)</f>
        <v>Fish Finger</v>
      </c>
      <c r="G2000" s="10" t="str">
        <f>_xlfn.XLOOKUP(C2000,menu!A:A,menu!C:C)</f>
        <v>Starters</v>
      </c>
      <c r="H2000" s="10">
        <f>_xlfn.XLOOKUP(C2000,menu!A:A,menu!E:E)</f>
        <v>45</v>
      </c>
      <c r="I2000" s="10">
        <f t="shared" si="31"/>
        <v>45</v>
      </c>
      <c r="K2000" s="10"/>
      <c r="L2000" s="5"/>
    </row>
    <row r="2001" spans="1:12" x14ac:dyDescent="0.25">
      <c r="A2001" s="5" t="s">
        <v>4487</v>
      </c>
      <c r="B2001" s="5" t="s">
        <v>4485</v>
      </c>
      <c r="C2001" s="5" t="s">
        <v>31</v>
      </c>
      <c r="D2001" s="21">
        <v>5</v>
      </c>
      <c r="E2001" s="12">
        <v>445</v>
      </c>
      <c r="F2001" s="10" t="str">
        <f>_xlfn.XLOOKUP(C2001,menu!A:A,menu!B:B)</f>
        <v>Chicken Roll</v>
      </c>
      <c r="G2001" s="10" t="str">
        <f>_xlfn.XLOOKUP(C2001,menu!A:A,menu!C:C)</f>
        <v>Rolls</v>
      </c>
      <c r="H2001" s="10">
        <f>_xlfn.XLOOKUP(C2001,menu!A:A,menu!E:E)</f>
        <v>27</v>
      </c>
      <c r="I2001" s="10">
        <f t="shared" si="31"/>
        <v>135</v>
      </c>
      <c r="K2001" s="10"/>
      <c r="L2001" s="5"/>
    </row>
    <row r="2002" spans="1:12" x14ac:dyDescent="0.25">
      <c r="A2002" s="5" t="s">
        <v>4486</v>
      </c>
      <c r="B2002" s="5" t="s">
        <v>4485</v>
      </c>
      <c r="C2002" s="5" t="s">
        <v>12</v>
      </c>
      <c r="D2002" s="21">
        <v>2</v>
      </c>
      <c r="E2002" s="12">
        <v>158</v>
      </c>
      <c r="F2002" s="10" t="str">
        <f>_xlfn.XLOOKUP(C2002,menu!A:A,menu!B:B)</f>
        <v>Veg Momos</v>
      </c>
      <c r="G2002" s="10" t="str">
        <f>_xlfn.XLOOKUP(C2002,menu!A:A,menu!C:C)</f>
        <v>Momos</v>
      </c>
      <c r="H2002" s="10">
        <f>_xlfn.XLOOKUP(C2002,menu!A:A,menu!E:E)</f>
        <v>24</v>
      </c>
      <c r="I2002" s="10">
        <f t="shared" si="31"/>
        <v>48</v>
      </c>
      <c r="K2002" s="10"/>
      <c r="L2002" s="5"/>
    </row>
    <row r="2003" spans="1:12" x14ac:dyDescent="0.25">
      <c r="A2003" s="5" t="s">
        <v>4484</v>
      </c>
      <c r="B2003" s="5" t="s">
        <v>4481</v>
      </c>
      <c r="C2003" s="5" t="s">
        <v>35</v>
      </c>
      <c r="D2003" s="21">
        <v>3</v>
      </c>
      <c r="E2003" s="12">
        <v>357</v>
      </c>
      <c r="F2003" s="10" t="str">
        <f>_xlfn.XLOOKUP(C2003,menu!A:A,menu!B:B)</f>
        <v>Chicken Nuggets</v>
      </c>
      <c r="G2003" s="10" t="str">
        <f>_xlfn.XLOOKUP(C2003,menu!A:A,menu!C:C)</f>
        <v>Starters</v>
      </c>
      <c r="H2003" s="10">
        <f>_xlfn.XLOOKUP(C2003,menu!A:A,menu!E:E)</f>
        <v>36</v>
      </c>
      <c r="I2003" s="10">
        <f t="shared" si="31"/>
        <v>108</v>
      </c>
      <c r="K2003" s="10"/>
      <c r="L2003" s="5"/>
    </row>
    <row r="2004" spans="1:12" x14ac:dyDescent="0.25">
      <c r="A2004" s="5" t="s">
        <v>4483</v>
      </c>
      <c r="B2004" s="5" t="s">
        <v>4481</v>
      </c>
      <c r="C2004" s="5" t="s">
        <v>59</v>
      </c>
      <c r="D2004" s="21">
        <v>1</v>
      </c>
      <c r="E2004" s="12">
        <v>79</v>
      </c>
      <c r="F2004" s="10" t="str">
        <f>_xlfn.XLOOKUP(C2004,menu!A:A,menu!B:B)</f>
        <v>Blue Curacao Mojito</v>
      </c>
      <c r="G2004" s="10" t="str">
        <f>_xlfn.XLOOKUP(C2004,menu!A:A,menu!C:C)</f>
        <v>Beverages</v>
      </c>
      <c r="H2004" s="10">
        <f>_xlfn.XLOOKUP(C2004,menu!A:A,menu!E:E)</f>
        <v>24</v>
      </c>
      <c r="I2004" s="10">
        <f t="shared" si="31"/>
        <v>24</v>
      </c>
      <c r="K2004" s="10"/>
      <c r="L2004" s="5"/>
    </row>
    <row r="2005" spans="1:12" x14ac:dyDescent="0.25">
      <c r="A2005" s="5" t="s">
        <v>4482</v>
      </c>
      <c r="B2005" s="5" t="s">
        <v>4481</v>
      </c>
      <c r="C2005" s="5" t="s">
        <v>48</v>
      </c>
      <c r="D2005" s="21">
        <v>5</v>
      </c>
      <c r="E2005" s="12">
        <v>795</v>
      </c>
      <c r="F2005" s="10" t="str">
        <f>_xlfn.XLOOKUP(C2005,menu!A:A,menu!B:B)</f>
        <v>Chicken Lollipop</v>
      </c>
      <c r="G2005" s="10" t="str">
        <f>_xlfn.XLOOKUP(C2005,menu!A:A,menu!C:C)</f>
        <v>Starters</v>
      </c>
      <c r="H2005" s="10">
        <f>_xlfn.XLOOKUP(C2005,menu!A:A,menu!E:E)</f>
        <v>48</v>
      </c>
      <c r="I2005" s="10">
        <f t="shared" si="31"/>
        <v>240</v>
      </c>
      <c r="K2005" s="10"/>
      <c r="L2005" s="5"/>
    </row>
    <row r="2006" spans="1:12" x14ac:dyDescent="0.25">
      <c r="A2006" s="5" t="s">
        <v>4480</v>
      </c>
      <c r="B2006" s="5" t="s">
        <v>4477</v>
      </c>
      <c r="C2006" s="5" t="s">
        <v>5</v>
      </c>
      <c r="D2006" s="21">
        <v>1</v>
      </c>
      <c r="E2006" s="12">
        <v>79</v>
      </c>
      <c r="F2006" s="10" t="str">
        <f>_xlfn.XLOOKUP(C2006,menu!A:A,menu!B:B)</f>
        <v>Veg Sandwich</v>
      </c>
      <c r="G2006" s="10" t="str">
        <f>_xlfn.XLOOKUP(C2006,menu!A:A,menu!C:C)</f>
        <v>Sandwich</v>
      </c>
      <c r="H2006" s="10">
        <f>_xlfn.XLOOKUP(C2006,menu!A:A,menu!E:E)</f>
        <v>24</v>
      </c>
      <c r="I2006" s="10">
        <f t="shared" si="31"/>
        <v>24</v>
      </c>
      <c r="K2006" s="10"/>
      <c r="L2006" s="5"/>
    </row>
    <row r="2007" spans="1:12" x14ac:dyDescent="0.25">
      <c r="A2007" s="5" t="s">
        <v>4479</v>
      </c>
      <c r="B2007" s="5" t="s">
        <v>4477</v>
      </c>
      <c r="C2007" s="5" t="s">
        <v>46</v>
      </c>
      <c r="D2007" s="21">
        <v>1</v>
      </c>
      <c r="E2007" s="12">
        <v>149</v>
      </c>
      <c r="F2007" s="10" t="str">
        <f>_xlfn.XLOOKUP(C2007,menu!A:A,menu!B:B)</f>
        <v>Fish Finger</v>
      </c>
      <c r="G2007" s="10" t="str">
        <f>_xlfn.XLOOKUP(C2007,menu!A:A,menu!C:C)</f>
        <v>Starters</v>
      </c>
      <c r="H2007" s="10">
        <f>_xlfn.XLOOKUP(C2007,menu!A:A,menu!E:E)</f>
        <v>45</v>
      </c>
      <c r="I2007" s="10">
        <f t="shared" si="31"/>
        <v>45</v>
      </c>
      <c r="K2007" s="10"/>
      <c r="L2007" s="5"/>
    </row>
    <row r="2008" spans="1:12" x14ac:dyDescent="0.25">
      <c r="A2008" s="5" t="s">
        <v>4478</v>
      </c>
      <c r="B2008" s="5" t="s">
        <v>4477</v>
      </c>
      <c r="C2008" s="5" t="s">
        <v>38</v>
      </c>
      <c r="D2008" s="21">
        <v>1</v>
      </c>
      <c r="E2008" s="12">
        <v>149</v>
      </c>
      <c r="F2008" s="10" t="str">
        <f>_xlfn.XLOOKUP(C2008,menu!A:A,menu!B:B)</f>
        <v>Chicken Wings</v>
      </c>
      <c r="G2008" s="10" t="str">
        <f>_xlfn.XLOOKUP(C2008,menu!A:A,menu!C:C)</f>
        <v>Starters</v>
      </c>
      <c r="H2008" s="10">
        <f>_xlfn.XLOOKUP(C2008,menu!A:A,menu!E:E)</f>
        <v>45</v>
      </c>
      <c r="I2008" s="10">
        <f t="shared" si="31"/>
        <v>45</v>
      </c>
      <c r="K2008" s="10"/>
      <c r="L2008" s="5"/>
    </row>
    <row r="2009" spans="1:12" x14ac:dyDescent="0.25">
      <c r="A2009" s="5" t="s">
        <v>4476</v>
      </c>
      <c r="B2009" s="5" t="s">
        <v>4474</v>
      </c>
      <c r="C2009" s="5" t="s">
        <v>35</v>
      </c>
      <c r="D2009" s="21">
        <v>1</v>
      </c>
      <c r="E2009" s="12">
        <v>119</v>
      </c>
      <c r="F2009" s="10" t="str">
        <f>_xlfn.XLOOKUP(C2009,menu!A:A,menu!B:B)</f>
        <v>Chicken Nuggets</v>
      </c>
      <c r="G2009" s="10" t="str">
        <f>_xlfn.XLOOKUP(C2009,menu!A:A,menu!C:C)</f>
        <v>Starters</v>
      </c>
      <c r="H2009" s="10">
        <f>_xlfn.XLOOKUP(C2009,menu!A:A,menu!E:E)</f>
        <v>36</v>
      </c>
      <c r="I2009" s="10">
        <f t="shared" si="31"/>
        <v>36</v>
      </c>
      <c r="K2009" s="10"/>
      <c r="L2009" s="5"/>
    </row>
    <row r="2010" spans="1:12" x14ac:dyDescent="0.25">
      <c r="A2010" s="5" t="s">
        <v>4475</v>
      </c>
      <c r="B2010" s="5" t="s">
        <v>4474</v>
      </c>
      <c r="C2010" s="5" t="s">
        <v>54</v>
      </c>
      <c r="D2010" s="21">
        <v>2</v>
      </c>
      <c r="E2010" s="12">
        <v>278</v>
      </c>
      <c r="F2010" s="10" t="str">
        <f>_xlfn.XLOOKUP(C2010,menu!A:A,menu!B:B)</f>
        <v>Chicken Strips</v>
      </c>
      <c r="G2010" s="10" t="str">
        <f>_xlfn.XLOOKUP(C2010,menu!A:A,menu!C:C)</f>
        <v>Starters</v>
      </c>
      <c r="H2010" s="10">
        <f>_xlfn.XLOOKUP(C2010,menu!A:A,menu!E:E)</f>
        <v>42</v>
      </c>
      <c r="I2010" s="10">
        <f t="shared" si="31"/>
        <v>84</v>
      </c>
      <c r="K2010" s="10"/>
      <c r="L2010" s="5"/>
    </row>
    <row r="2011" spans="1:12" x14ac:dyDescent="0.25">
      <c r="A2011" s="5" t="s">
        <v>4473</v>
      </c>
      <c r="B2011" s="5" t="s">
        <v>4470</v>
      </c>
      <c r="C2011" s="5" t="s">
        <v>52</v>
      </c>
      <c r="D2011" s="21">
        <v>1</v>
      </c>
      <c r="E2011" s="12">
        <v>99</v>
      </c>
      <c r="F2011" s="10" t="str">
        <f>_xlfn.XLOOKUP(C2011,menu!A:A,menu!B:B)</f>
        <v>French Fries</v>
      </c>
      <c r="G2011" s="10" t="str">
        <f>_xlfn.XLOOKUP(C2011,menu!A:A,menu!C:C)</f>
        <v>Starters</v>
      </c>
      <c r="H2011" s="10">
        <f>_xlfn.XLOOKUP(C2011,menu!A:A,menu!E:E)</f>
        <v>30</v>
      </c>
      <c r="I2011" s="10">
        <f t="shared" si="31"/>
        <v>30</v>
      </c>
      <c r="K2011" s="10"/>
      <c r="L2011" s="5"/>
    </row>
    <row r="2012" spans="1:12" x14ac:dyDescent="0.25">
      <c r="A2012" s="5" t="s">
        <v>4472</v>
      </c>
      <c r="B2012" s="5" t="s">
        <v>4470</v>
      </c>
      <c r="C2012" s="5" t="s">
        <v>50</v>
      </c>
      <c r="D2012" s="21">
        <v>1</v>
      </c>
      <c r="E2012" s="12">
        <v>149</v>
      </c>
      <c r="F2012" s="10" t="str">
        <f>_xlfn.XLOOKUP(C2012,menu!A:A,menu!B:B)</f>
        <v>Grab Lollipop</v>
      </c>
      <c r="G2012" s="10" t="str">
        <f>_xlfn.XLOOKUP(C2012,menu!A:A,menu!C:C)</f>
        <v>Starters</v>
      </c>
      <c r="H2012" s="10">
        <f>_xlfn.XLOOKUP(C2012,menu!A:A,menu!E:E)</f>
        <v>45</v>
      </c>
      <c r="I2012" s="10">
        <f t="shared" si="31"/>
        <v>45</v>
      </c>
      <c r="K2012" s="10"/>
      <c r="L2012" s="5"/>
    </row>
    <row r="2013" spans="1:12" x14ac:dyDescent="0.25">
      <c r="A2013" s="5" t="s">
        <v>4471</v>
      </c>
      <c r="B2013" s="5" t="s">
        <v>4470</v>
      </c>
      <c r="C2013" s="5" t="s">
        <v>59</v>
      </c>
      <c r="D2013" s="21">
        <v>1</v>
      </c>
      <c r="E2013" s="12">
        <v>79</v>
      </c>
      <c r="F2013" s="10" t="str">
        <f>_xlfn.XLOOKUP(C2013,menu!A:A,menu!B:B)</f>
        <v>Blue Curacao Mojito</v>
      </c>
      <c r="G2013" s="10" t="str">
        <f>_xlfn.XLOOKUP(C2013,menu!A:A,menu!C:C)</f>
        <v>Beverages</v>
      </c>
      <c r="H2013" s="10">
        <f>_xlfn.XLOOKUP(C2013,menu!A:A,menu!E:E)</f>
        <v>24</v>
      </c>
      <c r="I2013" s="10">
        <f t="shared" si="31"/>
        <v>24</v>
      </c>
      <c r="K2013" s="10"/>
      <c r="L2013" s="5"/>
    </row>
    <row r="2014" spans="1:12" x14ac:dyDescent="0.25">
      <c r="A2014" s="5" t="s">
        <v>4469</v>
      </c>
      <c r="B2014" s="5" t="s">
        <v>4467</v>
      </c>
      <c r="C2014" s="5" t="s">
        <v>15</v>
      </c>
      <c r="D2014" s="21">
        <v>2</v>
      </c>
      <c r="E2014" s="12">
        <v>198</v>
      </c>
      <c r="F2014" s="10" t="str">
        <f>_xlfn.XLOOKUP(C2014,menu!A:A,menu!B:B)</f>
        <v>Chicken Momos</v>
      </c>
      <c r="G2014" s="10" t="str">
        <f>_xlfn.XLOOKUP(C2014,menu!A:A,menu!C:C)</f>
        <v>Momos</v>
      </c>
      <c r="H2014" s="10">
        <f>_xlfn.XLOOKUP(C2014,menu!A:A,menu!E:E)</f>
        <v>30</v>
      </c>
      <c r="I2014" s="10">
        <f t="shared" si="31"/>
        <v>60</v>
      </c>
      <c r="K2014" s="10"/>
      <c r="L2014" s="5"/>
    </row>
    <row r="2015" spans="1:12" x14ac:dyDescent="0.25">
      <c r="A2015" s="5" t="s">
        <v>4468</v>
      </c>
      <c r="B2015" s="5" t="s">
        <v>4467</v>
      </c>
      <c r="C2015" s="5" t="s">
        <v>65</v>
      </c>
      <c r="D2015" s="21">
        <v>1</v>
      </c>
      <c r="E2015" s="12">
        <v>49</v>
      </c>
      <c r="F2015" s="10" t="str">
        <f>_xlfn.XLOOKUP(C2015,menu!A:A,menu!B:B)</f>
        <v>Lemon Juice</v>
      </c>
      <c r="G2015" s="10" t="str">
        <f>_xlfn.XLOOKUP(C2015,menu!A:A,menu!C:C)</f>
        <v>Beverages</v>
      </c>
      <c r="H2015" s="10">
        <f>_xlfn.XLOOKUP(C2015,menu!A:A,menu!E:E)</f>
        <v>15</v>
      </c>
      <c r="I2015" s="10">
        <f t="shared" si="31"/>
        <v>15</v>
      </c>
      <c r="K2015" s="10"/>
      <c r="L2015" s="5"/>
    </row>
    <row r="2016" spans="1:12" x14ac:dyDescent="0.25">
      <c r="A2016" s="5" t="s">
        <v>4466</v>
      </c>
      <c r="B2016" s="5" t="s">
        <v>4465</v>
      </c>
      <c r="C2016" s="5" t="s">
        <v>35</v>
      </c>
      <c r="D2016" s="21">
        <v>1</v>
      </c>
      <c r="E2016" s="12">
        <v>119</v>
      </c>
      <c r="F2016" s="10" t="str">
        <f>_xlfn.XLOOKUP(C2016,menu!A:A,menu!B:B)</f>
        <v>Chicken Nuggets</v>
      </c>
      <c r="G2016" s="10" t="str">
        <f>_xlfn.XLOOKUP(C2016,menu!A:A,menu!C:C)</f>
        <v>Starters</v>
      </c>
      <c r="H2016" s="10">
        <f>_xlfn.XLOOKUP(C2016,menu!A:A,menu!E:E)</f>
        <v>36</v>
      </c>
      <c r="I2016" s="10">
        <f t="shared" si="31"/>
        <v>36</v>
      </c>
      <c r="K2016" s="10"/>
      <c r="L2016" s="5"/>
    </row>
    <row r="2017" spans="1:12" x14ac:dyDescent="0.25">
      <c r="A2017" s="5" t="s">
        <v>4464</v>
      </c>
      <c r="B2017" s="5" t="s">
        <v>4462</v>
      </c>
      <c r="C2017" s="5" t="s">
        <v>22</v>
      </c>
      <c r="D2017" s="21">
        <v>1</v>
      </c>
      <c r="E2017" s="12">
        <v>99</v>
      </c>
      <c r="F2017" s="10" t="str">
        <f>_xlfn.XLOOKUP(C2017,menu!A:A,menu!B:B)</f>
        <v>Chicken Burger</v>
      </c>
      <c r="G2017" s="10" t="str">
        <f>_xlfn.XLOOKUP(C2017,menu!A:A,menu!C:C)</f>
        <v>Burger</v>
      </c>
      <c r="H2017" s="10">
        <f>_xlfn.XLOOKUP(C2017,menu!A:A,menu!E:E)</f>
        <v>30</v>
      </c>
      <c r="I2017" s="10">
        <f t="shared" si="31"/>
        <v>30</v>
      </c>
      <c r="K2017" s="10"/>
      <c r="L2017" s="5"/>
    </row>
    <row r="2018" spans="1:12" x14ac:dyDescent="0.25">
      <c r="A2018" s="5" t="s">
        <v>4463</v>
      </c>
      <c r="B2018" s="5" t="s">
        <v>4462</v>
      </c>
      <c r="C2018" s="5" t="s">
        <v>61</v>
      </c>
      <c r="D2018" s="21">
        <v>1</v>
      </c>
      <c r="E2018" s="12">
        <v>79</v>
      </c>
      <c r="F2018" s="10" t="str">
        <f>_xlfn.XLOOKUP(C2018,menu!A:A,menu!B:B)</f>
        <v>Watermelon Mojito</v>
      </c>
      <c r="G2018" s="10" t="str">
        <f>_xlfn.XLOOKUP(C2018,menu!A:A,menu!C:C)</f>
        <v>Beverages</v>
      </c>
      <c r="H2018" s="10">
        <f>_xlfn.XLOOKUP(C2018,menu!A:A,menu!E:E)</f>
        <v>24</v>
      </c>
      <c r="I2018" s="10">
        <f t="shared" si="31"/>
        <v>24</v>
      </c>
      <c r="K2018" s="10"/>
      <c r="L2018" s="5"/>
    </row>
    <row r="2019" spans="1:12" x14ac:dyDescent="0.25">
      <c r="A2019" s="5" t="s">
        <v>4461</v>
      </c>
      <c r="B2019" s="5" t="s">
        <v>4458</v>
      </c>
      <c r="C2019" s="5" t="s">
        <v>12</v>
      </c>
      <c r="D2019" s="21">
        <v>1</v>
      </c>
      <c r="E2019" s="12">
        <v>79</v>
      </c>
      <c r="F2019" s="10" t="str">
        <f>_xlfn.XLOOKUP(C2019,menu!A:A,menu!B:B)</f>
        <v>Veg Momos</v>
      </c>
      <c r="G2019" s="10" t="str">
        <f>_xlfn.XLOOKUP(C2019,menu!A:A,menu!C:C)</f>
        <v>Momos</v>
      </c>
      <c r="H2019" s="10">
        <f>_xlfn.XLOOKUP(C2019,menu!A:A,menu!E:E)</f>
        <v>24</v>
      </c>
      <c r="I2019" s="10">
        <f t="shared" si="31"/>
        <v>24</v>
      </c>
      <c r="K2019" s="10"/>
      <c r="L2019" s="5"/>
    </row>
    <row r="2020" spans="1:12" x14ac:dyDescent="0.25">
      <c r="A2020" s="5" t="s">
        <v>4460</v>
      </c>
      <c r="B2020" s="5" t="s">
        <v>4458</v>
      </c>
      <c r="C2020" s="5" t="s">
        <v>8</v>
      </c>
      <c r="D2020" s="21">
        <v>3</v>
      </c>
      <c r="E2020" s="12">
        <v>297</v>
      </c>
      <c r="F2020" s="10" t="str">
        <f>_xlfn.XLOOKUP(C2020,menu!A:A,menu!B:B)</f>
        <v>Paneer Sandwich</v>
      </c>
      <c r="G2020" s="10" t="str">
        <f>_xlfn.XLOOKUP(C2020,menu!A:A,menu!C:C)</f>
        <v>Sandwich</v>
      </c>
      <c r="H2020" s="10">
        <f>_xlfn.XLOOKUP(C2020,menu!A:A,menu!E:E)</f>
        <v>30</v>
      </c>
      <c r="I2020" s="10">
        <f t="shared" si="31"/>
        <v>90</v>
      </c>
      <c r="K2020" s="10"/>
      <c r="L2020" s="5"/>
    </row>
    <row r="2021" spans="1:12" x14ac:dyDescent="0.25">
      <c r="A2021" s="5" t="s">
        <v>4459</v>
      </c>
      <c r="B2021" s="5" t="s">
        <v>4458</v>
      </c>
      <c r="C2021" s="5" t="s">
        <v>17</v>
      </c>
      <c r="D2021" s="21">
        <v>1</v>
      </c>
      <c r="E2021" s="12">
        <v>89</v>
      </c>
      <c r="F2021" s="10" t="str">
        <f>_xlfn.XLOOKUP(C2021,menu!A:A,menu!B:B)</f>
        <v>Paneer Momos</v>
      </c>
      <c r="G2021" s="10" t="str">
        <f>_xlfn.XLOOKUP(C2021,menu!A:A,menu!C:C)</f>
        <v>Momos</v>
      </c>
      <c r="H2021" s="10">
        <f>_xlfn.XLOOKUP(C2021,menu!A:A,menu!E:E)</f>
        <v>27</v>
      </c>
      <c r="I2021" s="10">
        <f t="shared" si="31"/>
        <v>27</v>
      </c>
      <c r="K2021" s="10"/>
      <c r="L2021" s="5"/>
    </row>
    <row r="2022" spans="1:12" x14ac:dyDescent="0.25">
      <c r="A2022" s="5" t="s">
        <v>4457</v>
      </c>
      <c r="B2022" s="5" t="s">
        <v>4453</v>
      </c>
      <c r="C2022" s="5" t="s">
        <v>52</v>
      </c>
      <c r="D2022" s="21">
        <v>1</v>
      </c>
      <c r="E2022" s="12">
        <v>99</v>
      </c>
      <c r="F2022" s="10" t="str">
        <f>_xlfn.XLOOKUP(C2022,menu!A:A,menu!B:B)</f>
        <v>French Fries</v>
      </c>
      <c r="G2022" s="10" t="str">
        <f>_xlfn.XLOOKUP(C2022,menu!A:A,menu!C:C)</f>
        <v>Starters</v>
      </c>
      <c r="H2022" s="10">
        <f>_xlfn.XLOOKUP(C2022,menu!A:A,menu!E:E)</f>
        <v>30</v>
      </c>
      <c r="I2022" s="10">
        <f t="shared" si="31"/>
        <v>30</v>
      </c>
      <c r="K2022" s="10"/>
      <c r="L2022" s="5"/>
    </row>
    <row r="2023" spans="1:12" x14ac:dyDescent="0.25">
      <c r="A2023" s="5" t="s">
        <v>4456</v>
      </c>
      <c r="B2023" s="5" t="s">
        <v>4453</v>
      </c>
      <c r="C2023" s="5" t="s">
        <v>54</v>
      </c>
      <c r="D2023" s="21">
        <v>2</v>
      </c>
      <c r="E2023" s="12">
        <v>278</v>
      </c>
      <c r="F2023" s="10" t="str">
        <f>_xlfn.XLOOKUP(C2023,menu!A:A,menu!B:B)</f>
        <v>Chicken Strips</v>
      </c>
      <c r="G2023" s="10" t="str">
        <f>_xlfn.XLOOKUP(C2023,menu!A:A,menu!C:C)</f>
        <v>Starters</v>
      </c>
      <c r="H2023" s="10">
        <f>_xlfn.XLOOKUP(C2023,menu!A:A,menu!E:E)</f>
        <v>42</v>
      </c>
      <c r="I2023" s="10">
        <f t="shared" si="31"/>
        <v>84</v>
      </c>
      <c r="K2023" s="10"/>
      <c r="L2023" s="5"/>
    </row>
    <row r="2024" spans="1:12" x14ac:dyDescent="0.25">
      <c r="A2024" s="5" t="s">
        <v>4455</v>
      </c>
      <c r="B2024" s="5" t="s">
        <v>4453</v>
      </c>
      <c r="C2024" s="5" t="s">
        <v>15</v>
      </c>
      <c r="D2024" s="21">
        <v>2</v>
      </c>
      <c r="E2024" s="12">
        <v>198</v>
      </c>
      <c r="F2024" s="10" t="str">
        <f>_xlfn.XLOOKUP(C2024,menu!A:A,menu!B:B)</f>
        <v>Chicken Momos</v>
      </c>
      <c r="G2024" s="10" t="str">
        <f>_xlfn.XLOOKUP(C2024,menu!A:A,menu!C:C)</f>
        <v>Momos</v>
      </c>
      <c r="H2024" s="10">
        <f>_xlfn.XLOOKUP(C2024,menu!A:A,menu!E:E)</f>
        <v>30</v>
      </c>
      <c r="I2024" s="10">
        <f t="shared" si="31"/>
        <v>60</v>
      </c>
      <c r="K2024" s="10"/>
      <c r="L2024" s="5"/>
    </row>
    <row r="2025" spans="1:12" x14ac:dyDescent="0.25">
      <c r="A2025" s="5" t="s">
        <v>4454</v>
      </c>
      <c r="B2025" s="5" t="s">
        <v>4453</v>
      </c>
      <c r="C2025" s="5" t="s">
        <v>59</v>
      </c>
      <c r="D2025" s="21">
        <v>1</v>
      </c>
      <c r="E2025" s="12">
        <v>79</v>
      </c>
      <c r="F2025" s="10" t="str">
        <f>_xlfn.XLOOKUP(C2025,menu!A:A,menu!B:B)</f>
        <v>Blue Curacao Mojito</v>
      </c>
      <c r="G2025" s="10" t="str">
        <f>_xlfn.XLOOKUP(C2025,menu!A:A,menu!C:C)</f>
        <v>Beverages</v>
      </c>
      <c r="H2025" s="10">
        <f>_xlfn.XLOOKUP(C2025,menu!A:A,menu!E:E)</f>
        <v>24</v>
      </c>
      <c r="I2025" s="10">
        <f t="shared" si="31"/>
        <v>24</v>
      </c>
      <c r="K2025" s="10"/>
      <c r="L2025" s="5"/>
    </row>
    <row r="2026" spans="1:12" x14ac:dyDescent="0.25">
      <c r="A2026" s="5" t="s">
        <v>4452</v>
      </c>
      <c r="B2026" s="5" t="s">
        <v>4448</v>
      </c>
      <c r="C2026" s="5" t="s">
        <v>10</v>
      </c>
      <c r="D2026" s="21">
        <v>1</v>
      </c>
      <c r="E2026" s="12">
        <v>119</v>
      </c>
      <c r="F2026" s="10" t="str">
        <f>_xlfn.XLOOKUP(C2026,menu!A:A,menu!B:B)</f>
        <v>Chicken Sandwich</v>
      </c>
      <c r="G2026" s="10" t="str">
        <f>_xlfn.XLOOKUP(C2026,menu!A:A,menu!C:C)</f>
        <v>Sandwich</v>
      </c>
      <c r="H2026" s="10">
        <f>_xlfn.XLOOKUP(C2026,menu!A:A,menu!E:E)</f>
        <v>36</v>
      </c>
      <c r="I2026" s="10">
        <f t="shared" si="31"/>
        <v>36</v>
      </c>
      <c r="K2026" s="10"/>
      <c r="L2026" s="5"/>
    </row>
    <row r="2027" spans="1:12" x14ac:dyDescent="0.25">
      <c r="A2027" s="5" t="s">
        <v>4451</v>
      </c>
      <c r="B2027" s="5" t="s">
        <v>4448</v>
      </c>
      <c r="C2027" s="5" t="s">
        <v>42</v>
      </c>
      <c r="D2027" s="21">
        <v>3</v>
      </c>
      <c r="E2027" s="12">
        <v>447</v>
      </c>
      <c r="F2027" s="10" t="str">
        <f>_xlfn.XLOOKUP(C2027,menu!A:A,menu!B:B)</f>
        <v>Chicken Popcorn</v>
      </c>
      <c r="G2027" s="10" t="str">
        <f>_xlfn.XLOOKUP(C2027,menu!A:A,menu!C:C)</f>
        <v>Starters</v>
      </c>
      <c r="H2027" s="10">
        <f>_xlfn.XLOOKUP(C2027,menu!A:A,menu!E:E)</f>
        <v>45</v>
      </c>
      <c r="I2027" s="10">
        <f t="shared" si="31"/>
        <v>135</v>
      </c>
      <c r="K2027" s="10"/>
      <c r="L2027" s="5"/>
    </row>
    <row r="2028" spans="1:12" x14ac:dyDescent="0.25">
      <c r="A2028" s="5" t="s">
        <v>4450</v>
      </c>
      <c r="B2028" s="5" t="s">
        <v>4448</v>
      </c>
      <c r="C2028" s="5" t="s">
        <v>65</v>
      </c>
      <c r="D2028" s="21">
        <v>3</v>
      </c>
      <c r="E2028" s="12">
        <v>147</v>
      </c>
      <c r="F2028" s="10" t="str">
        <f>_xlfn.XLOOKUP(C2028,menu!A:A,menu!B:B)</f>
        <v>Lemon Juice</v>
      </c>
      <c r="G2028" s="10" t="str">
        <f>_xlfn.XLOOKUP(C2028,menu!A:A,menu!C:C)</f>
        <v>Beverages</v>
      </c>
      <c r="H2028" s="10">
        <f>_xlfn.XLOOKUP(C2028,menu!A:A,menu!E:E)</f>
        <v>15</v>
      </c>
      <c r="I2028" s="10">
        <f t="shared" si="31"/>
        <v>45</v>
      </c>
      <c r="K2028" s="10"/>
      <c r="L2028" s="5"/>
    </row>
    <row r="2029" spans="1:12" x14ac:dyDescent="0.25">
      <c r="A2029" s="5" t="s">
        <v>4449</v>
      </c>
      <c r="B2029" s="5" t="s">
        <v>4448</v>
      </c>
      <c r="C2029" s="5" t="s">
        <v>38</v>
      </c>
      <c r="D2029" s="21">
        <v>1</v>
      </c>
      <c r="E2029" s="12">
        <v>149</v>
      </c>
      <c r="F2029" s="10" t="str">
        <f>_xlfn.XLOOKUP(C2029,menu!A:A,menu!B:B)</f>
        <v>Chicken Wings</v>
      </c>
      <c r="G2029" s="10" t="str">
        <f>_xlfn.XLOOKUP(C2029,menu!A:A,menu!C:C)</f>
        <v>Starters</v>
      </c>
      <c r="H2029" s="10">
        <f>_xlfn.XLOOKUP(C2029,menu!A:A,menu!E:E)</f>
        <v>45</v>
      </c>
      <c r="I2029" s="10">
        <f t="shared" si="31"/>
        <v>45</v>
      </c>
      <c r="K2029" s="10"/>
      <c r="L2029" s="5"/>
    </row>
    <row r="2030" spans="1:12" x14ac:dyDescent="0.25">
      <c r="A2030" s="5" t="s">
        <v>4447</v>
      </c>
      <c r="B2030" s="5" t="s">
        <v>4445</v>
      </c>
      <c r="C2030" s="5" t="s">
        <v>31</v>
      </c>
      <c r="D2030" s="21">
        <v>1</v>
      </c>
      <c r="E2030" s="12">
        <v>89</v>
      </c>
      <c r="F2030" s="10" t="str">
        <f>_xlfn.XLOOKUP(C2030,menu!A:A,menu!B:B)</f>
        <v>Chicken Roll</v>
      </c>
      <c r="G2030" s="10" t="str">
        <f>_xlfn.XLOOKUP(C2030,menu!A:A,menu!C:C)</f>
        <v>Rolls</v>
      </c>
      <c r="H2030" s="10">
        <f>_xlfn.XLOOKUP(C2030,menu!A:A,menu!E:E)</f>
        <v>27</v>
      </c>
      <c r="I2030" s="10">
        <f t="shared" si="31"/>
        <v>27</v>
      </c>
      <c r="K2030" s="10"/>
      <c r="L2030" s="5"/>
    </row>
    <row r="2031" spans="1:12" x14ac:dyDescent="0.25">
      <c r="A2031" s="5" t="s">
        <v>4446</v>
      </c>
      <c r="B2031" s="5" t="s">
        <v>4445</v>
      </c>
      <c r="C2031" s="5" t="s">
        <v>48</v>
      </c>
      <c r="D2031" s="21">
        <v>3</v>
      </c>
      <c r="E2031" s="12">
        <v>477</v>
      </c>
      <c r="F2031" s="10" t="str">
        <f>_xlfn.XLOOKUP(C2031,menu!A:A,menu!B:B)</f>
        <v>Chicken Lollipop</v>
      </c>
      <c r="G2031" s="10" t="str">
        <f>_xlfn.XLOOKUP(C2031,menu!A:A,menu!C:C)</f>
        <v>Starters</v>
      </c>
      <c r="H2031" s="10">
        <f>_xlfn.XLOOKUP(C2031,menu!A:A,menu!E:E)</f>
        <v>48</v>
      </c>
      <c r="I2031" s="10">
        <f t="shared" si="31"/>
        <v>144</v>
      </c>
      <c r="K2031" s="10"/>
      <c r="L2031" s="5"/>
    </row>
    <row r="2032" spans="1:12" x14ac:dyDescent="0.25">
      <c r="A2032" s="5" t="s">
        <v>4444</v>
      </c>
      <c r="B2032" s="5" t="s">
        <v>4441</v>
      </c>
      <c r="C2032" s="5" t="s">
        <v>35</v>
      </c>
      <c r="D2032" s="21">
        <v>1</v>
      </c>
      <c r="E2032" s="12">
        <v>119</v>
      </c>
      <c r="F2032" s="10" t="str">
        <f>_xlfn.XLOOKUP(C2032,menu!A:A,menu!B:B)</f>
        <v>Chicken Nuggets</v>
      </c>
      <c r="G2032" s="10" t="str">
        <f>_xlfn.XLOOKUP(C2032,menu!A:A,menu!C:C)</f>
        <v>Starters</v>
      </c>
      <c r="H2032" s="10">
        <f>_xlfn.XLOOKUP(C2032,menu!A:A,menu!E:E)</f>
        <v>36</v>
      </c>
      <c r="I2032" s="10">
        <f t="shared" si="31"/>
        <v>36</v>
      </c>
      <c r="K2032" s="10"/>
      <c r="L2032" s="5"/>
    </row>
    <row r="2033" spans="1:12" x14ac:dyDescent="0.25">
      <c r="A2033" s="5" t="s">
        <v>4443</v>
      </c>
      <c r="B2033" s="5" t="s">
        <v>4441</v>
      </c>
      <c r="C2033" s="5" t="s">
        <v>50</v>
      </c>
      <c r="D2033" s="21">
        <v>1</v>
      </c>
      <c r="E2033" s="12">
        <v>149</v>
      </c>
      <c r="F2033" s="10" t="str">
        <f>_xlfn.XLOOKUP(C2033,menu!A:A,menu!B:B)</f>
        <v>Grab Lollipop</v>
      </c>
      <c r="G2033" s="10" t="str">
        <f>_xlfn.XLOOKUP(C2033,menu!A:A,menu!C:C)</f>
        <v>Starters</v>
      </c>
      <c r="H2033" s="10">
        <f>_xlfn.XLOOKUP(C2033,menu!A:A,menu!E:E)</f>
        <v>45</v>
      </c>
      <c r="I2033" s="10">
        <f t="shared" si="31"/>
        <v>45</v>
      </c>
      <c r="K2033" s="10"/>
      <c r="L2033" s="5"/>
    </row>
    <row r="2034" spans="1:12" x14ac:dyDescent="0.25">
      <c r="A2034" s="5" t="s">
        <v>4442</v>
      </c>
      <c r="B2034" s="5" t="s">
        <v>4441</v>
      </c>
      <c r="C2034" s="5" t="s">
        <v>24</v>
      </c>
      <c r="D2034" s="21">
        <v>1</v>
      </c>
      <c r="E2034" s="12">
        <v>89</v>
      </c>
      <c r="F2034" s="10" t="str">
        <f>_xlfn.XLOOKUP(C2034,menu!A:A,menu!B:B)</f>
        <v>Paneer Burger</v>
      </c>
      <c r="G2034" s="10" t="str">
        <f>_xlfn.XLOOKUP(C2034,menu!A:A,menu!C:C)</f>
        <v>Burger</v>
      </c>
      <c r="H2034" s="10">
        <f>_xlfn.XLOOKUP(C2034,menu!A:A,menu!E:E)</f>
        <v>27</v>
      </c>
      <c r="I2034" s="10">
        <f t="shared" si="31"/>
        <v>27</v>
      </c>
      <c r="K2034" s="10"/>
      <c r="L2034" s="5"/>
    </row>
    <row r="2035" spans="1:12" x14ac:dyDescent="0.25">
      <c r="A2035" s="5" t="s">
        <v>4440</v>
      </c>
      <c r="B2035" s="5" t="s">
        <v>4436</v>
      </c>
      <c r="C2035" s="5" t="s">
        <v>35</v>
      </c>
      <c r="D2035" s="21">
        <v>2</v>
      </c>
      <c r="E2035" s="12">
        <v>238</v>
      </c>
      <c r="F2035" s="10" t="str">
        <f>_xlfn.XLOOKUP(C2035,menu!A:A,menu!B:B)</f>
        <v>Chicken Nuggets</v>
      </c>
      <c r="G2035" s="10" t="str">
        <f>_xlfn.XLOOKUP(C2035,menu!A:A,menu!C:C)</f>
        <v>Starters</v>
      </c>
      <c r="H2035" s="10">
        <f>_xlfn.XLOOKUP(C2035,menu!A:A,menu!E:E)</f>
        <v>36</v>
      </c>
      <c r="I2035" s="10">
        <f t="shared" si="31"/>
        <v>72</v>
      </c>
      <c r="K2035" s="10"/>
      <c r="L2035" s="5"/>
    </row>
    <row r="2036" spans="1:12" x14ac:dyDescent="0.25">
      <c r="A2036" s="5" t="s">
        <v>4439</v>
      </c>
      <c r="B2036" s="5" t="s">
        <v>4436</v>
      </c>
      <c r="C2036" s="5" t="s">
        <v>54</v>
      </c>
      <c r="D2036" s="21">
        <v>3</v>
      </c>
      <c r="E2036" s="12">
        <v>417</v>
      </c>
      <c r="F2036" s="10" t="str">
        <f>_xlfn.XLOOKUP(C2036,menu!A:A,menu!B:B)</f>
        <v>Chicken Strips</v>
      </c>
      <c r="G2036" s="10" t="str">
        <f>_xlfn.XLOOKUP(C2036,menu!A:A,menu!C:C)</f>
        <v>Starters</v>
      </c>
      <c r="H2036" s="10">
        <f>_xlfn.XLOOKUP(C2036,menu!A:A,menu!E:E)</f>
        <v>42</v>
      </c>
      <c r="I2036" s="10">
        <f t="shared" si="31"/>
        <v>126</v>
      </c>
      <c r="K2036" s="10"/>
      <c r="L2036" s="5"/>
    </row>
    <row r="2037" spans="1:12" x14ac:dyDescent="0.25">
      <c r="A2037" s="5" t="s">
        <v>4438</v>
      </c>
      <c r="B2037" s="5" t="s">
        <v>4436</v>
      </c>
      <c r="C2037" s="5" t="s">
        <v>42</v>
      </c>
      <c r="D2037" s="21">
        <v>3</v>
      </c>
      <c r="E2037" s="12">
        <v>447</v>
      </c>
      <c r="F2037" s="10" t="str">
        <f>_xlfn.XLOOKUP(C2037,menu!A:A,menu!B:B)</f>
        <v>Chicken Popcorn</v>
      </c>
      <c r="G2037" s="10" t="str">
        <f>_xlfn.XLOOKUP(C2037,menu!A:A,menu!C:C)</f>
        <v>Starters</v>
      </c>
      <c r="H2037" s="10">
        <f>_xlfn.XLOOKUP(C2037,menu!A:A,menu!E:E)</f>
        <v>45</v>
      </c>
      <c r="I2037" s="10">
        <f t="shared" si="31"/>
        <v>135</v>
      </c>
      <c r="K2037" s="10"/>
      <c r="L2037" s="5"/>
    </row>
    <row r="2038" spans="1:12" x14ac:dyDescent="0.25">
      <c r="A2038" s="5" t="s">
        <v>4437</v>
      </c>
      <c r="B2038" s="5" t="s">
        <v>4436</v>
      </c>
      <c r="C2038" s="5" t="s">
        <v>59</v>
      </c>
      <c r="D2038" s="21">
        <v>2</v>
      </c>
      <c r="E2038" s="12">
        <v>158</v>
      </c>
      <c r="F2038" s="10" t="str">
        <f>_xlfn.XLOOKUP(C2038,menu!A:A,menu!B:B)</f>
        <v>Blue Curacao Mojito</v>
      </c>
      <c r="G2038" s="10" t="str">
        <f>_xlfn.XLOOKUP(C2038,menu!A:A,menu!C:C)</f>
        <v>Beverages</v>
      </c>
      <c r="H2038" s="10">
        <f>_xlfn.XLOOKUP(C2038,menu!A:A,menu!E:E)</f>
        <v>24</v>
      </c>
      <c r="I2038" s="10">
        <f t="shared" si="31"/>
        <v>48</v>
      </c>
      <c r="K2038" s="10"/>
      <c r="L2038" s="5"/>
    </row>
    <row r="2039" spans="1:12" x14ac:dyDescent="0.25">
      <c r="A2039" s="5" t="s">
        <v>4435</v>
      </c>
      <c r="B2039" s="5" t="s">
        <v>4433</v>
      </c>
      <c r="C2039" s="5" t="s">
        <v>10</v>
      </c>
      <c r="D2039" s="21">
        <v>4</v>
      </c>
      <c r="E2039" s="12">
        <v>476</v>
      </c>
      <c r="F2039" s="10" t="str">
        <f>_xlfn.XLOOKUP(C2039,menu!A:A,menu!B:B)</f>
        <v>Chicken Sandwich</v>
      </c>
      <c r="G2039" s="10" t="str">
        <f>_xlfn.XLOOKUP(C2039,menu!A:A,menu!C:C)</f>
        <v>Sandwich</v>
      </c>
      <c r="H2039" s="10">
        <f>_xlfn.XLOOKUP(C2039,menu!A:A,menu!E:E)</f>
        <v>36</v>
      </c>
      <c r="I2039" s="10">
        <f t="shared" si="31"/>
        <v>144</v>
      </c>
      <c r="K2039" s="10"/>
      <c r="L2039" s="5"/>
    </row>
    <row r="2040" spans="1:12" x14ac:dyDescent="0.25">
      <c r="A2040" s="5" t="s">
        <v>4434</v>
      </c>
      <c r="B2040" s="5" t="s">
        <v>4433</v>
      </c>
      <c r="C2040" s="5" t="s">
        <v>44</v>
      </c>
      <c r="D2040" s="21">
        <v>3</v>
      </c>
      <c r="E2040" s="12">
        <v>477</v>
      </c>
      <c r="F2040" s="10" t="str">
        <f>_xlfn.XLOOKUP(C2040,menu!A:A,menu!B:B)</f>
        <v>Fried Chicken</v>
      </c>
      <c r="G2040" s="10" t="str">
        <f>_xlfn.XLOOKUP(C2040,menu!A:A,menu!C:C)</f>
        <v>Starters</v>
      </c>
      <c r="H2040" s="10">
        <f>_xlfn.XLOOKUP(C2040,menu!A:A,menu!E:E)</f>
        <v>48</v>
      </c>
      <c r="I2040" s="10">
        <f t="shared" si="31"/>
        <v>144</v>
      </c>
      <c r="K2040" s="10"/>
      <c r="L2040" s="5"/>
    </row>
    <row r="2041" spans="1:12" x14ac:dyDescent="0.25">
      <c r="A2041" s="5" t="s">
        <v>4432</v>
      </c>
      <c r="B2041" s="5" t="s">
        <v>4430</v>
      </c>
      <c r="C2041" s="5" t="s">
        <v>46</v>
      </c>
      <c r="D2041" s="21">
        <v>1</v>
      </c>
      <c r="E2041" s="12">
        <v>149</v>
      </c>
      <c r="F2041" s="10" t="str">
        <f>_xlfn.XLOOKUP(C2041,menu!A:A,menu!B:B)</f>
        <v>Fish Finger</v>
      </c>
      <c r="G2041" s="10" t="str">
        <f>_xlfn.XLOOKUP(C2041,menu!A:A,menu!C:C)</f>
        <v>Starters</v>
      </c>
      <c r="H2041" s="10">
        <f>_xlfn.XLOOKUP(C2041,menu!A:A,menu!E:E)</f>
        <v>45</v>
      </c>
      <c r="I2041" s="10">
        <f t="shared" si="31"/>
        <v>45</v>
      </c>
      <c r="K2041" s="10"/>
      <c r="L2041" s="5"/>
    </row>
    <row r="2042" spans="1:12" x14ac:dyDescent="0.25">
      <c r="A2042" s="5" t="s">
        <v>4431</v>
      </c>
      <c r="B2042" s="5" t="s">
        <v>4430</v>
      </c>
      <c r="C2042" s="5" t="s">
        <v>26</v>
      </c>
      <c r="D2042" s="21">
        <v>2</v>
      </c>
      <c r="E2042" s="12">
        <v>118</v>
      </c>
      <c r="F2042" s="10" t="str">
        <f>_xlfn.XLOOKUP(C2042,menu!A:A,menu!B:B)</f>
        <v>Veg Roll</v>
      </c>
      <c r="G2042" s="10" t="str">
        <f>_xlfn.XLOOKUP(C2042,menu!A:A,menu!C:C)</f>
        <v>Rolls</v>
      </c>
      <c r="H2042" s="10">
        <f>_xlfn.XLOOKUP(C2042,menu!A:A,menu!E:E)</f>
        <v>18</v>
      </c>
      <c r="I2042" s="10">
        <f t="shared" si="31"/>
        <v>36</v>
      </c>
      <c r="K2042" s="10"/>
      <c r="L2042" s="5"/>
    </row>
    <row r="2043" spans="1:12" x14ac:dyDescent="0.25">
      <c r="A2043" s="5" t="s">
        <v>4429</v>
      </c>
      <c r="B2043" s="5" t="s">
        <v>4426</v>
      </c>
      <c r="C2043" s="5" t="s">
        <v>40</v>
      </c>
      <c r="D2043" s="21">
        <v>2</v>
      </c>
      <c r="E2043" s="12">
        <v>198</v>
      </c>
      <c r="F2043" s="10" t="str">
        <f>_xlfn.XLOOKUP(C2043,menu!A:A,menu!B:B)</f>
        <v>Veg Nuggets</v>
      </c>
      <c r="G2043" s="10" t="str">
        <f>_xlfn.XLOOKUP(C2043,menu!A:A,menu!C:C)</f>
        <v>Starters</v>
      </c>
      <c r="H2043" s="10">
        <f>_xlfn.XLOOKUP(C2043,menu!A:A,menu!E:E)</f>
        <v>30</v>
      </c>
      <c r="I2043" s="10">
        <f t="shared" si="31"/>
        <v>60</v>
      </c>
      <c r="K2043" s="10"/>
      <c r="L2043" s="5"/>
    </row>
    <row r="2044" spans="1:12" x14ac:dyDescent="0.25">
      <c r="A2044" s="5" t="s">
        <v>4428</v>
      </c>
      <c r="B2044" s="5" t="s">
        <v>4426</v>
      </c>
      <c r="C2044" s="5" t="s">
        <v>35</v>
      </c>
      <c r="D2044" s="21">
        <v>1</v>
      </c>
      <c r="E2044" s="12">
        <v>119</v>
      </c>
      <c r="F2044" s="10" t="str">
        <f>_xlfn.XLOOKUP(C2044,menu!A:A,menu!B:B)</f>
        <v>Chicken Nuggets</v>
      </c>
      <c r="G2044" s="10" t="str">
        <f>_xlfn.XLOOKUP(C2044,menu!A:A,menu!C:C)</f>
        <v>Starters</v>
      </c>
      <c r="H2044" s="10">
        <f>_xlfn.XLOOKUP(C2044,menu!A:A,menu!E:E)</f>
        <v>36</v>
      </c>
      <c r="I2044" s="10">
        <f t="shared" si="31"/>
        <v>36</v>
      </c>
      <c r="K2044" s="10"/>
      <c r="L2044" s="5"/>
    </row>
    <row r="2045" spans="1:12" x14ac:dyDescent="0.25">
      <c r="A2045" s="5" t="s">
        <v>4427</v>
      </c>
      <c r="B2045" s="5" t="s">
        <v>4426</v>
      </c>
      <c r="C2045" s="5" t="s">
        <v>17</v>
      </c>
      <c r="D2045" s="21">
        <v>2</v>
      </c>
      <c r="E2045" s="12">
        <v>178</v>
      </c>
      <c r="F2045" s="10" t="str">
        <f>_xlfn.XLOOKUP(C2045,menu!A:A,menu!B:B)</f>
        <v>Paneer Momos</v>
      </c>
      <c r="G2045" s="10" t="str">
        <f>_xlfn.XLOOKUP(C2045,menu!A:A,menu!C:C)</f>
        <v>Momos</v>
      </c>
      <c r="H2045" s="10">
        <f>_xlfn.XLOOKUP(C2045,menu!A:A,menu!E:E)</f>
        <v>27</v>
      </c>
      <c r="I2045" s="10">
        <f t="shared" si="31"/>
        <v>54</v>
      </c>
      <c r="K2045" s="10"/>
      <c r="L2045" s="5"/>
    </row>
    <row r="2046" spans="1:12" x14ac:dyDescent="0.25">
      <c r="A2046" s="5" t="s">
        <v>4425</v>
      </c>
      <c r="B2046" s="5" t="s">
        <v>4423</v>
      </c>
      <c r="C2046" s="5" t="s">
        <v>22</v>
      </c>
      <c r="D2046" s="21">
        <v>2</v>
      </c>
      <c r="E2046" s="12">
        <v>198</v>
      </c>
      <c r="F2046" s="10" t="str">
        <f>_xlfn.XLOOKUP(C2046,menu!A:A,menu!B:B)</f>
        <v>Chicken Burger</v>
      </c>
      <c r="G2046" s="10" t="str">
        <f>_xlfn.XLOOKUP(C2046,menu!A:A,menu!C:C)</f>
        <v>Burger</v>
      </c>
      <c r="H2046" s="10">
        <f>_xlfn.XLOOKUP(C2046,menu!A:A,menu!E:E)</f>
        <v>30</v>
      </c>
      <c r="I2046" s="10">
        <f t="shared" si="31"/>
        <v>60</v>
      </c>
      <c r="K2046" s="10"/>
      <c r="L2046" s="5"/>
    </row>
    <row r="2047" spans="1:12" x14ac:dyDescent="0.25">
      <c r="A2047" s="5" t="s">
        <v>4424</v>
      </c>
      <c r="B2047" s="5" t="s">
        <v>4423</v>
      </c>
      <c r="C2047" s="5" t="s">
        <v>38</v>
      </c>
      <c r="D2047" s="21">
        <v>2</v>
      </c>
      <c r="E2047" s="12">
        <v>298</v>
      </c>
      <c r="F2047" s="10" t="str">
        <f>_xlfn.XLOOKUP(C2047,menu!A:A,menu!B:B)</f>
        <v>Chicken Wings</v>
      </c>
      <c r="G2047" s="10" t="str">
        <f>_xlfn.XLOOKUP(C2047,menu!A:A,menu!C:C)</f>
        <v>Starters</v>
      </c>
      <c r="H2047" s="10">
        <f>_xlfn.XLOOKUP(C2047,menu!A:A,menu!E:E)</f>
        <v>45</v>
      </c>
      <c r="I2047" s="10">
        <f t="shared" si="31"/>
        <v>90</v>
      </c>
      <c r="K2047" s="10"/>
      <c r="L2047" s="5"/>
    </row>
    <row r="2048" spans="1:12" x14ac:dyDescent="0.25">
      <c r="A2048" s="5" t="s">
        <v>4422</v>
      </c>
      <c r="B2048" s="5" t="s">
        <v>4421</v>
      </c>
      <c r="C2048" s="5" t="s">
        <v>61</v>
      </c>
      <c r="D2048" s="21">
        <v>2</v>
      </c>
      <c r="E2048" s="12">
        <v>158</v>
      </c>
      <c r="F2048" s="10" t="str">
        <f>_xlfn.XLOOKUP(C2048,menu!A:A,menu!B:B)</f>
        <v>Watermelon Mojito</v>
      </c>
      <c r="G2048" s="10" t="str">
        <f>_xlfn.XLOOKUP(C2048,menu!A:A,menu!C:C)</f>
        <v>Beverages</v>
      </c>
      <c r="H2048" s="10">
        <f>_xlfn.XLOOKUP(C2048,menu!A:A,menu!E:E)</f>
        <v>24</v>
      </c>
      <c r="I2048" s="10">
        <f t="shared" si="31"/>
        <v>48</v>
      </c>
      <c r="K2048" s="10"/>
      <c r="L2048" s="5"/>
    </row>
    <row r="2049" spans="1:12" x14ac:dyDescent="0.25">
      <c r="A2049" s="5" t="s">
        <v>4420</v>
      </c>
      <c r="B2049" s="5" t="s">
        <v>4417</v>
      </c>
      <c r="C2049" s="5" t="s">
        <v>12</v>
      </c>
      <c r="D2049" s="21">
        <v>1</v>
      </c>
      <c r="E2049" s="12">
        <v>79</v>
      </c>
      <c r="F2049" s="10" t="str">
        <f>_xlfn.XLOOKUP(C2049,menu!A:A,menu!B:B)</f>
        <v>Veg Momos</v>
      </c>
      <c r="G2049" s="10" t="str">
        <f>_xlfn.XLOOKUP(C2049,menu!A:A,menu!C:C)</f>
        <v>Momos</v>
      </c>
      <c r="H2049" s="10">
        <f>_xlfn.XLOOKUP(C2049,menu!A:A,menu!E:E)</f>
        <v>24</v>
      </c>
      <c r="I2049" s="10">
        <f t="shared" si="31"/>
        <v>24</v>
      </c>
      <c r="K2049" s="10"/>
      <c r="L2049" s="5"/>
    </row>
    <row r="2050" spans="1:12" x14ac:dyDescent="0.25">
      <c r="A2050" s="5" t="s">
        <v>4419</v>
      </c>
      <c r="B2050" s="5" t="s">
        <v>4417</v>
      </c>
      <c r="C2050" s="5" t="s">
        <v>31</v>
      </c>
      <c r="D2050" s="21">
        <v>1</v>
      </c>
      <c r="E2050" s="12">
        <v>89</v>
      </c>
      <c r="F2050" s="10" t="str">
        <f>_xlfn.XLOOKUP(C2050,menu!A:A,menu!B:B)</f>
        <v>Chicken Roll</v>
      </c>
      <c r="G2050" s="10" t="str">
        <f>_xlfn.XLOOKUP(C2050,menu!A:A,menu!C:C)</f>
        <v>Rolls</v>
      </c>
      <c r="H2050" s="10">
        <f>_xlfn.XLOOKUP(C2050,menu!A:A,menu!E:E)</f>
        <v>27</v>
      </c>
      <c r="I2050" s="10">
        <f t="shared" si="31"/>
        <v>27</v>
      </c>
      <c r="K2050" s="10"/>
      <c r="L2050" s="5"/>
    </row>
    <row r="2051" spans="1:12" x14ac:dyDescent="0.25">
      <c r="A2051" s="5" t="s">
        <v>4418</v>
      </c>
      <c r="B2051" s="5" t="s">
        <v>4417</v>
      </c>
      <c r="C2051" s="5" t="s">
        <v>38</v>
      </c>
      <c r="D2051" s="21">
        <v>3</v>
      </c>
      <c r="E2051" s="12">
        <v>447</v>
      </c>
      <c r="F2051" s="10" t="str">
        <f>_xlfn.XLOOKUP(C2051,menu!A:A,menu!B:B)</f>
        <v>Chicken Wings</v>
      </c>
      <c r="G2051" s="10" t="str">
        <f>_xlfn.XLOOKUP(C2051,menu!A:A,menu!C:C)</f>
        <v>Starters</v>
      </c>
      <c r="H2051" s="10">
        <f>_xlfn.XLOOKUP(C2051,menu!A:A,menu!E:E)</f>
        <v>45</v>
      </c>
      <c r="I2051" s="10">
        <f t="shared" ref="I2051:I2114" si="32">D2051*H2051</f>
        <v>135</v>
      </c>
      <c r="K2051" s="10"/>
      <c r="L2051" s="5"/>
    </row>
    <row r="2052" spans="1:12" x14ac:dyDescent="0.25">
      <c r="A2052" s="5" t="s">
        <v>4416</v>
      </c>
      <c r="B2052" s="5" t="s">
        <v>4415</v>
      </c>
      <c r="C2052" s="5" t="s">
        <v>46</v>
      </c>
      <c r="D2052" s="21">
        <v>1</v>
      </c>
      <c r="E2052" s="12">
        <v>149</v>
      </c>
      <c r="F2052" s="10" t="str">
        <f>_xlfn.XLOOKUP(C2052,menu!A:A,menu!B:B)</f>
        <v>Fish Finger</v>
      </c>
      <c r="G2052" s="10" t="str">
        <f>_xlfn.XLOOKUP(C2052,menu!A:A,menu!C:C)</f>
        <v>Starters</v>
      </c>
      <c r="H2052" s="10">
        <f>_xlfn.XLOOKUP(C2052,menu!A:A,menu!E:E)</f>
        <v>45</v>
      </c>
      <c r="I2052" s="10">
        <f t="shared" si="32"/>
        <v>45</v>
      </c>
      <c r="K2052" s="10"/>
      <c r="L2052" s="5"/>
    </row>
    <row r="2053" spans="1:12" x14ac:dyDescent="0.25">
      <c r="A2053" s="5" t="s">
        <v>4414</v>
      </c>
      <c r="B2053" s="5" t="s">
        <v>4412</v>
      </c>
      <c r="C2053" s="5" t="s">
        <v>19</v>
      </c>
      <c r="D2053" s="21">
        <v>2</v>
      </c>
      <c r="E2053" s="12">
        <v>158</v>
      </c>
      <c r="F2053" s="10" t="str">
        <f>_xlfn.XLOOKUP(C2053,menu!A:A,menu!B:B)</f>
        <v>Veg Burger</v>
      </c>
      <c r="G2053" s="10" t="str">
        <f>_xlfn.XLOOKUP(C2053,menu!A:A,menu!C:C)</f>
        <v>Burger</v>
      </c>
      <c r="H2053" s="10">
        <f>_xlfn.XLOOKUP(C2053,menu!A:A,menu!E:E)</f>
        <v>24</v>
      </c>
      <c r="I2053" s="10">
        <f t="shared" si="32"/>
        <v>48</v>
      </c>
      <c r="K2053" s="10"/>
      <c r="L2053" s="5"/>
    </row>
    <row r="2054" spans="1:12" x14ac:dyDescent="0.25">
      <c r="A2054" s="5" t="s">
        <v>4413</v>
      </c>
      <c r="B2054" s="5" t="s">
        <v>4412</v>
      </c>
      <c r="C2054" s="5" t="s">
        <v>5</v>
      </c>
      <c r="D2054" s="21">
        <v>3</v>
      </c>
      <c r="E2054" s="12">
        <v>237</v>
      </c>
      <c r="F2054" s="10" t="str">
        <f>_xlfn.XLOOKUP(C2054,menu!A:A,menu!B:B)</f>
        <v>Veg Sandwich</v>
      </c>
      <c r="G2054" s="10" t="str">
        <f>_xlfn.XLOOKUP(C2054,menu!A:A,menu!C:C)</f>
        <v>Sandwich</v>
      </c>
      <c r="H2054" s="10">
        <f>_xlfn.XLOOKUP(C2054,menu!A:A,menu!E:E)</f>
        <v>24</v>
      </c>
      <c r="I2054" s="10">
        <f t="shared" si="32"/>
        <v>72</v>
      </c>
      <c r="K2054" s="10"/>
      <c r="L2054" s="5"/>
    </row>
    <row r="2055" spans="1:12" x14ac:dyDescent="0.25">
      <c r="A2055" s="5" t="s">
        <v>4411</v>
      </c>
      <c r="B2055" s="5" t="s">
        <v>4408</v>
      </c>
      <c r="C2055" s="5" t="s">
        <v>22</v>
      </c>
      <c r="D2055" s="21">
        <v>1</v>
      </c>
      <c r="E2055" s="12">
        <v>99</v>
      </c>
      <c r="F2055" s="10" t="str">
        <f>_xlfn.XLOOKUP(C2055,menu!A:A,menu!B:B)</f>
        <v>Chicken Burger</v>
      </c>
      <c r="G2055" s="10" t="str">
        <f>_xlfn.XLOOKUP(C2055,menu!A:A,menu!C:C)</f>
        <v>Burger</v>
      </c>
      <c r="H2055" s="10">
        <f>_xlfn.XLOOKUP(C2055,menu!A:A,menu!E:E)</f>
        <v>30</v>
      </c>
      <c r="I2055" s="10">
        <f t="shared" si="32"/>
        <v>30</v>
      </c>
      <c r="K2055" s="10"/>
      <c r="L2055" s="5"/>
    </row>
    <row r="2056" spans="1:12" x14ac:dyDescent="0.25">
      <c r="A2056" s="5" t="s">
        <v>4410</v>
      </c>
      <c r="B2056" s="5" t="s">
        <v>4408</v>
      </c>
      <c r="C2056" s="5" t="s">
        <v>65</v>
      </c>
      <c r="D2056" s="21">
        <v>3</v>
      </c>
      <c r="E2056" s="12">
        <v>147</v>
      </c>
      <c r="F2056" s="10" t="str">
        <f>_xlfn.XLOOKUP(C2056,menu!A:A,menu!B:B)</f>
        <v>Lemon Juice</v>
      </c>
      <c r="G2056" s="10" t="str">
        <f>_xlfn.XLOOKUP(C2056,menu!A:A,menu!C:C)</f>
        <v>Beverages</v>
      </c>
      <c r="H2056" s="10">
        <f>_xlfn.XLOOKUP(C2056,menu!A:A,menu!E:E)</f>
        <v>15</v>
      </c>
      <c r="I2056" s="10">
        <f t="shared" si="32"/>
        <v>45</v>
      </c>
      <c r="K2056" s="10"/>
      <c r="L2056" s="5"/>
    </row>
    <row r="2057" spans="1:12" x14ac:dyDescent="0.25">
      <c r="A2057" s="5" t="s">
        <v>4409</v>
      </c>
      <c r="B2057" s="5" t="s">
        <v>4408</v>
      </c>
      <c r="C2057" s="5" t="s">
        <v>38</v>
      </c>
      <c r="D2057" s="21">
        <v>1</v>
      </c>
      <c r="E2057" s="12">
        <v>149</v>
      </c>
      <c r="F2057" s="10" t="str">
        <f>_xlfn.XLOOKUP(C2057,menu!A:A,menu!B:B)</f>
        <v>Chicken Wings</v>
      </c>
      <c r="G2057" s="10" t="str">
        <f>_xlfn.XLOOKUP(C2057,menu!A:A,menu!C:C)</f>
        <v>Starters</v>
      </c>
      <c r="H2057" s="10">
        <f>_xlfn.XLOOKUP(C2057,menu!A:A,menu!E:E)</f>
        <v>45</v>
      </c>
      <c r="I2057" s="10">
        <f t="shared" si="32"/>
        <v>45</v>
      </c>
      <c r="K2057" s="10"/>
      <c r="L2057" s="5"/>
    </row>
    <row r="2058" spans="1:12" x14ac:dyDescent="0.25">
      <c r="A2058" s="5" t="s">
        <v>4407</v>
      </c>
      <c r="B2058" s="5" t="s">
        <v>4404</v>
      </c>
      <c r="C2058" s="5" t="s">
        <v>19</v>
      </c>
      <c r="D2058" s="21">
        <v>1</v>
      </c>
      <c r="E2058" s="12">
        <v>79</v>
      </c>
      <c r="F2058" s="10" t="str">
        <f>_xlfn.XLOOKUP(C2058,menu!A:A,menu!B:B)</f>
        <v>Veg Burger</v>
      </c>
      <c r="G2058" s="10" t="str">
        <f>_xlfn.XLOOKUP(C2058,menu!A:A,menu!C:C)</f>
        <v>Burger</v>
      </c>
      <c r="H2058" s="10">
        <f>_xlfn.XLOOKUP(C2058,menu!A:A,menu!E:E)</f>
        <v>24</v>
      </c>
      <c r="I2058" s="10">
        <f t="shared" si="32"/>
        <v>24</v>
      </c>
      <c r="K2058" s="10"/>
      <c r="L2058" s="5"/>
    </row>
    <row r="2059" spans="1:12" x14ac:dyDescent="0.25">
      <c r="A2059" s="5" t="s">
        <v>4406</v>
      </c>
      <c r="B2059" s="5" t="s">
        <v>4404</v>
      </c>
      <c r="C2059" s="5" t="s">
        <v>42</v>
      </c>
      <c r="D2059" s="21">
        <v>1</v>
      </c>
      <c r="E2059" s="12">
        <v>149</v>
      </c>
      <c r="F2059" s="10" t="str">
        <f>_xlfn.XLOOKUP(C2059,menu!A:A,menu!B:B)</f>
        <v>Chicken Popcorn</v>
      </c>
      <c r="G2059" s="10" t="str">
        <f>_xlfn.XLOOKUP(C2059,menu!A:A,menu!C:C)</f>
        <v>Starters</v>
      </c>
      <c r="H2059" s="10">
        <f>_xlfn.XLOOKUP(C2059,menu!A:A,menu!E:E)</f>
        <v>45</v>
      </c>
      <c r="I2059" s="10">
        <f t="shared" si="32"/>
        <v>45</v>
      </c>
      <c r="K2059" s="10"/>
      <c r="L2059" s="5"/>
    </row>
    <row r="2060" spans="1:12" x14ac:dyDescent="0.25">
      <c r="A2060" s="5" t="s">
        <v>4405</v>
      </c>
      <c r="B2060" s="5" t="s">
        <v>4404</v>
      </c>
      <c r="C2060" s="5" t="s">
        <v>31</v>
      </c>
      <c r="D2060" s="21">
        <v>2</v>
      </c>
      <c r="E2060" s="12">
        <v>178</v>
      </c>
      <c r="F2060" s="10" t="str">
        <f>_xlfn.XLOOKUP(C2060,menu!A:A,menu!B:B)</f>
        <v>Chicken Roll</v>
      </c>
      <c r="G2060" s="10" t="str">
        <f>_xlfn.XLOOKUP(C2060,menu!A:A,menu!C:C)</f>
        <v>Rolls</v>
      </c>
      <c r="H2060" s="10">
        <f>_xlfn.XLOOKUP(C2060,menu!A:A,menu!E:E)</f>
        <v>27</v>
      </c>
      <c r="I2060" s="10">
        <f t="shared" si="32"/>
        <v>54</v>
      </c>
      <c r="K2060" s="10"/>
      <c r="L2060" s="5"/>
    </row>
    <row r="2061" spans="1:12" x14ac:dyDescent="0.25">
      <c r="A2061" s="5" t="s">
        <v>4403</v>
      </c>
      <c r="B2061" s="5" t="s">
        <v>4399</v>
      </c>
      <c r="C2061" s="5" t="s">
        <v>40</v>
      </c>
      <c r="D2061" s="21">
        <v>2</v>
      </c>
      <c r="E2061" s="12">
        <v>198</v>
      </c>
      <c r="F2061" s="10" t="str">
        <f>_xlfn.XLOOKUP(C2061,menu!A:A,menu!B:B)</f>
        <v>Veg Nuggets</v>
      </c>
      <c r="G2061" s="10" t="str">
        <f>_xlfn.XLOOKUP(C2061,menu!A:A,menu!C:C)</f>
        <v>Starters</v>
      </c>
      <c r="H2061" s="10">
        <f>_xlfn.XLOOKUP(C2061,menu!A:A,menu!E:E)</f>
        <v>30</v>
      </c>
      <c r="I2061" s="10">
        <f t="shared" si="32"/>
        <v>60</v>
      </c>
      <c r="K2061" s="10"/>
      <c r="L2061" s="5"/>
    </row>
    <row r="2062" spans="1:12" x14ac:dyDescent="0.25">
      <c r="A2062" s="5" t="s">
        <v>4402</v>
      </c>
      <c r="B2062" s="5" t="s">
        <v>4399</v>
      </c>
      <c r="C2062" s="5" t="s">
        <v>52</v>
      </c>
      <c r="D2062" s="21">
        <v>2</v>
      </c>
      <c r="E2062" s="12">
        <v>198</v>
      </c>
      <c r="F2062" s="10" t="str">
        <f>_xlfn.XLOOKUP(C2062,menu!A:A,menu!B:B)</f>
        <v>French Fries</v>
      </c>
      <c r="G2062" s="10" t="str">
        <f>_xlfn.XLOOKUP(C2062,menu!A:A,menu!C:C)</f>
        <v>Starters</v>
      </c>
      <c r="H2062" s="10">
        <f>_xlfn.XLOOKUP(C2062,menu!A:A,menu!E:E)</f>
        <v>30</v>
      </c>
      <c r="I2062" s="10">
        <f t="shared" si="32"/>
        <v>60</v>
      </c>
      <c r="K2062" s="10"/>
      <c r="L2062" s="5"/>
    </row>
    <row r="2063" spans="1:12" x14ac:dyDescent="0.25">
      <c r="A2063" s="5" t="s">
        <v>4401</v>
      </c>
      <c r="B2063" s="5" t="s">
        <v>4399</v>
      </c>
      <c r="C2063" s="5" t="s">
        <v>26</v>
      </c>
      <c r="D2063" s="21">
        <v>3</v>
      </c>
      <c r="E2063" s="12">
        <v>177</v>
      </c>
      <c r="F2063" s="10" t="str">
        <f>_xlfn.XLOOKUP(C2063,menu!A:A,menu!B:B)</f>
        <v>Veg Roll</v>
      </c>
      <c r="G2063" s="10" t="str">
        <f>_xlfn.XLOOKUP(C2063,menu!A:A,menu!C:C)</f>
        <v>Rolls</v>
      </c>
      <c r="H2063" s="10">
        <f>_xlfn.XLOOKUP(C2063,menu!A:A,menu!E:E)</f>
        <v>18</v>
      </c>
      <c r="I2063" s="10">
        <f t="shared" si="32"/>
        <v>54</v>
      </c>
      <c r="K2063" s="10"/>
      <c r="L2063" s="5"/>
    </row>
    <row r="2064" spans="1:12" x14ac:dyDescent="0.25">
      <c r="A2064" s="5" t="s">
        <v>4400</v>
      </c>
      <c r="B2064" s="5" t="s">
        <v>4399</v>
      </c>
      <c r="C2064" s="5" t="s">
        <v>38</v>
      </c>
      <c r="D2064" s="21">
        <v>2</v>
      </c>
      <c r="E2064" s="12">
        <v>298</v>
      </c>
      <c r="F2064" s="10" t="str">
        <f>_xlfn.XLOOKUP(C2064,menu!A:A,menu!B:B)</f>
        <v>Chicken Wings</v>
      </c>
      <c r="G2064" s="10" t="str">
        <f>_xlfn.XLOOKUP(C2064,menu!A:A,menu!C:C)</f>
        <v>Starters</v>
      </c>
      <c r="H2064" s="10">
        <f>_xlfn.XLOOKUP(C2064,menu!A:A,menu!E:E)</f>
        <v>45</v>
      </c>
      <c r="I2064" s="10">
        <f t="shared" si="32"/>
        <v>90</v>
      </c>
      <c r="K2064" s="10"/>
      <c r="L2064" s="5"/>
    </row>
    <row r="2065" spans="1:12" x14ac:dyDescent="0.25">
      <c r="A2065" s="5" t="s">
        <v>4398</v>
      </c>
      <c r="B2065" s="5" t="s">
        <v>4396</v>
      </c>
      <c r="C2065" s="5" t="s">
        <v>29</v>
      </c>
      <c r="D2065" s="21">
        <v>2</v>
      </c>
      <c r="E2065" s="12">
        <v>158</v>
      </c>
      <c r="F2065" s="10" t="str">
        <f>_xlfn.XLOOKUP(C2065,menu!A:A,menu!B:B)</f>
        <v>Paneer Roll</v>
      </c>
      <c r="G2065" s="10" t="str">
        <f>_xlfn.XLOOKUP(C2065,menu!A:A,menu!C:C)</f>
        <v>Rolls</v>
      </c>
      <c r="H2065" s="10">
        <f>_xlfn.XLOOKUP(C2065,menu!A:A,menu!E:E)</f>
        <v>24</v>
      </c>
      <c r="I2065" s="10">
        <f t="shared" si="32"/>
        <v>48</v>
      </c>
      <c r="K2065" s="10"/>
      <c r="L2065" s="5"/>
    </row>
    <row r="2066" spans="1:12" x14ac:dyDescent="0.25">
      <c r="A2066" s="5" t="s">
        <v>4397</v>
      </c>
      <c r="B2066" s="5" t="s">
        <v>4396</v>
      </c>
      <c r="C2066" s="5" t="s">
        <v>22</v>
      </c>
      <c r="D2066" s="21">
        <v>4</v>
      </c>
      <c r="E2066" s="12">
        <v>396</v>
      </c>
      <c r="F2066" s="10" t="str">
        <f>_xlfn.XLOOKUP(C2066,menu!A:A,menu!B:B)</f>
        <v>Chicken Burger</v>
      </c>
      <c r="G2066" s="10" t="str">
        <f>_xlfn.XLOOKUP(C2066,menu!A:A,menu!C:C)</f>
        <v>Burger</v>
      </c>
      <c r="H2066" s="10">
        <f>_xlfn.XLOOKUP(C2066,menu!A:A,menu!E:E)</f>
        <v>30</v>
      </c>
      <c r="I2066" s="10">
        <f t="shared" si="32"/>
        <v>120</v>
      </c>
      <c r="K2066" s="10"/>
      <c r="L2066" s="5"/>
    </row>
    <row r="2067" spans="1:12" x14ac:dyDescent="0.25">
      <c r="A2067" s="5" t="s">
        <v>4395</v>
      </c>
      <c r="B2067" s="5" t="s">
        <v>4392</v>
      </c>
      <c r="C2067" s="5" t="s">
        <v>5</v>
      </c>
      <c r="D2067" s="21">
        <v>1</v>
      </c>
      <c r="E2067" s="12">
        <v>79</v>
      </c>
      <c r="F2067" s="10" t="str">
        <f>_xlfn.XLOOKUP(C2067,menu!A:A,menu!B:B)</f>
        <v>Veg Sandwich</v>
      </c>
      <c r="G2067" s="10" t="str">
        <f>_xlfn.XLOOKUP(C2067,menu!A:A,menu!C:C)</f>
        <v>Sandwich</v>
      </c>
      <c r="H2067" s="10">
        <f>_xlfn.XLOOKUP(C2067,menu!A:A,menu!E:E)</f>
        <v>24</v>
      </c>
      <c r="I2067" s="10">
        <f t="shared" si="32"/>
        <v>24</v>
      </c>
      <c r="K2067" s="10"/>
      <c r="L2067" s="5"/>
    </row>
    <row r="2068" spans="1:12" x14ac:dyDescent="0.25">
      <c r="A2068" s="5" t="s">
        <v>4394</v>
      </c>
      <c r="B2068" s="5" t="s">
        <v>4392</v>
      </c>
      <c r="C2068" s="5" t="s">
        <v>42</v>
      </c>
      <c r="D2068" s="21">
        <v>1</v>
      </c>
      <c r="E2068" s="12">
        <v>149</v>
      </c>
      <c r="F2068" s="10" t="str">
        <f>_xlfn.XLOOKUP(C2068,menu!A:A,menu!B:B)</f>
        <v>Chicken Popcorn</v>
      </c>
      <c r="G2068" s="10" t="str">
        <f>_xlfn.XLOOKUP(C2068,menu!A:A,menu!C:C)</f>
        <v>Starters</v>
      </c>
      <c r="H2068" s="10">
        <f>_xlfn.XLOOKUP(C2068,menu!A:A,menu!E:E)</f>
        <v>45</v>
      </c>
      <c r="I2068" s="10">
        <f t="shared" si="32"/>
        <v>45</v>
      </c>
      <c r="K2068" s="10"/>
      <c r="L2068" s="5"/>
    </row>
    <row r="2069" spans="1:12" x14ac:dyDescent="0.25">
      <c r="A2069" s="5" t="s">
        <v>4393</v>
      </c>
      <c r="B2069" s="5" t="s">
        <v>4392</v>
      </c>
      <c r="C2069" s="5" t="s">
        <v>29</v>
      </c>
      <c r="D2069" s="21">
        <v>1</v>
      </c>
      <c r="E2069" s="12">
        <v>79</v>
      </c>
      <c r="F2069" s="10" t="str">
        <f>_xlfn.XLOOKUP(C2069,menu!A:A,menu!B:B)</f>
        <v>Paneer Roll</v>
      </c>
      <c r="G2069" s="10" t="str">
        <f>_xlfn.XLOOKUP(C2069,menu!A:A,menu!C:C)</f>
        <v>Rolls</v>
      </c>
      <c r="H2069" s="10">
        <f>_xlfn.XLOOKUP(C2069,menu!A:A,menu!E:E)</f>
        <v>24</v>
      </c>
      <c r="I2069" s="10">
        <f t="shared" si="32"/>
        <v>24</v>
      </c>
      <c r="K2069" s="10"/>
      <c r="L2069" s="5"/>
    </row>
    <row r="2070" spans="1:12" x14ac:dyDescent="0.25">
      <c r="A2070" s="5" t="s">
        <v>4391</v>
      </c>
      <c r="B2070" s="5" t="s">
        <v>4389</v>
      </c>
      <c r="C2070" s="5" t="s">
        <v>54</v>
      </c>
      <c r="D2070" s="21">
        <v>2</v>
      </c>
      <c r="E2070" s="12">
        <v>278</v>
      </c>
      <c r="F2070" s="10" t="str">
        <f>_xlfn.XLOOKUP(C2070,menu!A:A,menu!B:B)</f>
        <v>Chicken Strips</v>
      </c>
      <c r="G2070" s="10" t="str">
        <f>_xlfn.XLOOKUP(C2070,menu!A:A,menu!C:C)</f>
        <v>Starters</v>
      </c>
      <c r="H2070" s="10">
        <f>_xlfn.XLOOKUP(C2070,menu!A:A,menu!E:E)</f>
        <v>42</v>
      </c>
      <c r="I2070" s="10">
        <f t="shared" si="32"/>
        <v>84</v>
      </c>
      <c r="K2070" s="10"/>
      <c r="L2070" s="5"/>
    </row>
    <row r="2071" spans="1:12" x14ac:dyDescent="0.25">
      <c r="A2071" s="5" t="s">
        <v>4390</v>
      </c>
      <c r="B2071" s="5" t="s">
        <v>4389</v>
      </c>
      <c r="C2071" s="5" t="s">
        <v>44</v>
      </c>
      <c r="D2071" s="21">
        <v>3</v>
      </c>
      <c r="E2071" s="12">
        <v>477</v>
      </c>
      <c r="F2071" s="10" t="str">
        <f>_xlfn.XLOOKUP(C2071,menu!A:A,menu!B:B)</f>
        <v>Fried Chicken</v>
      </c>
      <c r="G2071" s="10" t="str">
        <f>_xlfn.XLOOKUP(C2071,menu!A:A,menu!C:C)</f>
        <v>Starters</v>
      </c>
      <c r="H2071" s="10">
        <f>_xlfn.XLOOKUP(C2071,menu!A:A,menu!E:E)</f>
        <v>48</v>
      </c>
      <c r="I2071" s="10">
        <f t="shared" si="32"/>
        <v>144</v>
      </c>
      <c r="K2071" s="10"/>
      <c r="L2071" s="5"/>
    </row>
    <row r="2072" spans="1:12" x14ac:dyDescent="0.25">
      <c r="A2072" s="5" t="s">
        <v>4388</v>
      </c>
      <c r="B2072" s="5" t="s">
        <v>4385</v>
      </c>
      <c r="C2072" s="5" t="s">
        <v>10</v>
      </c>
      <c r="D2072" s="21">
        <v>2</v>
      </c>
      <c r="E2072" s="12">
        <v>238</v>
      </c>
      <c r="F2072" s="10" t="str">
        <f>_xlfn.XLOOKUP(C2072,menu!A:A,menu!B:B)</f>
        <v>Chicken Sandwich</v>
      </c>
      <c r="G2072" s="10" t="str">
        <f>_xlfn.XLOOKUP(C2072,menu!A:A,menu!C:C)</f>
        <v>Sandwich</v>
      </c>
      <c r="H2072" s="10">
        <f>_xlfn.XLOOKUP(C2072,menu!A:A,menu!E:E)</f>
        <v>36</v>
      </c>
      <c r="I2072" s="10">
        <f t="shared" si="32"/>
        <v>72</v>
      </c>
      <c r="K2072" s="10"/>
      <c r="L2072" s="5"/>
    </row>
    <row r="2073" spans="1:12" x14ac:dyDescent="0.25">
      <c r="A2073" s="5" t="s">
        <v>4387</v>
      </c>
      <c r="B2073" s="5" t="s">
        <v>4385</v>
      </c>
      <c r="C2073" s="5" t="s">
        <v>8</v>
      </c>
      <c r="D2073" s="21">
        <v>1</v>
      </c>
      <c r="E2073" s="12">
        <v>99</v>
      </c>
      <c r="F2073" s="10" t="str">
        <f>_xlfn.XLOOKUP(C2073,menu!A:A,menu!B:B)</f>
        <v>Paneer Sandwich</v>
      </c>
      <c r="G2073" s="10" t="str">
        <f>_xlfn.XLOOKUP(C2073,menu!A:A,menu!C:C)</f>
        <v>Sandwich</v>
      </c>
      <c r="H2073" s="10">
        <f>_xlfn.XLOOKUP(C2073,menu!A:A,menu!E:E)</f>
        <v>30</v>
      </c>
      <c r="I2073" s="10">
        <f t="shared" si="32"/>
        <v>30</v>
      </c>
      <c r="K2073" s="10"/>
      <c r="L2073" s="5"/>
    </row>
    <row r="2074" spans="1:12" x14ac:dyDescent="0.25">
      <c r="A2074" s="5" t="s">
        <v>4386</v>
      </c>
      <c r="B2074" s="5" t="s">
        <v>4385</v>
      </c>
      <c r="C2074" s="5" t="s">
        <v>61</v>
      </c>
      <c r="D2074" s="21">
        <v>3</v>
      </c>
      <c r="E2074" s="12">
        <v>237</v>
      </c>
      <c r="F2074" s="10" t="str">
        <f>_xlfn.XLOOKUP(C2074,menu!A:A,menu!B:B)</f>
        <v>Watermelon Mojito</v>
      </c>
      <c r="G2074" s="10" t="str">
        <f>_xlfn.XLOOKUP(C2074,menu!A:A,menu!C:C)</f>
        <v>Beverages</v>
      </c>
      <c r="H2074" s="10">
        <f>_xlfn.XLOOKUP(C2074,menu!A:A,menu!E:E)</f>
        <v>24</v>
      </c>
      <c r="I2074" s="10">
        <f t="shared" si="32"/>
        <v>72</v>
      </c>
      <c r="K2074" s="10"/>
      <c r="L2074" s="5"/>
    </row>
    <row r="2075" spans="1:12" x14ac:dyDescent="0.25">
      <c r="A2075" s="5" t="s">
        <v>4384</v>
      </c>
      <c r="B2075" s="5" t="s">
        <v>4383</v>
      </c>
      <c r="C2075" s="5" t="s">
        <v>46</v>
      </c>
      <c r="D2075" s="21">
        <v>3</v>
      </c>
      <c r="E2075" s="12">
        <v>447</v>
      </c>
      <c r="F2075" s="10" t="str">
        <f>_xlfn.XLOOKUP(C2075,menu!A:A,menu!B:B)</f>
        <v>Fish Finger</v>
      </c>
      <c r="G2075" s="10" t="str">
        <f>_xlfn.XLOOKUP(C2075,menu!A:A,menu!C:C)</f>
        <v>Starters</v>
      </c>
      <c r="H2075" s="10">
        <f>_xlfn.XLOOKUP(C2075,menu!A:A,menu!E:E)</f>
        <v>45</v>
      </c>
      <c r="I2075" s="10">
        <f t="shared" si="32"/>
        <v>135</v>
      </c>
      <c r="K2075" s="10"/>
      <c r="L2075" s="5"/>
    </row>
    <row r="2076" spans="1:12" x14ac:dyDescent="0.25">
      <c r="A2076" s="5" t="s">
        <v>4382</v>
      </c>
      <c r="B2076" s="5" t="s">
        <v>4381</v>
      </c>
      <c r="C2076" s="5" t="s">
        <v>63</v>
      </c>
      <c r="D2076" s="21">
        <v>2</v>
      </c>
      <c r="E2076" s="12">
        <v>158</v>
      </c>
      <c r="F2076" s="10" t="str">
        <f>_xlfn.XLOOKUP(C2076,menu!A:A,menu!B:B)</f>
        <v>Virgin Mojito</v>
      </c>
      <c r="G2076" s="10" t="str">
        <f>_xlfn.XLOOKUP(C2076,menu!A:A,menu!C:C)</f>
        <v>Beverages</v>
      </c>
      <c r="H2076" s="10">
        <f>_xlfn.XLOOKUP(C2076,menu!A:A,menu!E:E)</f>
        <v>24</v>
      </c>
      <c r="I2076" s="10">
        <f t="shared" si="32"/>
        <v>48</v>
      </c>
      <c r="K2076" s="10"/>
      <c r="L2076" s="5"/>
    </row>
    <row r="2077" spans="1:12" x14ac:dyDescent="0.25">
      <c r="A2077" s="5" t="s">
        <v>4380</v>
      </c>
      <c r="B2077" s="5" t="s">
        <v>4378</v>
      </c>
      <c r="C2077" s="5" t="s">
        <v>22</v>
      </c>
      <c r="D2077" s="21">
        <v>1</v>
      </c>
      <c r="E2077" s="12">
        <v>99</v>
      </c>
      <c r="F2077" s="10" t="str">
        <f>_xlfn.XLOOKUP(C2077,menu!A:A,menu!B:B)</f>
        <v>Chicken Burger</v>
      </c>
      <c r="G2077" s="10" t="str">
        <f>_xlfn.XLOOKUP(C2077,menu!A:A,menu!C:C)</f>
        <v>Burger</v>
      </c>
      <c r="H2077" s="10">
        <f>_xlfn.XLOOKUP(C2077,menu!A:A,menu!E:E)</f>
        <v>30</v>
      </c>
      <c r="I2077" s="10">
        <f t="shared" si="32"/>
        <v>30</v>
      </c>
      <c r="K2077" s="10"/>
      <c r="L2077" s="5"/>
    </row>
    <row r="2078" spans="1:12" x14ac:dyDescent="0.25">
      <c r="A2078" s="5" t="s">
        <v>4379</v>
      </c>
      <c r="B2078" s="5" t="s">
        <v>4378</v>
      </c>
      <c r="C2078" s="5" t="s">
        <v>61</v>
      </c>
      <c r="D2078" s="21">
        <v>3</v>
      </c>
      <c r="E2078" s="12">
        <v>237</v>
      </c>
      <c r="F2078" s="10" t="str">
        <f>_xlfn.XLOOKUP(C2078,menu!A:A,menu!B:B)</f>
        <v>Watermelon Mojito</v>
      </c>
      <c r="G2078" s="10" t="str">
        <f>_xlfn.XLOOKUP(C2078,menu!A:A,menu!C:C)</f>
        <v>Beverages</v>
      </c>
      <c r="H2078" s="10">
        <f>_xlfn.XLOOKUP(C2078,menu!A:A,menu!E:E)</f>
        <v>24</v>
      </c>
      <c r="I2078" s="10">
        <f t="shared" si="32"/>
        <v>72</v>
      </c>
      <c r="K2078" s="10"/>
      <c r="L2078" s="5"/>
    </row>
    <row r="2079" spans="1:12" x14ac:dyDescent="0.25">
      <c r="A2079" s="5" t="s">
        <v>4377</v>
      </c>
      <c r="B2079" s="5" t="s">
        <v>4375</v>
      </c>
      <c r="C2079" s="5" t="s">
        <v>19</v>
      </c>
      <c r="D2079" s="21">
        <v>2</v>
      </c>
      <c r="E2079" s="12">
        <v>158</v>
      </c>
      <c r="F2079" s="10" t="str">
        <f>_xlfn.XLOOKUP(C2079,menu!A:A,menu!B:B)</f>
        <v>Veg Burger</v>
      </c>
      <c r="G2079" s="10" t="str">
        <f>_xlfn.XLOOKUP(C2079,menu!A:A,menu!C:C)</f>
        <v>Burger</v>
      </c>
      <c r="H2079" s="10">
        <f>_xlfn.XLOOKUP(C2079,menu!A:A,menu!E:E)</f>
        <v>24</v>
      </c>
      <c r="I2079" s="10">
        <f t="shared" si="32"/>
        <v>48</v>
      </c>
      <c r="K2079" s="10"/>
      <c r="L2079" s="5"/>
    </row>
    <row r="2080" spans="1:12" x14ac:dyDescent="0.25">
      <c r="A2080" s="5" t="s">
        <v>4376</v>
      </c>
      <c r="B2080" s="5" t="s">
        <v>4375</v>
      </c>
      <c r="C2080" s="5" t="s">
        <v>54</v>
      </c>
      <c r="D2080" s="21">
        <v>1</v>
      </c>
      <c r="E2080" s="12">
        <v>139</v>
      </c>
      <c r="F2080" s="10" t="str">
        <f>_xlfn.XLOOKUP(C2080,menu!A:A,menu!B:B)</f>
        <v>Chicken Strips</v>
      </c>
      <c r="G2080" s="10" t="str">
        <f>_xlfn.XLOOKUP(C2080,menu!A:A,menu!C:C)</f>
        <v>Starters</v>
      </c>
      <c r="H2080" s="10">
        <f>_xlfn.XLOOKUP(C2080,menu!A:A,menu!E:E)</f>
        <v>42</v>
      </c>
      <c r="I2080" s="10">
        <f t="shared" si="32"/>
        <v>42</v>
      </c>
      <c r="K2080" s="10"/>
      <c r="L2080" s="5"/>
    </row>
    <row r="2081" spans="1:12" x14ac:dyDescent="0.25">
      <c r="A2081" s="5" t="s">
        <v>4374</v>
      </c>
      <c r="B2081" s="5" t="s">
        <v>4370</v>
      </c>
      <c r="C2081" s="5" t="s">
        <v>40</v>
      </c>
      <c r="D2081" s="21">
        <v>3</v>
      </c>
      <c r="E2081" s="12">
        <v>297</v>
      </c>
      <c r="F2081" s="10" t="str">
        <f>_xlfn.XLOOKUP(C2081,menu!A:A,menu!B:B)</f>
        <v>Veg Nuggets</v>
      </c>
      <c r="G2081" s="10" t="str">
        <f>_xlfn.XLOOKUP(C2081,menu!A:A,menu!C:C)</f>
        <v>Starters</v>
      </c>
      <c r="H2081" s="10">
        <f>_xlfn.XLOOKUP(C2081,menu!A:A,menu!E:E)</f>
        <v>30</v>
      </c>
      <c r="I2081" s="10">
        <f t="shared" si="32"/>
        <v>90</v>
      </c>
      <c r="K2081" s="10"/>
      <c r="L2081" s="5"/>
    </row>
    <row r="2082" spans="1:12" x14ac:dyDescent="0.25">
      <c r="A2082" s="5" t="s">
        <v>4373</v>
      </c>
      <c r="B2082" s="5" t="s">
        <v>4370</v>
      </c>
      <c r="C2082" s="5" t="s">
        <v>38</v>
      </c>
      <c r="D2082" s="21">
        <v>2</v>
      </c>
      <c r="E2082" s="12">
        <v>298</v>
      </c>
      <c r="F2082" s="10" t="str">
        <f>_xlfn.XLOOKUP(C2082,menu!A:A,menu!B:B)</f>
        <v>Chicken Wings</v>
      </c>
      <c r="G2082" s="10" t="str">
        <f>_xlfn.XLOOKUP(C2082,menu!A:A,menu!C:C)</f>
        <v>Starters</v>
      </c>
      <c r="H2082" s="10">
        <f>_xlfn.XLOOKUP(C2082,menu!A:A,menu!E:E)</f>
        <v>45</v>
      </c>
      <c r="I2082" s="10">
        <f t="shared" si="32"/>
        <v>90</v>
      </c>
      <c r="K2082" s="10"/>
      <c r="L2082" s="5"/>
    </row>
    <row r="2083" spans="1:12" x14ac:dyDescent="0.25">
      <c r="A2083" s="5" t="s">
        <v>4372</v>
      </c>
      <c r="B2083" s="5" t="s">
        <v>4370</v>
      </c>
      <c r="C2083" s="5" t="s">
        <v>15</v>
      </c>
      <c r="D2083" s="21">
        <v>2</v>
      </c>
      <c r="E2083" s="12">
        <v>198</v>
      </c>
      <c r="F2083" s="10" t="str">
        <f>_xlfn.XLOOKUP(C2083,menu!A:A,menu!B:B)</f>
        <v>Chicken Momos</v>
      </c>
      <c r="G2083" s="10" t="str">
        <f>_xlfn.XLOOKUP(C2083,menu!A:A,menu!C:C)</f>
        <v>Momos</v>
      </c>
      <c r="H2083" s="10">
        <f>_xlfn.XLOOKUP(C2083,menu!A:A,menu!E:E)</f>
        <v>30</v>
      </c>
      <c r="I2083" s="10">
        <f t="shared" si="32"/>
        <v>60</v>
      </c>
      <c r="K2083" s="10"/>
      <c r="L2083" s="5"/>
    </row>
    <row r="2084" spans="1:12" x14ac:dyDescent="0.25">
      <c r="A2084" s="5" t="s">
        <v>4371</v>
      </c>
      <c r="B2084" s="5" t="s">
        <v>4370</v>
      </c>
      <c r="C2084" s="5" t="s">
        <v>24</v>
      </c>
      <c r="D2084" s="21">
        <v>4</v>
      </c>
      <c r="E2084" s="12">
        <v>356</v>
      </c>
      <c r="F2084" s="10" t="str">
        <f>_xlfn.XLOOKUP(C2084,menu!A:A,menu!B:B)</f>
        <v>Paneer Burger</v>
      </c>
      <c r="G2084" s="10" t="str">
        <f>_xlfn.XLOOKUP(C2084,menu!A:A,menu!C:C)</f>
        <v>Burger</v>
      </c>
      <c r="H2084" s="10">
        <f>_xlfn.XLOOKUP(C2084,menu!A:A,menu!E:E)</f>
        <v>27</v>
      </c>
      <c r="I2084" s="10">
        <f t="shared" si="32"/>
        <v>108</v>
      </c>
      <c r="K2084" s="10"/>
      <c r="L2084" s="5"/>
    </row>
    <row r="2085" spans="1:12" x14ac:dyDescent="0.25">
      <c r="A2085" s="5" t="s">
        <v>4369</v>
      </c>
      <c r="B2085" s="5" t="s">
        <v>4367</v>
      </c>
      <c r="C2085" s="5" t="s">
        <v>33</v>
      </c>
      <c r="D2085" s="21">
        <v>3</v>
      </c>
      <c r="E2085" s="12">
        <v>207</v>
      </c>
      <c r="F2085" s="10" t="str">
        <f>_xlfn.XLOOKUP(C2085,menu!A:A,menu!B:B)</f>
        <v>Spring Roll</v>
      </c>
      <c r="G2085" s="10" t="str">
        <f>_xlfn.XLOOKUP(C2085,menu!A:A,menu!C:C)</f>
        <v>Rolls</v>
      </c>
      <c r="H2085" s="10">
        <f>_xlfn.XLOOKUP(C2085,menu!A:A,menu!E:E)</f>
        <v>21</v>
      </c>
      <c r="I2085" s="10">
        <f t="shared" si="32"/>
        <v>63</v>
      </c>
      <c r="K2085" s="10"/>
      <c r="L2085" s="5"/>
    </row>
    <row r="2086" spans="1:12" x14ac:dyDescent="0.25">
      <c r="A2086" s="5" t="s">
        <v>4368</v>
      </c>
      <c r="B2086" s="5" t="s">
        <v>4367</v>
      </c>
      <c r="C2086" s="5" t="s">
        <v>38</v>
      </c>
      <c r="D2086" s="21">
        <v>1</v>
      </c>
      <c r="E2086" s="12">
        <v>149</v>
      </c>
      <c r="F2086" s="10" t="str">
        <f>_xlfn.XLOOKUP(C2086,menu!A:A,menu!B:B)</f>
        <v>Chicken Wings</v>
      </c>
      <c r="G2086" s="10" t="str">
        <f>_xlfn.XLOOKUP(C2086,menu!A:A,menu!C:C)</f>
        <v>Starters</v>
      </c>
      <c r="H2086" s="10">
        <f>_xlfn.XLOOKUP(C2086,menu!A:A,menu!E:E)</f>
        <v>45</v>
      </c>
      <c r="I2086" s="10">
        <f t="shared" si="32"/>
        <v>45</v>
      </c>
      <c r="K2086" s="10"/>
      <c r="L2086" s="5"/>
    </row>
    <row r="2087" spans="1:12" x14ac:dyDescent="0.25">
      <c r="A2087" s="5" t="s">
        <v>4366</v>
      </c>
      <c r="B2087" s="5" t="s">
        <v>4365</v>
      </c>
      <c r="C2087" s="5" t="s">
        <v>38</v>
      </c>
      <c r="D2087" s="21">
        <v>3</v>
      </c>
      <c r="E2087" s="12">
        <v>447</v>
      </c>
      <c r="F2087" s="10" t="str">
        <f>_xlfn.XLOOKUP(C2087,menu!A:A,menu!B:B)</f>
        <v>Chicken Wings</v>
      </c>
      <c r="G2087" s="10" t="str">
        <f>_xlfn.XLOOKUP(C2087,menu!A:A,menu!C:C)</f>
        <v>Starters</v>
      </c>
      <c r="H2087" s="10">
        <f>_xlfn.XLOOKUP(C2087,menu!A:A,menu!E:E)</f>
        <v>45</v>
      </c>
      <c r="I2087" s="10">
        <f t="shared" si="32"/>
        <v>135</v>
      </c>
      <c r="K2087" s="10"/>
      <c r="L2087" s="5"/>
    </row>
    <row r="2088" spans="1:12" x14ac:dyDescent="0.25">
      <c r="A2088" s="5" t="s">
        <v>4364</v>
      </c>
      <c r="B2088" s="5" t="s">
        <v>4362</v>
      </c>
      <c r="C2088" s="5" t="s">
        <v>56</v>
      </c>
      <c r="D2088" s="21">
        <v>4</v>
      </c>
      <c r="E2088" s="12">
        <v>316</v>
      </c>
      <c r="F2088" s="10" t="str">
        <f>_xlfn.XLOOKUP(C2088,menu!A:A,menu!B:B)</f>
        <v>Mint Mojito</v>
      </c>
      <c r="G2088" s="10" t="str">
        <f>_xlfn.XLOOKUP(C2088,menu!A:A,menu!C:C)</f>
        <v>Beverages</v>
      </c>
      <c r="H2088" s="10">
        <f>_xlfn.XLOOKUP(C2088,menu!A:A,menu!E:E)</f>
        <v>24</v>
      </c>
      <c r="I2088" s="10">
        <f t="shared" si="32"/>
        <v>96</v>
      </c>
      <c r="K2088" s="10"/>
      <c r="L2088" s="5"/>
    </row>
    <row r="2089" spans="1:12" x14ac:dyDescent="0.25">
      <c r="A2089" s="5" t="s">
        <v>4363</v>
      </c>
      <c r="B2089" s="5" t="s">
        <v>4362</v>
      </c>
      <c r="C2089" s="5" t="s">
        <v>15</v>
      </c>
      <c r="D2089" s="21">
        <v>1</v>
      </c>
      <c r="E2089" s="12">
        <v>99</v>
      </c>
      <c r="F2089" s="10" t="str">
        <f>_xlfn.XLOOKUP(C2089,menu!A:A,menu!B:B)</f>
        <v>Chicken Momos</v>
      </c>
      <c r="G2089" s="10" t="str">
        <f>_xlfn.XLOOKUP(C2089,menu!A:A,menu!C:C)</f>
        <v>Momos</v>
      </c>
      <c r="H2089" s="10">
        <f>_xlfn.XLOOKUP(C2089,menu!A:A,menu!E:E)</f>
        <v>30</v>
      </c>
      <c r="I2089" s="10">
        <f t="shared" si="32"/>
        <v>30</v>
      </c>
      <c r="K2089" s="10"/>
      <c r="L2089" s="5"/>
    </row>
    <row r="2090" spans="1:12" x14ac:dyDescent="0.25">
      <c r="A2090" s="5" t="s">
        <v>4361</v>
      </c>
      <c r="B2090" s="5" t="s">
        <v>4357</v>
      </c>
      <c r="C2090" s="5" t="s">
        <v>56</v>
      </c>
      <c r="D2090" s="21">
        <v>2</v>
      </c>
      <c r="E2090" s="12">
        <v>158</v>
      </c>
      <c r="F2090" s="10" t="str">
        <f>_xlfn.XLOOKUP(C2090,menu!A:A,menu!B:B)</f>
        <v>Mint Mojito</v>
      </c>
      <c r="G2090" s="10" t="str">
        <f>_xlfn.XLOOKUP(C2090,menu!A:A,menu!C:C)</f>
        <v>Beverages</v>
      </c>
      <c r="H2090" s="10">
        <f>_xlfn.XLOOKUP(C2090,menu!A:A,menu!E:E)</f>
        <v>24</v>
      </c>
      <c r="I2090" s="10">
        <f t="shared" si="32"/>
        <v>48</v>
      </c>
      <c r="K2090" s="10"/>
      <c r="L2090" s="5"/>
    </row>
    <row r="2091" spans="1:12" x14ac:dyDescent="0.25">
      <c r="A2091" s="5" t="s">
        <v>4360</v>
      </c>
      <c r="B2091" s="5" t="s">
        <v>4357</v>
      </c>
      <c r="C2091" s="5" t="s">
        <v>8</v>
      </c>
      <c r="D2091" s="21">
        <v>1</v>
      </c>
      <c r="E2091" s="12">
        <v>99</v>
      </c>
      <c r="F2091" s="10" t="str">
        <f>_xlfn.XLOOKUP(C2091,menu!A:A,menu!B:B)</f>
        <v>Paneer Sandwich</v>
      </c>
      <c r="G2091" s="10" t="str">
        <f>_xlfn.XLOOKUP(C2091,menu!A:A,menu!C:C)</f>
        <v>Sandwich</v>
      </c>
      <c r="H2091" s="10">
        <f>_xlfn.XLOOKUP(C2091,menu!A:A,menu!E:E)</f>
        <v>30</v>
      </c>
      <c r="I2091" s="10">
        <f t="shared" si="32"/>
        <v>30</v>
      </c>
      <c r="K2091" s="10"/>
      <c r="L2091" s="5"/>
    </row>
    <row r="2092" spans="1:12" x14ac:dyDescent="0.25">
      <c r="A2092" s="5" t="s">
        <v>4359</v>
      </c>
      <c r="B2092" s="5" t="s">
        <v>4357</v>
      </c>
      <c r="C2092" s="5" t="s">
        <v>59</v>
      </c>
      <c r="D2092" s="21">
        <v>2</v>
      </c>
      <c r="E2092" s="12">
        <v>158</v>
      </c>
      <c r="F2092" s="10" t="str">
        <f>_xlfn.XLOOKUP(C2092,menu!A:A,menu!B:B)</f>
        <v>Blue Curacao Mojito</v>
      </c>
      <c r="G2092" s="10" t="str">
        <f>_xlfn.XLOOKUP(C2092,menu!A:A,menu!C:C)</f>
        <v>Beverages</v>
      </c>
      <c r="H2092" s="10">
        <f>_xlfn.XLOOKUP(C2092,menu!A:A,menu!E:E)</f>
        <v>24</v>
      </c>
      <c r="I2092" s="10">
        <f t="shared" si="32"/>
        <v>48</v>
      </c>
      <c r="K2092" s="10"/>
      <c r="L2092" s="5"/>
    </row>
    <row r="2093" spans="1:12" x14ac:dyDescent="0.25">
      <c r="A2093" s="5" t="s">
        <v>4358</v>
      </c>
      <c r="B2093" s="5" t="s">
        <v>4357</v>
      </c>
      <c r="C2093" s="5" t="s">
        <v>24</v>
      </c>
      <c r="D2093" s="21">
        <v>1</v>
      </c>
      <c r="E2093" s="12">
        <v>89</v>
      </c>
      <c r="F2093" s="10" t="str">
        <f>_xlfn.XLOOKUP(C2093,menu!A:A,menu!B:B)</f>
        <v>Paneer Burger</v>
      </c>
      <c r="G2093" s="10" t="str">
        <f>_xlfn.XLOOKUP(C2093,menu!A:A,menu!C:C)</f>
        <v>Burger</v>
      </c>
      <c r="H2093" s="10">
        <f>_xlfn.XLOOKUP(C2093,menu!A:A,menu!E:E)</f>
        <v>27</v>
      </c>
      <c r="I2093" s="10">
        <f t="shared" si="32"/>
        <v>27</v>
      </c>
      <c r="K2093" s="10"/>
      <c r="L2093" s="5"/>
    </row>
    <row r="2094" spans="1:12" x14ac:dyDescent="0.25">
      <c r="A2094" s="5" t="s">
        <v>4356</v>
      </c>
      <c r="B2094" s="5" t="s">
        <v>4354</v>
      </c>
      <c r="C2094" s="5" t="s">
        <v>17</v>
      </c>
      <c r="D2094" s="21">
        <v>1</v>
      </c>
      <c r="E2094" s="12">
        <v>89</v>
      </c>
      <c r="F2094" s="10" t="str">
        <f>_xlfn.XLOOKUP(C2094,menu!A:A,menu!B:B)</f>
        <v>Paneer Momos</v>
      </c>
      <c r="G2094" s="10" t="str">
        <f>_xlfn.XLOOKUP(C2094,menu!A:A,menu!C:C)</f>
        <v>Momos</v>
      </c>
      <c r="H2094" s="10">
        <f>_xlfn.XLOOKUP(C2094,menu!A:A,menu!E:E)</f>
        <v>27</v>
      </c>
      <c r="I2094" s="10">
        <f t="shared" si="32"/>
        <v>27</v>
      </c>
      <c r="K2094" s="10"/>
      <c r="L2094" s="5"/>
    </row>
    <row r="2095" spans="1:12" x14ac:dyDescent="0.25">
      <c r="A2095" s="5" t="s">
        <v>4355</v>
      </c>
      <c r="B2095" s="5" t="s">
        <v>4354</v>
      </c>
      <c r="C2095" s="5" t="s">
        <v>59</v>
      </c>
      <c r="D2095" s="21">
        <v>5</v>
      </c>
      <c r="E2095" s="12">
        <v>395</v>
      </c>
      <c r="F2095" s="10" t="str">
        <f>_xlfn.XLOOKUP(C2095,menu!A:A,menu!B:B)</f>
        <v>Blue Curacao Mojito</v>
      </c>
      <c r="G2095" s="10" t="str">
        <f>_xlfn.XLOOKUP(C2095,menu!A:A,menu!C:C)</f>
        <v>Beverages</v>
      </c>
      <c r="H2095" s="10">
        <f>_xlfn.XLOOKUP(C2095,menu!A:A,menu!E:E)</f>
        <v>24</v>
      </c>
      <c r="I2095" s="10">
        <f t="shared" si="32"/>
        <v>120</v>
      </c>
      <c r="K2095" s="10"/>
      <c r="L2095" s="5"/>
    </row>
    <row r="2096" spans="1:12" x14ac:dyDescent="0.25">
      <c r="A2096" s="5" t="s">
        <v>4353</v>
      </c>
      <c r="B2096" s="5" t="s">
        <v>4351</v>
      </c>
      <c r="C2096" s="5" t="s">
        <v>52</v>
      </c>
      <c r="D2096" s="21">
        <v>2</v>
      </c>
      <c r="E2096" s="12">
        <v>198</v>
      </c>
      <c r="F2096" s="10" t="str">
        <f>_xlfn.XLOOKUP(C2096,menu!A:A,menu!B:B)</f>
        <v>French Fries</v>
      </c>
      <c r="G2096" s="10" t="str">
        <f>_xlfn.XLOOKUP(C2096,menu!A:A,menu!C:C)</f>
        <v>Starters</v>
      </c>
      <c r="H2096" s="10">
        <f>_xlfn.XLOOKUP(C2096,menu!A:A,menu!E:E)</f>
        <v>30</v>
      </c>
      <c r="I2096" s="10">
        <f t="shared" si="32"/>
        <v>60</v>
      </c>
      <c r="K2096" s="10"/>
      <c r="L2096" s="5"/>
    </row>
    <row r="2097" spans="1:12" x14ac:dyDescent="0.25">
      <c r="A2097" s="5" t="s">
        <v>4352</v>
      </c>
      <c r="B2097" s="5" t="s">
        <v>4351</v>
      </c>
      <c r="C2097" s="5" t="s">
        <v>35</v>
      </c>
      <c r="D2097" s="21">
        <v>1</v>
      </c>
      <c r="E2097" s="12">
        <v>119</v>
      </c>
      <c r="F2097" s="10" t="str">
        <f>_xlfn.XLOOKUP(C2097,menu!A:A,menu!B:B)</f>
        <v>Chicken Nuggets</v>
      </c>
      <c r="G2097" s="10" t="str">
        <f>_xlfn.XLOOKUP(C2097,menu!A:A,menu!C:C)</f>
        <v>Starters</v>
      </c>
      <c r="H2097" s="10">
        <f>_xlfn.XLOOKUP(C2097,menu!A:A,menu!E:E)</f>
        <v>36</v>
      </c>
      <c r="I2097" s="10">
        <f t="shared" si="32"/>
        <v>36</v>
      </c>
      <c r="K2097" s="10"/>
      <c r="L2097" s="5"/>
    </row>
    <row r="2098" spans="1:12" x14ac:dyDescent="0.25">
      <c r="A2098" s="5" t="s">
        <v>4350</v>
      </c>
      <c r="B2098" s="5" t="s">
        <v>4346</v>
      </c>
      <c r="C2098" s="5" t="s">
        <v>52</v>
      </c>
      <c r="D2098" s="21">
        <v>3</v>
      </c>
      <c r="E2098" s="12">
        <v>297</v>
      </c>
      <c r="F2098" s="10" t="str">
        <f>_xlfn.XLOOKUP(C2098,menu!A:A,menu!B:B)</f>
        <v>French Fries</v>
      </c>
      <c r="G2098" s="10" t="str">
        <f>_xlfn.XLOOKUP(C2098,menu!A:A,menu!C:C)</f>
        <v>Starters</v>
      </c>
      <c r="H2098" s="10">
        <f>_xlfn.XLOOKUP(C2098,menu!A:A,menu!E:E)</f>
        <v>30</v>
      </c>
      <c r="I2098" s="10">
        <f t="shared" si="32"/>
        <v>90</v>
      </c>
      <c r="K2098" s="10"/>
      <c r="L2098" s="5"/>
    </row>
    <row r="2099" spans="1:12" x14ac:dyDescent="0.25">
      <c r="A2099" s="5" t="s">
        <v>4349</v>
      </c>
      <c r="B2099" s="5" t="s">
        <v>4346</v>
      </c>
      <c r="C2099" s="5" t="s">
        <v>15</v>
      </c>
      <c r="D2099" s="21">
        <v>2</v>
      </c>
      <c r="E2099" s="12">
        <v>198</v>
      </c>
      <c r="F2099" s="10" t="str">
        <f>_xlfn.XLOOKUP(C2099,menu!A:A,menu!B:B)</f>
        <v>Chicken Momos</v>
      </c>
      <c r="G2099" s="10" t="str">
        <f>_xlfn.XLOOKUP(C2099,menu!A:A,menu!C:C)</f>
        <v>Momos</v>
      </c>
      <c r="H2099" s="10">
        <f>_xlfn.XLOOKUP(C2099,menu!A:A,menu!E:E)</f>
        <v>30</v>
      </c>
      <c r="I2099" s="10">
        <f t="shared" si="32"/>
        <v>60</v>
      </c>
      <c r="K2099" s="10"/>
      <c r="L2099" s="5"/>
    </row>
    <row r="2100" spans="1:12" x14ac:dyDescent="0.25">
      <c r="A2100" s="5" t="s">
        <v>4348</v>
      </c>
      <c r="B2100" s="5" t="s">
        <v>4346</v>
      </c>
      <c r="C2100" s="5" t="s">
        <v>26</v>
      </c>
      <c r="D2100" s="21">
        <v>1</v>
      </c>
      <c r="E2100" s="12">
        <v>59</v>
      </c>
      <c r="F2100" s="10" t="str">
        <f>_xlfn.XLOOKUP(C2100,menu!A:A,menu!B:B)</f>
        <v>Veg Roll</v>
      </c>
      <c r="G2100" s="10" t="str">
        <f>_xlfn.XLOOKUP(C2100,menu!A:A,menu!C:C)</f>
        <v>Rolls</v>
      </c>
      <c r="H2100" s="10">
        <f>_xlfn.XLOOKUP(C2100,menu!A:A,menu!E:E)</f>
        <v>18</v>
      </c>
      <c r="I2100" s="10">
        <f t="shared" si="32"/>
        <v>18</v>
      </c>
      <c r="K2100" s="10"/>
      <c r="L2100" s="5"/>
    </row>
    <row r="2101" spans="1:12" x14ac:dyDescent="0.25">
      <c r="A2101" s="5" t="s">
        <v>4347</v>
      </c>
      <c r="B2101" s="5" t="s">
        <v>4346</v>
      </c>
      <c r="C2101" s="5" t="s">
        <v>48</v>
      </c>
      <c r="D2101" s="21">
        <v>3</v>
      </c>
      <c r="E2101" s="12">
        <v>477</v>
      </c>
      <c r="F2101" s="10" t="str">
        <f>_xlfn.XLOOKUP(C2101,menu!A:A,menu!B:B)</f>
        <v>Chicken Lollipop</v>
      </c>
      <c r="G2101" s="10" t="str">
        <f>_xlfn.XLOOKUP(C2101,menu!A:A,menu!C:C)</f>
        <v>Starters</v>
      </c>
      <c r="H2101" s="10">
        <f>_xlfn.XLOOKUP(C2101,menu!A:A,menu!E:E)</f>
        <v>48</v>
      </c>
      <c r="I2101" s="10">
        <f t="shared" si="32"/>
        <v>144</v>
      </c>
      <c r="K2101" s="10"/>
      <c r="L2101" s="5"/>
    </row>
    <row r="2102" spans="1:12" x14ac:dyDescent="0.25">
      <c r="A2102" s="5" t="s">
        <v>4345</v>
      </c>
      <c r="B2102" s="5" t="s">
        <v>4343</v>
      </c>
      <c r="C2102" s="5" t="s">
        <v>42</v>
      </c>
      <c r="D2102" s="21">
        <v>3</v>
      </c>
      <c r="E2102" s="12">
        <v>447</v>
      </c>
      <c r="F2102" s="10" t="str">
        <f>_xlfn.XLOOKUP(C2102,menu!A:A,menu!B:B)</f>
        <v>Chicken Popcorn</v>
      </c>
      <c r="G2102" s="10" t="str">
        <f>_xlfn.XLOOKUP(C2102,menu!A:A,menu!C:C)</f>
        <v>Starters</v>
      </c>
      <c r="H2102" s="10">
        <f>_xlfn.XLOOKUP(C2102,menu!A:A,menu!E:E)</f>
        <v>45</v>
      </c>
      <c r="I2102" s="10">
        <f t="shared" si="32"/>
        <v>135</v>
      </c>
      <c r="K2102" s="10"/>
      <c r="L2102" s="5"/>
    </row>
    <row r="2103" spans="1:12" x14ac:dyDescent="0.25">
      <c r="A2103" s="5" t="s">
        <v>4344</v>
      </c>
      <c r="B2103" s="5" t="s">
        <v>4343</v>
      </c>
      <c r="C2103" s="5" t="s">
        <v>33</v>
      </c>
      <c r="D2103" s="21">
        <v>1</v>
      </c>
      <c r="E2103" s="12">
        <v>69</v>
      </c>
      <c r="F2103" s="10" t="str">
        <f>_xlfn.XLOOKUP(C2103,menu!A:A,menu!B:B)</f>
        <v>Spring Roll</v>
      </c>
      <c r="G2103" s="10" t="str">
        <f>_xlfn.XLOOKUP(C2103,menu!A:A,menu!C:C)</f>
        <v>Rolls</v>
      </c>
      <c r="H2103" s="10">
        <f>_xlfn.XLOOKUP(C2103,menu!A:A,menu!E:E)</f>
        <v>21</v>
      </c>
      <c r="I2103" s="10">
        <f t="shared" si="32"/>
        <v>21</v>
      </c>
      <c r="K2103" s="10"/>
      <c r="L2103" s="5"/>
    </row>
    <row r="2104" spans="1:12" x14ac:dyDescent="0.25">
      <c r="A2104" s="5" t="s">
        <v>4342</v>
      </c>
      <c r="B2104" s="5" t="s">
        <v>4339</v>
      </c>
      <c r="C2104" s="5" t="s">
        <v>19</v>
      </c>
      <c r="D2104" s="21">
        <v>2</v>
      </c>
      <c r="E2104" s="12">
        <v>158</v>
      </c>
      <c r="F2104" s="10" t="str">
        <f>_xlfn.XLOOKUP(C2104,menu!A:A,menu!B:B)</f>
        <v>Veg Burger</v>
      </c>
      <c r="G2104" s="10" t="str">
        <f>_xlfn.XLOOKUP(C2104,menu!A:A,menu!C:C)</f>
        <v>Burger</v>
      </c>
      <c r="H2104" s="10">
        <f>_xlfn.XLOOKUP(C2104,menu!A:A,menu!E:E)</f>
        <v>24</v>
      </c>
      <c r="I2104" s="10">
        <f t="shared" si="32"/>
        <v>48</v>
      </c>
      <c r="K2104" s="10"/>
      <c r="L2104" s="5"/>
    </row>
    <row r="2105" spans="1:12" x14ac:dyDescent="0.25">
      <c r="A2105" s="5" t="s">
        <v>4341</v>
      </c>
      <c r="B2105" s="5" t="s">
        <v>4339</v>
      </c>
      <c r="C2105" s="5" t="s">
        <v>15</v>
      </c>
      <c r="D2105" s="21">
        <v>1</v>
      </c>
      <c r="E2105" s="12">
        <v>99</v>
      </c>
      <c r="F2105" s="10" t="str">
        <f>_xlfn.XLOOKUP(C2105,menu!A:A,menu!B:B)</f>
        <v>Chicken Momos</v>
      </c>
      <c r="G2105" s="10" t="str">
        <f>_xlfn.XLOOKUP(C2105,menu!A:A,menu!C:C)</f>
        <v>Momos</v>
      </c>
      <c r="H2105" s="10">
        <f>_xlfn.XLOOKUP(C2105,menu!A:A,menu!E:E)</f>
        <v>30</v>
      </c>
      <c r="I2105" s="10">
        <f t="shared" si="32"/>
        <v>30</v>
      </c>
      <c r="K2105" s="10"/>
      <c r="L2105" s="5"/>
    </row>
    <row r="2106" spans="1:12" x14ac:dyDescent="0.25">
      <c r="A2106" s="5" t="s">
        <v>4340</v>
      </c>
      <c r="B2106" s="5" t="s">
        <v>4339</v>
      </c>
      <c r="C2106" s="5" t="s">
        <v>59</v>
      </c>
      <c r="D2106" s="21">
        <v>2</v>
      </c>
      <c r="E2106" s="12">
        <v>158</v>
      </c>
      <c r="F2106" s="10" t="str">
        <f>_xlfn.XLOOKUP(C2106,menu!A:A,menu!B:B)</f>
        <v>Blue Curacao Mojito</v>
      </c>
      <c r="G2106" s="10" t="str">
        <f>_xlfn.XLOOKUP(C2106,menu!A:A,menu!C:C)</f>
        <v>Beverages</v>
      </c>
      <c r="H2106" s="10">
        <f>_xlfn.XLOOKUP(C2106,menu!A:A,menu!E:E)</f>
        <v>24</v>
      </c>
      <c r="I2106" s="10">
        <f t="shared" si="32"/>
        <v>48</v>
      </c>
      <c r="K2106" s="10"/>
      <c r="L2106" s="5"/>
    </row>
    <row r="2107" spans="1:12" x14ac:dyDescent="0.25">
      <c r="A2107" s="5" t="s">
        <v>4338</v>
      </c>
      <c r="B2107" s="5" t="s">
        <v>4335</v>
      </c>
      <c r="C2107" s="5" t="s">
        <v>56</v>
      </c>
      <c r="D2107" s="21">
        <v>2</v>
      </c>
      <c r="E2107" s="12">
        <v>158</v>
      </c>
      <c r="F2107" s="10" t="str">
        <f>_xlfn.XLOOKUP(C2107,menu!A:A,menu!B:B)</f>
        <v>Mint Mojito</v>
      </c>
      <c r="G2107" s="10" t="str">
        <f>_xlfn.XLOOKUP(C2107,menu!A:A,menu!C:C)</f>
        <v>Beverages</v>
      </c>
      <c r="H2107" s="10">
        <f>_xlfn.XLOOKUP(C2107,menu!A:A,menu!E:E)</f>
        <v>24</v>
      </c>
      <c r="I2107" s="10">
        <f t="shared" si="32"/>
        <v>48</v>
      </c>
      <c r="K2107" s="10"/>
      <c r="L2107" s="5"/>
    </row>
    <row r="2108" spans="1:12" x14ac:dyDescent="0.25">
      <c r="A2108" s="5" t="s">
        <v>4337</v>
      </c>
      <c r="B2108" s="5" t="s">
        <v>4335</v>
      </c>
      <c r="C2108" s="5" t="s">
        <v>52</v>
      </c>
      <c r="D2108" s="21">
        <v>2</v>
      </c>
      <c r="E2108" s="12">
        <v>198</v>
      </c>
      <c r="F2108" s="10" t="str">
        <f>_xlfn.XLOOKUP(C2108,menu!A:A,menu!B:B)</f>
        <v>French Fries</v>
      </c>
      <c r="G2108" s="10" t="str">
        <f>_xlfn.XLOOKUP(C2108,menu!A:A,menu!C:C)</f>
        <v>Starters</v>
      </c>
      <c r="H2108" s="10">
        <f>_xlfn.XLOOKUP(C2108,menu!A:A,menu!E:E)</f>
        <v>30</v>
      </c>
      <c r="I2108" s="10">
        <f t="shared" si="32"/>
        <v>60</v>
      </c>
      <c r="K2108" s="10"/>
      <c r="L2108" s="5"/>
    </row>
    <row r="2109" spans="1:12" x14ac:dyDescent="0.25">
      <c r="A2109" s="5" t="s">
        <v>4336</v>
      </c>
      <c r="B2109" s="5" t="s">
        <v>4335</v>
      </c>
      <c r="C2109" s="5" t="s">
        <v>26</v>
      </c>
      <c r="D2109" s="21">
        <v>2</v>
      </c>
      <c r="E2109" s="12">
        <v>118</v>
      </c>
      <c r="F2109" s="10" t="str">
        <f>_xlfn.XLOOKUP(C2109,menu!A:A,menu!B:B)</f>
        <v>Veg Roll</v>
      </c>
      <c r="G2109" s="10" t="str">
        <f>_xlfn.XLOOKUP(C2109,menu!A:A,menu!C:C)</f>
        <v>Rolls</v>
      </c>
      <c r="H2109" s="10">
        <f>_xlfn.XLOOKUP(C2109,menu!A:A,menu!E:E)</f>
        <v>18</v>
      </c>
      <c r="I2109" s="10">
        <f t="shared" si="32"/>
        <v>36</v>
      </c>
      <c r="K2109" s="10"/>
      <c r="L2109" s="5"/>
    </row>
    <row r="2110" spans="1:12" x14ac:dyDescent="0.25">
      <c r="A2110" s="5" t="s">
        <v>4334</v>
      </c>
      <c r="B2110" s="5" t="s">
        <v>4332</v>
      </c>
      <c r="C2110" s="5" t="s">
        <v>26</v>
      </c>
      <c r="D2110" s="21">
        <v>2</v>
      </c>
      <c r="E2110" s="12">
        <v>118</v>
      </c>
      <c r="F2110" s="10" t="str">
        <f>_xlfn.XLOOKUP(C2110,menu!A:A,menu!B:B)</f>
        <v>Veg Roll</v>
      </c>
      <c r="G2110" s="10" t="str">
        <f>_xlfn.XLOOKUP(C2110,menu!A:A,menu!C:C)</f>
        <v>Rolls</v>
      </c>
      <c r="H2110" s="10">
        <f>_xlfn.XLOOKUP(C2110,menu!A:A,menu!E:E)</f>
        <v>18</v>
      </c>
      <c r="I2110" s="10">
        <f t="shared" si="32"/>
        <v>36</v>
      </c>
      <c r="K2110" s="10"/>
      <c r="L2110" s="5"/>
    </row>
    <row r="2111" spans="1:12" x14ac:dyDescent="0.25">
      <c r="A2111" s="5" t="s">
        <v>4333</v>
      </c>
      <c r="B2111" s="5" t="s">
        <v>4332</v>
      </c>
      <c r="C2111" s="5" t="s">
        <v>38</v>
      </c>
      <c r="D2111" s="21">
        <v>2</v>
      </c>
      <c r="E2111" s="12">
        <v>298</v>
      </c>
      <c r="F2111" s="10" t="str">
        <f>_xlfn.XLOOKUP(C2111,menu!A:A,menu!B:B)</f>
        <v>Chicken Wings</v>
      </c>
      <c r="G2111" s="10" t="str">
        <f>_xlfn.XLOOKUP(C2111,menu!A:A,menu!C:C)</f>
        <v>Starters</v>
      </c>
      <c r="H2111" s="10">
        <f>_xlfn.XLOOKUP(C2111,menu!A:A,menu!E:E)</f>
        <v>45</v>
      </c>
      <c r="I2111" s="10">
        <f t="shared" si="32"/>
        <v>90</v>
      </c>
      <c r="K2111" s="10"/>
      <c r="L2111" s="5"/>
    </row>
    <row r="2112" spans="1:12" x14ac:dyDescent="0.25">
      <c r="A2112" s="5" t="s">
        <v>4331</v>
      </c>
      <c r="B2112" s="5" t="s">
        <v>4327</v>
      </c>
      <c r="C2112" s="5" t="s">
        <v>46</v>
      </c>
      <c r="D2112" s="21">
        <v>2</v>
      </c>
      <c r="E2112" s="12">
        <v>298</v>
      </c>
      <c r="F2112" s="10" t="str">
        <f>_xlfn.XLOOKUP(C2112,menu!A:A,menu!B:B)</f>
        <v>Fish Finger</v>
      </c>
      <c r="G2112" s="10" t="str">
        <f>_xlfn.XLOOKUP(C2112,menu!A:A,menu!C:C)</f>
        <v>Starters</v>
      </c>
      <c r="H2112" s="10">
        <f>_xlfn.XLOOKUP(C2112,menu!A:A,menu!E:E)</f>
        <v>45</v>
      </c>
      <c r="I2112" s="10">
        <f t="shared" si="32"/>
        <v>90</v>
      </c>
      <c r="K2112" s="10"/>
      <c r="L2112" s="5"/>
    </row>
    <row r="2113" spans="1:12" x14ac:dyDescent="0.25">
      <c r="A2113" s="5" t="s">
        <v>4330</v>
      </c>
      <c r="B2113" s="5" t="s">
        <v>4327</v>
      </c>
      <c r="C2113" s="5" t="s">
        <v>22</v>
      </c>
      <c r="D2113" s="21">
        <v>1</v>
      </c>
      <c r="E2113" s="12">
        <v>99</v>
      </c>
      <c r="F2113" s="10" t="str">
        <f>_xlfn.XLOOKUP(C2113,menu!A:A,menu!B:B)</f>
        <v>Chicken Burger</v>
      </c>
      <c r="G2113" s="10" t="str">
        <f>_xlfn.XLOOKUP(C2113,menu!A:A,menu!C:C)</f>
        <v>Burger</v>
      </c>
      <c r="H2113" s="10">
        <f>_xlfn.XLOOKUP(C2113,menu!A:A,menu!E:E)</f>
        <v>30</v>
      </c>
      <c r="I2113" s="10">
        <f t="shared" si="32"/>
        <v>30</v>
      </c>
      <c r="K2113" s="10"/>
      <c r="L2113" s="5"/>
    </row>
    <row r="2114" spans="1:12" x14ac:dyDescent="0.25">
      <c r="A2114" s="5" t="s">
        <v>4329</v>
      </c>
      <c r="B2114" s="5" t="s">
        <v>4327</v>
      </c>
      <c r="C2114" s="5" t="s">
        <v>59</v>
      </c>
      <c r="D2114" s="21">
        <v>1</v>
      </c>
      <c r="E2114" s="12">
        <v>79</v>
      </c>
      <c r="F2114" s="10" t="str">
        <f>_xlfn.XLOOKUP(C2114,menu!A:A,menu!B:B)</f>
        <v>Blue Curacao Mojito</v>
      </c>
      <c r="G2114" s="10" t="str">
        <f>_xlfn.XLOOKUP(C2114,menu!A:A,menu!C:C)</f>
        <v>Beverages</v>
      </c>
      <c r="H2114" s="10">
        <f>_xlfn.XLOOKUP(C2114,menu!A:A,menu!E:E)</f>
        <v>24</v>
      </c>
      <c r="I2114" s="10">
        <f t="shared" si="32"/>
        <v>24</v>
      </c>
      <c r="K2114" s="10"/>
      <c r="L2114" s="5"/>
    </row>
    <row r="2115" spans="1:12" x14ac:dyDescent="0.25">
      <c r="A2115" s="5" t="s">
        <v>4328</v>
      </c>
      <c r="B2115" s="5" t="s">
        <v>4327</v>
      </c>
      <c r="C2115" s="5" t="s">
        <v>61</v>
      </c>
      <c r="D2115" s="21">
        <v>2</v>
      </c>
      <c r="E2115" s="12">
        <v>158</v>
      </c>
      <c r="F2115" s="10" t="str">
        <f>_xlfn.XLOOKUP(C2115,menu!A:A,menu!B:B)</f>
        <v>Watermelon Mojito</v>
      </c>
      <c r="G2115" s="10" t="str">
        <f>_xlfn.XLOOKUP(C2115,menu!A:A,menu!C:C)</f>
        <v>Beverages</v>
      </c>
      <c r="H2115" s="10">
        <f>_xlfn.XLOOKUP(C2115,menu!A:A,menu!E:E)</f>
        <v>24</v>
      </c>
      <c r="I2115" s="10">
        <f t="shared" ref="I2115:I2178" si="33">D2115*H2115</f>
        <v>48</v>
      </c>
      <c r="K2115" s="10"/>
      <c r="L2115" s="5"/>
    </row>
    <row r="2116" spans="1:12" x14ac:dyDescent="0.25">
      <c r="A2116" s="5" t="s">
        <v>4326</v>
      </c>
      <c r="B2116" s="5" t="s">
        <v>4324</v>
      </c>
      <c r="C2116" s="5" t="s">
        <v>35</v>
      </c>
      <c r="D2116" s="21">
        <v>5</v>
      </c>
      <c r="E2116" s="12">
        <v>595</v>
      </c>
      <c r="F2116" s="10" t="str">
        <f>_xlfn.XLOOKUP(C2116,menu!A:A,menu!B:B)</f>
        <v>Chicken Nuggets</v>
      </c>
      <c r="G2116" s="10" t="str">
        <f>_xlfn.XLOOKUP(C2116,menu!A:A,menu!C:C)</f>
        <v>Starters</v>
      </c>
      <c r="H2116" s="10">
        <f>_xlfn.XLOOKUP(C2116,menu!A:A,menu!E:E)</f>
        <v>36</v>
      </c>
      <c r="I2116" s="10">
        <f t="shared" si="33"/>
        <v>180</v>
      </c>
      <c r="K2116" s="10"/>
      <c r="L2116" s="5"/>
    </row>
    <row r="2117" spans="1:12" x14ac:dyDescent="0.25">
      <c r="A2117" s="5" t="s">
        <v>4325</v>
      </c>
      <c r="B2117" s="5" t="s">
        <v>4324</v>
      </c>
      <c r="C2117" s="5" t="s">
        <v>33</v>
      </c>
      <c r="D2117" s="21">
        <v>1</v>
      </c>
      <c r="E2117" s="12">
        <v>69</v>
      </c>
      <c r="F2117" s="10" t="str">
        <f>_xlfn.XLOOKUP(C2117,menu!A:A,menu!B:B)</f>
        <v>Spring Roll</v>
      </c>
      <c r="G2117" s="10" t="str">
        <f>_xlfn.XLOOKUP(C2117,menu!A:A,menu!C:C)</f>
        <v>Rolls</v>
      </c>
      <c r="H2117" s="10">
        <f>_xlfn.XLOOKUP(C2117,menu!A:A,menu!E:E)</f>
        <v>21</v>
      </c>
      <c r="I2117" s="10">
        <f t="shared" si="33"/>
        <v>21</v>
      </c>
      <c r="K2117" s="10"/>
      <c r="L2117" s="5"/>
    </row>
    <row r="2118" spans="1:12" x14ac:dyDescent="0.25">
      <c r="A2118" s="5" t="s">
        <v>4323</v>
      </c>
      <c r="B2118" s="5" t="s">
        <v>4320</v>
      </c>
      <c r="C2118" s="5" t="s">
        <v>44</v>
      </c>
      <c r="D2118" s="21">
        <v>1</v>
      </c>
      <c r="E2118" s="12">
        <v>159</v>
      </c>
      <c r="F2118" s="10" t="str">
        <f>_xlfn.XLOOKUP(C2118,menu!A:A,menu!B:B)</f>
        <v>Fried Chicken</v>
      </c>
      <c r="G2118" s="10" t="str">
        <f>_xlfn.XLOOKUP(C2118,menu!A:A,menu!C:C)</f>
        <v>Starters</v>
      </c>
      <c r="H2118" s="10">
        <f>_xlfn.XLOOKUP(C2118,menu!A:A,menu!E:E)</f>
        <v>48</v>
      </c>
      <c r="I2118" s="10">
        <f t="shared" si="33"/>
        <v>48</v>
      </c>
      <c r="K2118" s="10"/>
      <c r="L2118" s="5"/>
    </row>
    <row r="2119" spans="1:12" x14ac:dyDescent="0.25">
      <c r="A2119" s="5" t="s">
        <v>4322</v>
      </c>
      <c r="B2119" s="5" t="s">
        <v>4320</v>
      </c>
      <c r="C2119" s="5" t="s">
        <v>15</v>
      </c>
      <c r="D2119" s="21">
        <v>1</v>
      </c>
      <c r="E2119" s="12">
        <v>99</v>
      </c>
      <c r="F2119" s="10" t="str">
        <f>_xlfn.XLOOKUP(C2119,menu!A:A,menu!B:B)</f>
        <v>Chicken Momos</v>
      </c>
      <c r="G2119" s="10" t="str">
        <f>_xlfn.XLOOKUP(C2119,menu!A:A,menu!C:C)</f>
        <v>Momos</v>
      </c>
      <c r="H2119" s="10">
        <f>_xlfn.XLOOKUP(C2119,menu!A:A,menu!E:E)</f>
        <v>30</v>
      </c>
      <c r="I2119" s="10">
        <f t="shared" si="33"/>
        <v>30</v>
      </c>
      <c r="K2119" s="10"/>
      <c r="L2119" s="5"/>
    </row>
    <row r="2120" spans="1:12" x14ac:dyDescent="0.25">
      <c r="A2120" s="5" t="s">
        <v>4321</v>
      </c>
      <c r="B2120" s="5" t="s">
        <v>4320</v>
      </c>
      <c r="C2120" s="5" t="s">
        <v>24</v>
      </c>
      <c r="D2120" s="21">
        <v>1</v>
      </c>
      <c r="E2120" s="12">
        <v>89</v>
      </c>
      <c r="F2120" s="10" t="str">
        <f>_xlfn.XLOOKUP(C2120,menu!A:A,menu!B:B)</f>
        <v>Paneer Burger</v>
      </c>
      <c r="G2120" s="10" t="str">
        <f>_xlfn.XLOOKUP(C2120,menu!A:A,menu!C:C)</f>
        <v>Burger</v>
      </c>
      <c r="H2120" s="10">
        <f>_xlfn.XLOOKUP(C2120,menu!A:A,menu!E:E)</f>
        <v>27</v>
      </c>
      <c r="I2120" s="10">
        <f t="shared" si="33"/>
        <v>27</v>
      </c>
      <c r="K2120" s="10"/>
      <c r="L2120" s="5"/>
    </row>
    <row r="2121" spans="1:12" x14ac:dyDescent="0.25">
      <c r="A2121" s="5" t="s">
        <v>4319</v>
      </c>
      <c r="B2121" s="5" t="s">
        <v>4318</v>
      </c>
      <c r="C2121" s="5" t="s">
        <v>17</v>
      </c>
      <c r="D2121" s="21">
        <v>1</v>
      </c>
      <c r="E2121" s="12">
        <v>89</v>
      </c>
      <c r="F2121" s="10" t="str">
        <f>_xlfn.XLOOKUP(C2121,menu!A:A,menu!B:B)</f>
        <v>Paneer Momos</v>
      </c>
      <c r="G2121" s="10" t="str">
        <f>_xlfn.XLOOKUP(C2121,menu!A:A,menu!C:C)</f>
        <v>Momos</v>
      </c>
      <c r="H2121" s="10">
        <f>_xlfn.XLOOKUP(C2121,menu!A:A,menu!E:E)</f>
        <v>27</v>
      </c>
      <c r="I2121" s="10">
        <f t="shared" si="33"/>
        <v>27</v>
      </c>
      <c r="K2121" s="10"/>
      <c r="L2121" s="5"/>
    </row>
    <row r="2122" spans="1:12" x14ac:dyDescent="0.25">
      <c r="A2122" s="5" t="s">
        <v>4317</v>
      </c>
      <c r="B2122" s="5" t="s">
        <v>4315</v>
      </c>
      <c r="C2122" s="5" t="s">
        <v>42</v>
      </c>
      <c r="D2122" s="21">
        <v>5</v>
      </c>
      <c r="E2122" s="12">
        <v>745</v>
      </c>
      <c r="F2122" s="10" t="str">
        <f>_xlfn.XLOOKUP(C2122,menu!A:A,menu!B:B)</f>
        <v>Chicken Popcorn</v>
      </c>
      <c r="G2122" s="10" t="str">
        <f>_xlfn.XLOOKUP(C2122,menu!A:A,menu!C:C)</f>
        <v>Starters</v>
      </c>
      <c r="H2122" s="10">
        <f>_xlfn.XLOOKUP(C2122,menu!A:A,menu!E:E)</f>
        <v>45</v>
      </c>
      <c r="I2122" s="10">
        <f t="shared" si="33"/>
        <v>225</v>
      </c>
      <c r="K2122" s="10"/>
      <c r="L2122" s="5"/>
    </row>
    <row r="2123" spans="1:12" x14ac:dyDescent="0.25">
      <c r="A2123" s="5" t="s">
        <v>4316</v>
      </c>
      <c r="B2123" s="5" t="s">
        <v>4315</v>
      </c>
      <c r="C2123" s="5" t="s">
        <v>8</v>
      </c>
      <c r="D2123" s="21">
        <v>2</v>
      </c>
      <c r="E2123" s="12">
        <v>198</v>
      </c>
      <c r="F2123" s="10" t="str">
        <f>_xlfn.XLOOKUP(C2123,menu!A:A,menu!B:B)</f>
        <v>Paneer Sandwich</v>
      </c>
      <c r="G2123" s="10" t="str">
        <f>_xlfn.XLOOKUP(C2123,menu!A:A,menu!C:C)</f>
        <v>Sandwich</v>
      </c>
      <c r="H2123" s="10">
        <f>_xlfn.XLOOKUP(C2123,menu!A:A,menu!E:E)</f>
        <v>30</v>
      </c>
      <c r="I2123" s="10">
        <f t="shared" si="33"/>
        <v>60</v>
      </c>
      <c r="K2123" s="10"/>
      <c r="L2123" s="5"/>
    </row>
    <row r="2124" spans="1:12" x14ac:dyDescent="0.25">
      <c r="A2124" s="5" t="s">
        <v>4314</v>
      </c>
      <c r="B2124" s="5" t="s">
        <v>4310</v>
      </c>
      <c r="C2124" s="5" t="s">
        <v>35</v>
      </c>
      <c r="D2124" s="21">
        <v>3</v>
      </c>
      <c r="E2124" s="12">
        <v>357</v>
      </c>
      <c r="F2124" s="10" t="str">
        <f>_xlfn.XLOOKUP(C2124,menu!A:A,menu!B:B)</f>
        <v>Chicken Nuggets</v>
      </c>
      <c r="G2124" s="10" t="str">
        <f>_xlfn.XLOOKUP(C2124,menu!A:A,menu!C:C)</f>
        <v>Starters</v>
      </c>
      <c r="H2124" s="10">
        <f>_xlfn.XLOOKUP(C2124,menu!A:A,menu!E:E)</f>
        <v>36</v>
      </c>
      <c r="I2124" s="10">
        <f t="shared" si="33"/>
        <v>108</v>
      </c>
      <c r="K2124" s="10"/>
      <c r="L2124" s="5"/>
    </row>
    <row r="2125" spans="1:12" x14ac:dyDescent="0.25">
      <c r="A2125" s="5" t="s">
        <v>4313</v>
      </c>
      <c r="B2125" s="5" t="s">
        <v>4310</v>
      </c>
      <c r="C2125" s="5" t="s">
        <v>10</v>
      </c>
      <c r="D2125" s="21">
        <v>1</v>
      </c>
      <c r="E2125" s="12">
        <v>119</v>
      </c>
      <c r="F2125" s="10" t="str">
        <f>_xlfn.XLOOKUP(C2125,menu!A:A,menu!B:B)</f>
        <v>Chicken Sandwich</v>
      </c>
      <c r="G2125" s="10" t="str">
        <f>_xlfn.XLOOKUP(C2125,menu!A:A,menu!C:C)</f>
        <v>Sandwich</v>
      </c>
      <c r="H2125" s="10">
        <f>_xlfn.XLOOKUP(C2125,menu!A:A,menu!E:E)</f>
        <v>36</v>
      </c>
      <c r="I2125" s="10">
        <f t="shared" si="33"/>
        <v>36</v>
      </c>
      <c r="K2125" s="10"/>
      <c r="L2125" s="5"/>
    </row>
    <row r="2126" spans="1:12" x14ac:dyDescent="0.25">
      <c r="A2126" s="5" t="s">
        <v>4312</v>
      </c>
      <c r="B2126" s="5" t="s">
        <v>4310</v>
      </c>
      <c r="C2126" s="5" t="s">
        <v>44</v>
      </c>
      <c r="D2126" s="21">
        <v>3</v>
      </c>
      <c r="E2126" s="12">
        <v>477</v>
      </c>
      <c r="F2126" s="10" t="str">
        <f>_xlfn.XLOOKUP(C2126,menu!A:A,menu!B:B)</f>
        <v>Fried Chicken</v>
      </c>
      <c r="G2126" s="10" t="str">
        <f>_xlfn.XLOOKUP(C2126,menu!A:A,menu!C:C)</f>
        <v>Starters</v>
      </c>
      <c r="H2126" s="10">
        <f>_xlfn.XLOOKUP(C2126,menu!A:A,menu!E:E)</f>
        <v>48</v>
      </c>
      <c r="I2126" s="10">
        <f t="shared" si="33"/>
        <v>144</v>
      </c>
      <c r="K2126" s="10"/>
      <c r="L2126" s="5"/>
    </row>
    <row r="2127" spans="1:12" x14ac:dyDescent="0.25">
      <c r="A2127" s="5" t="s">
        <v>4311</v>
      </c>
      <c r="B2127" s="5" t="s">
        <v>4310</v>
      </c>
      <c r="C2127" s="5" t="s">
        <v>15</v>
      </c>
      <c r="D2127" s="21">
        <v>2</v>
      </c>
      <c r="E2127" s="12">
        <v>198</v>
      </c>
      <c r="F2127" s="10" t="str">
        <f>_xlfn.XLOOKUP(C2127,menu!A:A,menu!B:B)</f>
        <v>Chicken Momos</v>
      </c>
      <c r="G2127" s="10" t="str">
        <f>_xlfn.XLOOKUP(C2127,menu!A:A,menu!C:C)</f>
        <v>Momos</v>
      </c>
      <c r="H2127" s="10">
        <f>_xlfn.XLOOKUP(C2127,menu!A:A,menu!E:E)</f>
        <v>30</v>
      </c>
      <c r="I2127" s="10">
        <f t="shared" si="33"/>
        <v>60</v>
      </c>
      <c r="K2127" s="10"/>
      <c r="L2127" s="5"/>
    </row>
    <row r="2128" spans="1:12" x14ac:dyDescent="0.25">
      <c r="A2128" s="5" t="s">
        <v>4309</v>
      </c>
      <c r="B2128" s="5" t="s">
        <v>4307</v>
      </c>
      <c r="C2128" s="5" t="s">
        <v>24</v>
      </c>
      <c r="D2128" s="21">
        <v>2</v>
      </c>
      <c r="E2128" s="12">
        <v>178</v>
      </c>
      <c r="F2128" s="10" t="str">
        <f>_xlfn.XLOOKUP(C2128,menu!A:A,menu!B:B)</f>
        <v>Paneer Burger</v>
      </c>
      <c r="G2128" s="10" t="str">
        <f>_xlfn.XLOOKUP(C2128,menu!A:A,menu!C:C)</f>
        <v>Burger</v>
      </c>
      <c r="H2128" s="10">
        <f>_xlfn.XLOOKUP(C2128,menu!A:A,menu!E:E)</f>
        <v>27</v>
      </c>
      <c r="I2128" s="10">
        <f t="shared" si="33"/>
        <v>54</v>
      </c>
      <c r="K2128" s="10"/>
      <c r="L2128" s="5"/>
    </row>
    <row r="2129" spans="1:12" x14ac:dyDescent="0.25">
      <c r="A2129" s="5" t="s">
        <v>4308</v>
      </c>
      <c r="B2129" s="5" t="s">
        <v>4307</v>
      </c>
      <c r="C2129" s="5" t="s">
        <v>38</v>
      </c>
      <c r="D2129" s="21">
        <v>1</v>
      </c>
      <c r="E2129" s="12">
        <v>149</v>
      </c>
      <c r="F2129" s="10" t="str">
        <f>_xlfn.XLOOKUP(C2129,menu!A:A,menu!B:B)</f>
        <v>Chicken Wings</v>
      </c>
      <c r="G2129" s="10" t="str">
        <f>_xlfn.XLOOKUP(C2129,menu!A:A,menu!C:C)</f>
        <v>Starters</v>
      </c>
      <c r="H2129" s="10">
        <f>_xlfn.XLOOKUP(C2129,menu!A:A,menu!E:E)</f>
        <v>45</v>
      </c>
      <c r="I2129" s="10">
        <f t="shared" si="33"/>
        <v>45</v>
      </c>
      <c r="K2129" s="10"/>
      <c r="L2129" s="5"/>
    </row>
    <row r="2130" spans="1:12" x14ac:dyDescent="0.25">
      <c r="A2130" s="5" t="s">
        <v>4306</v>
      </c>
      <c r="B2130" s="5" t="s">
        <v>4304</v>
      </c>
      <c r="C2130" s="5" t="s">
        <v>54</v>
      </c>
      <c r="D2130" s="21">
        <v>1</v>
      </c>
      <c r="E2130" s="12">
        <v>139</v>
      </c>
      <c r="F2130" s="10" t="str">
        <f>_xlfn.XLOOKUP(C2130,menu!A:A,menu!B:B)</f>
        <v>Chicken Strips</v>
      </c>
      <c r="G2130" s="10" t="str">
        <f>_xlfn.XLOOKUP(C2130,menu!A:A,menu!C:C)</f>
        <v>Starters</v>
      </c>
      <c r="H2130" s="10">
        <f>_xlfn.XLOOKUP(C2130,menu!A:A,menu!E:E)</f>
        <v>42</v>
      </c>
      <c r="I2130" s="10">
        <f t="shared" si="33"/>
        <v>42</v>
      </c>
      <c r="K2130" s="10"/>
      <c r="L2130" s="5"/>
    </row>
    <row r="2131" spans="1:12" x14ac:dyDescent="0.25">
      <c r="A2131" s="5" t="s">
        <v>4305</v>
      </c>
      <c r="B2131" s="5" t="s">
        <v>4304</v>
      </c>
      <c r="C2131" s="5" t="s">
        <v>8</v>
      </c>
      <c r="D2131" s="21">
        <v>5</v>
      </c>
      <c r="E2131" s="12">
        <v>495</v>
      </c>
      <c r="F2131" s="10" t="str">
        <f>_xlfn.XLOOKUP(C2131,menu!A:A,menu!B:B)</f>
        <v>Paneer Sandwich</v>
      </c>
      <c r="G2131" s="10" t="str">
        <f>_xlfn.XLOOKUP(C2131,menu!A:A,menu!C:C)</f>
        <v>Sandwich</v>
      </c>
      <c r="H2131" s="10">
        <f>_xlfn.XLOOKUP(C2131,menu!A:A,menu!E:E)</f>
        <v>30</v>
      </c>
      <c r="I2131" s="10">
        <f t="shared" si="33"/>
        <v>150</v>
      </c>
      <c r="K2131" s="10"/>
      <c r="L2131" s="5"/>
    </row>
    <row r="2132" spans="1:12" x14ac:dyDescent="0.25">
      <c r="A2132" s="5" t="s">
        <v>4303</v>
      </c>
      <c r="B2132" s="5" t="s">
        <v>4301</v>
      </c>
      <c r="C2132" s="5" t="s">
        <v>44</v>
      </c>
      <c r="D2132" s="21">
        <v>2</v>
      </c>
      <c r="E2132" s="12">
        <v>318</v>
      </c>
      <c r="F2132" s="10" t="str">
        <f>_xlfn.XLOOKUP(C2132,menu!A:A,menu!B:B)</f>
        <v>Fried Chicken</v>
      </c>
      <c r="G2132" s="10" t="str">
        <f>_xlfn.XLOOKUP(C2132,menu!A:A,menu!C:C)</f>
        <v>Starters</v>
      </c>
      <c r="H2132" s="10">
        <f>_xlfn.XLOOKUP(C2132,menu!A:A,menu!E:E)</f>
        <v>48</v>
      </c>
      <c r="I2132" s="10">
        <f t="shared" si="33"/>
        <v>96</v>
      </c>
      <c r="K2132" s="10"/>
      <c r="L2132" s="5"/>
    </row>
    <row r="2133" spans="1:12" x14ac:dyDescent="0.25">
      <c r="A2133" s="5" t="s">
        <v>4302</v>
      </c>
      <c r="B2133" s="5" t="s">
        <v>4301</v>
      </c>
      <c r="C2133" s="5" t="s">
        <v>61</v>
      </c>
      <c r="D2133" s="21">
        <v>2</v>
      </c>
      <c r="E2133" s="12">
        <v>158</v>
      </c>
      <c r="F2133" s="10" t="str">
        <f>_xlfn.XLOOKUP(C2133,menu!A:A,menu!B:B)</f>
        <v>Watermelon Mojito</v>
      </c>
      <c r="G2133" s="10" t="str">
        <f>_xlfn.XLOOKUP(C2133,menu!A:A,menu!C:C)</f>
        <v>Beverages</v>
      </c>
      <c r="H2133" s="10">
        <f>_xlfn.XLOOKUP(C2133,menu!A:A,menu!E:E)</f>
        <v>24</v>
      </c>
      <c r="I2133" s="10">
        <f t="shared" si="33"/>
        <v>48</v>
      </c>
      <c r="K2133" s="10"/>
      <c r="L2133" s="5"/>
    </row>
    <row r="2134" spans="1:12" x14ac:dyDescent="0.25">
      <c r="A2134" s="5" t="s">
        <v>4300</v>
      </c>
      <c r="B2134" s="5" t="s">
        <v>4299</v>
      </c>
      <c r="C2134" s="5" t="s">
        <v>54</v>
      </c>
      <c r="D2134" s="21">
        <v>1</v>
      </c>
      <c r="E2134" s="12">
        <v>139</v>
      </c>
      <c r="F2134" s="10" t="str">
        <f>_xlfn.XLOOKUP(C2134,menu!A:A,menu!B:B)</f>
        <v>Chicken Strips</v>
      </c>
      <c r="G2134" s="10" t="str">
        <f>_xlfn.XLOOKUP(C2134,menu!A:A,menu!C:C)</f>
        <v>Starters</v>
      </c>
      <c r="H2134" s="10">
        <f>_xlfn.XLOOKUP(C2134,menu!A:A,menu!E:E)</f>
        <v>42</v>
      </c>
      <c r="I2134" s="10">
        <f t="shared" si="33"/>
        <v>42</v>
      </c>
      <c r="K2134" s="10"/>
      <c r="L2134" s="5"/>
    </row>
    <row r="2135" spans="1:12" x14ac:dyDescent="0.25">
      <c r="A2135" s="5" t="s">
        <v>4298</v>
      </c>
      <c r="B2135" s="5" t="s">
        <v>4294</v>
      </c>
      <c r="C2135" s="5" t="s">
        <v>63</v>
      </c>
      <c r="D2135" s="21">
        <v>3</v>
      </c>
      <c r="E2135" s="12">
        <v>237</v>
      </c>
      <c r="F2135" s="10" t="str">
        <f>_xlfn.XLOOKUP(C2135,menu!A:A,menu!B:B)</f>
        <v>Virgin Mojito</v>
      </c>
      <c r="G2135" s="10" t="str">
        <f>_xlfn.XLOOKUP(C2135,menu!A:A,menu!C:C)</f>
        <v>Beverages</v>
      </c>
      <c r="H2135" s="10">
        <f>_xlfn.XLOOKUP(C2135,menu!A:A,menu!E:E)</f>
        <v>24</v>
      </c>
      <c r="I2135" s="10">
        <f t="shared" si="33"/>
        <v>72</v>
      </c>
      <c r="K2135" s="10"/>
      <c r="L2135" s="5"/>
    </row>
    <row r="2136" spans="1:12" x14ac:dyDescent="0.25">
      <c r="A2136" s="5" t="s">
        <v>4297</v>
      </c>
      <c r="B2136" s="5" t="s">
        <v>4294</v>
      </c>
      <c r="C2136" s="5" t="s">
        <v>50</v>
      </c>
      <c r="D2136" s="21">
        <v>3</v>
      </c>
      <c r="E2136" s="12">
        <v>447</v>
      </c>
      <c r="F2136" s="10" t="str">
        <f>_xlfn.XLOOKUP(C2136,menu!A:A,menu!B:B)</f>
        <v>Grab Lollipop</v>
      </c>
      <c r="G2136" s="10" t="str">
        <f>_xlfn.XLOOKUP(C2136,menu!A:A,menu!C:C)</f>
        <v>Starters</v>
      </c>
      <c r="H2136" s="10">
        <f>_xlfn.XLOOKUP(C2136,menu!A:A,menu!E:E)</f>
        <v>45</v>
      </c>
      <c r="I2136" s="10">
        <f t="shared" si="33"/>
        <v>135</v>
      </c>
      <c r="K2136" s="10"/>
      <c r="L2136" s="5"/>
    </row>
    <row r="2137" spans="1:12" x14ac:dyDescent="0.25">
      <c r="A2137" s="5" t="s">
        <v>4296</v>
      </c>
      <c r="B2137" s="5" t="s">
        <v>4294</v>
      </c>
      <c r="C2137" s="5" t="s">
        <v>46</v>
      </c>
      <c r="D2137" s="21">
        <v>1</v>
      </c>
      <c r="E2137" s="12">
        <v>149</v>
      </c>
      <c r="F2137" s="10" t="str">
        <f>_xlfn.XLOOKUP(C2137,menu!A:A,menu!B:B)</f>
        <v>Fish Finger</v>
      </c>
      <c r="G2137" s="10" t="str">
        <f>_xlfn.XLOOKUP(C2137,menu!A:A,menu!C:C)</f>
        <v>Starters</v>
      </c>
      <c r="H2137" s="10">
        <f>_xlfn.XLOOKUP(C2137,menu!A:A,menu!E:E)</f>
        <v>45</v>
      </c>
      <c r="I2137" s="10">
        <f t="shared" si="33"/>
        <v>45</v>
      </c>
      <c r="K2137" s="10"/>
      <c r="L2137" s="5"/>
    </row>
    <row r="2138" spans="1:12" x14ac:dyDescent="0.25">
      <c r="A2138" s="5" t="s">
        <v>4295</v>
      </c>
      <c r="B2138" s="5" t="s">
        <v>4294</v>
      </c>
      <c r="C2138" s="5" t="s">
        <v>48</v>
      </c>
      <c r="D2138" s="21">
        <v>3</v>
      </c>
      <c r="E2138" s="12">
        <v>477</v>
      </c>
      <c r="F2138" s="10" t="str">
        <f>_xlfn.XLOOKUP(C2138,menu!A:A,menu!B:B)</f>
        <v>Chicken Lollipop</v>
      </c>
      <c r="G2138" s="10" t="str">
        <f>_xlfn.XLOOKUP(C2138,menu!A:A,menu!C:C)</f>
        <v>Starters</v>
      </c>
      <c r="H2138" s="10">
        <f>_xlfn.XLOOKUP(C2138,menu!A:A,menu!E:E)</f>
        <v>48</v>
      </c>
      <c r="I2138" s="10">
        <f t="shared" si="33"/>
        <v>144</v>
      </c>
      <c r="K2138" s="10"/>
      <c r="L2138" s="5"/>
    </row>
    <row r="2139" spans="1:12" x14ac:dyDescent="0.25">
      <c r="A2139" s="5" t="s">
        <v>4293</v>
      </c>
      <c r="B2139" s="5" t="s">
        <v>4290</v>
      </c>
      <c r="C2139" s="5" t="s">
        <v>63</v>
      </c>
      <c r="D2139" s="21">
        <v>1</v>
      </c>
      <c r="E2139" s="12">
        <v>79</v>
      </c>
      <c r="F2139" s="10" t="str">
        <f>_xlfn.XLOOKUP(C2139,menu!A:A,menu!B:B)</f>
        <v>Virgin Mojito</v>
      </c>
      <c r="G2139" s="10" t="str">
        <f>_xlfn.XLOOKUP(C2139,menu!A:A,menu!C:C)</f>
        <v>Beverages</v>
      </c>
      <c r="H2139" s="10">
        <f>_xlfn.XLOOKUP(C2139,menu!A:A,menu!E:E)</f>
        <v>24</v>
      </c>
      <c r="I2139" s="10">
        <f t="shared" si="33"/>
        <v>24</v>
      </c>
      <c r="K2139" s="10"/>
      <c r="L2139" s="5"/>
    </row>
    <row r="2140" spans="1:12" x14ac:dyDescent="0.25">
      <c r="A2140" s="5" t="s">
        <v>4292</v>
      </c>
      <c r="B2140" s="5" t="s">
        <v>4290</v>
      </c>
      <c r="C2140" s="5" t="s">
        <v>59</v>
      </c>
      <c r="D2140" s="21">
        <v>3</v>
      </c>
      <c r="E2140" s="12">
        <v>237</v>
      </c>
      <c r="F2140" s="10" t="str">
        <f>_xlfn.XLOOKUP(C2140,menu!A:A,menu!B:B)</f>
        <v>Blue Curacao Mojito</v>
      </c>
      <c r="G2140" s="10" t="str">
        <f>_xlfn.XLOOKUP(C2140,menu!A:A,menu!C:C)</f>
        <v>Beverages</v>
      </c>
      <c r="H2140" s="10">
        <f>_xlfn.XLOOKUP(C2140,menu!A:A,menu!E:E)</f>
        <v>24</v>
      </c>
      <c r="I2140" s="10">
        <f t="shared" si="33"/>
        <v>72</v>
      </c>
      <c r="K2140" s="10"/>
      <c r="L2140" s="5"/>
    </row>
    <row r="2141" spans="1:12" x14ac:dyDescent="0.25">
      <c r="A2141" s="5" t="s">
        <v>4291</v>
      </c>
      <c r="B2141" s="5" t="s">
        <v>4290</v>
      </c>
      <c r="C2141" s="5" t="s">
        <v>48</v>
      </c>
      <c r="D2141" s="21">
        <v>2</v>
      </c>
      <c r="E2141" s="12">
        <v>318</v>
      </c>
      <c r="F2141" s="10" t="str">
        <f>_xlfn.XLOOKUP(C2141,menu!A:A,menu!B:B)</f>
        <v>Chicken Lollipop</v>
      </c>
      <c r="G2141" s="10" t="str">
        <f>_xlfn.XLOOKUP(C2141,menu!A:A,menu!C:C)</f>
        <v>Starters</v>
      </c>
      <c r="H2141" s="10">
        <f>_xlfn.XLOOKUP(C2141,menu!A:A,menu!E:E)</f>
        <v>48</v>
      </c>
      <c r="I2141" s="10">
        <f t="shared" si="33"/>
        <v>96</v>
      </c>
      <c r="K2141" s="10"/>
      <c r="L2141" s="5"/>
    </row>
    <row r="2142" spans="1:12" x14ac:dyDescent="0.25">
      <c r="A2142" s="5" t="s">
        <v>4289</v>
      </c>
      <c r="B2142" s="5" t="s">
        <v>4287</v>
      </c>
      <c r="C2142" s="5" t="s">
        <v>46</v>
      </c>
      <c r="D2142" s="21">
        <v>3</v>
      </c>
      <c r="E2142" s="12">
        <v>447</v>
      </c>
      <c r="F2142" s="10" t="str">
        <f>_xlfn.XLOOKUP(C2142,menu!A:A,menu!B:B)</f>
        <v>Fish Finger</v>
      </c>
      <c r="G2142" s="10" t="str">
        <f>_xlfn.XLOOKUP(C2142,menu!A:A,menu!C:C)</f>
        <v>Starters</v>
      </c>
      <c r="H2142" s="10">
        <f>_xlfn.XLOOKUP(C2142,menu!A:A,menu!E:E)</f>
        <v>45</v>
      </c>
      <c r="I2142" s="10">
        <f t="shared" si="33"/>
        <v>135</v>
      </c>
      <c r="K2142" s="10"/>
      <c r="L2142" s="5"/>
    </row>
    <row r="2143" spans="1:12" x14ac:dyDescent="0.25">
      <c r="A2143" s="5" t="s">
        <v>4288</v>
      </c>
      <c r="B2143" s="5" t="s">
        <v>4287</v>
      </c>
      <c r="C2143" s="5" t="s">
        <v>26</v>
      </c>
      <c r="D2143" s="21">
        <v>2</v>
      </c>
      <c r="E2143" s="12">
        <v>118</v>
      </c>
      <c r="F2143" s="10" t="str">
        <f>_xlfn.XLOOKUP(C2143,menu!A:A,menu!B:B)</f>
        <v>Veg Roll</v>
      </c>
      <c r="G2143" s="10" t="str">
        <f>_xlfn.XLOOKUP(C2143,menu!A:A,menu!C:C)</f>
        <v>Rolls</v>
      </c>
      <c r="H2143" s="10">
        <f>_xlfn.XLOOKUP(C2143,menu!A:A,menu!E:E)</f>
        <v>18</v>
      </c>
      <c r="I2143" s="10">
        <f t="shared" si="33"/>
        <v>36</v>
      </c>
      <c r="K2143" s="10"/>
      <c r="L2143" s="5"/>
    </row>
    <row r="2144" spans="1:12" x14ac:dyDescent="0.25">
      <c r="A2144" s="5" t="s">
        <v>4286</v>
      </c>
      <c r="B2144" s="5" t="s">
        <v>4282</v>
      </c>
      <c r="C2144" s="5" t="s">
        <v>35</v>
      </c>
      <c r="D2144" s="21">
        <v>1</v>
      </c>
      <c r="E2144" s="12">
        <v>119</v>
      </c>
      <c r="F2144" s="10" t="str">
        <f>_xlfn.XLOOKUP(C2144,menu!A:A,menu!B:B)</f>
        <v>Chicken Nuggets</v>
      </c>
      <c r="G2144" s="10" t="str">
        <f>_xlfn.XLOOKUP(C2144,menu!A:A,menu!C:C)</f>
        <v>Starters</v>
      </c>
      <c r="H2144" s="10">
        <f>_xlfn.XLOOKUP(C2144,menu!A:A,menu!E:E)</f>
        <v>36</v>
      </c>
      <c r="I2144" s="10">
        <f t="shared" si="33"/>
        <v>36</v>
      </c>
      <c r="K2144" s="10"/>
      <c r="L2144" s="5"/>
    </row>
    <row r="2145" spans="1:12" x14ac:dyDescent="0.25">
      <c r="A2145" s="5" t="s">
        <v>4285</v>
      </c>
      <c r="B2145" s="5" t="s">
        <v>4282</v>
      </c>
      <c r="C2145" s="5" t="s">
        <v>42</v>
      </c>
      <c r="D2145" s="21">
        <v>1</v>
      </c>
      <c r="E2145" s="12">
        <v>149</v>
      </c>
      <c r="F2145" s="10" t="str">
        <f>_xlfn.XLOOKUP(C2145,menu!A:A,menu!B:B)</f>
        <v>Chicken Popcorn</v>
      </c>
      <c r="G2145" s="10" t="str">
        <f>_xlfn.XLOOKUP(C2145,menu!A:A,menu!C:C)</f>
        <v>Starters</v>
      </c>
      <c r="H2145" s="10">
        <f>_xlfn.XLOOKUP(C2145,menu!A:A,menu!E:E)</f>
        <v>45</v>
      </c>
      <c r="I2145" s="10">
        <f t="shared" si="33"/>
        <v>45</v>
      </c>
      <c r="K2145" s="10"/>
      <c r="L2145" s="5"/>
    </row>
    <row r="2146" spans="1:12" x14ac:dyDescent="0.25">
      <c r="A2146" s="5" t="s">
        <v>4284</v>
      </c>
      <c r="B2146" s="5" t="s">
        <v>4282</v>
      </c>
      <c r="C2146" s="5" t="s">
        <v>65</v>
      </c>
      <c r="D2146" s="21">
        <v>2</v>
      </c>
      <c r="E2146" s="12">
        <v>98</v>
      </c>
      <c r="F2146" s="10" t="str">
        <f>_xlfn.XLOOKUP(C2146,menu!A:A,menu!B:B)</f>
        <v>Lemon Juice</v>
      </c>
      <c r="G2146" s="10" t="str">
        <f>_xlfn.XLOOKUP(C2146,menu!A:A,menu!C:C)</f>
        <v>Beverages</v>
      </c>
      <c r="H2146" s="10">
        <f>_xlfn.XLOOKUP(C2146,menu!A:A,menu!E:E)</f>
        <v>15</v>
      </c>
      <c r="I2146" s="10">
        <f t="shared" si="33"/>
        <v>30</v>
      </c>
      <c r="K2146" s="10"/>
      <c r="L2146" s="5"/>
    </row>
    <row r="2147" spans="1:12" x14ac:dyDescent="0.25">
      <c r="A2147" s="5" t="s">
        <v>4283</v>
      </c>
      <c r="B2147" s="5" t="s">
        <v>4282</v>
      </c>
      <c r="C2147" s="5" t="s">
        <v>24</v>
      </c>
      <c r="D2147" s="21">
        <v>5</v>
      </c>
      <c r="E2147" s="12">
        <v>445</v>
      </c>
      <c r="F2147" s="10" t="str">
        <f>_xlfn.XLOOKUP(C2147,menu!A:A,menu!B:B)</f>
        <v>Paneer Burger</v>
      </c>
      <c r="G2147" s="10" t="str">
        <f>_xlfn.XLOOKUP(C2147,menu!A:A,menu!C:C)</f>
        <v>Burger</v>
      </c>
      <c r="H2147" s="10">
        <f>_xlfn.XLOOKUP(C2147,menu!A:A,menu!E:E)</f>
        <v>27</v>
      </c>
      <c r="I2147" s="10">
        <f t="shared" si="33"/>
        <v>135</v>
      </c>
      <c r="K2147" s="10"/>
      <c r="L2147" s="5"/>
    </row>
    <row r="2148" spans="1:12" x14ac:dyDescent="0.25">
      <c r="A2148" s="5" t="s">
        <v>4281</v>
      </c>
      <c r="B2148" s="5" t="s">
        <v>4277</v>
      </c>
      <c r="C2148" s="5" t="s">
        <v>19</v>
      </c>
      <c r="D2148" s="21">
        <v>3</v>
      </c>
      <c r="E2148" s="12">
        <v>237</v>
      </c>
      <c r="F2148" s="10" t="str">
        <f>_xlfn.XLOOKUP(C2148,menu!A:A,menu!B:B)</f>
        <v>Veg Burger</v>
      </c>
      <c r="G2148" s="10" t="str">
        <f>_xlfn.XLOOKUP(C2148,menu!A:A,menu!C:C)</f>
        <v>Burger</v>
      </c>
      <c r="H2148" s="10">
        <f>_xlfn.XLOOKUP(C2148,menu!A:A,menu!E:E)</f>
        <v>24</v>
      </c>
      <c r="I2148" s="10">
        <f t="shared" si="33"/>
        <v>72</v>
      </c>
      <c r="K2148" s="10"/>
      <c r="L2148" s="5"/>
    </row>
    <row r="2149" spans="1:12" x14ac:dyDescent="0.25">
      <c r="A2149" s="5" t="s">
        <v>4280</v>
      </c>
      <c r="B2149" s="5" t="s">
        <v>4277</v>
      </c>
      <c r="C2149" s="5" t="s">
        <v>56</v>
      </c>
      <c r="D2149" s="21">
        <v>2</v>
      </c>
      <c r="E2149" s="12">
        <v>158</v>
      </c>
      <c r="F2149" s="10" t="str">
        <f>_xlfn.XLOOKUP(C2149,menu!A:A,menu!B:B)</f>
        <v>Mint Mojito</v>
      </c>
      <c r="G2149" s="10" t="str">
        <f>_xlfn.XLOOKUP(C2149,menu!A:A,menu!C:C)</f>
        <v>Beverages</v>
      </c>
      <c r="H2149" s="10">
        <f>_xlfn.XLOOKUP(C2149,menu!A:A,menu!E:E)</f>
        <v>24</v>
      </c>
      <c r="I2149" s="10">
        <f t="shared" si="33"/>
        <v>48</v>
      </c>
      <c r="K2149" s="10"/>
      <c r="L2149" s="5"/>
    </row>
    <row r="2150" spans="1:12" x14ac:dyDescent="0.25">
      <c r="A2150" s="5" t="s">
        <v>4279</v>
      </c>
      <c r="B2150" s="5" t="s">
        <v>4277</v>
      </c>
      <c r="C2150" s="5" t="s">
        <v>54</v>
      </c>
      <c r="D2150" s="21">
        <v>2</v>
      </c>
      <c r="E2150" s="12">
        <v>278</v>
      </c>
      <c r="F2150" s="10" t="str">
        <f>_xlfn.XLOOKUP(C2150,menu!A:A,menu!B:B)</f>
        <v>Chicken Strips</v>
      </c>
      <c r="G2150" s="10" t="str">
        <f>_xlfn.XLOOKUP(C2150,menu!A:A,menu!C:C)</f>
        <v>Starters</v>
      </c>
      <c r="H2150" s="10">
        <f>_xlfn.XLOOKUP(C2150,menu!A:A,menu!E:E)</f>
        <v>42</v>
      </c>
      <c r="I2150" s="10">
        <f t="shared" si="33"/>
        <v>84</v>
      </c>
      <c r="K2150" s="10"/>
      <c r="L2150" s="5"/>
    </row>
    <row r="2151" spans="1:12" x14ac:dyDescent="0.25">
      <c r="A2151" s="5" t="s">
        <v>4278</v>
      </c>
      <c r="B2151" s="5" t="s">
        <v>4277</v>
      </c>
      <c r="C2151" s="5" t="s">
        <v>22</v>
      </c>
      <c r="D2151" s="21">
        <v>1</v>
      </c>
      <c r="E2151" s="12">
        <v>99</v>
      </c>
      <c r="F2151" s="10" t="str">
        <f>_xlfn.XLOOKUP(C2151,menu!A:A,menu!B:B)</f>
        <v>Chicken Burger</v>
      </c>
      <c r="G2151" s="10" t="str">
        <f>_xlfn.XLOOKUP(C2151,menu!A:A,menu!C:C)</f>
        <v>Burger</v>
      </c>
      <c r="H2151" s="10">
        <f>_xlfn.XLOOKUP(C2151,menu!A:A,menu!E:E)</f>
        <v>30</v>
      </c>
      <c r="I2151" s="10">
        <f t="shared" si="33"/>
        <v>30</v>
      </c>
      <c r="K2151" s="10"/>
      <c r="L2151" s="5"/>
    </row>
    <row r="2152" spans="1:12" x14ac:dyDescent="0.25">
      <c r="A2152" s="5" t="s">
        <v>4276</v>
      </c>
      <c r="B2152" s="5" t="s">
        <v>4272</v>
      </c>
      <c r="C2152" s="5" t="s">
        <v>40</v>
      </c>
      <c r="D2152" s="21">
        <v>2</v>
      </c>
      <c r="E2152" s="12">
        <v>198</v>
      </c>
      <c r="F2152" s="10" t="str">
        <f>_xlfn.XLOOKUP(C2152,menu!A:A,menu!B:B)</f>
        <v>Veg Nuggets</v>
      </c>
      <c r="G2152" s="10" t="str">
        <f>_xlfn.XLOOKUP(C2152,menu!A:A,menu!C:C)</f>
        <v>Starters</v>
      </c>
      <c r="H2152" s="10">
        <f>_xlfn.XLOOKUP(C2152,menu!A:A,menu!E:E)</f>
        <v>30</v>
      </c>
      <c r="I2152" s="10">
        <f t="shared" si="33"/>
        <v>60</v>
      </c>
      <c r="K2152" s="10"/>
      <c r="L2152" s="5"/>
    </row>
    <row r="2153" spans="1:12" x14ac:dyDescent="0.25">
      <c r="A2153" s="5" t="s">
        <v>4275</v>
      </c>
      <c r="B2153" s="5" t="s">
        <v>4272</v>
      </c>
      <c r="C2153" s="5" t="s">
        <v>52</v>
      </c>
      <c r="D2153" s="21">
        <v>4</v>
      </c>
      <c r="E2153" s="12">
        <v>396</v>
      </c>
      <c r="F2153" s="10" t="str">
        <f>_xlfn.XLOOKUP(C2153,menu!A:A,menu!B:B)</f>
        <v>French Fries</v>
      </c>
      <c r="G2153" s="10" t="str">
        <f>_xlfn.XLOOKUP(C2153,menu!A:A,menu!C:C)</f>
        <v>Starters</v>
      </c>
      <c r="H2153" s="10">
        <f>_xlfn.XLOOKUP(C2153,menu!A:A,menu!E:E)</f>
        <v>30</v>
      </c>
      <c r="I2153" s="10">
        <f t="shared" si="33"/>
        <v>120</v>
      </c>
      <c r="K2153" s="10"/>
      <c r="L2153" s="5"/>
    </row>
    <row r="2154" spans="1:12" x14ac:dyDescent="0.25">
      <c r="A2154" s="5" t="s">
        <v>4274</v>
      </c>
      <c r="B2154" s="5" t="s">
        <v>4272</v>
      </c>
      <c r="C2154" s="5" t="s">
        <v>22</v>
      </c>
      <c r="D2154" s="21">
        <v>3</v>
      </c>
      <c r="E2154" s="12">
        <v>297</v>
      </c>
      <c r="F2154" s="10" t="str">
        <f>_xlfn.XLOOKUP(C2154,menu!A:A,menu!B:B)</f>
        <v>Chicken Burger</v>
      </c>
      <c r="G2154" s="10" t="str">
        <f>_xlfn.XLOOKUP(C2154,menu!A:A,menu!C:C)</f>
        <v>Burger</v>
      </c>
      <c r="H2154" s="10">
        <f>_xlfn.XLOOKUP(C2154,menu!A:A,menu!E:E)</f>
        <v>30</v>
      </c>
      <c r="I2154" s="10">
        <f t="shared" si="33"/>
        <v>90</v>
      </c>
      <c r="K2154" s="10"/>
      <c r="L2154" s="5"/>
    </row>
    <row r="2155" spans="1:12" x14ac:dyDescent="0.25">
      <c r="A2155" s="5" t="s">
        <v>4273</v>
      </c>
      <c r="B2155" s="5" t="s">
        <v>4272</v>
      </c>
      <c r="C2155" s="5" t="s">
        <v>33</v>
      </c>
      <c r="D2155" s="21">
        <v>2</v>
      </c>
      <c r="E2155" s="12">
        <v>138</v>
      </c>
      <c r="F2155" s="10" t="str">
        <f>_xlfn.XLOOKUP(C2155,menu!A:A,menu!B:B)</f>
        <v>Spring Roll</v>
      </c>
      <c r="G2155" s="10" t="str">
        <f>_xlfn.XLOOKUP(C2155,menu!A:A,menu!C:C)</f>
        <v>Rolls</v>
      </c>
      <c r="H2155" s="10">
        <f>_xlfn.XLOOKUP(C2155,menu!A:A,menu!E:E)</f>
        <v>21</v>
      </c>
      <c r="I2155" s="10">
        <f t="shared" si="33"/>
        <v>42</v>
      </c>
      <c r="K2155" s="10"/>
      <c r="L2155" s="5"/>
    </row>
    <row r="2156" spans="1:12" x14ac:dyDescent="0.25">
      <c r="A2156" s="5" t="s">
        <v>4271</v>
      </c>
      <c r="B2156" s="5" t="s">
        <v>4267</v>
      </c>
      <c r="C2156" s="5" t="s">
        <v>48</v>
      </c>
      <c r="D2156" s="21">
        <v>2</v>
      </c>
      <c r="E2156" s="12">
        <v>318</v>
      </c>
      <c r="F2156" s="10" t="str">
        <f>_xlfn.XLOOKUP(C2156,menu!A:A,menu!B:B)</f>
        <v>Chicken Lollipop</v>
      </c>
      <c r="G2156" s="10" t="str">
        <f>_xlfn.XLOOKUP(C2156,menu!A:A,menu!C:C)</f>
        <v>Starters</v>
      </c>
      <c r="H2156" s="10">
        <f>_xlfn.XLOOKUP(C2156,menu!A:A,menu!E:E)</f>
        <v>48</v>
      </c>
      <c r="I2156" s="10">
        <f t="shared" si="33"/>
        <v>96</v>
      </c>
      <c r="K2156" s="10"/>
      <c r="L2156" s="5"/>
    </row>
    <row r="2157" spans="1:12" x14ac:dyDescent="0.25">
      <c r="A2157" s="5" t="s">
        <v>4270</v>
      </c>
      <c r="B2157" s="5" t="s">
        <v>4267</v>
      </c>
      <c r="C2157" s="5" t="s">
        <v>17</v>
      </c>
      <c r="D2157" s="21">
        <v>1</v>
      </c>
      <c r="E2157" s="12">
        <v>89</v>
      </c>
      <c r="F2157" s="10" t="str">
        <f>_xlfn.XLOOKUP(C2157,menu!A:A,menu!B:B)</f>
        <v>Paneer Momos</v>
      </c>
      <c r="G2157" s="10" t="str">
        <f>_xlfn.XLOOKUP(C2157,menu!A:A,menu!C:C)</f>
        <v>Momos</v>
      </c>
      <c r="H2157" s="10">
        <f>_xlfn.XLOOKUP(C2157,menu!A:A,menu!E:E)</f>
        <v>27</v>
      </c>
      <c r="I2157" s="10">
        <f t="shared" si="33"/>
        <v>27</v>
      </c>
      <c r="K2157" s="10"/>
      <c r="L2157" s="5"/>
    </row>
    <row r="2158" spans="1:12" x14ac:dyDescent="0.25">
      <c r="A2158" s="5" t="s">
        <v>4269</v>
      </c>
      <c r="B2158" s="5" t="s">
        <v>4267</v>
      </c>
      <c r="C2158" s="5" t="s">
        <v>59</v>
      </c>
      <c r="D2158" s="21">
        <v>1</v>
      </c>
      <c r="E2158" s="12">
        <v>79</v>
      </c>
      <c r="F2158" s="10" t="str">
        <f>_xlfn.XLOOKUP(C2158,menu!A:A,menu!B:B)</f>
        <v>Blue Curacao Mojito</v>
      </c>
      <c r="G2158" s="10" t="str">
        <f>_xlfn.XLOOKUP(C2158,menu!A:A,menu!C:C)</f>
        <v>Beverages</v>
      </c>
      <c r="H2158" s="10">
        <f>_xlfn.XLOOKUP(C2158,menu!A:A,menu!E:E)</f>
        <v>24</v>
      </c>
      <c r="I2158" s="10">
        <f t="shared" si="33"/>
        <v>24</v>
      </c>
      <c r="K2158" s="10"/>
      <c r="L2158" s="5"/>
    </row>
    <row r="2159" spans="1:12" x14ac:dyDescent="0.25">
      <c r="A2159" s="5" t="s">
        <v>4268</v>
      </c>
      <c r="B2159" s="5" t="s">
        <v>4267</v>
      </c>
      <c r="C2159" s="5" t="s">
        <v>31</v>
      </c>
      <c r="D2159" s="21">
        <v>1</v>
      </c>
      <c r="E2159" s="12">
        <v>89</v>
      </c>
      <c r="F2159" s="10" t="str">
        <f>_xlfn.XLOOKUP(C2159,menu!A:A,menu!B:B)</f>
        <v>Chicken Roll</v>
      </c>
      <c r="G2159" s="10" t="str">
        <f>_xlfn.XLOOKUP(C2159,menu!A:A,menu!C:C)</f>
        <v>Rolls</v>
      </c>
      <c r="H2159" s="10">
        <f>_xlfn.XLOOKUP(C2159,menu!A:A,menu!E:E)</f>
        <v>27</v>
      </c>
      <c r="I2159" s="10">
        <f t="shared" si="33"/>
        <v>27</v>
      </c>
      <c r="K2159" s="10"/>
      <c r="L2159" s="5"/>
    </row>
    <row r="2160" spans="1:12" x14ac:dyDescent="0.25">
      <c r="A2160" s="5" t="s">
        <v>4266</v>
      </c>
      <c r="B2160" s="5" t="s">
        <v>4264</v>
      </c>
      <c r="C2160" s="5" t="s">
        <v>17</v>
      </c>
      <c r="D2160" s="21">
        <v>1</v>
      </c>
      <c r="E2160" s="12">
        <v>89</v>
      </c>
      <c r="F2160" s="10" t="str">
        <f>_xlfn.XLOOKUP(C2160,menu!A:A,menu!B:B)</f>
        <v>Paneer Momos</v>
      </c>
      <c r="G2160" s="10" t="str">
        <f>_xlfn.XLOOKUP(C2160,menu!A:A,menu!C:C)</f>
        <v>Momos</v>
      </c>
      <c r="H2160" s="10">
        <f>_xlfn.XLOOKUP(C2160,menu!A:A,menu!E:E)</f>
        <v>27</v>
      </c>
      <c r="I2160" s="10">
        <f t="shared" si="33"/>
        <v>27</v>
      </c>
      <c r="K2160" s="10"/>
      <c r="L2160" s="5"/>
    </row>
    <row r="2161" spans="1:12" x14ac:dyDescent="0.25">
      <c r="A2161" s="5" t="s">
        <v>4265</v>
      </c>
      <c r="B2161" s="5" t="s">
        <v>4264</v>
      </c>
      <c r="C2161" s="5" t="s">
        <v>59</v>
      </c>
      <c r="D2161" s="21">
        <v>1</v>
      </c>
      <c r="E2161" s="12">
        <v>79</v>
      </c>
      <c r="F2161" s="10" t="str">
        <f>_xlfn.XLOOKUP(C2161,menu!A:A,menu!B:B)</f>
        <v>Blue Curacao Mojito</v>
      </c>
      <c r="G2161" s="10" t="str">
        <f>_xlfn.XLOOKUP(C2161,menu!A:A,menu!C:C)</f>
        <v>Beverages</v>
      </c>
      <c r="H2161" s="10">
        <f>_xlfn.XLOOKUP(C2161,menu!A:A,menu!E:E)</f>
        <v>24</v>
      </c>
      <c r="I2161" s="10">
        <f t="shared" si="33"/>
        <v>24</v>
      </c>
      <c r="K2161" s="10"/>
      <c r="L2161" s="5"/>
    </row>
    <row r="2162" spans="1:12" x14ac:dyDescent="0.25">
      <c r="A2162" s="5" t="s">
        <v>4263</v>
      </c>
      <c r="B2162" s="5" t="s">
        <v>4259</v>
      </c>
      <c r="C2162" s="5" t="s">
        <v>5</v>
      </c>
      <c r="D2162" s="21">
        <v>4</v>
      </c>
      <c r="E2162" s="12">
        <v>316</v>
      </c>
      <c r="F2162" s="10" t="str">
        <f>_xlfn.XLOOKUP(C2162,menu!A:A,menu!B:B)</f>
        <v>Veg Sandwich</v>
      </c>
      <c r="G2162" s="10" t="str">
        <f>_xlfn.XLOOKUP(C2162,menu!A:A,menu!C:C)</f>
        <v>Sandwich</v>
      </c>
      <c r="H2162" s="10">
        <f>_xlfn.XLOOKUP(C2162,menu!A:A,menu!E:E)</f>
        <v>24</v>
      </c>
      <c r="I2162" s="10">
        <f t="shared" si="33"/>
        <v>96</v>
      </c>
      <c r="K2162" s="10"/>
      <c r="L2162" s="5"/>
    </row>
    <row r="2163" spans="1:12" x14ac:dyDescent="0.25">
      <c r="A2163" s="5" t="s">
        <v>4262</v>
      </c>
      <c r="B2163" s="5" t="s">
        <v>4259</v>
      </c>
      <c r="C2163" s="5" t="s">
        <v>50</v>
      </c>
      <c r="D2163" s="21">
        <v>5</v>
      </c>
      <c r="E2163" s="12">
        <v>745</v>
      </c>
      <c r="F2163" s="10" t="str">
        <f>_xlfn.XLOOKUP(C2163,menu!A:A,menu!B:B)</f>
        <v>Grab Lollipop</v>
      </c>
      <c r="G2163" s="10" t="str">
        <f>_xlfn.XLOOKUP(C2163,menu!A:A,menu!C:C)</f>
        <v>Starters</v>
      </c>
      <c r="H2163" s="10">
        <f>_xlfn.XLOOKUP(C2163,menu!A:A,menu!E:E)</f>
        <v>45</v>
      </c>
      <c r="I2163" s="10">
        <f t="shared" si="33"/>
        <v>225</v>
      </c>
      <c r="K2163" s="10"/>
      <c r="L2163" s="5"/>
    </row>
    <row r="2164" spans="1:12" x14ac:dyDescent="0.25">
      <c r="A2164" s="5" t="s">
        <v>4261</v>
      </c>
      <c r="B2164" s="5" t="s">
        <v>4259</v>
      </c>
      <c r="C2164" s="5" t="s">
        <v>19</v>
      </c>
      <c r="D2164" s="21">
        <v>1</v>
      </c>
      <c r="E2164" s="12">
        <v>79</v>
      </c>
      <c r="F2164" s="10" t="str">
        <f>_xlfn.XLOOKUP(C2164,menu!A:A,menu!B:B)</f>
        <v>Veg Burger</v>
      </c>
      <c r="G2164" s="10" t="str">
        <f>_xlfn.XLOOKUP(C2164,menu!A:A,menu!C:C)</f>
        <v>Burger</v>
      </c>
      <c r="H2164" s="10">
        <f>_xlfn.XLOOKUP(C2164,menu!A:A,menu!E:E)</f>
        <v>24</v>
      </c>
      <c r="I2164" s="10">
        <f t="shared" si="33"/>
        <v>24</v>
      </c>
      <c r="K2164" s="10"/>
      <c r="L2164" s="5"/>
    </row>
    <row r="2165" spans="1:12" x14ac:dyDescent="0.25">
      <c r="A2165" s="5" t="s">
        <v>4260</v>
      </c>
      <c r="B2165" s="5" t="s">
        <v>4259</v>
      </c>
      <c r="C2165" s="5" t="s">
        <v>52</v>
      </c>
      <c r="D2165" s="21">
        <v>2</v>
      </c>
      <c r="E2165" s="12">
        <v>198</v>
      </c>
      <c r="F2165" s="10" t="str">
        <f>_xlfn.XLOOKUP(C2165,menu!A:A,menu!B:B)</f>
        <v>French Fries</v>
      </c>
      <c r="G2165" s="10" t="str">
        <f>_xlfn.XLOOKUP(C2165,menu!A:A,menu!C:C)</f>
        <v>Starters</v>
      </c>
      <c r="H2165" s="10">
        <f>_xlfn.XLOOKUP(C2165,menu!A:A,menu!E:E)</f>
        <v>30</v>
      </c>
      <c r="I2165" s="10">
        <f t="shared" si="33"/>
        <v>60</v>
      </c>
      <c r="K2165" s="10"/>
      <c r="L2165" s="5"/>
    </row>
    <row r="2166" spans="1:12" x14ac:dyDescent="0.25">
      <c r="A2166" s="5" t="s">
        <v>4258</v>
      </c>
      <c r="B2166" s="5" t="s">
        <v>4256</v>
      </c>
      <c r="C2166" s="5" t="s">
        <v>17</v>
      </c>
      <c r="D2166" s="21">
        <v>4</v>
      </c>
      <c r="E2166" s="12">
        <v>356</v>
      </c>
      <c r="F2166" s="10" t="str">
        <f>_xlfn.XLOOKUP(C2166,menu!A:A,menu!B:B)</f>
        <v>Paneer Momos</v>
      </c>
      <c r="G2166" s="10" t="str">
        <f>_xlfn.XLOOKUP(C2166,menu!A:A,menu!C:C)</f>
        <v>Momos</v>
      </c>
      <c r="H2166" s="10">
        <f>_xlfn.XLOOKUP(C2166,menu!A:A,menu!E:E)</f>
        <v>27</v>
      </c>
      <c r="I2166" s="10">
        <f t="shared" si="33"/>
        <v>108</v>
      </c>
      <c r="K2166" s="10"/>
      <c r="L2166" s="5"/>
    </row>
    <row r="2167" spans="1:12" x14ac:dyDescent="0.25">
      <c r="A2167" s="5" t="s">
        <v>4257</v>
      </c>
      <c r="B2167" s="5" t="s">
        <v>4256</v>
      </c>
      <c r="C2167" s="5" t="s">
        <v>31</v>
      </c>
      <c r="D2167" s="21">
        <v>2</v>
      </c>
      <c r="E2167" s="12">
        <v>178</v>
      </c>
      <c r="F2167" s="10" t="str">
        <f>_xlfn.XLOOKUP(C2167,menu!A:A,menu!B:B)</f>
        <v>Chicken Roll</v>
      </c>
      <c r="G2167" s="10" t="str">
        <f>_xlfn.XLOOKUP(C2167,menu!A:A,menu!C:C)</f>
        <v>Rolls</v>
      </c>
      <c r="H2167" s="10">
        <f>_xlfn.XLOOKUP(C2167,menu!A:A,menu!E:E)</f>
        <v>27</v>
      </c>
      <c r="I2167" s="10">
        <f t="shared" si="33"/>
        <v>54</v>
      </c>
      <c r="K2167" s="10"/>
      <c r="L2167" s="5"/>
    </row>
    <row r="2168" spans="1:12" x14ac:dyDescent="0.25">
      <c r="A2168" s="5" t="s">
        <v>4255</v>
      </c>
      <c r="B2168" s="5" t="s">
        <v>4251</v>
      </c>
      <c r="C2168" s="5" t="s">
        <v>40</v>
      </c>
      <c r="D2168" s="21">
        <v>1</v>
      </c>
      <c r="E2168" s="12">
        <v>99</v>
      </c>
      <c r="F2168" s="10" t="str">
        <f>_xlfn.XLOOKUP(C2168,menu!A:A,menu!B:B)</f>
        <v>Veg Nuggets</v>
      </c>
      <c r="G2168" s="10" t="str">
        <f>_xlfn.XLOOKUP(C2168,menu!A:A,menu!C:C)</f>
        <v>Starters</v>
      </c>
      <c r="H2168" s="10">
        <f>_xlfn.XLOOKUP(C2168,menu!A:A,menu!E:E)</f>
        <v>30</v>
      </c>
      <c r="I2168" s="10">
        <f t="shared" si="33"/>
        <v>30</v>
      </c>
      <c r="K2168" s="10"/>
      <c r="L2168" s="5"/>
    </row>
    <row r="2169" spans="1:12" x14ac:dyDescent="0.25">
      <c r="A2169" s="5" t="s">
        <v>4254</v>
      </c>
      <c r="B2169" s="5" t="s">
        <v>4251</v>
      </c>
      <c r="C2169" s="5" t="s">
        <v>44</v>
      </c>
      <c r="D2169" s="21">
        <v>3</v>
      </c>
      <c r="E2169" s="12">
        <v>477</v>
      </c>
      <c r="F2169" s="10" t="str">
        <f>_xlfn.XLOOKUP(C2169,menu!A:A,menu!B:B)</f>
        <v>Fried Chicken</v>
      </c>
      <c r="G2169" s="10" t="str">
        <f>_xlfn.XLOOKUP(C2169,menu!A:A,menu!C:C)</f>
        <v>Starters</v>
      </c>
      <c r="H2169" s="10">
        <f>_xlfn.XLOOKUP(C2169,menu!A:A,menu!E:E)</f>
        <v>48</v>
      </c>
      <c r="I2169" s="10">
        <f t="shared" si="33"/>
        <v>144</v>
      </c>
      <c r="K2169" s="10"/>
      <c r="L2169" s="5"/>
    </row>
    <row r="2170" spans="1:12" x14ac:dyDescent="0.25">
      <c r="A2170" s="5" t="s">
        <v>4253</v>
      </c>
      <c r="B2170" s="5" t="s">
        <v>4251</v>
      </c>
      <c r="C2170" s="5" t="s">
        <v>59</v>
      </c>
      <c r="D2170" s="21">
        <v>3</v>
      </c>
      <c r="E2170" s="12">
        <v>237</v>
      </c>
      <c r="F2170" s="10" t="str">
        <f>_xlfn.XLOOKUP(C2170,menu!A:A,menu!B:B)</f>
        <v>Blue Curacao Mojito</v>
      </c>
      <c r="G2170" s="10" t="str">
        <f>_xlfn.XLOOKUP(C2170,menu!A:A,menu!C:C)</f>
        <v>Beverages</v>
      </c>
      <c r="H2170" s="10">
        <f>_xlfn.XLOOKUP(C2170,menu!A:A,menu!E:E)</f>
        <v>24</v>
      </c>
      <c r="I2170" s="10">
        <f t="shared" si="33"/>
        <v>72</v>
      </c>
      <c r="K2170" s="10"/>
      <c r="L2170" s="5"/>
    </row>
    <row r="2171" spans="1:12" x14ac:dyDescent="0.25">
      <c r="A2171" s="5" t="s">
        <v>4252</v>
      </c>
      <c r="B2171" s="5" t="s">
        <v>4251</v>
      </c>
      <c r="C2171" s="5" t="s">
        <v>38</v>
      </c>
      <c r="D2171" s="21">
        <v>1</v>
      </c>
      <c r="E2171" s="12">
        <v>149</v>
      </c>
      <c r="F2171" s="10" t="str">
        <f>_xlfn.XLOOKUP(C2171,menu!A:A,menu!B:B)</f>
        <v>Chicken Wings</v>
      </c>
      <c r="G2171" s="10" t="str">
        <f>_xlfn.XLOOKUP(C2171,menu!A:A,menu!C:C)</f>
        <v>Starters</v>
      </c>
      <c r="H2171" s="10">
        <f>_xlfn.XLOOKUP(C2171,menu!A:A,menu!E:E)</f>
        <v>45</v>
      </c>
      <c r="I2171" s="10">
        <f t="shared" si="33"/>
        <v>45</v>
      </c>
      <c r="K2171" s="10"/>
      <c r="L2171" s="5"/>
    </row>
    <row r="2172" spans="1:12" x14ac:dyDescent="0.25">
      <c r="A2172" s="5" t="s">
        <v>4250</v>
      </c>
      <c r="B2172" s="5" t="s">
        <v>4246</v>
      </c>
      <c r="C2172" s="5" t="s">
        <v>40</v>
      </c>
      <c r="D2172" s="21">
        <v>1</v>
      </c>
      <c r="E2172" s="12">
        <v>99</v>
      </c>
      <c r="F2172" s="10" t="str">
        <f>_xlfn.XLOOKUP(C2172,menu!A:A,menu!B:B)</f>
        <v>Veg Nuggets</v>
      </c>
      <c r="G2172" s="10" t="str">
        <f>_xlfn.XLOOKUP(C2172,menu!A:A,menu!C:C)</f>
        <v>Starters</v>
      </c>
      <c r="H2172" s="10">
        <f>_xlfn.XLOOKUP(C2172,menu!A:A,menu!E:E)</f>
        <v>30</v>
      </c>
      <c r="I2172" s="10">
        <f t="shared" si="33"/>
        <v>30</v>
      </c>
      <c r="K2172" s="10"/>
      <c r="L2172" s="5"/>
    </row>
    <row r="2173" spans="1:12" x14ac:dyDescent="0.25">
      <c r="A2173" s="5" t="s">
        <v>4249</v>
      </c>
      <c r="B2173" s="5" t="s">
        <v>4246</v>
      </c>
      <c r="C2173" s="5" t="s">
        <v>50</v>
      </c>
      <c r="D2173" s="21">
        <v>1</v>
      </c>
      <c r="E2173" s="12">
        <v>149</v>
      </c>
      <c r="F2173" s="10" t="str">
        <f>_xlfn.XLOOKUP(C2173,menu!A:A,menu!B:B)</f>
        <v>Grab Lollipop</v>
      </c>
      <c r="G2173" s="10" t="str">
        <f>_xlfn.XLOOKUP(C2173,menu!A:A,menu!C:C)</f>
        <v>Starters</v>
      </c>
      <c r="H2173" s="10">
        <f>_xlfn.XLOOKUP(C2173,menu!A:A,menu!E:E)</f>
        <v>45</v>
      </c>
      <c r="I2173" s="10">
        <f t="shared" si="33"/>
        <v>45</v>
      </c>
      <c r="K2173" s="10"/>
      <c r="L2173" s="5"/>
    </row>
    <row r="2174" spans="1:12" x14ac:dyDescent="0.25">
      <c r="A2174" s="5" t="s">
        <v>4248</v>
      </c>
      <c r="B2174" s="5" t="s">
        <v>4246</v>
      </c>
      <c r="C2174" s="5" t="s">
        <v>35</v>
      </c>
      <c r="D2174" s="21">
        <v>4</v>
      </c>
      <c r="E2174" s="12">
        <v>476</v>
      </c>
      <c r="F2174" s="10" t="str">
        <f>_xlfn.XLOOKUP(C2174,menu!A:A,menu!B:B)</f>
        <v>Chicken Nuggets</v>
      </c>
      <c r="G2174" s="10" t="str">
        <f>_xlfn.XLOOKUP(C2174,menu!A:A,menu!C:C)</f>
        <v>Starters</v>
      </c>
      <c r="H2174" s="10">
        <f>_xlfn.XLOOKUP(C2174,menu!A:A,menu!E:E)</f>
        <v>36</v>
      </c>
      <c r="I2174" s="10">
        <f t="shared" si="33"/>
        <v>144</v>
      </c>
      <c r="K2174" s="10"/>
      <c r="L2174" s="5"/>
    </row>
    <row r="2175" spans="1:12" x14ac:dyDescent="0.25">
      <c r="A2175" s="5" t="s">
        <v>4247</v>
      </c>
      <c r="B2175" s="5" t="s">
        <v>4246</v>
      </c>
      <c r="C2175" s="5" t="s">
        <v>61</v>
      </c>
      <c r="D2175" s="21">
        <v>1</v>
      </c>
      <c r="E2175" s="12">
        <v>79</v>
      </c>
      <c r="F2175" s="10" t="str">
        <f>_xlfn.XLOOKUP(C2175,menu!A:A,menu!B:B)</f>
        <v>Watermelon Mojito</v>
      </c>
      <c r="G2175" s="10" t="str">
        <f>_xlfn.XLOOKUP(C2175,menu!A:A,menu!C:C)</f>
        <v>Beverages</v>
      </c>
      <c r="H2175" s="10">
        <f>_xlfn.XLOOKUP(C2175,menu!A:A,menu!E:E)</f>
        <v>24</v>
      </c>
      <c r="I2175" s="10">
        <f t="shared" si="33"/>
        <v>24</v>
      </c>
      <c r="K2175" s="10"/>
      <c r="L2175" s="5"/>
    </row>
    <row r="2176" spans="1:12" x14ac:dyDescent="0.25">
      <c r="A2176" s="5" t="s">
        <v>4245</v>
      </c>
      <c r="B2176" s="5" t="s">
        <v>4242</v>
      </c>
      <c r="C2176" s="5" t="s">
        <v>10</v>
      </c>
      <c r="D2176" s="21">
        <v>2</v>
      </c>
      <c r="E2176" s="12">
        <v>238</v>
      </c>
      <c r="F2176" s="10" t="str">
        <f>_xlfn.XLOOKUP(C2176,menu!A:A,menu!B:B)</f>
        <v>Chicken Sandwich</v>
      </c>
      <c r="G2176" s="10" t="str">
        <f>_xlfn.XLOOKUP(C2176,menu!A:A,menu!C:C)</f>
        <v>Sandwich</v>
      </c>
      <c r="H2176" s="10">
        <f>_xlfn.XLOOKUP(C2176,menu!A:A,menu!E:E)</f>
        <v>36</v>
      </c>
      <c r="I2176" s="10">
        <f t="shared" si="33"/>
        <v>72</v>
      </c>
      <c r="K2176" s="10"/>
      <c r="L2176" s="5"/>
    </row>
    <row r="2177" spans="1:12" x14ac:dyDescent="0.25">
      <c r="A2177" s="5" t="s">
        <v>4244</v>
      </c>
      <c r="B2177" s="5" t="s">
        <v>4242</v>
      </c>
      <c r="C2177" s="5" t="s">
        <v>54</v>
      </c>
      <c r="D2177" s="21">
        <v>1</v>
      </c>
      <c r="E2177" s="12">
        <v>139</v>
      </c>
      <c r="F2177" s="10" t="str">
        <f>_xlfn.XLOOKUP(C2177,menu!A:A,menu!B:B)</f>
        <v>Chicken Strips</v>
      </c>
      <c r="G2177" s="10" t="str">
        <f>_xlfn.XLOOKUP(C2177,menu!A:A,menu!C:C)</f>
        <v>Starters</v>
      </c>
      <c r="H2177" s="10">
        <f>_xlfn.XLOOKUP(C2177,menu!A:A,menu!E:E)</f>
        <v>42</v>
      </c>
      <c r="I2177" s="10">
        <f t="shared" si="33"/>
        <v>42</v>
      </c>
      <c r="K2177" s="10"/>
      <c r="L2177" s="5"/>
    </row>
    <row r="2178" spans="1:12" x14ac:dyDescent="0.25">
      <c r="A2178" s="5" t="s">
        <v>4243</v>
      </c>
      <c r="B2178" s="5" t="s">
        <v>4242</v>
      </c>
      <c r="C2178" s="5" t="s">
        <v>42</v>
      </c>
      <c r="D2178" s="21">
        <v>1</v>
      </c>
      <c r="E2178" s="12">
        <v>149</v>
      </c>
      <c r="F2178" s="10" t="str">
        <f>_xlfn.XLOOKUP(C2178,menu!A:A,menu!B:B)</f>
        <v>Chicken Popcorn</v>
      </c>
      <c r="G2178" s="10" t="str">
        <f>_xlfn.XLOOKUP(C2178,menu!A:A,menu!C:C)</f>
        <v>Starters</v>
      </c>
      <c r="H2178" s="10">
        <f>_xlfn.XLOOKUP(C2178,menu!A:A,menu!E:E)</f>
        <v>45</v>
      </c>
      <c r="I2178" s="10">
        <f t="shared" si="33"/>
        <v>45</v>
      </c>
      <c r="K2178" s="10"/>
      <c r="L2178" s="5"/>
    </row>
    <row r="2179" spans="1:12" x14ac:dyDescent="0.25">
      <c r="A2179" s="5" t="s">
        <v>4241</v>
      </c>
      <c r="B2179" s="5" t="s">
        <v>4239</v>
      </c>
      <c r="C2179" s="5" t="s">
        <v>52</v>
      </c>
      <c r="D2179" s="21">
        <v>3</v>
      </c>
      <c r="E2179" s="12">
        <v>297</v>
      </c>
      <c r="F2179" s="10" t="str">
        <f>_xlfn.XLOOKUP(C2179,menu!A:A,menu!B:B)</f>
        <v>French Fries</v>
      </c>
      <c r="G2179" s="10" t="str">
        <f>_xlfn.XLOOKUP(C2179,menu!A:A,menu!C:C)</f>
        <v>Starters</v>
      </c>
      <c r="H2179" s="10">
        <f>_xlfn.XLOOKUP(C2179,menu!A:A,menu!E:E)</f>
        <v>30</v>
      </c>
      <c r="I2179" s="10">
        <f t="shared" ref="I2179:I2242" si="34">D2179*H2179</f>
        <v>90</v>
      </c>
      <c r="K2179" s="10"/>
      <c r="L2179" s="5"/>
    </row>
    <row r="2180" spans="1:12" x14ac:dyDescent="0.25">
      <c r="A2180" s="5" t="s">
        <v>4240</v>
      </c>
      <c r="B2180" s="5" t="s">
        <v>4239</v>
      </c>
      <c r="C2180" s="5" t="s">
        <v>24</v>
      </c>
      <c r="D2180" s="21">
        <v>1</v>
      </c>
      <c r="E2180" s="12">
        <v>89</v>
      </c>
      <c r="F2180" s="10" t="str">
        <f>_xlfn.XLOOKUP(C2180,menu!A:A,menu!B:B)</f>
        <v>Paneer Burger</v>
      </c>
      <c r="G2180" s="10" t="str">
        <f>_xlfn.XLOOKUP(C2180,menu!A:A,menu!C:C)</f>
        <v>Burger</v>
      </c>
      <c r="H2180" s="10">
        <f>_xlfn.XLOOKUP(C2180,menu!A:A,menu!E:E)</f>
        <v>27</v>
      </c>
      <c r="I2180" s="10">
        <f t="shared" si="34"/>
        <v>27</v>
      </c>
      <c r="K2180" s="10"/>
      <c r="L2180" s="5"/>
    </row>
    <row r="2181" spans="1:12" x14ac:dyDescent="0.25">
      <c r="A2181" s="5" t="s">
        <v>4238</v>
      </c>
      <c r="B2181" s="5" t="s">
        <v>4234</v>
      </c>
      <c r="C2181" s="5" t="s">
        <v>29</v>
      </c>
      <c r="D2181" s="21">
        <v>3</v>
      </c>
      <c r="E2181" s="12">
        <v>237</v>
      </c>
      <c r="F2181" s="10" t="str">
        <f>_xlfn.XLOOKUP(C2181,menu!A:A,menu!B:B)</f>
        <v>Paneer Roll</v>
      </c>
      <c r="G2181" s="10" t="str">
        <f>_xlfn.XLOOKUP(C2181,menu!A:A,menu!C:C)</f>
        <v>Rolls</v>
      </c>
      <c r="H2181" s="10">
        <f>_xlfn.XLOOKUP(C2181,menu!A:A,menu!E:E)</f>
        <v>24</v>
      </c>
      <c r="I2181" s="10">
        <f t="shared" si="34"/>
        <v>72</v>
      </c>
      <c r="K2181" s="10"/>
      <c r="L2181" s="5"/>
    </row>
    <row r="2182" spans="1:12" x14ac:dyDescent="0.25">
      <c r="A2182" s="5" t="s">
        <v>4237</v>
      </c>
      <c r="B2182" s="5" t="s">
        <v>4234</v>
      </c>
      <c r="C2182" s="5" t="s">
        <v>63</v>
      </c>
      <c r="D2182" s="21">
        <v>1</v>
      </c>
      <c r="E2182" s="12">
        <v>79</v>
      </c>
      <c r="F2182" s="10" t="str">
        <f>_xlfn.XLOOKUP(C2182,menu!A:A,menu!B:B)</f>
        <v>Virgin Mojito</v>
      </c>
      <c r="G2182" s="10" t="str">
        <f>_xlfn.XLOOKUP(C2182,menu!A:A,menu!C:C)</f>
        <v>Beverages</v>
      </c>
      <c r="H2182" s="10">
        <f>_xlfn.XLOOKUP(C2182,menu!A:A,menu!E:E)</f>
        <v>24</v>
      </c>
      <c r="I2182" s="10">
        <f t="shared" si="34"/>
        <v>24</v>
      </c>
      <c r="K2182" s="10"/>
      <c r="L2182" s="5"/>
    </row>
    <row r="2183" spans="1:12" x14ac:dyDescent="0.25">
      <c r="A2183" s="5" t="s">
        <v>4236</v>
      </c>
      <c r="B2183" s="5" t="s">
        <v>4234</v>
      </c>
      <c r="C2183" s="5" t="s">
        <v>65</v>
      </c>
      <c r="D2183" s="21">
        <v>1</v>
      </c>
      <c r="E2183" s="12">
        <v>49</v>
      </c>
      <c r="F2183" s="10" t="str">
        <f>_xlfn.XLOOKUP(C2183,menu!A:A,menu!B:B)</f>
        <v>Lemon Juice</v>
      </c>
      <c r="G2183" s="10" t="str">
        <f>_xlfn.XLOOKUP(C2183,menu!A:A,menu!C:C)</f>
        <v>Beverages</v>
      </c>
      <c r="H2183" s="10">
        <f>_xlfn.XLOOKUP(C2183,menu!A:A,menu!E:E)</f>
        <v>15</v>
      </c>
      <c r="I2183" s="10">
        <f t="shared" si="34"/>
        <v>15</v>
      </c>
      <c r="K2183" s="10"/>
      <c r="L2183" s="5"/>
    </row>
    <row r="2184" spans="1:12" x14ac:dyDescent="0.25">
      <c r="A2184" s="5" t="s">
        <v>4235</v>
      </c>
      <c r="B2184" s="5" t="s">
        <v>4234</v>
      </c>
      <c r="C2184" s="5" t="s">
        <v>38</v>
      </c>
      <c r="D2184" s="21">
        <v>1</v>
      </c>
      <c r="E2184" s="12">
        <v>149</v>
      </c>
      <c r="F2184" s="10" t="str">
        <f>_xlfn.XLOOKUP(C2184,menu!A:A,menu!B:B)</f>
        <v>Chicken Wings</v>
      </c>
      <c r="G2184" s="10" t="str">
        <f>_xlfn.XLOOKUP(C2184,menu!A:A,menu!C:C)</f>
        <v>Starters</v>
      </c>
      <c r="H2184" s="10">
        <f>_xlfn.XLOOKUP(C2184,menu!A:A,menu!E:E)</f>
        <v>45</v>
      </c>
      <c r="I2184" s="10">
        <f t="shared" si="34"/>
        <v>45</v>
      </c>
      <c r="K2184" s="10"/>
      <c r="L2184" s="5"/>
    </row>
    <row r="2185" spans="1:12" x14ac:dyDescent="0.25">
      <c r="A2185" s="5" t="s">
        <v>4233</v>
      </c>
      <c r="B2185" s="5" t="s">
        <v>4232</v>
      </c>
      <c r="C2185" s="5" t="s">
        <v>22</v>
      </c>
      <c r="D2185" s="21">
        <v>1</v>
      </c>
      <c r="E2185" s="12">
        <v>99</v>
      </c>
      <c r="F2185" s="10" t="str">
        <f>_xlfn.XLOOKUP(C2185,menu!A:A,menu!B:B)</f>
        <v>Chicken Burger</v>
      </c>
      <c r="G2185" s="10" t="str">
        <f>_xlfn.XLOOKUP(C2185,menu!A:A,menu!C:C)</f>
        <v>Burger</v>
      </c>
      <c r="H2185" s="10">
        <f>_xlfn.XLOOKUP(C2185,menu!A:A,menu!E:E)</f>
        <v>30</v>
      </c>
      <c r="I2185" s="10">
        <f t="shared" si="34"/>
        <v>30</v>
      </c>
      <c r="K2185" s="10"/>
      <c r="L2185" s="5"/>
    </row>
    <row r="2186" spans="1:12" x14ac:dyDescent="0.25">
      <c r="A2186" s="5" t="s">
        <v>4231</v>
      </c>
      <c r="B2186" s="5" t="s">
        <v>4227</v>
      </c>
      <c r="C2186" s="5" t="s">
        <v>40</v>
      </c>
      <c r="D2186" s="21">
        <v>1</v>
      </c>
      <c r="E2186" s="12">
        <v>99</v>
      </c>
      <c r="F2186" s="10" t="str">
        <f>_xlfn.XLOOKUP(C2186,menu!A:A,menu!B:B)</f>
        <v>Veg Nuggets</v>
      </c>
      <c r="G2186" s="10" t="str">
        <f>_xlfn.XLOOKUP(C2186,menu!A:A,menu!C:C)</f>
        <v>Starters</v>
      </c>
      <c r="H2186" s="10">
        <f>_xlfn.XLOOKUP(C2186,menu!A:A,menu!E:E)</f>
        <v>30</v>
      </c>
      <c r="I2186" s="10">
        <f t="shared" si="34"/>
        <v>30</v>
      </c>
      <c r="K2186" s="10"/>
      <c r="L2186" s="5"/>
    </row>
    <row r="2187" spans="1:12" x14ac:dyDescent="0.25">
      <c r="A2187" s="5" t="s">
        <v>4230</v>
      </c>
      <c r="B2187" s="5" t="s">
        <v>4227</v>
      </c>
      <c r="C2187" s="5" t="s">
        <v>54</v>
      </c>
      <c r="D2187" s="21">
        <v>1</v>
      </c>
      <c r="E2187" s="12">
        <v>139</v>
      </c>
      <c r="F2187" s="10" t="str">
        <f>_xlfn.XLOOKUP(C2187,menu!A:A,menu!B:B)</f>
        <v>Chicken Strips</v>
      </c>
      <c r="G2187" s="10" t="str">
        <f>_xlfn.XLOOKUP(C2187,menu!A:A,menu!C:C)</f>
        <v>Starters</v>
      </c>
      <c r="H2187" s="10">
        <f>_xlfn.XLOOKUP(C2187,menu!A:A,menu!E:E)</f>
        <v>42</v>
      </c>
      <c r="I2187" s="10">
        <f t="shared" si="34"/>
        <v>42</v>
      </c>
      <c r="K2187" s="10"/>
      <c r="L2187" s="5"/>
    </row>
    <row r="2188" spans="1:12" x14ac:dyDescent="0.25">
      <c r="A2188" s="5" t="s">
        <v>4229</v>
      </c>
      <c r="B2188" s="5" t="s">
        <v>4227</v>
      </c>
      <c r="C2188" s="5" t="s">
        <v>46</v>
      </c>
      <c r="D2188" s="21">
        <v>4</v>
      </c>
      <c r="E2188" s="12">
        <v>596</v>
      </c>
      <c r="F2188" s="10" t="str">
        <f>_xlfn.XLOOKUP(C2188,menu!A:A,menu!B:B)</f>
        <v>Fish Finger</v>
      </c>
      <c r="G2188" s="10" t="str">
        <f>_xlfn.XLOOKUP(C2188,menu!A:A,menu!C:C)</f>
        <v>Starters</v>
      </c>
      <c r="H2188" s="10">
        <f>_xlfn.XLOOKUP(C2188,menu!A:A,menu!E:E)</f>
        <v>45</v>
      </c>
      <c r="I2188" s="10">
        <f t="shared" si="34"/>
        <v>180</v>
      </c>
      <c r="K2188" s="10"/>
      <c r="L2188" s="5"/>
    </row>
    <row r="2189" spans="1:12" x14ac:dyDescent="0.25">
      <c r="A2189" s="5" t="s">
        <v>4228</v>
      </c>
      <c r="B2189" s="5" t="s">
        <v>4227</v>
      </c>
      <c r="C2189" s="5" t="s">
        <v>59</v>
      </c>
      <c r="D2189" s="21">
        <v>1</v>
      </c>
      <c r="E2189" s="12">
        <v>79</v>
      </c>
      <c r="F2189" s="10" t="str">
        <f>_xlfn.XLOOKUP(C2189,menu!A:A,menu!B:B)</f>
        <v>Blue Curacao Mojito</v>
      </c>
      <c r="G2189" s="10" t="str">
        <f>_xlfn.XLOOKUP(C2189,menu!A:A,menu!C:C)</f>
        <v>Beverages</v>
      </c>
      <c r="H2189" s="10">
        <f>_xlfn.XLOOKUP(C2189,menu!A:A,menu!E:E)</f>
        <v>24</v>
      </c>
      <c r="I2189" s="10">
        <f t="shared" si="34"/>
        <v>24</v>
      </c>
      <c r="K2189" s="10"/>
      <c r="L2189" s="5"/>
    </row>
    <row r="2190" spans="1:12" x14ac:dyDescent="0.25">
      <c r="A2190" s="5" t="s">
        <v>4226</v>
      </c>
      <c r="B2190" s="5" t="s">
        <v>4222</v>
      </c>
      <c r="C2190" s="5" t="s">
        <v>12</v>
      </c>
      <c r="D2190" s="21">
        <v>1</v>
      </c>
      <c r="E2190" s="12">
        <v>79</v>
      </c>
      <c r="F2190" s="10" t="str">
        <f>_xlfn.XLOOKUP(C2190,menu!A:A,menu!B:B)</f>
        <v>Veg Momos</v>
      </c>
      <c r="G2190" s="10" t="str">
        <f>_xlfn.XLOOKUP(C2190,menu!A:A,menu!C:C)</f>
        <v>Momos</v>
      </c>
      <c r="H2190" s="10">
        <f>_xlfn.XLOOKUP(C2190,menu!A:A,menu!E:E)</f>
        <v>24</v>
      </c>
      <c r="I2190" s="10">
        <f t="shared" si="34"/>
        <v>24</v>
      </c>
      <c r="K2190" s="10"/>
      <c r="L2190" s="5"/>
    </row>
    <row r="2191" spans="1:12" x14ac:dyDescent="0.25">
      <c r="A2191" s="5" t="s">
        <v>4225</v>
      </c>
      <c r="B2191" s="5" t="s">
        <v>4222</v>
      </c>
      <c r="C2191" s="5" t="s">
        <v>52</v>
      </c>
      <c r="D2191" s="21">
        <v>4</v>
      </c>
      <c r="E2191" s="12">
        <v>396</v>
      </c>
      <c r="F2191" s="10" t="str">
        <f>_xlfn.XLOOKUP(C2191,menu!A:A,menu!B:B)</f>
        <v>French Fries</v>
      </c>
      <c r="G2191" s="10" t="str">
        <f>_xlfn.XLOOKUP(C2191,menu!A:A,menu!C:C)</f>
        <v>Starters</v>
      </c>
      <c r="H2191" s="10">
        <f>_xlfn.XLOOKUP(C2191,menu!A:A,menu!E:E)</f>
        <v>30</v>
      </c>
      <c r="I2191" s="10">
        <f t="shared" si="34"/>
        <v>120</v>
      </c>
      <c r="K2191" s="10"/>
      <c r="L2191" s="5"/>
    </row>
    <row r="2192" spans="1:12" x14ac:dyDescent="0.25">
      <c r="A2192" s="5" t="s">
        <v>4224</v>
      </c>
      <c r="B2192" s="5" t="s">
        <v>4222</v>
      </c>
      <c r="C2192" s="5" t="s">
        <v>8</v>
      </c>
      <c r="D2192" s="21">
        <v>4</v>
      </c>
      <c r="E2192" s="12">
        <v>396</v>
      </c>
      <c r="F2192" s="10" t="str">
        <f>_xlfn.XLOOKUP(C2192,menu!A:A,menu!B:B)</f>
        <v>Paneer Sandwich</v>
      </c>
      <c r="G2192" s="10" t="str">
        <f>_xlfn.XLOOKUP(C2192,menu!A:A,menu!C:C)</f>
        <v>Sandwich</v>
      </c>
      <c r="H2192" s="10">
        <f>_xlfn.XLOOKUP(C2192,menu!A:A,menu!E:E)</f>
        <v>30</v>
      </c>
      <c r="I2192" s="10">
        <f t="shared" si="34"/>
        <v>120</v>
      </c>
      <c r="K2192" s="10"/>
      <c r="L2192" s="5"/>
    </row>
    <row r="2193" spans="1:12" x14ac:dyDescent="0.25">
      <c r="A2193" s="5" t="s">
        <v>4223</v>
      </c>
      <c r="B2193" s="5" t="s">
        <v>4222</v>
      </c>
      <c r="C2193" s="5" t="s">
        <v>33</v>
      </c>
      <c r="D2193" s="21">
        <v>1</v>
      </c>
      <c r="E2193" s="12">
        <v>69</v>
      </c>
      <c r="F2193" s="10" t="str">
        <f>_xlfn.XLOOKUP(C2193,menu!A:A,menu!B:B)</f>
        <v>Spring Roll</v>
      </c>
      <c r="G2193" s="10" t="str">
        <f>_xlfn.XLOOKUP(C2193,menu!A:A,menu!C:C)</f>
        <v>Rolls</v>
      </c>
      <c r="H2193" s="10">
        <f>_xlfn.XLOOKUP(C2193,menu!A:A,menu!E:E)</f>
        <v>21</v>
      </c>
      <c r="I2193" s="10">
        <f t="shared" si="34"/>
        <v>21</v>
      </c>
      <c r="K2193" s="10"/>
      <c r="L2193" s="5"/>
    </row>
    <row r="2194" spans="1:12" x14ac:dyDescent="0.25">
      <c r="A2194" s="5" t="s">
        <v>4221</v>
      </c>
      <c r="B2194" s="5" t="s">
        <v>4219</v>
      </c>
      <c r="C2194" s="5" t="s">
        <v>63</v>
      </c>
      <c r="D2194" s="21">
        <v>2</v>
      </c>
      <c r="E2194" s="12">
        <v>158</v>
      </c>
      <c r="F2194" s="10" t="str">
        <f>_xlfn.XLOOKUP(C2194,menu!A:A,menu!B:B)</f>
        <v>Virgin Mojito</v>
      </c>
      <c r="G2194" s="10" t="str">
        <f>_xlfn.XLOOKUP(C2194,menu!A:A,menu!C:C)</f>
        <v>Beverages</v>
      </c>
      <c r="H2194" s="10">
        <f>_xlfn.XLOOKUP(C2194,menu!A:A,menu!E:E)</f>
        <v>24</v>
      </c>
      <c r="I2194" s="10">
        <f t="shared" si="34"/>
        <v>48</v>
      </c>
      <c r="K2194" s="10"/>
      <c r="L2194" s="5"/>
    </row>
    <row r="2195" spans="1:12" x14ac:dyDescent="0.25">
      <c r="A2195" s="5" t="s">
        <v>4220</v>
      </c>
      <c r="B2195" s="5" t="s">
        <v>4219</v>
      </c>
      <c r="C2195" s="5" t="s">
        <v>54</v>
      </c>
      <c r="D2195" s="21">
        <v>5</v>
      </c>
      <c r="E2195" s="12">
        <v>695</v>
      </c>
      <c r="F2195" s="10" t="str">
        <f>_xlfn.XLOOKUP(C2195,menu!A:A,menu!B:B)</f>
        <v>Chicken Strips</v>
      </c>
      <c r="G2195" s="10" t="str">
        <f>_xlfn.XLOOKUP(C2195,menu!A:A,menu!C:C)</f>
        <v>Starters</v>
      </c>
      <c r="H2195" s="10">
        <f>_xlfn.XLOOKUP(C2195,menu!A:A,menu!E:E)</f>
        <v>42</v>
      </c>
      <c r="I2195" s="10">
        <f t="shared" si="34"/>
        <v>210</v>
      </c>
      <c r="K2195" s="10"/>
      <c r="L2195" s="5"/>
    </row>
    <row r="2196" spans="1:12" x14ac:dyDescent="0.25">
      <c r="A2196" s="5" t="s">
        <v>4218</v>
      </c>
      <c r="B2196" s="5" t="s">
        <v>4216</v>
      </c>
      <c r="C2196" s="5" t="s">
        <v>44</v>
      </c>
      <c r="D2196" s="21">
        <v>3</v>
      </c>
      <c r="E2196" s="12">
        <v>477</v>
      </c>
      <c r="F2196" s="10" t="str">
        <f>_xlfn.XLOOKUP(C2196,menu!A:A,menu!B:B)</f>
        <v>Fried Chicken</v>
      </c>
      <c r="G2196" s="10" t="str">
        <f>_xlfn.XLOOKUP(C2196,menu!A:A,menu!C:C)</f>
        <v>Starters</v>
      </c>
      <c r="H2196" s="10">
        <f>_xlfn.XLOOKUP(C2196,menu!A:A,menu!E:E)</f>
        <v>48</v>
      </c>
      <c r="I2196" s="10">
        <f t="shared" si="34"/>
        <v>144</v>
      </c>
      <c r="K2196" s="10"/>
      <c r="L2196" s="5"/>
    </row>
    <row r="2197" spans="1:12" x14ac:dyDescent="0.25">
      <c r="A2197" s="5" t="s">
        <v>4217</v>
      </c>
      <c r="B2197" s="5" t="s">
        <v>4216</v>
      </c>
      <c r="C2197" s="5" t="s">
        <v>31</v>
      </c>
      <c r="D2197" s="21">
        <v>1</v>
      </c>
      <c r="E2197" s="12">
        <v>89</v>
      </c>
      <c r="F2197" s="10" t="str">
        <f>_xlfn.XLOOKUP(C2197,menu!A:A,menu!B:B)</f>
        <v>Chicken Roll</v>
      </c>
      <c r="G2197" s="10" t="str">
        <f>_xlfn.XLOOKUP(C2197,menu!A:A,menu!C:C)</f>
        <v>Rolls</v>
      </c>
      <c r="H2197" s="10">
        <f>_xlfn.XLOOKUP(C2197,menu!A:A,menu!E:E)</f>
        <v>27</v>
      </c>
      <c r="I2197" s="10">
        <f t="shared" si="34"/>
        <v>27</v>
      </c>
      <c r="K2197" s="10"/>
      <c r="L2197" s="5"/>
    </row>
    <row r="2198" spans="1:12" x14ac:dyDescent="0.25">
      <c r="A2198" s="5" t="s">
        <v>4215</v>
      </c>
      <c r="B2198" s="5" t="s">
        <v>4213</v>
      </c>
      <c r="C2198" s="5" t="s">
        <v>5</v>
      </c>
      <c r="D2198" s="21">
        <v>1</v>
      </c>
      <c r="E2198" s="12">
        <v>79</v>
      </c>
      <c r="F2198" s="10" t="str">
        <f>_xlfn.XLOOKUP(C2198,menu!A:A,menu!B:B)</f>
        <v>Veg Sandwich</v>
      </c>
      <c r="G2198" s="10" t="str">
        <f>_xlfn.XLOOKUP(C2198,menu!A:A,menu!C:C)</f>
        <v>Sandwich</v>
      </c>
      <c r="H2198" s="10">
        <f>_xlfn.XLOOKUP(C2198,menu!A:A,menu!E:E)</f>
        <v>24</v>
      </c>
      <c r="I2198" s="10">
        <f t="shared" si="34"/>
        <v>24</v>
      </c>
      <c r="K2198" s="10"/>
      <c r="L2198" s="5"/>
    </row>
    <row r="2199" spans="1:12" x14ac:dyDescent="0.25">
      <c r="A2199" s="5" t="s">
        <v>4214</v>
      </c>
      <c r="B2199" s="5" t="s">
        <v>4213</v>
      </c>
      <c r="C2199" s="5" t="s">
        <v>42</v>
      </c>
      <c r="D2199" s="21">
        <v>2</v>
      </c>
      <c r="E2199" s="12">
        <v>298</v>
      </c>
      <c r="F2199" s="10" t="str">
        <f>_xlfn.XLOOKUP(C2199,menu!A:A,menu!B:B)</f>
        <v>Chicken Popcorn</v>
      </c>
      <c r="G2199" s="10" t="str">
        <f>_xlfn.XLOOKUP(C2199,menu!A:A,menu!C:C)</f>
        <v>Starters</v>
      </c>
      <c r="H2199" s="10">
        <f>_xlfn.XLOOKUP(C2199,menu!A:A,menu!E:E)</f>
        <v>45</v>
      </c>
      <c r="I2199" s="10">
        <f t="shared" si="34"/>
        <v>90</v>
      </c>
      <c r="K2199" s="10"/>
      <c r="L2199" s="5"/>
    </row>
    <row r="2200" spans="1:12" x14ac:dyDescent="0.25">
      <c r="A2200" s="5" t="s">
        <v>4212</v>
      </c>
      <c r="B2200" s="5" t="s">
        <v>4209</v>
      </c>
      <c r="C2200" s="5" t="s">
        <v>19</v>
      </c>
      <c r="D2200" s="21">
        <v>1</v>
      </c>
      <c r="E2200" s="12">
        <v>79</v>
      </c>
      <c r="F2200" s="10" t="str">
        <f>_xlfn.XLOOKUP(C2200,menu!A:A,menu!B:B)</f>
        <v>Veg Burger</v>
      </c>
      <c r="G2200" s="10" t="str">
        <f>_xlfn.XLOOKUP(C2200,menu!A:A,menu!C:C)</f>
        <v>Burger</v>
      </c>
      <c r="H2200" s="10">
        <f>_xlfn.XLOOKUP(C2200,menu!A:A,menu!E:E)</f>
        <v>24</v>
      </c>
      <c r="I2200" s="10">
        <f t="shared" si="34"/>
        <v>24</v>
      </c>
      <c r="K2200" s="10"/>
      <c r="L2200" s="5"/>
    </row>
    <row r="2201" spans="1:12" x14ac:dyDescent="0.25">
      <c r="A2201" s="5" t="s">
        <v>4211</v>
      </c>
      <c r="B2201" s="5" t="s">
        <v>4209</v>
      </c>
      <c r="C2201" s="5" t="s">
        <v>8</v>
      </c>
      <c r="D2201" s="21">
        <v>1</v>
      </c>
      <c r="E2201" s="12">
        <v>99</v>
      </c>
      <c r="F2201" s="10" t="str">
        <f>_xlfn.XLOOKUP(C2201,menu!A:A,menu!B:B)</f>
        <v>Paneer Sandwich</v>
      </c>
      <c r="G2201" s="10" t="str">
        <f>_xlfn.XLOOKUP(C2201,menu!A:A,menu!C:C)</f>
        <v>Sandwich</v>
      </c>
      <c r="H2201" s="10">
        <f>_xlfn.XLOOKUP(C2201,menu!A:A,menu!E:E)</f>
        <v>30</v>
      </c>
      <c r="I2201" s="10">
        <f t="shared" si="34"/>
        <v>30</v>
      </c>
      <c r="K2201" s="10"/>
      <c r="L2201" s="5"/>
    </row>
    <row r="2202" spans="1:12" x14ac:dyDescent="0.25">
      <c r="A2202" s="5" t="s">
        <v>4210</v>
      </c>
      <c r="B2202" s="5" t="s">
        <v>4209</v>
      </c>
      <c r="C2202" s="5" t="s">
        <v>22</v>
      </c>
      <c r="D2202" s="21">
        <v>5</v>
      </c>
      <c r="E2202" s="12">
        <v>495</v>
      </c>
      <c r="F2202" s="10" t="str">
        <f>_xlfn.XLOOKUP(C2202,menu!A:A,menu!B:B)</f>
        <v>Chicken Burger</v>
      </c>
      <c r="G2202" s="10" t="str">
        <f>_xlfn.XLOOKUP(C2202,menu!A:A,menu!C:C)</f>
        <v>Burger</v>
      </c>
      <c r="H2202" s="10">
        <f>_xlfn.XLOOKUP(C2202,menu!A:A,menu!E:E)</f>
        <v>30</v>
      </c>
      <c r="I2202" s="10">
        <f t="shared" si="34"/>
        <v>150</v>
      </c>
      <c r="K2202" s="10"/>
      <c r="L2202" s="5"/>
    </row>
    <row r="2203" spans="1:12" x14ac:dyDescent="0.25">
      <c r="A2203" s="5" t="s">
        <v>4208</v>
      </c>
      <c r="B2203" s="5" t="s">
        <v>4207</v>
      </c>
      <c r="C2203" s="5" t="s">
        <v>17</v>
      </c>
      <c r="D2203" s="21">
        <v>1</v>
      </c>
      <c r="E2203" s="12">
        <v>89</v>
      </c>
      <c r="F2203" s="10" t="str">
        <f>_xlfn.XLOOKUP(C2203,menu!A:A,menu!B:B)</f>
        <v>Paneer Momos</v>
      </c>
      <c r="G2203" s="10" t="str">
        <f>_xlfn.XLOOKUP(C2203,menu!A:A,menu!C:C)</f>
        <v>Momos</v>
      </c>
      <c r="H2203" s="10">
        <f>_xlfn.XLOOKUP(C2203,menu!A:A,menu!E:E)</f>
        <v>27</v>
      </c>
      <c r="I2203" s="10">
        <f t="shared" si="34"/>
        <v>27</v>
      </c>
      <c r="K2203" s="10"/>
      <c r="L2203" s="5"/>
    </row>
    <row r="2204" spans="1:12" x14ac:dyDescent="0.25">
      <c r="A2204" s="5" t="s">
        <v>4206</v>
      </c>
      <c r="B2204" s="5" t="s">
        <v>4203</v>
      </c>
      <c r="C2204" s="5" t="s">
        <v>54</v>
      </c>
      <c r="D2204" s="21">
        <v>1</v>
      </c>
      <c r="E2204" s="12">
        <v>139</v>
      </c>
      <c r="F2204" s="10" t="str">
        <f>_xlfn.XLOOKUP(C2204,menu!A:A,menu!B:B)</f>
        <v>Chicken Strips</v>
      </c>
      <c r="G2204" s="10" t="str">
        <f>_xlfn.XLOOKUP(C2204,menu!A:A,menu!C:C)</f>
        <v>Starters</v>
      </c>
      <c r="H2204" s="10">
        <f>_xlfn.XLOOKUP(C2204,menu!A:A,menu!E:E)</f>
        <v>42</v>
      </c>
      <c r="I2204" s="10">
        <f t="shared" si="34"/>
        <v>42</v>
      </c>
      <c r="K2204" s="10"/>
      <c r="L2204" s="5"/>
    </row>
    <row r="2205" spans="1:12" x14ac:dyDescent="0.25">
      <c r="A2205" s="5" t="s">
        <v>4205</v>
      </c>
      <c r="B2205" s="5" t="s">
        <v>4203</v>
      </c>
      <c r="C2205" s="5" t="s">
        <v>15</v>
      </c>
      <c r="D2205" s="21">
        <v>2</v>
      </c>
      <c r="E2205" s="12">
        <v>198</v>
      </c>
      <c r="F2205" s="10" t="str">
        <f>_xlfn.XLOOKUP(C2205,menu!A:A,menu!B:B)</f>
        <v>Chicken Momos</v>
      </c>
      <c r="G2205" s="10" t="str">
        <f>_xlfn.XLOOKUP(C2205,menu!A:A,menu!C:C)</f>
        <v>Momos</v>
      </c>
      <c r="H2205" s="10">
        <f>_xlfn.XLOOKUP(C2205,menu!A:A,menu!E:E)</f>
        <v>30</v>
      </c>
      <c r="I2205" s="10">
        <f t="shared" si="34"/>
        <v>60</v>
      </c>
      <c r="K2205" s="10"/>
      <c r="L2205" s="5"/>
    </row>
    <row r="2206" spans="1:12" x14ac:dyDescent="0.25">
      <c r="A2206" s="5" t="s">
        <v>4204</v>
      </c>
      <c r="B2206" s="5" t="s">
        <v>4203</v>
      </c>
      <c r="C2206" s="5" t="s">
        <v>31</v>
      </c>
      <c r="D2206" s="21">
        <v>4</v>
      </c>
      <c r="E2206" s="12">
        <v>356</v>
      </c>
      <c r="F2206" s="10" t="str">
        <f>_xlfn.XLOOKUP(C2206,menu!A:A,menu!B:B)</f>
        <v>Chicken Roll</v>
      </c>
      <c r="G2206" s="10" t="str">
        <f>_xlfn.XLOOKUP(C2206,menu!A:A,menu!C:C)</f>
        <v>Rolls</v>
      </c>
      <c r="H2206" s="10">
        <f>_xlfn.XLOOKUP(C2206,menu!A:A,menu!E:E)</f>
        <v>27</v>
      </c>
      <c r="I2206" s="10">
        <f t="shared" si="34"/>
        <v>108</v>
      </c>
      <c r="K2206" s="10"/>
      <c r="L2206" s="5"/>
    </row>
    <row r="2207" spans="1:12" x14ac:dyDescent="0.25">
      <c r="A2207" s="5" t="s">
        <v>4202</v>
      </c>
      <c r="B2207" s="5" t="s">
        <v>4199</v>
      </c>
      <c r="C2207" s="5" t="s">
        <v>40</v>
      </c>
      <c r="D2207" s="21">
        <v>1</v>
      </c>
      <c r="E2207" s="12">
        <v>99</v>
      </c>
      <c r="F2207" s="10" t="str">
        <f>_xlfn.XLOOKUP(C2207,menu!A:A,menu!B:B)</f>
        <v>Veg Nuggets</v>
      </c>
      <c r="G2207" s="10" t="str">
        <f>_xlfn.XLOOKUP(C2207,menu!A:A,menu!C:C)</f>
        <v>Starters</v>
      </c>
      <c r="H2207" s="10">
        <f>_xlfn.XLOOKUP(C2207,menu!A:A,menu!E:E)</f>
        <v>30</v>
      </c>
      <c r="I2207" s="10">
        <f t="shared" si="34"/>
        <v>30</v>
      </c>
      <c r="K2207" s="10"/>
      <c r="L2207" s="5"/>
    </row>
    <row r="2208" spans="1:12" x14ac:dyDescent="0.25">
      <c r="A2208" s="5" t="s">
        <v>4201</v>
      </c>
      <c r="B2208" s="5" t="s">
        <v>4199</v>
      </c>
      <c r="C2208" s="5" t="s">
        <v>50</v>
      </c>
      <c r="D2208" s="21">
        <v>1</v>
      </c>
      <c r="E2208" s="12">
        <v>149</v>
      </c>
      <c r="F2208" s="10" t="str">
        <f>_xlfn.XLOOKUP(C2208,menu!A:A,menu!B:B)</f>
        <v>Grab Lollipop</v>
      </c>
      <c r="G2208" s="10" t="str">
        <f>_xlfn.XLOOKUP(C2208,menu!A:A,menu!C:C)</f>
        <v>Starters</v>
      </c>
      <c r="H2208" s="10">
        <f>_xlfn.XLOOKUP(C2208,menu!A:A,menu!E:E)</f>
        <v>45</v>
      </c>
      <c r="I2208" s="10">
        <f t="shared" si="34"/>
        <v>45</v>
      </c>
      <c r="K2208" s="10"/>
      <c r="L2208" s="5"/>
    </row>
    <row r="2209" spans="1:12" x14ac:dyDescent="0.25">
      <c r="A2209" s="5" t="s">
        <v>4200</v>
      </c>
      <c r="B2209" s="5" t="s">
        <v>4199</v>
      </c>
      <c r="C2209" s="5" t="s">
        <v>54</v>
      </c>
      <c r="D2209" s="21">
        <v>1</v>
      </c>
      <c r="E2209" s="12">
        <v>139</v>
      </c>
      <c r="F2209" s="10" t="str">
        <f>_xlfn.XLOOKUP(C2209,menu!A:A,menu!B:B)</f>
        <v>Chicken Strips</v>
      </c>
      <c r="G2209" s="10" t="str">
        <f>_xlfn.XLOOKUP(C2209,menu!A:A,menu!C:C)</f>
        <v>Starters</v>
      </c>
      <c r="H2209" s="10">
        <f>_xlfn.XLOOKUP(C2209,menu!A:A,menu!E:E)</f>
        <v>42</v>
      </c>
      <c r="I2209" s="10">
        <f t="shared" si="34"/>
        <v>42</v>
      </c>
      <c r="K2209" s="10"/>
      <c r="L2209" s="5"/>
    </row>
    <row r="2210" spans="1:12" x14ac:dyDescent="0.25">
      <c r="A2210" s="5" t="s">
        <v>4198</v>
      </c>
      <c r="B2210" s="5" t="s">
        <v>4196</v>
      </c>
      <c r="C2210" s="5" t="s">
        <v>19</v>
      </c>
      <c r="D2210" s="21">
        <v>3</v>
      </c>
      <c r="E2210" s="12">
        <v>237</v>
      </c>
      <c r="F2210" s="10" t="str">
        <f>_xlfn.XLOOKUP(C2210,menu!A:A,menu!B:B)</f>
        <v>Veg Burger</v>
      </c>
      <c r="G2210" s="10" t="str">
        <f>_xlfn.XLOOKUP(C2210,menu!A:A,menu!C:C)</f>
        <v>Burger</v>
      </c>
      <c r="H2210" s="10">
        <f>_xlfn.XLOOKUP(C2210,menu!A:A,menu!E:E)</f>
        <v>24</v>
      </c>
      <c r="I2210" s="10">
        <f t="shared" si="34"/>
        <v>72</v>
      </c>
      <c r="K2210" s="10"/>
      <c r="L2210" s="5"/>
    </row>
    <row r="2211" spans="1:12" x14ac:dyDescent="0.25">
      <c r="A2211" s="5" t="s">
        <v>4197</v>
      </c>
      <c r="B2211" s="5" t="s">
        <v>4196</v>
      </c>
      <c r="C2211" s="5" t="s">
        <v>17</v>
      </c>
      <c r="D2211" s="21">
        <v>3</v>
      </c>
      <c r="E2211" s="12">
        <v>267</v>
      </c>
      <c r="F2211" s="10" t="str">
        <f>_xlfn.XLOOKUP(C2211,menu!A:A,menu!B:B)</f>
        <v>Paneer Momos</v>
      </c>
      <c r="G2211" s="10" t="str">
        <f>_xlfn.XLOOKUP(C2211,menu!A:A,menu!C:C)</f>
        <v>Momos</v>
      </c>
      <c r="H2211" s="10">
        <f>_xlfn.XLOOKUP(C2211,menu!A:A,menu!E:E)</f>
        <v>27</v>
      </c>
      <c r="I2211" s="10">
        <f t="shared" si="34"/>
        <v>81</v>
      </c>
      <c r="K2211" s="10"/>
      <c r="L2211" s="5"/>
    </row>
    <row r="2212" spans="1:12" x14ac:dyDescent="0.25">
      <c r="A2212" s="5" t="s">
        <v>4195</v>
      </c>
      <c r="B2212" s="5" t="s">
        <v>4193</v>
      </c>
      <c r="C2212" s="5" t="s">
        <v>40</v>
      </c>
      <c r="D2212" s="21">
        <v>2</v>
      </c>
      <c r="E2212" s="12">
        <v>198</v>
      </c>
      <c r="F2212" s="10" t="str">
        <f>_xlfn.XLOOKUP(C2212,menu!A:A,menu!B:B)</f>
        <v>Veg Nuggets</v>
      </c>
      <c r="G2212" s="10" t="str">
        <f>_xlfn.XLOOKUP(C2212,menu!A:A,menu!C:C)</f>
        <v>Starters</v>
      </c>
      <c r="H2212" s="10">
        <f>_xlfn.XLOOKUP(C2212,menu!A:A,menu!E:E)</f>
        <v>30</v>
      </c>
      <c r="I2212" s="10">
        <f t="shared" si="34"/>
        <v>60</v>
      </c>
      <c r="K2212" s="10"/>
      <c r="L2212" s="5"/>
    </row>
    <row r="2213" spans="1:12" x14ac:dyDescent="0.25">
      <c r="A2213" s="5" t="s">
        <v>4194</v>
      </c>
      <c r="B2213" s="5" t="s">
        <v>4193</v>
      </c>
      <c r="C2213" s="5" t="s">
        <v>65</v>
      </c>
      <c r="D2213" s="21">
        <v>1</v>
      </c>
      <c r="E2213" s="12">
        <v>49</v>
      </c>
      <c r="F2213" s="10" t="str">
        <f>_xlfn.XLOOKUP(C2213,menu!A:A,menu!B:B)</f>
        <v>Lemon Juice</v>
      </c>
      <c r="G2213" s="10" t="str">
        <f>_xlfn.XLOOKUP(C2213,menu!A:A,menu!C:C)</f>
        <v>Beverages</v>
      </c>
      <c r="H2213" s="10">
        <f>_xlfn.XLOOKUP(C2213,menu!A:A,menu!E:E)</f>
        <v>15</v>
      </c>
      <c r="I2213" s="10">
        <f t="shared" si="34"/>
        <v>15</v>
      </c>
      <c r="K2213" s="10"/>
      <c r="L2213" s="5"/>
    </row>
    <row r="2214" spans="1:12" x14ac:dyDescent="0.25">
      <c r="A2214" s="5" t="s">
        <v>4192</v>
      </c>
      <c r="B2214" s="5" t="s">
        <v>4189</v>
      </c>
      <c r="C2214" s="5" t="s">
        <v>5</v>
      </c>
      <c r="D2214" s="21">
        <v>1</v>
      </c>
      <c r="E2214" s="12">
        <v>79</v>
      </c>
      <c r="F2214" s="10" t="str">
        <f>_xlfn.XLOOKUP(C2214,menu!A:A,menu!B:B)</f>
        <v>Veg Sandwich</v>
      </c>
      <c r="G2214" s="10" t="str">
        <f>_xlfn.XLOOKUP(C2214,menu!A:A,menu!C:C)</f>
        <v>Sandwich</v>
      </c>
      <c r="H2214" s="10">
        <f>_xlfn.XLOOKUP(C2214,menu!A:A,menu!E:E)</f>
        <v>24</v>
      </c>
      <c r="I2214" s="10">
        <f t="shared" si="34"/>
        <v>24</v>
      </c>
      <c r="K2214" s="10"/>
      <c r="L2214" s="5"/>
    </row>
    <row r="2215" spans="1:12" x14ac:dyDescent="0.25">
      <c r="A2215" s="5" t="s">
        <v>4191</v>
      </c>
      <c r="B2215" s="5" t="s">
        <v>4189</v>
      </c>
      <c r="C2215" s="5" t="s">
        <v>56</v>
      </c>
      <c r="D2215" s="21">
        <v>1</v>
      </c>
      <c r="E2215" s="12">
        <v>79</v>
      </c>
      <c r="F2215" s="10" t="str">
        <f>_xlfn.XLOOKUP(C2215,menu!A:A,menu!B:B)</f>
        <v>Mint Mojito</v>
      </c>
      <c r="G2215" s="10" t="str">
        <f>_xlfn.XLOOKUP(C2215,menu!A:A,menu!C:C)</f>
        <v>Beverages</v>
      </c>
      <c r="H2215" s="10">
        <f>_xlfn.XLOOKUP(C2215,menu!A:A,menu!E:E)</f>
        <v>24</v>
      </c>
      <c r="I2215" s="10">
        <f t="shared" si="34"/>
        <v>24</v>
      </c>
      <c r="K2215" s="10"/>
      <c r="L2215" s="5"/>
    </row>
    <row r="2216" spans="1:12" x14ac:dyDescent="0.25">
      <c r="A2216" s="5" t="s">
        <v>4190</v>
      </c>
      <c r="B2216" s="5" t="s">
        <v>4189</v>
      </c>
      <c r="C2216" s="5" t="s">
        <v>42</v>
      </c>
      <c r="D2216" s="21">
        <v>3</v>
      </c>
      <c r="E2216" s="12">
        <v>447</v>
      </c>
      <c r="F2216" s="10" t="str">
        <f>_xlfn.XLOOKUP(C2216,menu!A:A,menu!B:B)</f>
        <v>Chicken Popcorn</v>
      </c>
      <c r="G2216" s="10" t="str">
        <f>_xlfn.XLOOKUP(C2216,menu!A:A,menu!C:C)</f>
        <v>Starters</v>
      </c>
      <c r="H2216" s="10">
        <f>_xlfn.XLOOKUP(C2216,menu!A:A,menu!E:E)</f>
        <v>45</v>
      </c>
      <c r="I2216" s="10">
        <f t="shared" si="34"/>
        <v>135</v>
      </c>
      <c r="K2216" s="10"/>
      <c r="L2216" s="5"/>
    </row>
    <row r="2217" spans="1:12" x14ac:dyDescent="0.25">
      <c r="A2217" s="5" t="s">
        <v>4188</v>
      </c>
      <c r="B2217" s="5" t="s">
        <v>4184</v>
      </c>
      <c r="C2217" s="5" t="s">
        <v>5</v>
      </c>
      <c r="D2217" s="21">
        <v>2</v>
      </c>
      <c r="E2217" s="12">
        <v>158</v>
      </c>
      <c r="F2217" s="10" t="str">
        <f>_xlfn.XLOOKUP(C2217,menu!A:A,menu!B:B)</f>
        <v>Veg Sandwich</v>
      </c>
      <c r="G2217" s="10" t="str">
        <f>_xlfn.XLOOKUP(C2217,menu!A:A,menu!C:C)</f>
        <v>Sandwich</v>
      </c>
      <c r="H2217" s="10">
        <f>_xlfn.XLOOKUP(C2217,menu!A:A,menu!E:E)</f>
        <v>24</v>
      </c>
      <c r="I2217" s="10">
        <f t="shared" si="34"/>
        <v>48</v>
      </c>
      <c r="K2217" s="10"/>
      <c r="L2217" s="5"/>
    </row>
    <row r="2218" spans="1:12" x14ac:dyDescent="0.25">
      <c r="A2218" s="5" t="s">
        <v>4187</v>
      </c>
      <c r="B2218" s="5" t="s">
        <v>4184</v>
      </c>
      <c r="C2218" s="5" t="s">
        <v>63</v>
      </c>
      <c r="D2218" s="21">
        <v>2</v>
      </c>
      <c r="E2218" s="12">
        <v>158</v>
      </c>
      <c r="F2218" s="10" t="str">
        <f>_xlfn.XLOOKUP(C2218,menu!A:A,menu!B:B)</f>
        <v>Virgin Mojito</v>
      </c>
      <c r="G2218" s="10" t="str">
        <f>_xlfn.XLOOKUP(C2218,menu!A:A,menu!C:C)</f>
        <v>Beverages</v>
      </c>
      <c r="H2218" s="10">
        <f>_xlfn.XLOOKUP(C2218,menu!A:A,menu!E:E)</f>
        <v>24</v>
      </c>
      <c r="I2218" s="10">
        <f t="shared" si="34"/>
        <v>48</v>
      </c>
      <c r="K2218" s="10"/>
      <c r="L2218" s="5"/>
    </row>
    <row r="2219" spans="1:12" x14ac:dyDescent="0.25">
      <c r="A2219" s="5" t="s">
        <v>4186</v>
      </c>
      <c r="B2219" s="5" t="s">
        <v>4184</v>
      </c>
      <c r="C2219" s="5" t="s">
        <v>46</v>
      </c>
      <c r="D2219" s="21">
        <v>1</v>
      </c>
      <c r="E2219" s="12">
        <v>149</v>
      </c>
      <c r="F2219" s="10" t="str">
        <f>_xlfn.XLOOKUP(C2219,menu!A:A,menu!B:B)</f>
        <v>Fish Finger</v>
      </c>
      <c r="G2219" s="10" t="str">
        <f>_xlfn.XLOOKUP(C2219,menu!A:A,menu!C:C)</f>
        <v>Starters</v>
      </c>
      <c r="H2219" s="10">
        <f>_xlfn.XLOOKUP(C2219,menu!A:A,menu!E:E)</f>
        <v>45</v>
      </c>
      <c r="I2219" s="10">
        <f t="shared" si="34"/>
        <v>45</v>
      </c>
      <c r="K2219" s="10"/>
      <c r="L2219" s="5"/>
    </row>
    <row r="2220" spans="1:12" x14ac:dyDescent="0.25">
      <c r="A2220" s="5" t="s">
        <v>4185</v>
      </c>
      <c r="B2220" s="5" t="s">
        <v>4184</v>
      </c>
      <c r="C2220" s="5" t="s">
        <v>26</v>
      </c>
      <c r="D2220" s="21">
        <v>1</v>
      </c>
      <c r="E2220" s="12">
        <v>59</v>
      </c>
      <c r="F2220" s="10" t="str">
        <f>_xlfn.XLOOKUP(C2220,menu!A:A,menu!B:B)</f>
        <v>Veg Roll</v>
      </c>
      <c r="G2220" s="10" t="str">
        <f>_xlfn.XLOOKUP(C2220,menu!A:A,menu!C:C)</f>
        <v>Rolls</v>
      </c>
      <c r="H2220" s="10">
        <f>_xlfn.XLOOKUP(C2220,menu!A:A,menu!E:E)</f>
        <v>18</v>
      </c>
      <c r="I2220" s="10">
        <f t="shared" si="34"/>
        <v>18</v>
      </c>
      <c r="K2220" s="10"/>
      <c r="L2220" s="5"/>
    </row>
    <row r="2221" spans="1:12" x14ac:dyDescent="0.25">
      <c r="A2221" s="5" t="s">
        <v>4183</v>
      </c>
      <c r="B2221" s="5" t="s">
        <v>4180</v>
      </c>
      <c r="C2221" s="5" t="s">
        <v>29</v>
      </c>
      <c r="D2221" s="21">
        <v>4</v>
      </c>
      <c r="E2221" s="12">
        <v>316</v>
      </c>
      <c r="F2221" s="10" t="str">
        <f>_xlfn.XLOOKUP(C2221,menu!A:A,menu!B:B)</f>
        <v>Paneer Roll</v>
      </c>
      <c r="G2221" s="10" t="str">
        <f>_xlfn.XLOOKUP(C2221,menu!A:A,menu!C:C)</f>
        <v>Rolls</v>
      </c>
      <c r="H2221" s="10">
        <f>_xlfn.XLOOKUP(C2221,menu!A:A,menu!E:E)</f>
        <v>24</v>
      </c>
      <c r="I2221" s="10">
        <f t="shared" si="34"/>
        <v>96</v>
      </c>
      <c r="K2221" s="10"/>
      <c r="L2221" s="5"/>
    </row>
    <row r="2222" spans="1:12" x14ac:dyDescent="0.25">
      <c r="A2222" s="5" t="s">
        <v>4182</v>
      </c>
      <c r="B2222" s="5" t="s">
        <v>4180</v>
      </c>
      <c r="C2222" s="5" t="s">
        <v>44</v>
      </c>
      <c r="D2222" s="21">
        <v>1</v>
      </c>
      <c r="E2222" s="12">
        <v>159</v>
      </c>
      <c r="F2222" s="10" t="str">
        <f>_xlfn.XLOOKUP(C2222,menu!A:A,menu!B:B)</f>
        <v>Fried Chicken</v>
      </c>
      <c r="G2222" s="10" t="str">
        <f>_xlfn.XLOOKUP(C2222,menu!A:A,menu!C:C)</f>
        <v>Starters</v>
      </c>
      <c r="H2222" s="10">
        <f>_xlfn.XLOOKUP(C2222,menu!A:A,menu!E:E)</f>
        <v>48</v>
      </c>
      <c r="I2222" s="10">
        <f t="shared" si="34"/>
        <v>48</v>
      </c>
      <c r="K2222" s="10"/>
      <c r="L2222" s="5"/>
    </row>
    <row r="2223" spans="1:12" x14ac:dyDescent="0.25">
      <c r="A2223" s="5" t="s">
        <v>4181</v>
      </c>
      <c r="B2223" s="5" t="s">
        <v>4180</v>
      </c>
      <c r="C2223" s="5" t="s">
        <v>31</v>
      </c>
      <c r="D2223" s="21">
        <v>3</v>
      </c>
      <c r="E2223" s="12">
        <v>267</v>
      </c>
      <c r="F2223" s="10" t="str">
        <f>_xlfn.XLOOKUP(C2223,menu!A:A,menu!B:B)</f>
        <v>Chicken Roll</v>
      </c>
      <c r="G2223" s="10" t="str">
        <f>_xlfn.XLOOKUP(C2223,menu!A:A,menu!C:C)</f>
        <v>Rolls</v>
      </c>
      <c r="H2223" s="10">
        <f>_xlfn.XLOOKUP(C2223,menu!A:A,menu!E:E)</f>
        <v>27</v>
      </c>
      <c r="I2223" s="10">
        <f t="shared" si="34"/>
        <v>81</v>
      </c>
      <c r="K2223" s="10"/>
      <c r="L2223" s="5"/>
    </row>
    <row r="2224" spans="1:12" x14ac:dyDescent="0.25">
      <c r="A2224" s="5" t="s">
        <v>4179</v>
      </c>
      <c r="B2224" s="5" t="s">
        <v>4178</v>
      </c>
      <c r="C2224" s="5" t="s">
        <v>56</v>
      </c>
      <c r="D2224" s="21">
        <v>1</v>
      </c>
      <c r="E2224" s="12">
        <v>79</v>
      </c>
      <c r="F2224" s="10" t="str">
        <f>_xlfn.XLOOKUP(C2224,menu!A:A,menu!B:B)</f>
        <v>Mint Mojito</v>
      </c>
      <c r="G2224" s="10" t="str">
        <f>_xlfn.XLOOKUP(C2224,menu!A:A,menu!C:C)</f>
        <v>Beverages</v>
      </c>
      <c r="H2224" s="10">
        <f>_xlfn.XLOOKUP(C2224,menu!A:A,menu!E:E)</f>
        <v>24</v>
      </c>
      <c r="I2224" s="10">
        <f t="shared" si="34"/>
        <v>24</v>
      </c>
      <c r="K2224" s="10"/>
      <c r="L2224" s="5"/>
    </row>
    <row r="2225" spans="1:12" x14ac:dyDescent="0.25">
      <c r="A2225" s="5" t="s">
        <v>4177</v>
      </c>
      <c r="B2225" s="5" t="s">
        <v>4175</v>
      </c>
      <c r="C2225" s="5" t="s">
        <v>19</v>
      </c>
      <c r="D2225" s="21">
        <v>1</v>
      </c>
      <c r="E2225" s="12">
        <v>79</v>
      </c>
      <c r="F2225" s="10" t="str">
        <f>_xlfn.XLOOKUP(C2225,menu!A:A,menu!B:B)</f>
        <v>Veg Burger</v>
      </c>
      <c r="G2225" s="10" t="str">
        <f>_xlfn.XLOOKUP(C2225,menu!A:A,menu!C:C)</f>
        <v>Burger</v>
      </c>
      <c r="H2225" s="10">
        <f>_xlfn.XLOOKUP(C2225,menu!A:A,menu!E:E)</f>
        <v>24</v>
      </c>
      <c r="I2225" s="10">
        <f t="shared" si="34"/>
        <v>24</v>
      </c>
      <c r="K2225" s="10"/>
      <c r="L2225" s="5"/>
    </row>
    <row r="2226" spans="1:12" x14ac:dyDescent="0.25">
      <c r="A2226" s="5" t="s">
        <v>4176</v>
      </c>
      <c r="B2226" s="5" t="s">
        <v>4175</v>
      </c>
      <c r="C2226" s="5" t="s">
        <v>29</v>
      </c>
      <c r="D2226" s="21">
        <v>1</v>
      </c>
      <c r="E2226" s="12">
        <v>79</v>
      </c>
      <c r="F2226" s="10" t="str">
        <f>_xlfn.XLOOKUP(C2226,menu!A:A,menu!B:B)</f>
        <v>Paneer Roll</v>
      </c>
      <c r="G2226" s="10" t="str">
        <f>_xlfn.XLOOKUP(C2226,menu!A:A,menu!C:C)</f>
        <v>Rolls</v>
      </c>
      <c r="H2226" s="10">
        <f>_xlfn.XLOOKUP(C2226,menu!A:A,menu!E:E)</f>
        <v>24</v>
      </c>
      <c r="I2226" s="10">
        <f t="shared" si="34"/>
        <v>24</v>
      </c>
      <c r="K2226" s="10"/>
      <c r="L2226" s="5"/>
    </row>
    <row r="2227" spans="1:12" x14ac:dyDescent="0.25">
      <c r="A2227" s="5" t="s">
        <v>4174</v>
      </c>
      <c r="B2227" s="5" t="s">
        <v>4170</v>
      </c>
      <c r="C2227" s="5" t="s">
        <v>12</v>
      </c>
      <c r="D2227" s="21">
        <v>3</v>
      </c>
      <c r="E2227" s="12">
        <v>237</v>
      </c>
      <c r="F2227" s="10" t="str">
        <f>_xlfn.XLOOKUP(C2227,menu!A:A,menu!B:B)</f>
        <v>Veg Momos</v>
      </c>
      <c r="G2227" s="10" t="str">
        <f>_xlfn.XLOOKUP(C2227,menu!A:A,menu!C:C)</f>
        <v>Momos</v>
      </c>
      <c r="H2227" s="10">
        <f>_xlfn.XLOOKUP(C2227,menu!A:A,menu!E:E)</f>
        <v>24</v>
      </c>
      <c r="I2227" s="10">
        <f t="shared" si="34"/>
        <v>72</v>
      </c>
      <c r="K2227" s="10"/>
      <c r="L2227" s="5"/>
    </row>
    <row r="2228" spans="1:12" x14ac:dyDescent="0.25">
      <c r="A2228" s="5" t="s">
        <v>4173</v>
      </c>
      <c r="B2228" s="5" t="s">
        <v>4170</v>
      </c>
      <c r="C2228" s="5" t="s">
        <v>44</v>
      </c>
      <c r="D2228" s="21">
        <v>4</v>
      </c>
      <c r="E2228" s="12">
        <v>636</v>
      </c>
      <c r="F2228" s="10" t="str">
        <f>_xlfn.XLOOKUP(C2228,menu!A:A,menu!B:B)</f>
        <v>Fried Chicken</v>
      </c>
      <c r="G2228" s="10" t="str">
        <f>_xlfn.XLOOKUP(C2228,menu!A:A,menu!C:C)</f>
        <v>Starters</v>
      </c>
      <c r="H2228" s="10">
        <f>_xlfn.XLOOKUP(C2228,menu!A:A,menu!E:E)</f>
        <v>48</v>
      </c>
      <c r="I2228" s="10">
        <f t="shared" si="34"/>
        <v>192</v>
      </c>
      <c r="K2228" s="10"/>
      <c r="L2228" s="5"/>
    </row>
    <row r="2229" spans="1:12" x14ac:dyDescent="0.25">
      <c r="A2229" s="5" t="s">
        <v>4172</v>
      </c>
      <c r="B2229" s="5" t="s">
        <v>4170</v>
      </c>
      <c r="C2229" s="5" t="s">
        <v>42</v>
      </c>
      <c r="D2229" s="21">
        <v>1</v>
      </c>
      <c r="E2229" s="12">
        <v>149</v>
      </c>
      <c r="F2229" s="10" t="str">
        <f>_xlfn.XLOOKUP(C2229,menu!A:A,menu!B:B)</f>
        <v>Chicken Popcorn</v>
      </c>
      <c r="G2229" s="10" t="str">
        <f>_xlfn.XLOOKUP(C2229,menu!A:A,menu!C:C)</f>
        <v>Starters</v>
      </c>
      <c r="H2229" s="10">
        <f>_xlfn.XLOOKUP(C2229,menu!A:A,menu!E:E)</f>
        <v>45</v>
      </c>
      <c r="I2229" s="10">
        <f t="shared" si="34"/>
        <v>45</v>
      </c>
      <c r="K2229" s="10"/>
      <c r="L2229" s="5"/>
    </row>
    <row r="2230" spans="1:12" x14ac:dyDescent="0.25">
      <c r="A2230" s="5" t="s">
        <v>4171</v>
      </c>
      <c r="B2230" s="5" t="s">
        <v>4170</v>
      </c>
      <c r="C2230" s="5" t="s">
        <v>22</v>
      </c>
      <c r="D2230" s="21">
        <v>2</v>
      </c>
      <c r="E2230" s="12">
        <v>198</v>
      </c>
      <c r="F2230" s="10" t="str">
        <f>_xlfn.XLOOKUP(C2230,menu!A:A,menu!B:B)</f>
        <v>Chicken Burger</v>
      </c>
      <c r="G2230" s="10" t="str">
        <f>_xlfn.XLOOKUP(C2230,menu!A:A,menu!C:C)</f>
        <v>Burger</v>
      </c>
      <c r="H2230" s="10">
        <f>_xlfn.XLOOKUP(C2230,menu!A:A,menu!E:E)</f>
        <v>30</v>
      </c>
      <c r="I2230" s="10">
        <f t="shared" si="34"/>
        <v>60</v>
      </c>
      <c r="K2230" s="10"/>
      <c r="L2230" s="5"/>
    </row>
    <row r="2231" spans="1:12" x14ac:dyDescent="0.25">
      <c r="A2231" s="5" t="s">
        <v>4169</v>
      </c>
      <c r="B2231" s="5" t="s">
        <v>4165</v>
      </c>
      <c r="C2231" s="5" t="s">
        <v>12</v>
      </c>
      <c r="D2231" s="21">
        <v>1</v>
      </c>
      <c r="E2231" s="12">
        <v>79</v>
      </c>
      <c r="F2231" s="10" t="str">
        <f>_xlfn.XLOOKUP(C2231,menu!A:A,menu!B:B)</f>
        <v>Veg Momos</v>
      </c>
      <c r="G2231" s="10" t="str">
        <f>_xlfn.XLOOKUP(C2231,menu!A:A,menu!C:C)</f>
        <v>Momos</v>
      </c>
      <c r="H2231" s="10">
        <f>_xlfn.XLOOKUP(C2231,menu!A:A,menu!E:E)</f>
        <v>24</v>
      </c>
      <c r="I2231" s="10">
        <f t="shared" si="34"/>
        <v>24</v>
      </c>
      <c r="K2231" s="10"/>
      <c r="L2231" s="5"/>
    </row>
    <row r="2232" spans="1:12" x14ac:dyDescent="0.25">
      <c r="A2232" s="5" t="s">
        <v>4168</v>
      </c>
      <c r="B2232" s="5" t="s">
        <v>4165</v>
      </c>
      <c r="C2232" s="5" t="s">
        <v>19</v>
      </c>
      <c r="D2232" s="21">
        <v>2</v>
      </c>
      <c r="E2232" s="12">
        <v>158</v>
      </c>
      <c r="F2232" s="10" t="str">
        <f>_xlfn.XLOOKUP(C2232,menu!A:A,menu!B:B)</f>
        <v>Veg Burger</v>
      </c>
      <c r="G2232" s="10" t="str">
        <f>_xlfn.XLOOKUP(C2232,menu!A:A,menu!C:C)</f>
        <v>Burger</v>
      </c>
      <c r="H2232" s="10">
        <f>_xlfn.XLOOKUP(C2232,menu!A:A,menu!E:E)</f>
        <v>24</v>
      </c>
      <c r="I2232" s="10">
        <f t="shared" si="34"/>
        <v>48</v>
      </c>
      <c r="K2232" s="10"/>
      <c r="L2232" s="5"/>
    </row>
    <row r="2233" spans="1:12" x14ac:dyDescent="0.25">
      <c r="A2233" s="5" t="s">
        <v>4167</v>
      </c>
      <c r="B2233" s="5" t="s">
        <v>4165</v>
      </c>
      <c r="C2233" s="5" t="s">
        <v>42</v>
      </c>
      <c r="D2233" s="21">
        <v>4</v>
      </c>
      <c r="E2233" s="12">
        <v>596</v>
      </c>
      <c r="F2233" s="10" t="str">
        <f>_xlfn.XLOOKUP(C2233,menu!A:A,menu!B:B)</f>
        <v>Chicken Popcorn</v>
      </c>
      <c r="G2233" s="10" t="str">
        <f>_xlfn.XLOOKUP(C2233,menu!A:A,menu!C:C)</f>
        <v>Starters</v>
      </c>
      <c r="H2233" s="10">
        <f>_xlfn.XLOOKUP(C2233,menu!A:A,menu!E:E)</f>
        <v>45</v>
      </c>
      <c r="I2233" s="10">
        <f t="shared" si="34"/>
        <v>180</v>
      </c>
      <c r="K2233" s="10"/>
      <c r="L2233" s="5"/>
    </row>
    <row r="2234" spans="1:12" x14ac:dyDescent="0.25">
      <c r="A2234" s="5" t="s">
        <v>4166</v>
      </c>
      <c r="B2234" s="5" t="s">
        <v>4165</v>
      </c>
      <c r="C2234" s="5" t="s">
        <v>38</v>
      </c>
      <c r="D2234" s="21">
        <v>3</v>
      </c>
      <c r="E2234" s="12">
        <v>447</v>
      </c>
      <c r="F2234" s="10" t="str">
        <f>_xlfn.XLOOKUP(C2234,menu!A:A,menu!B:B)</f>
        <v>Chicken Wings</v>
      </c>
      <c r="G2234" s="10" t="str">
        <f>_xlfn.XLOOKUP(C2234,menu!A:A,menu!C:C)</f>
        <v>Starters</v>
      </c>
      <c r="H2234" s="10">
        <f>_xlfn.XLOOKUP(C2234,menu!A:A,menu!E:E)</f>
        <v>45</v>
      </c>
      <c r="I2234" s="10">
        <f t="shared" si="34"/>
        <v>135</v>
      </c>
      <c r="K2234" s="10"/>
      <c r="L2234" s="5"/>
    </row>
    <row r="2235" spans="1:12" x14ac:dyDescent="0.25">
      <c r="A2235" s="5" t="s">
        <v>4164</v>
      </c>
      <c r="B2235" s="5" t="s">
        <v>4160</v>
      </c>
      <c r="C2235" s="5" t="s">
        <v>19</v>
      </c>
      <c r="D2235" s="21">
        <v>1</v>
      </c>
      <c r="E2235" s="12">
        <v>79</v>
      </c>
      <c r="F2235" s="10" t="str">
        <f>_xlfn.XLOOKUP(C2235,menu!A:A,menu!B:B)</f>
        <v>Veg Burger</v>
      </c>
      <c r="G2235" s="10" t="str">
        <f>_xlfn.XLOOKUP(C2235,menu!A:A,menu!C:C)</f>
        <v>Burger</v>
      </c>
      <c r="H2235" s="10">
        <f>_xlfn.XLOOKUP(C2235,menu!A:A,menu!E:E)</f>
        <v>24</v>
      </c>
      <c r="I2235" s="10">
        <f t="shared" si="34"/>
        <v>24</v>
      </c>
      <c r="K2235" s="10"/>
      <c r="L2235" s="5"/>
    </row>
    <row r="2236" spans="1:12" x14ac:dyDescent="0.25">
      <c r="A2236" s="5" t="s">
        <v>4163</v>
      </c>
      <c r="B2236" s="5" t="s">
        <v>4160</v>
      </c>
      <c r="C2236" s="5" t="s">
        <v>52</v>
      </c>
      <c r="D2236" s="21">
        <v>1</v>
      </c>
      <c r="E2236" s="12">
        <v>99</v>
      </c>
      <c r="F2236" s="10" t="str">
        <f>_xlfn.XLOOKUP(C2236,menu!A:A,menu!B:B)</f>
        <v>French Fries</v>
      </c>
      <c r="G2236" s="10" t="str">
        <f>_xlfn.XLOOKUP(C2236,menu!A:A,menu!C:C)</f>
        <v>Starters</v>
      </c>
      <c r="H2236" s="10">
        <f>_xlfn.XLOOKUP(C2236,menu!A:A,menu!E:E)</f>
        <v>30</v>
      </c>
      <c r="I2236" s="10">
        <f t="shared" si="34"/>
        <v>30</v>
      </c>
      <c r="K2236" s="10"/>
      <c r="L2236" s="5"/>
    </row>
    <row r="2237" spans="1:12" x14ac:dyDescent="0.25">
      <c r="A2237" s="5" t="s">
        <v>4162</v>
      </c>
      <c r="B2237" s="5" t="s">
        <v>4160</v>
      </c>
      <c r="C2237" s="5" t="s">
        <v>8</v>
      </c>
      <c r="D2237" s="21">
        <v>1</v>
      </c>
      <c r="E2237" s="12">
        <v>99</v>
      </c>
      <c r="F2237" s="10" t="str">
        <f>_xlfn.XLOOKUP(C2237,menu!A:A,menu!B:B)</f>
        <v>Paneer Sandwich</v>
      </c>
      <c r="G2237" s="10" t="str">
        <f>_xlfn.XLOOKUP(C2237,menu!A:A,menu!C:C)</f>
        <v>Sandwich</v>
      </c>
      <c r="H2237" s="10">
        <f>_xlfn.XLOOKUP(C2237,menu!A:A,menu!E:E)</f>
        <v>30</v>
      </c>
      <c r="I2237" s="10">
        <f t="shared" si="34"/>
        <v>30</v>
      </c>
      <c r="K2237" s="10"/>
      <c r="L2237" s="5"/>
    </row>
    <row r="2238" spans="1:12" x14ac:dyDescent="0.25">
      <c r="A2238" s="5" t="s">
        <v>4161</v>
      </c>
      <c r="B2238" s="5" t="s">
        <v>4160</v>
      </c>
      <c r="C2238" s="5" t="s">
        <v>17</v>
      </c>
      <c r="D2238" s="21">
        <v>1</v>
      </c>
      <c r="E2238" s="12">
        <v>89</v>
      </c>
      <c r="F2238" s="10" t="str">
        <f>_xlfn.XLOOKUP(C2238,menu!A:A,menu!B:B)</f>
        <v>Paneer Momos</v>
      </c>
      <c r="G2238" s="10" t="str">
        <f>_xlfn.XLOOKUP(C2238,menu!A:A,menu!C:C)</f>
        <v>Momos</v>
      </c>
      <c r="H2238" s="10">
        <f>_xlfn.XLOOKUP(C2238,menu!A:A,menu!E:E)</f>
        <v>27</v>
      </c>
      <c r="I2238" s="10">
        <f t="shared" si="34"/>
        <v>27</v>
      </c>
      <c r="K2238" s="10"/>
      <c r="L2238" s="5"/>
    </row>
    <row r="2239" spans="1:12" x14ac:dyDescent="0.25">
      <c r="A2239" s="5" t="s">
        <v>4159</v>
      </c>
      <c r="B2239" s="5" t="s">
        <v>4157</v>
      </c>
      <c r="C2239" s="5" t="s">
        <v>10</v>
      </c>
      <c r="D2239" s="21">
        <v>2</v>
      </c>
      <c r="E2239" s="12">
        <v>238</v>
      </c>
      <c r="F2239" s="10" t="str">
        <f>_xlfn.XLOOKUP(C2239,menu!A:A,menu!B:B)</f>
        <v>Chicken Sandwich</v>
      </c>
      <c r="G2239" s="10" t="str">
        <f>_xlfn.XLOOKUP(C2239,menu!A:A,menu!C:C)</f>
        <v>Sandwich</v>
      </c>
      <c r="H2239" s="10">
        <f>_xlfn.XLOOKUP(C2239,menu!A:A,menu!E:E)</f>
        <v>36</v>
      </c>
      <c r="I2239" s="10">
        <f t="shared" si="34"/>
        <v>72</v>
      </c>
      <c r="K2239" s="10"/>
      <c r="L2239" s="5"/>
    </row>
    <row r="2240" spans="1:12" x14ac:dyDescent="0.25">
      <c r="A2240" s="5" t="s">
        <v>4158</v>
      </c>
      <c r="B2240" s="5" t="s">
        <v>4157</v>
      </c>
      <c r="C2240" s="5" t="s">
        <v>59</v>
      </c>
      <c r="D2240" s="21">
        <v>1</v>
      </c>
      <c r="E2240" s="12">
        <v>79</v>
      </c>
      <c r="F2240" s="10" t="str">
        <f>_xlfn.XLOOKUP(C2240,menu!A:A,menu!B:B)</f>
        <v>Blue Curacao Mojito</v>
      </c>
      <c r="G2240" s="10" t="str">
        <f>_xlfn.XLOOKUP(C2240,menu!A:A,menu!C:C)</f>
        <v>Beverages</v>
      </c>
      <c r="H2240" s="10">
        <f>_xlfn.XLOOKUP(C2240,menu!A:A,menu!E:E)</f>
        <v>24</v>
      </c>
      <c r="I2240" s="10">
        <f t="shared" si="34"/>
        <v>24</v>
      </c>
      <c r="K2240" s="10"/>
      <c r="L2240" s="5"/>
    </row>
    <row r="2241" spans="1:12" x14ac:dyDescent="0.25">
      <c r="A2241" s="5" t="s">
        <v>4156</v>
      </c>
      <c r="B2241" s="5" t="s">
        <v>4154</v>
      </c>
      <c r="C2241" s="5" t="s">
        <v>12</v>
      </c>
      <c r="D2241" s="21">
        <v>3</v>
      </c>
      <c r="E2241" s="12">
        <v>237</v>
      </c>
      <c r="F2241" s="10" t="str">
        <f>_xlfn.XLOOKUP(C2241,menu!A:A,menu!B:B)</f>
        <v>Veg Momos</v>
      </c>
      <c r="G2241" s="10" t="str">
        <f>_xlfn.XLOOKUP(C2241,menu!A:A,menu!C:C)</f>
        <v>Momos</v>
      </c>
      <c r="H2241" s="10">
        <f>_xlfn.XLOOKUP(C2241,menu!A:A,menu!E:E)</f>
        <v>24</v>
      </c>
      <c r="I2241" s="10">
        <f t="shared" si="34"/>
        <v>72</v>
      </c>
      <c r="K2241" s="10"/>
      <c r="L2241" s="5"/>
    </row>
    <row r="2242" spans="1:12" x14ac:dyDescent="0.25">
      <c r="A2242" s="5" t="s">
        <v>4155</v>
      </c>
      <c r="B2242" s="5" t="s">
        <v>4154</v>
      </c>
      <c r="C2242" s="5" t="s">
        <v>19</v>
      </c>
      <c r="D2242" s="21">
        <v>1</v>
      </c>
      <c r="E2242" s="12">
        <v>79</v>
      </c>
      <c r="F2242" s="10" t="str">
        <f>_xlfn.XLOOKUP(C2242,menu!A:A,menu!B:B)</f>
        <v>Veg Burger</v>
      </c>
      <c r="G2242" s="10" t="str">
        <f>_xlfn.XLOOKUP(C2242,menu!A:A,menu!C:C)</f>
        <v>Burger</v>
      </c>
      <c r="H2242" s="10">
        <f>_xlfn.XLOOKUP(C2242,menu!A:A,menu!E:E)</f>
        <v>24</v>
      </c>
      <c r="I2242" s="10">
        <f t="shared" si="34"/>
        <v>24</v>
      </c>
      <c r="K2242" s="10"/>
      <c r="L2242" s="5"/>
    </row>
    <row r="2243" spans="1:12" x14ac:dyDescent="0.25">
      <c r="A2243" s="5" t="s">
        <v>4153</v>
      </c>
      <c r="B2243" s="5" t="s">
        <v>4151</v>
      </c>
      <c r="C2243" s="5" t="s">
        <v>40</v>
      </c>
      <c r="D2243" s="21">
        <v>2</v>
      </c>
      <c r="E2243" s="12">
        <v>198</v>
      </c>
      <c r="F2243" s="10" t="str">
        <f>_xlfn.XLOOKUP(C2243,menu!A:A,menu!B:B)</f>
        <v>Veg Nuggets</v>
      </c>
      <c r="G2243" s="10" t="str">
        <f>_xlfn.XLOOKUP(C2243,menu!A:A,menu!C:C)</f>
        <v>Starters</v>
      </c>
      <c r="H2243" s="10">
        <f>_xlfn.XLOOKUP(C2243,menu!A:A,menu!E:E)</f>
        <v>30</v>
      </c>
      <c r="I2243" s="10">
        <f t="shared" ref="I2243:I2306" si="35">D2243*H2243</f>
        <v>60</v>
      </c>
      <c r="K2243" s="10"/>
      <c r="L2243" s="5"/>
    </row>
    <row r="2244" spans="1:12" x14ac:dyDescent="0.25">
      <c r="A2244" s="5" t="s">
        <v>4152</v>
      </c>
      <c r="B2244" s="5" t="s">
        <v>4151</v>
      </c>
      <c r="C2244" s="5" t="s">
        <v>65</v>
      </c>
      <c r="D2244" s="21">
        <v>4</v>
      </c>
      <c r="E2244" s="12">
        <v>196</v>
      </c>
      <c r="F2244" s="10" t="str">
        <f>_xlfn.XLOOKUP(C2244,menu!A:A,menu!B:B)</f>
        <v>Lemon Juice</v>
      </c>
      <c r="G2244" s="10" t="str">
        <f>_xlfn.XLOOKUP(C2244,menu!A:A,menu!C:C)</f>
        <v>Beverages</v>
      </c>
      <c r="H2244" s="10">
        <f>_xlfn.XLOOKUP(C2244,menu!A:A,menu!E:E)</f>
        <v>15</v>
      </c>
      <c r="I2244" s="10">
        <f t="shared" si="35"/>
        <v>60</v>
      </c>
      <c r="K2244" s="10"/>
      <c r="L2244" s="5"/>
    </row>
    <row r="2245" spans="1:12" x14ac:dyDescent="0.25">
      <c r="A2245" s="5" t="s">
        <v>4150</v>
      </c>
      <c r="B2245" s="5" t="s">
        <v>4148</v>
      </c>
      <c r="C2245" s="5" t="s">
        <v>40</v>
      </c>
      <c r="D2245" s="21">
        <v>4</v>
      </c>
      <c r="E2245" s="12">
        <v>396</v>
      </c>
      <c r="F2245" s="10" t="str">
        <f>_xlfn.XLOOKUP(C2245,menu!A:A,menu!B:B)</f>
        <v>Veg Nuggets</v>
      </c>
      <c r="G2245" s="10" t="str">
        <f>_xlfn.XLOOKUP(C2245,menu!A:A,menu!C:C)</f>
        <v>Starters</v>
      </c>
      <c r="H2245" s="10">
        <f>_xlfn.XLOOKUP(C2245,menu!A:A,menu!E:E)</f>
        <v>30</v>
      </c>
      <c r="I2245" s="10">
        <f t="shared" si="35"/>
        <v>120</v>
      </c>
      <c r="K2245" s="10"/>
      <c r="L2245" s="5"/>
    </row>
    <row r="2246" spans="1:12" x14ac:dyDescent="0.25">
      <c r="A2246" s="5" t="s">
        <v>4149</v>
      </c>
      <c r="B2246" s="5" t="s">
        <v>4148</v>
      </c>
      <c r="C2246" s="5" t="s">
        <v>31</v>
      </c>
      <c r="D2246" s="21">
        <v>3</v>
      </c>
      <c r="E2246" s="12">
        <v>267</v>
      </c>
      <c r="F2246" s="10" t="str">
        <f>_xlfn.XLOOKUP(C2246,menu!A:A,menu!B:B)</f>
        <v>Chicken Roll</v>
      </c>
      <c r="G2246" s="10" t="str">
        <f>_xlfn.XLOOKUP(C2246,menu!A:A,menu!C:C)</f>
        <v>Rolls</v>
      </c>
      <c r="H2246" s="10">
        <f>_xlfn.XLOOKUP(C2246,menu!A:A,menu!E:E)</f>
        <v>27</v>
      </c>
      <c r="I2246" s="10">
        <f t="shared" si="35"/>
        <v>81</v>
      </c>
      <c r="K2246" s="10"/>
      <c r="L2246" s="5"/>
    </row>
    <row r="2247" spans="1:12" x14ac:dyDescent="0.25">
      <c r="A2247" s="5" t="s">
        <v>4147</v>
      </c>
      <c r="B2247" s="5" t="s">
        <v>4145</v>
      </c>
      <c r="C2247" s="5" t="s">
        <v>42</v>
      </c>
      <c r="D2247" s="21">
        <v>3</v>
      </c>
      <c r="E2247" s="12">
        <v>447</v>
      </c>
      <c r="F2247" s="10" t="str">
        <f>_xlfn.XLOOKUP(C2247,menu!A:A,menu!B:B)</f>
        <v>Chicken Popcorn</v>
      </c>
      <c r="G2247" s="10" t="str">
        <f>_xlfn.XLOOKUP(C2247,menu!A:A,menu!C:C)</f>
        <v>Starters</v>
      </c>
      <c r="H2247" s="10">
        <f>_xlfn.XLOOKUP(C2247,menu!A:A,menu!E:E)</f>
        <v>45</v>
      </c>
      <c r="I2247" s="10">
        <f t="shared" si="35"/>
        <v>135</v>
      </c>
      <c r="K2247" s="10"/>
      <c r="L2247" s="5"/>
    </row>
    <row r="2248" spans="1:12" x14ac:dyDescent="0.25">
      <c r="A2248" s="5" t="s">
        <v>4146</v>
      </c>
      <c r="B2248" s="5" t="s">
        <v>4145</v>
      </c>
      <c r="C2248" s="5" t="s">
        <v>59</v>
      </c>
      <c r="D2248" s="21">
        <v>1</v>
      </c>
      <c r="E2248" s="12">
        <v>79</v>
      </c>
      <c r="F2248" s="10" t="str">
        <f>_xlfn.XLOOKUP(C2248,menu!A:A,menu!B:B)</f>
        <v>Blue Curacao Mojito</v>
      </c>
      <c r="G2248" s="10" t="str">
        <f>_xlfn.XLOOKUP(C2248,menu!A:A,menu!C:C)</f>
        <v>Beverages</v>
      </c>
      <c r="H2248" s="10">
        <f>_xlfn.XLOOKUP(C2248,menu!A:A,menu!E:E)</f>
        <v>24</v>
      </c>
      <c r="I2248" s="10">
        <f t="shared" si="35"/>
        <v>24</v>
      </c>
      <c r="K2248" s="10"/>
      <c r="L2248" s="5"/>
    </row>
    <row r="2249" spans="1:12" x14ac:dyDescent="0.25">
      <c r="A2249" s="5" t="s">
        <v>4144</v>
      </c>
      <c r="B2249" s="5" t="s">
        <v>4141</v>
      </c>
      <c r="C2249" s="5" t="s">
        <v>40</v>
      </c>
      <c r="D2249" s="21">
        <v>1</v>
      </c>
      <c r="E2249" s="12">
        <v>99</v>
      </c>
      <c r="F2249" s="10" t="str">
        <f>_xlfn.XLOOKUP(C2249,menu!A:A,menu!B:B)</f>
        <v>Veg Nuggets</v>
      </c>
      <c r="G2249" s="10" t="str">
        <f>_xlfn.XLOOKUP(C2249,menu!A:A,menu!C:C)</f>
        <v>Starters</v>
      </c>
      <c r="H2249" s="10">
        <f>_xlfn.XLOOKUP(C2249,menu!A:A,menu!E:E)</f>
        <v>30</v>
      </c>
      <c r="I2249" s="10">
        <f t="shared" si="35"/>
        <v>30</v>
      </c>
      <c r="K2249" s="10"/>
      <c r="L2249" s="5"/>
    </row>
    <row r="2250" spans="1:12" x14ac:dyDescent="0.25">
      <c r="A2250" s="5" t="s">
        <v>4143</v>
      </c>
      <c r="B2250" s="5" t="s">
        <v>4141</v>
      </c>
      <c r="C2250" s="5" t="s">
        <v>10</v>
      </c>
      <c r="D2250" s="21">
        <v>2</v>
      </c>
      <c r="E2250" s="12">
        <v>238</v>
      </c>
      <c r="F2250" s="10" t="str">
        <f>_xlfn.XLOOKUP(C2250,menu!A:A,menu!B:B)</f>
        <v>Chicken Sandwich</v>
      </c>
      <c r="G2250" s="10" t="str">
        <f>_xlfn.XLOOKUP(C2250,menu!A:A,menu!C:C)</f>
        <v>Sandwich</v>
      </c>
      <c r="H2250" s="10">
        <f>_xlfn.XLOOKUP(C2250,menu!A:A,menu!E:E)</f>
        <v>36</v>
      </c>
      <c r="I2250" s="10">
        <f t="shared" si="35"/>
        <v>72</v>
      </c>
      <c r="K2250" s="10"/>
      <c r="L2250" s="5"/>
    </row>
    <row r="2251" spans="1:12" x14ac:dyDescent="0.25">
      <c r="A2251" s="5" t="s">
        <v>4142</v>
      </c>
      <c r="B2251" s="5" t="s">
        <v>4141</v>
      </c>
      <c r="C2251" s="5" t="s">
        <v>12</v>
      </c>
      <c r="D2251" s="21">
        <v>3</v>
      </c>
      <c r="E2251" s="12">
        <v>237</v>
      </c>
      <c r="F2251" s="10" t="str">
        <f>_xlfn.XLOOKUP(C2251,menu!A:A,menu!B:B)</f>
        <v>Veg Momos</v>
      </c>
      <c r="G2251" s="10" t="str">
        <f>_xlfn.XLOOKUP(C2251,menu!A:A,menu!C:C)</f>
        <v>Momos</v>
      </c>
      <c r="H2251" s="10">
        <f>_xlfn.XLOOKUP(C2251,menu!A:A,menu!E:E)</f>
        <v>24</v>
      </c>
      <c r="I2251" s="10">
        <f t="shared" si="35"/>
        <v>72</v>
      </c>
      <c r="K2251" s="10"/>
      <c r="L2251" s="5"/>
    </row>
    <row r="2252" spans="1:12" x14ac:dyDescent="0.25">
      <c r="A2252" s="5" t="s">
        <v>4140</v>
      </c>
      <c r="B2252" s="5" t="s">
        <v>4138</v>
      </c>
      <c r="C2252" s="5" t="s">
        <v>44</v>
      </c>
      <c r="D2252" s="21">
        <v>1</v>
      </c>
      <c r="E2252" s="12">
        <v>159</v>
      </c>
      <c r="F2252" s="10" t="str">
        <f>_xlfn.XLOOKUP(C2252,menu!A:A,menu!B:B)</f>
        <v>Fried Chicken</v>
      </c>
      <c r="G2252" s="10" t="str">
        <f>_xlfn.XLOOKUP(C2252,menu!A:A,menu!C:C)</f>
        <v>Starters</v>
      </c>
      <c r="H2252" s="10">
        <f>_xlfn.XLOOKUP(C2252,menu!A:A,menu!E:E)</f>
        <v>48</v>
      </c>
      <c r="I2252" s="10">
        <f t="shared" si="35"/>
        <v>48</v>
      </c>
      <c r="K2252" s="10"/>
      <c r="L2252" s="5"/>
    </row>
    <row r="2253" spans="1:12" x14ac:dyDescent="0.25">
      <c r="A2253" s="5" t="s">
        <v>4139</v>
      </c>
      <c r="B2253" s="5" t="s">
        <v>4138</v>
      </c>
      <c r="C2253" s="5" t="s">
        <v>33</v>
      </c>
      <c r="D2253" s="21">
        <v>3</v>
      </c>
      <c r="E2253" s="12">
        <v>207</v>
      </c>
      <c r="F2253" s="10" t="str">
        <f>_xlfn.XLOOKUP(C2253,menu!A:A,menu!B:B)</f>
        <v>Spring Roll</v>
      </c>
      <c r="G2253" s="10" t="str">
        <f>_xlfn.XLOOKUP(C2253,menu!A:A,menu!C:C)</f>
        <v>Rolls</v>
      </c>
      <c r="H2253" s="10">
        <f>_xlfn.XLOOKUP(C2253,menu!A:A,menu!E:E)</f>
        <v>21</v>
      </c>
      <c r="I2253" s="10">
        <f t="shared" si="35"/>
        <v>63</v>
      </c>
      <c r="K2253" s="10"/>
      <c r="L2253" s="5"/>
    </row>
    <row r="2254" spans="1:12" x14ac:dyDescent="0.25">
      <c r="A2254" s="5" t="s">
        <v>4137</v>
      </c>
      <c r="B2254" s="5" t="s">
        <v>4134</v>
      </c>
      <c r="C2254" s="5" t="s">
        <v>10</v>
      </c>
      <c r="D2254" s="21">
        <v>2</v>
      </c>
      <c r="E2254" s="12">
        <v>238</v>
      </c>
      <c r="F2254" s="10" t="str">
        <f>_xlfn.XLOOKUP(C2254,menu!A:A,menu!B:B)</f>
        <v>Chicken Sandwich</v>
      </c>
      <c r="G2254" s="10" t="str">
        <f>_xlfn.XLOOKUP(C2254,menu!A:A,menu!C:C)</f>
        <v>Sandwich</v>
      </c>
      <c r="H2254" s="10">
        <f>_xlfn.XLOOKUP(C2254,menu!A:A,menu!E:E)</f>
        <v>36</v>
      </c>
      <c r="I2254" s="10">
        <f t="shared" si="35"/>
        <v>72</v>
      </c>
      <c r="K2254" s="10"/>
      <c r="L2254" s="5"/>
    </row>
    <row r="2255" spans="1:12" x14ac:dyDescent="0.25">
      <c r="A2255" s="5" t="s">
        <v>4136</v>
      </c>
      <c r="B2255" s="5" t="s">
        <v>4134</v>
      </c>
      <c r="C2255" s="5" t="s">
        <v>15</v>
      </c>
      <c r="D2255" s="21">
        <v>1</v>
      </c>
      <c r="E2255" s="12">
        <v>99</v>
      </c>
      <c r="F2255" s="10" t="str">
        <f>_xlfn.XLOOKUP(C2255,menu!A:A,menu!B:B)</f>
        <v>Chicken Momos</v>
      </c>
      <c r="G2255" s="10" t="str">
        <f>_xlfn.XLOOKUP(C2255,menu!A:A,menu!C:C)</f>
        <v>Momos</v>
      </c>
      <c r="H2255" s="10">
        <f>_xlfn.XLOOKUP(C2255,menu!A:A,menu!E:E)</f>
        <v>30</v>
      </c>
      <c r="I2255" s="10">
        <f t="shared" si="35"/>
        <v>30</v>
      </c>
      <c r="K2255" s="10"/>
      <c r="L2255" s="5"/>
    </row>
    <row r="2256" spans="1:12" x14ac:dyDescent="0.25">
      <c r="A2256" s="5" t="s">
        <v>4135</v>
      </c>
      <c r="B2256" s="5" t="s">
        <v>4134</v>
      </c>
      <c r="C2256" s="5" t="s">
        <v>48</v>
      </c>
      <c r="D2256" s="21">
        <v>2</v>
      </c>
      <c r="E2256" s="12">
        <v>318</v>
      </c>
      <c r="F2256" s="10" t="str">
        <f>_xlfn.XLOOKUP(C2256,menu!A:A,menu!B:B)</f>
        <v>Chicken Lollipop</v>
      </c>
      <c r="G2256" s="10" t="str">
        <f>_xlfn.XLOOKUP(C2256,menu!A:A,menu!C:C)</f>
        <v>Starters</v>
      </c>
      <c r="H2256" s="10">
        <f>_xlfn.XLOOKUP(C2256,menu!A:A,menu!E:E)</f>
        <v>48</v>
      </c>
      <c r="I2256" s="10">
        <f t="shared" si="35"/>
        <v>96</v>
      </c>
      <c r="K2256" s="10"/>
      <c r="L2256" s="5"/>
    </row>
    <row r="2257" spans="1:12" x14ac:dyDescent="0.25">
      <c r="A2257" s="5" t="s">
        <v>4133</v>
      </c>
      <c r="B2257" s="5" t="s">
        <v>4129</v>
      </c>
      <c r="C2257" s="5" t="s">
        <v>52</v>
      </c>
      <c r="D2257" s="21">
        <v>1</v>
      </c>
      <c r="E2257" s="12">
        <v>99</v>
      </c>
      <c r="F2257" s="10" t="str">
        <f>_xlfn.XLOOKUP(C2257,menu!A:A,menu!B:B)</f>
        <v>French Fries</v>
      </c>
      <c r="G2257" s="10" t="str">
        <f>_xlfn.XLOOKUP(C2257,menu!A:A,menu!C:C)</f>
        <v>Starters</v>
      </c>
      <c r="H2257" s="10">
        <f>_xlfn.XLOOKUP(C2257,menu!A:A,menu!E:E)</f>
        <v>30</v>
      </c>
      <c r="I2257" s="10">
        <f t="shared" si="35"/>
        <v>30</v>
      </c>
      <c r="K2257" s="10"/>
      <c r="L2257" s="5"/>
    </row>
    <row r="2258" spans="1:12" x14ac:dyDescent="0.25">
      <c r="A2258" s="5" t="s">
        <v>4132</v>
      </c>
      <c r="B2258" s="5" t="s">
        <v>4129</v>
      </c>
      <c r="C2258" s="5" t="s">
        <v>46</v>
      </c>
      <c r="D2258" s="21">
        <v>1</v>
      </c>
      <c r="E2258" s="12">
        <v>149</v>
      </c>
      <c r="F2258" s="10" t="str">
        <f>_xlfn.XLOOKUP(C2258,menu!A:A,menu!B:B)</f>
        <v>Fish Finger</v>
      </c>
      <c r="G2258" s="10" t="str">
        <f>_xlfn.XLOOKUP(C2258,menu!A:A,menu!C:C)</f>
        <v>Starters</v>
      </c>
      <c r="H2258" s="10">
        <f>_xlfn.XLOOKUP(C2258,menu!A:A,menu!E:E)</f>
        <v>45</v>
      </c>
      <c r="I2258" s="10">
        <f t="shared" si="35"/>
        <v>45</v>
      </c>
      <c r="K2258" s="10"/>
      <c r="L2258" s="5"/>
    </row>
    <row r="2259" spans="1:12" x14ac:dyDescent="0.25">
      <c r="A2259" s="5" t="s">
        <v>4131</v>
      </c>
      <c r="B2259" s="5" t="s">
        <v>4129</v>
      </c>
      <c r="C2259" s="5" t="s">
        <v>26</v>
      </c>
      <c r="D2259" s="21">
        <v>1</v>
      </c>
      <c r="E2259" s="12">
        <v>59</v>
      </c>
      <c r="F2259" s="10" t="str">
        <f>_xlfn.XLOOKUP(C2259,menu!A:A,menu!B:B)</f>
        <v>Veg Roll</v>
      </c>
      <c r="G2259" s="10" t="str">
        <f>_xlfn.XLOOKUP(C2259,menu!A:A,menu!C:C)</f>
        <v>Rolls</v>
      </c>
      <c r="H2259" s="10">
        <f>_xlfn.XLOOKUP(C2259,menu!A:A,menu!E:E)</f>
        <v>18</v>
      </c>
      <c r="I2259" s="10">
        <f t="shared" si="35"/>
        <v>18</v>
      </c>
      <c r="K2259" s="10"/>
      <c r="L2259" s="5"/>
    </row>
    <row r="2260" spans="1:12" x14ac:dyDescent="0.25">
      <c r="A2260" s="5" t="s">
        <v>4130</v>
      </c>
      <c r="B2260" s="5" t="s">
        <v>4129</v>
      </c>
      <c r="C2260" s="5" t="s">
        <v>38</v>
      </c>
      <c r="D2260" s="21">
        <v>2</v>
      </c>
      <c r="E2260" s="12">
        <v>298</v>
      </c>
      <c r="F2260" s="10" t="str">
        <f>_xlfn.XLOOKUP(C2260,menu!A:A,menu!B:B)</f>
        <v>Chicken Wings</v>
      </c>
      <c r="G2260" s="10" t="str">
        <f>_xlfn.XLOOKUP(C2260,menu!A:A,menu!C:C)</f>
        <v>Starters</v>
      </c>
      <c r="H2260" s="10">
        <f>_xlfn.XLOOKUP(C2260,menu!A:A,menu!E:E)</f>
        <v>45</v>
      </c>
      <c r="I2260" s="10">
        <f t="shared" si="35"/>
        <v>90</v>
      </c>
      <c r="K2260" s="10"/>
      <c r="L2260" s="5"/>
    </row>
    <row r="2261" spans="1:12" x14ac:dyDescent="0.25">
      <c r="A2261" s="5" t="s">
        <v>4128</v>
      </c>
      <c r="B2261" s="5" t="s">
        <v>4124</v>
      </c>
      <c r="C2261" s="5" t="s">
        <v>44</v>
      </c>
      <c r="D2261" s="21">
        <v>1</v>
      </c>
      <c r="E2261" s="12">
        <v>159</v>
      </c>
      <c r="F2261" s="10" t="str">
        <f>_xlfn.XLOOKUP(C2261,menu!A:A,menu!B:B)</f>
        <v>Fried Chicken</v>
      </c>
      <c r="G2261" s="10" t="str">
        <f>_xlfn.XLOOKUP(C2261,menu!A:A,menu!C:C)</f>
        <v>Starters</v>
      </c>
      <c r="H2261" s="10">
        <f>_xlfn.XLOOKUP(C2261,menu!A:A,menu!E:E)</f>
        <v>48</v>
      </c>
      <c r="I2261" s="10">
        <f t="shared" si="35"/>
        <v>48</v>
      </c>
      <c r="K2261" s="10"/>
      <c r="L2261" s="5"/>
    </row>
    <row r="2262" spans="1:12" x14ac:dyDescent="0.25">
      <c r="A2262" s="5" t="s">
        <v>4127</v>
      </c>
      <c r="B2262" s="5" t="s">
        <v>4124</v>
      </c>
      <c r="C2262" s="5" t="s">
        <v>8</v>
      </c>
      <c r="D2262" s="21">
        <v>1</v>
      </c>
      <c r="E2262" s="12">
        <v>99</v>
      </c>
      <c r="F2262" s="10" t="str">
        <f>_xlfn.XLOOKUP(C2262,menu!A:A,menu!B:B)</f>
        <v>Paneer Sandwich</v>
      </c>
      <c r="G2262" s="10" t="str">
        <f>_xlfn.XLOOKUP(C2262,menu!A:A,menu!C:C)</f>
        <v>Sandwich</v>
      </c>
      <c r="H2262" s="10">
        <f>_xlfn.XLOOKUP(C2262,menu!A:A,menu!E:E)</f>
        <v>30</v>
      </c>
      <c r="I2262" s="10">
        <f t="shared" si="35"/>
        <v>30</v>
      </c>
      <c r="K2262" s="10"/>
      <c r="L2262" s="5"/>
    </row>
    <row r="2263" spans="1:12" x14ac:dyDescent="0.25">
      <c r="A2263" s="5" t="s">
        <v>4126</v>
      </c>
      <c r="B2263" s="5" t="s">
        <v>4124</v>
      </c>
      <c r="C2263" s="5" t="s">
        <v>31</v>
      </c>
      <c r="D2263" s="21">
        <v>1</v>
      </c>
      <c r="E2263" s="12">
        <v>89</v>
      </c>
      <c r="F2263" s="10" t="str">
        <f>_xlfn.XLOOKUP(C2263,menu!A:A,menu!B:B)</f>
        <v>Chicken Roll</v>
      </c>
      <c r="G2263" s="10" t="str">
        <f>_xlfn.XLOOKUP(C2263,menu!A:A,menu!C:C)</f>
        <v>Rolls</v>
      </c>
      <c r="H2263" s="10">
        <f>_xlfn.XLOOKUP(C2263,menu!A:A,menu!E:E)</f>
        <v>27</v>
      </c>
      <c r="I2263" s="10">
        <f t="shared" si="35"/>
        <v>27</v>
      </c>
      <c r="K2263" s="10"/>
      <c r="L2263" s="5"/>
    </row>
    <row r="2264" spans="1:12" x14ac:dyDescent="0.25">
      <c r="A2264" s="5" t="s">
        <v>4125</v>
      </c>
      <c r="B2264" s="5" t="s">
        <v>4124</v>
      </c>
      <c r="C2264" s="5" t="s">
        <v>24</v>
      </c>
      <c r="D2264" s="21">
        <v>2</v>
      </c>
      <c r="E2264" s="12">
        <v>178</v>
      </c>
      <c r="F2264" s="10" t="str">
        <f>_xlfn.XLOOKUP(C2264,menu!A:A,menu!B:B)</f>
        <v>Paneer Burger</v>
      </c>
      <c r="G2264" s="10" t="str">
        <f>_xlfn.XLOOKUP(C2264,menu!A:A,menu!C:C)</f>
        <v>Burger</v>
      </c>
      <c r="H2264" s="10">
        <f>_xlfn.XLOOKUP(C2264,menu!A:A,menu!E:E)</f>
        <v>27</v>
      </c>
      <c r="I2264" s="10">
        <f t="shared" si="35"/>
        <v>54</v>
      </c>
      <c r="K2264" s="10"/>
      <c r="L2264" s="5"/>
    </row>
    <row r="2265" spans="1:12" x14ac:dyDescent="0.25">
      <c r="A2265" s="5" t="s">
        <v>4123</v>
      </c>
      <c r="B2265" s="5" t="s">
        <v>4120</v>
      </c>
      <c r="C2265" s="5" t="s">
        <v>40</v>
      </c>
      <c r="D2265" s="21">
        <v>1</v>
      </c>
      <c r="E2265" s="12">
        <v>99</v>
      </c>
      <c r="F2265" s="10" t="str">
        <f>_xlfn.XLOOKUP(C2265,menu!A:A,menu!B:B)</f>
        <v>Veg Nuggets</v>
      </c>
      <c r="G2265" s="10" t="str">
        <f>_xlfn.XLOOKUP(C2265,menu!A:A,menu!C:C)</f>
        <v>Starters</v>
      </c>
      <c r="H2265" s="10">
        <f>_xlfn.XLOOKUP(C2265,menu!A:A,menu!E:E)</f>
        <v>30</v>
      </c>
      <c r="I2265" s="10">
        <f t="shared" si="35"/>
        <v>30</v>
      </c>
      <c r="K2265" s="10"/>
      <c r="L2265" s="5"/>
    </row>
    <row r="2266" spans="1:12" x14ac:dyDescent="0.25">
      <c r="A2266" s="5" t="s">
        <v>4122</v>
      </c>
      <c r="B2266" s="5" t="s">
        <v>4120</v>
      </c>
      <c r="C2266" s="5" t="s">
        <v>19</v>
      </c>
      <c r="D2266" s="21">
        <v>1</v>
      </c>
      <c r="E2266" s="12">
        <v>79</v>
      </c>
      <c r="F2266" s="10" t="str">
        <f>_xlfn.XLOOKUP(C2266,menu!A:A,menu!B:B)</f>
        <v>Veg Burger</v>
      </c>
      <c r="G2266" s="10" t="str">
        <f>_xlfn.XLOOKUP(C2266,menu!A:A,menu!C:C)</f>
        <v>Burger</v>
      </c>
      <c r="H2266" s="10">
        <f>_xlfn.XLOOKUP(C2266,menu!A:A,menu!E:E)</f>
        <v>24</v>
      </c>
      <c r="I2266" s="10">
        <f t="shared" si="35"/>
        <v>24</v>
      </c>
      <c r="K2266" s="10"/>
      <c r="L2266" s="5"/>
    </row>
    <row r="2267" spans="1:12" x14ac:dyDescent="0.25">
      <c r="A2267" s="5" t="s">
        <v>4121</v>
      </c>
      <c r="B2267" s="5" t="s">
        <v>4120</v>
      </c>
      <c r="C2267" s="5" t="s">
        <v>33</v>
      </c>
      <c r="D2267" s="21">
        <v>1</v>
      </c>
      <c r="E2267" s="12">
        <v>69</v>
      </c>
      <c r="F2267" s="10" t="str">
        <f>_xlfn.XLOOKUP(C2267,menu!A:A,menu!B:B)</f>
        <v>Spring Roll</v>
      </c>
      <c r="G2267" s="10" t="str">
        <f>_xlfn.XLOOKUP(C2267,menu!A:A,menu!C:C)</f>
        <v>Rolls</v>
      </c>
      <c r="H2267" s="10">
        <f>_xlfn.XLOOKUP(C2267,menu!A:A,menu!E:E)</f>
        <v>21</v>
      </c>
      <c r="I2267" s="10">
        <f t="shared" si="35"/>
        <v>21</v>
      </c>
      <c r="K2267" s="10"/>
      <c r="L2267" s="5"/>
    </row>
    <row r="2268" spans="1:12" x14ac:dyDescent="0.25">
      <c r="A2268" s="5" t="s">
        <v>4119</v>
      </c>
      <c r="B2268" s="5" t="s">
        <v>4116</v>
      </c>
      <c r="C2268" s="5" t="s">
        <v>17</v>
      </c>
      <c r="D2268" s="21">
        <v>1</v>
      </c>
      <c r="E2268" s="12">
        <v>89</v>
      </c>
      <c r="F2268" s="10" t="str">
        <f>_xlfn.XLOOKUP(C2268,menu!A:A,menu!B:B)</f>
        <v>Paneer Momos</v>
      </c>
      <c r="G2268" s="10" t="str">
        <f>_xlfn.XLOOKUP(C2268,menu!A:A,menu!C:C)</f>
        <v>Momos</v>
      </c>
      <c r="H2268" s="10">
        <f>_xlfn.XLOOKUP(C2268,menu!A:A,menu!E:E)</f>
        <v>27</v>
      </c>
      <c r="I2268" s="10">
        <f t="shared" si="35"/>
        <v>27</v>
      </c>
      <c r="K2268" s="10"/>
      <c r="L2268" s="5"/>
    </row>
    <row r="2269" spans="1:12" x14ac:dyDescent="0.25">
      <c r="A2269" s="5" t="s">
        <v>4118</v>
      </c>
      <c r="B2269" s="5" t="s">
        <v>4116</v>
      </c>
      <c r="C2269" s="5" t="s">
        <v>44</v>
      </c>
      <c r="D2269" s="21">
        <v>3</v>
      </c>
      <c r="E2269" s="12">
        <v>477</v>
      </c>
      <c r="F2269" s="10" t="str">
        <f>_xlfn.XLOOKUP(C2269,menu!A:A,menu!B:B)</f>
        <v>Fried Chicken</v>
      </c>
      <c r="G2269" s="10" t="str">
        <f>_xlfn.XLOOKUP(C2269,menu!A:A,menu!C:C)</f>
        <v>Starters</v>
      </c>
      <c r="H2269" s="10">
        <f>_xlfn.XLOOKUP(C2269,menu!A:A,menu!E:E)</f>
        <v>48</v>
      </c>
      <c r="I2269" s="10">
        <f t="shared" si="35"/>
        <v>144</v>
      </c>
      <c r="K2269" s="10"/>
      <c r="L2269" s="5"/>
    </row>
    <row r="2270" spans="1:12" x14ac:dyDescent="0.25">
      <c r="A2270" s="5" t="s">
        <v>4117</v>
      </c>
      <c r="B2270" s="5" t="s">
        <v>4116</v>
      </c>
      <c r="C2270" s="5" t="s">
        <v>8</v>
      </c>
      <c r="D2270" s="21">
        <v>2</v>
      </c>
      <c r="E2270" s="12">
        <v>198</v>
      </c>
      <c r="F2270" s="10" t="str">
        <f>_xlfn.XLOOKUP(C2270,menu!A:A,menu!B:B)</f>
        <v>Paneer Sandwich</v>
      </c>
      <c r="G2270" s="10" t="str">
        <f>_xlfn.XLOOKUP(C2270,menu!A:A,menu!C:C)</f>
        <v>Sandwich</v>
      </c>
      <c r="H2270" s="10">
        <f>_xlfn.XLOOKUP(C2270,menu!A:A,menu!E:E)</f>
        <v>30</v>
      </c>
      <c r="I2270" s="10">
        <f t="shared" si="35"/>
        <v>60</v>
      </c>
      <c r="K2270" s="10"/>
      <c r="L2270" s="5"/>
    </row>
    <row r="2271" spans="1:12" x14ac:dyDescent="0.25">
      <c r="A2271" s="5" t="s">
        <v>4115</v>
      </c>
      <c r="B2271" s="5" t="s">
        <v>4113</v>
      </c>
      <c r="C2271" s="5" t="s">
        <v>10</v>
      </c>
      <c r="D2271" s="21">
        <v>4</v>
      </c>
      <c r="E2271" s="12">
        <v>476</v>
      </c>
      <c r="F2271" s="10" t="str">
        <f>_xlfn.XLOOKUP(C2271,menu!A:A,menu!B:B)</f>
        <v>Chicken Sandwich</v>
      </c>
      <c r="G2271" s="10" t="str">
        <f>_xlfn.XLOOKUP(C2271,menu!A:A,menu!C:C)</f>
        <v>Sandwich</v>
      </c>
      <c r="H2271" s="10">
        <f>_xlfn.XLOOKUP(C2271,menu!A:A,menu!E:E)</f>
        <v>36</v>
      </c>
      <c r="I2271" s="10">
        <f t="shared" si="35"/>
        <v>144</v>
      </c>
      <c r="K2271" s="10"/>
      <c r="L2271" s="5"/>
    </row>
    <row r="2272" spans="1:12" x14ac:dyDescent="0.25">
      <c r="A2272" s="5" t="s">
        <v>4114</v>
      </c>
      <c r="B2272" s="5" t="s">
        <v>4113</v>
      </c>
      <c r="C2272" s="5" t="s">
        <v>52</v>
      </c>
      <c r="D2272" s="21">
        <v>3</v>
      </c>
      <c r="E2272" s="12">
        <v>297</v>
      </c>
      <c r="F2272" s="10" t="str">
        <f>_xlfn.XLOOKUP(C2272,menu!A:A,menu!B:B)</f>
        <v>French Fries</v>
      </c>
      <c r="G2272" s="10" t="str">
        <f>_xlfn.XLOOKUP(C2272,menu!A:A,menu!C:C)</f>
        <v>Starters</v>
      </c>
      <c r="H2272" s="10">
        <f>_xlfn.XLOOKUP(C2272,menu!A:A,menu!E:E)</f>
        <v>30</v>
      </c>
      <c r="I2272" s="10">
        <f t="shared" si="35"/>
        <v>90</v>
      </c>
      <c r="K2272" s="10"/>
      <c r="L2272" s="5"/>
    </row>
    <row r="2273" spans="1:12" x14ac:dyDescent="0.25">
      <c r="A2273" s="5" t="s">
        <v>4112</v>
      </c>
      <c r="B2273" s="5" t="s">
        <v>4109</v>
      </c>
      <c r="C2273" s="5" t="s">
        <v>56</v>
      </c>
      <c r="D2273" s="21">
        <v>1</v>
      </c>
      <c r="E2273" s="12">
        <v>79</v>
      </c>
      <c r="F2273" s="10" t="str">
        <f>_xlfn.XLOOKUP(C2273,menu!A:A,menu!B:B)</f>
        <v>Mint Mojito</v>
      </c>
      <c r="G2273" s="10" t="str">
        <f>_xlfn.XLOOKUP(C2273,menu!A:A,menu!C:C)</f>
        <v>Beverages</v>
      </c>
      <c r="H2273" s="10">
        <f>_xlfn.XLOOKUP(C2273,menu!A:A,menu!E:E)</f>
        <v>24</v>
      </c>
      <c r="I2273" s="10">
        <f t="shared" si="35"/>
        <v>24</v>
      </c>
      <c r="K2273" s="10"/>
      <c r="L2273" s="5"/>
    </row>
    <row r="2274" spans="1:12" x14ac:dyDescent="0.25">
      <c r="A2274" s="5" t="s">
        <v>4111</v>
      </c>
      <c r="B2274" s="5" t="s">
        <v>4109</v>
      </c>
      <c r="C2274" s="5" t="s">
        <v>35</v>
      </c>
      <c r="D2274" s="21">
        <v>2</v>
      </c>
      <c r="E2274" s="12">
        <v>238</v>
      </c>
      <c r="F2274" s="10" t="str">
        <f>_xlfn.XLOOKUP(C2274,menu!A:A,menu!B:B)</f>
        <v>Chicken Nuggets</v>
      </c>
      <c r="G2274" s="10" t="str">
        <f>_xlfn.XLOOKUP(C2274,menu!A:A,menu!C:C)</f>
        <v>Starters</v>
      </c>
      <c r="H2274" s="10">
        <f>_xlfn.XLOOKUP(C2274,menu!A:A,menu!E:E)</f>
        <v>36</v>
      </c>
      <c r="I2274" s="10">
        <f t="shared" si="35"/>
        <v>72</v>
      </c>
      <c r="K2274" s="10"/>
      <c r="L2274" s="5"/>
    </row>
    <row r="2275" spans="1:12" x14ac:dyDescent="0.25">
      <c r="A2275" s="5" t="s">
        <v>4110</v>
      </c>
      <c r="B2275" s="5" t="s">
        <v>4109</v>
      </c>
      <c r="C2275" s="5" t="s">
        <v>22</v>
      </c>
      <c r="D2275" s="21">
        <v>1</v>
      </c>
      <c r="E2275" s="12">
        <v>99</v>
      </c>
      <c r="F2275" s="10" t="str">
        <f>_xlfn.XLOOKUP(C2275,menu!A:A,menu!B:B)</f>
        <v>Chicken Burger</v>
      </c>
      <c r="G2275" s="10" t="str">
        <f>_xlfn.XLOOKUP(C2275,menu!A:A,menu!C:C)</f>
        <v>Burger</v>
      </c>
      <c r="H2275" s="10">
        <f>_xlfn.XLOOKUP(C2275,menu!A:A,menu!E:E)</f>
        <v>30</v>
      </c>
      <c r="I2275" s="10">
        <f t="shared" si="35"/>
        <v>30</v>
      </c>
      <c r="K2275" s="10"/>
      <c r="L2275" s="5"/>
    </row>
    <row r="2276" spans="1:12" x14ac:dyDescent="0.25">
      <c r="A2276" s="5" t="s">
        <v>4108</v>
      </c>
      <c r="B2276" s="5" t="s">
        <v>4105</v>
      </c>
      <c r="C2276" s="5" t="s">
        <v>44</v>
      </c>
      <c r="D2276" s="21">
        <v>1</v>
      </c>
      <c r="E2276" s="12">
        <v>159</v>
      </c>
      <c r="F2276" s="10" t="str">
        <f>_xlfn.XLOOKUP(C2276,menu!A:A,menu!B:B)</f>
        <v>Fried Chicken</v>
      </c>
      <c r="G2276" s="10" t="str">
        <f>_xlfn.XLOOKUP(C2276,menu!A:A,menu!C:C)</f>
        <v>Starters</v>
      </c>
      <c r="H2276" s="10">
        <f>_xlfn.XLOOKUP(C2276,menu!A:A,menu!E:E)</f>
        <v>48</v>
      </c>
      <c r="I2276" s="10">
        <f t="shared" si="35"/>
        <v>48</v>
      </c>
      <c r="K2276" s="10"/>
      <c r="L2276" s="5"/>
    </row>
    <row r="2277" spans="1:12" x14ac:dyDescent="0.25">
      <c r="A2277" s="5" t="s">
        <v>4107</v>
      </c>
      <c r="B2277" s="5" t="s">
        <v>4105</v>
      </c>
      <c r="C2277" s="5" t="s">
        <v>46</v>
      </c>
      <c r="D2277" s="21">
        <v>1</v>
      </c>
      <c r="E2277" s="12">
        <v>149</v>
      </c>
      <c r="F2277" s="10" t="str">
        <f>_xlfn.XLOOKUP(C2277,menu!A:A,menu!B:B)</f>
        <v>Fish Finger</v>
      </c>
      <c r="G2277" s="10" t="str">
        <f>_xlfn.XLOOKUP(C2277,menu!A:A,menu!C:C)</f>
        <v>Starters</v>
      </c>
      <c r="H2277" s="10">
        <f>_xlfn.XLOOKUP(C2277,menu!A:A,menu!E:E)</f>
        <v>45</v>
      </c>
      <c r="I2277" s="10">
        <f t="shared" si="35"/>
        <v>45</v>
      </c>
      <c r="K2277" s="10"/>
      <c r="L2277" s="5"/>
    </row>
    <row r="2278" spans="1:12" x14ac:dyDescent="0.25">
      <c r="A2278" s="5" t="s">
        <v>4106</v>
      </c>
      <c r="B2278" s="5" t="s">
        <v>4105</v>
      </c>
      <c r="C2278" s="5" t="s">
        <v>24</v>
      </c>
      <c r="D2278" s="21">
        <v>3</v>
      </c>
      <c r="E2278" s="12">
        <v>267</v>
      </c>
      <c r="F2278" s="10" t="str">
        <f>_xlfn.XLOOKUP(C2278,menu!A:A,menu!B:B)</f>
        <v>Paneer Burger</v>
      </c>
      <c r="G2278" s="10" t="str">
        <f>_xlfn.XLOOKUP(C2278,menu!A:A,menu!C:C)</f>
        <v>Burger</v>
      </c>
      <c r="H2278" s="10">
        <f>_xlfn.XLOOKUP(C2278,menu!A:A,menu!E:E)</f>
        <v>27</v>
      </c>
      <c r="I2278" s="10">
        <f t="shared" si="35"/>
        <v>81</v>
      </c>
      <c r="K2278" s="10"/>
      <c r="L2278" s="5"/>
    </row>
    <row r="2279" spans="1:12" x14ac:dyDescent="0.25">
      <c r="A2279" s="5" t="s">
        <v>4104</v>
      </c>
      <c r="B2279" s="5" t="s">
        <v>4102</v>
      </c>
      <c r="C2279" s="5" t="s">
        <v>8</v>
      </c>
      <c r="D2279" s="21">
        <v>4</v>
      </c>
      <c r="E2279" s="12">
        <v>396</v>
      </c>
      <c r="F2279" s="10" t="str">
        <f>_xlfn.XLOOKUP(C2279,menu!A:A,menu!B:B)</f>
        <v>Paneer Sandwich</v>
      </c>
      <c r="G2279" s="10" t="str">
        <f>_xlfn.XLOOKUP(C2279,menu!A:A,menu!C:C)</f>
        <v>Sandwich</v>
      </c>
      <c r="H2279" s="10">
        <f>_xlfn.XLOOKUP(C2279,menu!A:A,menu!E:E)</f>
        <v>30</v>
      </c>
      <c r="I2279" s="10">
        <f t="shared" si="35"/>
        <v>120</v>
      </c>
      <c r="K2279" s="10"/>
      <c r="L2279" s="5"/>
    </row>
    <row r="2280" spans="1:12" x14ac:dyDescent="0.25">
      <c r="A2280" s="5" t="s">
        <v>4103</v>
      </c>
      <c r="B2280" s="5" t="s">
        <v>4102</v>
      </c>
      <c r="C2280" s="5" t="s">
        <v>31</v>
      </c>
      <c r="D2280" s="21">
        <v>2</v>
      </c>
      <c r="E2280" s="12">
        <v>178</v>
      </c>
      <c r="F2280" s="10" t="str">
        <f>_xlfn.XLOOKUP(C2280,menu!A:A,menu!B:B)</f>
        <v>Chicken Roll</v>
      </c>
      <c r="G2280" s="10" t="str">
        <f>_xlfn.XLOOKUP(C2280,menu!A:A,menu!C:C)</f>
        <v>Rolls</v>
      </c>
      <c r="H2280" s="10">
        <f>_xlfn.XLOOKUP(C2280,menu!A:A,menu!E:E)</f>
        <v>27</v>
      </c>
      <c r="I2280" s="10">
        <f t="shared" si="35"/>
        <v>54</v>
      </c>
      <c r="K2280" s="10"/>
      <c r="L2280" s="5"/>
    </row>
    <row r="2281" spans="1:12" x14ac:dyDescent="0.25">
      <c r="A2281" s="5" t="s">
        <v>4101</v>
      </c>
      <c r="B2281" s="5" t="s">
        <v>4098</v>
      </c>
      <c r="C2281" s="5" t="s">
        <v>29</v>
      </c>
      <c r="D2281" s="21">
        <v>1</v>
      </c>
      <c r="E2281" s="12">
        <v>79</v>
      </c>
      <c r="F2281" s="10" t="str">
        <f>_xlfn.XLOOKUP(C2281,menu!A:A,menu!B:B)</f>
        <v>Paneer Roll</v>
      </c>
      <c r="G2281" s="10" t="str">
        <f>_xlfn.XLOOKUP(C2281,menu!A:A,menu!C:C)</f>
        <v>Rolls</v>
      </c>
      <c r="H2281" s="10">
        <f>_xlfn.XLOOKUP(C2281,menu!A:A,menu!E:E)</f>
        <v>24</v>
      </c>
      <c r="I2281" s="10">
        <f t="shared" si="35"/>
        <v>24</v>
      </c>
      <c r="K2281" s="10"/>
      <c r="L2281" s="5"/>
    </row>
    <row r="2282" spans="1:12" x14ac:dyDescent="0.25">
      <c r="A2282" s="5" t="s">
        <v>4100</v>
      </c>
      <c r="B2282" s="5" t="s">
        <v>4098</v>
      </c>
      <c r="C2282" s="5" t="s">
        <v>40</v>
      </c>
      <c r="D2282" s="21">
        <v>3</v>
      </c>
      <c r="E2282" s="12">
        <v>297</v>
      </c>
      <c r="F2282" s="10" t="str">
        <f>_xlfn.XLOOKUP(C2282,menu!A:A,menu!B:B)</f>
        <v>Veg Nuggets</v>
      </c>
      <c r="G2282" s="10" t="str">
        <f>_xlfn.XLOOKUP(C2282,menu!A:A,menu!C:C)</f>
        <v>Starters</v>
      </c>
      <c r="H2282" s="10">
        <f>_xlfn.XLOOKUP(C2282,menu!A:A,menu!E:E)</f>
        <v>30</v>
      </c>
      <c r="I2282" s="10">
        <f t="shared" si="35"/>
        <v>90</v>
      </c>
      <c r="K2282" s="10"/>
      <c r="L2282" s="5"/>
    </row>
    <row r="2283" spans="1:12" x14ac:dyDescent="0.25">
      <c r="A2283" s="5" t="s">
        <v>4099</v>
      </c>
      <c r="B2283" s="5" t="s">
        <v>4098</v>
      </c>
      <c r="C2283" s="5" t="s">
        <v>17</v>
      </c>
      <c r="D2283" s="21">
        <v>2</v>
      </c>
      <c r="E2283" s="12">
        <v>178</v>
      </c>
      <c r="F2283" s="10" t="str">
        <f>_xlfn.XLOOKUP(C2283,menu!A:A,menu!B:B)</f>
        <v>Paneer Momos</v>
      </c>
      <c r="G2283" s="10" t="str">
        <f>_xlfn.XLOOKUP(C2283,menu!A:A,menu!C:C)</f>
        <v>Momos</v>
      </c>
      <c r="H2283" s="10">
        <f>_xlfn.XLOOKUP(C2283,menu!A:A,menu!E:E)</f>
        <v>27</v>
      </c>
      <c r="I2283" s="10">
        <f t="shared" si="35"/>
        <v>54</v>
      </c>
      <c r="K2283" s="10"/>
      <c r="L2283" s="5"/>
    </row>
    <row r="2284" spans="1:12" x14ac:dyDescent="0.25">
      <c r="A2284" s="5" t="s">
        <v>4097</v>
      </c>
      <c r="B2284" s="5" t="s">
        <v>4094</v>
      </c>
      <c r="C2284" s="5" t="s">
        <v>5</v>
      </c>
      <c r="D2284" s="21">
        <v>2</v>
      </c>
      <c r="E2284" s="12">
        <v>158</v>
      </c>
      <c r="F2284" s="10" t="str">
        <f>_xlfn.XLOOKUP(C2284,menu!A:A,menu!B:B)</f>
        <v>Veg Sandwich</v>
      </c>
      <c r="G2284" s="10" t="str">
        <f>_xlfn.XLOOKUP(C2284,menu!A:A,menu!C:C)</f>
        <v>Sandwich</v>
      </c>
      <c r="H2284" s="10">
        <f>_xlfn.XLOOKUP(C2284,menu!A:A,menu!E:E)</f>
        <v>24</v>
      </c>
      <c r="I2284" s="10">
        <f t="shared" si="35"/>
        <v>48</v>
      </c>
      <c r="K2284" s="10"/>
      <c r="L2284" s="5"/>
    </row>
    <row r="2285" spans="1:12" x14ac:dyDescent="0.25">
      <c r="A2285" s="5" t="s">
        <v>4096</v>
      </c>
      <c r="B2285" s="5" t="s">
        <v>4094</v>
      </c>
      <c r="C2285" s="5" t="s">
        <v>19</v>
      </c>
      <c r="D2285" s="21">
        <v>2</v>
      </c>
      <c r="E2285" s="12">
        <v>158</v>
      </c>
      <c r="F2285" s="10" t="str">
        <f>_xlfn.XLOOKUP(C2285,menu!A:A,menu!B:B)</f>
        <v>Veg Burger</v>
      </c>
      <c r="G2285" s="10" t="str">
        <f>_xlfn.XLOOKUP(C2285,menu!A:A,menu!C:C)</f>
        <v>Burger</v>
      </c>
      <c r="H2285" s="10">
        <f>_xlfn.XLOOKUP(C2285,menu!A:A,menu!E:E)</f>
        <v>24</v>
      </c>
      <c r="I2285" s="10">
        <f t="shared" si="35"/>
        <v>48</v>
      </c>
      <c r="K2285" s="10"/>
      <c r="L2285" s="5"/>
    </row>
    <row r="2286" spans="1:12" x14ac:dyDescent="0.25">
      <c r="A2286" s="5" t="s">
        <v>4095</v>
      </c>
      <c r="B2286" s="5" t="s">
        <v>4094</v>
      </c>
      <c r="C2286" s="5" t="s">
        <v>12</v>
      </c>
      <c r="D2286" s="21">
        <v>3</v>
      </c>
      <c r="E2286" s="12">
        <v>237</v>
      </c>
      <c r="F2286" s="10" t="str">
        <f>_xlfn.XLOOKUP(C2286,menu!A:A,menu!B:B)</f>
        <v>Veg Momos</v>
      </c>
      <c r="G2286" s="10" t="str">
        <f>_xlfn.XLOOKUP(C2286,menu!A:A,menu!C:C)</f>
        <v>Momos</v>
      </c>
      <c r="H2286" s="10">
        <f>_xlfn.XLOOKUP(C2286,menu!A:A,menu!E:E)</f>
        <v>24</v>
      </c>
      <c r="I2286" s="10">
        <f t="shared" si="35"/>
        <v>72</v>
      </c>
      <c r="K2286" s="10"/>
      <c r="L2286" s="5"/>
    </row>
    <row r="2287" spans="1:12" x14ac:dyDescent="0.25">
      <c r="A2287" s="5" t="s">
        <v>4093</v>
      </c>
      <c r="B2287" s="5" t="s">
        <v>4091</v>
      </c>
      <c r="C2287" s="5" t="s">
        <v>44</v>
      </c>
      <c r="D2287" s="21">
        <v>1</v>
      </c>
      <c r="E2287" s="12">
        <v>159</v>
      </c>
      <c r="F2287" s="10" t="str">
        <f>_xlfn.XLOOKUP(C2287,menu!A:A,menu!B:B)</f>
        <v>Fried Chicken</v>
      </c>
      <c r="G2287" s="10" t="str">
        <f>_xlfn.XLOOKUP(C2287,menu!A:A,menu!C:C)</f>
        <v>Starters</v>
      </c>
      <c r="H2287" s="10">
        <f>_xlfn.XLOOKUP(C2287,menu!A:A,menu!E:E)</f>
        <v>48</v>
      </c>
      <c r="I2287" s="10">
        <f t="shared" si="35"/>
        <v>48</v>
      </c>
      <c r="K2287" s="10"/>
      <c r="L2287" s="5"/>
    </row>
    <row r="2288" spans="1:12" x14ac:dyDescent="0.25">
      <c r="A2288" s="5" t="s">
        <v>4092</v>
      </c>
      <c r="B2288" s="5" t="s">
        <v>4091</v>
      </c>
      <c r="C2288" s="5" t="s">
        <v>65</v>
      </c>
      <c r="D2288" s="21">
        <v>1</v>
      </c>
      <c r="E2288" s="12">
        <v>49</v>
      </c>
      <c r="F2288" s="10" t="str">
        <f>_xlfn.XLOOKUP(C2288,menu!A:A,menu!B:B)</f>
        <v>Lemon Juice</v>
      </c>
      <c r="G2288" s="10" t="str">
        <f>_xlfn.XLOOKUP(C2288,menu!A:A,menu!C:C)</f>
        <v>Beverages</v>
      </c>
      <c r="H2288" s="10">
        <f>_xlfn.XLOOKUP(C2288,menu!A:A,menu!E:E)</f>
        <v>15</v>
      </c>
      <c r="I2288" s="10">
        <f t="shared" si="35"/>
        <v>15</v>
      </c>
      <c r="K2288" s="10"/>
      <c r="L2288" s="5"/>
    </row>
    <row r="2289" spans="1:12" x14ac:dyDescent="0.25">
      <c r="A2289" s="5" t="s">
        <v>4090</v>
      </c>
      <c r="B2289" s="5" t="s">
        <v>4088</v>
      </c>
      <c r="C2289" s="5" t="s">
        <v>19</v>
      </c>
      <c r="D2289" s="21">
        <v>1</v>
      </c>
      <c r="E2289" s="12">
        <v>79</v>
      </c>
      <c r="F2289" s="10" t="str">
        <f>_xlfn.XLOOKUP(C2289,menu!A:A,menu!B:B)</f>
        <v>Veg Burger</v>
      </c>
      <c r="G2289" s="10" t="str">
        <f>_xlfn.XLOOKUP(C2289,menu!A:A,menu!C:C)</f>
        <v>Burger</v>
      </c>
      <c r="H2289" s="10">
        <f>_xlfn.XLOOKUP(C2289,menu!A:A,menu!E:E)</f>
        <v>24</v>
      </c>
      <c r="I2289" s="10">
        <f t="shared" si="35"/>
        <v>24</v>
      </c>
      <c r="K2289" s="10"/>
      <c r="L2289" s="5"/>
    </row>
    <row r="2290" spans="1:12" x14ac:dyDescent="0.25">
      <c r="A2290" s="5" t="s">
        <v>4089</v>
      </c>
      <c r="B2290" s="5" t="s">
        <v>4088</v>
      </c>
      <c r="C2290" s="5" t="s">
        <v>15</v>
      </c>
      <c r="D2290" s="21">
        <v>1</v>
      </c>
      <c r="E2290" s="12">
        <v>99</v>
      </c>
      <c r="F2290" s="10" t="str">
        <f>_xlfn.XLOOKUP(C2290,menu!A:A,menu!B:B)</f>
        <v>Chicken Momos</v>
      </c>
      <c r="G2290" s="10" t="str">
        <f>_xlfn.XLOOKUP(C2290,menu!A:A,menu!C:C)</f>
        <v>Momos</v>
      </c>
      <c r="H2290" s="10">
        <f>_xlfn.XLOOKUP(C2290,menu!A:A,menu!E:E)</f>
        <v>30</v>
      </c>
      <c r="I2290" s="10">
        <f t="shared" si="35"/>
        <v>30</v>
      </c>
      <c r="K2290" s="10"/>
      <c r="L2290" s="5"/>
    </row>
    <row r="2291" spans="1:12" x14ac:dyDescent="0.25">
      <c r="A2291" s="5" t="s">
        <v>4087</v>
      </c>
      <c r="B2291" s="5" t="s">
        <v>4084</v>
      </c>
      <c r="C2291" s="5" t="s">
        <v>17</v>
      </c>
      <c r="D2291" s="21">
        <v>1</v>
      </c>
      <c r="E2291" s="12">
        <v>89</v>
      </c>
      <c r="F2291" s="10" t="str">
        <f>_xlfn.XLOOKUP(C2291,menu!A:A,menu!B:B)</f>
        <v>Paneer Momos</v>
      </c>
      <c r="G2291" s="10" t="str">
        <f>_xlfn.XLOOKUP(C2291,menu!A:A,menu!C:C)</f>
        <v>Momos</v>
      </c>
      <c r="H2291" s="10">
        <f>_xlfn.XLOOKUP(C2291,menu!A:A,menu!E:E)</f>
        <v>27</v>
      </c>
      <c r="I2291" s="10">
        <f t="shared" si="35"/>
        <v>27</v>
      </c>
      <c r="K2291" s="10"/>
      <c r="L2291" s="5"/>
    </row>
    <row r="2292" spans="1:12" x14ac:dyDescent="0.25">
      <c r="A2292" s="5" t="s">
        <v>4086</v>
      </c>
      <c r="B2292" s="5" t="s">
        <v>4084</v>
      </c>
      <c r="C2292" s="5" t="s">
        <v>44</v>
      </c>
      <c r="D2292" s="21">
        <v>1</v>
      </c>
      <c r="E2292" s="12">
        <v>159</v>
      </c>
      <c r="F2292" s="10" t="str">
        <f>_xlfn.XLOOKUP(C2292,menu!A:A,menu!B:B)</f>
        <v>Fried Chicken</v>
      </c>
      <c r="G2292" s="10" t="str">
        <f>_xlfn.XLOOKUP(C2292,menu!A:A,menu!C:C)</f>
        <v>Starters</v>
      </c>
      <c r="H2292" s="10">
        <f>_xlfn.XLOOKUP(C2292,menu!A:A,menu!E:E)</f>
        <v>48</v>
      </c>
      <c r="I2292" s="10">
        <f t="shared" si="35"/>
        <v>48</v>
      </c>
      <c r="K2292" s="10"/>
      <c r="L2292" s="5"/>
    </row>
    <row r="2293" spans="1:12" x14ac:dyDescent="0.25">
      <c r="A2293" s="5" t="s">
        <v>4085</v>
      </c>
      <c r="B2293" s="5" t="s">
        <v>4084</v>
      </c>
      <c r="C2293" s="5" t="s">
        <v>19</v>
      </c>
      <c r="D2293" s="21">
        <v>1</v>
      </c>
      <c r="E2293" s="12">
        <v>79</v>
      </c>
      <c r="F2293" s="10" t="str">
        <f>_xlfn.XLOOKUP(C2293,menu!A:A,menu!B:B)</f>
        <v>Veg Burger</v>
      </c>
      <c r="G2293" s="10" t="str">
        <f>_xlfn.XLOOKUP(C2293,menu!A:A,menu!C:C)</f>
        <v>Burger</v>
      </c>
      <c r="H2293" s="10">
        <f>_xlfn.XLOOKUP(C2293,menu!A:A,menu!E:E)</f>
        <v>24</v>
      </c>
      <c r="I2293" s="10">
        <f t="shared" si="35"/>
        <v>24</v>
      </c>
      <c r="K2293" s="10"/>
      <c r="L2293" s="5"/>
    </row>
    <row r="2294" spans="1:12" x14ac:dyDescent="0.25">
      <c r="A2294" s="5" t="s">
        <v>4083</v>
      </c>
      <c r="B2294" s="5" t="s">
        <v>4080</v>
      </c>
      <c r="C2294" s="5" t="s">
        <v>35</v>
      </c>
      <c r="D2294" s="21">
        <v>2</v>
      </c>
      <c r="E2294" s="12">
        <v>238</v>
      </c>
      <c r="F2294" s="10" t="str">
        <f>_xlfn.XLOOKUP(C2294,menu!A:A,menu!B:B)</f>
        <v>Chicken Nuggets</v>
      </c>
      <c r="G2294" s="10" t="str">
        <f>_xlfn.XLOOKUP(C2294,menu!A:A,menu!C:C)</f>
        <v>Starters</v>
      </c>
      <c r="H2294" s="10">
        <f>_xlfn.XLOOKUP(C2294,menu!A:A,menu!E:E)</f>
        <v>36</v>
      </c>
      <c r="I2294" s="10">
        <f t="shared" si="35"/>
        <v>72</v>
      </c>
      <c r="K2294" s="10"/>
      <c r="L2294" s="5"/>
    </row>
    <row r="2295" spans="1:12" x14ac:dyDescent="0.25">
      <c r="A2295" s="5" t="s">
        <v>4082</v>
      </c>
      <c r="B2295" s="5" t="s">
        <v>4080</v>
      </c>
      <c r="C2295" s="5" t="s">
        <v>26</v>
      </c>
      <c r="D2295" s="21">
        <v>1</v>
      </c>
      <c r="E2295" s="12">
        <v>59</v>
      </c>
      <c r="F2295" s="10" t="str">
        <f>_xlfn.XLOOKUP(C2295,menu!A:A,menu!B:B)</f>
        <v>Veg Roll</v>
      </c>
      <c r="G2295" s="10" t="str">
        <f>_xlfn.XLOOKUP(C2295,menu!A:A,menu!C:C)</f>
        <v>Rolls</v>
      </c>
      <c r="H2295" s="10">
        <f>_xlfn.XLOOKUP(C2295,menu!A:A,menu!E:E)</f>
        <v>18</v>
      </c>
      <c r="I2295" s="10">
        <f t="shared" si="35"/>
        <v>18</v>
      </c>
      <c r="K2295" s="10"/>
      <c r="L2295" s="5"/>
    </row>
    <row r="2296" spans="1:12" x14ac:dyDescent="0.25">
      <c r="A2296" s="5" t="s">
        <v>4081</v>
      </c>
      <c r="B2296" s="5" t="s">
        <v>4080</v>
      </c>
      <c r="C2296" s="5" t="s">
        <v>31</v>
      </c>
      <c r="D2296" s="21">
        <v>2</v>
      </c>
      <c r="E2296" s="12">
        <v>178</v>
      </c>
      <c r="F2296" s="10" t="str">
        <f>_xlfn.XLOOKUP(C2296,menu!A:A,menu!B:B)</f>
        <v>Chicken Roll</v>
      </c>
      <c r="G2296" s="10" t="str">
        <f>_xlfn.XLOOKUP(C2296,menu!A:A,menu!C:C)</f>
        <v>Rolls</v>
      </c>
      <c r="H2296" s="10">
        <f>_xlfn.XLOOKUP(C2296,menu!A:A,menu!E:E)</f>
        <v>27</v>
      </c>
      <c r="I2296" s="10">
        <f t="shared" si="35"/>
        <v>54</v>
      </c>
      <c r="K2296" s="10"/>
      <c r="L2296" s="5"/>
    </row>
    <row r="2297" spans="1:12" x14ac:dyDescent="0.25">
      <c r="A2297" s="5" t="s">
        <v>4079</v>
      </c>
      <c r="B2297" s="5" t="s">
        <v>4078</v>
      </c>
      <c r="C2297" s="5" t="s">
        <v>50</v>
      </c>
      <c r="D2297" s="21">
        <v>1</v>
      </c>
      <c r="E2297" s="12">
        <v>149</v>
      </c>
      <c r="F2297" s="10" t="str">
        <f>_xlfn.XLOOKUP(C2297,menu!A:A,menu!B:B)</f>
        <v>Grab Lollipop</v>
      </c>
      <c r="G2297" s="10" t="str">
        <f>_xlfn.XLOOKUP(C2297,menu!A:A,menu!C:C)</f>
        <v>Starters</v>
      </c>
      <c r="H2297" s="10">
        <f>_xlfn.XLOOKUP(C2297,menu!A:A,menu!E:E)</f>
        <v>45</v>
      </c>
      <c r="I2297" s="10">
        <f t="shared" si="35"/>
        <v>45</v>
      </c>
      <c r="K2297" s="10"/>
      <c r="L2297" s="5"/>
    </row>
    <row r="2298" spans="1:12" x14ac:dyDescent="0.25">
      <c r="A2298" s="5" t="s">
        <v>4077</v>
      </c>
      <c r="B2298" s="5" t="s">
        <v>4074</v>
      </c>
      <c r="C2298" s="5" t="s">
        <v>52</v>
      </c>
      <c r="D2298" s="21">
        <v>4</v>
      </c>
      <c r="E2298" s="12">
        <v>396</v>
      </c>
      <c r="F2298" s="10" t="str">
        <f>_xlfn.XLOOKUP(C2298,menu!A:A,menu!B:B)</f>
        <v>French Fries</v>
      </c>
      <c r="G2298" s="10" t="str">
        <f>_xlfn.XLOOKUP(C2298,menu!A:A,menu!C:C)</f>
        <v>Starters</v>
      </c>
      <c r="H2298" s="10">
        <f>_xlfn.XLOOKUP(C2298,menu!A:A,menu!E:E)</f>
        <v>30</v>
      </c>
      <c r="I2298" s="10">
        <f t="shared" si="35"/>
        <v>120</v>
      </c>
      <c r="K2298" s="10"/>
      <c r="L2298" s="5"/>
    </row>
    <row r="2299" spans="1:12" x14ac:dyDescent="0.25">
      <c r="A2299" s="5" t="s">
        <v>4076</v>
      </c>
      <c r="B2299" s="5" t="s">
        <v>4074</v>
      </c>
      <c r="C2299" s="5" t="s">
        <v>42</v>
      </c>
      <c r="D2299" s="21">
        <v>4</v>
      </c>
      <c r="E2299" s="12">
        <v>596</v>
      </c>
      <c r="F2299" s="10" t="str">
        <f>_xlfn.XLOOKUP(C2299,menu!A:A,menu!B:B)</f>
        <v>Chicken Popcorn</v>
      </c>
      <c r="G2299" s="10" t="str">
        <f>_xlfn.XLOOKUP(C2299,menu!A:A,menu!C:C)</f>
        <v>Starters</v>
      </c>
      <c r="H2299" s="10">
        <f>_xlfn.XLOOKUP(C2299,menu!A:A,menu!E:E)</f>
        <v>45</v>
      </c>
      <c r="I2299" s="10">
        <f t="shared" si="35"/>
        <v>180</v>
      </c>
      <c r="K2299" s="10"/>
      <c r="L2299" s="5"/>
    </row>
    <row r="2300" spans="1:12" x14ac:dyDescent="0.25">
      <c r="A2300" s="5" t="s">
        <v>4075</v>
      </c>
      <c r="B2300" s="5" t="s">
        <v>4074</v>
      </c>
      <c r="C2300" s="5" t="s">
        <v>63</v>
      </c>
      <c r="D2300" s="21">
        <v>4</v>
      </c>
      <c r="E2300" s="12">
        <v>316</v>
      </c>
      <c r="F2300" s="10" t="str">
        <f>_xlfn.XLOOKUP(C2300,menu!A:A,menu!B:B)</f>
        <v>Virgin Mojito</v>
      </c>
      <c r="G2300" s="10" t="str">
        <f>_xlfn.XLOOKUP(C2300,menu!A:A,menu!C:C)</f>
        <v>Beverages</v>
      </c>
      <c r="H2300" s="10">
        <f>_xlfn.XLOOKUP(C2300,menu!A:A,menu!E:E)</f>
        <v>24</v>
      </c>
      <c r="I2300" s="10">
        <f t="shared" si="35"/>
        <v>96</v>
      </c>
      <c r="K2300" s="10"/>
      <c r="L2300" s="5"/>
    </row>
    <row r="2301" spans="1:12" x14ac:dyDescent="0.25">
      <c r="A2301" s="5" t="s">
        <v>4073</v>
      </c>
      <c r="B2301" s="5" t="s">
        <v>4072</v>
      </c>
      <c r="C2301" s="5" t="s">
        <v>12</v>
      </c>
      <c r="D2301" s="21">
        <v>2</v>
      </c>
      <c r="E2301" s="12">
        <v>158</v>
      </c>
      <c r="F2301" s="10" t="str">
        <f>_xlfn.XLOOKUP(C2301,menu!A:A,menu!B:B)</f>
        <v>Veg Momos</v>
      </c>
      <c r="G2301" s="10" t="str">
        <f>_xlfn.XLOOKUP(C2301,menu!A:A,menu!C:C)</f>
        <v>Momos</v>
      </c>
      <c r="H2301" s="10">
        <f>_xlfn.XLOOKUP(C2301,menu!A:A,menu!E:E)</f>
        <v>24</v>
      </c>
      <c r="I2301" s="10">
        <f t="shared" si="35"/>
        <v>48</v>
      </c>
      <c r="K2301" s="10"/>
      <c r="L2301" s="5"/>
    </row>
    <row r="2302" spans="1:12" x14ac:dyDescent="0.25">
      <c r="A2302" s="5" t="s">
        <v>4071</v>
      </c>
      <c r="B2302" s="5" t="s">
        <v>4068</v>
      </c>
      <c r="C2302" s="5" t="s">
        <v>17</v>
      </c>
      <c r="D2302" s="21">
        <v>2</v>
      </c>
      <c r="E2302" s="12">
        <v>178</v>
      </c>
      <c r="F2302" s="10" t="str">
        <f>_xlfn.XLOOKUP(C2302,menu!A:A,menu!B:B)</f>
        <v>Paneer Momos</v>
      </c>
      <c r="G2302" s="10" t="str">
        <f>_xlfn.XLOOKUP(C2302,menu!A:A,menu!C:C)</f>
        <v>Momos</v>
      </c>
      <c r="H2302" s="10">
        <f>_xlfn.XLOOKUP(C2302,menu!A:A,menu!E:E)</f>
        <v>27</v>
      </c>
      <c r="I2302" s="10">
        <f t="shared" si="35"/>
        <v>54</v>
      </c>
      <c r="K2302" s="10"/>
      <c r="L2302" s="5"/>
    </row>
    <row r="2303" spans="1:12" x14ac:dyDescent="0.25">
      <c r="A2303" s="5" t="s">
        <v>4070</v>
      </c>
      <c r="B2303" s="5" t="s">
        <v>4068</v>
      </c>
      <c r="C2303" s="5" t="s">
        <v>50</v>
      </c>
      <c r="D2303" s="21">
        <v>4</v>
      </c>
      <c r="E2303" s="12">
        <v>596</v>
      </c>
      <c r="F2303" s="10" t="str">
        <f>_xlfn.XLOOKUP(C2303,menu!A:A,menu!B:B)</f>
        <v>Grab Lollipop</v>
      </c>
      <c r="G2303" s="10" t="str">
        <f>_xlfn.XLOOKUP(C2303,menu!A:A,menu!C:C)</f>
        <v>Starters</v>
      </c>
      <c r="H2303" s="10">
        <f>_xlfn.XLOOKUP(C2303,menu!A:A,menu!E:E)</f>
        <v>45</v>
      </c>
      <c r="I2303" s="10">
        <f t="shared" si="35"/>
        <v>180</v>
      </c>
      <c r="K2303" s="10"/>
      <c r="L2303" s="5"/>
    </row>
    <row r="2304" spans="1:12" x14ac:dyDescent="0.25">
      <c r="A2304" s="5" t="s">
        <v>4069</v>
      </c>
      <c r="B2304" s="5" t="s">
        <v>4068</v>
      </c>
      <c r="C2304" s="5" t="s">
        <v>33</v>
      </c>
      <c r="D2304" s="21">
        <v>2</v>
      </c>
      <c r="E2304" s="12">
        <v>138</v>
      </c>
      <c r="F2304" s="10" t="str">
        <f>_xlfn.XLOOKUP(C2304,menu!A:A,menu!B:B)</f>
        <v>Spring Roll</v>
      </c>
      <c r="G2304" s="10" t="str">
        <f>_xlfn.XLOOKUP(C2304,menu!A:A,menu!C:C)</f>
        <v>Rolls</v>
      </c>
      <c r="H2304" s="10">
        <f>_xlfn.XLOOKUP(C2304,menu!A:A,menu!E:E)</f>
        <v>21</v>
      </c>
      <c r="I2304" s="10">
        <f t="shared" si="35"/>
        <v>42</v>
      </c>
      <c r="K2304" s="10"/>
      <c r="L2304" s="5"/>
    </row>
    <row r="2305" spans="1:12" x14ac:dyDescent="0.25">
      <c r="A2305" s="5" t="s">
        <v>4067</v>
      </c>
      <c r="B2305" s="5" t="s">
        <v>4064</v>
      </c>
      <c r="C2305" s="5" t="s">
        <v>54</v>
      </c>
      <c r="D2305" s="21">
        <v>1</v>
      </c>
      <c r="E2305" s="12">
        <v>139</v>
      </c>
      <c r="F2305" s="10" t="str">
        <f>_xlfn.XLOOKUP(C2305,menu!A:A,menu!B:B)</f>
        <v>Chicken Strips</v>
      </c>
      <c r="G2305" s="10" t="str">
        <f>_xlfn.XLOOKUP(C2305,menu!A:A,menu!C:C)</f>
        <v>Starters</v>
      </c>
      <c r="H2305" s="10">
        <f>_xlfn.XLOOKUP(C2305,menu!A:A,menu!E:E)</f>
        <v>42</v>
      </c>
      <c r="I2305" s="10">
        <f t="shared" si="35"/>
        <v>42</v>
      </c>
      <c r="K2305" s="10"/>
      <c r="L2305" s="5"/>
    </row>
    <row r="2306" spans="1:12" x14ac:dyDescent="0.25">
      <c r="A2306" s="5" t="s">
        <v>4066</v>
      </c>
      <c r="B2306" s="5" t="s">
        <v>4064</v>
      </c>
      <c r="C2306" s="5" t="s">
        <v>38</v>
      </c>
      <c r="D2306" s="21">
        <v>3</v>
      </c>
      <c r="E2306" s="12">
        <v>447</v>
      </c>
      <c r="F2306" s="10" t="str">
        <f>_xlfn.XLOOKUP(C2306,menu!A:A,menu!B:B)</f>
        <v>Chicken Wings</v>
      </c>
      <c r="G2306" s="10" t="str">
        <f>_xlfn.XLOOKUP(C2306,menu!A:A,menu!C:C)</f>
        <v>Starters</v>
      </c>
      <c r="H2306" s="10">
        <f>_xlfn.XLOOKUP(C2306,menu!A:A,menu!E:E)</f>
        <v>45</v>
      </c>
      <c r="I2306" s="10">
        <f t="shared" si="35"/>
        <v>135</v>
      </c>
      <c r="K2306" s="10"/>
      <c r="L2306" s="5"/>
    </row>
    <row r="2307" spans="1:12" x14ac:dyDescent="0.25">
      <c r="A2307" s="5" t="s">
        <v>4065</v>
      </c>
      <c r="B2307" s="5" t="s">
        <v>4064</v>
      </c>
      <c r="C2307" s="5" t="s">
        <v>24</v>
      </c>
      <c r="D2307" s="21">
        <v>3</v>
      </c>
      <c r="E2307" s="12">
        <v>267</v>
      </c>
      <c r="F2307" s="10" t="str">
        <f>_xlfn.XLOOKUP(C2307,menu!A:A,menu!B:B)</f>
        <v>Paneer Burger</v>
      </c>
      <c r="G2307" s="10" t="str">
        <f>_xlfn.XLOOKUP(C2307,menu!A:A,menu!C:C)</f>
        <v>Burger</v>
      </c>
      <c r="H2307" s="10">
        <f>_xlfn.XLOOKUP(C2307,menu!A:A,menu!E:E)</f>
        <v>27</v>
      </c>
      <c r="I2307" s="10">
        <f t="shared" ref="I2307:I2370" si="36">D2307*H2307</f>
        <v>81</v>
      </c>
      <c r="K2307" s="10"/>
      <c r="L2307" s="5"/>
    </row>
    <row r="2308" spans="1:12" x14ac:dyDescent="0.25">
      <c r="A2308" s="5" t="s">
        <v>4063</v>
      </c>
      <c r="B2308" s="5" t="s">
        <v>4060</v>
      </c>
      <c r="C2308" s="5" t="s">
        <v>12</v>
      </c>
      <c r="D2308" s="21">
        <v>1</v>
      </c>
      <c r="E2308" s="12">
        <v>79</v>
      </c>
      <c r="F2308" s="10" t="str">
        <f>_xlfn.XLOOKUP(C2308,menu!A:A,menu!B:B)</f>
        <v>Veg Momos</v>
      </c>
      <c r="G2308" s="10" t="str">
        <f>_xlfn.XLOOKUP(C2308,menu!A:A,menu!C:C)</f>
        <v>Momos</v>
      </c>
      <c r="H2308" s="10">
        <f>_xlfn.XLOOKUP(C2308,menu!A:A,menu!E:E)</f>
        <v>24</v>
      </c>
      <c r="I2308" s="10">
        <f t="shared" si="36"/>
        <v>24</v>
      </c>
      <c r="K2308" s="10"/>
      <c r="L2308" s="5"/>
    </row>
    <row r="2309" spans="1:12" x14ac:dyDescent="0.25">
      <c r="A2309" s="5" t="s">
        <v>4062</v>
      </c>
      <c r="B2309" s="5" t="s">
        <v>4060</v>
      </c>
      <c r="C2309" s="5" t="s">
        <v>50</v>
      </c>
      <c r="D2309" s="21">
        <v>1</v>
      </c>
      <c r="E2309" s="12">
        <v>149</v>
      </c>
      <c r="F2309" s="10" t="str">
        <f>_xlfn.XLOOKUP(C2309,menu!A:A,menu!B:B)</f>
        <v>Grab Lollipop</v>
      </c>
      <c r="G2309" s="10" t="str">
        <f>_xlfn.XLOOKUP(C2309,menu!A:A,menu!C:C)</f>
        <v>Starters</v>
      </c>
      <c r="H2309" s="10">
        <f>_xlfn.XLOOKUP(C2309,menu!A:A,menu!E:E)</f>
        <v>45</v>
      </c>
      <c r="I2309" s="10">
        <f t="shared" si="36"/>
        <v>45</v>
      </c>
      <c r="K2309" s="10"/>
      <c r="L2309" s="5"/>
    </row>
    <row r="2310" spans="1:12" x14ac:dyDescent="0.25">
      <c r="A2310" s="5" t="s">
        <v>4061</v>
      </c>
      <c r="B2310" s="5" t="s">
        <v>4060</v>
      </c>
      <c r="C2310" s="5" t="s">
        <v>15</v>
      </c>
      <c r="D2310" s="21">
        <v>1</v>
      </c>
      <c r="E2310" s="12">
        <v>99</v>
      </c>
      <c r="F2310" s="10" t="str">
        <f>_xlfn.XLOOKUP(C2310,menu!A:A,menu!B:B)</f>
        <v>Chicken Momos</v>
      </c>
      <c r="G2310" s="10" t="str">
        <f>_xlfn.XLOOKUP(C2310,menu!A:A,menu!C:C)</f>
        <v>Momos</v>
      </c>
      <c r="H2310" s="10">
        <f>_xlfn.XLOOKUP(C2310,menu!A:A,menu!E:E)</f>
        <v>30</v>
      </c>
      <c r="I2310" s="10">
        <f t="shared" si="36"/>
        <v>30</v>
      </c>
      <c r="K2310" s="10"/>
      <c r="L2310" s="5"/>
    </row>
    <row r="2311" spans="1:12" x14ac:dyDescent="0.25">
      <c r="A2311" s="5" t="s">
        <v>4059</v>
      </c>
      <c r="B2311" s="5" t="s">
        <v>4057</v>
      </c>
      <c r="C2311" s="5" t="s">
        <v>35</v>
      </c>
      <c r="D2311" s="21">
        <v>3</v>
      </c>
      <c r="E2311" s="12">
        <v>357</v>
      </c>
      <c r="F2311" s="10" t="str">
        <f>_xlfn.XLOOKUP(C2311,menu!A:A,menu!B:B)</f>
        <v>Chicken Nuggets</v>
      </c>
      <c r="G2311" s="10" t="str">
        <f>_xlfn.XLOOKUP(C2311,menu!A:A,menu!C:C)</f>
        <v>Starters</v>
      </c>
      <c r="H2311" s="10">
        <f>_xlfn.XLOOKUP(C2311,menu!A:A,menu!E:E)</f>
        <v>36</v>
      </c>
      <c r="I2311" s="10">
        <f t="shared" si="36"/>
        <v>108</v>
      </c>
      <c r="K2311" s="10"/>
      <c r="L2311" s="5"/>
    </row>
    <row r="2312" spans="1:12" x14ac:dyDescent="0.25">
      <c r="A2312" s="5" t="s">
        <v>4058</v>
      </c>
      <c r="B2312" s="5" t="s">
        <v>4057</v>
      </c>
      <c r="C2312" s="5" t="s">
        <v>26</v>
      </c>
      <c r="D2312" s="21">
        <v>1</v>
      </c>
      <c r="E2312" s="12">
        <v>59</v>
      </c>
      <c r="F2312" s="10" t="str">
        <f>_xlfn.XLOOKUP(C2312,menu!A:A,menu!B:B)</f>
        <v>Veg Roll</v>
      </c>
      <c r="G2312" s="10" t="str">
        <f>_xlfn.XLOOKUP(C2312,menu!A:A,menu!C:C)</f>
        <v>Rolls</v>
      </c>
      <c r="H2312" s="10">
        <f>_xlfn.XLOOKUP(C2312,menu!A:A,menu!E:E)</f>
        <v>18</v>
      </c>
      <c r="I2312" s="10">
        <f t="shared" si="36"/>
        <v>18</v>
      </c>
      <c r="K2312" s="10"/>
      <c r="L2312" s="5"/>
    </row>
    <row r="2313" spans="1:12" x14ac:dyDescent="0.25">
      <c r="A2313" s="5" t="s">
        <v>4056</v>
      </c>
      <c r="B2313" s="5" t="s">
        <v>4053</v>
      </c>
      <c r="C2313" s="5" t="s">
        <v>54</v>
      </c>
      <c r="D2313" s="21">
        <v>2</v>
      </c>
      <c r="E2313" s="12">
        <v>278</v>
      </c>
      <c r="F2313" s="10" t="str">
        <f>_xlfn.XLOOKUP(C2313,menu!A:A,menu!B:B)</f>
        <v>Chicken Strips</v>
      </c>
      <c r="G2313" s="10" t="str">
        <f>_xlfn.XLOOKUP(C2313,menu!A:A,menu!C:C)</f>
        <v>Starters</v>
      </c>
      <c r="H2313" s="10">
        <f>_xlfn.XLOOKUP(C2313,menu!A:A,menu!E:E)</f>
        <v>42</v>
      </c>
      <c r="I2313" s="10">
        <f t="shared" si="36"/>
        <v>84</v>
      </c>
      <c r="K2313" s="10"/>
      <c r="L2313" s="5"/>
    </row>
    <row r="2314" spans="1:12" x14ac:dyDescent="0.25">
      <c r="A2314" s="5" t="s">
        <v>4055</v>
      </c>
      <c r="B2314" s="5" t="s">
        <v>4053</v>
      </c>
      <c r="C2314" s="5" t="s">
        <v>33</v>
      </c>
      <c r="D2314" s="21">
        <v>4</v>
      </c>
      <c r="E2314" s="12">
        <v>276</v>
      </c>
      <c r="F2314" s="10" t="str">
        <f>_xlfn.XLOOKUP(C2314,menu!A:A,menu!B:B)</f>
        <v>Spring Roll</v>
      </c>
      <c r="G2314" s="10" t="str">
        <f>_xlfn.XLOOKUP(C2314,menu!A:A,menu!C:C)</f>
        <v>Rolls</v>
      </c>
      <c r="H2314" s="10">
        <f>_xlfn.XLOOKUP(C2314,menu!A:A,menu!E:E)</f>
        <v>21</v>
      </c>
      <c r="I2314" s="10">
        <f t="shared" si="36"/>
        <v>84</v>
      </c>
      <c r="K2314" s="10"/>
      <c r="L2314" s="5"/>
    </row>
    <row r="2315" spans="1:12" x14ac:dyDescent="0.25">
      <c r="A2315" s="5" t="s">
        <v>4054</v>
      </c>
      <c r="B2315" s="5" t="s">
        <v>4053</v>
      </c>
      <c r="C2315" s="5" t="s">
        <v>38</v>
      </c>
      <c r="D2315" s="21">
        <v>2</v>
      </c>
      <c r="E2315" s="12">
        <v>298</v>
      </c>
      <c r="F2315" s="10" t="str">
        <f>_xlfn.XLOOKUP(C2315,menu!A:A,menu!B:B)</f>
        <v>Chicken Wings</v>
      </c>
      <c r="G2315" s="10" t="str">
        <f>_xlfn.XLOOKUP(C2315,menu!A:A,menu!C:C)</f>
        <v>Starters</v>
      </c>
      <c r="H2315" s="10">
        <f>_xlfn.XLOOKUP(C2315,menu!A:A,menu!E:E)</f>
        <v>45</v>
      </c>
      <c r="I2315" s="10">
        <f t="shared" si="36"/>
        <v>90</v>
      </c>
      <c r="K2315" s="10"/>
      <c r="L2315" s="5"/>
    </row>
    <row r="2316" spans="1:12" x14ac:dyDescent="0.25">
      <c r="A2316" s="5" t="s">
        <v>4052</v>
      </c>
      <c r="B2316" s="5" t="s">
        <v>4048</v>
      </c>
      <c r="C2316" s="5" t="s">
        <v>29</v>
      </c>
      <c r="D2316" s="21">
        <v>4</v>
      </c>
      <c r="E2316" s="12">
        <v>316</v>
      </c>
      <c r="F2316" s="10" t="str">
        <f>_xlfn.XLOOKUP(C2316,menu!A:A,menu!B:B)</f>
        <v>Paneer Roll</v>
      </c>
      <c r="G2316" s="10" t="str">
        <f>_xlfn.XLOOKUP(C2316,menu!A:A,menu!C:C)</f>
        <v>Rolls</v>
      </c>
      <c r="H2316" s="10">
        <f>_xlfn.XLOOKUP(C2316,menu!A:A,menu!E:E)</f>
        <v>24</v>
      </c>
      <c r="I2316" s="10">
        <f t="shared" si="36"/>
        <v>96</v>
      </c>
      <c r="K2316" s="10"/>
      <c r="L2316" s="5"/>
    </row>
    <row r="2317" spans="1:12" x14ac:dyDescent="0.25">
      <c r="A2317" s="5" t="s">
        <v>4051</v>
      </c>
      <c r="B2317" s="5" t="s">
        <v>4048</v>
      </c>
      <c r="C2317" s="5" t="s">
        <v>50</v>
      </c>
      <c r="D2317" s="21">
        <v>3</v>
      </c>
      <c r="E2317" s="12">
        <v>447</v>
      </c>
      <c r="F2317" s="10" t="str">
        <f>_xlfn.XLOOKUP(C2317,menu!A:A,menu!B:B)</f>
        <v>Grab Lollipop</v>
      </c>
      <c r="G2317" s="10" t="str">
        <f>_xlfn.XLOOKUP(C2317,menu!A:A,menu!C:C)</f>
        <v>Starters</v>
      </c>
      <c r="H2317" s="10">
        <f>_xlfn.XLOOKUP(C2317,menu!A:A,menu!E:E)</f>
        <v>45</v>
      </c>
      <c r="I2317" s="10">
        <f t="shared" si="36"/>
        <v>135</v>
      </c>
      <c r="K2317" s="10"/>
      <c r="L2317" s="5"/>
    </row>
    <row r="2318" spans="1:12" x14ac:dyDescent="0.25">
      <c r="A2318" s="5" t="s">
        <v>4050</v>
      </c>
      <c r="B2318" s="5" t="s">
        <v>4048</v>
      </c>
      <c r="C2318" s="5" t="s">
        <v>19</v>
      </c>
      <c r="D2318" s="21">
        <v>2</v>
      </c>
      <c r="E2318" s="12">
        <v>158</v>
      </c>
      <c r="F2318" s="10" t="str">
        <f>_xlfn.XLOOKUP(C2318,menu!A:A,menu!B:B)</f>
        <v>Veg Burger</v>
      </c>
      <c r="G2318" s="10" t="str">
        <f>_xlfn.XLOOKUP(C2318,menu!A:A,menu!C:C)</f>
        <v>Burger</v>
      </c>
      <c r="H2318" s="10">
        <f>_xlfn.XLOOKUP(C2318,menu!A:A,menu!E:E)</f>
        <v>24</v>
      </c>
      <c r="I2318" s="10">
        <f t="shared" si="36"/>
        <v>48</v>
      </c>
      <c r="K2318" s="10"/>
      <c r="L2318" s="5"/>
    </row>
    <row r="2319" spans="1:12" x14ac:dyDescent="0.25">
      <c r="A2319" s="5" t="s">
        <v>4049</v>
      </c>
      <c r="B2319" s="5" t="s">
        <v>4048</v>
      </c>
      <c r="C2319" s="5" t="s">
        <v>54</v>
      </c>
      <c r="D2319" s="21">
        <v>1</v>
      </c>
      <c r="E2319" s="12">
        <v>139</v>
      </c>
      <c r="F2319" s="10" t="str">
        <f>_xlfn.XLOOKUP(C2319,menu!A:A,menu!B:B)</f>
        <v>Chicken Strips</v>
      </c>
      <c r="G2319" s="10" t="str">
        <f>_xlfn.XLOOKUP(C2319,menu!A:A,menu!C:C)</f>
        <v>Starters</v>
      </c>
      <c r="H2319" s="10">
        <f>_xlfn.XLOOKUP(C2319,menu!A:A,menu!E:E)</f>
        <v>42</v>
      </c>
      <c r="I2319" s="10">
        <f t="shared" si="36"/>
        <v>42</v>
      </c>
      <c r="K2319" s="10"/>
      <c r="L2319" s="5"/>
    </row>
    <row r="2320" spans="1:12" x14ac:dyDescent="0.25">
      <c r="A2320" s="5" t="s">
        <v>4047</v>
      </c>
      <c r="B2320" s="5" t="s">
        <v>4044</v>
      </c>
      <c r="C2320" s="5" t="s">
        <v>29</v>
      </c>
      <c r="D2320" s="21">
        <v>2</v>
      </c>
      <c r="E2320" s="12">
        <v>158</v>
      </c>
      <c r="F2320" s="10" t="str">
        <f>_xlfn.XLOOKUP(C2320,menu!A:A,menu!B:B)</f>
        <v>Paneer Roll</v>
      </c>
      <c r="G2320" s="10" t="str">
        <f>_xlfn.XLOOKUP(C2320,menu!A:A,menu!C:C)</f>
        <v>Rolls</v>
      </c>
      <c r="H2320" s="10">
        <f>_xlfn.XLOOKUP(C2320,menu!A:A,menu!E:E)</f>
        <v>24</v>
      </c>
      <c r="I2320" s="10">
        <f t="shared" si="36"/>
        <v>48</v>
      </c>
      <c r="K2320" s="10"/>
      <c r="L2320" s="5"/>
    </row>
    <row r="2321" spans="1:12" x14ac:dyDescent="0.25">
      <c r="A2321" s="5" t="s">
        <v>4046</v>
      </c>
      <c r="B2321" s="5" t="s">
        <v>4044</v>
      </c>
      <c r="C2321" s="5" t="s">
        <v>42</v>
      </c>
      <c r="D2321" s="21">
        <v>3</v>
      </c>
      <c r="E2321" s="12">
        <v>447</v>
      </c>
      <c r="F2321" s="10" t="str">
        <f>_xlfn.XLOOKUP(C2321,menu!A:A,menu!B:B)</f>
        <v>Chicken Popcorn</v>
      </c>
      <c r="G2321" s="10" t="str">
        <f>_xlfn.XLOOKUP(C2321,menu!A:A,menu!C:C)</f>
        <v>Starters</v>
      </c>
      <c r="H2321" s="10">
        <f>_xlfn.XLOOKUP(C2321,menu!A:A,menu!E:E)</f>
        <v>45</v>
      </c>
      <c r="I2321" s="10">
        <f t="shared" si="36"/>
        <v>135</v>
      </c>
      <c r="K2321" s="10"/>
      <c r="L2321" s="5"/>
    </row>
    <row r="2322" spans="1:12" x14ac:dyDescent="0.25">
      <c r="A2322" s="5" t="s">
        <v>4045</v>
      </c>
      <c r="B2322" s="5" t="s">
        <v>4044</v>
      </c>
      <c r="C2322" s="5" t="s">
        <v>8</v>
      </c>
      <c r="D2322" s="21">
        <v>1</v>
      </c>
      <c r="E2322" s="12">
        <v>99</v>
      </c>
      <c r="F2322" s="10" t="str">
        <f>_xlfn.XLOOKUP(C2322,menu!A:A,menu!B:B)</f>
        <v>Paneer Sandwich</v>
      </c>
      <c r="G2322" s="10" t="str">
        <f>_xlfn.XLOOKUP(C2322,menu!A:A,menu!C:C)</f>
        <v>Sandwich</v>
      </c>
      <c r="H2322" s="10">
        <f>_xlfn.XLOOKUP(C2322,menu!A:A,menu!E:E)</f>
        <v>30</v>
      </c>
      <c r="I2322" s="10">
        <f t="shared" si="36"/>
        <v>30</v>
      </c>
      <c r="K2322" s="10"/>
      <c r="L2322" s="5"/>
    </row>
    <row r="2323" spans="1:12" x14ac:dyDescent="0.25">
      <c r="A2323" s="5" t="s">
        <v>4043</v>
      </c>
      <c r="B2323" s="5" t="s">
        <v>4040</v>
      </c>
      <c r="C2323" s="5" t="s">
        <v>50</v>
      </c>
      <c r="D2323" s="21">
        <v>2</v>
      </c>
      <c r="E2323" s="12">
        <v>298</v>
      </c>
      <c r="F2323" s="10" t="str">
        <f>_xlfn.XLOOKUP(C2323,menu!A:A,menu!B:B)</f>
        <v>Grab Lollipop</v>
      </c>
      <c r="G2323" s="10" t="str">
        <f>_xlfn.XLOOKUP(C2323,menu!A:A,menu!C:C)</f>
        <v>Starters</v>
      </c>
      <c r="H2323" s="10">
        <f>_xlfn.XLOOKUP(C2323,menu!A:A,menu!E:E)</f>
        <v>45</v>
      </c>
      <c r="I2323" s="10">
        <f t="shared" si="36"/>
        <v>90</v>
      </c>
      <c r="K2323" s="10"/>
      <c r="L2323" s="5"/>
    </row>
    <row r="2324" spans="1:12" x14ac:dyDescent="0.25">
      <c r="A2324" s="5" t="s">
        <v>4042</v>
      </c>
      <c r="B2324" s="5" t="s">
        <v>4040</v>
      </c>
      <c r="C2324" s="5" t="s">
        <v>31</v>
      </c>
      <c r="D2324" s="21">
        <v>2</v>
      </c>
      <c r="E2324" s="12">
        <v>178</v>
      </c>
      <c r="F2324" s="10" t="str">
        <f>_xlfn.XLOOKUP(C2324,menu!A:A,menu!B:B)</f>
        <v>Chicken Roll</v>
      </c>
      <c r="G2324" s="10" t="str">
        <f>_xlfn.XLOOKUP(C2324,menu!A:A,menu!C:C)</f>
        <v>Rolls</v>
      </c>
      <c r="H2324" s="10">
        <f>_xlfn.XLOOKUP(C2324,menu!A:A,menu!E:E)</f>
        <v>27</v>
      </c>
      <c r="I2324" s="10">
        <f t="shared" si="36"/>
        <v>54</v>
      </c>
      <c r="K2324" s="10"/>
      <c r="L2324" s="5"/>
    </row>
    <row r="2325" spans="1:12" x14ac:dyDescent="0.25">
      <c r="A2325" s="5" t="s">
        <v>4041</v>
      </c>
      <c r="B2325" s="5" t="s">
        <v>4040</v>
      </c>
      <c r="C2325" s="5" t="s">
        <v>24</v>
      </c>
      <c r="D2325" s="21">
        <v>2</v>
      </c>
      <c r="E2325" s="12">
        <v>178</v>
      </c>
      <c r="F2325" s="10" t="str">
        <f>_xlfn.XLOOKUP(C2325,menu!A:A,menu!B:B)</f>
        <v>Paneer Burger</v>
      </c>
      <c r="G2325" s="10" t="str">
        <f>_xlfn.XLOOKUP(C2325,menu!A:A,menu!C:C)</f>
        <v>Burger</v>
      </c>
      <c r="H2325" s="10">
        <f>_xlfn.XLOOKUP(C2325,menu!A:A,menu!E:E)</f>
        <v>27</v>
      </c>
      <c r="I2325" s="10">
        <f t="shared" si="36"/>
        <v>54</v>
      </c>
      <c r="K2325" s="10"/>
      <c r="L2325" s="5"/>
    </row>
    <row r="2326" spans="1:12" x14ac:dyDescent="0.25">
      <c r="A2326" s="5" t="s">
        <v>4039</v>
      </c>
      <c r="B2326" s="5" t="s">
        <v>4037</v>
      </c>
      <c r="C2326" s="5" t="s">
        <v>44</v>
      </c>
      <c r="D2326" s="21">
        <v>1</v>
      </c>
      <c r="E2326" s="12">
        <v>159</v>
      </c>
      <c r="F2326" s="10" t="str">
        <f>_xlfn.XLOOKUP(C2326,menu!A:A,menu!B:B)</f>
        <v>Fried Chicken</v>
      </c>
      <c r="G2326" s="10" t="str">
        <f>_xlfn.XLOOKUP(C2326,menu!A:A,menu!C:C)</f>
        <v>Starters</v>
      </c>
      <c r="H2326" s="10">
        <f>_xlfn.XLOOKUP(C2326,menu!A:A,menu!E:E)</f>
        <v>48</v>
      </c>
      <c r="I2326" s="10">
        <f t="shared" si="36"/>
        <v>48</v>
      </c>
      <c r="K2326" s="10"/>
      <c r="L2326" s="5"/>
    </row>
    <row r="2327" spans="1:12" x14ac:dyDescent="0.25">
      <c r="A2327" s="5" t="s">
        <v>4038</v>
      </c>
      <c r="B2327" s="5" t="s">
        <v>4037</v>
      </c>
      <c r="C2327" s="5" t="s">
        <v>42</v>
      </c>
      <c r="D2327" s="21">
        <v>2</v>
      </c>
      <c r="E2327" s="12">
        <v>298</v>
      </c>
      <c r="F2327" s="10" t="str">
        <f>_xlfn.XLOOKUP(C2327,menu!A:A,menu!B:B)</f>
        <v>Chicken Popcorn</v>
      </c>
      <c r="G2327" s="10" t="str">
        <f>_xlfn.XLOOKUP(C2327,menu!A:A,menu!C:C)</f>
        <v>Starters</v>
      </c>
      <c r="H2327" s="10">
        <f>_xlfn.XLOOKUP(C2327,menu!A:A,menu!E:E)</f>
        <v>45</v>
      </c>
      <c r="I2327" s="10">
        <f t="shared" si="36"/>
        <v>90</v>
      </c>
      <c r="K2327" s="10"/>
      <c r="L2327" s="5"/>
    </row>
    <row r="2328" spans="1:12" x14ac:dyDescent="0.25">
      <c r="A2328" s="5" t="s">
        <v>4036</v>
      </c>
      <c r="B2328" s="5" t="s">
        <v>4032</v>
      </c>
      <c r="C2328" s="5" t="s">
        <v>12</v>
      </c>
      <c r="D2328" s="21">
        <v>3</v>
      </c>
      <c r="E2328" s="12">
        <v>237</v>
      </c>
      <c r="F2328" s="10" t="str">
        <f>_xlfn.XLOOKUP(C2328,menu!A:A,menu!B:B)</f>
        <v>Veg Momos</v>
      </c>
      <c r="G2328" s="10" t="str">
        <f>_xlfn.XLOOKUP(C2328,menu!A:A,menu!C:C)</f>
        <v>Momos</v>
      </c>
      <c r="H2328" s="10">
        <f>_xlfn.XLOOKUP(C2328,menu!A:A,menu!E:E)</f>
        <v>24</v>
      </c>
      <c r="I2328" s="10">
        <f t="shared" si="36"/>
        <v>72</v>
      </c>
      <c r="K2328" s="10"/>
      <c r="L2328" s="5"/>
    </row>
    <row r="2329" spans="1:12" x14ac:dyDescent="0.25">
      <c r="A2329" s="5" t="s">
        <v>4035</v>
      </c>
      <c r="B2329" s="5" t="s">
        <v>4032</v>
      </c>
      <c r="C2329" s="5" t="s">
        <v>52</v>
      </c>
      <c r="D2329" s="21">
        <v>3</v>
      </c>
      <c r="E2329" s="12">
        <v>297</v>
      </c>
      <c r="F2329" s="10" t="str">
        <f>_xlfn.XLOOKUP(C2329,menu!A:A,menu!B:B)</f>
        <v>French Fries</v>
      </c>
      <c r="G2329" s="10" t="str">
        <f>_xlfn.XLOOKUP(C2329,menu!A:A,menu!C:C)</f>
        <v>Starters</v>
      </c>
      <c r="H2329" s="10">
        <f>_xlfn.XLOOKUP(C2329,menu!A:A,menu!E:E)</f>
        <v>30</v>
      </c>
      <c r="I2329" s="10">
        <f t="shared" si="36"/>
        <v>90</v>
      </c>
      <c r="K2329" s="10"/>
      <c r="L2329" s="5"/>
    </row>
    <row r="2330" spans="1:12" x14ac:dyDescent="0.25">
      <c r="A2330" s="5" t="s">
        <v>4034</v>
      </c>
      <c r="B2330" s="5" t="s">
        <v>4032</v>
      </c>
      <c r="C2330" s="5" t="s">
        <v>54</v>
      </c>
      <c r="D2330" s="21">
        <v>1</v>
      </c>
      <c r="E2330" s="12">
        <v>139</v>
      </c>
      <c r="F2330" s="10" t="str">
        <f>_xlfn.XLOOKUP(C2330,menu!A:A,menu!B:B)</f>
        <v>Chicken Strips</v>
      </c>
      <c r="G2330" s="10" t="str">
        <f>_xlfn.XLOOKUP(C2330,menu!A:A,menu!C:C)</f>
        <v>Starters</v>
      </c>
      <c r="H2330" s="10">
        <f>_xlfn.XLOOKUP(C2330,menu!A:A,menu!E:E)</f>
        <v>42</v>
      </c>
      <c r="I2330" s="10">
        <f t="shared" si="36"/>
        <v>42</v>
      </c>
      <c r="K2330" s="10"/>
      <c r="L2330" s="5"/>
    </row>
    <row r="2331" spans="1:12" x14ac:dyDescent="0.25">
      <c r="A2331" s="5" t="s">
        <v>4033</v>
      </c>
      <c r="B2331" s="5" t="s">
        <v>4032</v>
      </c>
      <c r="C2331" s="5" t="s">
        <v>19</v>
      </c>
      <c r="D2331" s="21">
        <v>2</v>
      </c>
      <c r="E2331" s="12">
        <v>158</v>
      </c>
      <c r="F2331" s="10" t="str">
        <f>_xlfn.XLOOKUP(C2331,menu!A:A,menu!B:B)</f>
        <v>Veg Burger</v>
      </c>
      <c r="G2331" s="10" t="str">
        <f>_xlfn.XLOOKUP(C2331,menu!A:A,menu!C:C)</f>
        <v>Burger</v>
      </c>
      <c r="H2331" s="10">
        <f>_xlfn.XLOOKUP(C2331,menu!A:A,menu!E:E)</f>
        <v>24</v>
      </c>
      <c r="I2331" s="10">
        <f t="shared" si="36"/>
        <v>48</v>
      </c>
      <c r="K2331" s="10"/>
      <c r="L2331" s="5"/>
    </row>
    <row r="2332" spans="1:12" x14ac:dyDescent="0.25">
      <c r="A2332" s="5" t="s">
        <v>4031</v>
      </c>
      <c r="B2332" s="5" t="s">
        <v>4028</v>
      </c>
      <c r="C2332" s="5" t="s">
        <v>63</v>
      </c>
      <c r="D2332" s="21">
        <v>3</v>
      </c>
      <c r="E2332" s="12">
        <v>237</v>
      </c>
      <c r="F2332" s="10" t="str">
        <f>_xlfn.XLOOKUP(C2332,menu!A:A,menu!B:B)</f>
        <v>Virgin Mojito</v>
      </c>
      <c r="G2332" s="10" t="str">
        <f>_xlfn.XLOOKUP(C2332,menu!A:A,menu!C:C)</f>
        <v>Beverages</v>
      </c>
      <c r="H2332" s="10">
        <f>_xlfn.XLOOKUP(C2332,menu!A:A,menu!E:E)</f>
        <v>24</v>
      </c>
      <c r="I2332" s="10">
        <f t="shared" si="36"/>
        <v>72</v>
      </c>
      <c r="K2332" s="10"/>
      <c r="L2332" s="5"/>
    </row>
    <row r="2333" spans="1:12" x14ac:dyDescent="0.25">
      <c r="A2333" s="5" t="s">
        <v>4030</v>
      </c>
      <c r="B2333" s="5" t="s">
        <v>4028</v>
      </c>
      <c r="C2333" s="5" t="s">
        <v>35</v>
      </c>
      <c r="D2333" s="21">
        <v>1</v>
      </c>
      <c r="E2333" s="12">
        <v>119</v>
      </c>
      <c r="F2333" s="10" t="str">
        <f>_xlfn.XLOOKUP(C2333,menu!A:A,menu!B:B)</f>
        <v>Chicken Nuggets</v>
      </c>
      <c r="G2333" s="10" t="str">
        <f>_xlfn.XLOOKUP(C2333,menu!A:A,menu!C:C)</f>
        <v>Starters</v>
      </c>
      <c r="H2333" s="10">
        <f>_xlfn.XLOOKUP(C2333,menu!A:A,menu!E:E)</f>
        <v>36</v>
      </c>
      <c r="I2333" s="10">
        <f t="shared" si="36"/>
        <v>36</v>
      </c>
      <c r="K2333" s="10"/>
      <c r="L2333" s="5"/>
    </row>
    <row r="2334" spans="1:12" x14ac:dyDescent="0.25">
      <c r="A2334" s="5" t="s">
        <v>4029</v>
      </c>
      <c r="B2334" s="5" t="s">
        <v>4028</v>
      </c>
      <c r="C2334" s="5" t="s">
        <v>8</v>
      </c>
      <c r="D2334" s="21">
        <v>4</v>
      </c>
      <c r="E2334" s="12">
        <v>396</v>
      </c>
      <c r="F2334" s="10" t="str">
        <f>_xlfn.XLOOKUP(C2334,menu!A:A,menu!B:B)</f>
        <v>Paneer Sandwich</v>
      </c>
      <c r="G2334" s="10" t="str">
        <f>_xlfn.XLOOKUP(C2334,menu!A:A,menu!C:C)</f>
        <v>Sandwich</v>
      </c>
      <c r="H2334" s="10">
        <f>_xlfn.XLOOKUP(C2334,menu!A:A,menu!E:E)</f>
        <v>30</v>
      </c>
      <c r="I2334" s="10">
        <f t="shared" si="36"/>
        <v>120</v>
      </c>
      <c r="K2334" s="10"/>
      <c r="L2334" s="5"/>
    </row>
    <row r="2335" spans="1:12" x14ac:dyDescent="0.25">
      <c r="A2335" s="5" t="s">
        <v>4027</v>
      </c>
      <c r="B2335" s="5" t="s">
        <v>4025</v>
      </c>
      <c r="C2335" s="5" t="s">
        <v>56</v>
      </c>
      <c r="D2335" s="21">
        <v>3</v>
      </c>
      <c r="E2335" s="12">
        <v>237</v>
      </c>
      <c r="F2335" s="10" t="str">
        <f>_xlfn.XLOOKUP(C2335,menu!A:A,menu!B:B)</f>
        <v>Mint Mojito</v>
      </c>
      <c r="G2335" s="10" t="str">
        <f>_xlfn.XLOOKUP(C2335,menu!A:A,menu!C:C)</f>
        <v>Beverages</v>
      </c>
      <c r="H2335" s="10">
        <f>_xlfn.XLOOKUP(C2335,menu!A:A,menu!E:E)</f>
        <v>24</v>
      </c>
      <c r="I2335" s="10">
        <f t="shared" si="36"/>
        <v>72</v>
      </c>
      <c r="K2335" s="10"/>
      <c r="L2335" s="5"/>
    </row>
    <row r="2336" spans="1:12" x14ac:dyDescent="0.25">
      <c r="A2336" s="5" t="s">
        <v>4026</v>
      </c>
      <c r="B2336" s="5" t="s">
        <v>4025</v>
      </c>
      <c r="C2336" s="5" t="s">
        <v>50</v>
      </c>
      <c r="D2336" s="21">
        <v>5</v>
      </c>
      <c r="E2336" s="12">
        <v>745</v>
      </c>
      <c r="F2336" s="10" t="str">
        <f>_xlfn.XLOOKUP(C2336,menu!A:A,menu!B:B)</f>
        <v>Grab Lollipop</v>
      </c>
      <c r="G2336" s="10" t="str">
        <f>_xlfn.XLOOKUP(C2336,menu!A:A,menu!C:C)</f>
        <v>Starters</v>
      </c>
      <c r="H2336" s="10">
        <f>_xlfn.XLOOKUP(C2336,menu!A:A,menu!E:E)</f>
        <v>45</v>
      </c>
      <c r="I2336" s="10">
        <f t="shared" si="36"/>
        <v>225</v>
      </c>
      <c r="K2336" s="10"/>
      <c r="L2336" s="5"/>
    </row>
    <row r="2337" spans="1:12" x14ac:dyDescent="0.25">
      <c r="A2337" s="5" t="s">
        <v>4024</v>
      </c>
      <c r="B2337" s="5" t="s">
        <v>4023</v>
      </c>
      <c r="C2337" s="5" t="s">
        <v>52</v>
      </c>
      <c r="D2337" s="21">
        <v>3</v>
      </c>
      <c r="E2337" s="12">
        <v>297</v>
      </c>
      <c r="F2337" s="10" t="str">
        <f>_xlfn.XLOOKUP(C2337,menu!A:A,menu!B:B)</f>
        <v>French Fries</v>
      </c>
      <c r="G2337" s="10" t="str">
        <f>_xlfn.XLOOKUP(C2337,menu!A:A,menu!C:C)</f>
        <v>Starters</v>
      </c>
      <c r="H2337" s="10">
        <f>_xlfn.XLOOKUP(C2337,menu!A:A,menu!E:E)</f>
        <v>30</v>
      </c>
      <c r="I2337" s="10">
        <f t="shared" si="36"/>
        <v>90</v>
      </c>
      <c r="K2337" s="10"/>
      <c r="L2337" s="5"/>
    </row>
    <row r="2338" spans="1:12" x14ac:dyDescent="0.25">
      <c r="A2338" s="5" t="s">
        <v>4022</v>
      </c>
      <c r="B2338" s="5" t="s">
        <v>4020</v>
      </c>
      <c r="C2338" s="5" t="s">
        <v>10</v>
      </c>
      <c r="D2338" s="21">
        <v>3</v>
      </c>
      <c r="E2338" s="12">
        <v>357</v>
      </c>
      <c r="F2338" s="10" t="str">
        <f>_xlfn.XLOOKUP(C2338,menu!A:A,menu!B:B)</f>
        <v>Chicken Sandwich</v>
      </c>
      <c r="G2338" s="10" t="str">
        <f>_xlfn.XLOOKUP(C2338,menu!A:A,menu!C:C)</f>
        <v>Sandwich</v>
      </c>
      <c r="H2338" s="10">
        <f>_xlfn.XLOOKUP(C2338,menu!A:A,menu!E:E)</f>
        <v>36</v>
      </c>
      <c r="I2338" s="10">
        <f t="shared" si="36"/>
        <v>108</v>
      </c>
      <c r="K2338" s="10"/>
      <c r="L2338" s="5"/>
    </row>
    <row r="2339" spans="1:12" x14ac:dyDescent="0.25">
      <c r="A2339" s="5" t="s">
        <v>4021</v>
      </c>
      <c r="B2339" s="5" t="s">
        <v>4020</v>
      </c>
      <c r="C2339" s="5" t="s">
        <v>33</v>
      </c>
      <c r="D2339" s="21">
        <v>1</v>
      </c>
      <c r="E2339" s="12">
        <v>69</v>
      </c>
      <c r="F2339" s="10" t="str">
        <f>_xlfn.XLOOKUP(C2339,menu!A:A,menu!B:B)</f>
        <v>Spring Roll</v>
      </c>
      <c r="G2339" s="10" t="str">
        <f>_xlfn.XLOOKUP(C2339,menu!A:A,menu!C:C)</f>
        <v>Rolls</v>
      </c>
      <c r="H2339" s="10">
        <f>_xlfn.XLOOKUP(C2339,menu!A:A,menu!E:E)</f>
        <v>21</v>
      </c>
      <c r="I2339" s="10">
        <f t="shared" si="36"/>
        <v>21</v>
      </c>
      <c r="K2339" s="10"/>
      <c r="L2339" s="5"/>
    </row>
    <row r="2340" spans="1:12" x14ac:dyDescent="0.25">
      <c r="A2340" s="5" t="s">
        <v>4019</v>
      </c>
      <c r="B2340" s="5" t="s">
        <v>4016</v>
      </c>
      <c r="C2340" s="5" t="s">
        <v>22</v>
      </c>
      <c r="D2340" s="21">
        <v>1</v>
      </c>
      <c r="E2340" s="12">
        <v>99</v>
      </c>
      <c r="F2340" s="10" t="str">
        <f>_xlfn.XLOOKUP(C2340,menu!A:A,menu!B:B)</f>
        <v>Chicken Burger</v>
      </c>
      <c r="G2340" s="10" t="str">
        <f>_xlfn.XLOOKUP(C2340,menu!A:A,menu!C:C)</f>
        <v>Burger</v>
      </c>
      <c r="H2340" s="10">
        <f>_xlfn.XLOOKUP(C2340,menu!A:A,menu!E:E)</f>
        <v>30</v>
      </c>
      <c r="I2340" s="10">
        <f t="shared" si="36"/>
        <v>30</v>
      </c>
      <c r="K2340" s="10"/>
      <c r="L2340" s="5"/>
    </row>
    <row r="2341" spans="1:12" x14ac:dyDescent="0.25">
      <c r="A2341" s="5" t="s">
        <v>4018</v>
      </c>
      <c r="B2341" s="5" t="s">
        <v>4016</v>
      </c>
      <c r="C2341" s="5" t="s">
        <v>50</v>
      </c>
      <c r="D2341" s="21">
        <v>1</v>
      </c>
      <c r="E2341" s="12">
        <v>149</v>
      </c>
      <c r="F2341" s="10" t="str">
        <f>_xlfn.XLOOKUP(C2341,menu!A:A,menu!B:B)</f>
        <v>Grab Lollipop</v>
      </c>
      <c r="G2341" s="10" t="str">
        <f>_xlfn.XLOOKUP(C2341,menu!A:A,menu!C:C)</f>
        <v>Starters</v>
      </c>
      <c r="H2341" s="10">
        <f>_xlfn.XLOOKUP(C2341,menu!A:A,menu!E:E)</f>
        <v>45</v>
      </c>
      <c r="I2341" s="10">
        <f t="shared" si="36"/>
        <v>45</v>
      </c>
      <c r="K2341" s="10"/>
      <c r="L2341" s="5"/>
    </row>
    <row r="2342" spans="1:12" x14ac:dyDescent="0.25">
      <c r="A2342" s="5" t="s">
        <v>4017</v>
      </c>
      <c r="B2342" s="5" t="s">
        <v>4016</v>
      </c>
      <c r="C2342" s="5" t="s">
        <v>65</v>
      </c>
      <c r="D2342" s="21">
        <v>2</v>
      </c>
      <c r="E2342" s="12">
        <v>98</v>
      </c>
      <c r="F2342" s="10" t="str">
        <f>_xlfn.XLOOKUP(C2342,menu!A:A,menu!B:B)</f>
        <v>Lemon Juice</v>
      </c>
      <c r="G2342" s="10" t="str">
        <f>_xlfn.XLOOKUP(C2342,menu!A:A,menu!C:C)</f>
        <v>Beverages</v>
      </c>
      <c r="H2342" s="10">
        <f>_xlfn.XLOOKUP(C2342,menu!A:A,menu!E:E)</f>
        <v>15</v>
      </c>
      <c r="I2342" s="10">
        <f t="shared" si="36"/>
        <v>30</v>
      </c>
      <c r="K2342" s="10"/>
      <c r="L2342" s="5"/>
    </row>
    <row r="2343" spans="1:12" x14ac:dyDescent="0.25">
      <c r="A2343" s="5" t="s">
        <v>4015</v>
      </c>
      <c r="B2343" s="5" t="s">
        <v>4013</v>
      </c>
      <c r="C2343" s="5" t="s">
        <v>19</v>
      </c>
      <c r="D2343" s="21">
        <v>3</v>
      </c>
      <c r="E2343" s="12">
        <v>237</v>
      </c>
      <c r="F2343" s="10" t="str">
        <f>_xlfn.XLOOKUP(C2343,menu!A:A,menu!B:B)</f>
        <v>Veg Burger</v>
      </c>
      <c r="G2343" s="10" t="str">
        <f>_xlfn.XLOOKUP(C2343,menu!A:A,menu!C:C)</f>
        <v>Burger</v>
      </c>
      <c r="H2343" s="10">
        <f>_xlfn.XLOOKUP(C2343,menu!A:A,menu!E:E)</f>
        <v>24</v>
      </c>
      <c r="I2343" s="10">
        <f t="shared" si="36"/>
        <v>72</v>
      </c>
      <c r="K2343" s="10"/>
      <c r="L2343" s="5"/>
    </row>
    <row r="2344" spans="1:12" x14ac:dyDescent="0.25">
      <c r="A2344" s="5" t="s">
        <v>4014</v>
      </c>
      <c r="B2344" s="5" t="s">
        <v>4013</v>
      </c>
      <c r="C2344" s="5" t="s">
        <v>5</v>
      </c>
      <c r="D2344" s="21">
        <v>1</v>
      </c>
      <c r="E2344" s="12">
        <v>79</v>
      </c>
      <c r="F2344" s="10" t="str">
        <f>_xlfn.XLOOKUP(C2344,menu!A:A,menu!B:B)</f>
        <v>Veg Sandwich</v>
      </c>
      <c r="G2344" s="10" t="str">
        <f>_xlfn.XLOOKUP(C2344,menu!A:A,menu!C:C)</f>
        <v>Sandwich</v>
      </c>
      <c r="H2344" s="10">
        <f>_xlfn.XLOOKUP(C2344,menu!A:A,menu!E:E)</f>
        <v>24</v>
      </c>
      <c r="I2344" s="10">
        <f t="shared" si="36"/>
        <v>24</v>
      </c>
      <c r="K2344" s="10"/>
      <c r="L2344" s="5"/>
    </row>
    <row r="2345" spans="1:12" x14ac:dyDescent="0.25">
      <c r="A2345" s="5" t="s">
        <v>4012</v>
      </c>
      <c r="B2345" s="5" t="s">
        <v>4010</v>
      </c>
      <c r="C2345" s="5" t="s">
        <v>17</v>
      </c>
      <c r="D2345" s="21">
        <v>2</v>
      </c>
      <c r="E2345" s="12">
        <v>178</v>
      </c>
      <c r="F2345" s="10" t="str">
        <f>_xlfn.XLOOKUP(C2345,menu!A:A,menu!B:B)</f>
        <v>Paneer Momos</v>
      </c>
      <c r="G2345" s="10" t="str">
        <f>_xlfn.XLOOKUP(C2345,menu!A:A,menu!C:C)</f>
        <v>Momos</v>
      </c>
      <c r="H2345" s="10">
        <f>_xlfn.XLOOKUP(C2345,menu!A:A,menu!E:E)</f>
        <v>27</v>
      </c>
      <c r="I2345" s="10">
        <f t="shared" si="36"/>
        <v>54</v>
      </c>
      <c r="K2345" s="10"/>
      <c r="L2345" s="5"/>
    </row>
    <row r="2346" spans="1:12" x14ac:dyDescent="0.25">
      <c r="A2346" s="5" t="s">
        <v>4011</v>
      </c>
      <c r="B2346" s="5" t="s">
        <v>4010</v>
      </c>
      <c r="C2346" s="5" t="s">
        <v>10</v>
      </c>
      <c r="D2346" s="21">
        <v>3</v>
      </c>
      <c r="E2346" s="12">
        <v>357</v>
      </c>
      <c r="F2346" s="10" t="str">
        <f>_xlfn.XLOOKUP(C2346,menu!A:A,menu!B:B)</f>
        <v>Chicken Sandwich</v>
      </c>
      <c r="G2346" s="10" t="str">
        <f>_xlfn.XLOOKUP(C2346,menu!A:A,menu!C:C)</f>
        <v>Sandwich</v>
      </c>
      <c r="H2346" s="10">
        <f>_xlfn.XLOOKUP(C2346,menu!A:A,menu!E:E)</f>
        <v>36</v>
      </c>
      <c r="I2346" s="10">
        <f t="shared" si="36"/>
        <v>108</v>
      </c>
      <c r="K2346" s="10"/>
      <c r="L2346" s="5"/>
    </row>
    <row r="2347" spans="1:12" x14ac:dyDescent="0.25">
      <c r="A2347" s="5" t="s">
        <v>4009</v>
      </c>
      <c r="B2347" s="5" t="s">
        <v>4006</v>
      </c>
      <c r="C2347" s="5" t="s">
        <v>10</v>
      </c>
      <c r="D2347" s="21">
        <v>1</v>
      </c>
      <c r="E2347" s="12">
        <v>119</v>
      </c>
      <c r="F2347" s="10" t="str">
        <f>_xlfn.XLOOKUP(C2347,menu!A:A,menu!B:B)</f>
        <v>Chicken Sandwich</v>
      </c>
      <c r="G2347" s="10" t="str">
        <f>_xlfn.XLOOKUP(C2347,menu!A:A,menu!C:C)</f>
        <v>Sandwich</v>
      </c>
      <c r="H2347" s="10">
        <f>_xlfn.XLOOKUP(C2347,menu!A:A,menu!E:E)</f>
        <v>36</v>
      </c>
      <c r="I2347" s="10">
        <f t="shared" si="36"/>
        <v>36</v>
      </c>
      <c r="K2347" s="10"/>
      <c r="L2347" s="5"/>
    </row>
    <row r="2348" spans="1:12" x14ac:dyDescent="0.25">
      <c r="A2348" s="5" t="s">
        <v>4008</v>
      </c>
      <c r="B2348" s="5" t="s">
        <v>4006</v>
      </c>
      <c r="C2348" s="5" t="s">
        <v>8</v>
      </c>
      <c r="D2348" s="21">
        <v>1</v>
      </c>
      <c r="E2348" s="12">
        <v>99</v>
      </c>
      <c r="F2348" s="10" t="str">
        <f>_xlfn.XLOOKUP(C2348,menu!A:A,menu!B:B)</f>
        <v>Paneer Sandwich</v>
      </c>
      <c r="G2348" s="10" t="str">
        <f>_xlfn.XLOOKUP(C2348,menu!A:A,menu!C:C)</f>
        <v>Sandwich</v>
      </c>
      <c r="H2348" s="10">
        <f>_xlfn.XLOOKUP(C2348,menu!A:A,menu!E:E)</f>
        <v>30</v>
      </c>
      <c r="I2348" s="10">
        <f t="shared" si="36"/>
        <v>30</v>
      </c>
      <c r="K2348" s="10"/>
      <c r="L2348" s="5"/>
    </row>
    <row r="2349" spans="1:12" x14ac:dyDescent="0.25">
      <c r="A2349" s="5" t="s">
        <v>4007</v>
      </c>
      <c r="B2349" s="5" t="s">
        <v>4006</v>
      </c>
      <c r="C2349" s="5" t="s">
        <v>48</v>
      </c>
      <c r="D2349" s="21">
        <v>2</v>
      </c>
      <c r="E2349" s="12">
        <v>318</v>
      </c>
      <c r="F2349" s="10" t="str">
        <f>_xlfn.XLOOKUP(C2349,menu!A:A,menu!B:B)</f>
        <v>Chicken Lollipop</v>
      </c>
      <c r="G2349" s="10" t="str">
        <f>_xlfn.XLOOKUP(C2349,menu!A:A,menu!C:C)</f>
        <v>Starters</v>
      </c>
      <c r="H2349" s="10">
        <f>_xlfn.XLOOKUP(C2349,menu!A:A,menu!E:E)</f>
        <v>48</v>
      </c>
      <c r="I2349" s="10">
        <f t="shared" si="36"/>
        <v>96</v>
      </c>
      <c r="K2349" s="10"/>
      <c r="L2349" s="5"/>
    </row>
    <row r="2350" spans="1:12" x14ac:dyDescent="0.25">
      <c r="A2350" s="5" t="s">
        <v>4005</v>
      </c>
      <c r="B2350" s="5" t="s">
        <v>4002</v>
      </c>
      <c r="C2350" s="5" t="s">
        <v>56</v>
      </c>
      <c r="D2350" s="21">
        <v>2</v>
      </c>
      <c r="E2350" s="12">
        <v>158</v>
      </c>
      <c r="F2350" s="10" t="str">
        <f>_xlfn.XLOOKUP(C2350,menu!A:A,menu!B:B)</f>
        <v>Mint Mojito</v>
      </c>
      <c r="G2350" s="10" t="str">
        <f>_xlfn.XLOOKUP(C2350,menu!A:A,menu!C:C)</f>
        <v>Beverages</v>
      </c>
      <c r="H2350" s="10">
        <f>_xlfn.XLOOKUP(C2350,menu!A:A,menu!E:E)</f>
        <v>24</v>
      </c>
      <c r="I2350" s="10">
        <f t="shared" si="36"/>
        <v>48</v>
      </c>
      <c r="K2350" s="10"/>
      <c r="L2350" s="5"/>
    </row>
    <row r="2351" spans="1:12" x14ac:dyDescent="0.25">
      <c r="A2351" s="5" t="s">
        <v>4004</v>
      </c>
      <c r="B2351" s="5" t="s">
        <v>4002</v>
      </c>
      <c r="C2351" s="5" t="s">
        <v>35</v>
      </c>
      <c r="D2351" s="21">
        <v>1</v>
      </c>
      <c r="E2351" s="12">
        <v>119</v>
      </c>
      <c r="F2351" s="10" t="str">
        <f>_xlfn.XLOOKUP(C2351,menu!A:A,menu!B:B)</f>
        <v>Chicken Nuggets</v>
      </c>
      <c r="G2351" s="10" t="str">
        <f>_xlfn.XLOOKUP(C2351,menu!A:A,menu!C:C)</f>
        <v>Starters</v>
      </c>
      <c r="H2351" s="10">
        <f>_xlfn.XLOOKUP(C2351,menu!A:A,menu!E:E)</f>
        <v>36</v>
      </c>
      <c r="I2351" s="10">
        <f t="shared" si="36"/>
        <v>36</v>
      </c>
      <c r="K2351" s="10"/>
      <c r="L2351" s="5"/>
    </row>
    <row r="2352" spans="1:12" x14ac:dyDescent="0.25">
      <c r="A2352" s="5" t="s">
        <v>4003</v>
      </c>
      <c r="B2352" s="5" t="s">
        <v>4002</v>
      </c>
      <c r="C2352" s="5" t="s">
        <v>22</v>
      </c>
      <c r="D2352" s="21">
        <v>1</v>
      </c>
      <c r="E2352" s="12">
        <v>99</v>
      </c>
      <c r="F2352" s="10" t="str">
        <f>_xlfn.XLOOKUP(C2352,menu!A:A,menu!B:B)</f>
        <v>Chicken Burger</v>
      </c>
      <c r="G2352" s="10" t="str">
        <f>_xlfn.XLOOKUP(C2352,menu!A:A,menu!C:C)</f>
        <v>Burger</v>
      </c>
      <c r="H2352" s="10">
        <f>_xlfn.XLOOKUP(C2352,menu!A:A,menu!E:E)</f>
        <v>30</v>
      </c>
      <c r="I2352" s="10">
        <f t="shared" si="36"/>
        <v>30</v>
      </c>
      <c r="K2352" s="10"/>
      <c r="L2352" s="5"/>
    </row>
    <row r="2353" spans="1:12" x14ac:dyDescent="0.25">
      <c r="A2353" s="5" t="s">
        <v>4001</v>
      </c>
      <c r="B2353" s="5" t="s">
        <v>3998</v>
      </c>
      <c r="C2353" s="5" t="s">
        <v>12</v>
      </c>
      <c r="D2353" s="21">
        <v>3</v>
      </c>
      <c r="E2353" s="12">
        <v>237</v>
      </c>
      <c r="F2353" s="10" t="str">
        <f>_xlfn.XLOOKUP(C2353,menu!A:A,menu!B:B)</f>
        <v>Veg Momos</v>
      </c>
      <c r="G2353" s="10" t="str">
        <f>_xlfn.XLOOKUP(C2353,menu!A:A,menu!C:C)</f>
        <v>Momos</v>
      </c>
      <c r="H2353" s="10">
        <f>_xlfn.XLOOKUP(C2353,menu!A:A,menu!E:E)</f>
        <v>24</v>
      </c>
      <c r="I2353" s="10">
        <f t="shared" si="36"/>
        <v>72</v>
      </c>
      <c r="K2353" s="10"/>
      <c r="L2353" s="5"/>
    </row>
    <row r="2354" spans="1:12" x14ac:dyDescent="0.25">
      <c r="A2354" s="5" t="s">
        <v>4000</v>
      </c>
      <c r="B2354" s="5" t="s">
        <v>3998</v>
      </c>
      <c r="C2354" s="5" t="s">
        <v>54</v>
      </c>
      <c r="D2354" s="21">
        <v>4</v>
      </c>
      <c r="E2354" s="12">
        <v>556</v>
      </c>
      <c r="F2354" s="10" t="str">
        <f>_xlfn.XLOOKUP(C2354,menu!A:A,menu!B:B)</f>
        <v>Chicken Strips</v>
      </c>
      <c r="G2354" s="10" t="str">
        <f>_xlfn.XLOOKUP(C2354,menu!A:A,menu!C:C)</f>
        <v>Starters</v>
      </c>
      <c r="H2354" s="10">
        <f>_xlfn.XLOOKUP(C2354,menu!A:A,menu!E:E)</f>
        <v>42</v>
      </c>
      <c r="I2354" s="10">
        <f t="shared" si="36"/>
        <v>168</v>
      </c>
      <c r="K2354" s="10"/>
      <c r="L2354" s="5"/>
    </row>
    <row r="2355" spans="1:12" x14ac:dyDescent="0.25">
      <c r="A2355" s="5" t="s">
        <v>3999</v>
      </c>
      <c r="B2355" s="5" t="s">
        <v>3998</v>
      </c>
      <c r="C2355" s="5" t="s">
        <v>48</v>
      </c>
      <c r="D2355" s="21">
        <v>4</v>
      </c>
      <c r="E2355" s="12">
        <v>636</v>
      </c>
      <c r="F2355" s="10" t="str">
        <f>_xlfn.XLOOKUP(C2355,menu!A:A,menu!B:B)</f>
        <v>Chicken Lollipop</v>
      </c>
      <c r="G2355" s="10" t="str">
        <f>_xlfn.XLOOKUP(C2355,menu!A:A,menu!C:C)</f>
        <v>Starters</v>
      </c>
      <c r="H2355" s="10">
        <f>_xlfn.XLOOKUP(C2355,menu!A:A,menu!E:E)</f>
        <v>48</v>
      </c>
      <c r="I2355" s="10">
        <f t="shared" si="36"/>
        <v>192</v>
      </c>
      <c r="K2355" s="10"/>
      <c r="L2355" s="5"/>
    </row>
    <row r="2356" spans="1:12" x14ac:dyDescent="0.25">
      <c r="A2356" s="5" t="s">
        <v>3997</v>
      </c>
      <c r="B2356" s="5" t="s">
        <v>3994</v>
      </c>
      <c r="C2356" s="5" t="s">
        <v>17</v>
      </c>
      <c r="D2356" s="21">
        <v>2</v>
      </c>
      <c r="E2356" s="12">
        <v>178</v>
      </c>
      <c r="F2356" s="10" t="str">
        <f>_xlfn.XLOOKUP(C2356,menu!A:A,menu!B:B)</f>
        <v>Paneer Momos</v>
      </c>
      <c r="G2356" s="10" t="str">
        <f>_xlfn.XLOOKUP(C2356,menu!A:A,menu!C:C)</f>
        <v>Momos</v>
      </c>
      <c r="H2356" s="10">
        <f>_xlfn.XLOOKUP(C2356,menu!A:A,menu!E:E)</f>
        <v>27</v>
      </c>
      <c r="I2356" s="10">
        <f t="shared" si="36"/>
        <v>54</v>
      </c>
      <c r="K2356" s="10"/>
      <c r="L2356" s="5"/>
    </row>
    <row r="2357" spans="1:12" x14ac:dyDescent="0.25">
      <c r="A2357" s="5" t="s">
        <v>3996</v>
      </c>
      <c r="B2357" s="5" t="s">
        <v>3994</v>
      </c>
      <c r="C2357" s="5" t="s">
        <v>63</v>
      </c>
      <c r="D2357" s="21">
        <v>1</v>
      </c>
      <c r="E2357" s="12">
        <v>79</v>
      </c>
      <c r="F2357" s="10" t="str">
        <f>_xlfn.XLOOKUP(C2357,menu!A:A,menu!B:B)</f>
        <v>Virgin Mojito</v>
      </c>
      <c r="G2357" s="10" t="str">
        <f>_xlfn.XLOOKUP(C2357,menu!A:A,menu!C:C)</f>
        <v>Beverages</v>
      </c>
      <c r="H2357" s="10">
        <f>_xlfn.XLOOKUP(C2357,menu!A:A,menu!E:E)</f>
        <v>24</v>
      </c>
      <c r="I2357" s="10">
        <f t="shared" si="36"/>
        <v>24</v>
      </c>
      <c r="K2357" s="10"/>
      <c r="L2357" s="5"/>
    </row>
    <row r="2358" spans="1:12" x14ac:dyDescent="0.25">
      <c r="A2358" s="5" t="s">
        <v>3995</v>
      </c>
      <c r="B2358" s="5" t="s">
        <v>3994</v>
      </c>
      <c r="C2358" s="5" t="s">
        <v>22</v>
      </c>
      <c r="D2358" s="21">
        <v>1</v>
      </c>
      <c r="E2358" s="12">
        <v>99</v>
      </c>
      <c r="F2358" s="10" t="str">
        <f>_xlfn.XLOOKUP(C2358,menu!A:A,menu!B:B)</f>
        <v>Chicken Burger</v>
      </c>
      <c r="G2358" s="10" t="str">
        <f>_xlfn.XLOOKUP(C2358,menu!A:A,menu!C:C)</f>
        <v>Burger</v>
      </c>
      <c r="H2358" s="10">
        <f>_xlfn.XLOOKUP(C2358,menu!A:A,menu!E:E)</f>
        <v>30</v>
      </c>
      <c r="I2358" s="10">
        <f t="shared" si="36"/>
        <v>30</v>
      </c>
      <c r="K2358" s="10"/>
      <c r="L2358" s="5"/>
    </row>
    <row r="2359" spans="1:12" x14ac:dyDescent="0.25">
      <c r="A2359" s="5" t="s">
        <v>3993</v>
      </c>
      <c r="B2359" s="5" t="s">
        <v>3990</v>
      </c>
      <c r="C2359" s="5" t="s">
        <v>5</v>
      </c>
      <c r="D2359" s="21">
        <v>4</v>
      </c>
      <c r="E2359" s="12">
        <v>316</v>
      </c>
      <c r="F2359" s="10" t="str">
        <f>_xlfn.XLOOKUP(C2359,menu!A:A,menu!B:B)</f>
        <v>Veg Sandwich</v>
      </c>
      <c r="G2359" s="10" t="str">
        <f>_xlfn.XLOOKUP(C2359,menu!A:A,menu!C:C)</f>
        <v>Sandwich</v>
      </c>
      <c r="H2359" s="10">
        <f>_xlfn.XLOOKUP(C2359,menu!A:A,menu!E:E)</f>
        <v>24</v>
      </c>
      <c r="I2359" s="10">
        <f t="shared" si="36"/>
        <v>96</v>
      </c>
      <c r="K2359" s="10"/>
      <c r="L2359" s="5"/>
    </row>
    <row r="2360" spans="1:12" x14ac:dyDescent="0.25">
      <c r="A2360" s="5" t="s">
        <v>3992</v>
      </c>
      <c r="B2360" s="5" t="s">
        <v>3990</v>
      </c>
      <c r="C2360" s="5" t="s">
        <v>10</v>
      </c>
      <c r="D2360" s="21">
        <v>1</v>
      </c>
      <c r="E2360" s="12">
        <v>119</v>
      </c>
      <c r="F2360" s="10" t="str">
        <f>_xlfn.XLOOKUP(C2360,menu!A:A,menu!B:B)</f>
        <v>Chicken Sandwich</v>
      </c>
      <c r="G2360" s="10" t="str">
        <f>_xlfn.XLOOKUP(C2360,menu!A:A,menu!C:C)</f>
        <v>Sandwich</v>
      </c>
      <c r="H2360" s="10">
        <f>_xlfn.XLOOKUP(C2360,menu!A:A,menu!E:E)</f>
        <v>36</v>
      </c>
      <c r="I2360" s="10">
        <f t="shared" si="36"/>
        <v>36</v>
      </c>
      <c r="K2360" s="10"/>
      <c r="L2360" s="5"/>
    </row>
    <row r="2361" spans="1:12" x14ac:dyDescent="0.25">
      <c r="A2361" s="5" t="s">
        <v>3991</v>
      </c>
      <c r="B2361" s="5" t="s">
        <v>3990</v>
      </c>
      <c r="C2361" s="5" t="s">
        <v>54</v>
      </c>
      <c r="D2361" s="21">
        <v>1</v>
      </c>
      <c r="E2361" s="12">
        <v>139</v>
      </c>
      <c r="F2361" s="10" t="str">
        <f>_xlfn.XLOOKUP(C2361,menu!A:A,menu!B:B)</f>
        <v>Chicken Strips</v>
      </c>
      <c r="G2361" s="10" t="str">
        <f>_xlfn.XLOOKUP(C2361,menu!A:A,menu!C:C)</f>
        <v>Starters</v>
      </c>
      <c r="H2361" s="10">
        <f>_xlfn.XLOOKUP(C2361,menu!A:A,menu!E:E)</f>
        <v>42</v>
      </c>
      <c r="I2361" s="10">
        <f t="shared" si="36"/>
        <v>42</v>
      </c>
      <c r="K2361" s="10"/>
      <c r="L2361" s="5"/>
    </row>
    <row r="2362" spans="1:12" x14ac:dyDescent="0.25">
      <c r="A2362" s="5" t="s">
        <v>3989</v>
      </c>
      <c r="B2362" s="5" t="s">
        <v>3987</v>
      </c>
      <c r="C2362" s="5" t="s">
        <v>40</v>
      </c>
      <c r="D2362" s="21">
        <v>1</v>
      </c>
      <c r="E2362" s="12">
        <v>99</v>
      </c>
      <c r="F2362" s="10" t="str">
        <f>_xlfn.XLOOKUP(C2362,menu!A:A,menu!B:B)</f>
        <v>Veg Nuggets</v>
      </c>
      <c r="G2362" s="10" t="str">
        <f>_xlfn.XLOOKUP(C2362,menu!A:A,menu!C:C)</f>
        <v>Starters</v>
      </c>
      <c r="H2362" s="10">
        <f>_xlfn.XLOOKUP(C2362,menu!A:A,menu!E:E)</f>
        <v>30</v>
      </c>
      <c r="I2362" s="10">
        <f t="shared" si="36"/>
        <v>30</v>
      </c>
      <c r="K2362" s="10"/>
      <c r="L2362" s="5"/>
    </row>
    <row r="2363" spans="1:12" x14ac:dyDescent="0.25">
      <c r="A2363" s="5" t="s">
        <v>3988</v>
      </c>
      <c r="B2363" s="5" t="s">
        <v>3987</v>
      </c>
      <c r="C2363" s="5" t="s">
        <v>65</v>
      </c>
      <c r="D2363" s="21">
        <v>1</v>
      </c>
      <c r="E2363" s="12">
        <v>49</v>
      </c>
      <c r="F2363" s="10" t="str">
        <f>_xlfn.XLOOKUP(C2363,menu!A:A,menu!B:B)</f>
        <v>Lemon Juice</v>
      </c>
      <c r="G2363" s="10" t="str">
        <f>_xlfn.XLOOKUP(C2363,menu!A:A,menu!C:C)</f>
        <v>Beverages</v>
      </c>
      <c r="H2363" s="10">
        <f>_xlfn.XLOOKUP(C2363,menu!A:A,menu!E:E)</f>
        <v>15</v>
      </c>
      <c r="I2363" s="10">
        <f t="shared" si="36"/>
        <v>15</v>
      </c>
      <c r="K2363" s="10"/>
      <c r="L2363" s="5"/>
    </row>
    <row r="2364" spans="1:12" x14ac:dyDescent="0.25">
      <c r="A2364" s="5" t="s">
        <v>3986</v>
      </c>
      <c r="B2364" s="5" t="s">
        <v>3984</v>
      </c>
      <c r="C2364" s="5" t="s">
        <v>15</v>
      </c>
      <c r="D2364" s="21">
        <v>2</v>
      </c>
      <c r="E2364" s="12">
        <v>198</v>
      </c>
      <c r="F2364" s="10" t="str">
        <f>_xlfn.XLOOKUP(C2364,menu!A:A,menu!B:B)</f>
        <v>Chicken Momos</v>
      </c>
      <c r="G2364" s="10" t="str">
        <f>_xlfn.XLOOKUP(C2364,menu!A:A,menu!C:C)</f>
        <v>Momos</v>
      </c>
      <c r="H2364" s="10">
        <f>_xlfn.XLOOKUP(C2364,menu!A:A,menu!E:E)</f>
        <v>30</v>
      </c>
      <c r="I2364" s="10">
        <f t="shared" si="36"/>
        <v>60</v>
      </c>
      <c r="K2364" s="10"/>
      <c r="L2364" s="5"/>
    </row>
    <row r="2365" spans="1:12" x14ac:dyDescent="0.25">
      <c r="A2365" s="5" t="s">
        <v>3985</v>
      </c>
      <c r="B2365" s="5" t="s">
        <v>3984</v>
      </c>
      <c r="C2365" s="5" t="s">
        <v>31</v>
      </c>
      <c r="D2365" s="21">
        <v>5</v>
      </c>
      <c r="E2365" s="12">
        <v>445</v>
      </c>
      <c r="F2365" s="10" t="str">
        <f>_xlfn.XLOOKUP(C2365,menu!A:A,menu!B:B)</f>
        <v>Chicken Roll</v>
      </c>
      <c r="G2365" s="10" t="str">
        <f>_xlfn.XLOOKUP(C2365,menu!A:A,menu!C:C)</f>
        <v>Rolls</v>
      </c>
      <c r="H2365" s="10">
        <f>_xlfn.XLOOKUP(C2365,menu!A:A,menu!E:E)</f>
        <v>27</v>
      </c>
      <c r="I2365" s="10">
        <f t="shared" si="36"/>
        <v>135</v>
      </c>
      <c r="K2365" s="10"/>
      <c r="L2365" s="5"/>
    </row>
    <row r="2366" spans="1:12" x14ac:dyDescent="0.25">
      <c r="A2366" s="5" t="s">
        <v>3983</v>
      </c>
      <c r="B2366" s="5" t="s">
        <v>3981</v>
      </c>
      <c r="C2366" s="5" t="s">
        <v>12</v>
      </c>
      <c r="D2366" s="21">
        <v>2</v>
      </c>
      <c r="E2366" s="12">
        <v>158</v>
      </c>
      <c r="F2366" s="10" t="str">
        <f>_xlfn.XLOOKUP(C2366,menu!A:A,menu!B:B)</f>
        <v>Veg Momos</v>
      </c>
      <c r="G2366" s="10" t="str">
        <f>_xlfn.XLOOKUP(C2366,menu!A:A,menu!C:C)</f>
        <v>Momos</v>
      </c>
      <c r="H2366" s="10">
        <f>_xlfn.XLOOKUP(C2366,menu!A:A,menu!E:E)</f>
        <v>24</v>
      </c>
      <c r="I2366" s="10">
        <f t="shared" si="36"/>
        <v>48</v>
      </c>
      <c r="K2366" s="10"/>
      <c r="L2366" s="5"/>
    </row>
    <row r="2367" spans="1:12" x14ac:dyDescent="0.25">
      <c r="A2367" s="5" t="s">
        <v>3982</v>
      </c>
      <c r="B2367" s="5" t="s">
        <v>3981</v>
      </c>
      <c r="C2367" s="5" t="s">
        <v>15</v>
      </c>
      <c r="D2367" s="21">
        <v>3</v>
      </c>
      <c r="E2367" s="12">
        <v>297</v>
      </c>
      <c r="F2367" s="10" t="str">
        <f>_xlfn.XLOOKUP(C2367,menu!A:A,menu!B:B)</f>
        <v>Chicken Momos</v>
      </c>
      <c r="G2367" s="10" t="str">
        <f>_xlfn.XLOOKUP(C2367,menu!A:A,menu!C:C)</f>
        <v>Momos</v>
      </c>
      <c r="H2367" s="10">
        <f>_xlfn.XLOOKUP(C2367,menu!A:A,menu!E:E)</f>
        <v>30</v>
      </c>
      <c r="I2367" s="10">
        <f t="shared" si="36"/>
        <v>90</v>
      </c>
      <c r="K2367" s="10"/>
      <c r="L2367" s="5"/>
    </row>
    <row r="2368" spans="1:12" x14ac:dyDescent="0.25">
      <c r="A2368" s="5" t="s">
        <v>3980</v>
      </c>
      <c r="B2368" s="5" t="s">
        <v>3979</v>
      </c>
      <c r="C2368" s="5" t="s">
        <v>17</v>
      </c>
      <c r="D2368" s="21">
        <v>2</v>
      </c>
      <c r="E2368" s="12">
        <v>178</v>
      </c>
      <c r="F2368" s="10" t="str">
        <f>_xlfn.XLOOKUP(C2368,menu!A:A,menu!B:B)</f>
        <v>Paneer Momos</v>
      </c>
      <c r="G2368" s="10" t="str">
        <f>_xlfn.XLOOKUP(C2368,menu!A:A,menu!C:C)</f>
        <v>Momos</v>
      </c>
      <c r="H2368" s="10">
        <f>_xlfn.XLOOKUP(C2368,menu!A:A,menu!E:E)</f>
        <v>27</v>
      </c>
      <c r="I2368" s="10">
        <f t="shared" si="36"/>
        <v>54</v>
      </c>
      <c r="K2368" s="10"/>
      <c r="L2368" s="5"/>
    </row>
    <row r="2369" spans="1:12" x14ac:dyDescent="0.25">
      <c r="A2369" s="5" t="s">
        <v>3978</v>
      </c>
      <c r="B2369" s="5" t="s">
        <v>3975</v>
      </c>
      <c r="C2369" s="5" t="s">
        <v>19</v>
      </c>
      <c r="D2369" s="21">
        <v>1</v>
      </c>
      <c r="E2369" s="12">
        <v>79</v>
      </c>
      <c r="F2369" s="10" t="str">
        <f>_xlfn.XLOOKUP(C2369,menu!A:A,menu!B:B)</f>
        <v>Veg Burger</v>
      </c>
      <c r="G2369" s="10" t="str">
        <f>_xlfn.XLOOKUP(C2369,menu!A:A,menu!C:C)</f>
        <v>Burger</v>
      </c>
      <c r="H2369" s="10">
        <f>_xlfn.XLOOKUP(C2369,menu!A:A,menu!E:E)</f>
        <v>24</v>
      </c>
      <c r="I2369" s="10">
        <f t="shared" si="36"/>
        <v>24</v>
      </c>
      <c r="K2369" s="10"/>
      <c r="L2369" s="5"/>
    </row>
    <row r="2370" spans="1:12" x14ac:dyDescent="0.25">
      <c r="A2370" s="5" t="s">
        <v>3977</v>
      </c>
      <c r="B2370" s="5" t="s">
        <v>3975</v>
      </c>
      <c r="C2370" s="5" t="s">
        <v>52</v>
      </c>
      <c r="D2370" s="21">
        <v>1</v>
      </c>
      <c r="E2370" s="12">
        <v>99</v>
      </c>
      <c r="F2370" s="10" t="str">
        <f>_xlfn.XLOOKUP(C2370,menu!A:A,menu!B:B)</f>
        <v>French Fries</v>
      </c>
      <c r="G2370" s="10" t="str">
        <f>_xlfn.XLOOKUP(C2370,menu!A:A,menu!C:C)</f>
        <v>Starters</v>
      </c>
      <c r="H2370" s="10">
        <f>_xlfn.XLOOKUP(C2370,menu!A:A,menu!E:E)</f>
        <v>30</v>
      </c>
      <c r="I2370" s="10">
        <f t="shared" si="36"/>
        <v>30</v>
      </c>
      <c r="K2370" s="10"/>
      <c r="L2370" s="5"/>
    </row>
    <row r="2371" spans="1:12" x14ac:dyDescent="0.25">
      <c r="A2371" s="5" t="s">
        <v>3976</v>
      </c>
      <c r="B2371" s="5" t="s">
        <v>3975</v>
      </c>
      <c r="C2371" s="5" t="s">
        <v>54</v>
      </c>
      <c r="D2371" s="21">
        <v>2</v>
      </c>
      <c r="E2371" s="12">
        <v>278</v>
      </c>
      <c r="F2371" s="10" t="str">
        <f>_xlfn.XLOOKUP(C2371,menu!A:A,menu!B:B)</f>
        <v>Chicken Strips</v>
      </c>
      <c r="G2371" s="10" t="str">
        <f>_xlfn.XLOOKUP(C2371,menu!A:A,menu!C:C)</f>
        <v>Starters</v>
      </c>
      <c r="H2371" s="10">
        <f>_xlfn.XLOOKUP(C2371,menu!A:A,menu!E:E)</f>
        <v>42</v>
      </c>
      <c r="I2371" s="10">
        <f t="shared" ref="I2371:I2434" si="37">D2371*H2371</f>
        <v>84</v>
      </c>
      <c r="K2371" s="10"/>
      <c r="L2371" s="5"/>
    </row>
    <row r="2372" spans="1:12" x14ac:dyDescent="0.25">
      <c r="A2372" s="5" t="s">
        <v>3974</v>
      </c>
      <c r="B2372" s="5" t="s">
        <v>3971</v>
      </c>
      <c r="C2372" s="5" t="s">
        <v>42</v>
      </c>
      <c r="D2372" s="21">
        <v>2</v>
      </c>
      <c r="E2372" s="12">
        <v>298</v>
      </c>
      <c r="F2372" s="10" t="str">
        <f>_xlfn.XLOOKUP(C2372,menu!A:A,menu!B:B)</f>
        <v>Chicken Popcorn</v>
      </c>
      <c r="G2372" s="10" t="str">
        <f>_xlfn.XLOOKUP(C2372,menu!A:A,menu!C:C)</f>
        <v>Starters</v>
      </c>
      <c r="H2372" s="10">
        <f>_xlfn.XLOOKUP(C2372,menu!A:A,menu!E:E)</f>
        <v>45</v>
      </c>
      <c r="I2372" s="10">
        <f t="shared" si="37"/>
        <v>90</v>
      </c>
      <c r="K2372" s="10"/>
      <c r="L2372" s="5"/>
    </row>
    <row r="2373" spans="1:12" x14ac:dyDescent="0.25">
      <c r="A2373" s="5" t="s">
        <v>3973</v>
      </c>
      <c r="B2373" s="5" t="s">
        <v>3971</v>
      </c>
      <c r="C2373" s="5" t="s">
        <v>33</v>
      </c>
      <c r="D2373" s="21">
        <v>5</v>
      </c>
      <c r="E2373" s="12">
        <v>345</v>
      </c>
      <c r="F2373" s="10" t="str">
        <f>_xlfn.XLOOKUP(C2373,menu!A:A,menu!B:B)</f>
        <v>Spring Roll</v>
      </c>
      <c r="G2373" s="10" t="str">
        <f>_xlfn.XLOOKUP(C2373,menu!A:A,menu!C:C)</f>
        <v>Rolls</v>
      </c>
      <c r="H2373" s="10">
        <f>_xlfn.XLOOKUP(C2373,menu!A:A,menu!E:E)</f>
        <v>21</v>
      </c>
      <c r="I2373" s="10">
        <f t="shared" si="37"/>
        <v>105</v>
      </c>
      <c r="K2373" s="10"/>
      <c r="L2373" s="5"/>
    </row>
    <row r="2374" spans="1:12" x14ac:dyDescent="0.25">
      <c r="A2374" s="5" t="s">
        <v>3972</v>
      </c>
      <c r="B2374" s="5" t="s">
        <v>3971</v>
      </c>
      <c r="C2374" s="5" t="s">
        <v>48</v>
      </c>
      <c r="D2374" s="21">
        <v>2</v>
      </c>
      <c r="E2374" s="12">
        <v>318</v>
      </c>
      <c r="F2374" s="10" t="str">
        <f>_xlfn.XLOOKUP(C2374,menu!A:A,menu!B:B)</f>
        <v>Chicken Lollipop</v>
      </c>
      <c r="G2374" s="10" t="str">
        <f>_xlfn.XLOOKUP(C2374,menu!A:A,menu!C:C)</f>
        <v>Starters</v>
      </c>
      <c r="H2374" s="10">
        <f>_xlfn.XLOOKUP(C2374,menu!A:A,menu!E:E)</f>
        <v>48</v>
      </c>
      <c r="I2374" s="10">
        <f t="shared" si="37"/>
        <v>96</v>
      </c>
      <c r="K2374" s="10"/>
      <c r="L2374" s="5"/>
    </row>
    <row r="2375" spans="1:12" x14ac:dyDescent="0.25">
      <c r="A2375" s="5" t="s">
        <v>3970</v>
      </c>
      <c r="B2375" s="5" t="s">
        <v>3968</v>
      </c>
      <c r="C2375" s="5" t="s">
        <v>5</v>
      </c>
      <c r="D2375" s="21">
        <v>1</v>
      </c>
      <c r="E2375" s="12">
        <v>79</v>
      </c>
      <c r="F2375" s="10" t="str">
        <f>_xlfn.XLOOKUP(C2375,menu!A:A,menu!B:B)</f>
        <v>Veg Sandwich</v>
      </c>
      <c r="G2375" s="10" t="str">
        <f>_xlfn.XLOOKUP(C2375,menu!A:A,menu!C:C)</f>
        <v>Sandwich</v>
      </c>
      <c r="H2375" s="10">
        <f>_xlfn.XLOOKUP(C2375,menu!A:A,menu!E:E)</f>
        <v>24</v>
      </c>
      <c r="I2375" s="10">
        <f t="shared" si="37"/>
        <v>24</v>
      </c>
      <c r="K2375" s="10"/>
      <c r="L2375" s="5"/>
    </row>
    <row r="2376" spans="1:12" x14ac:dyDescent="0.25">
      <c r="A2376" s="5" t="s">
        <v>3969</v>
      </c>
      <c r="B2376" s="5" t="s">
        <v>3968</v>
      </c>
      <c r="C2376" s="5" t="s">
        <v>40</v>
      </c>
      <c r="D2376" s="21">
        <v>3</v>
      </c>
      <c r="E2376" s="12">
        <v>297</v>
      </c>
      <c r="F2376" s="10" t="str">
        <f>_xlfn.XLOOKUP(C2376,menu!A:A,menu!B:B)</f>
        <v>Veg Nuggets</v>
      </c>
      <c r="G2376" s="10" t="str">
        <f>_xlfn.XLOOKUP(C2376,menu!A:A,menu!C:C)</f>
        <v>Starters</v>
      </c>
      <c r="H2376" s="10">
        <f>_xlfn.XLOOKUP(C2376,menu!A:A,menu!E:E)</f>
        <v>30</v>
      </c>
      <c r="I2376" s="10">
        <f t="shared" si="37"/>
        <v>90</v>
      </c>
      <c r="K2376" s="10"/>
      <c r="L2376" s="5"/>
    </row>
    <row r="2377" spans="1:12" x14ac:dyDescent="0.25">
      <c r="A2377" s="5" t="s">
        <v>3967</v>
      </c>
      <c r="B2377" s="5" t="s">
        <v>3964</v>
      </c>
      <c r="C2377" s="5" t="s">
        <v>40</v>
      </c>
      <c r="D2377" s="21">
        <v>1</v>
      </c>
      <c r="E2377" s="12">
        <v>99</v>
      </c>
      <c r="F2377" s="10" t="str">
        <f>_xlfn.XLOOKUP(C2377,menu!A:A,menu!B:B)</f>
        <v>Veg Nuggets</v>
      </c>
      <c r="G2377" s="10" t="str">
        <f>_xlfn.XLOOKUP(C2377,menu!A:A,menu!C:C)</f>
        <v>Starters</v>
      </c>
      <c r="H2377" s="10">
        <f>_xlfn.XLOOKUP(C2377,menu!A:A,menu!E:E)</f>
        <v>30</v>
      </c>
      <c r="I2377" s="10">
        <f t="shared" si="37"/>
        <v>30</v>
      </c>
      <c r="K2377" s="10"/>
      <c r="L2377" s="5"/>
    </row>
    <row r="2378" spans="1:12" x14ac:dyDescent="0.25">
      <c r="A2378" s="5" t="s">
        <v>3966</v>
      </c>
      <c r="B2378" s="5" t="s">
        <v>3964</v>
      </c>
      <c r="C2378" s="5" t="s">
        <v>35</v>
      </c>
      <c r="D2378" s="21">
        <v>2</v>
      </c>
      <c r="E2378" s="12">
        <v>238</v>
      </c>
      <c r="F2378" s="10" t="str">
        <f>_xlfn.XLOOKUP(C2378,menu!A:A,menu!B:B)</f>
        <v>Chicken Nuggets</v>
      </c>
      <c r="G2378" s="10" t="str">
        <f>_xlfn.XLOOKUP(C2378,menu!A:A,menu!C:C)</f>
        <v>Starters</v>
      </c>
      <c r="H2378" s="10">
        <f>_xlfn.XLOOKUP(C2378,menu!A:A,menu!E:E)</f>
        <v>36</v>
      </c>
      <c r="I2378" s="10">
        <f t="shared" si="37"/>
        <v>72</v>
      </c>
      <c r="K2378" s="10"/>
      <c r="L2378" s="5"/>
    </row>
    <row r="2379" spans="1:12" x14ac:dyDescent="0.25">
      <c r="A2379" s="5" t="s">
        <v>3965</v>
      </c>
      <c r="B2379" s="5" t="s">
        <v>3964</v>
      </c>
      <c r="C2379" s="5" t="s">
        <v>12</v>
      </c>
      <c r="D2379" s="21">
        <v>3</v>
      </c>
      <c r="E2379" s="12">
        <v>237</v>
      </c>
      <c r="F2379" s="10" t="str">
        <f>_xlfn.XLOOKUP(C2379,menu!A:A,menu!B:B)</f>
        <v>Veg Momos</v>
      </c>
      <c r="G2379" s="10" t="str">
        <f>_xlfn.XLOOKUP(C2379,menu!A:A,menu!C:C)</f>
        <v>Momos</v>
      </c>
      <c r="H2379" s="10">
        <f>_xlfn.XLOOKUP(C2379,menu!A:A,menu!E:E)</f>
        <v>24</v>
      </c>
      <c r="I2379" s="10">
        <f t="shared" si="37"/>
        <v>72</v>
      </c>
      <c r="K2379" s="10"/>
      <c r="L2379" s="5"/>
    </row>
    <row r="2380" spans="1:12" x14ac:dyDescent="0.25">
      <c r="A2380" s="5" t="s">
        <v>3963</v>
      </c>
      <c r="B2380" s="5" t="s">
        <v>3960</v>
      </c>
      <c r="C2380" s="5" t="s">
        <v>40</v>
      </c>
      <c r="D2380" s="21">
        <v>2</v>
      </c>
      <c r="E2380" s="12">
        <v>198</v>
      </c>
      <c r="F2380" s="10" t="str">
        <f>_xlfn.XLOOKUP(C2380,menu!A:A,menu!B:B)</f>
        <v>Veg Nuggets</v>
      </c>
      <c r="G2380" s="10" t="str">
        <f>_xlfn.XLOOKUP(C2380,menu!A:A,menu!C:C)</f>
        <v>Starters</v>
      </c>
      <c r="H2380" s="10">
        <f>_xlfn.XLOOKUP(C2380,menu!A:A,menu!E:E)</f>
        <v>30</v>
      </c>
      <c r="I2380" s="10">
        <f t="shared" si="37"/>
        <v>60</v>
      </c>
      <c r="K2380" s="10"/>
      <c r="L2380" s="5"/>
    </row>
    <row r="2381" spans="1:12" x14ac:dyDescent="0.25">
      <c r="A2381" s="5" t="s">
        <v>3962</v>
      </c>
      <c r="B2381" s="5" t="s">
        <v>3960</v>
      </c>
      <c r="C2381" s="5" t="s">
        <v>19</v>
      </c>
      <c r="D2381" s="21">
        <v>2</v>
      </c>
      <c r="E2381" s="12">
        <v>158</v>
      </c>
      <c r="F2381" s="10" t="str">
        <f>_xlfn.XLOOKUP(C2381,menu!A:A,menu!B:B)</f>
        <v>Veg Burger</v>
      </c>
      <c r="G2381" s="10" t="str">
        <f>_xlfn.XLOOKUP(C2381,menu!A:A,menu!C:C)</f>
        <v>Burger</v>
      </c>
      <c r="H2381" s="10">
        <f>_xlfn.XLOOKUP(C2381,menu!A:A,menu!E:E)</f>
        <v>24</v>
      </c>
      <c r="I2381" s="10">
        <f t="shared" si="37"/>
        <v>48</v>
      </c>
      <c r="K2381" s="10"/>
      <c r="L2381" s="5"/>
    </row>
    <row r="2382" spans="1:12" x14ac:dyDescent="0.25">
      <c r="A2382" s="5" t="s">
        <v>3961</v>
      </c>
      <c r="B2382" s="5" t="s">
        <v>3960</v>
      </c>
      <c r="C2382" s="5" t="s">
        <v>46</v>
      </c>
      <c r="D2382" s="21">
        <v>3</v>
      </c>
      <c r="E2382" s="12">
        <v>447</v>
      </c>
      <c r="F2382" s="10" t="str">
        <f>_xlfn.XLOOKUP(C2382,menu!A:A,menu!B:B)</f>
        <v>Fish Finger</v>
      </c>
      <c r="G2382" s="10" t="str">
        <f>_xlfn.XLOOKUP(C2382,menu!A:A,menu!C:C)</f>
        <v>Starters</v>
      </c>
      <c r="H2382" s="10">
        <f>_xlfn.XLOOKUP(C2382,menu!A:A,menu!E:E)</f>
        <v>45</v>
      </c>
      <c r="I2382" s="10">
        <f t="shared" si="37"/>
        <v>135</v>
      </c>
      <c r="K2382" s="10"/>
      <c r="L2382" s="5"/>
    </row>
    <row r="2383" spans="1:12" x14ac:dyDescent="0.25">
      <c r="A2383" s="5" t="s">
        <v>3959</v>
      </c>
      <c r="B2383" s="5" t="s">
        <v>3958</v>
      </c>
      <c r="C2383" s="5" t="s">
        <v>48</v>
      </c>
      <c r="D2383" s="21">
        <v>1</v>
      </c>
      <c r="E2383" s="12">
        <v>159</v>
      </c>
      <c r="F2383" s="10" t="str">
        <f>_xlfn.XLOOKUP(C2383,menu!A:A,menu!B:B)</f>
        <v>Chicken Lollipop</v>
      </c>
      <c r="G2383" s="10" t="str">
        <f>_xlfn.XLOOKUP(C2383,menu!A:A,menu!C:C)</f>
        <v>Starters</v>
      </c>
      <c r="H2383" s="10">
        <f>_xlfn.XLOOKUP(C2383,menu!A:A,menu!E:E)</f>
        <v>48</v>
      </c>
      <c r="I2383" s="10">
        <f t="shared" si="37"/>
        <v>48</v>
      </c>
      <c r="K2383" s="10"/>
      <c r="L2383" s="5"/>
    </row>
    <row r="2384" spans="1:12" x14ac:dyDescent="0.25">
      <c r="A2384" s="5" t="s">
        <v>3957</v>
      </c>
      <c r="B2384" s="5" t="s">
        <v>3954</v>
      </c>
      <c r="C2384" s="5" t="s">
        <v>35</v>
      </c>
      <c r="D2384" s="21">
        <v>2</v>
      </c>
      <c r="E2384" s="12">
        <v>238</v>
      </c>
      <c r="F2384" s="10" t="str">
        <f>_xlfn.XLOOKUP(C2384,menu!A:A,menu!B:B)</f>
        <v>Chicken Nuggets</v>
      </c>
      <c r="G2384" s="10" t="str">
        <f>_xlfn.XLOOKUP(C2384,menu!A:A,menu!C:C)</f>
        <v>Starters</v>
      </c>
      <c r="H2384" s="10">
        <f>_xlfn.XLOOKUP(C2384,menu!A:A,menu!E:E)</f>
        <v>36</v>
      </c>
      <c r="I2384" s="10">
        <f t="shared" si="37"/>
        <v>72</v>
      </c>
      <c r="K2384" s="10"/>
      <c r="L2384" s="5"/>
    </row>
    <row r="2385" spans="1:12" x14ac:dyDescent="0.25">
      <c r="A2385" s="5" t="s">
        <v>3956</v>
      </c>
      <c r="B2385" s="5" t="s">
        <v>3954</v>
      </c>
      <c r="C2385" s="5" t="s">
        <v>44</v>
      </c>
      <c r="D2385" s="21">
        <v>2</v>
      </c>
      <c r="E2385" s="12">
        <v>318</v>
      </c>
      <c r="F2385" s="10" t="str">
        <f>_xlfn.XLOOKUP(C2385,menu!A:A,menu!B:B)</f>
        <v>Fried Chicken</v>
      </c>
      <c r="G2385" s="10" t="str">
        <f>_xlfn.XLOOKUP(C2385,menu!A:A,menu!C:C)</f>
        <v>Starters</v>
      </c>
      <c r="H2385" s="10">
        <f>_xlfn.XLOOKUP(C2385,menu!A:A,menu!E:E)</f>
        <v>48</v>
      </c>
      <c r="I2385" s="10">
        <f t="shared" si="37"/>
        <v>96</v>
      </c>
      <c r="K2385" s="10"/>
      <c r="L2385" s="5"/>
    </row>
    <row r="2386" spans="1:12" x14ac:dyDescent="0.25">
      <c r="A2386" s="5" t="s">
        <v>3955</v>
      </c>
      <c r="B2386" s="5" t="s">
        <v>3954</v>
      </c>
      <c r="C2386" s="5" t="s">
        <v>24</v>
      </c>
      <c r="D2386" s="21">
        <v>3</v>
      </c>
      <c r="E2386" s="12">
        <v>267</v>
      </c>
      <c r="F2386" s="10" t="str">
        <f>_xlfn.XLOOKUP(C2386,menu!A:A,menu!B:B)</f>
        <v>Paneer Burger</v>
      </c>
      <c r="G2386" s="10" t="str">
        <f>_xlfn.XLOOKUP(C2386,menu!A:A,menu!C:C)</f>
        <v>Burger</v>
      </c>
      <c r="H2386" s="10">
        <f>_xlfn.XLOOKUP(C2386,menu!A:A,menu!E:E)</f>
        <v>27</v>
      </c>
      <c r="I2386" s="10">
        <f t="shared" si="37"/>
        <v>81</v>
      </c>
      <c r="K2386" s="10"/>
      <c r="L2386" s="5"/>
    </row>
    <row r="2387" spans="1:12" x14ac:dyDescent="0.25">
      <c r="A2387" s="5" t="s">
        <v>3953</v>
      </c>
      <c r="B2387" s="5" t="s">
        <v>3951</v>
      </c>
      <c r="C2387" s="5" t="s">
        <v>17</v>
      </c>
      <c r="D2387" s="21">
        <v>2</v>
      </c>
      <c r="E2387" s="12">
        <v>178</v>
      </c>
      <c r="F2387" s="10" t="str">
        <f>_xlfn.XLOOKUP(C2387,menu!A:A,menu!B:B)</f>
        <v>Paneer Momos</v>
      </c>
      <c r="G2387" s="10" t="str">
        <f>_xlfn.XLOOKUP(C2387,menu!A:A,menu!C:C)</f>
        <v>Momos</v>
      </c>
      <c r="H2387" s="10">
        <f>_xlfn.XLOOKUP(C2387,menu!A:A,menu!E:E)</f>
        <v>27</v>
      </c>
      <c r="I2387" s="10">
        <f t="shared" si="37"/>
        <v>54</v>
      </c>
      <c r="K2387" s="10"/>
      <c r="L2387" s="5"/>
    </row>
    <row r="2388" spans="1:12" x14ac:dyDescent="0.25">
      <c r="A2388" s="5" t="s">
        <v>3952</v>
      </c>
      <c r="B2388" s="5" t="s">
        <v>3951</v>
      </c>
      <c r="C2388" s="5" t="s">
        <v>50</v>
      </c>
      <c r="D2388" s="21">
        <v>1</v>
      </c>
      <c r="E2388" s="12">
        <v>149</v>
      </c>
      <c r="F2388" s="10" t="str">
        <f>_xlfn.XLOOKUP(C2388,menu!A:A,menu!B:B)</f>
        <v>Grab Lollipop</v>
      </c>
      <c r="G2388" s="10" t="str">
        <f>_xlfn.XLOOKUP(C2388,menu!A:A,menu!C:C)</f>
        <v>Starters</v>
      </c>
      <c r="H2388" s="10">
        <f>_xlfn.XLOOKUP(C2388,menu!A:A,menu!E:E)</f>
        <v>45</v>
      </c>
      <c r="I2388" s="10">
        <f t="shared" si="37"/>
        <v>45</v>
      </c>
      <c r="K2388" s="10"/>
      <c r="L2388" s="5"/>
    </row>
    <row r="2389" spans="1:12" x14ac:dyDescent="0.25">
      <c r="A2389" s="5" t="s">
        <v>3950</v>
      </c>
      <c r="B2389" s="5" t="s">
        <v>3947</v>
      </c>
      <c r="C2389" s="5" t="s">
        <v>40</v>
      </c>
      <c r="D2389" s="21">
        <v>2</v>
      </c>
      <c r="E2389" s="12">
        <v>198</v>
      </c>
      <c r="F2389" s="10" t="str">
        <f>_xlfn.XLOOKUP(C2389,menu!A:A,menu!B:B)</f>
        <v>Veg Nuggets</v>
      </c>
      <c r="G2389" s="10" t="str">
        <f>_xlfn.XLOOKUP(C2389,menu!A:A,menu!C:C)</f>
        <v>Starters</v>
      </c>
      <c r="H2389" s="10">
        <f>_xlfn.XLOOKUP(C2389,menu!A:A,menu!E:E)</f>
        <v>30</v>
      </c>
      <c r="I2389" s="10">
        <f t="shared" si="37"/>
        <v>60</v>
      </c>
      <c r="K2389" s="10"/>
      <c r="L2389" s="5"/>
    </row>
    <row r="2390" spans="1:12" x14ac:dyDescent="0.25">
      <c r="A2390" s="5" t="s">
        <v>3949</v>
      </c>
      <c r="B2390" s="5" t="s">
        <v>3947</v>
      </c>
      <c r="C2390" s="5" t="s">
        <v>54</v>
      </c>
      <c r="D2390" s="21">
        <v>1</v>
      </c>
      <c r="E2390" s="12">
        <v>139</v>
      </c>
      <c r="F2390" s="10" t="str">
        <f>_xlfn.XLOOKUP(C2390,menu!A:A,menu!B:B)</f>
        <v>Chicken Strips</v>
      </c>
      <c r="G2390" s="10" t="str">
        <f>_xlfn.XLOOKUP(C2390,menu!A:A,menu!C:C)</f>
        <v>Starters</v>
      </c>
      <c r="H2390" s="10">
        <f>_xlfn.XLOOKUP(C2390,menu!A:A,menu!E:E)</f>
        <v>42</v>
      </c>
      <c r="I2390" s="10">
        <f t="shared" si="37"/>
        <v>42</v>
      </c>
      <c r="K2390" s="10"/>
      <c r="L2390" s="5"/>
    </row>
    <row r="2391" spans="1:12" x14ac:dyDescent="0.25">
      <c r="A2391" s="5" t="s">
        <v>3948</v>
      </c>
      <c r="B2391" s="5" t="s">
        <v>3947</v>
      </c>
      <c r="C2391" s="5" t="s">
        <v>38</v>
      </c>
      <c r="D2391" s="21">
        <v>2</v>
      </c>
      <c r="E2391" s="12">
        <v>298</v>
      </c>
      <c r="F2391" s="10" t="str">
        <f>_xlfn.XLOOKUP(C2391,menu!A:A,menu!B:B)</f>
        <v>Chicken Wings</v>
      </c>
      <c r="G2391" s="10" t="str">
        <f>_xlfn.XLOOKUP(C2391,menu!A:A,menu!C:C)</f>
        <v>Starters</v>
      </c>
      <c r="H2391" s="10">
        <f>_xlfn.XLOOKUP(C2391,menu!A:A,menu!E:E)</f>
        <v>45</v>
      </c>
      <c r="I2391" s="10">
        <f t="shared" si="37"/>
        <v>90</v>
      </c>
      <c r="K2391" s="10"/>
      <c r="L2391" s="5"/>
    </row>
    <row r="2392" spans="1:12" x14ac:dyDescent="0.25">
      <c r="A2392" s="5" t="s">
        <v>3946</v>
      </c>
      <c r="B2392" s="5" t="s">
        <v>3944</v>
      </c>
      <c r="C2392" s="5" t="s">
        <v>40</v>
      </c>
      <c r="D2392" s="21">
        <v>1</v>
      </c>
      <c r="E2392" s="12">
        <v>99</v>
      </c>
      <c r="F2392" s="10" t="str">
        <f>_xlfn.XLOOKUP(C2392,menu!A:A,menu!B:B)</f>
        <v>Veg Nuggets</v>
      </c>
      <c r="G2392" s="10" t="str">
        <f>_xlfn.XLOOKUP(C2392,menu!A:A,menu!C:C)</f>
        <v>Starters</v>
      </c>
      <c r="H2392" s="10">
        <f>_xlfn.XLOOKUP(C2392,menu!A:A,menu!E:E)</f>
        <v>30</v>
      </c>
      <c r="I2392" s="10">
        <f t="shared" si="37"/>
        <v>30</v>
      </c>
      <c r="K2392" s="10"/>
      <c r="L2392" s="5"/>
    </row>
    <row r="2393" spans="1:12" x14ac:dyDescent="0.25">
      <c r="A2393" s="5" t="s">
        <v>3945</v>
      </c>
      <c r="B2393" s="5" t="s">
        <v>3944</v>
      </c>
      <c r="C2393" s="5" t="s">
        <v>31</v>
      </c>
      <c r="D2393" s="21">
        <v>2</v>
      </c>
      <c r="E2393" s="12">
        <v>178</v>
      </c>
      <c r="F2393" s="10" t="str">
        <f>_xlfn.XLOOKUP(C2393,menu!A:A,menu!B:B)</f>
        <v>Chicken Roll</v>
      </c>
      <c r="G2393" s="10" t="str">
        <f>_xlfn.XLOOKUP(C2393,menu!A:A,menu!C:C)</f>
        <v>Rolls</v>
      </c>
      <c r="H2393" s="10">
        <f>_xlfn.XLOOKUP(C2393,menu!A:A,menu!E:E)</f>
        <v>27</v>
      </c>
      <c r="I2393" s="10">
        <f t="shared" si="37"/>
        <v>54</v>
      </c>
      <c r="K2393" s="10"/>
      <c r="L2393" s="5"/>
    </row>
    <row r="2394" spans="1:12" x14ac:dyDescent="0.25">
      <c r="A2394" s="5" t="s">
        <v>3943</v>
      </c>
      <c r="B2394" s="5" t="s">
        <v>3940</v>
      </c>
      <c r="C2394" s="5" t="s">
        <v>35</v>
      </c>
      <c r="D2394" s="21">
        <v>2</v>
      </c>
      <c r="E2394" s="12">
        <v>238</v>
      </c>
      <c r="F2394" s="10" t="str">
        <f>_xlfn.XLOOKUP(C2394,menu!A:A,menu!B:B)</f>
        <v>Chicken Nuggets</v>
      </c>
      <c r="G2394" s="10" t="str">
        <f>_xlfn.XLOOKUP(C2394,menu!A:A,menu!C:C)</f>
        <v>Starters</v>
      </c>
      <c r="H2394" s="10">
        <f>_xlfn.XLOOKUP(C2394,menu!A:A,menu!E:E)</f>
        <v>36</v>
      </c>
      <c r="I2394" s="10">
        <f t="shared" si="37"/>
        <v>72</v>
      </c>
      <c r="K2394" s="10"/>
      <c r="L2394" s="5"/>
    </row>
    <row r="2395" spans="1:12" x14ac:dyDescent="0.25">
      <c r="A2395" s="5" t="s">
        <v>3942</v>
      </c>
      <c r="B2395" s="5" t="s">
        <v>3940</v>
      </c>
      <c r="C2395" s="5" t="s">
        <v>8</v>
      </c>
      <c r="D2395" s="21">
        <v>1</v>
      </c>
      <c r="E2395" s="12">
        <v>99</v>
      </c>
      <c r="F2395" s="10" t="str">
        <f>_xlfn.XLOOKUP(C2395,menu!A:A,menu!B:B)</f>
        <v>Paneer Sandwich</v>
      </c>
      <c r="G2395" s="10" t="str">
        <f>_xlfn.XLOOKUP(C2395,menu!A:A,menu!C:C)</f>
        <v>Sandwich</v>
      </c>
      <c r="H2395" s="10">
        <f>_xlfn.XLOOKUP(C2395,menu!A:A,menu!E:E)</f>
        <v>30</v>
      </c>
      <c r="I2395" s="10">
        <f t="shared" si="37"/>
        <v>30</v>
      </c>
      <c r="K2395" s="10"/>
      <c r="L2395" s="5"/>
    </row>
    <row r="2396" spans="1:12" x14ac:dyDescent="0.25">
      <c r="A2396" s="5" t="s">
        <v>3941</v>
      </c>
      <c r="B2396" s="5" t="s">
        <v>3940</v>
      </c>
      <c r="C2396" s="5" t="s">
        <v>26</v>
      </c>
      <c r="D2396" s="21">
        <v>4</v>
      </c>
      <c r="E2396" s="12">
        <v>236</v>
      </c>
      <c r="F2396" s="10" t="str">
        <f>_xlfn.XLOOKUP(C2396,menu!A:A,menu!B:B)</f>
        <v>Veg Roll</v>
      </c>
      <c r="G2396" s="10" t="str">
        <f>_xlfn.XLOOKUP(C2396,menu!A:A,menu!C:C)</f>
        <v>Rolls</v>
      </c>
      <c r="H2396" s="10">
        <f>_xlfn.XLOOKUP(C2396,menu!A:A,menu!E:E)</f>
        <v>18</v>
      </c>
      <c r="I2396" s="10">
        <f t="shared" si="37"/>
        <v>72</v>
      </c>
      <c r="K2396" s="10"/>
      <c r="L2396" s="5"/>
    </row>
    <row r="2397" spans="1:12" x14ac:dyDescent="0.25">
      <c r="A2397" s="5" t="s">
        <v>3939</v>
      </c>
      <c r="B2397" s="5" t="s">
        <v>3936</v>
      </c>
      <c r="C2397" s="5" t="s">
        <v>17</v>
      </c>
      <c r="D2397" s="21">
        <v>1</v>
      </c>
      <c r="E2397" s="12">
        <v>89</v>
      </c>
      <c r="F2397" s="10" t="str">
        <f>_xlfn.XLOOKUP(C2397,menu!A:A,menu!B:B)</f>
        <v>Paneer Momos</v>
      </c>
      <c r="G2397" s="10" t="str">
        <f>_xlfn.XLOOKUP(C2397,menu!A:A,menu!C:C)</f>
        <v>Momos</v>
      </c>
      <c r="H2397" s="10">
        <f>_xlfn.XLOOKUP(C2397,menu!A:A,menu!E:E)</f>
        <v>27</v>
      </c>
      <c r="I2397" s="10">
        <f t="shared" si="37"/>
        <v>27</v>
      </c>
      <c r="K2397" s="10"/>
      <c r="L2397" s="5"/>
    </row>
    <row r="2398" spans="1:12" x14ac:dyDescent="0.25">
      <c r="A2398" s="5" t="s">
        <v>3938</v>
      </c>
      <c r="B2398" s="5" t="s">
        <v>3936</v>
      </c>
      <c r="C2398" s="5" t="s">
        <v>52</v>
      </c>
      <c r="D2398" s="21">
        <v>2</v>
      </c>
      <c r="E2398" s="12">
        <v>198</v>
      </c>
      <c r="F2398" s="10" t="str">
        <f>_xlfn.XLOOKUP(C2398,menu!A:A,menu!B:B)</f>
        <v>French Fries</v>
      </c>
      <c r="G2398" s="10" t="str">
        <f>_xlfn.XLOOKUP(C2398,menu!A:A,menu!C:C)</f>
        <v>Starters</v>
      </c>
      <c r="H2398" s="10">
        <f>_xlfn.XLOOKUP(C2398,menu!A:A,menu!E:E)</f>
        <v>30</v>
      </c>
      <c r="I2398" s="10">
        <f t="shared" si="37"/>
        <v>60</v>
      </c>
      <c r="K2398" s="10"/>
      <c r="L2398" s="5"/>
    </row>
    <row r="2399" spans="1:12" x14ac:dyDescent="0.25">
      <c r="A2399" s="5" t="s">
        <v>3937</v>
      </c>
      <c r="B2399" s="5" t="s">
        <v>3936</v>
      </c>
      <c r="C2399" s="5" t="s">
        <v>29</v>
      </c>
      <c r="D2399" s="21">
        <v>2</v>
      </c>
      <c r="E2399" s="12">
        <v>158</v>
      </c>
      <c r="F2399" s="10" t="str">
        <f>_xlfn.XLOOKUP(C2399,menu!A:A,menu!B:B)</f>
        <v>Paneer Roll</v>
      </c>
      <c r="G2399" s="10" t="str">
        <f>_xlfn.XLOOKUP(C2399,menu!A:A,menu!C:C)</f>
        <v>Rolls</v>
      </c>
      <c r="H2399" s="10">
        <f>_xlfn.XLOOKUP(C2399,menu!A:A,menu!E:E)</f>
        <v>24</v>
      </c>
      <c r="I2399" s="10">
        <f t="shared" si="37"/>
        <v>48</v>
      </c>
      <c r="K2399" s="10"/>
      <c r="L2399" s="5"/>
    </row>
    <row r="2400" spans="1:12" x14ac:dyDescent="0.25">
      <c r="A2400" s="5" t="s">
        <v>3935</v>
      </c>
      <c r="B2400" s="5" t="s">
        <v>3931</v>
      </c>
      <c r="C2400" s="5" t="s">
        <v>26</v>
      </c>
      <c r="D2400" s="21">
        <v>1</v>
      </c>
      <c r="E2400" s="12">
        <v>59</v>
      </c>
      <c r="F2400" s="10" t="str">
        <f>_xlfn.XLOOKUP(C2400,menu!A:A,menu!B:B)</f>
        <v>Veg Roll</v>
      </c>
      <c r="G2400" s="10" t="str">
        <f>_xlfn.XLOOKUP(C2400,menu!A:A,menu!C:C)</f>
        <v>Rolls</v>
      </c>
      <c r="H2400" s="10">
        <f>_xlfn.XLOOKUP(C2400,menu!A:A,menu!E:E)</f>
        <v>18</v>
      </c>
      <c r="I2400" s="10">
        <f t="shared" si="37"/>
        <v>18</v>
      </c>
      <c r="K2400" s="10"/>
      <c r="L2400" s="5"/>
    </row>
    <row r="2401" spans="1:12" x14ac:dyDescent="0.25">
      <c r="A2401" s="5" t="s">
        <v>3934</v>
      </c>
      <c r="B2401" s="5" t="s">
        <v>3931</v>
      </c>
      <c r="C2401" s="5" t="s">
        <v>15</v>
      </c>
      <c r="D2401" s="21">
        <v>2</v>
      </c>
      <c r="E2401" s="12">
        <v>198</v>
      </c>
      <c r="F2401" s="10" t="str">
        <f>_xlfn.XLOOKUP(C2401,menu!A:A,menu!B:B)</f>
        <v>Chicken Momos</v>
      </c>
      <c r="G2401" s="10" t="str">
        <f>_xlfn.XLOOKUP(C2401,menu!A:A,menu!C:C)</f>
        <v>Momos</v>
      </c>
      <c r="H2401" s="10">
        <f>_xlfn.XLOOKUP(C2401,menu!A:A,menu!E:E)</f>
        <v>30</v>
      </c>
      <c r="I2401" s="10">
        <f t="shared" si="37"/>
        <v>60</v>
      </c>
      <c r="K2401" s="10"/>
      <c r="L2401" s="5"/>
    </row>
    <row r="2402" spans="1:12" x14ac:dyDescent="0.25">
      <c r="A2402" s="5" t="s">
        <v>3933</v>
      </c>
      <c r="B2402" s="5" t="s">
        <v>3931</v>
      </c>
      <c r="C2402" s="5" t="s">
        <v>59</v>
      </c>
      <c r="D2402" s="21">
        <v>1</v>
      </c>
      <c r="E2402" s="12">
        <v>79</v>
      </c>
      <c r="F2402" s="10" t="str">
        <f>_xlfn.XLOOKUP(C2402,menu!A:A,menu!B:B)</f>
        <v>Blue Curacao Mojito</v>
      </c>
      <c r="G2402" s="10" t="str">
        <f>_xlfn.XLOOKUP(C2402,menu!A:A,menu!C:C)</f>
        <v>Beverages</v>
      </c>
      <c r="H2402" s="10">
        <f>_xlfn.XLOOKUP(C2402,menu!A:A,menu!E:E)</f>
        <v>24</v>
      </c>
      <c r="I2402" s="10">
        <f t="shared" si="37"/>
        <v>24</v>
      </c>
      <c r="K2402" s="10"/>
      <c r="L2402" s="5"/>
    </row>
    <row r="2403" spans="1:12" x14ac:dyDescent="0.25">
      <c r="A2403" s="5" t="s">
        <v>3932</v>
      </c>
      <c r="B2403" s="5" t="s">
        <v>3931</v>
      </c>
      <c r="C2403" s="5" t="s">
        <v>61</v>
      </c>
      <c r="D2403" s="21">
        <v>2</v>
      </c>
      <c r="E2403" s="12">
        <v>158</v>
      </c>
      <c r="F2403" s="10" t="str">
        <f>_xlfn.XLOOKUP(C2403,menu!A:A,menu!B:B)</f>
        <v>Watermelon Mojito</v>
      </c>
      <c r="G2403" s="10" t="str">
        <f>_xlfn.XLOOKUP(C2403,menu!A:A,menu!C:C)</f>
        <v>Beverages</v>
      </c>
      <c r="H2403" s="10">
        <f>_xlfn.XLOOKUP(C2403,menu!A:A,menu!E:E)</f>
        <v>24</v>
      </c>
      <c r="I2403" s="10">
        <f t="shared" si="37"/>
        <v>48</v>
      </c>
      <c r="K2403" s="10"/>
      <c r="L2403" s="5"/>
    </row>
    <row r="2404" spans="1:12" x14ac:dyDescent="0.25">
      <c r="A2404" s="5" t="s">
        <v>3930</v>
      </c>
      <c r="B2404" s="5" t="s">
        <v>3926</v>
      </c>
      <c r="C2404" s="5" t="s">
        <v>19</v>
      </c>
      <c r="D2404" s="21">
        <v>2</v>
      </c>
      <c r="E2404" s="12">
        <v>158</v>
      </c>
      <c r="F2404" s="10" t="str">
        <f>_xlfn.XLOOKUP(C2404,menu!A:A,menu!B:B)</f>
        <v>Veg Burger</v>
      </c>
      <c r="G2404" s="10" t="str">
        <f>_xlfn.XLOOKUP(C2404,menu!A:A,menu!C:C)</f>
        <v>Burger</v>
      </c>
      <c r="H2404" s="10">
        <f>_xlfn.XLOOKUP(C2404,menu!A:A,menu!E:E)</f>
        <v>24</v>
      </c>
      <c r="I2404" s="10">
        <f t="shared" si="37"/>
        <v>48</v>
      </c>
      <c r="K2404" s="10"/>
      <c r="L2404" s="5"/>
    </row>
    <row r="2405" spans="1:12" x14ac:dyDescent="0.25">
      <c r="A2405" s="5" t="s">
        <v>3929</v>
      </c>
      <c r="B2405" s="5" t="s">
        <v>3926</v>
      </c>
      <c r="C2405" s="5" t="s">
        <v>46</v>
      </c>
      <c r="D2405" s="21">
        <v>1</v>
      </c>
      <c r="E2405" s="12">
        <v>149</v>
      </c>
      <c r="F2405" s="10" t="str">
        <f>_xlfn.XLOOKUP(C2405,menu!A:A,menu!B:B)</f>
        <v>Fish Finger</v>
      </c>
      <c r="G2405" s="10" t="str">
        <f>_xlfn.XLOOKUP(C2405,menu!A:A,menu!C:C)</f>
        <v>Starters</v>
      </c>
      <c r="H2405" s="10">
        <f>_xlfn.XLOOKUP(C2405,menu!A:A,menu!E:E)</f>
        <v>45</v>
      </c>
      <c r="I2405" s="10">
        <f t="shared" si="37"/>
        <v>45</v>
      </c>
      <c r="K2405" s="10"/>
      <c r="L2405" s="5"/>
    </row>
    <row r="2406" spans="1:12" x14ac:dyDescent="0.25">
      <c r="A2406" s="5" t="s">
        <v>3928</v>
      </c>
      <c r="B2406" s="5" t="s">
        <v>3926</v>
      </c>
      <c r="C2406" s="5" t="s">
        <v>42</v>
      </c>
      <c r="D2406" s="21">
        <v>3</v>
      </c>
      <c r="E2406" s="12">
        <v>447</v>
      </c>
      <c r="F2406" s="10" t="str">
        <f>_xlfn.XLOOKUP(C2406,menu!A:A,menu!B:B)</f>
        <v>Chicken Popcorn</v>
      </c>
      <c r="G2406" s="10" t="str">
        <f>_xlfn.XLOOKUP(C2406,menu!A:A,menu!C:C)</f>
        <v>Starters</v>
      </c>
      <c r="H2406" s="10">
        <f>_xlfn.XLOOKUP(C2406,menu!A:A,menu!E:E)</f>
        <v>45</v>
      </c>
      <c r="I2406" s="10">
        <f t="shared" si="37"/>
        <v>135</v>
      </c>
      <c r="K2406" s="10"/>
      <c r="L2406" s="5"/>
    </row>
    <row r="2407" spans="1:12" x14ac:dyDescent="0.25">
      <c r="A2407" s="5" t="s">
        <v>3927</v>
      </c>
      <c r="B2407" s="5" t="s">
        <v>3926</v>
      </c>
      <c r="C2407" s="5" t="s">
        <v>29</v>
      </c>
      <c r="D2407" s="21">
        <v>4</v>
      </c>
      <c r="E2407" s="12">
        <v>316</v>
      </c>
      <c r="F2407" s="10" t="str">
        <f>_xlfn.XLOOKUP(C2407,menu!A:A,menu!B:B)</f>
        <v>Paneer Roll</v>
      </c>
      <c r="G2407" s="10" t="str">
        <f>_xlfn.XLOOKUP(C2407,menu!A:A,menu!C:C)</f>
        <v>Rolls</v>
      </c>
      <c r="H2407" s="10">
        <f>_xlfn.XLOOKUP(C2407,menu!A:A,menu!E:E)</f>
        <v>24</v>
      </c>
      <c r="I2407" s="10">
        <f t="shared" si="37"/>
        <v>96</v>
      </c>
      <c r="K2407" s="10"/>
      <c r="L2407" s="5"/>
    </row>
    <row r="2408" spans="1:12" x14ac:dyDescent="0.25">
      <c r="A2408" s="5" t="s">
        <v>3925</v>
      </c>
      <c r="B2408" s="5" t="s">
        <v>3923</v>
      </c>
      <c r="C2408" s="5" t="s">
        <v>50</v>
      </c>
      <c r="D2408" s="21">
        <v>3</v>
      </c>
      <c r="E2408" s="12">
        <v>447</v>
      </c>
      <c r="F2408" s="10" t="str">
        <f>_xlfn.XLOOKUP(C2408,menu!A:A,menu!B:B)</f>
        <v>Grab Lollipop</v>
      </c>
      <c r="G2408" s="10" t="str">
        <f>_xlfn.XLOOKUP(C2408,menu!A:A,menu!C:C)</f>
        <v>Starters</v>
      </c>
      <c r="H2408" s="10">
        <f>_xlfn.XLOOKUP(C2408,menu!A:A,menu!E:E)</f>
        <v>45</v>
      </c>
      <c r="I2408" s="10">
        <f t="shared" si="37"/>
        <v>135</v>
      </c>
      <c r="K2408" s="10"/>
      <c r="L2408" s="5"/>
    </row>
    <row r="2409" spans="1:12" x14ac:dyDescent="0.25">
      <c r="A2409" s="5" t="s">
        <v>3924</v>
      </c>
      <c r="B2409" s="5" t="s">
        <v>3923</v>
      </c>
      <c r="C2409" s="5" t="s">
        <v>44</v>
      </c>
      <c r="D2409" s="21">
        <v>1</v>
      </c>
      <c r="E2409" s="12">
        <v>159</v>
      </c>
      <c r="F2409" s="10" t="str">
        <f>_xlfn.XLOOKUP(C2409,menu!A:A,menu!B:B)</f>
        <v>Fried Chicken</v>
      </c>
      <c r="G2409" s="10" t="str">
        <f>_xlfn.XLOOKUP(C2409,menu!A:A,menu!C:C)</f>
        <v>Starters</v>
      </c>
      <c r="H2409" s="10">
        <f>_xlfn.XLOOKUP(C2409,menu!A:A,menu!E:E)</f>
        <v>48</v>
      </c>
      <c r="I2409" s="10">
        <f t="shared" si="37"/>
        <v>48</v>
      </c>
      <c r="K2409" s="10"/>
      <c r="L2409" s="5"/>
    </row>
    <row r="2410" spans="1:12" x14ac:dyDescent="0.25">
      <c r="A2410" s="5" t="s">
        <v>3922</v>
      </c>
      <c r="B2410" s="5" t="s">
        <v>3921</v>
      </c>
      <c r="C2410" s="5" t="s">
        <v>54</v>
      </c>
      <c r="D2410" s="21">
        <v>4</v>
      </c>
      <c r="E2410" s="12">
        <v>556</v>
      </c>
      <c r="F2410" s="10" t="str">
        <f>_xlfn.XLOOKUP(C2410,menu!A:A,menu!B:B)</f>
        <v>Chicken Strips</v>
      </c>
      <c r="G2410" s="10" t="str">
        <f>_xlfn.XLOOKUP(C2410,menu!A:A,menu!C:C)</f>
        <v>Starters</v>
      </c>
      <c r="H2410" s="10">
        <f>_xlfn.XLOOKUP(C2410,menu!A:A,menu!E:E)</f>
        <v>42</v>
      </c>
      <c r="I2410" s="10">
        <f t="shared" si="37"/>
        <v>168</v>
      </c>
      <c r="K2410" s="10"/>
      <c r="L2410" s="5"/>
    </row>
    <row r="2411" spans="1:12" x14ac:dyDescent="0.25">
      <c r="A2411" s="5" t="s">
        <v>3920</v>
      </c>
      <c r="B2411" s="5" t="s">
        <v>3916</v>
      </c>
      <c r="C2411" s="5" t="s">
        <v>19</v>
      </c>
      <c r="D2411" s="21">
        <v>1</v>
      </c>
      <c r="E2411" s="12">
        <v>79</v>
      </c>
      <c r="F2411" s="10" t="str">
        <f>_xlfn.XLOOKUP(C2411,menu!A:A,menu!B:B)</f>
        <v>Veg Burger</v>
      </c>
      <c r="G2411" s="10" t="str">
        <f>_xlfn.XLOOKUP(C2411,menu!A:A,menu!C:C)</f>
        <v>Burger</v>
      </c>
      <c r="H2411" s="10">
        <f>_xlfn.XLOOKUP(C2411,menu!A:A,menu!E:E)</f>
        <v>24</v>
      </c>
      <c r="I2411" s="10">
        <f t="shared" si="37"/>
        <v>24</v>
      </c>
      <c r="K2411" s="10"/>
      <c r="L2411" s="5"/>
    </row>
    <row r="2412" spans="1:12" x14ac:dyDescent="0.25">
      <c r="A2412" s="5" t="s">
        <v>3919</v>
      </c>
      <c r="B2412" s="5" t="s">
        <v>3916</v>
      </c>
      <c r="C2412" s="5" t="s">
        <v>35</v>
      </c>
      <c r="D2412" s="21">
        <v>1</v>
      </c>
      <c r="E2412" s="12">
        <v>119</v>
      </c>
      <c r="F2412" s="10" t="str">
        <f>_xlfn.XLOOKUP(C2412,menu!A:A,menu!B:B)</f>
        <v>Chicken Nuggets</v>
      </c>
      <c r="G2412" s="10" t="str">
        <f>_xlfn.XLOOKUP(C2412,menu!A:A,menu!C:C)</f>
        <v>Starters</v>
      </c>
      <c r="H2412" s="10">
        <f>_xlfn.XLOOKUP(C2412,menu!A:A,menu!E:E)</f>
        <v>36</v>
      </c>
      <c r="I2412" s="10">
        <f t="shared" si="37"/>
        <v>36</v>
      </c>
      <c r="K2412" s="10"/>
      <c r="L2412" s="5"/>
    </row>
    <row r="2413" spans="1:12" x14ac:dyDescent="0.25">
      <c r="A2413" s="5" t="s">
        <v>3918</v>
      </c>
      <c r="B2413" s="5" t="s">
        <v>3916</v>
      </c>
      <c r="C2413" s="5" t="s">
        <v>26</v>
      </c>
      <c r="D2413" s="21">
        <v>1</v>
      </c>
      <c r="E2413" s="12">
        <v>59</v>
      </c>
      <c r="F2413" s="10" t="str">
        <f>_xlfn.XLOOKUP(C2413,menu!A:A,menu!B:B)</f>
        <v>Veg Roll</v>
      </c>
      <c r="G2413" s="10" t="str">
        <f>_xlfn.XLOOKUP(C2413,menu!A:A,menu!C:C)</f>
        <v>Rolls</v>
      </c>
      <c r="H2413" s="10">
        <f>_xlfn.XLOOKUP(C2413,menu!A:A,menu!E:E)</f>
        <v>18</v>
      </c>
      <c r="I2413" s="10">
        <f t="shared" si="37"/>
        <v>18</v>
      </c>
      <c r="K2413" s="10"/>
      <c r="L2413" s="5"/>
    </row>
    <row r="2414" spans="1:12" x14ac:dyDescent="0.25">
      <c r="A2414" s="5" t="s">
        <v>3917</v>
      </c>
      <c r="B2414" s="5" t="s">
        <v>3916</v>
      </c>
      <c r="C2414" s="5" t="s">
        <v>24</v>
      </c>
      <c r="D2414" s="21">
        <v>2</v>
      </c>
      <c r="E2414" s="12">
        <v>178</v>
      </c>
      <c r="F2414" s="10" t="str">
        <f>_xlfn.XLOOKUP(C2414,menu!A:A,menu!B:B)</f>
        <v>Paneer Burger</v>
      </c>
      <c r="G2414" s="10" t="str">
        <f>_xlfn.XLOOKUP(C2414,menu!A:A,menu!C:C)</f>
        <v>Burger</v>
      </c>
      <c r="H2414" s="10">
        <f>_xlfn.XLOOKUP(C2414,menu!A:A,menu!E:E)</f>
        <v>27</v>
      </c>
      <c r="I2414" s="10">
        <f t="shared" si="37"/>
        <v>54</v>
      </c>
      <c r="K2414" s="10"/>
      <c r="L2414" s="5"/>
    </row>
    <row r="2415" spans="1:12" x14ac:dyDescent="0.25">
      <c r="A2415" s="5" t="s">
        <v>3915</v>
      </c>
      <c r="B2415" s="5" t="s">
        <v>3912</v>
      </c>
      <c r="C2415" s="5" t="s">
        <v>5</v>
      </c>
      <c r="D2415" s="21">
        <v>2</v>
      </c>
      <c r="E2415" s="12">
        <v>158</v>
      </c>
      <c r="F2415" s="10" t="str">
        <f>_xlfn.XLOOKUP(C2415,menu!A:A,menu!B:B)</f>
        <v>Veg Sandwich</v>
      </c>
      <c r="G2415" s="10" t="str">
        <f>_xlfn.XLOOKUP(C2415,menu!A:A,menu!C:C)</f>
        <v>Sandwich</v>
      </c>
      <c r="H2415" s="10">
        <f>_xlfn.XLOOKUP(C2415,menu!A:A,menu!E:E)</f>
        <v>24</v>
      </c>
      <c r="I2415" s="10">
        <f t="shared" si="37"/>
        <v>48</v>
      </c>
      <c r="K2415" s="10"/>
      <c r="L2415" s="5"/>
    </row>
    <row r="2416" spans="1:12" x14ac:dyDescent="0.25">
      <c r="A2416" s="5" t="s">
        <v>3914</v>
      </c>
      <c r="B2416" s="5" t="s">
        <v>3912</v>
      </c>
      <c r="C2416" s="5" t="s">
        <v>35</v>
      </c>
      <c r="D2416" s="21">
        <v>4</v>
      </c>
      <c r="E2416" s="12">
        <v>476</v>
      </c>
      <c r="F2416" s="10" t="str">
        <f>_xlfn.XLOOKUP(C2416,menu!A:A,menu!B:B)</f>
        <v>Chicken Nuggets</v>
      </c>
      <c r="G2416" s="10" t="str">
        <f>_xlfn.XLOOKUP(C2416,menu!A:A,menu!C:C)</f>
        <v>Starters</v>
      </c>
      <c r="H2416" s="10">
        <f>_xlfn.XLOOKUP(C2416,menu!A:A,menu!E:E)</f>
        <v>36</v>
      </c>
      <c r="I2416" s="10">
        <f t="shared" si="37"/>
        <v>144</v>
      </c>
      <c r="K2416" s="10"/>
      <c r="L2416" s="5"/>
    </row>
    <row r="2417" spans="1:12" x14ac:dyDescent="0.25">
      <c r="A2417" s="5" t="s">
        <v>3913</v>
      </c>
      <c r="B2417" s="5" t="s">
        <v>3912</v>
      </c>
      <c r="C2417" s="5" t="s">
        <v>26</v>
      </c>
      <c r="D2417" s="21">
        <v>1</v>
      </c>
      <c r="E2417" s="12">
        <v>59</v>
      </c>
      <c r="F2417" s="10" t="str">
        <f>_xlfn.XLOOKUP(C2417,menu!A:A,menu!B:B)</f>
        <v>Veg Roll</v>
      </c>
      <c r="G2417" s="10" t="str">
        <f>_xlfn.XLOOKUP(C2417,menu!A:A,menu!C:C)</f>
        <v>Rolls</v>
      </c>
      <c r="H2417" s="10">
        <f>_xlfn.XLOOKUP(C2417,menu!A:A,menu!E:E)</f>
        <v>18</v>
      </c>
      <c r="I2417" s="10">
        <f t="shared" si="37"/>
        <v>18</v>
      </c>
      <c r="K2417" s="10"/>
      <c r="L2417" s="5"/>
    </row>
    <row r="2418" spans="1:12" x14ac:dyDescent="0.25">
      <c r="A2418" s="5" t="s">
        <v>3911</v>
      </c>
      <c r="B2418" s="5" t="s">
        <v>3908</v>
      </c>
      <c r="C2418" s="5" t="s">
        <v>12</v>
      </c>
      <c r="D2418" s="21">
        <v>2</v>
      </c>
      <c r="E2418" s="12">
        <v>158</v>
      </c>
      <c r="F2418" s="10" t="str">
        <f>_xlfn.XLOOKUP(C2418,menu!A:A,menu!B:B)</f>
        <v>Veg Momos</v>
      </c>
      <c r="G2418" s="10" t="str">
        <f>_xlfn.XLOOKUP(C2418,menu!A:A,menu!C:C)</f>
        <v>Momos</v>
      </c>
      <c r="H2418" s="10">
        <f>_xlfn.XLOOKUP(C2418,menu!A:A,menu!E:E)</f>
        <v>24</v>
      </c>
      <c r="I2418" s="10">
        <f t="shared" si="37"/>
        <v>48</v>
      </c>
      <c r="K2418" s="10"/>
      <c r="L2418" s="5"/>
    </row>
    <row r="2419" spans="1:12" x14ac:dyDescent="0.25">
      <c r="A2419" s="5" t="s">
        <v>3910</v>
      </c>
      <c r="B2419" s="5" t="s">
        <v>3908</v>
      </c>
      <c r="C2419" s="5" t="s">
        <v>42</v>
      </c>
      <c r="D2419" s="21">
        <v>1</v>
      </c>
      <c r="E2419" s="12">
        <v>149</v>
      </c>
      <c r="F2419" s="10" t="str">
        <f>_xlfn.XLOOKUP(C2419,menu!A:A,menu!B:B)</f>
        <v>Chicken Popcorn</v>
      </c>
      <c r="G2419" s="10" t="str">
        <f>_xlfn.XLOOKUP(C2419,menu!A:A,menu!C:C)</f>
        <v>Starters</v>
      </c>
      <c r="H2419" s="10">
        <f>_xlfn.XLOOKUP(C2419,menu!A:A,menu!E:E)</f>
        <v>45</v>
      </c>
      <c r="I2419" s="10">
        <f t="shared" si="37"/>
        <v>45</v>
      </c>
      <c r="K2419" s="10"/>
      <c r="L2419" s="5"/>
    </row>
    <row r="2420" spans="1:12" x14ac:dyDescent="0.25">
      <c r="A2420" s="5" t="s">
        <v>3909</v>
      </c>
      <c r="B2420" s="5" t="s">
        <v>3908</v>
      </c>
      <c r="C2420" s="5" t="s">
        <v>61</v>
      </c>
      <c r="D2420" s="21">
        <v>3</v>
      </c>
      <c r="E2420" s="12">
        <v>237</v>
      </c>
      <c r="F2420" s="10" t="str">
        <f>_xlfn.XLOOKUP(C2420,menu!A:A,menu!B:B)</f>
        <v>Watermelon Mojito</v>
      </c>
      <c r="G2420" s="10" t="str">
        <f>_xlfn.XLOOKUP(C2420,menu!A:A,menu!C:C)</f>
        <v>Beverages</v>
      </c>
      <c r="H2420" s="10">
        <f>_xlfn.XLOOKUP(C2420,menu!A:A,menu!E:E)</f>
        <v>24</v>
      </c>
      <c r="I2420" s="10">
        <f t="shared" si="37"/>
        <v>72</v>
      </c>
      <c r="K2420" s="10"/>
      <c r="L2420" s="5"/>
    </row>
    <row r="2421" spans="1:12" x14ac:dyDescent="0.25">
      <c r="A2421" s="5" t="s">
        <v>3907</v>
      </c>
      <c r="B2421" s="5" t="s">
        <v>3905</v>
      </c>
      <c r="C2421" s="5" t="s">
        <v>15</v>
      </c>
      <c r="D2421" s="21">
        <v>3</v>
      </c>
      <c r="E2421" s="12">
        <v>297</v>
      </c>
      <c r="F2421" s="10" t="str">
        <f>_xlfn.XLOOKUP(C2421,menu!A:A,menu!B:B)</f>
        <v>Chicken Momos</v>
      </c>
      <c r="G2421" s="10" t="str">
        <f>_xlfn.XLOOKUP(C2421,menu!A:A,menu!C:C)</f>
        <v>Momos</v>
      </c>
      <c r="H2421" s="10">
        <f>_xlfn.XLOOKUP(C2421,menu!A:A,menu!E:E)</f>
        <v>30</v>
      </c>
      <c r="I2421" s="10">
        <f t="shared" si="37"/>
        <v>90</v>
      </c>
      <c r="K2421" s="10"/>
      <c r="L2421" s="5"/>
    </row>
    <row r="2422" spans="1:12" x14ac:dyDescent="0.25">
      <c r="A2422" s="5" t="s">
        <v>3906</v>
      </c>
      <c r="B2422" s="5" t="s">
        <v>3905</v>
      </c>
      <c r="C2422" s="5" t="s">
        <v>26</v>
      </c>
      <c r="D2422" s="21">
        <v>3</v>
      </c>
      <c r="E2422" s="12">
        <v>177</v>
      </c>
      <c r="F2422" s="10" t="str">
        <f>_xlfn.XLOOKUP(C2422,menu!A:A,menu!B:B)</f>
        <v>Veg Roll</v>
      </c>
      <c r="G2422" s="10" t="str">
        <f>_xlfn.XLOOKUP(C2422,menu!A:A,menu!C:C)</f>
        <v>Rolls</v>
      </c>
      <c r="H2422" s="10">
        <f>_xlfn.XLOOKUP(C2422,menu!A:A,menu!E:E)</f>
        <v>18</v>
      </c>
      <c r="I2422" s="10">
        <f t="shared" si="37"/>
        <v>54</v>
      </c>
      <c r="K2422" s="10"/>
      <c r="L2422" s="5"/>
    </row>
    <row r="2423" spans="1:12" x14ac:dyDescent="0.25">
      <c r="A2423" s="5" t="s">
        <v>3904</v>
      </c>
      <c r="B2423" s="5" t="s">
        <v>3902</v>
      </c>
      <c r="C2423" s="5" t="s">
        <v>15</v>
      </c>
      <c r="D2423" s="21">
        <v>2</v>
      </c>
      <c r="E2423" s="12">
        <v>198</v>
      </c>
      <c r="F2423" s="10" t="str">
        <f>_xlfn.XLOOKUP(C2423,menu!A:A,menu!B:B)</f>
        <v>Chicken Momos</v>
      </c>
      <c r="G2423" s="10" t="str">
        <f>_xlfn.XLOOKUP(C2423,menu!A:A,menu!C:C)</f>
        <v>Momos</v>
      </c>
      <c r="H2423" s="10">
        <f>_xlfn.XLOOKUP(C2423,menu!A:A,menu!E:E)</f>
        <v>30</v>
      </c>
      <c r="I2423" s="10">
        <f t="shared" si="37"/>
        <v>60</v>
      </c>
      <c r="K2423" s="10"/>
      <c r="L2423" s="5"/>
    </row>
    <row r="2424" spans="1:12" x14ac:dyDescent="0.25">
      <c r="A2424" s="5" t="s">
        <v>3903</v>
      </c>
      <c r="B2424" s="5" t="s">
        <v>3902</v>
      </c>
      <c r="C2424" s="5" t="s">
        <v>24</v>
      </c>
      <c r="D2424" s="21">
        <v>1</v>
      </c>
      <c r="E2424" s="12">
        <v>89</v>
      </c>
      <c r="F2424" s="10" t="str">
        <f>_xlfn.XLOOKUP(C2424,menu!A:A,menu!B:B)</f>
        <v>Paneer Burger</v>
      </c>
      <c r="G2424" s="10" t="str">
        <f>_xlfn.XLOOKUP(C2424,menu!A:A,menu!C:C)</f>
        <v>Burger</v>
      </c>
      <c r="H2424" s="10">
        <f>_xlfn.XLOOKUP(C2424,menu!A:A,menu!E:E)</f>
        <v>27</v>
      </c>
      <c r="I2424" s="10">
        <f t="shared" si="37"/>
        <v>27</v>
      </c>
      <c r="K2424" s="10"/>
      <c r="L2424" s="5"/>
    </row>
    <row r="2425" spans="1:12" x14ac:dyDescent="0.25">
      <c r="A2425" s="5" t="s">
        <v>3901</v>
      </c>
      <c r="B2425" s="5" t="s">
        <v>3898</v>
      </c>
      <c r="C2425" s="5" t="s">
        <v>44</v>
      </c>
      <c r="D2425" s="21">
        <v>1</v>
      </c>
      <c r="E2425" s="12">
        <v>159</v>
      </c>
      <c r="F2425" s="10" t="str">
        <f>_xlfn.XLOOKUP(C2425,menu!A:A,menu!B:B)</f>
        <v>Fried Chicken</v>
      </c>
      <c r="G2425" s="10" t="str">
        <f>_xlfn.XLOOKUP(C2425,menu!A:A,menu!C:C)</f>
        <v>Starters</v>
      </c>
      <c r="H2425" s="10">
        <f>_xlfn.XLOOKUP(C2425,menu!A:A,menu!E:E)</f>
        <v>48</v>
      </c>
      <c r="I2425" s="10">
        <f t="shared" si="37"/>
        <v>48</v>
      </c>
      <c r="K2425" s="10"/>
      <c r="L2425" s="5"/>
    </row>
    <row r="2426" spans="1:12" x14ac:dyDescent="0.25">
      <c r="A2426" s="5" t="s">
        <v>3900</v>
      </c>
      <c r="B2426" s="5" t="s">
        <v>3898</v>
      </c>
      <c r="C2426" s="5" t="s">
        <v>26</v>
      </c>
      <c r="D2426" s="21">
        <v>1</v>
      </c>
      <c r="E2426" s="12">
        <v>59</v>
      </c>
      <c r="F2426" s="10" t="str">
        <f>_xlfn.XLOOKUP(C2426,menu!A:A,menu!B:B)</f>
        <v>Veg Roll</v>
      </c>
      <c r="G2426" s="10" t="str">
        <f>_xlfn.XLOOKUP(C2426,menu!A:A,menu!C:C)</f>
        <v>Rolls</v>
      </c>
      <c r="H2426" s="10">
        <f>_xlfn.XLOOKUP(C2426,menu!A:A,menu!E:E)</f>
        <v>18</v>
      </c>
      <c r="I2426" s="10">
        <f t="shared" si="37"/>
        <v>18</v>
      </c>
      <c r="K2426" s="10"/>
      <c r="L2426" s="5"/>
    </row>
    <row r="2427" spans="1:12" x14ac:dyDescent="0.25">
      <c r="A2427" s="5" t="s">
        <v>3899</v>
      </c>
      <c r="B2427" s="5" t="s">
        <v>3898</v>
      </c>
      <c r="C2427" s="5" t="s">
        <v>48</v>
      </c>
      <c r="D2427" s="21">
        <v>4</v>
      </c>
      <c r="E2427" s="12">
        <v>636</v>
      </c>
      <c r="F2427" s="10" t="str">
        <f>_xlfn.XLOOKUP(C2427,menu!A:A,menu!B:B)</f>
        <v>Chicken Lollipop</v>
      </c>
      <c r="G2427" s="10" t="str">
        <f>_xlfn.XLOOKUP(C2427,menu!A:A,menu!C:C)</f>
        <v>Starters</v>
      </c>
      <c r="H2427" s="10">
        <f>_xlfn.XLOOKUP(C2427,menu!A:A,menu!E:E)</f>
        <v>48</v>
      </c>
      <c r="I2427" s="10">
        <f t="shared" si="37"/>
        <v>192</v>
      </c>
      <c r="K2427" s="10"/>
      <c r="L2427" s="5"/>
    </row>
    <row r="2428" spans="1:12" x14ac:dyDescent="0.25">
      <c r="A2428" s="5" t="s">
        <v>3897</v>
      </c>
      <c r="B2428" s="5" t="s">
        <v>3896</v>
      </c>
      <c r="C2428" s="5" t="s">
        <v>52</v>
      </c>
      <c r="D2428" s="21">
        <v>1</v>
      </c>
      <c r="E2428" s="12">
        <v>99</v>
      </c>
      <c r="F2428" s="10" t="str">
        <f>_xlfn.XLOOKUP(C2428,menu!A:A,menu!B:B)</f>
        <v>French Fries</v>
      </c>
      <c r="G2428" s="10" t="str">
        <f>_xlfn.XLOOKUP(C2428,menu!A:A,menu!C:C)</f>
        <v>Starters</v>
      </c>
      <c r="H2428" s="10">
        <f>_xlfn.XLOOKUP(C2428,menu!A:A,menu!E:E)</f>
        <v>30</v>
      </c>
      <c r="I2428" s="10">
        <f t="shared" si="37"/>
        <v>30</v>
      </c>
      <c r="K2428" s="10"/>
      <c r="L2428" s="5"/>
    </row>
    <row r="2429" spans="1:12" x14ac:dyDescent="0.25">
      <c r="A2429" s="5" t="s">
        <v>3895</v>
      </c>
      <c r="B2429" s="5" t="s">
        <v>3891</v>
      </c>
      <c r="C2429" s="5" t="s">
        <v>5</v>
      </c>
      <c r="D2429" s="21">
        <v>1</v>
      </c>
      <c r="E2429" s="12">
        <v>79</v>
      </c>
      <c r="F2429" s="10" t="str">
        <f>_xlfn.XLOOKUP(C2429,menu!A:A,menu!B:B)</f>
        <v>Veg Sandwich</v>
      </c>
      <c r="G2429" s="10" t="str">
        <f>_xlfn.XLOOKUP(C2429,menu!A:A,menu!C:C)</f>
        <v>Sandwich</v>
      </c>
      <c r="H2429" s="10">
        <f>_xlfn.XLOOKUP(C2429,menu!A:A,menu!E:E)</f>
        <v>24</v>
      </c>
      <c r="I2429" s="10">
        <f t="shared" si="37"/>
        <v>24</v>
      </c>
      <c r="K2429" s="10"/>
      <c r="L2429" s="5"/>
    </row>
    <row r="2430" spans="1:12" x14ac:dyDescent="0.25">
      <c r="A2430" s="5" t="s">
        <v>3894</v>
      </c>
      <c r="B2430" s="5" t="s">
        <v>3891</v>
      </c>
      <c r="C2430" s="5" t="s">
        <v>10</v>
      </c>
      <c r="D2430" s="21">
        <v>2</v>
      </c>
      <c r="E2430" s="12">
        <v>238</v>
      </c>
      <c r="F2430" s="10" t="str">
        <f>_xlfn.XLOOKUP(C2430,menu!A:A,menu!B:B)</f>
        <v>Chicken Sandwich</v>
      </c>
      <c r="G2430" s="10" t="str">
        <f>_xlfn.XLOOKUP(C2430,menu!A:A,menu!C:C)</f>
        <v>Sandwich</v>
      </c>
      <c r="H2430" s="10">
        <f>_xlfn.XLOOKUP(C2430,menu!A:A,menu!E:E)</f>
        <v>36</v>
      </c>
      <c r="I2430" s="10">
        <f t="shared" si="37"/>
        <v>72</v>
      </c>
      <c r="K2430" s="10"/>
      <c r="L2430" s="5"/>
    </row>
    <row r="2431" spans="1:12" x14ac:dyDescent="0.25">
      <c r="A2431" s="5" t="s">
        <v>3893</v>
      </c>
      <c r="B2431" s="5" t="s">
        <v>3891</v>
      </c>
      <c r="C2431" s="5" t="s">
        <v>8</v>
      </c>
      <c r="D2431" s="21">
        <v>2</v>
      </c>
      <c r="E2431" s="12">
        <v>198</v>
      </c>
      <c r="F2431" s="10" t="str">
        <f>_xlfn.XLOOKUP(C2431,menu!A:A,menu!B:B)</f>
        <v>Paneer Sandwich</v>
      </c>
      <c r="G2431" s="10" t="str">
        <f>_xlfn.XLOOKUP(C2431,menu!A:A,menu!C:C)</f>
        <v>Sandwich</v>
      </c>
      <c r="H2431" s="10">
        <f>_xlfn.XLOOKUP(C2431,menu!A:A,menu!E:E)</f>
        <v>30</v>
      </c>
      <c r="I2431" s="10">
        <f t="shared" si="37"/>
        <v>60</v>
      </c>
      <c r="K2431" s="10"/>
      <c r="L2431" s="5"/>
    </row>
    <row r="2432" spans="1:12" x14ac:dyDescent="0.25">
      <c r="A2432" s="5" t="s">
        <v>3892</v>
      </c>
      <c r="B2432" s="5" t="s">
        <v>3891</v>
      </c>
      <c r="C2432" s="5" t="s">
        <v>26</v>
      </c>
      <c r="D2432" s="21">
        <v>1</v>
      </c>
      <c r="E2432" s="12">
        <v>59</v>
      </c>
      <c r="F2432" s="10" t="str">
        <f>_xlfn.XLOOKUP(C2432,menu!A:A,menu!B:B)</f>
        <v>Veg Roll</v>
      </c>
      <c r="G2432" s="10" t="str">
        <f>_xlfn.XLOOKUP(C2432,menu!A:A,menu!C:C)</f>
        <v>Rolls</v>
      </c>
      <c r="H2432" s="10">
        <f>_xlfn.XLOOKUP(C2432,menu!A:A,menu!E:E)</f>
        <v>18</v>
      </c>
      <c r="I2432" s="10">
        <f t="shared" si="37"/>
        <v>18</v>
      </c>
      <c r="K2432" s="10"/>
      <c r="L2432" s="5"/>
    </row>
    <row r="2433" spans="1:12" x14ac:dyDescent="0.25">
      <c r="A2433" s="5" t="s">
        <v>3890</v>
      </c>
      <c r="B2433" s="5" t="s">
        <v>3888</v>
      </c>
      <c r="C2433" s="5" t="s">
        <v>54</v>
      </c>
      <c r="D2433" s="21">
        <v>1</v>
      </c>
      <c r="E2433" s="12">
        <v>139</v>
      </c>
      <c r="F2433" s="10" t="str">
        <f>_xlfn.XLOOKUP(C2433,menu!A:A,menu!B:B)</f>
        <v>Chicken Strips</v>
      </c>
      <c r="G2433" s="10" t="str">
        <f>_xlfn.XLOOKUP(C2433,menu!A:A,menu!C:C)</f>
        <v>Starters</v>
      </c>
      <c r="H2433" s="10">
        <f>_xlfn.XLOOKUP(C2433,menu!A:A,menu!E:E)</f>
        <v>42</v>
      </c>
      <c r="I2433" s="10">
        <f t="shared" si="37"/>
        <v>42</v>
      </c>
      <c r="K2433" s="10"/>
      <c r="L2433" s="5"/>
    </row>
    <row r="2434" spans="1:12" x14ac:dyDescent="0.25">
      <c r="A2434" s="5" t="s">
        <v>3889</v>
      </c>
      <c r="B2434" s="5" t="s">
        <v>3888</v>
      </c>
      <c r="C2434" s="5" t="s">
        <v>65</v>
      </c>
      <c r="D2434" s="21">
        <v>1</v>
      </c>
      <c r="E2434" s="12">
        <v>49</v>
      </c>
      <c r="F2434" s="10" t="str">
        <f>_xlfn.XLOOKUP(C2434,menu!A:A,menu!B:B)</f>
        <v>Lemon Juice</v>
      </c>
      <c r="G2434" s="10" t="str">
        <f>_xlfn.XLOOKUP(C2434,menu!A:A,menu!C:C)</f>
        <v>Beverages</v>
      </c>
      <c r="H2434" s="10">
        <f>_xlfn.XLOOKUP(C2434,menu!A:A,menu!E:E)</f>
        <v>15</v>
      </c>
      <c r="I2434" s="10">
        <f t="shared" si="37"/>
        <v>15</v>
      </c>
      <c r="K2434" s="10"/>
      <c r="L2434" s="5"/>
    </row>
    <row r="2435" spans="1:12" x14ac:dyDescent="0.25">
      <c r="A2435" s="5" t="s">
        <v>3887</v>
      </c>
      <c r="B2435" s="5" t="s">
        <v>3883</v>
      </c>
      <c r="C2435" s="5" t="s">
        <v>24</v>
      </c>
      <c r="D2435" s="21">
        <v>4</v>
      </c>
      <c r="E2435" s="12">
        <v>356</v>
      </c>
      <c r="F2435" s="10" t="str">
        <f>_xlfn.XLOOKUP(C2435,menu!A:A,menu!B:B)</f>
        <v>Paneer Burger</v>
      </c>
      <c r="G2435" s="10" t="str">
        <f>_xlfn.XLOOKUP(C2435,menu!A:A,menu!C:C)</f>
        <v>Burger</v>
      </c>
      <c r="H2435" s="10">
        <f>_xlfn.XLOOKUP(C2435,menu!A:A,menu!E:E)</f>
        <v>27</v>
      </c>
      <c r="I2435" s="10">
        <f t="shared" ref="I2435:I2498" si="38">D2435*H2435</f>
        <v>108</v>
      </c>
      <c r="K2435" s="10"/>
      <c r="L2435" s="5"/>
    </row>
    <row r="2436" spans="1:12" x14ac:dyDescent="0.25">
      <c r="A2436" s="5" t="s">
        <v>3886</v>
      </c>
      <c r="B2436" s="5" t="s">
        <v>3883</v>
      </c>
      <c r="C2436" s="5" t="s">
        <v>65</v>
      </c>
      <c r="D2436" s="21">
        <v>1</v>
      </c>
      <c r="E2436" s="12">
        <v>49</v>
      </c>
      <c r="F2436" s="10" t="str">
        <f>_xlfn.XLOOKUP(C2436,menu!A:A,menu!B:B)</f>
        <v>Lemon Juice</v>
      </c>
      <c r="G2436" s="10" t="str">
        <f>_xlfn.XLOOKUP(C2436,menu!A:A,menu!C:C)</f>
        <v>Beverages</v>
      </c>
      <c r="H2436" s="10">
        <f>_xlfn.XLOOKUP(C2436,menu!A:A,menu!E:E)</f>
        <v>15</v>
      </c>
      <c r="I2436" s="10">
        <f t="shared" si="38"/>
        <v>15</v>
      </c>
      <c r="K2436" s="10"/>
      <c r="L2436" s="5"/>
    </row>
    <row r="2437" spans="1:12" x14ac:dyDescent="0.25">
      <c r="A2437" s="5" t="s">
        <v>3885</v>
      </c>
      <c r="B2437" s="5" t="s">
        <v>3883</v>
      </c>
      <c r="C2437" s="5" t="s">
        <v>59</v>
      </c>
      <c r="D2437" s="21">
        <v>1</v>
      </c>
      <c r="E2437" s="12">
        <v>79</v>
      </c>
      <c r="F2437" s="10" t="str">
        <f>_xlfn.XLOOKUP(C2437,menu!A:A,menu!B:B)</f>
        <v>Blue Curacao Mojito</v>
      </c>
      <c r="G2437" s="10" t="str">
        <f>_xlfn.XLOOKUP(C2437,menu!A:A,menu!C:C)</f>
        <v>Beverages</v>
      </c>
      <c r="H2437" s="10">
        <f>_xlfn.XLOOKUP(C2437,menu!A:A,menu!E:E)</f>
        <v>24</v>
      </c>
      <c r="I2437" s="10">
        <f t="shared" si="38"/>
        <v>24</v>
      </c>
      <c r="K2437" s="10"/>
      <c r="L2437" s="5"/>
    </row>
    <row r="2438" spans="1:12" x14ac:dyDescent="0.25">
      <c r="A2438" s="5" t="s">
        <v>3884</v>
      </c>
      <c r="B2438" s="5" t="s">
        <v>3883</v>
      </c>
      <c r="C2438" s="5" t="s">
        <v>48</v>
      </c>
      <c r="D2438" s="21">
        <v>3</v>
      </c>
      <c r="E2438" s="12">
        <v>477</v>
      </c>
      <c r="F2438" s="10" t="str">
        <f>_xlfn.XLOOKUP(C2438,menu!A:A,menu!B:B)</f>
        <v>Chicken Lollipop</v>
      </c>
      <c r="G2438" s="10" t="str">
        <f>_xlfn.XLOOKUP(C2438,menu!A:A,menu!C:C)</f>
        <v>Starters</v>
      </c>
      <c r="H2438" s="10">
        <f>_xlfn.XLOOKUP(C2438,menu!A:A,menu!E:E)</f>
        <v>48</v>
      </c>
      <c r="I2438" s="10">
        <f t="shared" si="38"/>
        <v>144</v>
      </c>
      <c r="K2438" s="10"/>
      <c r="L2438" s="5"/>
    </row>
    <row r="2439" spans="1:12" x14ac:dyDescent="0.25">
      <c r="A2439" s="5" t="s">
        <v>3882</v>
      </c>
      <c r="B2439" s="5" t="s">
        <v>3880</v>
      </c>
      <c r="C2439" s="5" t="s">
        <v>5</v>
      </c>
      <c r="D2439" s="21">
        <v>1</v>
      </c>
      <c r="E2439" s="12">
        <v>79</v>
      </c>
      <c r="F2439" s="10" t="str">
        <f>_xlfn.XLOOKUP(C2439,menu!A:A,menu!B:B)</f>
        <v>Veg Sandwich</v>
      </c>
      <c r="G2439" s="10" t="str">
        <f>_xlfn.XLOOKUP(C2439,menu!A:A,menu!C:C)</f>
        <v>Sandwich</v>
      </c>
      <c r="H2439" s="10">
        <f>_xlfn.XLOOKUP(C2439,menu!A:A,menu!E:E)</f>
        <v>24</v>
      </c>
      <c r="I2439" s="10">
        <f t="shared" si="38"/>
        <v>24</v>
      </c>
      <c r="K2439" s="10"/>
      <c r="L2439" s="5"/>
    </row>
    <row r="2440" spans="1:12" x14ac:dyDescent="0.25">
      <c r="A2440" s="5" t="s">
        <v>3881</v>
      </c>
      <c r="B2440" s="5" t="s">
        <v>3880</v>
      </c>
      <c r="C2440" s="5" t="s">
        <v>54</v>
      </c>
      <c r="D2440" s="21">
        <v>1</v>
      </c>
      <c r="E2440" s="12">
        <v>139</v>
      </c>
      <c r="F2440" s="10" t="str">
        <f>_xlfn.XLOOKUP(C2440,menu!A:A,menu!B:B)</f>
        <v>Chicken Strips</v>
      </c>
      <c r="G2440" s="10" t="str">
        <f>_xlfn.XLOOKUP(C2440,menu!A:A,menu!C:C)</f>
        <v>Starters</v>
      </c>
      <c r="H2440" s="10">
        <f>_xlfn.XLOOKUP(C2440,menu!A:A,menu!E:E)</f>
        <v>42</v>
      </c>
      <c r="I2440" s="10">
        <f t="shared" si="38"/>
        <v>42</v>
      </c>
      <c r="K2440" s="10"/>
      <c r="L2440" s="5"/>
    </row>
    <row r="2441" spans="1:12" x14ac:dyDescent="0.25">
      <c r="A2441" s="5" t="s">
        <v>3879</v>
      </c>
      <c r="B2441" s="5" t="s">
        <v>3877</v>
      </c>
      <c r="C2441" s="5" t="s">
        <v>5</v>
      </c>
      <c r="D2441" s="21">
        <v>2</v>
      </c>
      <c r="E2441" s="12">
        <v>158</v>
      </c>
      <c r="F2441" s="10" t="str">
        <f>_xlfn.XLOOKUP(C2441,menu!A:A,menu!B:B)</f>
        <v>Veg Sandwich</v>
      </c>
      <c r="G2441" s="10" t="str">
        <f>_xlfn.XLOOKUP(C2441,menu!A:A,menu!C:C)</f>
        <v>Sandwich</v>
      </c>
      <c r="H2441" s="10">
        <f>_xlfn.XLOOKUP(C2441,menu!A:A,menu!E:E)</f>
        <v>24</v>
      </c>
      <c r="I2441" s="10">
        <f t="shared" si="38"/>
        <v>48</v>
      </c>
      <c r="K2441" s="10"/>
      <c r="L2441" s="5"/>
    </row>
    <row r="2442" spans="1:12" x14ac:dyDescent="0.25">
      <c r="A2442" s="5" t="s">
        <v>3878</v>
      </c>
      <c r="B2442" s="5" t="s">
        <v>3877</v>
      </c>
      <c r="C2442" s="5" t="s">
        <v>15</v>
      </c>
      <c r="D2442" s="21">
        <v>2</v>
      </c>
      <c r="E2442" s="12">
        <v>198</v>
      </c>
      <c r="F2442" s="10" t="str">
        <f>_xlfn.XLOOKUP(C2442,menu!A:A,menu!B:B)</f>
        <v>Chicken Momos</v>
      </c>
      <c r="G2442" s="10" t="str">
        <f>_xlfn.XLOOKUP(C2442,menu!A:A,menu!C:C)</f>
        <v>Momos</v>
      </c>
      <c r="H2442" s="10">
        <f>_xlfn.XLOOKUP(C2442,menu!A:A,menu!E:E)</f>
        <v>30</v>
      </c>
      <c r="I2442" s="10">
        <f t="shared" si="38"/>
        <v>60</v>
      </c>
      <c r="K2442" s="10"/>
      <c r="L2442" s="5"/>
    </row>
    <row r="2443" spans="1:12" x14ac:dyDescent="0.25">
      <c r="A2443" s="5" t="s">
        <v>3876</v>
      </c>
      <c r="B2443" s="5" t="s">
        <v>3873</v>
      </c>
      <c r="C2443" s="5" t="s">
        <v>54</v>
      </c>
      <c r="D2443" s="21">
        <v>4</v>
      </c>
      <c r="E2443" s="12">
        <v>556</v>
      </c>
      <c r="F2443" s="10" t="str">
        <f>_xlfn.XLOOKUP(C2443,menu!A:A,menu!B:B)</f>
        <v>Chicken Strips</v>
      </c>
      <c r="G2443" s="10" t="str">
        <f>_xlfn.XLOOKUP(C2443,menu!A:A,menu!C:C)</f>
        <v>Starters</v>
      </c>
      <c r="H2443" s="10">
        <f>_xlfn.XLOOKUP(C2443,menu!A:A,menu!E:E)</f>
        <v>42</v>
      </c>
      <c r="I2443" s="10">
        <f t="shared" si="38"/>
        <v>168</v>
      </c>
      <c r="K2443" s="10"/>
      <c r="L2443" s="5"/>
    </row>
    <row r="2444" spans="1:12" x14ac:dyDescent="0.25">
      <c r="A2444" s="5" t="s">
        <v>3875</v>
      </c>
      <c r="B2444" s="5" t="s">
        <v>3873</v>
      </c>
      <c r="C2444" s="5" t="s">
        <v>31</v>
      </c>
      <c r="D2444" s="21">
        <v>1</v>
      </c>
      <c r="E2444" s="12">
        <v>89</v>
      </c>
      <c r="F2444" s="10" t="str">
        <f>_xlfn.XLOOKUP(C2444,menu!A:A,menu!B:B)</f>
        <v>Chicken Roll</v>
      </c>
      <c r="G2444" s="10" t="str">
        <f>_xlfn.XLOOKUP(C2444,menu!A:A,menu!C:C)</f>
        <v>Rolls</v>
      </c>
      <c r="H2444" s="10">
        <f>_xlfn.XLOOKUP(C2444,menu!A:A,menu!E:E)</f>
        <v>27</v>
      </c>
      <c r="I2444" s="10">
        <f t="shared" si="38"/>
        <v>27</v>
      </c>
      <c r="K2444" s="10"/>
      <c r="L2444" s="5"/>
    </row>
    <row r="2445" spans="1:12" x14ac:dyDescent="0.25">
      <c r="A2445" s="5" t="s">
        <v>3874</v>
      </c>
      <c r="B2445" s="5" t="s">
        <v>3873</v>
      </c>
      <c r="C2445" s="5" t="s">
        <v>38</v>
      </c>
      <c r="D2445" s="21">
        <v>2</v>
      </c>
      <c r="E2445" s="12">
        <v>298</v>
      </c>
      <c r="F2445" s="10" t="str">
        <f>_xlfn.XLOOKUP(C2445,menu!A:A,menu!B:B)</f>
        <v>Chicken Wings</v>
      </c>
      <c r="G2445" s="10" t="str">
        <f>_xlfn.XLOOKUP(C2445,menu!A:A,menu!C:C)</f>
        <v>Starters</v>
      </c>
      <c r="H2445" s="10">
        <f>_xlfn.XLOOKUP(C2445,menu!A:A,menu!E:E)</f>
        <v>45</v>
      </c>
      <c r="I2445" s="10">
        <f t="shared" si="38"/>
        <v>90</v>
      </c>
      <c r="K2445" s="10"/>
      <c r="L2445" s="5"/>
    </row>
    <row r="2446" spans="1:12" x14ac:dyDescent="0.25">
      <c r="A2446" s="5" t="s">
        <v>3872</v>
      </c>
      <c r="B2446" s="5" t="s">
        <v>3870</v>
      </c>
      <c r="C2446" s="5" t="s">
        <v>40</v>
      </c>
      <c r="D2446" s="21">
        <v>1</v>
      </c>
      <c r="E2446" s="12">
        <v>99</v>
      </c>
      <c r="F2446" s="10" t="str">
        <f>_xlfn.XLOOKUP(C2446,menu!A:A,menu!B:B)</f>
        <v>Veg Nuggets</v>
      </c>
      <c r="G2446" s="10" t="str">
        <f>_xlfn.XLOOKUP(C2446,menu!A:A,menu!C:C)</f>
        <v>Starters</v>
      </c>
      <c r="H2446" s="10">
        <f>_xlfn.XLOOKUP(C2446,menu!A:A,menu!E:E)</f>
        <v>30</v>
      </c>
      <c r="I2446" s="10">
        <f t="shared" si="38"/>
        <v>30</v>
      </c>
      <c r="K2446" s="10"/>
      <c r="L2446" s="5"/>
    </row>
    <row r="2447" spans="1:12" x14ac:dyDescent="0.25">
      <c r="A2447" s="5" t="s">
        <v>3871</v>
      </c>
      <c r="B2447" s="5" t="s">
        <v>3870</v>
      </c>
      <c r="C2447" s="5" t="s">
        <v>17</v>
      </c>
      <c r="D2447" s="21">
        <v>1</v>
      </c>
      <c r="E2447" s="12">
        <v>89</v>
      </c>
      <c r="F2447" s="10" t="str">
        <f>_xlfn.XLOOKUP(C2447,menu!A:A,menu!B:B)</f>
        <v>Paneer Momos</v>
      </c>
      <c r="G2447" s="10" t="str">
        <f>_xlfn.XLOOKUP(C2447,menu!A:A,menu!C:C)</f>
        <v>Momos</v>
      </c>
      <c r="H2447" s="10">
        <f>_xlfn.XLOOKUP(C2447,menu!A:A,menu!E:E)</f>
        <v>27</v>
      </c>
      <c r="I2447" s="10">
        <f t="shared" si="38"/>
        <v>27</v>
      </c>
      <c r="K2447" s="10"/>
      <c r="L2447" s="5"/>
    </row>
    <row r="2448" spans="1:12" x14ac:dyDescent="0.25">
      <c r="A2448" s="5" t="s">
        <v>3869</v>
      </c>
      <c r="B2448" s="5" t="s">
        <v>3867</v>
      </c>
      <c r="C2448" s="5" t="s">
        <v>63</v>
      </c>
      <c r="D2448" s="21">
        <v>1</v>
      </c>
      <c r="E2448" s="12">
        <v>79</v>
      </c>
      <c r="F2448" s="10" t="str">
        <f>_xlfn.XLOOKUP(C2448,menu!A:A,menu!B:B)</f>
        <v>Virgin Mojito</v>
      </c>
      <c r="G2448" s="10" t="str">
        <f>_xlfn.XLOOKUP(C2448,menu!A:A,menu!C:C)</f>
        <v>Beverages</v>
      </c>
      <c r="H2448" s="10">
        <f>_xlfn.XLOOKUP(C2448,menu!A:A,menu!E:E)</f>
        <v>24</v>
      </c>
      <c r="I2448" s="10">
        <f t="shared" si="38"/>
        <v>24</v>
      </c>
      <c r="K2448" s="10"/>
      <c r="L2448" s="5"/>
    </row>
    <row r="2449" spans="1:12" x14ac:dyDescent="0.25">
      <c r="A2449" s="5" t="s">
        <v>3868</v>
      </c>
      <c r="B2449" s="5" t="s">
        <v>3867</v>
      </c>
      <c r="C2449" s="5" t="s">
        <v>61</v>
      </c>
      <c r="D2449" s="21">
        <v>1</v>
      </c>
      <c r="E2449" s="12">
        <v>79</v>
      </c>
      <c r="F2449" s="10" t="str">
        <f>_xlfn.XLOOKUP(C2449,menu!A:A,menu!B:B)</f>
        <v>Watermelon Mojito</v>
      </c>
      <c r="G2449" s="10" t="str">
        <f>_xlfn.XLOOKUP(C2449,menu!A:A,menu!C:C)</f>
        <v>Beverages</v>
      </c>
      <c r="H2449" s="10">
        <f>_xlfn.XLOOKUP(C2449,menu!A:A,menu!E:E)</f>
        <v>24</v>
      </c>
      <c r="I2449" s="10">
        <f t="shared" si="38"/>
        <v>24</v>
      </c>
      <c r="K2449" s="10"/>
      <c r="L2449" s="5"/>
    </row>
    <row r="2450" spans="1:12" x14ac:dyDescent="0.25">
      <c r="A2450" s="5" t="s">
        <v>3866</v>
      </c>
      <c r="B2450" s="5" t="s">
        <v>3863</v>
      </c>
      <c r="C2450" s="5" t="s">
        <v>44</v>
      </c>
      <c r="D2450" s="21">
        <v>1</v>
      </c>
      <c r="E2450" s="12">
        <v>159</v>
      </c>
      <c r="F2450" s="10" t="str">
        <f>_xlfn.XLOOKUP(C2450,menu!A:A,menu!B:B)</f>
        <v>Fried Chicken</v>
      </c>
      <c r="G2450" s="10" t="str">
        <f>_xlfn.XLOOKUP(C2450,menu!A:A,menu!C:C)</f>
        <v>Starters</v>
      </c>
      <c r="H2450" s="10">
        <f>_xlfn.XLOOKUP(C2450,menu!A:A,menu!E:E)</f>
        <v>48</v>
      </c>
      <c r="I2450" s="10">
        <f t="shared" si="38"/>
        <v>48</v>
      </c>
      <c r="K2450" s="10"/>
      <c r="L2450" s="5"/>
    </row>
    <row r="2451" spans="1:12" x14ac:dyDescent="0.25">
      <c r="A2451" s="5" t="s">
        <v>3865</v>
      </c>
      <c r="B2451" s="5" t="s">
        <v>3863</v>
      </c>
      <c r="C2451" s="5" t="s">
        <v>46</v>
      </c>
      <c r="D2451" s="21">
        <v>2</v>
      </c>
      <c r="E2451" s="12">
        <v>298</v>
      </c>
      <c r="F2451" s="10" t="str">
        <f>_xlfn.XLOOKUP(C2451,menu!A:A,menu!B:B)</f>
        <v>Fish Finger</v>
      </c>
      <c r="G2451" s="10" t="str">
        <f>_xlfn.XLOOKUP(C2451,menu!A:A,menu!C:C)</f>
        <v>Starters</v>
      </c>
      <c r="H2451" s="10">
        <f>_xlfn.XLOOKUP(C2451,menu!A:A,menu!E:E)</f>
        <v>45</v>
      </c>
      <c r="I2451" s="10">
        <f t="shared" si="38"/>
        <v>90</v>
      </c>
      <c r="K2451" s="10"/>
      <c r="L2451" s="5"/>
    </row>
    <row r="2452" spans="1:12" x14ac:dyDescent="0.25">
      <c r="A2452" s="5" t="s">
        <v>3864</v>
      </c>
      <c r="B2452" s="5" t="s">
        <v>3863</v>
      </c>
      <c r="C2452" s="5" t="s">
        <v>42</v>
      </c>
      <c r="D2452" s="21">
        <v>1</v>
      </c>
      <c r="E2452" s="12">
        <v>149</v>
      </c>
      <c r="F2452" s="10" t="str">
        <f>_xlfn.XLOOKUP(C2452,menu!A:A,menu!B:B)</f>
        <v>Chicken Popcorn</v>
      </c>
      <c r="G2452" s="10" t="str">
        <f>_xlfn.XLOOKUP(C2452,menu!A:A,menu!C:C)</f>
        <v>Starters</v>
      </c>
      <c r="H2452" s="10">
        <f>_xlfn.XLOOKUP(C2452,menu!A:A,menu!E:E)</f>
        <v>45</v>
      </c>
      <c r="I2452" s="10">
        <f t="shared" si="38"/>
        <v>45</v>
      </c>
      <c r="K2452" s="10"/>
      <c r="L2452" s="5"/>
    </row>
    <row r="2453" spans="1:12" x14ac:dyDescent="0.25">
      <c r="A2453" s="5" t="s">
        <v>3862</v>
      </c>
      <c r="B2453" s="5" t="s">
        <v>3859</v>
      </c>
      <c r="C2453" s="5" t="s">
        <v>38</v>
      </c>
      <c r="D2453" s="21">
        <v>2</v>
      </c>
      <c r="E2453" s="12">
        <v>298</v>
      </c>
      <c r="F2453" s="10" t="str">
        <f>_xlfn.XLOOKUP(C2453,menu!A:A,menu!B:B)</f>
        <v>Chicken Wings</v>
      </c>
      <c r="G2453" s="10" t="str">
        <f>_xlfn.XLOOKUP(C2453,menu!A:A,menu!C:C)</f>
        <v>Starters</v>
      </c>
      <c r="H2453" s="10">
        <f>_xlfn.XLOOKUP(C2453,menu!A:A,menu!E:E)</f>
        <v>45</v>
      </c>
      <c r="I2453" s="10">
        <f t="shared" si="38"/>
        <v>90</v>
      </c>
      <c r="K2453" s="10"/>
      <c r="L2453" s="5"/>
    </row>
    <row r="2454" spans="1:12" x14ac:dyDescent="0.25">
      <c r="A2454" s="5" t="s">
        <v>3861</v>
      </c>
      <c r="B2454" s="5" t="s">
        <v>3859</v>
      </c>
      <c r="C2454" s="5" t="s">
        <v>33</v>
      </c>
      <c r="D2454" s="21">
        <v>3</v>
      </c>
      <c r="E2454" s="12">
        <v>207</v>
      </c>
      <c r="F2454" s="10" t="str">
        <f>_xlfn.XLOOKUP(C2454,menu!A:A,menu!B:B)</f>
        <v>Spring Roll</v>
      </c>
      <c r="G2454" s="10" t="str">
        <f>_xlfn.XLOOKUP(C2454,menu!A:A,menu!C:C)</f>
        <v>Rolls</v>
      </c>
      <c r="H2454" s="10">
        <f>_xlfn.XLOOKUP(C2454,menu!A:A,menu!E:E)</f>
        <v>21</v>
      </c>
      <c r="I2454" s="10">
        <f t="shared" si="38"/>
        <v>63</v>
      </c>
      <c r="K2454" s="10"/>
      <c r="L2454" s="5"/>
    </row>
    <row r="2455" spans="1:12" x14ac:dyDescent="0.25">
      <c r="A2455" s="5" t="s">
        <v>3860</v>
      </c>
      <c r="B2455" s="5" t="s">
        <v>3859</v>
      </c>
      <c r="C2455" s="5" t="s">
        <v>24</v>
      </c>
      <c r="D2455" s="21">
        <v>4</v>
      </c>
      <c r="E2455" s="12">
        <v>356</v>
      </c>
      <c r="F2455" s="10" t="str">
        <f>_xlfn.XLOOKUP(C2455,menu!A:A,menu!B:B)</f>
        <v>Paneer Burger</v>
      </c>
      <c r="G2455" s="10" t="str">
        <f>_xlfn.XLOOKUP(C2455,menu!A:A,menu!C:C)</f>
        <v>Burger</v>
      </c>
      <c r="H2455" s="10">
        <f>_xlfn.XLOOKUP(C2455,menu!A:A,menu!E:E)</f>
        <v>27</v>
      </c>
      <c r="I2455" s="10">
        <f t="shared" si="38"/>
        <v>108</v>
      </c>
      <c r="K2455" s="10"/>
      <c r="L2455" s="5"/>
    </row>
    <row r="2456" spans="1:12" x14ac:dyDescent="0.25">
      <c r="A2456" s="5" t="s">
        <v>3858</v>
      </c>
      <c r="B2456" s="5" t="s">
        <v>3854</v>
      </c>
      <c r="C2456" s="5" t="s">
        <v>17</v>
      </c>
      <c r="D2456" s="21">
        <v>1</v>
      </c>
      <c r="E2456" s="12">
        <v>89</v>
      </c>
      <c r="F2456" s="10" t="str">
        <f>_xlfn.XLOOKUP(C2456,menu!A:A,menu!B:B)</f>
        <v>Paneer Momos</v>
      </c>
      <c r="G2456" s="10" t="str">
        <f>_xlfn.XLOOKUP(C2456,menu!A:A,menu!C:C)</f>
        <v>Momos</v>
      </c>
      <c r="H2456" s="10">
        <f>_xlfn.XLOOKUP(C2456,menu!A:A,menu!E:E)</f>
        <v>27</v>
      </c>
      <c r="I2456" s="10">
        <f t="shared" si="38"/>
        <v>27</v>
      </c>
      <c r="K2456" s="10"/>
      <c r="L2456" s="5"/>
    </row>
    <row r="2457" spans="1:12" x14ac:dyDescent="0.25">
      <c r="A2457" s="5" t="s">
        <v>3857</v>
      </c>
      <c r="B2457" s="5" t="s">
        <v>3854</v>
      </c>
      <c r="C2457" s="5" t="s">
        <v>50</v>
      </c>
      <c r="D2457" s="21">
        <v>3</v>
      </c>
      <c r="E2457" s="12">
        <v>447</v>
      </c>
      <c r="F2457" s="10" t="str">
        <f>_xlfn.XLOOKUP(C2457,menu!A:A,menu!B:B)</f>
        <v>Grab Lollipop</v>
      </c>
      <c r="G2457" s="10" t="str">
        <f>_xlfn.XLOOKUP(C2457,menu!A:A,menu!C:C)</f>
        <v>Starters</v>
      </c>
      <c r="H2457" s="10">
        <f>_xlfn.XLOOKUP(C2457,menu!A:A,menu!E:E)</f>
        <v>45</v>
      </c>
      <c r="I2457" s="10">
        <f t="shared" si="38"/>
        <v>135</v>
      </c>
      <c r="K2457" s="10"/>
      <c r="L2457" s="5"/>
    </row>
    <row r="2458" spans="1:12" x14ac:dyDescent="0.25">
      <c r="A2458" s="5" t="s">
        <v>3856</v>
      </c>
      <c r="B2458" s="5" t="s">
        <v>3854</v>
      </c>
      <c r="C2458" s="5" t="s">
        <v>44</v>
      </c>
      <c r="D2458" s="21">
        <v>3</v>
      </c>
      <c r="E2458" s="12">
        <v>477</v>
      </c>
      <c r="F2458" s="10" t="str">
        <f>_xlfn.XLOOKUP(C2458,menu!A:A,menu!B:B)</f>
        <v>Fried Chicken</v>
      </c>
      <c r="G2458" s="10" t="str">
        <f>_xlfn.XLOOKUP(C2458,menu!A:A,menu!C:C)</f>
        <v>Starters</v>
      </c>
      <c r="H2458" s="10">
        <f>_xlfn.XLOOKUP(C2458,menu!A:A,menu!E:E)</f>
        <v>48</v>
      </c>
      <c r="I2458" s="10">
        <f t="shared" si="38"/>
        <v>144</v>
      </c>
      <c r="K2458" s="10"/>
      <c r="L2458" s="5"/>
    </row>
    <row r="2459" spans="1:12" x14ac:dyDescent="0.25">
      <c r="A2459" s="5" t="s">
        <v>3855</v>
      </c>
      <c r="B2459" s="5" t="s">
        <v>3854</v>
      </c>
      <c r="C2459" s="5" t="s">
        <v>48</v>
      </c>
      <c r="D2459" s="21">
        <v>1</v>
      </c>
      <c r="E2459" s="12">
        <v>159</v>
      </c>
      <c r="F2459" s="10" t="str">
        <f>_xlfn.XLOOKUP(C2459,menu!A:A,menu!B:B)</f>
        <v>Chicken Lollipop</v>
      </c>
      <c r="G2459" s="10" t="str">
        <f>_xlfn.XLOOKUP(C2459,menu!A:A,menu!C:C)</f>
        <v>Starters</v>
      </c>
      <c r="H2459" s="10">
        <f>_xlfn.XLOOKUP(C2459,menu!A:A,menu!E:E)</f>
        <v>48</v>
      </c>
      <c r="I2459" s="10">
        <f t="shared" si="38"/>
        <v>48</v>
      </c>
      <c r="K2459" s="10"/>
      <c r="L2459" s="5"/>
    </row>
    <row r="2460" spans="1:12" x14ac:dyDescent="0.25">
      <c r="A2460" s="5" t="s">
        <v>3853</v>
      </c>
      <c r="B2460" s="5" t="s">
        <v>3850</v>
      </c>
      <c r="C2460" s="5" t="s">
        <v>19</v>
      </c>
      <c r="D2460" s="21">
        <v>1</v>
      </c>
      <c r="E2460" s="12">
        <v>79</v>
      </c>
      <c r="F2460" s="10" t="str">
        <f>_xlfn.XLOOKUP(C2460,menu!A:A,menu!B:B)</f>
        <v>Veg Burger</v>
      </c>
      <c r="G2460" s="10" t="str">
        <f>_xlfn.XLOOKUP(C2460,menu!A:A,menu!C:C)</f>
        <v>Burger</v>
      </c>
      <c r="H2460" s="10">
        <f>_xlfn.XLOOKUP(C2460,menu!A:A,menu!E:E)</f>
        <v>24</v>
      </c>
      <c r="I2460" s="10">
        <f t="shared" si="38"/>
        <v>24</v>
      </c>
      <c r="K2460" s="10"/>
      <c r="L2460" s="5"/>
    </row>
    <row r="2461" spans="1:12" x14ac:dyDescent="0.25">
      <c r="A2461" s="5" t="s">
        <v>3852</v>
      </c>
      <c r="B2461" s="5" t="s">
        <v>3850</v>
      </c>
      <c r="C2461" s="5" t="s">
        <v>52</v>
      </c>
      <c r="D2461" s="21">
        <v>4</v>
      </c>
      <c r="E2461" s="12">
        <v>396</v>
      </c>
      <c r="F2461" s="10" t="str">
        <f>_xlfn.XLOOKUP(C2461,menu!A:A,menu!B:B)</f>
        <v>French Fries</v>
      </c>
      <c r="G2461" s="10" t="str">
        <f>_xlfn.XLOOKUP(C2461,menu!A:A,menu!C:C)</f>
        <v>Starters</v>
      </c>
      <c r="H2461" s="10">
        <f>_xlfn.XLOOKUP(C2461,menu!A:A,menu!E:E)</f>
        <v>30</v>
      </c>
      <c r="I2461" s="10">
        <f t="shared" si="38"/>
        <v>120</v>
      </c>
      <c r="K2461" s="10"/>
      <c r="L2461" s="5"/>
    </row>
    <row r="2462" spans="1:12" x14ac:dyDescent="0.25">
      <c r="A2462" s="5" t="s">
        <v>3851</v>
      </c>
      <c r="B2462" s="5" t="s">
        <v>3850</v>
      </c>
      <c r="C2462" s="5" t="s">
        <v>48</v>
      </c>
      <c r="D2462" s="21">
        <v>4</v>
      </c>
      <c r="E2462" s="12">
        <v>636</v>
      </c>
      <c r="F2462" s="10" t="str">
        <f>_xlfn.XLOOKUP(C2462,menu!A:A,menu!B:B)</f>
        <v>Chicken Lollipop</v>
      </c>
      <c r="G2462" s="10" t="str">
        <f>_xlfn.XLOOKUP(C2462,menu!A:A,menu!C:C)</f>
        <v>Starters</v>
      </c>
      <c r="H2462" s="10">
        <f>_xlfn.XLOOKUP(C2462,menu!A:A,menu!E:E)</f>
        <v>48</v>
      </c>
      <c r="I2462" s="10">
        <f t="shared" si="38"/>
        <v>192</v>
      </c>
      <c r="K2462" s="10"/>
      <c r="L2462" s="5"/>
    </row>
    <row r="2463" spans="1:12" x14ac:dyDescent="0.25">
      <c r="A2463" s="5" t="s">
        <v>3849</v>
      </c>
      <c r="B2463" s="5" t="s">
        <v>3846</v>
      </c>
      <c r="C2463" s="5" t="s">
        <v>17</v>
      </c>
      <c r="D2463" s="21">
        <v>1</v>
      </c>
      <c r="E2463" s="12">
        <v>89</v>
      </c>
      <c r="F2463" s="10" t="str">
        <f>_xlfn.XLOOKUP(C2463,menu!A:A,menu!B:B)</f>
        <v>Paneer Momos</v>
      </c>
      <c r="G2463" s="10" t="str">
        <f>_xlfn.XLOOKUP(C2463,menu!A:A,menu!C:C)</f>
        <v>Momos</v>
      </c>
      <c r="H2463" s="10">
        <f>_xlfn.XLOOKUP(C2463,menu!A:A,menu!E:E)</f>
        <v>27</v>
      </c>
      <c r="I2463" s="10">
        <f t="shared" si="38"/>
        <v>27</v>
      </c>
      <c r="K2463" s="10"/>
      <c r="L2463" s="5"/>
    </row>
    <row r="2464" spans="1:12" x14ac:dyDescent="0.25">
      <c r="A2464" s="5" t="s">
        <v>3848</v>
      </c>
      <c r="B2464" s="5" t="s">
        <v>3846</v>
      </c>
      <c r="C2464" s="5" t="s">
        <v>8</v>
      </c>
      <c r="D2464" s="21">
        <v>1</v>
      </c>
      <c r="E2464" s="12">
        <v>99</v>
      </c>
      <c r="F2464" s="10" t="str">
        <f>_xlfn.XLOOKUP(C2464,menu!A:A,menu!B:B)</f>
        <v>Paneer Sandwich</v>
      </c>
      <c r="G2464" s="10" t="str">
        <f>_xlfn.XLOOKUP(C2464,menu!A:A,menu!C:C)</f>
        <v>Sandwich</v>
      </c>
      <c r="H2464" s="10">
        <f>_xlfn.XLOOKUP(C2464,menu!A:A,menu!E:E)</f>
        <v>30</v>
      </c>
      <c r="I2464" s="10">
        <f t="shared" si="38"/>
        <v>30</v>
      </c>
      <c r="K2464" s="10"/>
      <c r="L2464" s="5"/>
    </row>
    <row r="2465" spans="1:12" x14ac:dyDescent="0.25">
      <c r="A2465" s="5" t="s">
        <v>3847</v>
      </c>
      <c r="B2465" s="5" t="s">
        <v>3846</v>
      </c>
      <c r="C2465" s="5" t="s">
        <v>48</v>
      </c>
      <c r="D2465" s="21">
        <v>3</v>
      </c>
      <c r="E2465" s="12">
        <v>477</v>
      </c>
      <c r="F2465" s="10" t="str">
        <f>_xlfn.XLOOKUP(C2465,menu!A:A,menu!B:B)</f>
        <v>Chicken Lollipop</v>
      </c>
      <c r="G2465" s="10" t="str">
        <f>_xlfn.XLOOKUP(C2465,menu!A:A,menu!C:C)</f>
        <v>Starters</v>
      </c>
      <c r="H2465" s="10">
        <f>_xlfn.XLOOKUP(C2465,menu!A:A,menu!E:E)</f>
        <v>48</v>
      </c>
      <c r="I2465" s="10">
        <f t="shared" si="38"/>
        <v>144</v>
      </c>
      <c r="K2465" s="10"/>
      <c r="L2465" s="5"/>
    </row>
    <row r="2466" spans="1:12" x14ac:dyDescent="0.25">
      <c r="A2466" s="5" t="s">
        <v>3845</v>
      </c>
      <c r="B2466" s="5" t="s">
        <v>3842</v>
      </c>
      <c r="C2466" s="5" t="s">
        <v>56</v>
      </c>
      <c r="D2466" s="21">
        <v>2</v>
      </c>
      <c r="E2466" s="12">
        <v>158</v>
      </c>
      <c r="F2466" s="10" t="str">
        <f>_xlfn.XLOOKUP(C2466,menu!A:A,menu!B:B)</f>
        <v>Mint Mojito</v>
      </c>
      <c r="G2466" s="10" t="str">
        <f>_xlfn.XLOOKUP(C2466,menu!A:A,menu!C:C)</f>
        <v>Beverages</v>
      </c>
      <c r="H2466" s="10">
        <f>_xlfn.XLOOKUP(C2466,menu!A:A,menu!E:E)</f>
        <v>24</v>
      </c>
      <c r="I2466" s="10">
        <f t="shared" si="38"/>
        <v>48</v>
      </c>
      <c r="K2466" s="10"/>
      <c r="L2466" s="5"/>
    </row>
    <row r="2467" spans="1:12" x14ac:dyDescent="0.25">
      <c r="A2467" s="5" t="s">
        <v>3844</v>
      </c>
      <c r="B2467" s="5" t="s">
        <v>3842</v>
      </c>
      <c r="C2467" s="5" t="s">
        <v>46</v>
      </c>
      <c r="D2467" s="21">
        <v>1</v>
      </c>
      <c r="E2467" s="12">
        <v>149</v>
      </c>
      <c r="F2467" s="10" t="str">
        <f>_xlfn.XLOOKUP(C2467,menu!A:A,menu!B:B)</f>
        <v>Fish Finger</v>
      </c>
      <c r="G2467" s="10" t="str">
        <f>_xlfn.XLOOKUP(C2467,menu!A:A,menu!C:C)</f>
        <v>Starters</v>
      </c>
      <c r="H2467" s="10">
        <f>_xlfn.XLOOKUP(C2467,menu!A:A,menu!E:E)</f>
        <v>45</v>
      </c>
      <c r="I2467" s="10">
        <f t="shared" si="38"/>
        <v>45</v>
      </c>
      <c r="K2467" s="10"/>
      <c r="L2467" s="5"/>
    </row>
    <row r="2468" spans="1:12" x14ac:dyDescent="0.25">
      <c r="A2468" s="5" t="s">
        <v>3843</v>
      </c>
      <c r="B2468" s="5" t="s">
        <v>3842</v>
      </c>
      <c r="C2468" s="5" t="s">
        <v>48</v>
      </c>
      <c r="D2468" s="21">
        <v>1</v>
      </c>
      <c r="E2468" s="12">
        <v>159</v>
      </c>
      <c r="F2468" s="10" t="str">
        <f>_xlfn.XLOOKUP(C2468,menu!A:A,menu!B:B)</f>
        <v>Chicken Lollipop</v>
      </c>
      <c r="G2468" s="10" t="str">
        <f>_xlfn.XLOOKUP(C2468,menu!A:A,menu!C:C)</f>
        <v>Starters</v>
      </c>
      <c r="H2468" s="10">
        <f>_xlfn.XLOOKUP(C2468,menu!A:A,menu!E:E)</f>
        <v>48</v>
      </c>
      <c r="I2468" s="10">
        <f t="shared" si="38"/>
        <v>48</v>
      </c>
      <c r="K2468" s="10"/>
      <c r="L2468" s="5"/>
    </row>
    <row r="2469" spans="1:12" x14ac:dyDescent="0.25">
      <c r="A2469" s="5" t="s">
        <v>3841</v>
      </c>
      <c r="B2469" s="5" t="s">
        <v>3837</v>
      </c>
      <c r="C2469" s="5" t="s">
        <v>52</v>
      </c>
      <c r="D2469" s="21">
        <v>1</v>
      </c>
      <c r="E2469" s="12">
        <v>99</v>
      </c>
      <c r="F2469" s="10" t="str">
        <f>_xlfn.XLOOKUP(C2469,menu!A:A,menu!B:B)</f>
        <v>French Fries</v>
      </c>
      <c r="G2469" s="10" t="str">
        <f>_xlfn.XLOOKUP(C2469,menu!A:A,menu!C:C)</f>
        <v>Starters</v>
      </c>
      <c r="H2469" s="10">
        <f>_xlfn.XLOOKUP(C2469,menu!A:A,menu!E:E)</f>
        <v>30</v>
      </c>
      <c r="I2469" s="10">
        <f t="shared" si="38"/>
        <v>30</v>
      </c>
      <c r="K2469" s="10"/>
      <c r="L2469" s="5"/>
    </row>
    <row r="2470" spans="1:12" x14ac:dyDescent="0.25">
      <c r="A2470" s="5" t="s">
        <v>3840</v>
      </c>
      <c r="B2470" s="5" t="s">
        <v>3837</v>
      </c>
      <c r="C2470" s="5" t="s">
        <v>44</v>
      </c>
      <c r="D2470" s="21">
        <v>1</v>
      </c>
      <c r="E2470" s="12">
        <v>159</v>
      </c>
      <c r="F2470" s="10" t="str">
        <f>_xlfn.XLOOKUP(C2470,menu!A:A,menu!B:B)</f>
        <v>Fried Chicken</v>
      </c>
      <c r="G2470" s="10" t="str">
        <f>_xlfn.XLOOKUP(C2470,menu!A:A,menu!C:C)</f>
        <v>Starters</v>
      </c>
      <c r="H2470" s="10">
        <f>_xlfn.XLOOKUP(C2470,menu!A:A,menu!E:E)</f>
        <v>48</v>
      </c>
      <c r="I2470" s="10">
        <f t="shared" si="38"/>
        <v>48</v>
      </c>
      <c r="K2470" s="10"/>
      <c r="L2470" s="5"/>
    </row>
    <row r="2471" spans="1:12" x14ac:dyDescent="0.25">
      <c r="A2471" s="5" t="s">
        <v>3839</v>
      </c>
      <c r="B2471" s="5" t="s">
        <v>3837</v>
      </c>
      <c r="C2471" s="5" t="s">
        <v>42</v>
      </c>
      <c r="D2471" s="21">
        <v>3</v>
      </c>
      <c r="E2471" s="12">
        <v>447</v>
      </c>
      <c r="F2471" s="10" t="str">
        <f>_xlfn.XLOOKUP(C2471,menu!A:A,menu!B:B)</f>
        <v>Chicken Popcorn</v>
      </c>
      <c r="G2471" s="10" t="str">
        <f>_xlfn.XLOOKUP(C2471,menu!A:A,menu!C:C)</f>
        <v>Starters</v>
      </c>
      <c r="H2471" s="10">
        <f>_xlfn.XLOOKUP(C2471,menu!A:A,menu!E:E)</f>
        <v>45</v>
      </c>
      <c r="I2471" s="10">
        <f t="shared" si="38"/>
        <v>135</v>
      </c>
      <c r="K2471" s="10"/>
      <c r="L2471" s="5"/>
    </row>
    <row r="2472" spans="1:12" x14ac:dyDescent="0.25">
      <c r="A2472" s="5" t="s">
        <v>3838</v>
      </c>
      <c r="B2472" s="5" t="s">
        <v>3837</v>
      </c>
      <c r="C2472" s="5" t="s">
        <v>54</v>
      </c>
      <c r="D2472" s="21">
        <v>1</v>
      </c>
      <c r="E2472" s="12">
        <v>139</v>
      </c>
      <c r="F2472" s="10" t="str">
        <f>_xlfn.XLOOKUP(C2472,menu!A:A,menu!B:B)</f>
        <v>Chicken Strips</v>
      </c>
      <c r="G2472" s="10" t="str">
        <f>_xlfn.XLOOKUP(C2472,menu!A:A,menu!C:C)</f>
        <v>Starters</v>
      </c>
      <c r="H2472" s="10">
        <f>_xlfn.XLOOKUP(C2472,menu!A:A,menu!E:E)</f>
        <v>42</v>
      </c>
      <c r="I2472" s="10">
        <f t="shared" si="38"/>
        <v>42</v>
      </c>
      <c r="K2472" s="10"/>
      <c r="L2472" s="5"/>
    </row>
    <row r="2473" spans="1:12" x14ac:dyDescent="0.25">
      <c r="A2473" s="5" t="s">
        <v>3836</v>
      </c>
      <c r="B2473" s="5" t="s">
        <v>3833</v>
      </c>
      <c r="C2473" s="5" t="s">
        <v>12</v>
      </c>
      <c r="D2473" s="21">
        <v>1</v>
      </c>
      <c r="E2473" s="12">
        <v>79</v>
      </c>
      <c r="F2473" s="10" t="str">
        <f>_xlfn.XLOOKUP(C2473,menu!A:A,menu!B:B)</f>
        <v>Veg Momos</v>
      </c>
      <c r="G2473" s="10" t="str">
        <f>_xlfn.XLOOKUP(C2473,menu!A:A,menu!C:C)</f>
        <v>Momos</v>
      </c>
      <c r="H2473" s="10">
        <f>_xlfn.XLOOKUP(C2473,menu!A:A,menu!E:E)</f>
        <v>24</v>
      </c>
      <c r="I2473" s="10">
        <f t="shared" si="38"/>
        <v>24</v>
      </c>
      <c r="K2473" s="10"/>
      <c r="L2473" s="5"/>
    </row>
    <row r="2474" spans="1:12" x14ac:dyDescent="0.25">
      <c r="A2474" s="5" t="s">
        <v>3835</v>
      </c>
      <c r="B2474" s="5" t="s">
        <v>3833</v>
      </c>
      <c r="C2474" s="5" t="s">
        <v>46</v>
      </c>
      <c r="D2474" s="21">
        <v>3</v>
      </c>
      <c r="E2474" s="12">
        <v>447</v>
      </c>
      <c r="F2474" s="10" t="str">
        <f>_xlfn.XLOOKUP(C2474,menu!A:A,menu!B:B)</f>
        <v>Fish Finger</v>
      </c>
      <c r="G2474" s="10" t="str">
        <f>_xlfn.XLOOKUP(C2474,menu!A:A,menu!C:C)</f>
        <v>Starters</v>
      </c>
      <c r="H2474" s="10">
        <f>_xlfn.XLOOKUP(C2474,menu!A:A,menu!E:E)</f>
        <v>45</v>
      </c>
      <c r="I2474" s="10">
        <f t="shared" si="38"/>
        <v>135</v>
      </c>
      <c r="K2474" s="10"/>
      <c r="L2474" s="5"/>
    </row>
    <row r="2475" spans="1:12" x14ac:dyDescent="0.25">
      <c r="A2475" s="5" t="s">
        <v>3834</v>
      </c>
      <c r="B2475" s="5" t="s">
        <v>3833</v>
      </c>
      <c r="C2475" s="5" t="s">
        <v>17</v>
      </c>
      <c r="D2475" s="21">
        <v>2</v>
      </c>
      <c r="E2475" s="12">
        <v>178</v>
      </c>
      <c r="F2475" s="10" t="str">
        <f>_xlfn.XLOOKUP(C2475,menu!A:A,menu!B:B)</f>
        <v>Paneer Momos</v>
      </c>
      <c r="G2475" s="10" t="str">
        <f>_xlfn.XLOOKUP(C2475,menu!A:A,menu!C:C)</f>
        <v>Momos</v>
      </c>
      <c r="H2475" s="10">
        <f>_xlfn.XLOOKUP(C2475,menu!A:A,menu!E:E)</f>
        <v>27</v>
      </c>
      <c r="I2475" s="10">
        <f t="shared" si="38"/>
        <v>54</v>
      </c>
      <c r="K2475" s="10"/>
      <c r="L2475" s="5"/>
    </row>
    <row r="2476" spans="1:12" x14ac:dyDescent="0.25">
      <c r="A2476" s="5" t="s">
        <v>3832</v>
      </c>
      <c r="B2476" s="5" t="s">
        <v>3829</v>
      </c>
      <c r="C2476" s="5" t="s">
        <v>12</v>
      </c>
      <c r="D2476" s="21">
        <v>3</v>
      </c>
      <c r="E2476" s="12">
        <v>237</v>
      </c>
      <c r="F2476" s="10" t="str">
        <f>_xlfn.XLOOKUP(C2476,menu!A:A,menu!B:B)</f>
        <v>Veg Momos</v>
      </c>
      <c r="G2476" s="10" t="str">
        <f>_xlfn.XLOOKUP(C2476,menu!A:A,menu!C:C)</f>
        <v>Momos</v>
      </c>
      <c r="H2476" s="10">
        <f>_xlfn.XLOOKUP(C2476,menu!A:A,menu!E:E)</f>
        <v>24</v>
      </c>
      <c r="I2476" s="10">
        <f t="shared" si="38"/>
        <v>72</v>
      </c>
      <c r="K2476" s="10"/>
      <c r="L2476" s="5"/>
    </row>
    <row r="2477" spans="1:12" x14ac:dyDescent="0.25">
      <c r="A2477" s="5" t="s">
        <v>3831</v>
      </c>
      <c r="B2477" s="5" t="s">
        <v>3829</v>
      </c>
      <c r="C2477" s="5" t="s">
        <v>44</v>
      </c>
      <c r="D2477" s="21">
        <v>1</v>
      </c>
      <c r="E2477" s="12">
        <v>159</v>
      </c>
      <c r="F2477" s="10" t="str">
        <f>_xlfn.XLOOKUP(C2477,menu!A:A,menu!B:B)</f>
        <v>Fried Chicken</v>
      </c>
      <c r="G2477" s="10" t="str">
        <f>_xlfn.XLOOKUP(C2477,menu!A:A,menu!C:C)</f>
        <v>Starters</v>
      </c>
      <c r="H2477" s="10">
        <f>_xlfn.XLOOKUP(C2477,menu!A:A,menu!E:E)</f>
        <v>48</v>
      </c>
      <c r="I2477" s="10">
        <f t="shared" si="38"/>
        <v>48</v>
      </c>
      <c r="K2477" s="10"/>
      <c r="L2477" s="5"/>
    </row>
    <row r="2478" spans="1:12" x14ac:dyDescent="0.25">
      <c r="A2478" s="5" t="s">
        <v>3830</v>
      </c>
      <c r="B2478" s="5" t="s">
        <v>3829</v>
      </c>
      <c r="C2478" s="5" t="s">
        <v>31</v>
      </c>
      <c r="D2478" s="21">
        <v>1</v>
      </c>
      <c r="E2478" s="12">
        <v>89</v>
      </c>
      <c r="F2478" s="10" t="str">
        <f>_xlfn.XLOOKUP(C2478,menu!A:A,menu!B:B)</f>
        <v>Chicken Roll</v>
      </c>
      <c r="G2478" s="10" t="str">
        <f>_xlfn.XLOOKUP(C2478,menu!A:A,menu!C:C)</f>
        <v>Rolls</v>
      </c>
      <c r="H2478" s="10">
        <f>_xlfn.XLOOKUP(C2478,menu!A:A,menu!E:E)</f>
        <v>27</v>
      </c>
      <c r="I2478" s="10">
        <f t="shared" si="38"/>
        <v>27</v>
      </c>
      <c r="K2478" s="10"/>
      <c r="L2478" s="5"/>
    </row>
    <row r="2479" spans="1:12" x14ac:dyDescent="0.25">
      <c r="A2479" s="5" t="s">
        <v>3828</v>
      </c>
      <c r="B2479" s="5" t="s">
        <v>3826</v>
      </c>
      <c r="C2479" s="5" t="s">
        <v>12</v>
      </c>
      <c r="D2479" s="21">
        <v>1</v>
      </c>
      <c r="E2479" s="12">
        <v>79</v>
      </c>
      <c r="F2479" s="10" t="str">
        <f>_xlfn.XLOOKUP(C2479,menu!A:A,menu!B:B)</f>
        <v>Veg Momos</v>
      </c>
      <c r="G2479" s="10" t="str">
        <f>_xlfn.XLOOKUP(C2479,menu!A:A,menu!C:C)</f>
        <v>Momos</v>
      </c>
      <c r="H2479" s="10">
        <f>_xlfn.XLOOKUP(C2479,menu!A:A,menu!E:E)</f>
        <v>24</v>
      </c>
      <c r="I2479" s="10">
        <f t="shared" si="38"/>
        <v>24</v>
      </c>
      <c r="K2479" s="10"/>
      <c r="L2479" s="5"/>
    </row>
    <row r="2480" spans="1:12" x14ac:dyDescent="0.25">
      <c r="A2480" s="5" t="s">
        <v>3827</v>
      </c>
      <c r="B2480" s="5" t="s">
        <v>3826</v>
      </c>
      <c r="C2480" s="5" t="s">
        <v>50</v>
      </c>
      <c r="D2480" s="21">
        <v>1</v>
      </c>
      <c r="E2480" s="12">
        <v>149</v>
      </c>
      <c r="F2480" s="10" t="str">
        <f>_xlfn.XLOOKUP(C2480,menu!A:A,menu!B:B)</f>
        <v>Grab Lollipop</v>
      </c>
      <c r="G2480" s="10" t="str">
        <f>_xlfn.XLOOKUP(C2480,menu!A:A,menu!C:C)</f>
        <v>Starters</v>
      </c>
      <c r="H2480" s="10">
        <f>_xlfn.XLOOKUP(C2480,menu!A:A,menu!E:E)</f>
        <v>45</v>
      </c>
      <c r="I2480" s="10">
        <f t="shared" si="38"/>
        <v>45</v>
      </c>
      <c r="K2480" s="10"/>
      <c r="L2480" s="5"/>
    </row>
    <row r="2481" spans="1:12" x14ac:dyDescent="0.25">
      <c r="A2481" s="5" t="s">
        <v>3825</v>
      </c>
      <c r="B2481" s="5" t="s">
        <v>3821</v>
      </c>
      <c r="C2481" s="5" t="s">
        <v>17</v>
      </c>
      <c r="D2481" s="21">
        <v>2</v>
      </c>
      <c r="E2481" s="12">
        <v>178</v>
      </c>
      <c r="F2481" s="10" t="str">
        <f>_xlfn.XLOOKUP(C2481,menu!A:A,menu!B:B)</f>
        <v>Paneer Momos</v>
      </c>
      <c r="G2481" s="10" t="str">
        <f>_xlfn.XLOOKUP(C2481,menu!A:A,menu!C:C)</f>
        <v>Momos</v>
      </c>
      <c r="H2481" s="10">
        <f>_xlfn.XLOOKUP(C2481,menu!A:A,menu!E:E)</f>
        <v>27</v>
      </c>
      <c r="I2481" s="10">
        <f t="shared" si="38"/>
        <v>54</v>
      </c>
      <c r="K2481" s="10"/>
      <c r="L2481" s="5"/>
    </row>
    <row r="2482" spans="1:12" x14ac:dyDescent="0.25">
      <c r="A2482" s="5" t="s">
        <v>3824</v>
      </c>
      <c r="B2482" s="5" t="s">
        <v>3821</v>
      </c>
      <c r="C2482" s="5" t="s">
        <v>44</v>
      </c>
      <c r="D2482" s="21">
        <v>1</v>
      </c>
      <c r="E2482" s="12">
        <v>159</v>
      </c>
      <c r="F2482" s="10" t="str">
        <f>_xlfn.XLOOKUP(C2482,menu!A:A,menu!B:B)</f>
        <v>Fried Chicken</v>
      </c>
      <c r="G2482" s="10" t="str">
        <f>_xlfn.XLOOKUP(C2482,menu!A:A,menu!C:C)</f>
        <v>Starters</v>
      </c>
      <c r="H2482" s="10">
        <f>_xlfn.XLOOKUP(C2482,menu!A:A,menu!E:E)</f>
        <v>48</v>
      </c>
      <c r="I2482" s="10">
        <f t="shared" si="38"/>
        <v>48</v>
      </c>
      <c r="K2482" s="10"/>
      <c r="L2482" s="5"/>
    </row>
    <row r="2483" spans="1:12" x14ac:dyDescent="0.25">
      <c r="A2483" s="5" t="s">
        <v>3823</v>
      </c>
      <c r="B2483" s="5" t="s">
        <v>3821</v>
      </c>
      <c r="C2483" s="5" t="s">
        <v>8</v>
      </c>
      <c r="D2483" s="21">
        <v>1</v>
      </c>
      <c r="E2483" s="12">
        <v>99</v>
      </c>
      <c r="F2483" s="10" t="str">
        <f>_xlfn.XLOOKUP(C2483,menu!A:A,menu!B:B)</f>
        <v>Paneer Sandwich</v>
      </c>
      <c r="G2483" s="10" t="str">
        <f>_xlfn.XLOOKUP(C2483,menu!A:A,menu!C:C)</f>
        <v>Sandwich</v>
      </c>
      <c r="H2483" s="10">
        <f>_xlfn.XLOOKUP(C2483,menu!A:A,menu!E:E)</f>
        <v>30</v>
      </c>
      <c r="I2483" s="10">
        <f t="shared" si="38"/>
        <v>30</v>
      </c>
      <c r="K2483" s="10"/>
      <c r="L2483" s="5"/>
    </row>
    <row r="2484" spans="1:12" x14ac:dyDescent="0.25">
      <c r="A2484" s="5" t="s">
        <v>3822</v>
      </c>
      <c r="B2484" s="5" t="s">
        <v>3821</v>
      </c>
      <c r="C2484" s="5" t="s">
        <v>48</v>
      </c>
      <c r="D2484" s="21">
        <v>2</v>
      </c>
      <c r="E2484" s="12">
        <v>318</v>
      </c>
      <c r="F2484" s="10" t="str">
        <f>_xlfn.XLOOKUP(C2484,menu!A:A,menu!B:B)</f>
        <v>Chicken Lollipop</v>
      </c>
      <c r="G2484" s="10" t="str">
        <f>_xlfn.XLOOKUP(C2484,menu!A:A,menu!C:C)</f>
        <v>Starters</v>
      </c>
      <c r="H2484" s="10">
        <f>_xlfn.XLOOKUP(C2484,menu!A:A,menu!E:E)</f>
        <v>48</v>
      </c>
      <c r="I2484" s="10">
        <f t="shared" si="38"/>
        <v>96</v>
      </c>
      <c r="K2484" s="10"/>
      <c r="L2484" s="5"/>
    </row>
    <row r="2485" spans="1:12" x14ac:dyDescent="0.25">
      <c r="A2485" s="5" t="s">
        <v>3820</v>
      </c>
      <c r="B2485" s="5" t="s">
        <v>3819</v>
      </c>
      <c r="C2485" s="5" t="s">
        <v>24</v>
      </c>
      <c r="D2485" s="21">
        <v>3</v>
      </c>
      <c r="E2485" s="12">
        <v>267</v>
      </c>
      <c r="F2485" s="10" t="str">
        <f>_xlfn.XLOOKUP(C2485,menu!A:A,menu!B:B)</f>
        <v>Paneer Burger</v>
      </c>
      <c r="G2485" s="10" t="str">
        <f>_xlfn.XLOOKUP(C2485,menu!A:A,menu!C:C)</f>
        <v>Burger</v>
      </c>
      <c r="H2485" s="10">
        <f>_xlfn.XLOOKUP(C2485,menu!A:A,menu!E:E)</f>
        <v>27</v>
      </c>
      <c r="I2485" s="10">
        <f t="shared" si="38"/>
        <v>81</v>
      </c>
      <c r="K2485" s="10"/>
      <c r="L2485" s="5"/>
    </row>
    <row r="2486" spans="1:12" x14ac:dyDescent="0.25">
      <c r="A2486" s="5" t="s">
        <v>3818</v>
      </c>
      <c r="B2486" s="5" t="s">
        <v>3816</v>
      </c>
      <c r="C2486" s="5" t="s">
        <v>15</v>
      </c>
      <c r="D2486" s="21">
        <v>3</v>
      </c>
      <c r="E2486" s="12">
        <v>297</v>
      </c>
      <c r="F2486" s="10" t="str">
        <f>_xlfn.XLOOKUP(C2486,menu!A:A,menu!B:B)</f>
        <v>Chicken Momos</v>
      </c>
      <c r="G2486" s="10" t="str">
        <f>_xlfn.XLOOKUP(C2486,menu!A:A,menu!C:C)</f>
        <v>Momos</v>
      </c>
      <c r="H2486" s="10">
        <f>_xlfn.XLOOKUP(C2486,menu!A:A,menu!E:E)</f>
        <v>30</v>
      </c>
      <c r="I2486" s="10">
        <f t="shared" si="38"/>
        <v>90</v>
      </c>
      <c r="K2486" s="10"/>
      <c r="L2486" s="5"/>
    </row>
    <row r="2487" spans="1:12" x14ac:dyDescent="0.25">
      <c r="A2487" s="5" t="s">
        <v>3817</v>
      </c>
      <c r="B2487" s="5" t="s">
        <v>3816</v>
      </c>
      <c r="C2487" s="5" t="s">
        <v>24</v>
      </c>
      <c r="D2487" s="21">
        <v>2</v>
      </c>
      <c r="E2487" s="12">
        <v>178</v>
      </c>
      <c r="F2487" s="10" t="str">
        <f>_xlfn.XLOOKUP(C2487,menu!A:A,menu!B:B)</f>
        <v>Paneer Burger</v>
      </c>
      <c r="G2487" s="10" t="str">
        <f>_xlfn.XLOOKUP(C2487,menu!A:A,menu!C:C)</f>
        <v>Burger</v>
      </c>
      <c r="H2487" s="10">
        <f>_xlfn.XLOOKUP(C2487,menu!A:A,menu!E:E)</f>
        <v>27</v>
      </c>
      <c r="I2487" s="10">
        <f t="shared" si="38"/>
        <v>54</v>
      </c>
      <c r="K2487" s="10"/>
      <c r="L2487" s="5"/>
    </row>
    <row r="2488" spans="1:12" x14ac:dyDescent="0.25">
      <c r="A2488" s="5" t="s">
        <v>3815</v>
      </c>
      <c r="B2488" s="5" t="s">
        <v>3812</v>
      </c>
      <c r="C2488" s="5" t="s">
        <v>29</v>
      </c>
      <c r="D2488" s="21">
        <v>2</v>
      </c>
      <c r="E2488" s="12">
        <v>158</v>
      </c>
      <c r="F2488" s="10" t="str">
        <f>_xlfn.XLOOKUP(C2488,menu!A:A,menu!B:B)</f>
        <v>Paneer Roll</v>
      </c>
      <c r="G2488" s="10" t="str">
        <f>_xlfn.XLOOKUP(C2488,menu!A:A,menu!C:C)</f>
        <v>Rolls</v>
      </c>
      <c r="H2488" s="10">
        <f>_xlfn.XLOOKUP(C2488,menu!A:A,menu!E:E)</f>
        <v>24</v>
      </c>
      <c r="I2488" s="10">
        <f t="shared" si="38"/>
        <v>48</v>
      </c>
      <c r="K2488" s="10"/>
      <c r="L2488" s="5"/>
    </row>
    <row r="2489" spans="1:12" x14ac:dyDescent="0.25">
      <c r="A2489" s="5" t="s">
        <v>3814</v>
      </c>
      <c r="B2489" s="5" t="s">
        <v>3812</v>
      </c>
      <c r="C2489" s="5" t="s">
        <v>50</v>
      </c>
      <c r="D2489" s="21">
        <v>3</v>
      </c>
      <c r="E2489" s="12">
        <v>447</v>
      </c>
      <c r="F2489" s="10" t="str">
        <f>_xlfn.XLOOKUP(C2489,menu!A:A,menu!B:B)</f>
        <v>Grab Lollipop</v>
      </c>
      <c r="G2489" s="10" t="str">
        <f>_xlfn.XLOOKUP(C2489,menu!A:A,menu!C:C)</f>
        <v>Starters</v>
      </c>
      <c r="H2489" s="10">
        <f>_xlfn.XLOOKUP(C2489,menu!A:A,menu!E:E)</f>
        <v>45</v>
      </c>
      <c r="I2489" s="10">
        <f t="shared" si="38"/>
        <v>135</v>
      </c>
      <c r="K2489" s="10"/>
      <c r="L2489" s="5"/>
    </row>
    <row r="2490" spans="1:12" x14ac:dyDescent="0.25">
      <c r="A2490" s="5" t="s">
        <v>3813</v>
      </c>
      <c r="B2490" s="5" t="s">
        <v>3812</v>
      </c>
      <c r="C2490" s="5" t="s">
        <v>42</v>
      </c>
      <c r="D2490" s="21">
        <v>3</v>
      </c>
      <c r="E2490" s="12">
        <v>447</v>
      </c>
      <c r="F2490" s="10" t="str">
        <f>_xlfn.XLOOKUP(C2490,menu!A:A,menu!B:B)</f>
        <v>Chicken Popcorn</v>
      </c>
      <c r="G2490" s="10" t="str">
        <f>_xlfn.XLOOKUP(C2490,menu!A:A,menu!C:C)</f>
        <v>Starters</v>
      </c>
      <c r="H2490" s="10">
        <f>_xlfn.XLOOKUP(C2490,menu!A:A,menu!E:E)</f>
        <v>45</v>
      </c>
      <c r="I2490" s="10">
        <f t="shared" si="38"/>
        <v>135</v>
      </c>
      <c r="K2490" s="10"/>
      <c r="L2490" s="5"/>
    </row>
    <row r="2491" spans="1:12" x14ac:dyDescent="0.25">
      <c r="A2491" s="5" t="s">
        <v>3811</v>
      </c>
      <c r="B2491" s="5" t="s">
        <v>3809</v>
      </c>
      <c r="C2491" s="5" t="s">
        <v>59</v>
      </c>
      <c r="D2491" s="21">
        <v>1</v>
      </c>
      <c r="E2491" s="12">
        <v>79</v>
      </c>
      <c r="F2491" s="10" t="str">
        <f>_xlfn.XLOOKUP(C2491,menu!A:A,menu!B:B)</f>
        <v>Blue Curacao Mojito</v>
      </c>
      <c r="G2491" s="10" t="str">
        <f>_xlfn.XLOOKUP(C2491,menu!A:A,menu!C:C)</f>
        <v>Beverages</v>
      </c>
      <c r="H2491" s="10">
        <f>_xlfn.XLOOKUP(C2491,menu!A:A,menu!E:E)</f>
        <v>24</v>
      </c>
      <c r="I2491" s="10">
        <f t="shared" si="38"/>
        <v>24</v>
      </c>
      <c r="K2491" s="10"/>
      <c r="L2491" s="5"/>
    </row>
    <row r="2492" spans="1:12" x14ac:dyDescent="0.25">
      <c r="A2492" s="5" t="s">
        <v>3810</v>
      </c>
      <c r="B2492" s="5" t="s">
        <v>3809</v>
      </c>
      <c r="C2492" s="5" t="s">
        <v>24</v>
      </c>
      <c r="D2492" s="21">
        <v>1</v>
      </c>
      <c r="E2492" s="12">
        <v>89</v>
      </c>
      <c r="F2492" s="10" t="str">
        <f>_xlfn.XLOOKUP(C2492,menu!A:A,menu!B:B)</f>
        <v>Paneer Burger</v>
      </c>
      <c r="G2492" s="10" t="str">
        <f>_xlfn.XLOOKUP(C2492,menu!A:A,menu!C:C)</f>
        <v>Burger</v>
      </c>
      <c r="H2492" s="10">
        <f>_xlfn.XLOOKUP(C2492,menu!A:A,menu!E:E)</f>
        <v>27</v>
      </c>
      <c r="I2492" s="10">
        <f t="shared" si="38"/>
        <v>27</v>
      </c>
      <c r="K2492" s="10"/>
      <c r="L2492" s="5"/>
    </row>
    <row r="2493" spans="1:12" x14ac:dyDescent="0.25">
      <c r="A2493" s="5" t="s">
        <v>3808</v>
      </c>
      <c r="B2493" s="5" t="s">
        <v>3806</v>
      </c>
      <c r="C2493" s="5" t="s">
        <v>19</v>
      </c>
      <c r="D2493" s="21">
        <v>2</v>
      </c>
      <c r="E2493" s="12">
        <v>158</v>
      </c>
      <c r="F2493" s="10" t="str">
        <f>_xlfn.XLOOKUP(C2493,menu!A:A,menu!B:B)</f>
        <v>Veg Burger</v>
      </c>
      <c r="G2493" s="10" t="str">
        <f>_xlfn.XLOOKUP(C2493,menu!A:A,menu!C:C)</f>
        <v>Burger</v>
      </c>
      <c r="H2493" s="10">
        <f>_xlfn.XLOOKUP(C2493,menu!A:A,menu!E:E)</f>
        <v>24</v>
      </c>
      <c r="I2493" s="10">
        <f t="shared" si="38"/>
        <v>48</v>
      </c>
      <c r="K2493" s="10"/>
      <c r="L2493" s="5"/>
    </row>
    <row r="2494" spans="1:12" x14ac:dyDescent="0.25">
      <c r="A2494" s="5" t="s">
        <v>3807</v>
      </c>
      <c r="B2494" s="5" t="s">
        <v>3806</v>
      </c>
      <c r="C2494" s="5" t="s">
        <v>15</v>
      </c>
      <c r="D2494" s="21">
        <v>1</v>
      </c>
      <c r="E2494" s="12">
        <v>99</v>
      </c>
      <c r="F2494" s="10" t="str">
        <f>_xlfn.XLOOKUP(C2494,menu!A:A,menu!B:B)</f>
        <v>Chicken Momos</v>
      </c>
      <c r="G2494" s="10" t="str">
        <f>_xlfn.XLOOKUP(C2494,menu!A:A,menu!C:C)</f>
        <v>Momos</v>
      </c>
      <c r="H2494" s="10">
        <f>_xlfn.XLOOKUP(C2494,menu!A:A,menu!E:E)</f>
        <v>30</v>
      </c>
      <c r="I2494" s="10">
        <f t="shared" si="38"/>
        <v>30</v>
      </c>
      <c r="K2494" s="10"/>
      <c r="L2494" s="5"/>
    </row>
    <row r="2495" spans="1:12" x14ac:dyDescent="0.25">
      <c r="A2495" s="5" t="s">
        <v>3805</v>
      </c>
      <c r="B2495" s="5" t="s">
        <v>3803</v>
      </c>
      <c r="C2495" s="5" t="s">
        <v>12</v>
      </c>
      <c r="D2495" s="21">
        <v>2</v>
      </c>
      <c r="E2495" s="12">
        <v>158</v>
      </c>
      <c r="F2495" s="10" t="str">
        <f>_xlfn.XLOOKUP(C2495,menu!A:A,menu!B:B)</f>
        <v>Veg Momos</v>
      </c>
      <c r="G2495" s="10" t="str">
        <f>_xlfn.XLOOKUP(C2495,menu!A:A,menu!C:C)</f>
        <v>Momos</v>
      </c>
      <c r="H2495" s="10">
        <f>_xlfn.XLOOKUP(C2495,menu!A:A,menu!E:E)</f>
        <v>24</v>
      </c>
      <c r="I2495" s="10">
        <f t="shared" si="38"/>
        <v>48</v>
      </c>
      <c r="K2495" s="10"/>
      <c r="L2495" s="5"/>
    </row>
    <row r="2496" spans="1:12" x14ac:dyDescent="0.25">
      <c r="A2496" s="5" t="s">
        <v>3804</v>
      </c>
      <c r="B2496" s="5" t="s">
        <v>3803</v>
      </c>
      <c r="C2496" s="5" t="s">
        <v>24</v>
      </c>
      <c r="D2496" s="21">
        <v>4</v>
      </c>
      <c r="E2496" s="12">
        <v>356</v>
      </c>
      <c r="F2496" s="10" t="str">
        <f>_xlfn.XLOOKUP(C2496,menu!A:A,menu!B:B)</f>
        <v>Paneer Burger</v>
      </c>
      <c r="G2496" s="10" t="str">
        <f>_xlfn.XLOOKUP(C2496,menu!A:A,menu!C:C)</f>
        <v>Burger</v>
      </c>
      <c r="H2496" s="10">
        <f>_xlfn.XLOOKUP(C2496,menu!A:A,menu!E:E)</f>
        <v>27</v>
      </c>
      <c r="I2496" s="10">
        <f t="shared" si="38"/>
        <v>108</v>
      </c>
      <c r="K2496" s="10"/>
      <c r="L2496" s="5"/>
    </row>
    <row r="2497" spans="1:12" x14ac:dyDescent="0.25">
      <c r="A2497" s="5" t="s">
        <v>3802</v>
      </c>
      <c r="B2497" s="5" t="s">
        <v>3800</v>
      </c>
      <c r="C2497" s="5" t="s">
        <v>54</v>
      </c>
      <c r="D2497" s="21">
        <v>1</v>
      </c>
      <c r="E2497" s="12">
        <v>139</v>
      </c>
      <c r="F2497" s="10" t="str">
        <f>_xlfn.XLOOKUP(C2497,menu!A:A,menu!B:B)</f>
        <v>Chicken Strips</v>
      </c>
      <c r="G2497" s="10" t="str">
        <f>_xlfn.XLOOKUP(C2497,menu!A:A,menu!C:C)</f>
        <v>Starters</v>
      </c>
      <c r="H2497" s="10">
        <f>_xlfn.XLOOKUP(C2497,menu!A:A,menu!E:E)</f>
        <v>42</v>
      </c>
      <c r="I2497" s="10">
        <f t="shared" si="38"/>
        <v>42</v>
      </c>
      <c r="K2497" s="10"/>
      <c r="L2497" s="5"/>
    </row>
    <row r="2498" spans="1:12" x14ac:dyDescent="0.25">
      <c r="A2498" s="5" t="s">
        <v>3801</v>
      </c>
      <c r="B2498" s="5" t="s">
        <v>3800</v>
      </c>
      <c r="C2498" s="5" t="s">
        <v>8</v>
      </c>
      <c r="D2498" s="21">
        <v>1</v>
      </c>
      <c r="E2498" s="12">
        <v>99</v>
      </c>
      <c r="F2498" s="10" t="str">
        <f>_xlfn.XLOOKUP(C2498,menu!A:A,menu!B:B)</f>
        <v>Paneer Sandwich</v>
      </c>
      <c r="G2498" s="10" t="str">
        <f>_xlfn.XLOOKUP(C2498,menu!A:A,menu!C:C)</f>
        <v>Sandwich</v>
      </c>
      <c r="H2498" s="10">
        <f>_xlfn.XLOOKUP(C2498,menu!A:A,menu!E:E)</f>
        <v>30</v>
      </c>
      <c r="I2498" s="10">
        <f t="shared" si="38"/>
        <v>30</v>
      </c>
      <c r="K2498" s="10"/>
      <c r="L2498" s="5"/>
    </row>
    <row r="2499" spans="1:12" x14ac:dyDescent="0.25">
      <c r="A2499" s="5" t="s">
        <v>3799</v>
      </c>
      <c r="B2499" s="5" t="s">
        <v>3798</v>
      </c>
      <c r="C2499" s="5" t="s">
        <v>35</v>
      </c>
      <c r="D2499" s="21">
        <v>2</v>
      </c>
      <c r="E2499" s="12">
        <v>238</v>
      </c>
      <c r="F2499" s="10" t="str">
        <f>_xlfn.XLOOKUP(C2499,menu!A:A,menu!B:B)</f>
        <v>Chicken Nuggets</v>
      </c>
      <c r="G2499" s="10" t="str">
        <f>_xlfn.XLOOKUP(C2499,menu!A:A,menu!C:C)</f>
        <v>Starters</v>
      </c>
      <c r="H2499" s="10">
        <f>_xlfn.XLOOKUP(C2499,menu!A:A,menu!E:E)</f>
        <v>36</v>
      </c>
      <c r="I2499" s="10">
        <f t="shared" ref="I2499:I2562" si="39">D2499*H2499</f>
        <v>72</v>
      </c>
      <c r="K2499" s="10"/>
      <c r="L2499" s="5"/>
    </row>
    <row r="2500" spans="1:12" x14ac:dyDescent="0.25">
      <c r="A2500" s="5" t="s">
        <v>3797</v>
      </c>
      <c r="B2500" s="5" t="s">
        <v>3793</v>
      </c>
      <c r="C2500" s="5" t="s">
        <v>12</v>
      </c>
      <c r="D2500" s="21">
        <v>3</v>
      </c>
      <c r="E2500" s="12">
        <v>237</v>
      </c>
      <c r="F2500" s="10" t="str">
        <f>_xlfn.XLOOKUP(C2500,menu!A:A,menu!B:B)</f>
        <v>Veg Momos</v>
      </c>
      <c r="G2500" s="10" t="str">
        <f>_xlfn.XLOOKUP(C2500,menu!A:A,menu!C:C)</f>
        <v>Momos</v>
      </c>
      <c r="H2500" s="10">
        <f>_xlfn.XLOOKUP(C2500,menu!A:A,menu!E:E)</f>
        <v>24</v>
      </c>
      <c r="I2500" s="10">
        <f t="shared" si="39"/>
        <v>72</v>
      </c>
      <c r="K2500" s="10"/>
      <c r="L2500" s="5"/>
    </row>
    <row r="2501" spans="1:12" x14ac:dyDescent="0.25">
      <c r="A2501" s="5" t="s">
        <v>3796</v>
      </c>
      <c r="B2501" s="5" t="s">
        <v>3793</v>
      </c>
      <c r="C2501" s="5" t="s">
        <v>35</v>
      </c>
      <c r="D2501" s="21">
        <v>3</v>
      </c>
      <c r="E2501" s="12">
        <v>357</v>
      </c>
      <c r="F2501" s="10" t="str">
        <f>_xlfn.XLOOKUP(C2501,menu!A:A,menu!B:B)</f>
        <v>Chicken Nuggets</v>
      </c>
      <c r="G2501" s="10" t="str">
        <f>_xlfn.XLOOKUP(C2501,menu!A:A,menu!C:C)</f>
        <v>Starters</v>
      </c>
      <c r="H2501" s="10">
        <f>_xlfn.XLOOKUP(C2501,menu!A:A,menu!E:E)</f>
        <v>36</v>
      </c>
      <c r="I2501" s="10">
        <f t="shared" si="39"/>
        <v>108</v>
      </c>
      <c r="K2501" s="10"/>
      <c r="L2501" s="5"/>
    </row>
    <row r="2502" spans="1:12" x14ac:dyDescent="0.25">
      <c r="A2502" s="5" t="s">
        <v>3795</v>
      </c>
      <c r="B2502" s="5" t="s">
        <v>3793</v>
      </c>
      <c r="C2502" s="5" t="s">
        <v>22</v>
      </c>
      <c r="D2502" s="21">
        <v>2</v>
      </c>
      <c r="E2502" s="12">
        <v>198</v>
      </c>
      <c r="F2502" s="10" t="str">
        <f>_xlfn.XLOOKUP(C2502,menu!A:A,menu!B:B)</f>
        <v>Chicken Burger</v>
      </c>
      <c r="G2502" s="10" t="str">
        <f>_xlfn.XLOOKUP(C2502,menu!A:A,menu!C:C)</f>
        <v>Burger</v>
      </c>
      <c r="H2502" s="10">
        <f>_xlfn.XLOOKUP(C2502,menu!A:A,menu!E:E)</f>
        <v>30</v>
      </c>
      <c r="I2502" s="10">
        <f t="shared" si="39"/>
        <v>60</v>
      </c>
      <c r="K2502" s="10"/>
      <c r="L2502" s="5"/>
    </row>
    <row r="2503" spans="1:12" x14ac:dyDescent="0.25">
      <c r="A2503" s="5" t="s">
        <v>3794</v>
      </c>
      <c r="B2503" s="5" t="s">
        <v>3793</v>
      </c>
      <c r="C2503" s="5" t="s">
        <v>40</v>
      </c>
      <c r="D2503" s="21">
        <v>1</v>
      </c>
      <c r="E2503" s="12">
        <v>99</v>
      </c>
      <c r="F2503" s="10" t="str">
        <f>_xlfn.XLOOKUP(C2503,menu!A:A,menu!B:B)</f>
        <v>Veg Nuggets</v>
      </c>
      <c r="G2503" s="10" t="str">
        <f>_xlfn.XLOOKUP(C2503,menu!A:A,menu!C:C)</f>
        <v>Starters</v>
      </c>
      <c r="H2503" s="10">
        <f>_xlfn.XLOOKUP(C2503,menu!A:A,menu!E:E)</f>
        <v>30</v>
      </c>
      <c r="I2503" s="10">
        <f t="shared" si="39"/>
        <v>30</v>
      </c>
      <c r="K2503" s="10"/>
      <c r="L2503" s="5"/>
    </row>
    <row r="2504" spans="1:12" x14ac:dyDescent="0.25">
      <c r="A2504" s="5" t="s">
        <v>3792</v>
      </c>
      <c r="B2504" s="5" t="s">
        <v>3790</v>
      </c>
      <c r="C2504" s="5" t="s">
        <v>40</v>
      </c>
      <c r="D2504" s="21">
        <v>2</v>
      </c>
      <c r="E2504" s="12">
        <v>198</v>
      </c>
      <c r="F2504" s="10" t="str">
        <f>_xlfn.XLOOKUP(C2504,menu!A:A,menu!B:B)</f>
        <v>Veg Nuggets</v>
      </c>
      <c r="G2504" s="10" t="str">
        <f>_xlfn.XLOOKUP(C2504,menu!A:A,menu!C:C)</f>
        <v>Starters</v>
      </c>
      <c r="H2504" s="10">
        <f>_xlfn.XLOOKUP(C2504,menu!A:A,menu!E:E)</f>
        <v>30</v>
      </c>
      <c r="I2504" s="10">
        <f t="shared" si="39"/>
        <v>60</v>
      </c>
      <c r="K2504" s="10"/>
      <c r="L2504" s="5"/>
    </row>
    <row r="2505" spans="1:12" x14ac:dyDescent="0.25">
      <c r="A2505" s="5" t="s">
        <v>3791</v>
      </c>
      <c r="B2505" s="5" t="s">
        <v>3790</v>
      </c>
      <c r="C2505" s="5" t="s">
        <v>38</v>
      </c>
      <c r="D2505" s="21">
        <v>3</v>
      </c>
      <c r="E2505" s="12">
        <v>447</v>
      </c>
      <c r="F2505" s="10" t="str">
        <f>_xlfn.XLOOKUP(C2505,menu!A:A,menu!B:B)</f>
        <v>Chicken Wings</v>
      </c>
      <c r="G2505" s="10" t="str">
        <f>_xlfn.XLOOKUP(C2505,menu!A:A,menu!C:C)</f>
        <v>Starters</v>
      </c>
      <c r="H2505" s="10">
        <f>_xlfn.XLOOKUP(C2505,menu!A:A,menu!E:E)</f>
        <v>45</v>
      </c>
      <c r="I2505" s="10">
        <f t="shared" si="39"/>
        <v>135</v>
      </c>
      <c r="K2505" s="10"/>
      <c r="L2505" s="5"/>
    </row>
    <row r="2506" spans="1:12" x14ac:dyDescent="0.25">
      <c r="A2506" s="5" t="s">
        <v>3789</v>
      </c>
      <c r="B2506" s="5" t="s">
        <v>3787</v>
      </c>
      <c r="C2506" s="5" t="s">
        <v>17</v>
      </c>
      <c r="D2506" s="21">
        <v>2</v>
      </c>
      <c r="E2506" s="12">
        <v>178</v>
      </c>
      <c r="F2506" s="10" t="str">
        <f>_xlfn.XLOOKUP(C2506,menu!A:A,menu!B:B)</f>
        <v>Paneer Momos</v>
      </c>
      <c r="G2506" s="10" t="str">
        <f>_xlfn.XLOOKUP(C2506,menu!A:A,menu!C:C)</f>
        <v>Momos</v>
      </c>
      <c r="H2506" s="10">
        <f>_xlfn.XLOOKUP(C2506,menu!A:A,menu!E:E)</f>
        <v>27</v>
      </c>
      <c r="I2506" s="10">
        <f t="shared" si="39"/>
        <v>54</v>
      </c>
      <c r="K2506" s="10"/>
      <c r="L2506" s="5"/>
    </row>
    <row r="2507" spans="1:12" x14ac:dyDescent="0.25">
      <c r="A2507" s="5" t="s">
        <v>3788</v>
      </c>
      <c r="B2507" s="5" t="s">
        <v>3787</v>
      </c>
      <c r="C2507" s="5" t="s">
        <v>8</v>
      </c>
      <c r="D2507" s="21">
        <v>1</v>
      </c>
      <c r="E2507" s="12">
        <v>99</v>
      </c>
      <c r="F2507" s="10" t="str">
        <f>_xlfn.XLOOKUP(C2507,menu!A:A,menu!B:B)</f>
        <v>Paneer Sandwich</v>
      </c>
      <c r="G2507" s="10" t="str">
        <f>_xlfn.XLOOKUP(C2507,menu!A:A,menu!C:C)</f>
        <v>Sandwich</v>
      </c>
      <c r="H2507" s="10">
        <f>_xlfn.XLOOKUP(C2507,menu!A:A,menu!E:E)</f>
        <v>30</v>
      </c>
      <c r="I2507" s="10">
        <f t="shared" si="39"/>
        <v>30</v>
      </c>
      <c r="K2507" s="10"/>
      <c r="L2507" s="5"/>
    </row>
    <row r="2508" spans="1:12" x14ac:dyDescent="0.25">
      <c r="A2508" s="5" t="s">
        <v>3786</v>
      </c>
      <c r="B2508" s="5" t="s">
        <v>3784</v>
      </c>
      <c r="C2508" s="5" t="s">
        <v>17</v>
      </c>
      <c r="D2508" s="21">
        <v>1</v>
      </c>
      <c r="E2508" s="12">
        <v>89</v>
      </c>
      <c r="F2508" s="10" t="str">
        <f>_xlfn.XLOOKUP(C2508,menu!A:A,menu!B:B)</f>
        <v>Paneer Momos</v>
      </c>
      <c r="G2508" s="10" t="str">
        <f>_xlfn.XLOOKUP(C2508,menu!A:A,menu!C:C)</f>
        <v>Momos</v>
      </c>
      <c r="H2508" s="10">
        <f>_xlfn.XLOOKUP(C2508,menu!A:A,menu!E:E)</f>
        <v>27</v>
      </c>
      <c r="I2508" s="10">
        <f t="shared" si="39"/>
        <v>27</v>
      </c>
      <c r="K2508" s="10"/>
      <c r="L2508" s="5"/>
    </row>
    <row r="2509" spans="1:12" x14ac:dyDescent="0.25">
      <c r="A2509" s="5" t="s">
        <v>3785</v>
      </c>
      <c r="B2509" s="5" t="s">
        <v>3784</v>
      </c>
      <c r="C2509" s="5" t="s">
        <v>31</v>
      </c>
      <c r="D2509" s="21">
        <v>1</v>
      </c>
      <c r="E2509" s="12">
        <v>89</v>
      </c>
      <c r="F2509" s="10" t="str">
        <f>_xlfn.XLOOKUP(C2509,menu!A:A,menu!B:B)</f>
        <v>Chicken Roll</v>
      </c>
      <c r="G2509" s="10" t="str">
        <f>_xlfn.XLOOKUP(C2509,menu!A:A,menu!C:C)</f>
        <v>Rolls</v>
      </c>
      <c r="H2509" s="10">
        <f>_xlfn.XLOOKUP(C2509,menu!A:A,menu!E:E)</f>
        <v>27</v>
      </c>
      <c r="I2509" s="10">
        <f t="shared" si="39"/>
        <v>27</v>
      </c>
      <c r="K2509" s="10"/>
      <c r="L2509" s="5"/>
    </row>
    <row r="2510" spans="1:12" x14ac:dyDescent="0.25">
      <c r="A2510" s="5" t="s">
        <v>3783</v>
      </c>
      <c r="B2510" s="5" t="s">
        <v>3781</v>
      </c>
      <c r="C2510" s="5" t="s">
        <v>5</v>
      </c>
      <c r="D2510" s="21">
        <v>1</v>
      </c>
      <c r="E2510" s="12">
        <v>79</v>
      </c>
      <c r="F2510" s="10" t="str">
        <f>_xlfn.XLOOKUP(C2510,menu!A:A,menu!B:B)</f>
        <v>Veg Sandwich</v>
      </c>
      <c r="G2510" s="10" t="str">
        <f>_xlfn.XLOOKUP(C2510,menu!A:A,menu!C:C)</f>
        <v>Sandwich</v>
      </c>
      <c r="H2510" s="10">
        <f>_xlfn.XLOOKUP(C2510,menu!A:A,menu!E:E)</f>
        <v>24</v>
      </c>
      <c r="I2510" s="10">
        <f t="shared" si="39"/>
        <v>24</v>
      </c>
      <c r="K2510" s="10"/>
      <c r="L2510" s="5"/>
    </row>
    <row r="2511" spans="1:12" x14ac:dyDescent="0.25">
      <c r="A2511" s="5" t="s">
        <v>3782</v>
      </c>
      <c r="B2511" s="5" t="s">
        <v>3781</v>
      </c>
      <c r="C2511" s="5" t="s">
        <v>12</v>
      </c>
      <c r="D2511" s="21">
        <v>1</v>
      </c>
      <c r="E2511" s="12">
        <v>79</v>
      </c>
      <c r="F2511" s="10" t="str">
        <f>_xlfn.XLOOKUP(C2511,menu!A:A,menu!B:B)</f>
        <v>Veg Momos</v>
      </c>
      <c r="G2511" s="10" t="str">
        <f>_xlfn.XLOOKUP(C2511,menu!A:A,menu!C:C)</f>
        <v>Momos</v>
      </c>
      <c r="H2511" s="10">
        <f>_xlfn.XLOOKUP(C2511,menu!A:A,menu!E:E)</f>
        <v>24</v>
      </c>
      <c r="I2511" s="10">
        <f t="shared" si="39"/>
        <v>24</v>
      </c>
      <c r="K2511" s="10"/>
      <c r="L2511" s="5"/>
    </row>
    <row r="2512" spans="1:12" x14ac:dyDescent="0.25">
      <c r="A2512" s="5" t="s">
        <v>3780</v>
      </c>
      <c r="B2512" s="5" t="s">
        <v>3776</v>
      </c>
      <c r="C2512" s="5" t="s">
        <v>29</v>
      </c>
      <c r="D2512" s="21">
        <v>1</v>
      </c>
      <c r="E2512" s="12">
        <v>79</v>
      </c>
      <c r="F2512" s="10" t="str">
        <f>_xlfn.XLOOKUP(C2512,menu!A:A,menu!B:B)</f>
        <v>Paneer Roll</v>
      </c>
      <c r="G2512" s="10" t="str">
        <f>_xlfn.XLOOKUP(C2512,menu!A:A,menu!C:C)</f>
        <v>Rolls</v>
      </c>
      <c r="H2512" s="10">
        <f>_xlfn.XLOOKUP(C2512,menu!A:A,menu!E:E)</f>
        <v>24</v>
      </c>
      <c r="I2512" s="10">
        <f t="shared" si="39"/>
        <v>24</v>
      </c>
      <c r="K2512" s="10"/>
      <c r="L2512" s="5"/>
    </row>
    <row r="2513" spans="1:12" x14ac:dyDescent="0.25">
      <c r="A2513" s="5" t="s">
        <v>3779</v>
      </c>
      <c r="B2513" s="5" t="s">
        <v>3776</v>
      </c>
      <c r="C2513" s="5" t="s">
        <v>56</v>
      </c>
      <c r="D2513" s="21">
        <v>1</v>
      </c>
      <c r="E2513" s="12">
        <v>79</v>
      </c>
      <c r="F2513" s="10" t="str">
        <f>_xlfn.XLOOKUP(C2513,menu!A:A,menu!B:B)</f>
        <v>Mint Mojito</v>
      </c>
      <c r="G2513" s="10" t="str">
        <f>_xlfn.XLOOKUP(C2513,menu!A:A,menu!C:C)</f>
        <v>Beverages</v>
      </c>
      <c r="H2513" s="10">
        <f>_xlfn.XLOOKUP(C2513,menu!A:A,menu!E:E)</f>
        <v>24</v>
      </c>
      <c r="I2513" s="10">
        <f t="shared" si="39"/>
        <v>24</v>
      </c>
      <c r="K2513" s="10"/>
      <c r="L2513" s="5"/>
    </row>
    <row r="2514" spans="1:12" x14ac:dyDescent="0.25">
      <c r="A2514" s="5" t="s">
        <v>3778</v>
      </c>
      <c r="B2514" s="5" t="s">
        <v>3776</v>
      </c>
      <c r="C2514" s="5" t="s">
        <v>35</v>
      </c>
      <c r="D2514" s="21">
        <v>1</v>
      </c>
      <c r="E2514" s="12">
        <v>119</v>
      </c>
      <c r="F2514" s="10" t="str">
        <f>_xlfn.XLOOKUP(C2514,menu!A:A,menu!B:B)</f>
        <v>Chicken Nuggets</v>
      </c>
      <c r="G2514" s="10" t="str">
        <f>_xlfn.XLOOKUP(C2514,menu!A:A,menu!C:C)</f>
        <v>Starters</v>
      </c>
      <c r="H2514" s="10">
        <f>_xlfn.XLOOKUP(C2514,menu!A:A,menu!E:E)</f>
        <v>36</v>
      </c>
      <c r="I2514" s="10">
        <f t="shared" si="39"/>
        <v>36</v>
      </c>
      <c r="K2514" s="10"/>
      <c r="L2514" s="5"/>
    </row>
    <row r="2515" spans="1:12" x14ac:dyDescent="0.25">
      <c r="A2515" s="5" t="s">
        <v>3777</v>
      </c>
      <c r="B2515" s="5" t="s">
        <v>3776</v>
      </c>
      <c r="C2515" s="5" t="s">
        <v>15</v>
      </c>
      <c r="D2515" s="21">
        <v>3</v>
      </c>
      <c r="E2515" s="12">
        <v>297</v>
      </c>
      <c r="F2515" s="10" t="str">
        <f>_xlfn.XLOOKUP(C2515,menu!A:A,menu!B:B)</f>
        <v>Chicken Momos</v>
      </c>
      <c r="G2515" s="10" t="str">
        <f>_xlfn.XLOOKUP(C2515,menu!A:A,menu!C:C)</f>
        <v>Momos</v>
      </c>
      <c r="H2515" s="10">
        <f>_xlfn.XLOOKUP(C2515,menu!A:A,menu!E:E)</f>
        <v>30</v>
      </c>
      <c r="I2515" s="10">
        <f t="shared" si="39"/>
        <v>90</v>
      </c>
      <c r="K2515" s="10"/>
      <c r="L2515" s="5"/>
    </row>
    <row r="2516" spans="1:12" x14ac:dyDescent="0.25">
      <c r="A2516" s="5" t="s">
        <v>3775</v>
      </c>
      <c r="B2516" s="5" t="s">
        <v>3772</v>
      </c>
      <c r="C2516" s="5" t="s">
        <v>46</v>
      </c>
      <c r="D2516" s="21">
        <v>1</v>
      </c>
      <c r="E2516" s="12">
        <v>149</v>
      </c>
      <c r="F2516" s="10" t="str">
        <f>_xlfn.XLOOKUP(C2516,menu!A:A,menu!B:B)</f>
        <v>Fish Finger</v>
      </c>
      <c r="G2516" s="10" t="str">
        <f>_xlfn.XLOOKUP(C2516,menu!A:A,menu!C:C)</f>
        <v>Starters</v>
      </c>
      <c r="H2516" s="10">
        <f>_xlfn.XLOOKUP(C2516,menu!A:A,menu!E:E)</f>
        <v>45</v>
      </c>
      <c r="I2516" s="10">
        <f t="shared" si="39"/>
        <v>45</v>
      </c>
      <c r="K2516" s="10"/>
      <c r="L2516" s="5"/>
    </row>
    <row r="2517" spans="1:12" x14ac:dyDescent="0.25">
      <c r="A2517" s="5" t="s">
        <v>3774</v>
      </c>
      <c r="B2517" s="5" t="s">
        <v>3772</v>
      </c>
      <c r="C2517" s="5" t="s">
        <v>42</v>
      </c>
      <c r="D2517" s="21">
        <v>1</v>
      </c>
      <c r="E2517" s="12">
        <v>149</v>
      </c>
      <c r="F2517" s="10" t="str">
        <f>_xlfn.XLOOKUP(C2517,menu!A:A,menu!B:B)</f>
        <v>Chicken Popcorn</v>
      </c>
      <c r="G2517" s="10" t="str">
        <f>_xlfn.XLOOKUP(C2517,menu!A:A,menu!C:C)</f>
        <v>Starters</v>
      </c>
      <c r="H2517" s="10">
        <f>_xlfn.XLOOKUP(C2517,menu!A:A,menu!E:E)</f>
        <v>45</v>
      </c>
      <c r="I2517" s="10">
        <f t="shared" si="39"/>
        <v>45</v>
      </c>
      <c r="K2517" s="10"/>
      <c r="L2517" s="5"/>
    </row>
    <row r="2518" spans="1:12" x14ac:dyDescent="0.25">
      <c r="A2518" s="5" t="s">
        <v>3773</v>
      </c>
      <c r="B2518" s="5" t="s">
        <v>3772</v>
      </c>
      <c r="C2518" s="5" t="s">
        <v>8</v>
      </c>
      <c r="D2518" s="21">
        <v>1</v>
      </c>
      <c r="E2518" s="12">
        <v>99</v>
      </c>
      <c r="F2518" s="10" t="str">
        <f>_xlfn.XLOOKUP(C2518,menu!A:A,menu!B:B)</f>
        <v>Paneer Sandwich</v>
      </c>
      <c r="G2518" s="10" t="str">
        <f>_xlfn.XLOOKUP(C2518,menu!A:A,menu!C:C)</f>
        <v>Sandwich</v>
      </c>
      <c r="H2518" s="10">
        <f>_xlfn.XLOOKUP(C2518,menu!A:A,menu!E:E)</f>
        <v>30</v>
      </c>
      <c r="I2518" s="10">
        <f t="shared" si="39"/>
        <v>30</v>
      </c>
      <c r="K2518" s="10"/>
      <c r="L2518" s="5"/>
    </row>
    <row r="2519" spans="1:12" x14ac:dyDescent="0.25">
      <c r="A2519" s="5" t="s">
        <v>3771</v>
      </c>
      <c r="B2519" s="5" t="s">
        <v>3770</v>
      </c>
      <c r="C2519" s="5" t="s">
        <v>22</v>
      </c>
      <c r="D2519" s="21">
        <v>5</v>
      </c>
      <c r="E2519" s="12">
        <v>495</v>
      </c>
      <c r="F2519" s="10" t="str">
        <f>_xlfn.XLOOKUP(C2519,menu!A:A,menu!B:B)</f>
        <v>Chicken Burger</v>
      </c>
      <c r="G2519" s="10" t="str">
        <f>_xlfn.XLOOKUP(C2519,menu!A:A,menu!C:C)</f>
        <v>Burger</v>
      </c>
      <c r="H2519" s="10">
        <f>_xlfn.XLOOKUP(C2519,menu!A:A,menu!E:E)</f>
        <v>30</v>
      </c>
      <c r="I2519" s="10">
        <f t="shared" si="39"/>
        <v>150</v>
      </c>
      <c r="K2519" s="10"/>
      <c r="L2519" s="5"/>
    </row>
    <row r="2520" spans="1:12" x14ac:dyDescent="0.25">
      <c r="A2520" s="5" t="s">
        <v>3769</v>
      </c>
      <c r="B2520" s="5" t="s">
        <v>3766</v>
      </c>
      <c r="C2520" s="5" t="s">
        <v>40</v>
      </c>
      <c r="D2520" s="21">
        <v>1</v>
      </c>
      <c r="E2520" s="12">
        <v>99</v>
      </c>
      <c r="F2520" s="10" t="str">
        <f>_xlfn.XLOOKUP(C2520,menu!A:A,menu!B:B)</f>
        <v>Veg Nuggets</v>
      </c>
      <c r="G2520" s="10" t="str">
        <f>_xlfn.XLOOKUP(C2520,menu!A:A,menu!C:C)</f>
        <v>Starters</v>
      </c>
      <c r="H2520" s="10">
        <f>_xlfn.XLOOKUP(C2520,menu!A:A,menu!E:E)</f>
        <v>30</v>
      </c>
      <c r="I2520" s="10">
        <f t="shared" si="39"/>
        <v>30</v>
      </c>
      <c r="K2520" s="10"/>
      <c r="L2520" s="5"/>
    </row>
    <row r="2521" spans="1:12" x14ac:dyDescent="0.25">
      <c r="A2521" s="5" t="s">
        <v>3768</v>
      </c>
      <c r="B2521" s="5" t="s">
        <v>3766</v>
      </c>
      <c r="C2521" s="5" t="s">
        <v>19</v>
      </c>
      <c r="D2521" s="21">
        <v>2</v>
      </c>
      <c r="E2521" s="12">
        <v>158</v>
      </c>
      <c r="F2521" s="10" t="str">
        <f>_xlfn.XLOOKUP(C2521,menu!A:A,menu!B:B)</f>
        <v>Veg Burger</v>
      </c>
      <c r="G2521" s="10" t="str">
        <f>_xlfn.XLOOKUP(C2521,menu!A:A,menu!C:C)</f>
        <v>Burger</v>
      </c>
      <c r="H2521" s="10">
        <f>_xlfn.XLOOKUP(C2521,menu!A:A,menu!E:E)</f>
        <v>24</v>
      </c>
      <c r="I2521" s="10">
        <f t="shared" si="39"/>
        <v>48</v>
      </c>
      <c r="K2521" s="10"/>
      <c r="L2521" s="5"/>
    </row>
    <row r="2522" spans="1:12" x14ac:dyDescent="0.25">
      <c r="A2522" s="5" t="s">
        <v>3767</v>
      </c>
      <c r="B2522" s="5" t="s">
        <v>3766</v>
      </c>
      <c r="C2522" s="5" t="s">
        <v>38</v>
      </c>
      <c r="D2522" s="21">
        <v>1</v>
      </c>
      <c r="E2522" s="12">
        <v>149</v>
      </c>
      <c r="F2522" s="10" t="str">
        <f>_xlfn.XLOOKUP(C2522,menu!A:A,menu!B:B)</f>
        <v>Chicken Wings</v>
      </c>
      <c r="G2522" s="10" t="str">
        <f>_xlfn.XLOOKUP(C2522,menu!A:A,menu!C:C)</f>
        <v>Starters</v>
      </c>
      <c r="H2522" s="10">
        <f>_xlfn.XLOOKUP(C2522,menu!A:A,menu!E:E)</f>
        <v>45</v>
      </c>
      <c r="I2522" s="10">
        <f t="shared" si="39"/>
        <v>45</v>
      </c>
      <c r="K2522" s="10"/>
      <c r="L2522" s="5"/>
    </row>
    <row r="2523" spans="1:12" x14ac:dyDescent="0.25">
      <c r="A2523" s="5" t="s">
        <v>3765</v>
      </c>
      <c r="B2523" s="5" t="s">
        <v>3763</v>
      </c>
      <c r="C2523" s="5" t="s">
        <v>8</v>
      </c>
      <c r="D2523" s="21">
        <v>2</v>
      </c>
      <c r="E2523" s="12">
        <v>198</v>
      </c>
      <c r="F2523" s="10" t="str">
        <f>_xlfn.XLOOKUP(C2523,menu!A:A,menu!B:B)</f>
        <v>Paneer Sandwich</v>
      </c>
      <c r="G2523" s="10" t="str">
        <f>_xlfn.XLOOKUP(C2523,menu!A:A,menu!C:C)</f>
        <v>Sandwich</v>
      </c>
      <c r="H2523" s="10">
        <f>_xlfn.XLOOKUP(C2523,menu!A:A,menu!E:E)</f>
        <v>30</v>
      </c>
      <c r="I2523" s="10">
        <f t="shared" si="39"/>
        <v>60</v>
      </c>
      <c r="K2523" s="10"/>
      <c r="L2523" s="5"/>
    </row>
    <row r="2524" spans="1:12" x14ac:dyDescent="0.25">
      <c r="A2524" s="5" t="s">
        <v>3764</v>
      </c>
      <c r="B2524" s="5" t="s">
        <v>3763</v>
      </c>
      <c r="C2524" s="5" t="s">
        <v>24</v>
      </c>
      <c r="D2524" s="21">
        <v>1</v>
      </c>
      <c r="E2524" s="12">
        <v>89</v>
      </c>
      <c r="F2524" s="10" t="str">
        <f>_xlfn.XLOOKUP(C2524,menu!A:A,menu!B:B)</f>
        <v>Paneer Burger</v>
      </c>
      <c r="G2524" s="10" t="str">
        <f>_xlfn.XLOOKUP(C2524,menu!A:A,menu!C:C)</f>
        <v>Burger</v>
      </c>
      <c r="H2524" s="10">
        <f>_xlfn.XLOOKUP(C2524,menu!A:A,menu!E:E)</f>
        <v>27</v>
      </c>
      <c r="I2524" s="10">
        <f t="shared" si="39"/>
        <v>27</v>
      </c>
      <c r="K2524" s="10"/>
      <c r="L2524" s="5"/>
    </row>
    <row r="2525" spans="1:12" x14ac:dyDescent="0.25">
      <c r="A2525" s="5" t="s">
        <v>3762</v>
      </c>
      <c r="B2525" s="5" t="s">
        <v>3759</v>
      </c>
      <c r="C2525" s="5" t="s">
        <v>42</v>
      </c>
      <c r="D2525" s="21">
        <v>1</v>
      </c>
      <c r="E2525" s="12">
        <v>149</v>
      </c>
      <c r="F2525" s="10" t="str">
        <f>_xlfn.XLOOKUP(C2525,menu!A:A,menu!B:B)</f>
        <v>Chicken Popcorn</v>
      </c>
      <c r="G2525" s="10" t="str">
        <f>_xlfn.XLOOKUP(C2525,menu!A:A,menu!C:C)</f>
        <v>Starters</v>
      </c>
      <c r="H2525" s="10">
        <f>_xlfn.XLOOKUP(C2525,menu!A:A,menu!E:E)</f>
        <v>45</v>
      </c>
      <c r="I2525" s="10">
        <f t="shared" si="39"/>
        <v>45</v>
      </c>
      <c r="K2525" s="10"/>
      <c r="L2525" s="5"/>
    </row>
    <row r="2526" spans="1:12" x14ac:dyDescent="0.25">
      <c r="A2526" s="5" t="s">
        <v>3761</v>
      </c>
      <c r="B2526" s="5" t="s">
        <v>3759</v>
      </c>
      <c r="C2526" s="5" t="s">
        <v>65</v>
      </c>
      <c r="D2526" s="21">
        <v>1</v>
      </c>
      <c r="E2526" s="12">
        <v>49</v>
      </c>
      <c r="F2526" s="10" t="str">
        <f>_xlfn.XLOOKUP(C2526,menu!A:A,menu!B:B)</f>
        <v>Lemon Juice</v>
      </c>
      <c r="G2526" s="10" t="str">
        <f>_xlfn.XLOOKUP(C2526,menu!A:A,menu!C:C)</f>
        <v>Beverages</v>
      </c>
      <c r="H2526" s="10">
        <f>_xlfn.XLOOKUP(C2526,menu!A:A,menu!E:E)</f>
        <v>15</v>
      </c>
      <c r="I2526" s="10">
        <f t="shared" si="39"/>
        <v>15</v>
      </c>
      <c r="K2526" s="10"/>
      <c r="L2526" s="5"/>
    </row>
    <row r="2527" spans="1:12" x14ac:dyDescent="0.25">
      <c r="A2527" s="5" t="s">
        <v>3760</v>
      </c>
      <c r="B2527" s="5" t="s">
        <v>3759</v>
      </c>
      <c r="C2527" s="5" t="s">
        <v>59</v>
      </c>
      <c r="D2527" s="21">
        <v>2</v>
      </c>
      <c r="E2527" s="12">
        <v>158</v>
      </c>
      <c r="F2527" s="10" t="str">
        <f>_xlfn.XLOOKUP(C2527,menu!A:A,menu!B:B)</f>
        <v>Blue Curacao Mojito</v>
      </c>
      <c r="G2527" s="10" t="str">
        <f>_xlfn.XLOOKUP(C2527,menu!A:A,menu!C:C)</f>
        <v>Beverages</v>
      </c>
      <c r="H2527" s="10">
        <f>_xlfn.XLOOKUP(C2527,menu!A:A,menu!E:E)</f>
        <v>24</v>
      </c>
      <c r="I2527" s="10">
        <f t="shared" si="39"/>
        <v>48</v>
      </c>
      <c r="K2527" s="10"/>
      <c r="L2527" s="5"/>
    </row>
    <row r="2528" spans="1:12" x14ac:dyDescent="0.25">
      <c r="A2528" s="5" t="s">
        <v>3758</v>
      </c>
      <c r="B2528" s="5" t="s">
        <v>3756</v>
      </c>
      <c r="C2528" s="5" t="s">
        <v>54</v>
      </c>
      <c r="D2528" s="21">
        <v>1</v>
      </c>
      <c r="E2528" s="12">
        <v>139</v>
      </c>
      <c r="F2528" s="10" t="str">
        <f>_xlfn.XLOOKUP(C2528,menu!A:A,menu!B:B)</f>
        <v>Chicken Strips</v>
      </c>
      <c r="G2528" s="10" t="str">
        <f>_xlfn.XLOOKUP(C2528,menu!A:A,menu!C:C)</f>
        <v>Starters</v>
      </c>
      <c r="H2528" s="10">
        <f>_xlfn.XLOOKUP(C2528,menu!A:A,menu!E:E)</f>
        <v>42</v>
      </c>
      <c r="I2528" s="10">
        <f t="shared" si="39"/>
        <v>42</v>
      </c>
      <c r="K2528" s="10"/>
      <c r="L2528" s="5"/>
    </row>
    <row r="2529" spans="1:12" x14ac:dyDescent="0.25">
      <c r="A2529" s="5" t="s">
        <v>3757</v>
      </c>
      <c r="B2529" s="5" t="s">
        <v>3756</v>
      </c>
      <c r="C2529" s="5" t="s">
        <v>59</v>
      </c>
      <c r="D2529" s="21">
        <v>1</v>
      </c>
      <c r="E2529" s="12">
        <v>79</v>
      </c>
      <c r="F2529" s="10" t="str">
        <f>_xlfn.XLOOKUP(C2529,menu!A:A,menu!B:B)</f>
        <v>Blue Curacao Mojito</v>
      </c>
      <c r="G2529" s="10" t="str">
        <f>_xlfn.XLOOKUP(C2529,menu!A:A,menu!C:C)</f>
        <v>Beverages</v>
      </c>
      <c r="H2529" s="10">
        <f>_xlfn.XLOOKUP(C2529,menu!A:A,menu!E:E)</f>
        <v>24</v>
      </c>
      <c r="I2529" s="10">
        <f t="shared" si="39"/>
        <v>24</v>
      </c>
      <c r="K2529" s="10"/>
      <c r="L2529" s="5"/>
    </row>
    <row r="2530" spans="1:12" x14ac:dyDescent="0.25">
      <c r="A2530" s="5" t="s">
        <v>3755</v>
      </c>
      <c r="B2530" s="5" t="s">
        <v>3751</v>
      </c>
      <c r="C2530" s="5" t="s">
        <v>19</v>
      </c>
      <c r="D2530" s="21">
        <v>2</v>
      </c>
      <c r="E2530" s="12">
        <v>158</v>
      </c>
      <c r="F2530" s="10" t="str">
        <f>_xlfn.XLOOKUP(C2530,menu!A:A,menu!B:B)</f>
        <v>Veg Burger</v>
      </c>
      <c r="G2530" s="10" t="str">
        <f>_xlfn.XLOOKUP(C2530,menu!A:A,menu!C:C)</f>
        <v>Burger</v>
      </c>
      <c r="H2530" s="10">
        <f>_xlfn.XLOOKUP(C2530,menu!A:A,menu!E:E)</f>
        <v>24</v>
      </c>
      <c r="I2530" s="10">
        <f t="shared" si="39"/>
        <v>48</v>
      </c>
      <c r="K2530" s="10"/>
      <c r="L2530" s="5"/>
    </row>
    <row r="2531" spans="1:12" x14ac:dyDescent="0.25">
      <c r="A2531" s="5" t="s">
        <v>3754</v>
      </c>
      <c r="B2531" s="5" t="s">
        <v>3751</v>
      </c>
      <c r="C2531" s="5" t="s">
        <v>52</v>
      </c>
      <c r="D2531" s="21">
        <v>2</v>
      </c>
      <c r="E2531" s="12">
        <v>198</v>
      </c>
      <c r="F2531" s="10" t="str">
        <f>_xlfn.XLOOKUP(C2531,menu!A:A,menu!B:B)</f>
        <v>French Fries</v>
      </c>
      <c r="G2531" s="10" t="str">
        <f>_xlfn.XLOOKUP(C2531,menu!A:A,menu!C:C)</f>
        <v>Starters</v>
      </c>
      <c r="H2531" s="10">
        <f>_xlfn.XLOOKUP(C2531,menu!A:A,menu!E:E)</f>
        <v>30</v>
      </c>
      <c r="I2531" s="10">
        <f t="shared" si="39"/>
        <v>60</v>
      </c>
      <c r="K2531" s="10"/>
      <c r="L2531" s="5"/>
    </row>
    <row r="2532" spans="1:12" x14ac:dyDescent="0.25">
      <c r="A2532" s="5" t="s">
        <v>3753</v>
      </c>
      <c r="B2532" s="5" t="s">
        <v>3751</v>
      </c>
      <c r="C2532" s="5" t="s">
        <v>50</v>
      </c>
      <c r="D2532" s="21">
        <v>4</v>
      </c>
      <c r="E2532" s="12">
        <v>596</v>
      </c>
      <c r="F2532" s="10" t="str">
        <f>_xlfn.XLOOKUP(C2532,menu!A:A,menu!B:B)</f>
        <v>Grab Lollipop</v>
      </c>
      <c r="G2532" s="10" t="str">
        <f>_xlfn.XLOOKUP(C2532,menu!A:A,menu!C:C)</f>
        <v>Starters</v>
      </c>
      <c r="H2532" s="10">
        <f>_xlfn.XLOOKUP(C2532,menu!A:A,menu!E:E)</f>
        <v>45</v>
      </c>
      <c r="I2532" s="10">
        <f t="shared" si="39"/>
        <v>180</v>
      </c>
      <c r="K2532" s="10"/>
      <c r="L2532" s="5"/>
    </row>
    <row r="2533" spans="1:12" x14ac:dyDescent="0.25">
      <c r="A2533" s="5" t="s">
        <v>3752</v>
      </c>
      <c r="B2533" s="5" t="s">
        <v>3751</v>
      </c>
      <c r="C2533" s="5" t="s">
        <v>46</v>
      </c>
      <c r="D2533" s="21">
        <v>3</v>
      </c>
      <c r="E2533" s="12">
        <v>447</v>
      </c>
      <c r="F2533" s="10" t="str">
        <f>_xlfn.XLOOKUP(C2533,menu!A:A,menu!B:B)</f>
        <v>Fish Finger</v>
      </c>
      <c r="G2533" s="10" t="str">
        <f>_xlfn.XLOOKUP(C2533,menu!A:A,menu!C:C)</f>
        <v>Starters</v>
      </c>
      <c r="H2533" s="10">
        <f>_xlfn.XLOOKUP(C2533,menu!A:A,menu!E:E)</f>
        <v>45</v>
      </c>
      <c r="I2533" s="10">
        <f t="shared" si="39"/>
        <v>135</v>
      </c>
      <c r="K2533" s="10"/>
      <c r="L2533" s="5"/>
    </row>
    <row r="2534" spans="1:12" x14ac:dyDescent="0.25">
      <c r="A2534" s="5" t="s">
        <v>3750</v>
      </c>
      <c r="B2534" s="5" t="s">
        <v>3746</v>
      </c>
      <c r="C2534" s="5" t="s">
        <v>52</v>
      </c>
      <c r="D2534" s="21">
        <v>5</v>
      </c>
      <c r="E2534" s="12">
        <v>495</v>
      </c>
      <c r="F2534" s="10" t="str">
        <f>_xlfn.XLOOKUP(C2534,menu!A:A,menu!B:B)</f>
        <v>French Fries</v>
      </c>
      <c r="G2534" s="10" t="str">
        <f>_xlfn.XLOOKUP(C2534,menu!A:A,menu!C:C)</f>
        <v>Starters</v>
      </c>
      <c r="H2534" s="10">
        <f>_xlfn.XLOOKUP(C2534,menu!A:A,menu!E:E)</f>
        <v>30</v>
      </c>
      <c r="I2534" s="10">
        <f t="shared" si="39"/>
        <v>150</v>
      </c>
      <c r="K2534" s="10"/>
      <c r="L2534" s="5"/>
    </row>
    <row r="2535" spans="1:12" x14ac:dyDescent="0.25">
      <c r="A2535" s="5" t="s">
        <v>3749</v>
      </c>
      <c r="B2535" s="5" t="s">
        <v>3746</v>
      </c>
      <c r="C2535" s="5" t="s">
        <v>38</v>
      </c>
      <c r="D2535" s="21">
        <v>4</v>
      </c>
      <c r="E2535" s="12">
        <v>596</v>
      </c>
      <c r="F2535" s="10" t="str">
        <f>_xlfn.XLOOKUP(C2535,menu!A:A,menu!B:B)</f>
        <v>Chicken Wings</v>
      </c>
      <c r="G2535" s="10" t="str">
        <f>_xlfn.XLOOKUP(C2535,menu!A:A,menu!C:C)</f>
        <v>Starters</v>
      </c>
      <c r="H2535" s="10">
        <f>_xlfn.XLOOKUP(C2535,menu!A:A,menu!E:E)</f>
        <v>45</v>
      </c>
      <c r="I2535" s="10">
        <f t="shared" si="39"/>
        <v>180</v>
      </c>
      <c r="K2535" s="10"/>
      <c r="L2535" s="5"/>
    </row>
    <row r="2536" spans="1:12" x14ac:dyDescent="0.25">
      <c r="A2536" s="5" t="s">
        <v>3748</v>
      </c>
      <c r="B2536" s="5" t="s">
        <v>3746</v>
      </c>
      <c r="C2536" s="5" t="s">
        <v>54</v>
      </c>
      <c r="D2536" s="21">
        <v>4</v>
      </c>
      <c r="E2536" s="12">
        <v>556</v>
      </c>
      <c r="F2536" s="10" t="str">
        <f>_xlfn.XLOOKUP(C2536,menu!A:A,menu!B:B)</f>
        <v>Chicken Strips</v>
      </c>
      <c r="G2536" s="10" t="str">
        <f>_xlfn.XLOOKUP(C2536,menu!A:A,menu!C:C)</f>
        <v>Starters</v>
      </c>
      <c r="H2536" s="10">
        <f>_xlfn.XLOOKUP(C2536,menu!A:A,menu!E:E)</f>
        <v>42</v>
      </c>
      <c r="I2536" s="10">
        <f t="shared" si="39"/>
        <v>168</v>
      </c>
      <c r="K2536" s="10"/>
      <c r="L2536" s="5"/>
    </row>
    <row r="2537" spans="1:12" x14ac:dyDescent="0.25">
      <c r="A2537" s="5" t="s">
        <v>3747</v>
      </c>
      <c r="B2537" s="5" t="s">
        <v>3746</v>
      </c>
      <c r="C2537" s="5" t="s">
        <v>61</v>
      </c>
      <c r="D2537" s="21">
        <v>1</v>
      </c>
      <c r="E2537" s="12">
        <v>79</v>
      </c>
      <c r="F2537" s="10" t="str">
        <f>_xlfn.XLOOKUP(C2537,menu!A:A,menu!B:B)</f>
        <v>Watermelon Mojito</v>
      </c>
      <c r="G2537" s="10" t="str">
        <f>_xlfn.XLOOKUP(C2537,menu!A:A,menu!C:C)</f>
        <v>Beverages</v>
      </c>
      <c r="H2537" s="10">
        <f>_xlfn.XLOOKUP(C2537,menu!A:A,menu!E:E)</f>
        <v>24</v>
      </c>
      <c r="I2537" s="10">
        <f t="shared" si="39"/>
        <v>24</v>
      </c>
      <c r="K2537" s="10"/>
      <c r="L2537" s="5"/>
    </row>
    <row r="2538" spans="1:12" x14ac:dyDescent="0.25">
      <c r="A2538" s="5" t="s">
        <v>3745</v>
      </c>
      <c r="B2538" s="5" t="s">
        <v>3741</v>
      </c>
      <c r="C2538" s="5" t="s">
        <v>40</v>
      </c>
      <c r="D2538" s="21">
        <v>1</v>
      </c>
      <c r="E2538" s="12">
        <v>99</v>
      </c>
      <c r="F2538" s="10" t="str">
        <f>_xlfn.XLOOKUP(C2538,menu!A:A,menu!B:B)</f>
        <v>Veg Nuggets</v>
      </c>
      <c r="G2538" s="10" t="str">
        <f>_xlfn.XLOOKUP(C2538,menu!A:A,menu!C:C)</f>
        <v>Starters</v>
      </c>
      <c r="H2538" s="10">
        <f>_xlfn.XLOOKUP(C2538,menu!A:A,menu!E:E)</f>
        <v>30</v>
      </c>
      <c r="I2538" s="10">
        <f t="shared" si="39"/>
        <v>30</v>
      </c>
      <c r="K2538" s="10"/>
      <c r="L2538" s="5"/>
    </row>
    <row r="2539" spans="1:12" x14ac:dyDescent="0.25">
      <c r="A2539" s="5" t="s">
        <v>3744</v>
      </c>
      <c r="B2539" s="5" t="s">
        <v>3741</v>
      </c>
      <c r="C2539" s="5" t="s">
        <v>63</v>
      </c>
      <c r="D2539" s="21">
        <v>1</v>
      </c>
      <c r="E2539" s="12">
        <v>79</v>
      </c>
      <c r="F2539" s="10" t="str">
        <f>_xlfn.XLOOKUP(C2539,menu!A:A,menu!B:B)</f>
        <v>Virgin Mojito</v>
      </c>
      <c r="G2539" s="10" t="str">
        <f>_xlfn.XLOOKUP(C2539,menu!A:A,menu!C:C)</f>
        <v>Beverages</v>
      </c>
      <c r="H2539" s="10">
        <f>_xlfn.XLOOKUP(C2539,menu!A:A,menu!E:E)</f>
        <v>24</v>
      </c>
      <c r="I2539" s="10">
        <f t="shared" si="39"/>
        <v>24</v>
      </c>
      <c r="K2539" s="10"/>
      <c r="L2539" s="5"/>
    </row>
    <row r="2540" spans="1:12" x14ac:dyDescent="0.25">
      <c r="A2540" s="5" t="s">
        <v>3743</v>
      </c>
      <c r="B2540" s="5" t="s">
        <v>3741</v>
      </c>
      <c r="C2540" s="5" t="s">
        <v>31</v>
      </c>
      <c r="D2540" s="21">
        <v>2</v>
      </c>
      <c r="E2540" s="12">
        <v>178</v>
      </c>
      <c r="F2540" s="10" t="str">
        <f>_xlfn.XLOOKUP(C2540,menu!A:A,menu!B:B)</f>
        <v>Chicken Roll</v>
      </c>
      <c r="G2540" s="10" t="str">
        <f>_xlfn.XLOOKUP(C2540,menu!A:A,menu!C:C)</f>
        <v>Rolls</v>
      </c>
      <c r="H2540" s="10">
        <f>_xlfn.XLOOKUP(C2540,menu!A:A,menu!E:E)</f>
        <v>27</v>
      </c>
      <c r="I2540" s="10">
        <f t="shared" si="39"/>
        <v>54</v>
      </c>
      <c r="K2540" s="10"/>
      <c r="L2540" s="5"/>
    </row>
    <row r="2541" spans="1:12" x14ac:dyDescent="0.25">
      <c r="A2541" s="5" t="s">
        <v>3742</v>
      </c>
      <c r="B2541" s="5" t="s">
        <v>3741</v>
      </c>
      <c r="C2541" s="5" t="s">
        <v>61</v>
      </c>
      <c r="D2541" s="21">
        <v>1</v>
      </c>
      <c r="E2541" s="12">
        <v>79</v>
      </c>
      <c r="F2541" s="10" t="str">
        <f>_xlfn.XLOOKUP(C2541,menu!A:A,menu!B:B)</f>
        <v>Watermelon Mojito</v>
      </c>
      <c r="G2541" s="10" t="str">
        <f>_xlfn.XLOOKUP(C2541,menu!A:A,menu!C:C)</f>
        <v>Beverages</v>
      </c>
      <c r="H2541" s="10">
        <f>_xlfn.XLOOKUP(C2541,menu!A:A,menu!E:E)</f>
        <v>24</v>
      </c>
      <c r="I2541" s="10">
        <f t="shared" si="39"/>
        <v>24</v>
      </c>
      <c r="K2541" s="10"/>
      <c r="L2541" s="5"/>
    </row>
    <row r="2542" spans="1:12" x14ac:dyDescent="0.25">
      <c r="A2542" s="5" t="s">
        <v>3740</v>
      </c>
      <c r="B2542" s="5" t="s">
        <v>3737</v>
      </c>
      <c r="C2542" s="5" t="s">
        <v>12</v>
      </c>
      <c r="D2542" s="21">
        <v>1</v>
      </c>
      <c r="E2542" s="12">
        <v>79</v>
      </c>
      <c r="F2542" s="10" t="str">
        <f>_xlfn.XLOOKUP(C2542,menu!A:A,menu!B:B)</f>
        <v>Veg Momos</v>
      </c>
      <c r="G2542" s="10" t="str">
        <f>_xlfn.XLOOKUP(C2542,menu!A:A,menu!C:C)</f>
        <v>Momos</v>
      </c>
      <c r="H2542" s="10">
        <f>_xlfn.XLOOKUP(C2542,menu!A:A,menu!E:E)</f>
        <v>24</v>
      </c>
      <c r="I2542" s="10">
        <f t="shared" si="39"/>
        <v>24</v>
      </c>
      <c r="K2542" s="10"/>
      <c r="L2542" s="5"/>
    </row>
    <row r="2543" spans="1:12" x14ac:dyDescent="0.25">
      <c r="A2543" s="5" t="s">
        <v>3739</v>
      </c>
      <c r="B2543" s="5" t="s">
        <v>3737</v>
      </c>
      <c r="C2543" s="5" t="s">
        <v>10</v>
      </c>
      <c r="D2543" s="21">
        <v>4</v>
      </c>
      <c r="E2543" s="12">
        <v>476</v>
      </c>
      <c r="F2543" s="10" t="str">
        <f>_xlfn.XLOOKUP(C2543,menu!A:A,menu!B:B)</f>
        <v>Chicken Sandwich</v>
      </c>
      <c r="G2543" s="10" t="str">
        <f>_xlfn.XLOOKUP(C2543,menu!A:A,menu!C:C)</f>
        <v>Sandwich</v>
      </c>
      <c r="H2543" s="10">
        <f>_xlfn.XLOOKUP(C2543,menu!A:A,menu!E:E)</f>
        <v>36</v>
      </c>
      <c r="I2543" s="10">
        <f t="shared" si="39"/>
        <v>144</v>
      </c>
      <c r="K2543" s="10"/>
      <c r="L2543" s="5"/>
    </row>
    <row r="2544" spans="1:12" x14ac:dyDescent="0.25">
      <c r="A2544" s="5" t="s">
        <v>3738</v>
      </c>
      <c r="B2544" s="5" t="s">
        <v>3737</v>
      </c>
      <c r="C2544" s="5" t="s">
        <v>44</v>
      </c>
      <c r="D2544" s="21">
        <v>2</v>
      </c>
      <c r="E2544" s="12">
        <v>318</v>
      </c>
      <c r="F2544" s="10" t="str">
        <f>_xlfn.XLOOKUP(C2544,menu!A:A,menu!B:B)</f>
        <v>Fried Chicken</v>
      </c>
      <c r="G2544" s="10" t="str">
        <f>_xlfn.XLOOKUP(C2544,menu!A:A,menu!C:C)</f>
        <v>Starters</v>
      </c>
      <c r="H2544" s="10">
        <f>_xlfn.XLOOKUP(C2544,menu!A:A,menu!E:E)</f>
        <v>48</v>
      </c>
      <c r="I2544" s="10">
        <f t="shared" si="39"/>
        <v>96</v>
      </c>
      <c r="K2544" s="10"/>
      <c r="L2544" s="5"/>
    </row>
    <row r="2545" spans="1:12" x14ac:dyDescent="0.25">
      <c r="A2545" s="5" t="s">
        <v>3736</v>
      </c>
      <c r="B2545" s="5" t="s">
        <v>3733</v>
      </c>
      <c r="C2545" s="5" t="s">
        <v>38</v>
      </c>
      <c r="D2545" s="21">
        <v>2</v>
      </c>
      <c r="E2545" s="12">
        <v>298</v>
      </c>
      <c r="F2545" s="10" t="str">
        <f>_xlfn.XLOOKUP(C2545,menu!A:A,menu!B:B)</f>
        <v>Chicken Wings</v>
      </c>
      <c r="G2545" s="10" t="str">
        <f>_xlfn.XLOOKUP(C2545,menu!A:A,menu!C:C)</f>
        <v>Starters</v>
      </c>
      <c r="H2545" s="10">
        <f>_xlfn.XLOOKUP(C2545,menu!A:A,menu!E:E)</f>
        <v>45</v>
      </c>
      <c r="I2545" s="10">
        <f t="shared" si="39"/>
        <v>90</v>
      </c>
      <c r="K2545" s="10"/>
      <c r="L2545" s="5"/>
    </row>
    <row r="2546" spans="1:12" x14ac:dyDescent="0.25">
      <c r="A2546" s="5" t="s">
        <v>3735</v>
      </c>
      <c r="B2546" s="5" t="s">
        <v>3733</v>
      </c>
      <c r="C2546" s="5" t="s">
        <v>65</v>
      </c>
      <c r="D2546" s="21">
        <v>1</v>
      </c>
      <c r="E2546" s="12">
        <v>49</v>
      </c>
      <c r="F2546" s="10" t="str">
        <f>_xlfn.XLOOKUP(C2546,menu!A:A,menu!B:B)</f>
        <v>Lemon Juice</v>
      </c>
      <c r="G2546" s="10" t="str">
        <f>_xlfn.XLOOKUP(C2546,menu!A:A,menu!C:C)</f>
        <v>Beverages</v>
      </c>
      <c r="H2546" s="10">
        <f>_xlfn.XLOOKUP(C2546,menu!A:A,menu!E:E)</f>
        <v>15</v>
      </c>
      <c r="I2546" s="10">
        <f t="shared" si="39"/>
        <v>15</v>
      </c>
      <c r="K2546" s="10"/>
      <c r="L2546" s="5"/>
    </row>
    <row r="2547" spans="1:12" x14ac:dyDescent="0.25">
      <c r="A2547" s="5" t="s">
        <v>3734</v>
      </c>
      <c r="B2547" s="5" t="s">
        <v>3733</v>
      </c>
      <c r="C2547" s="5" t="s">
        <v>61</v>
      </c>
      <c r="D2547" s="21">
        <v>2</v>
      </c>
      <c r="E2547" s="12">
        <v>158</v>
      </c>
      <c r="F2547" s="10" t="str">
        <f>_xlfn.XLOOKUP(C2547,menu!A:A,menu!B:B)</f>
        <v>Watermelon Mojito</v>
      </c>
      <c r="G2547" s="10" t="str">
        <f>_xlfn.XLOOKUP(C2547,menu!A:A,menu!C:C)</f>
        <v>Beverages</v>
      </c>
      <c r="H2547" s="10">
        <f>_xlfn.XLOOKUP(C2547,menu!A:A,menu!E:E)</f>
        <v>24</v>
      </c>
      <c r="I2547" s="10">
        <f t="shared" si="39"/>
        <v>48</v>
      </c>
      <c r="K2547" s="10"/>
      <c r="L2547" s="5"/>
    </row>
    <row r="2548" spans="1:12" x14ac:dyDescent="0.25">
      <c r="A2548" s="5" t="s">
        <v>3732</v>
      </c>
      <c r="B2548" s="5" t="s">
        <v>3731</v>
      </c>
      <c r="C2548" s="5" t="s">
        <v>56</v>
      </c>
      <c r="D2548" s="21">
        <v>2</v>
      </c>
      <c r="E2548" s="12">
        <v>158</v>
      </c>
      <c r="F2548" s="10" t="str">
        <f>_xlfn.XLOOKUP(C2548,menu!A:A,menu!B:B)</f>
        <v>Mint Mojito</v>
      </c>
      <c r="G2548" s="10" t="str">
        <f>_xlfn.XLOOKUP(C2548,menu!A:A,menu!C:C)</f>
        <v>Beverages</v>
      </c>
      <c r="H2548" s="10">
        <f>_xlfn.XLOOKUP(C2548,menu!A:A,menu!E:E)</f>
        <v>24</v>
      </c>
      <c r="I2548" s="10">
        <f t="shared" si="39"/>
        <v>48</v>
      </c>
      <c r="K2548" s="10"/>
      <c r="L2548" s="5"/>
    </row>
    <row r="2549" spans="1:12" x14ac:dyDescent="0.25">
      <c r="A2549" s="5" t="s">
        <v>3730</v>
      </c>
      <c r="B2549" s="5" t="s">
        <v>3729</v>
      </c>
      <c r="C2549" s="5" t="s">
        <v>61</v>
      </c>
      <c r="D2549" s="21">
        <v>2</v>
      </c>
      <c r="E2549" s="12">
        <v>158</v>
      </c>
      <c r="F2549" s="10" t="str">
        <f>_xlfn.XLOOKUP(C2549,menu!A:A,menu!B:B)</f>
        <v>Watermelon Mojito</v>
      </c>
      <c r="G2549" s="10" t="str">
        <f>_xlfn.XLOOKUP(C2549,menu!A:A,menu!C:C)</f>
        <v>Beverages</v>
      </c>
      <c r="H2549" s="10">
        <f>_xlfn.XLOOKUP(C2549,menu!A:A,menu!E:E)</f>
        <v>24</v>
      </c>
      <c r="I2549" s="10">
        <f t="shared" si="39"/>
        <v>48</v>
      </c>
      <c r="K2549" s="10"/>
      <c r="L2549" s="5"/>
    </row>
    <row r="2550" spans="1:12" x14ac:dyDescent="0.25">
      <c r="A2550" s="5" t="s">
        <v>3728</v>
      </c>
      <c r="B2550" s="5" t="s">
        <v>3724</v>
      </c>
      <c r="C2550" s="5" t="s">
        <v>40</v>
      </c>
      <c r="D2550" s="21">
        <v>1</v>
      </c>
      <c r="E2550" s="12">
        <v>99</v>
      </c>
      <c r="F2550" s="10" t="str">
        <f>_xlfn.XLOOKUP(C2550,menu!A:A,menu!B:B)</f>
        <v>Veg Nuggets</v>
      </c>
      <c r="G2550" s="10" t="str">
        <f>_xlfn.XLOOKUP(C2550,menu!A:A,menu!C:C)</f>
        <v>Starters</v>
      </c>
      <c r="H2550" s="10">
        <f>_xlfn.XLOOKUP(C2550,menu!A:A,menu!E:E)</f>
        <v>30</v>
      </c>
      <c r="I2550" s="10">
        <f t="shared" si="39"/>
        <v>30</v>
      </c>
      <c r="K2550" s="10"/>
      <c r="L2550" s="5"/>
    </row>
    <row r="2551" spans="1:12" x14ac:dyDescent="0.25">
      <c r="A2551" s="5" t="s">
        <v>3727</v>
      </c>
      <c r="B2551" s="5" t="s">
        <v>3724</v>
      </c>
      <c r="C2551" s="5" t="s">
        <v>61</v>
      </c>
      <c r="D2551" s="21">
        <v>1</v>
      </c>
      <c r="E2551" s="12">
        <v>79</v>
      </c>
      <c r="F2551" s="10" t="str">
        <f>_xlfn.XLOOKUP(C2551,menu!A:A,menu!B:B)</f>
        <v>Watermelon Mojito</v>
      </c>
      <c r="G2551" s="10" t="str">
        <f>_xlfn.XLOOKUP(C2551,menu!A:A,menu!C:C)</f>
        <v>Beverages</v>
      </c>
      <c r="H2551" s="10">
        <f>_xlfn.XLOOKUP(C2551,menu!A:A,menu!E:E)</f>
        <v>24</v>
      </c>
      <c r="I2551" s="10">
        <f t="shared" si="39"/>
        <v>24</v>
      </c>
      <c r="K2551" s="10"/>
      <c r="L2551" s="5"/>
    </row>
    <row r="2552" spans="1:12" x14ac:dyDescent="0.25">
      <c r="A2552" s="5" t="s">
        <v>3726</v>
      </c>
      <c r="B2552" s="5" t="s">
        <v>3724</v>
      </c>
      <c r="C2552" s="5" t="s">
        <v>31</v>
      </c>
      <c r="D2552" s="21">
        <v>2</v>
      </c>
      <c r="E2552" s="12">
        <v>178</v>
      </c>
      <c r="F2552" s="10" t="str">
        <f>_xlfn.XLOOKUP(C2552,menu!A:A,menu!B:B)</f>
        <v>Chicken Roll</v>
      </c>
      <c r="G2552" s="10" t="str">
        <f>_xlfn.XLOOKUP(C2552,menu!A:A,menu!C:C)</f>
        <v>Rolls</v>
      </c>
      <c r="H2552" s="10">
        <f>_xlfn.XLOOKUP(C2552,menu!A:A,menu!E:E)</f>
        <v>27</v>
      </c>
      <c r="I2552" s="10">
        <f t="shared" si="39"/>
        <v>54</v>
      </c>
      <c r="K2552" s="10"/>
      <c r="L2552" s="5"/>
    </row>
    <row r="2553" spans="1:12" x14ac:dyDescent="0.25">
      <c r="A2553" s="5" t="s">
        <v>3725</v>
      </c>
      <c r="B2553" s="5" t="s">
        <v>3724</v>
      </c>
      <c r="C2553" s="5" t="s">
        <v>48</v>
      </c>
      <c r="D2553" s="21">
        <v>1</v>
      </c>
      <c r="E2553" s="12">
        <v>159</v>
      </c>
      <c r="F2553" s="10" t="str">
        <f>_xlfn.XLOOKUP(C2553,menu!A:A,menu!B:B)</f>
        <v>Chicken Lollipop</v>
      </c>
      <c r="G2553" s="10" t="str">
        <f>_xlfn.XLOOKUP(C2553,menu!A:A,menu!C:C)</f>
        <v>Starters</v>
      </c>
      <c r="H2553" s="10">
        <f>_xlfn.XLOOKUP(C2553,menu!A:A,menu!E:E)</f>
        <v>48</v>
      </c>
      <c r="I2553" s="10">
        <f t="shared" si="39"/>
        <v>48</v>
      </c>
      <c r="K2553" s="10"/>
      <c r="L2553" s="5"/>
    </row>
    <row r="2554" spans="1:12" x14ac:dyDescent="0.25">
      <c r="A2554" s="5" t="s">
        <v>3723</v>
      </c>
      <c r="B2554" s="5" t="s">
        <v>3720</v>
      </c>
      <c r="C2554" s="5" t="s">
        <v>40</v>
      </c>
      <c r="D2554" s="21">
        <v>1</v>
      </c>
      <c r="E2554" s="12">
        <v>99</v>
      </c>
      <c r="F2554" s="10" t="str">
        <f>_xlfn.XLOOKUP(C2554,menu!A:A,menu!B:B)</f>
        <v>Veg Nuggets</v>
      </c>
      <c r="G2554" s="10" t="str">
        <f>_xlfn.XLOOKUP(C2554,menu!A:A,menu!C:C)</f>
        <v>Starters</v>
      </c>
      <c r="H2554" s="10">
        <f>_xlfn.XLOOKUP(C2554,menu!A:A,menu!E:E)</f>
        <v>30</v>
      </c>
      <c r="I2554" s="10">
        <f t="shared" si="39"/>
        <v>30</v>
      </c>
      <c r="K2554" s="10"/>
      <c r="L2554" s="5"/>
    </row>
    <row r="2555" spans="1:12" x14ac:dyDescent="0.25">
      <c r="A2555" s="5" t="s">
        <v>3722</v>
      </c>
      <c r="B2555" s="5" t="s">
        <v>3720</v>
      </c>
      <c r="C2555" s="5" t="s">
        <v>52</v>
      </c>
      <c r="D2555" s="21">
        <v>2</v>
      </c>
      <c r="E2555" s="12">
        <v>198</v>
      </c>
      <c r="F2555" s="10" t="str">
        <f>_xlfn.XLOOKUP(C2555,menu!A:A,menu!B:B)</f>
        <v>French Fries</v>
      </c>
      <c r="G2555" s="10" t="str">
        <f>_xlfn.XLOOKUP(C2555,menu!A:A,menu!C:C)</f>
        <v>Starters</v>
      </c>
      <c r="H2555" s="10">
        <f>_xlfn.XLOOKUP(C2555,menu!A:A,menu!E:E)</f>
        <v>30</v>
      </c>
      <c r="I2555" s="10">
        <f t="shared" si="39"/>
        <v>60</v>
      </c>
      <c r="K2555" s="10"/>
      <c r="L2555" s="5"/>
    </row>
    <row r="2556" spans="1:12" x14ac:dyDescent="0.25">
      <c r="A2556" s="5" t="s">
        <v>3721</v>
      </c>
      <c r="B2556" s="5" t="s">
        <v>3720</v>
      </c>
      <c r="C2556" s="5" t="s">
        <v>33</v>
      </c>
      <c r="D2556" s="21">
        <v>2</v>
      </c>
      <c r="E2556" s="12">
        <v>138</v>
      </c>
      <c r="F2556" s="10" t="str">
        <f>_xlfn.XLOOKUP(C2556,menu!A:A,menu!B:B)</f>
        <v>Spring Roll</v>
      </c>
      <c r="G2556" s="10" t="str">
        <f>_xlfn.XLOOKUP(C2556,menu!A:A,menu!C:C)</f>
        <v>Rolls</v>
      </c>
      <c r="H2556" s="10">
        <f>_xlfn.XLOOKUP(C2556,menu!A:A,menu!E:E)</f>
        <v>21</v>
      </c>
      <c r="I2556" s="10">
        <f t="shared" si="39"/>
        <v>42</v>
      </c>
      <c r="K2556" s="10"/>
      <c r="L2556" s="5"/>
    </row>
    <row r="2557" spans="1:12" x14ac:dyDescent="0.25">
      <c r="A2557" s="5" t="s">
        <v>3719</v>
      </c>
      <c r="B2557" s="5" t="s">
        <v>3717</v>
      </c>
      <c r="C2557" s="5" t="s">
        <v>22</v>
      </c>
      <c r="D2557" s="21">
        <v>5</v>
      </c>
      <c r="E2557" s="12">
        <v>495</v>
      </c>
      <c r="F2557" s="10" t="str">
        <f>_xlfn.XLOOKUP(C2557,menu!A:A,menu!B:B)</f>
        <v>Chicken Burger</v>
      </c>
      <c r="G2557" s="10" t="str">
        <f>_xlfn.XLOOKUP(C2557,menu!A:A,menu!C:C)</f>
        <v>Burger</v>
      </c>
      <c r="H2557" s="10">
        <f>_xlfn.XLOOKUP(C2557,menu!A:A,menu!E:E)</f>
        <v>30</v>
      </c>
      <c r="I2557" s="10">
        <f t="shared" si="39"/>
        <v>150</v>
      </c>
      <c r="K2557" s="10"/>
      <c r="L2557" s="5"/>
    </row>
    <row r="2558" spans="1:12" x14ac:dyDescent="0.25">
      <c r="A2558" s="5" t="s">
        <v>3718</v>
      </c>
      <c r="B2558" s="5" t="s">
        <v>3717</v>
      </c>
      <c r="C2558" s="5" t="s">
        <v>38</v>
      </c>
      <c r="D2558" s="21">
        <v>3</v>
      </c>
      <c r="E2558" s="12">
        <v>447</v>
      </c>
      <c r="F2558" s="10" t="str">
        <f>_xlfn.XLOOKUP(C2558,menu!A:A,menu!B:B)</f>
        <v>Chicken Wings</v>
      </c>
      <c r="G2558" s="10" t="str">
        <f>_xlfn.XLOOKUP(C2558,menu!A:A,menu!C:C)</f>
        <v>Starters</v>
      </c>
      <c r="H2558" s="10">
        <f>_xlfn.XLOOKUP(C2558,menu!A:A,menu!E:E)</f>
        <v>45</v>
      </c>
      <c r="I2558" s="10">
        <f t="shared" si="39"/>
        <v>135</v>
      </c>
      <c r="K2558" s="10"/>
      <c r="L2558" s="5"/>
    </row>
    <row r="2559" spans="1:12" x14ac:dyDescent="0.25">
      <c r="A2559" s="5" t="s">
        <v>3716</v>
      </c>
      <c r="B2559" s="5" t="s">
        <v>3714</v>
      </c>
      <c r="C2559" s="5" t="s">
        <v>52</v>
      </c>
      <c r="D2559" s="21">
        <v>3</v>
      </c>
      <c r="E2559" s="12">
        <v>297</v>
      </c>
      <c r="F2559" s="10" t="str">
        <f>_xlfn.XLOOKUP(C2559,menu!A:A,menu!B:B)</f>
        <v>French Fries</v>
      </c>
      <c r="G2559" s="10" t="str">
        <f>_xlfn.XLOOKUP(C2559,menu!A:A,menu!C:C)</f>
        <v>Starters</v>
      </c>
      <c r="H2559" s="10">
        <f>_xlfn.XLOOKUP(C2559,menu!A:A,menu!E:E)</f>
        <v>30</v>
      </c>
      <c r="I2559" s="10">
        <f t="shared" si="39"/>
        <v>90</v>
      </c>
      <c r="K2559" s="10"/>
      <c r="L2559" s="5"/>
    </row>
    <row r="2560" spans="1:12" x14ac:dyDescent="0.25">
      <c r="A2560" s="5" t="s">
        <v>3715</v>
      </c>
      <c r="B2560" s="5" t="s">
        <v>3714</v>
      </c>
      <c r="C2560" s="5" t="s">
        <v>42</v>
      </c>
      <c r="D2560" s="21">
        <v>2</v>
      </c>
      <c r="E2560" s="12">
        <v>298</v>
      </c>
      <c r="F2560" s="10" t="str">
        <f>_xlfn.XLOOKUP(C2560,menu!A:A,menu!B:B)</f>
        <v>Chicken Popcorn</v>
      </c>
      <c r="G2560" s="10" t="str">
        <f>_xlfn.XLOOKUP(C2560,menu!A:A,menu!C:C)</f>
        <v>Starters</v>
      </c>
      <c r="H2560" s="10">
        <f>_xlfn.XLOOKUP(C2560,menu!A:A,menu!E:E)</f>
        <v>45</v>
      </c>
      <c r="I2560" s="10">
        <f t="shared" si="39"/>
        <v>90</v>
      </c>
      <c r="K2560" s="10"/>
      <c r="L2560" s="5"/>
    </row>
    <row r="2561" spans="1:12" x14ac:dyDescent="0.25">
      <c r="A2561" s="5" t="s">
        <v>3713</v>
      </c>
      <c r="B2561" s="5" t="s">
        <v>3712</v>
      </c>
      <c r="C2561" s="5" t="s">
        <v>19</v>
      </c>
      <c r="D2561" s="21">
        <v>2</v>
      </c>
      <c r="E2561" s="12">
        <v>158</v>
      </c>
      <c r="F2561" s="10" t="str">
        <f>_xlfn.XLOOKUP(C2561,menu!A:A,menu!B:B)</f>
        <v>Veg Burger</v>
      </c>
      <c r="G2561" s="10" t="str">
        <f>_xlfn.XLOOKUP(C2561,menu!A:A,menu!C:C)</f>
        <v>Burger</v>
      </c>
      <c r="H2561" s="10">
        <f>_xlfn.XLOOKUP(C2561,menu!A:A,menu!E:E)</f>
        <v>24</v>
      </c>
      <c r="I2561" s="10">
        <f t="shared" si="39"/>
        <v>48</v>
      </c>
      <c r="K2561" s="10"/>
      <c r="L2561" s="5"/>
    </row>
    <row r="2562" spans="1:12" x14ac:dyDescent="0.25">
      <c r="A2562" s="5" t="s">
        <v>3711</v>
      </c>
      <c r="B2562" s="5" t="s">
        <v>3709</v>
      </c>
      <c r="C2562" s="5" t="s">
        <v>50</v>
      </c>
      <c r="D2562" s="21">
        <v>4</v>
      </c>
      <c r="E2562" s="12">
        <v>596</v>
      </c>
      <c r="F2562" s="10" t="str">
        <f>_xlfn.XLOOKUP(C2562,menu!A:A,menu!B:B)</f>
        <v>Grab Lollipop</v>
      </c>
      <c r="G2562" s="10" t="str">
        <f>_xlfn.XLOOKUP(C2562,menu!A:A,menu!C:C)</f>
        <v>Starters</v>
      </c>
      <c r="H2562" s="10">
        <f>_xlfn.XLOOKUP(C2562,menu!A:A,menu!E:E)</f>
        <v>45</v>
      </c>
      <c r="I2562" s="10">
        <f t="shared" si="39"/>
        <v>180</v>
      </c>
      <c r="K2562" s="10"/>
      <c r="L2562" s="5"/>
    </row>
    <row r="2563" spans="1:12" x14ac:dyDescent="0.25">
      <c r="A2563" s="5" t="s">
        <v>3710</v>
      </c>
      <c r="B2563" s="5" t="s">
        <v>3709</v>
      </c>
      <c r="C2563" s="5" t="s">
        <v>48</v>
      </c>
      <c r="D2563" s="21">
        <v>1</v>
      </c>
      <c r="E2563" s="12">
        <v>159</v>
      </c>
      <c r="F2563" s="10" t="str">
        <f>_xlfn.XLOOKUP(C2563,menu!A:A,menu!B:B)</f>
        <v>Chicken Lollipop</v>
      </c>
      <c r="G2563" s="10" t="str">
        <f>_xlfn.XLOOKUP(C2563,menu!A:A,menu!C:C)</f>
        <v>Starters</v>
      </c>
      <c r="H2563" s="10">
        <f>_xlfn.XLOOKUP(C2563,menu!A:A,menu!E:E)</f>
        <v>48</v>
      </c>
      <c r="I2563" s="10">
        <f t="shared" ref="I2563:I2626" si="40">D2563*H2563</f>
        <v>48</v>
      </c>
      <c r="K2563" s="10"/>
      <c r="L2563" s="5"/>
    </row>
    <row r="2564" spans="1:12" x14ac:dyDescent="0.25">
      <c r="A2564" s="5" t="s">
        <v>3708</v>
      </c>
      <c r="B2564" s="5" t="s">
        <v>3704</v>
      </c>
      <c r="C2564" s="5" t="s">
        <v>52</v>
      </c>
      <c r="D2564" s="21">
        <v>3</v>
      </c>
      <c r="E2564" s="12">
        <v>297</v>
      </c>
      <c r="F2564" s="10" t="str">
        <f>_xlfn.XLOOKUP(C2564,menu!A:A,menu!B:B)</f>
        <v>French Fries</v>
      </c>
      <c r="G2564" s="10" t="str">
        <f>_xlfn.XLOOKUP(C2564,menu!A:A,menu!C:C)</f>
        <v>Starters</v>
      </c>
      <c r="H2564" s="10">
        <f>_xlfn.XLOOKUP(C2564,menu!A:A,menu!E:E)</f>
        <v>30</v>
      </c>
      <c r="I2564" s="10">
        <f t="shared" si="40"/>
        <v>90</v>
      </c>
      <c r="K2564" s="10"/>
      <c r="L2564" s="5"/>
    </row>
    <row r="2565" spans="1:12" x14ac:dyDescent="0.25">
      <c r="A2565" s="5" t="s">
        <v>3707</v>
      </c>
      <c r="B2565" s="5" t="s">
        <v>3704</v>
      </c>
      <c r="C2565" s="5" t="s">
        <v>46</v>
      </c>
      <c r="D2565" s="21">
        <v>2</v>
      </c>
      <c r="E2565" s="12">
        <v>298</v>
      </c>
      <c r="F2565" s="10" t="str">
        <f>_xlfn.XLOOKUP(C2565,menu!A:A,menu!B:B)</f>
        <v>Fish Finger</v>
      </c>
      <c r="G2565" s="10" t="str">
        <f>_xlfn.XLOOKUP(C2565,menu!A:A,menu!C:C)</f>
        <v>Starters</v>
      </c>
      <c r="H2565" s="10">
        <f>_xlfn.XLOOKUP(C2565,menu!A:A,menu!E:E)</f>
        <v>45</v>
      </c>
      <c r="I2565" s="10">
        <f t="shared" si="40"/>
        <v>90</v>
      </c>
      <c r="K2565" s="10"/>
      <c r="L2565" s="5"/>
    </row>
    <row r="2566" spans="1:12" x14ac:dyDescent="0.25">
      <c r="A2566" s="5" t="s">
        <v>3706</v>
      </c>
      <c r="B2566" s="5" t="s">
        <v>3704</v>
      </c>
      <c r="C2566" s="5" t="s">
        <v>22</v>
      </c>
      <c r="D2566" s="21">
        <v>3</v>
      </c>
      <c r="E2566" s="12">
        <v>297</v>
      </c>
      <c r="F2566" s="10" t="str">
        <f>_xlfn.XLOOKUP(C2566,menu!A:A,menu!B:B)</f>
        <v>Chicken Burger</v>
      </c>
      <c r="G2566" s="10" t="str">
        <f>_xlfn.XLOOKUP(C2566,menu!A:A,menu!C:C)</f>
        <v>Burger</v>
      </c>
      <c r="H2566" s="10">
        <f>_xlfn.XLOOKUP(C2566,menu!A:A,menu!E:E)</f>
        <v>30</v>
      </c>
      <c r="I2566" s="10">
        <f t="shared" si="40"/>
        <v>90</v>
      </c>
      <c r="K2566" s="10"/>
      <c r="L2566" s="5"/>
    </row>
    <row r="2567" spans="1:12" x14ac:dyDescent="0.25">
      <c r="A2567" s="5" t="s">
        <v>3705</v>
      </c>
      <c r="B2567" s="5" t="s">
        <v>3704</v>
      </c>
      <c r="C2567" s="5" t="s">
        <v>33</v>
      </c>
      <c r="D2567" s="21">
        <v>4</v>
      </c>
      <c r="E2567" s="12">
        <v>276</v>
      </c>
      <c r="F2567" s="10" t="str">
        <f>_xlfn.XLOOKUP(C2567,menu!A:A,menu!B:B)</f>
        <v>Spring Roll</v>
      </c>
      <c r="G2567" s="10" t="str">
        <f>_xlfn.XLOOKUP(C2567,menu!A:A,menu!C:C)</f>
        <v>Rolls</v>
      </c>
      <c r="H2567" s="10">
        <f>_xlfn.XLOOKUP(C2567,menu!A:A,menu!E:E)</f>
        <v>21</v>
      </c>
      <c r="I2567" s="10">
        <f t="shared" si="40"/>
        <v>84</v>
      </c>
      <c r="K2567" s="10"/>
      <c r="L2567" s="5"/>
    </row>
    <row r="2568" spans="1:12" x14ac:dyDescent="0.25">
      <c r="A2568" s="5" t="s">
        <v>3703</v>
      </c>
      <c r="B2568" s="5" t="s">
        <v>3700</v>
      </c>
      <c r="C2568" s="5" t="s">
        <v>5</v>
      </c>
      <c r="D2568" s="21">
        <v>3</v>
      </c>
      <c r="E2568" s="12">
        <v>237</v>
      </c>
      <c r="F2568" s="10" t="str">
        <f>_xlfn.XLOOKUP(C2568,menu!A:A,menu!B:B)</f>
        <v>Veg Sandwich</v>
      </c>
      <c r="G2568" s="10" t="str">
        <f>_xlfn.XLOOKUP(C2568,menu!A:A,menu!C:C)</f>
        <v>Sandwich</v>
      </c>
      <c r="H2568" s="10">
        <f>_xlfn.XLOOKUP(C2568,menu!A:A,menu!E:E)</f>
        <v>24</v>
      </c>
      <c r="I2568" s="10">
        <f t="shared" si="40"/>
        <v>72</v>
      </c>
      <c r="K2568" s="10"/>
      <c r="L2568" s="5"/>
    </row>
    <row r="2569" spans="1:12" x14ac:dyDescent="0.25">
      <c r="A2569" s="5" t="s">
        <v>3702</v>
      </c>
      <c r="B2569" s="5" t="s">
        <v>3700</v>
      </c>
      <c r="C2569" s="5" t="s">
        <v>59</v>
      </c>
      <c r="D2569" s="21">
        <v>1</v>
      </c>
      <c r="E2569" s="12">
        <v>79</v>
      </c>
      <c r="F2569" s="10" t="str">
        <f>_xlfn.XLOOKUP(C2569,menu!A:A,menu!B:B)</f>
        <v>Blue Curacao Mojito</v>
      </c>
      <c r="G2569" s="10" t="str">
        <f>_xlfn.XLOOKUP(C2569,menu!A:A,menu!C:C)</f>
        <v>Beverages</v>
      </c>
      <c r="H2569" s="10">
        <f>_xlfn.XLOOKUP(C2569,menu!A:A,menu!E:E)</f>
        <v>24</v>
      </c>
      <c r="I2569" s="10">
        <f t="shared" si="40"/>
        <v>24</v>
      </c>
      <c r="K2569" s="10"/>
      <c r="L2569" s="5"/>
    </row>
    <row r="2570" spans="1:12" x14ac:dyDescent="0.25">
      <c r="A2570" s="5" t="s">
        <v>3701</v>
      </c>
      <c r="B2570" s="5" t="s">
        <v>3700</v>
      </c>
      <c r="C2570" s="5" t="s">
        <v>31</v>
      </c>
      <c r="D2570" s="21">
        <v>1</v>
      </c>
      <c r="E2570" s="12">
        <v>89</v>
      </c>
      <c r="F2570" s="10" t="str">
        <f>_xlfn.XLOOKUP(C2570,menu!A:A,menu!B:B)</f>
        <v>Chicken Roll</v>
      </c>
      <c r="G2570" s="10" t="str">
        <f>_xlfn.XLOOKUP(C2570,menu!A:A,menu!C:C)</f>
        <v>Rolls</v>
      </c>
      <c r="H2570" s="10">
        <f>_xlfn.XLOOKUP(C2570,menu!A:A,menu!E:E)</f>
        <v>27</v>
      </c>
      <c r="I2570" s="10">
        <f t="shared" si="40"/>
        <v>27</v>
      </c>
      <c r="K2570" s="10"/>
      <c r="L2570" s="5"/>
    </row>
    <row r="2571" spans="1:12" x14ac:dyDescent="0.25">
      <c r="A2571" s="5" t="s">
        <v>3699</v>
      </c>
      <c r="B2571" s="5" t="s">
        <v>3696</v>
      </c>
      <c r="C2571" s="5" t="s">
        <v>40</v>
      </c>
      <c r="D2571" s="21">
        <v>2</v>
      </c>
      <c r="E2571" s="12">
        <v>198</v>
      </c>
      <c r="F2571" s="10" t="str">
        <f>_xlfn.XLOOKUP(C2571,menu!A:A,menu!B:B)</f>
        <v>Veg Nuggets</v>
      </c>
      <c r="G2571" s="10" t="str">
        <f>_xlfn.XLOOKUP(C2571,menu!A:A,menu!C:C)</f>
        <v>Starters</v>
      </c>
      <c r="H2571" s="10">
        <f>_xlfn.XLOOKUP(C2571,menu!A:A,menu!E:E)</f>
        <v>30</v>
      </c>
      <c r="I2571" s="10">
        <f t="shared" si="40"/>
        <v>60</v>
      </c>
      <c r="K2571" s="10"/>
      <c r="L2571" s="5"/>
    </row>
    <row r="2572" spans="1:12" x14ac:dyDescent="0.25">
      <c r="A2572" s="5" t="s">
        <v>3698</v>
      </c>
      <c r="B2572" s="5" t="s">
        <v>3696</v>
      </c>
      <c r="C2572" s="5" t="s">
        <v>44</v>
      </c>
      <c r="D2572" s="21">
        <v>3</v>
      </c>
      <c r="E2572" s="12">
        <v>477</v>
      </c>
      <c r="F2572" s="10" t="str">
        <f>_xlfn.XLOOKUP(C2572,menu!A:A,menu!B:B)</f>
        <v>Fried Chicken</v>
      </c>
      <c r="G2572" s="10" t="str">
        <f>_xlfn.XLOOKUP(C2572,menu!A:A,menu!C:C)</f>
        <v>Starters</v>
      </c>
      <c r="H2572" s="10">
        <f>_xlfn.XLOOKUP(C2572,menu!A:A,menu!E:E)</f>
        <v>48</v>
      </c>
      <c r="I2572" s="10">
        <f t="shared" si="40"/>
        <v>144</v>
      </c>
      <c r="K2572" s="10"/>
      <c r="L2572" s="5"/>
    </row>
    <row r="2573" spans="1:12" x14ac:dyDescent="0.25">
      <c r="A2573" s="5" t="s">
        <v>3697</v>
      </c>
      <c r="B2573" s="5" t="s">
        <v>3696</v>
      </c>
      <c r="C2573" s="5" t="s">
        <v>61</v>
      </c>
      <c r="D2573" s="21">
        <v>1</v>
      </c>
      <c r="E2573" s="12">
        <v>79</v>
      </c>
      <c r="F2573" s="10" t="str">
        <f>_xlfn.XLOOKUP(C2573,menu!A:A,menu!B:B)</f>
        <v>Watermelon Mojito</v>
      </c>
      <c r="G2573" s="10" t="str">
        <f>_xlfn.XLOOKUP(C2573,menu!A:A,menu!C:C)</f>
        <v>Beverages</v>
      </c>
      <c r="H2573" s="10">
        <f>_xlfn.XLOOKUP(C2573,menu!A:A,menu!E:E)</f>
        <v>24</v>
      </c>
      <c r="I2573" s="10">
        <f t="shared" si="40"/>
        <v>24</v>
      </c>
      <c r="K2573" s="10"/>
      <c r="L2573" s="5"/>
    </row>
    <row r="2574" spans="1:12" x14ac:dyDescent="0.25">
      <c r="A2574" s="5" t="s">
        <v>3695</v>
      </c>
      <c r="B2574" s="5" t="s">
        <v>3693</v>
      </c>
      <c r="C2574" s="5" t="s">
        <v>42</v>
      </c>
      <c r="D2574" s="21">
        <v>3</v>
      </c>
      <c r="E2574" s="12">
        <v>447</v>
      </c>
      <c r="F2574" s="10" t="str">
        <f>_xlfn.XLOOKUP(C2574,menu!A:A,menu!B:B)</f>
        <v>Chicken Popcorn</v>
      </c>
      <c r="G2574" s="10" t="str">
        <f>_xlfn.XLOOKUP(C2574,menu!A:A,menu!C:C)</f>
        <v>Starters</v>
      </c>
      <c r="H2574" s="10">
        <f>_xlfn.XLOOKUP(C2574,menu!A:A,menu!E:E)</f>
        <v>45</v>
      </c>
      <c r="I2574" s="10">
        <f t="shared" si="40"/>
        <v>135</v>
      </c>
      <c r="K2574" s="10"/>
      <c r="L2574" s="5"/>
    </row>
    <row r="2575" spans="1:12" x14ac:dyDescent="0.25">
      <c r="A2575" s="5" t="s">
        <v>3694</v>
      </c>
      <c r="B2575" s="5" t="s">
        <v>3693</v>
      </c>
      <c r="C2575" s="5" t="s">
        <v>65</v>
      </c>
      <c r="D2575" s="21">
        <v>1</v>
      </c>
      <c r="E2575" s="12">
        <v>49</v>
      </c>
      <c r="F2575" s="10" t="str">
        <f>_xlfn.XLOOKUP(C2575,menu!A:A,menu!B:B)</f>
        <v>Lemon Juice</v>
      </c>
      <c r="G2575" s="10" t="str">
        <f>_xlfn.XLOOKUP(C2575,menu!A:A,menu!C:C)</f>
        <v>Beverages</v>
      </c>
      <c r="H2575" s="10">
        <f>_xlfn.XLOOKUP(C2575,menu!A:A,menu!E:E)</f>
        <v>15</v>
      </c>
      <c r="I2575" s="10">
        <f t="shared" si="40"/>
        <v>15</v>
      </c>
      <c r="K2575" s="10"/>
      <c r="L2575" s="5"/>
    </row>
    <row r="2576" spans="1:12" x14ac:dyDescent="0.25">
      <c r="A2576" s="5" t="s">
        <v>3692</v>
      </c>
      <c r="B2576" s="5" t="s">
        <v>3689</v>
      </c>
      <c r="C2576" s="5" t="s">
        <v>29</v>
      </c>
      <c r="D2576" s="21">
        <v>1</v>
      </c>
      <c r="E2576" s="12">
        <v>79</v>
      </c>
      <c r="F2576" s="10" t="str">
        <f>_xlfn.XLOOKUP(C2576,menu!A:A,menu!B:B)</f>
        <v>Paneer Roll</v>
      </c>
      <c r="G2576" s="10" t="str">
        <f>_xlfn.XLOOKUP(C2576,menu!A:A,menu!C:C)</f>
        <v>Rolls</v>
      </c>
      <c r="H2576" s="10">
        <f>_xlfn.XLOOKUP(C2576,menu!A:A,menu!E:E)</f>
        <v>24</v>
      </c>
      <c r="I2576" s="10">
        <f t="shared" si="40"/>
        <v>24</v>
      </c>
      <c r="K2576" s="10"/>
      <c r="L2576" s="5"/>
    </row>
    <row r="2577" spans="1:12" x14ac:dyDescent="0.25">
      <c r="A2577" s="5" t="s">
        <v>3691</v>
      </c>
      <c r="B2577" s="5" t="s">
        <v>3689</v>
      </c>
      <c r="C2577" s="5" t="s">
        <v>46</v>
      </c>
      <c r="D2577" s="21">
        <v>1</v>
      </c>
      <c r="E2577" s="12">
        <v>149</v>
      </c>
      <c r="F2577" s="10" t="str">
        <f>_xlfn.XLOOKUP(C2577,menu!A:A,menu!B:B)</f>
        <v>Fish Finger</v>
      </c>
      <c r="G2577" s="10" t="str">
        <f>_xlfn.XLOOKUP(C2577,menu!A:A,menu!C:C)</f>
        <v>Starters</v>
      </c>
      <c r="H2577" s="10">
        <f>_xlfn.XLOOKUP(C2577,menu!A:A,menu!E:E)</f>
        <v>45</v>
      </c>
      <c r="I2577" s="10">
        <f t="shared" si="40"/>
        <v>45</v>
      </c>
      <c r="K2577" s="10"/>
      <c r="L2577" s="5"/>
    </row>
    <row r="2578" spans="1:12" x14ac:dyDescent="0.25">
      <c r="A2578" s="5" t="s">
        <v>3690</v>
      </c>
      <c r="B2578" s="5" t="s">
        <v>3689</v>
      </c>
      <c r="C2578" s="5" t="s">
        <v>31</v>
      </c>
      <c r="D2578" s="21">
        <v>2</v>
      </c>
      <c r="E2578" s="12">
        <v>178</v>
      </c>
      <c r="F2578" s="10" t="str">
        <f>_xlfn.XLOOKUP(C2578,menu!A:A,menu!B:B)</f>
        <v>Chicken Roll</v>
      </c>
      <c r="G2578" s="10" t="str">
        <f>_xlfn.XLOOKUP(C2578,menu!A:A,menu!C:C)</f>
        <v>Rolls</v>
      </c>
      <c r="H2578" s="10">
        <f>_xlfn.XLOOKUP(C2578,menu!A:A,menu!E:E)</f>
        <v>27</v>
      </c>
      <c r="I2578" s="10">
        <f t="shared" si="40"/>
        <v>54</v>
      </c>
      <c r="K2578" s="10"/>
      <c r="L2578" s="5"/>
    </row>
    <row r="2579" spans="1:12" x14ac:dyDescent="0.25">
      <c r="A2579" s="5" t="s">
        <v>3688</v>
      </c>
      <c r="B2579" s="5" t="s">
        <v>3686</v>
      </c>
      <c r="C2579" s="5" t="s">
        <v>12</v>
      </c>
      <c r="D2579" s="21">
        <v>2</v>
      </c>
      <c r="E2579" s="12">
        <v>158</v>
      </c>
      <c r="F2579" s="10" t="str">
        <f>_xlfn.XLOOKUP(C2579,menu!A:A,menu!B:B)</f>
        <v>Veg Momos</v>
      </c>
      <c r="G2579" s="10" t="str">
        <f>_xlfn.XLOOKUP(C2579,menu!A:A,menu!C:C)</f>
        <v>Momos</v>
      </c>
      <c r="H2579" s="10">
        <f>_xlfn.XLOOKUP(C2579,menu!A:A,menu!E:E)</f>
        <v>24</v>
      </c>
      <c r="I2579" s="10">
        <f t="shared" si="40"/>
        <v>48</v>
      </c>
      <c r="K2579" s="10"/>
      <c r="L2579" s="5"/>
    </row>
    <row r="2580" spans="1:12" x14ac:dyDescent="0.25">
      <c r="A2580" s="5" t="s">
        <v>3687</v>
      </c>
      <c r="B2580" s="5" t="s">
        <v>3686</v>
      </c>
      <c r="C2580" s="5" t="s">
        <v>48</v>
      </c>
      <c r="D2580" s="21">
        <v>1</v>
      </c>
      <c r="E2580" s="12">
        <v>159</v>
      </c>
      <c r="F2580" s="10" t="str">
        <f>_xlfn.XLOOKUP(C2580,menu!A:A,menu!B:B)</f>
        <v>Chicken Lollipop</v>
      </c>
      <c r="G2580" s="10" t="str">
        <f>_xlfn.XLOOKUP(C2580,menu!A:A,menu!C:C)</f>
        <v>Starters</v>
      </c>
      <c r="H2580" s="10">
        <f>_xlfn.XLOOKUP(C2580,menu!A:A,menu!E:E)</f>
        <v>48</v>
      </c>
      <c r="I2580" s="10">
        <f t="shared" si="40"/>
        <v>48</v>
      </c>
      <c r="K2580" s="10"/>
      <c r="L2580" s="5"/>
    </row>
    <row r="2581" spans="1:12" x14ac:dyDescent="0.25">
      <c r="A2581" s="5" t="s">
        <v>3685</v>
      </c>
      <c r="B2581" s="5" t="s">
        <v>3683</v>
      </c>
      <c r="C2581" s="5" t="s">
        <v>63</v>
      </c>
      <c r="D2581" s="21">
        <v>1</v>
      </c>
      <c r="E2581" s="12">
        <v>79</v>
      </c>
      <c r="F2581" s="10" t="str">
        <f>_xlfn.XLOOKUP(C2581,menu!A:A,menu!B:B)</f>
        <v>Virgin Mojito</v>
      </c>
      <c r="G2581" s="10" t="str">
        <f>_xlfn.XLOOKUP(C2581,menu!A:A,menu!C:C)</f>
        <v>Beverages</v>
      </c>
      <c r="H2581" s="10">
        <f>_xlfn.XLOOKUP(C2581,menu!A:A,menu!E:E)</f>
        <v>24</v>
      </c>
      <c r="I2581" s="10">
        <f t="shared" si="40"/>
        <v>24</v>
      </c>
      <c r="K2581" s="10"/>
      <c r="L2581" s="5"/>
    </row>
    <row r="2582" spans="1:12" x14ac:dyDescent="0.25">
      <c r="A2582" s="5" t="s">
        <v>3684</v>
      </c>
      <c r="B2582" s="5" t="s">
        <v>3683</v>
      </c>
      <c r="C2582" s="5" t="s">
        <v>22</v>
      </c>
      <c r="D2582" s="21">
        <v>4</v>
      </c>
      <c r="E2582" s="12">
        <v>396</v>
      </c>
      <c r="F2582" s="10" t="str">
        <f>_xlfn.XLOOKUP(C2582,menu!A:A,menu!B:B)</f>
        <v>Chicken Burger</v>
      </c>
      <c r="G2582" s="10" t="str">
        <f>_xlfn.XLOOKUP(C2582,menu!A:A,menu!C:C)</f>
        <v>Burger</v>
      </c>
      <c r="H2582" s="10">
        <f>_xlfn.XLOOKUP(C2582,menu!A:A,menu!E:E)</f>
        <v>30</v>
      </c>
      <c r="I2582" s="10">
        <f t="shared" si="40"/>
        <v>120</v>
      </c>
      <c r="K2582" s="10"/>
      <c r="L2582" s="5"/>
    </row>
    <row r="2583" spans="1:12" x14ac:dyDescent="0.25">
      <c r="A2583" s="5" t="s">
        <v>3682</v>
      </c>
      <c r="B2583" s="5" t="s">
        <v>3680</v>
      </c>
      <c r="C2583" s="5" t="s">
        <v>35</v>
      </c>
      <c r="D2583" s="21">
        <v>1</v>
      </c>
      <c r="E2583" s="12">
        <v>119</v>
      </c>
      <c r="F2583" s="10" t="str">
        <f>_xlfn.XLOOKUP(C2583,menu!A:A,menu!B:B)</f>
        <v>Chicken Nuggets</v>
      </c>
      <c r="G2583" s="10" t="str">
        <f>_xlfn.XLOOKUP(C2583,menu!A:A,menu!C:C)</f>
        <v>Starters</v>
      </c>
      <c r="H2583" s="10">
        <f>_xlfn.XLOOKUP(C2583,menu!A:A,menu!E:E)</f>
        <v>36</v>
      </c>
      <c r="I2583" s="10">
        <f t="shared" si="40"/>
        <v>36</v>
      </c>
      <c r="K2583" s="10"/>
      <c r="L2583" s="5"/>
    </row>
    <row r="2584" spans="1:12" x14ac:dyDescent="0.25">
      <c r="A2584" s="5" t="s">
        <v>3681</v>
      </c>
      <c r="B2584" s="5" t="s">
        <v>3680</v>
      </c>
      <c r="C2584" s="5" t="s">
        <v>26</v>
      </c>
      <c r="D2584" s="21">
        <v>3</v>
      </c>
      <c r="E2584" s="12">
        <v>177</v>
      </c>
      <c r="F2584" s="10" t="str">
        <f>_xlfn.XLOOKUP(C2584,menu!A:A,menu!B:B)</f>
        <v>Veg Roll</v>
      </c>
      <c r="G2584" s="10" t="str">
        <f>_xlfn.XLOOKUP(C2584,menu!A:A,menu!C:C)</f>
        <v>Rolls</v>
      </c>
      <c r="H2584" s="10">
        <f>_xlfn.XLOOKUP(C2584,menu!A:A,menu!E:E)</f>
        <v>18</v>
      </c>
      <c r="I2584" s="10">
        <f t="shared" si="40"/>
        <v>54</v>
      </c>
      <c r="K2584" s="10"/>
      <c r="L2584" s="5"/>
    </row>
    <row r="2585" spans="1:12" x14ac:dyDescent="0.25">
      <c r="A2585" s="5" t="s">
        <v>3679</v>
      </c>
      <c r="B2585" s="5" t="s">
        <v>3677</v>
      </c>
      <c r="C2585" s="5" t="s">
        <v>63</v>
      </c>
      <c r="D2585" s="21">
        <v>5</v>
      </c>
      <c r="E2585" s="12">
        <v>395</v>
      </c>
      <c r="F2585" s="10" t="str">
        <f>_xlfn.XLOOKUP(C2585,menu!A:A,menu!B:B)</f>
        <v>Virgin Mojito</v>
      </c>
      <c r="G2585" s="10" t="str">
        <f>_xlfn.XLOOKUP(C2585,menu!A:A,menu!C:C)</f>
        <v>Beverages</v>
      </c>
      <c r="H2585" s="10">
        <f>_xlfn.XLOOKUP(C2585,menu!A:A,menu!E:E)</f>
        <v>24</v>
      </c>
      <c r="I2585" s="10">
        <f t="shared" si="40"/>
        <v>120</v>
      </c>
      <c r="K2585" s="10"/>
      <c r="L2585" s="5"/>
    </row>
    <row r="2586" spans="1:12" x14ac:dyDescent="0.25">
      <c r="A2586" s="5" t="s">
        <v>3678</v>
      </c>
      <c r="B2586" s="5" t="s">
        <v>3677</v>
      </c>
      <c r="C2586" s="5" t="s">
        <v>50</v>
      </c>
      <c r="D2586" s="21">
        <v>1</v>
      </c>
      <c r="E2586" s="12">
        <v>149</v>
      </c>
      <c r="F2586" s="10" t="str">
        <f>_xlfn.XLOOKUP(C2586,menu!A:A,menu!B:B)</f>
        <v>Grab Lollipop</v>
      </c>
      <c r="G2586" s="10" t="str">
        <f>_xlfn.XLOOKUP(C2586,menu!A:A,menu!C:C)</f>
        <v>Starters</v>
      </c>
      <c r="H2586" s="10">
        <f>_xlfn.XLOOKUP(C2586,menu!A:A,menu!E:E)</f>
        <v>45</v>
      </c>
      <c r="I2586" s="10">
        <f t="shared" si="40"/>
        <v>45</v>
      </c>
      <c r="K2586" s="10"/>
      <c r="L2586" s="5"/>
    </row>
    <row r="2587" spans="1:12" x14ac:dyDescent="0.25">
      <c r="A2587" s="5" t="s">
        <v>3676</v>
      </c>
      <c r="B2587" s="5" t="s">
        <v>3673</v>
      </c>
      <c r="C2587" s="5" t="s">
        <v>17</v>
      </c>
      <c r="D2587" s="21">
        <v>2</v>
      </c>
      <c r="E2587" s="12">
        <v>178</v>
      </c>
      <c r="F2587" s="10" t="str">
        <f>_xlfn.XLOOKUP(C2587,menu!A:A,menu!B:B)</f>
        <v>Paneer Momos</v>
      </c>
      <c r="G2587" s="10" t="str">
        <f>_xlfn.XLOOKUP(C2587,menu!A:A,menu!C:C)</f>
        <v>Momos</v>
      </c>
      <c r="H2587" s="10">
        <f>_xlfn.XLOOKUP(C2587,menu!A:A,menu!E:E)</f>
        <v>27</v>
      </c>
      <c r="I2587" s="10">
        <f t="shared" si="40"/>
        <v>54</v>
      </c>
      <c r="K2587" s="10"/>
      <c r="L2587" s="5"/>
    </row>
    <row r="2588" spans="1:12" x14ac:dyDescent="0.25">
      <c r="A2588" s="5" t="s">
        <v>3675</v>
      </c>
      <c r="B2588" s="5" t="s">
        <v>3673</v>
      </c>
      <c r="C2588" s="5" t="s">
        <v>54</v>
      </c>
      <c r="D2588" s="21">
        <v>1</v>
      </c>
      <c r="E2588" s="12">
        <v>139</v>
      </c>
      <c r="F2588" s="10" t="str">
        <f>_xlfn.XLOOKUP(C2588,menu!A:A,menu!B:B)</f>
        <v>Chicken Strips</v>
      </c>
      <c r="G2588" s="10" t="str">
        <f>_xlfn.XLOOKUP(C2588,menu!A:A,menu!C:C)</f>
        <v>Starters</v>
      </c>
      <c r="H2588" s="10">
        <f>_xlfn.XLOOKUP(C2588,menu!A:A,menu!E:E)</f>
        <v>42</v>
      </c>
      <c r="I2588" s="10">
        <f t="shared" si="40"/>
        <v>42</v>
      </c>
      <c r="K2588" s="10"/>
      <c r="L2588" s="5"/>
    </row>
    <row r="2589" spans="1:12" x14ac:dyDescent="0.25">
      <c r="A2589" s="5" t="s">
        <v>3674</v>
      </c>
      <c r="B2589" s="5" t="s">
        <v>3673</v>
      </c>
      <c r="C2589" s="5" t="s">
        <v>33</v>
      </c>
      <c r="D2589" s="21">
        <v>1</v>
      </c>
      <c r="E2589" s="12">
        <v>69</v>
      </c>
      <c r="F2589" s="10" t="str">
        <f>_xlfn.XLOOKUP(C2589,menu!A:A,menu!B:B)</f>
        <v>Spring Roll</v>
      </c>
      <c r="G2589" s="10" t="str">
        <f>_xlfn.XLOOKUP(C2589,menu!A:A,menu!C:C)</f>
        <v>Rolls</v>
      </c>
      <c r="H2589" s="10">
        <f>_xlfn.XLOOKUP(C2589,menu!A:A,menu!E:E)</f>
        <v>21</v>
      </c>
      <c r="I2589" s="10">
        <f t="shared" si="40"/>
        <v>21</v>
      </c>
      <c r="K2589" s="10"/>
      <c r="L2589" s="5"/>
    </row>
    <row r="2590" spans="1:12" x14ac:dyDescent="0.25">
      <c r="A2590" s="5" t="s">
        <v>3672</v>
      </c>
      <c r="B2590" s="5" t="s">
        <v>3668</v>
      </c>
      <c r="C2590" s="5" t="s">
        <v>12</v>
      </c>
      <c r="D2590" s="21">
        <v>2</v>
      </c>
      <c r="E2590" s="12">
        <v>158</v>
      </c>
      <c r="F2590" s="10" t="str">
        <f>_xlfn.XLOOKUP(C2590,menu!A:A,menu!B:B)</f>
        <v>Veg Momos</v>
      </c>
      <c r="G2590" s="10" t="str">
        <f>_xlfn.XLOOKUP(C2590,menu!A:A,menu!C:C)</f>
        <v>Momos</v>
      </c>
      <c r="H2590" s="10">
        <f>_xlfn.XLOOKUP(C2590,menu!A:A,menu!E:E)</f>
        <v>24</v>
      </c>
      <c r="I2590" s="10">
        <f t="shared" si="40"/>
        <v>48</v>
      </c>
      <c r="K2590" s="10"/>
      <c r="L2590" s="5"/>
    </row>
    <row r="2591" spans="1:12" x14ac:dyDescent="0.25">
      <c r="A2591" s="5" t="s">
        <v>3671</v>
      </c>
      <c r="B2591" s="5" t="s">
        <v>3668</v>
      </c>
      <c r="C2591" s="5" t="s">
        <v>50</v>
      </c>
      <c r="D2591" s="21">
        <v>5</v>
      </c>
      <c r="E2591" s="12">
        <v>745</v>
      </c>
      <c r="F2591" s="10" t="str">
        <f>_xlfn.XLOOKUP(C2591,menu!A:A,menu!B:B)</f>
        <v>Grab Lollipop</v>
      </c>
      <c r="G2591" s="10" t="str">
        <f>_xlfn.XLOOKUP(C2591,menu!A:A,menu!C:C)</f>
        <v>Starters</v>
      </c>
      <c r="H2591" s="10">
        <f>_xlfn.XLOOKUP(C2591,menu!A:A,menu!E:E)</f>
        <v>45</v>
      </c>
      <c r="I2591" s="10">
        <f t="shared" si="40"/>
        <v>225</v>
      </c>
      <c r="K2591" s="10"/>
      <c r="L2591" s="5"/>
    </row>
    <row r="2592" spans="1:12" x14ac:dyDescent="0.25">
      <c r="A2592" s="5" t="s">
        <v>3670</v>
      </c>
      <c r="B2592" s="5" t="s">
        <v>3668</v>
      </c>
      <c r="C2592" s="5" t="s">
        <v>15</v>
      </c>
      <c r="D2592" s="21">
        <v>2</v>
      </c>
      <c r="E2592" s="12">
        <v>198</v>
      </c>
      <c r="F2592" s="10" t="str">
        <f>_xlfn.XLOOKUP(C2592,menu!A:A,menu!B:B)</f>
        <v>Chicken Momos</v>
      </c>
      <c r="G2592" s="10" t="str">
        <f>_xlfn.XLOOKUP(C2592,menu!A:A,menu!C:C)</f>
        <v>Momos</v>
      </c>
      <c r="H2592" s="10">
        <f>_xlfn.XLOOKUP(C2592,menu!A:A,menu!E:E)</f>
        <v>30</v>
      </c>
      <c r="I2592" s="10">
        <f t="shared" si="40"/>
        <v>60</v>
      </c>
      <c r="K2592" s="10"/>
      <c r="L2592" s="5"/>
    </row>
    <row r="2593" spans="1:12" x14ac:dyDescent="0.25">
      <c r="A2593" s="5" t="s">
        <v>3669</v>
      </c>
      <c r="B2593" s="5" t="s">
        <v>3668</v>
      </c>
      <c r="C2593" s="5" t="s">
        <v>17</v>
      </c>
      <c r="D2593" s="21">
        <v>2</v>
      </c>
      <c r="E2593" s="12">
        <v>178</v>
      </c>
      <c r="F2593" s="10" t="str">
        <f>_xlfn.XLOOKUP(C2593,menu!A:A,menu!B:B)</f>
        <v>Paneer Momos</v>
      </c>
      <c r="G2593" s="10" t="str">
        <f>_xlfn.XLOOKUP(C2593,menu!A:A,menu!C:C)</f>
        <v>Momos</v>
      </c>
      <c r="H2593" s="10">
        <f>_xlfn.XLOOKUP(C2593,menu!A:A,menu!E:E)</f>
        <v>27</v>
      </c>
      <c r="I2593" s="10">
        <f t="shared" si="40"/>
        <v>54</v>
      </c>
      <c r="K2593" s="10"/>
      <c r="L2593" s="5"/>
    </row>
    <row r="2594" spans="1:12" x14ac:dyDescent="0.25">
      <c r="A2594" s="5" t="s">
        <v>3667</v>
      </c>
      <c r="B2594" s="5" t="s">
        <v>3664</v>
      </c>
      <c r="C2594" s="5" t="s">
        <v>12</v>
      </c>
      <c r="D2594" s="21">
        <v>2</v>
      </c>
      <c r="E2594" s="12">
        <v>158</v>
      </c>
      <c r="F2594" s="10" t="str">
        <f>_xlfn.XLOOKUP(C2594,menu!A:A,menu!B:B)</f>
        <v>Veg Momos</v>
      </c>
      <c r="G2594" s="10" t="str">
        <f>_xlfn.XLOOKUP(C2594,menu!A:A,menu!C:C)</f>
        <v>Momos</v>
      </c>
      <c r="H2594" s="10">
        <f>_xlfn.XLOOKUP(C2594,menu!A:A,menu!E:E)</f>
        <v>24</v>
      </c>
      <c r="I2594" s="10">
        <f t="shared" si="40"/>
        <v>48</v>
      </c>
      <c r="K2594" s="10"/>
      <c r="L2594" s="5"/>
    </row>
    <row r="2595" spans="1:12" x14ac:dyDescent="0.25">
      <c r="A2595" s="5" t="s">
        <v>3666</v>
      </c>
      <c r="B2595" s="5" t="s">
        <v>3664</v>
      </c>
      <c r="C2595" s="5" t="s">
        <v>63</v>
      </c>
      <c r="D2595" s="21">
        <v>4</v>
      </c>
      <c r="E2595" s="12">
        <v>316</v>
      </c>
      <c r="F2595" s="10" t="str">
        <f>_xlfn.XLOOKUP(C2595,menu!A:A,menu!B:B)</f>
        <v>Virgin Mojito</v>
      </c>
      <c r="G2595" s="10" t="str">
        <f>_xlfn.XLOOKUP(C2595,menu!A:A,menu!C:C)</f>
        <v>Beverages</v>
      </c>
      <c r="H2595" s="10">
        <f>_xlfn.XLOOKUP(C2595,menu!A:A,menu!E:E)</f>
        <v>24</v>
      </c>
      <c r="I2595" s="10">
        <f t="shared" si="40"/>
        <v>96</v>
      </c>
      <c r="K2595" s="10"/>
      <c r="L2595" s="5"/>
    </row>
    <row r="2596" spans="1:12" x14ac:dyDescent="0.25">
      <c r="A2596" s="5" t="s">
        <v>3665</v>
      </c>
      <c r="B2596" s="5" t="s">
        <v>3664</v>
      </c>
      <c r="C2596" s="5" t="s">
        <v>31</v>
      </c>
      <c r="D2596" s="21">
        <v>2</v>
      </c>
      <c r="E2596" s="12">
        <v>178</v>
      </c>
      <c r="F2596" s="10" t="str">
        <f>_xlfn.XLOOKUP(C2596,menu!A:A,menu!B:B)</f>
        <v>Chicken Roll</v>
      </c>
      <c r="G2596" s="10" t="str">
        <f>_xlfn.XLOOKUP(C2596,menu!A:A,menu!C:C)</f>
        <v>Rolls</v>
      </c>
      <c r="H2596" s="10">
        <f>_xlfn.XLOOKUP(C2596,menu!A:A,menu!E:E)</f>
        <v>27</v>
      </c>
      <c r="I2596" s="10">
        <f t="shared" si="40"/>
        <v>54</v>
      </c>
      <c r="K2596" s="10"/>
      <c r="L2596" s="5"/>
    </row>
    <row r="2597" spans="1:12" x14ac:dyDescent="0.25">
      <c r="A2597" s="5" t="s">
        <v>3663</v>
      </c>
      <c r="B2597" s="5" t="s">
        <v>3661</v>
      </c>
      <c r="C2597" s="5" t="s">
        <v>40</v>
      </c>
      <c r="D2597" s="21">
        <v>1</v>
      </c>
      <c r="E2597" s="12">
        <v>99</v>
      </c>
      <c r="F2597" s="10" t="str">
        <f>_xlfn.XLOOKUP(C2597,menu!A:A,menu!B:B)</f>
        <v>Veg Nuggets</v>
      </c>
      <c r="G2597" s="10" t="str">
        <f>_xlfn.XLOOKUP(C2597,menu!A:A,menu!C:C)</f>
        <v>Starters</v>
      </c>
      <c r="H2597" s="10">
        <f>_xlfn.XLOOKUP(C2597,menu!A:A,menu!E:E)</f>
        <v>30</v>
      </c>
      <c r="I2597" s="10">
        <f t="shared" si="40"/>
        <v>30</v>
      </c>
      <c r="K2597" s="10"/>
      <c r="L2597" s="5"/>
    </row>
    <row r="2598" spans="1:12" x14ac:dyDescent="0.25">
      <c r="A2598" s="5" t="s">
        <v>3662</v>
      </c>
      <c r="B2598" s="5" t="s">
        <v>3661</v>
      </c>
      <c r="C2598" s="5" t="s">
        <v>38</v>
      </c>
      <c r="D2598" s="21">
        <v>1</v>
      </c>
      <c r="E2598" s="12">
        <v>149</v>
      </c>
      <c r="F2598" s="10" t="str">
        <f>_xlfn.XLOOKUP(C2598,menu!A:A,menu!B:B)</f>
        <v>Chicken Wings</v>
      </c>
      <c r="G2598" s="10" t="str">
        <f>_xlfn.XLOOKUP(C2598,menu!A:A,menu!C:C)</f>
        <v>Starters</v>
      </c>
      <c r="H2598" s="10">
        <f>_xlfn.XLOOKUP(C2598,menu!A:A,menu!E:E)</f>
        <v>45</v>
      </c>
      <c r="I2598" s="10">
        <f t="shared" si="40"/>
        <v>45</v>
      </c>
      <c r="K2598" s="10"/>
      <c r="L2598" s="5"/>
    </row>
    <row r="2599" spans="1:12" x14ac:dyDescent="0.25">
      <c r="A2599" s="5" t="s">
        <v>3660</v>
      </c>
      <c r="B2599" s="5" t="s">
        <v>3657</v>
      </c>
      <c r="C2599" s="5" t="s">
        <v>54</v>
      </c>
      <c r="D2599" s="21">
        <v>1</v>
      </c>
      <c r="E2599" s="12">
        <v>139</v>
      </c>
      <c r="F2599" s="10" t="str">
        <f>_xlfn.XLOOKUP(C2599,menu!A:A,menu!B:B)</f>
        <v>Chicken Strips</v>
      </c>
      <c r="G2599" s="10" t="str">
        <f>_xlfn.XLOOKUP(C2599,menu!A:A,menu!C:C)</f>
        <v>Starters</v>
      </c>
      <c r="H2599" s="10">
        <f>_xlfn.XLOOKUP(C2599,menu!A:A,menu!E:E)</f>
        <v>42</v>
      </c>
      <c r="I2599" s="10">
        <f t="shared" si="40"/>
        <v>42</v>
      </c>
      <c r="K2599" s="10"/>
      <c r="L2599" s="5"/>
    </row>
    <row r="2600" spans="1:12" x14ac:dyDescent="0.25">
      <c r="A2600" s="5" t="s">
        <v>3659</v>
      </c>
      <c r="B2600" s="5" t="s">
        <v>3657</v>
      </c>
      <c r="C2600" s="5" t="s">
        <v>44</v>
      </c>
      <c r="D2600" s="21">
        <v>1</v>
      </c>
      <c r="E2600" s="12">
        <v>159</v>
      </c>
      <c r="F2600" s="10" t="str">
        <f>_xlfn.XLOOKUP(C2600,menu!A:A,menu!B:B)</f>
        <v>Fried Chicken</v>
      </c>
      <c r="G2600" s="10" t="str">
        <f>_xlfn.XLOOKUP(C2600,menu!A:A,menu!C:C)</f>
        <v>Starters</v>
      </c>
      <c r="H2600" s="10">
        <f>_xlfn.XLOOKUP(C2600,menu!A:A,menu!E:E)</f>
        <v>48</v>
      </c>
      <c r="I2600" s="10">
        <f t="shared" si="40"/>
        <v>48</v>
      </c>
      <c r="K2600" s="10"/>
      <c r="L2600" s="5"/>
    </row>
    <row r="2601" spans="1:12" x14ac:dyDescent="0.25">
      <c r="A2601" s="5" t="s">
        <v>3658</v>
      </c>
      <c r="B2601" s="5" t="s">
        <v>3657</v>
      </c>
      <c r="C2601" s="5" t="s">
        <v>33</v>
      </c>
      <c r="D2601" s="21">
        <v>1</v>
      </c>
      <c r="E2601" s="12">
        <v>69</v>
      </c>
      <c r="F2601" s="10" t="str">
        <f>_xlfn.XLOOKUP(C2601,menu!A:A,menu!B:B)</f>
        <v>Spring Roll</v>
      </c>
      <c r="G2601" s="10" t="str">
        <f>_xlfn.XLOOKUP(C2601,menu!A:A,menu!C:C)</f>
        <v>Rolls</v>
      </c>
      <c r="H2601" s="10">
        <f>_xlfn.XLOOKUP(C2601,menu!A:A,menu!E:E)</f>
        <v>21</v>
      </c>
      <c r="I2601" s="10">
        <f t="shared" si="40"/>
        <v>21</v>
      </c>
      <c r="K2601" s="10"/>
      <c r="L2601" s="5"/>
    </row>
    <row r="2602" spans="1:12" x14ac:dyDescent="0.25">
      <c r="A2602" s="5" t="s">
        <v>3656</v>
      </c>
      <c r="B2602" s="5" t="s">
        <v>3655</v>
      </c>
      <c r="C2602" s="5" t="s">
        <v>40</v>
      </c>
      <c r="D2602" s="21">
        <v>5</v>
      </c>
      <c r="E2602" s="12">
        <v>495</v>
      </c>
      <c r="F2602" s="10" t="str">
        <f>_xlfn.XLOOKUP(C2602,menu!A:A,menu!B:B)</f>
        <v>Veg Nuggets</v>
      </c>
      <c r="G2602" s="10" t="str">
        <f>_xlfn.XLOOKUP(C2602,menu!A:A,menu!C:C)</f>
        <v>Starters</v>
      </c>
      <c r="H2602" s="10">
        <f>_xlfn.XLOOKUP(C2602,menu!A:A,menu!E:E)</f>
        <v>30</v>
      </c>
      <c r="I2602" s="10">
        <f t="shared" si="40"/>
        <v>150</v>
      </c>
      <c r="K2602" s="10"/>
      <c r="L2602" s="5"/>
    </row>
    <row r="2603" spans="1:12" x14ac:dyDescent="0.25">
      <c r="A2603" s="5" t="s">
        <v>3654</v>
      </c>
      <c r="B2603" s="5" t="s">
        <v>3652</v>
      </c>
      <c r="C2603" s="5" t="s">
        <v>52</v>
      </c>
      <c r="D2603" s="21">
        <v>5</v>
      </c>
      <c r="E2603" s="12">
        <v>495</v>
      </c>
      <c r="F2603" s="10" t="str">
        <f>_xlfn.XLOOKUP(C2603,menu!A:A,menu!B:B)</f>
        <v>French Fries</v>
      </c>
      <c r="G2603" s="10" t="str">
        <f>_xlfn.XLOOKUP(C2603,menu!A:A,menu!C:C)</f>
        <v>Starters</v>
      </c>
      <c r="H2603" s="10">
        <f>_xlfn.XLOOKUP(C2603,menu!A:A,menu!E:E)</f>
        <v>30</v>
      </c>
      <c r="I2603" s="10">
        <f t="shared" si="40"/>
        <v>150</v>
      </c>
      <c r="K2603" s="10"/>
      <c r="L2603" s="5"/>
    </row>
    <row r="2604" spans="1:12" x14ac:dyDescent="0.25">
      <c r="A2604" s="5" t="s">
        <v>3653</v>
      </c>
      <c r="B2604" s="5" t="s">
        <v>3652</v>
      </c>
      <c r="C2604" s="5" t="s">
        <v>22</v>
      </c>
      <c r="D2604" s="21">
        <v>1</v>
      </c>
      <c r="E2604" s="12">
        <v>99</v>
      </c>
      <c r="F2604" s="10" t="str">
        <f>_xlfn.XLOOKUP(C2604,menu!A:A,menu!B:B)</f>
        <v>Chicken Burger</v>
      </c>
      <c r="G2604" s="10" t="str">
        <f>_xlfn.XLOOKUP(C2604,menu!A:A,menu!C:C)</f>
        <v>Burger</v>
      </c>
      <c r="H2604" s="10">
        <f>_xlfn.XLOOKUP(C2604,menu!A:A,menu!E:E)</f>
        <v>30</v>
      </c>
      <c r="I2604" s="10">
        <f t="shared" si="40"/>
        <v>30</v>
      </c>
      <c r="K2604" s="10"/>
      <c r="L2604" s="5"/>
    </row>
    <row r="2605" spans="1:12" x14ac:dyDescent="0.25">
      <c r="A2605" s="5" t="s">
        <v>3651</v>
      </c>
      <c r="B2605" s="5" t="s">
        <v>3647</v>
      </c>
      <c r="C2605" s="5" t="s">
        <v>17</v>
      </c>
      <c r="D2605" s="21">
        <v>5</v>
      </c>
      <c r="E2605" s="12">
        <v>445</v>
      </c>
      <c r="F2605" s="10" t="str">
        <f>_xlfn.XLOOKUP(C2605,menu!A:A,menu!B:B)</f>
        <v>Paneer Momos</v>
      </c>
      <c r="G2605" s="10" t="str">
        <f>_xlfn.XLOOKUP(C2605,menu!A:A,menu!C:C)</f>
        <v>Momos</v>
      </c>
      <c r="H2605" s="10">
        <f>_xlfn.XLOOKUP(C2605,menu!A:A,menu!E:E)</f>
        <v>27</v>
      </c>
      <c r="I2605" s="10">
        <f t="shared" si="40"/>
        <v>135</v>
      </c>
      <c r="K2605" s="10"/>
      <c r="L2605" s="5"/>
    </row>
    <row r="2606" spans="1:12" x14ac:dyDescent="0.25">
      <c r="A2606" s="5" t="s">
        <v>3650</v>
      </c>
      <c r="B2606" s="5" t="s">
        <v>3647</v>
      </c>
      <c r="C2606" s="5" t="s">
        <v>10</v>
      </c>
      <c r="D2606" s="21">
        <v>1</v>
      </c>
      <c r="E2606" s="12">
        <v>119</v>
      </c>
      <c r="F2606" s="10" t="str">
        <f>_xlfn.XLOOKUP(C2606,menu!A:A,menu!B:B)</f>
        <v>Chicken Sandwich</v>
      </c>
      <c r="G2606" s="10" t="str">
        <f>_xlfn.XLOOKUP(C2606,menu!A:A,menu!C:C)</f>
        <v>Sandwich</v>
      </c>
      <c r="H2606" s="10">
        <f>_xlfn.XLOOKUP(C2606,menu!A:A,menu!E:E)</f>
        <v>36</v>
      </c>
      <c r="I2606" s="10">
        <f t="shared" si="40"/>
        <v>36</v>
      </c>
      <c r="K2606" s="10"/>
      <c r="L2606" s="5"/>
    </row>
    <row r="2607" spans="1:12" x14ac:dyDescent="0.25">
      <c r="A2607" s="5" t="s">
        <v>3649</v>
      </c>
      <c r="B2607" s="5" t="s">
        <v>3647</v>
      </c>
      <c r="C2607" s="5" t="s">
        <v>15</v>
      </c>
      <c r="D2607" s="21">
        <v>2</v>
      </c>
      <c r="E2607" s="12">
        <v>198</v>
      </c>
      <c r="F2607" s="10" t="str">
        <f>_xlfn.XLOOKUP(C2607,menu!A:A,menu!B:B)</f>
        <v>Chicken Momos</v>
      </c>
      <c r="G2607" s="10" t="str">
        <f>_xlfn.XLOOKUP(C2607,menu!A:A,menu!C:C)</f>
        <v>Momos</v>
      </c>
      <c r="H2607" s="10">
        <f>_xlfn.XLOOKUP(C2607,menu!A:A,menu!E:E)</f>
        <v>30</v>
      </c>
      <c r="I2607" s="10">
        <f t="shared" si="40"/>
        <v>60</v>
      </c>
      <c r="K2607" s="10"/>
      <c r="L2607" s="5"/>
    </row>
    <row r="2608" spans="1:12" x14ac:dyDescent="0.25">
      <c r="A2608" s="5" t="s">
        <v>3648</v>
      </c>
      <c r="B2608" s="5" t="s">
        <v>3647</v>
      </c>
      <c r="C2608" s="5" t="s">
        <v>61</v>
      </c>
      <c r="D2608" s="21">
        <v>3</v>
      </c>
      <c r="E2608" s="12">
        <v>237</v>
      </c>
      <c r="F2608" s="10" t="str">
        <f>_xlfn.XLOOKUP(C2608,menu!A:A,menu!B:B)</f>
        <v>Watermelon Mojito</v>
      </c>
      <c r="G2608" s="10" t="str">
        <f>_xlfn.XLOOKUP(C2608,menu!A:A,menu!C:C)</f>
        <v>Beverages</v>
      </c>
      <c r="H2608" s="10">
        <f>_xlfn.XLOOKUP(C2608,menu!A:A,menu!E:E)</f>
        <v>24</v>
      </c>
      <c r="I2608" s="10">
        <f t="shared" si="40"/>
        <v>72</v>
      </c>
      <c r="K2608" s="10"/>
      <c r="L2608" s="5"/>
    </row>
    <row r="2609" spans="1:12" x14ac:dyDescent="0.25">
      <c r="A2609" s="5" t="s">
        <v>3646</v>
      </c>
      <c r="B2609" s="5" t="s">
        <v>3644</v>
      </c>
      <c r="C2609" s="5" t="s">
        <v>44</v>
      </c>
      <c r="D2609" s="21">
        <v>3</v>
      </c>
      <c r="E2609" s="12">
        <v>477</v>
      </c>
      <c r="F2609" s="10" t="str">
        <f>_xlfn.XLOOKUP(C2609,menu!A:A,menu!B:B)</f>
        <v>Fried Chicken</v>
      </c>
      <c r="G2609" s="10" t="str">
        <f>_xlfn.XLOOKUP(C2609,menu!A:A,menu!C:C)</f>
        <v>Starters</v>
      </c>
      <c r="H2609" s="10">
        <f>_xlfn.XLOOKUP(C2609,menu!A:A,menu!E:E)</f>
        <v>48</v>
      </c>
      <c r="I2609" s="10">
        <f t="shared" si="40"/>
        <v>144</v>
      </c>
      <c r="K2609" s="10"/>
      <c r="L2609" s="5"/>
    </row>
    <row r="2610" spans="1:12" x14ac:dyDescent="0.25">
      <c r="A2610" s="5" t="s">
        <v>3645</v>
      </c>
      <c r="B2610" s="5" t="s">
        <v>3644</v>
      </c>
      <c r="C2610" s="5" t="s">
        <v>24</v>
      </c>
      <c r="D2610" s="21">
        <v>2</v>
      </c>
      <c r="E2610" s="12">
        <v>178</v>
      </c>
      <c r="F2610" s="10" t="str">
        <f>_xlfn.XLOOKUP(C2610,menu!A:A,menu!B:B)</f>
        <v>Paneer Burger</v>
      </c>
      <c r="G2610" s="10" t="str">
        <f>_xlfn.XLOOKUP(C2610,menu!A:A,menu!C:C)</f>
        <v>Burger</v>
      </c>
      <c r="H2610" s="10">
        <f>_xlfn.XLOOKUP(C2610,menu!A:A,menu!E:E)</f>
        <v>27</v>
      </c>
      <c r="I2610" s="10">
        <f t="shared" si="40"/>
        <v>54</v>
      </c>
      <c r="K2610" s="10"/>
      <c r="L2610" s="5"/>
    </row>
    <row r="2611" spans="1:12" x14ac:dyDescent="0.25">
      <c r="A2611" s="5" t="s">
        <v>3643</v>
      </c>
      <c r="B2611" s="5" t="s">
        <v>3642</v>
      </c>
      <c r="C2611" s="5" t="s">
        <v>54</v>
      </c>
      <c r="D2611" s="21">
        <v>2</v>
      </c>
      <c r="E2611" s="12">
        <v>278</v>
      </c>
      <c r="F2611" s="10" t="str">
        <f>_xlfn.XLOOKUP(C2611,menu!A:A,menu!B:B)</f>
        <v>Chicken Strips</v>
      </c>
      <c r="G2611" s="10" t="str">
        <f>_xlfn.XLOOKUP(C2611,menu!A:A,menu!C:C)</f>
        <v>Starters</v>
      </c>
      <c r="H2611" s="10">
        <f>_xlfn.XLOOKUP(C2611,menu!A:A,menu!E:E)</f>
        <v>42</v>
      </c>
      <c r="I2611" s="10">
        <f t="shared" si="40"/>
        <v>84</v>
      </c>
      <c r="K2611" s="10"/>
      <c r="L2611" s="5"/>
    </row>
    <row r="2612" spans="1:12" x14ac:dyDescent="0.25">
      <c r="A2612" s="5" t="s">
        <v>3641</v>
      </c>
      <c r="B2612" s="5" t="s">
        <v>3637</v>
      </c>
      <c r="C2612" s="5" t="s">
        <v>40</v>
      </c>
      <c r="D2612" s="21">
        <v>1</v>
      </c>
      <c r="E2612" s="12">
        <v>99</v>
      </c>
      <c r="F2612" s="10" t="str">
        <f>_xlfn.XLOOKUP(C2612,menu!A:A,menu!B:B)</f>
        <v>Veg Nuggets</v>
      </c>
      <c r="G2612" s="10" t="str">
        <f>_xlfn.XLOOKUP(C2612,menu!A:A,menu!C:C)</f>
        <v>Starters</v>
      </c>
      <c r="H2612" s="10">
        <f>_xlfn.XLOOKUP(C2612,menu!A:A,menu!E:E)</f>
        <v>30</v>
      </c>
      <c r="I2612" s="10">
        <f t="shared" si="40"/>
        <v>30</v>
      </c>
      <c r="K2612" s="10"/>
      <c r="L2612" s="5"/>
    </row>
    <row r="2613" spans="1:12" x14ac:dyDescent="0.25">
      <c r="A2613" s="5" t="s">
        <v>3640</v>
      </c>
      <c r="B2613" s="5" t="s">
        <v>3637</v>
      </c>
      <c r="C2613" s="5" t="s">
        <v>52</v>
      </c>
      <c r="D2613" s="21">
        <v>4</v>
      </c>
      <c r="E2613" s="12">
        <v>396</v>
      </c>
      <c r="F2613" s="10" t="str">
        <f>_xlfn.XLOOKUP(C2613,menu!A:A,menu!B:B)</f>
        <v>French Fries</v>
      </c>
      <c r="G2613" s="10" t="str">
        <f>_xlfn.XLOOKUP(C2613,menu!A:A,menu!C:C)</f>
        <v>Starters</v>
      </c>
      <c r="H2613" s="10">
        <f>_xlfn.XLOOKUP(C2613,menu!A:A,menu!E:E)</f>
        <v>30</v>
      </c>
      <c r="I2613" s="10">
        <f t="shared" si="40"/>
        <v>120</v>
      </c>
      <c r="K2613" s="10"/>
      <c r="L2613" s="5"/>
    </row>
    <row r="2614" spans="1:12" x14ac:dyDescent="0.25">
      <c r="A2614" s="5" t="s">
        <v>3639</v>
      </c>
      <c r="B2614" s="5" t="s">
        <v>3637</v>
      </c>
      <c r="C2614" s="5" t="s">
        <v>65</v>
      </c>
      <c r="D2614" s="21">
        <v>1</v>
      </c>
      <c r="E2614" s="12">
        <v>49</v>
      </c>
      <c r="F2614" s="10" t="str">
        <f>_xlfn.XLOOKUP(C2614,menu!A:A,menu!B:B)</f>
        <v>Lemon Juice</v>
      </c>
      <c r="G2614" s="10" t="str">
        <f>_xlfn.XLOOKUP(C2614,menu!A:A,menu!C:C)</f>
        <v>Beverages</v>
      </c>
      <c r="H2614" s="10">
        <f>_xlfn.XLOOKUP(C2614,menu!A:A,menu!E:E)</f>
        <v>15</v>
      </c>
      <c r="I2614" s="10">
        <f t="shared" si="40"/>
        <v>15</v>
      </c>
      <c r="K2614" s="10"/>
      <c r="L2614" s="5"/>
    </row>
    <row r="2615" spans="1:12" x14ac:dyDescent="0.25">
      <c r="A2615" s="5" t="s">
        <v>3638</v>
      </c>
      <c r="B2615" s="5" t="s">
        <v>3637</v>
      </c>
      <c r="C2615" s="5" t="s">
        <v>26</v>
      </c>
      <c r="D2615" s="21">
        <v>1</v>
      </c>
      <c r="E2615" s="12">
        <v>59</v>
      </c>
      <c r="F2615" s="10" t="str">
        <f>_xlfn.XLOOKUP(C2615,menu!A:A,menu!B:B)</f>
        <v>Veg Roll</v>
      </c>
      <c r="G2615" s="10" t="str">
        <f>_xlfn.XLOOKUP(C2615,menu!A:A,menu!C:C)</f>
        <v>Rolls</v>
      </c>
      <c r="H2615" s="10">
        <f>_xlfn.XLOOKUP(C2615,menu!A:A,menu!E:E)</f>
        <v>18</v>
      </c>
      <c r="I2615" s="10">
        <f t="shared" si="40"/>
        <v>18</v>
      </c>
      <c r="K2615" s="10"/>
      <c r="L2615" s="5"/>
    </row>
    <row r="2616" spans="1:12" x14ac:dyDescent="0.25">
      <c r="A2616" s="5" t="s">
        <v>3636</v>
      </c>
      <c r="B2616" s="5" t="s">
        <v>3634</v>
      </c>
      <c r="C2616" s="5" t="s">
        <v>59</v>
      </c>
      <c r="D2616" s="21">
        <v>3</v>
      </c>
      <c r="E2616" s="12">
        <v>237</v>
      </c>
      <c r="F2616" s="10" t="str">
        <f>_xlfn.XLOOKUP(C2616,menu!A:A,menu!B:B)</f>
        <v>Blue Curacao Mojito</v>
      </c>
      <c r="G2616" s="10" t="str">
        <f>_xlfn.XLOOKUP(C2616,menu!A:A,menu!C:C)</f>
        <v>Beverages</v>
      </c>
      <c r="H2616" s="10">
        <f>_xlfn.XLOOKUP(C2616,menu!A:A,menu!E:E)</f>
        <v>24</v>
      </c>
      <c r="I2616" s="10">
        <f t="shared" si="40"/>
        <v>72</v>
      </c>
      <c r="K2616" s="10"/>
      <c r="L2616" s="5"/>
    </row>
    <row r="2617" spans="1:12" x14ac:dyDescent="0.25">
      <c r="A2617" s="5" t="s">
        <v>3635</v>
      </c>
      <c r="B2617" s="5" t="s">
        <v>3634</v>
      </c>
      <c r="C2617" s="5" t="s">
        <v>24</v>
      </c>
      <c r="D2617" s="21">
        <v>1</v>
      </c>
      <c r="E2617" s="12">
        <v>89</v>
      </c>
      <c r="F2617" s="10" t="str">
        <f>_xlfn.XLOOKUP(C2617,menu!A:A,menu!B:B)</f>
        <v>Paneer Burger</v>
      </c>
      <c r="G2617" s="10" t="str">
        <f>_xlfn.XLOOKUP(C2617,menu!A:A,menu!C:C)</f>
        <v>Burger</v>
      </c>
      <c r="H2617" s="10">
        <f>_xlfn.XLOOKUP(C2617,menu!A:A,menu!E:E)</f>
        <v>27</v>
      </c>
      <c r="I2617" s="10">
        <f t="shared" si="40"/>
        <v>27</v>
      </c>
      <c r="K2617" s="10"/>
      <c r="L2617" s="5"/>
    </row>
    <row r="2618" spans="1:12" x14ac:dyDescent="0.25">
      <c r="A2618" s="5" t="s">
        <v>3633</v>
      </c>
      <c r="B2618" s="5" t="s">
        <v>3629</v>
      </c>
      <c r="C2618" s="5" t="s">
        <v>56</v>
      </c>
      <c r="D2618" s="21">
        <v>2</v>
      </c>
      <c r="E2618" s="12">
        <v>158</v>
      </c>
      <c r="F2618" s="10" t="str">
        <f>_xlfn.XLOOKUP(C2618,menu!A:A,menu!B:B)</f>
        <v>Mint Mojito</v>
      </c>
      <c r="G2618" s="10" t="str">
        <f>_xlfn.XLOOKUP(C2618,menu!A:A,menu!C:C)</f>
        <v>Beverages</v>
      </c>
      <c r="H2618" s="10">
        <f>_xlfn.XLOOKUP(C2618,menu!A:A,menu!E:E)</f>
        <v>24</v>
      </c>
      <c r="I2618" s="10">
        <f t="shared" si="40"/>
        <v>48</v>
      </c>
      <c r="K2618" s="10"/>
      <c r="L2618" s="5"/>
    </row>
    <row r="2619" spans="1:12" x14ac:dyDescent="0.25">
      <c r="A2619" s="5" t="s">
        <v>3632</v>
      </c>
      <c r="B2619" s="5" t="s">
        <v>3629</v>
      </c>
      <c r="C2619" s="5" t="s">
        <v>35</v>
      </c>
      <c r="D2619" s="21">
        <v>3</v>
      </c>
      <c r="E2619" s="12">
        <v>357</v>
      </c>
      <c r="F2619" s="10" t="str">
        <f>_xlfn.XLOOKUP(C2619,menu!A:A,menu!B:B)</f>
        <v>Chicken Nuggets</v>
      </c>
      <c r="G2619" s="10" t="str">
        <f>_xlfn.XLOOKUP(C2619,menu!A:A,menu!C:C)</f>
        <v>Starters</v>
      </c>
      <c r="H2619" s="10">
        <f>_xlfn.XLOOKUP(C2619,menu!A:A,menu!E:E)</f>
        <v>36</v>
      </c>
      <c r="I2619" s="10">
        <f t="shared" si="40"/>
        <v>108</v>
      </c>
      <c r="K2619" s="10"/>
      <c r="L2619" s="5"/>
    </row>
    <row r="2620" spans="1:12" x14ac:dyDescent="0.25">
      <c r="A2620" s="5" t="s">
        <v>3631</v>
      </c>
      <c r="B2620" s="5" t="s">
        <v>3629</v>
      </c>
      <c r="C2620" s="5" t="s">
        <v>46</v>
      </c>
      <c r="D2620" s="21">
        <v>1</v>
      </c>
      <c r="E2620" s="12">
        <v>149</v>
      </c>
      <c r="F2620" s="10" t="str">
        <f>_xlfn.XLOOKUP(C2620,menu!A:A,menu!B:B)</f>
        <v>Fish Finger</v>
      </c>
      <c r="G2620" s="10" t="str">
        <f>_xlfn.XLOOKUP(C2620,menu!A:A,menu!C:C)</f>
        <v>Starters</v>
      </c>
      <c r="H2620" s="10">
        <f>_xlfn.XLOOKUP(C2620,menu!A:A,menu!E:E)</f>
        <v>45</v>
      </c>
      <c r="I2620" s="10">
        <f t="shared" si="40"/>
        <v>45</v>
      </c>
      <c r="K2620" s="10"/>
      <c r="L2620" s="5"/>
    </row>
    <row r="2621" spans="1:12" x14ac:dyDescent="0.25">
      <c r="A2621" s="5" t="s">
        <v>3630</v>
      </c>
      <c r="B2621" s="5" t="s">
        <v>3629</v>
      </c>
      <c r="C2621" s="5" t="s">
        <v>44</v>
      </c>
      <c r="D2621" s="21">
        <v>2</v>
      </c>
      <c r="E2621" s="12">
        <v>318</v>
      </c>
      <c r="F2621" s="10" t="str">
        <f>_xlfn.XLOOKUP(C2621,menu!A:A,menu!B:B)</f>
        <v>Fried Chicken</v>
      </c>
      <c r="G2621" s="10" t="str">
        <f>_xlfn.XLOOKUP(C2621,menu!A:A,menu!C:C)</f>
        <v>Starters</v>
      </c>
      <c r="H2621" s="10">
        <f>_xlfn.XLOOKUP(C2621,menu!A:A,menu!E:E)</f>
        <v>48</v>
      </c>
      <c r="I2621" s="10">
        <f t="shared" si="40"/>
        <v>96</v>
      </c>
      <c r="K2621" s="10"/>
      <c r="L2621" s="5"/>
    </row>
    <row r="2622" spans="1:12" x14ac:dyDescent="0.25">
      <c r="A2622" s="5" t="s">
        <v>3628</v>
      </c>
      <c r="B2622" s="5" t="s">
        <v>3626</v>
      </c>
      <c r="C2622" s="5" t="s">
        <v>46</v>
      </c>
      <c r="D2622" s="21">
        <v>3</v>
      </c>
      <c r="E2622" s="12">
        <v>447</v>
      </c>
      <c r="F2622" s="10" t="str">
        <f>_xlfn.XLOOKUP(C2622,menu!A:A,menu!B:B)</f>
        <v>Fish Finger</v>
      </c>
      <c r="G2622" s="10" t="str">
        <f>_xlfn.XLOOKUP(C2622,menu!A:A,menu!C:C)</f>
        <v>Starters</v>
      </c>
      <c r="H2622" s="10">
        <f>_xlfn.XLOOKUP(C2622,menu!A:A,menu!E:E)</f>
        <v>45</v>
      </c>
      <c r="I2622" s="10">
        <f t="shared" si="40"/>
        <v>135</v>
      </c>
      <c r="K2622" s="10"/>
      <c r="L2622" s="5"/>
    </row>
    <row r="2623" spans="1:12" x14ac:dyDescent="0.25">
      <c r="A2623" s="5" t="s">
        <v>3627</v>
      </c>
      <c r="B2623" s="5" t="s">
        <v>3626</v>
      </c>
      <c r="C2623" s="5" t="s">
        <v>38</v>
      </c>
      <c r="D2623" s="21">
        <v>3</v>
      </c>
      <c r="E2623" s="12">
        <v>447</v>
      </c>
      <c r="F2623" s="10" t="str">
        <f>_xlfn.XLOOKUP(C2623,menu!A:A,menu!B:B)</f>
        <v>Chicken Wings</v>
      </c>
      <c r="G2623" s="10" t="str">
        <f>_xlfn.XLOOKUP(C2623,menu!A:A,menu!C:C)</f>
        <v>Starters</v>
      </c>
      <c r="H2623" s="10">
        <f>_xlfn.XLOOKUP(C2623,menu!A:A,menu!E:E)</f>
        <v>45</v>
      </c>
      <c r="I2623" s="10">
        <f t="shared" si="40"/>
        <v>135</v>
      </c>
      <c r="K2623" s="10"/>
      <c r="L2623" s="5"/>
    </row>
    <row r="2624" spans="1:12" x14ac:dyDescent="0.25">
      <c r="A2624" s="5" t="s">
        <v>3625</v>
      </c>
      <c r="B2624" s="5" t="s">
        <v>3621</v>
      </c>
      <c r="C2624" s="5" t="s">
        <v>15</v>
      </c>
      <c r="D2624" s="21">
        <v>1</v>
      </c>
      <c r="E2624" s="12">
        <v>99</v>
      </c>
      <c r="F2624" s="10" t="str">
        <f>_xlfn.XLOOKUP(C2624,menu!A:A,menu!B:B)</f>
        <v>Chicken Momos</v>
      </c>
      <c r="G2624" s="10" t="str">
        <f>_xlfn.XLOOKUP(C2624,menu!A:A,menu!C:C)</f>
        <v>Momos</v>
      </c>
      <c r="H2624" s="10">
        <f>_xlfn.XLOOKUP(C2624,menu!A:A,menu!E:E)</f>
        <v>30</v>
      </c>
      <c r="I2624" s="10">
        <f t="shared" si="40"/>
        <v>30</v>
      </c>
      <c r="K2624" s="10"/>
      <c r="L2624" s="5"/>
    </row>
    <row r="2625" spans="1:12" x14ac:dyDescent="0.25">
      <c r="A2625" s="5" t="s">
        <v>3624</v>
      </c>
      <c r="B2625" s="5" t="s">
        <v>3621</v>
      </c>
      <c r="C2625" s="5" t="s">
        <v>42</v>
      </c>
      <c r="D2625" s="21">
        <v>1</v>
      </c>
      <c r="E2625" s="12">
        <v>149</v>
      </c>
      <c r="F2625" s="10" t="str">
        <f>_xlfn.XLOOKUP(C2625,menu!A:A,menu!B:B)</f>
        <v>Chicken Popcorn</v>
      </c>
      <c r="G2625" s="10" t="str">
        <f>_xlfn.XLOOKUP(C2625,menu!A:A,menu!C:C)</f>
        <v>Starters</v>
      </c>
      <c r="H2625" s="10">
        <f>_xlfn.XLOOKUP(C2625,menu!A:A,menu!E:E)</f>
        <v>45</v>
      </c>
      <c r="I2625" s="10">
        <f t="shared" si="40"/>
        <v>45</v>
      </c>
      <c r="K2625" s="10"/>
      <c r="L2625" s="5"/>
    </row>
    <row r="2626" spans="1:12" x14ac:dyDescent="0.25">
      <c r="A2626" s="5" t="s">
        <v>3623</v>
      </c>
      <c r="B2626" s="5" t="s">
        <v>3621</v>
      </c>
      <c r="C2626" s="5" t="s">
        <v>26</v>
      </c>
      <c r="D2626" s="21">
        <v>1</v>
      </c>
      <c r="E2626" s="12">
        <v>59</v>
      </c>
      <c r="F2626" s="10" t="str">
        <f>_xlfn.XLOOKUP(C2626,menu!A:A,menu!B:B)</f>
        <v>Veg Roll</v>
      </c>
      <c r="G2626" s="10" t="str">
        <f>_xlfn.XLOOKUP(C2626,menu!A:A,menu!C:C)</f>
        <v>Rolls</v>
      </c>
      <c r="H2626" s="10">
        <f>_xlfn.XLOOKUP(C2626,menu!A:A,menu!E:E)</f>
        <v>18</v>
      </c>
      <c r="I2626" s="10">
        <f t="shared" si="40"/>
        <v>18</v>
      </c>
      <c r="K2626" s="10"/>
      <c r="L2626" s="5"/>
    </row>
    <row r="2627" spans="1:12" x14ac:dyDescent="0.25">
      <c r="A2627" s="5" t="s">
        <v>3622</v>
      </c>
      <c r="B2627" s="5" t="s">
        <v>3621</v>
      </c>
      <c r="C2627" s="5" t="s">
        <v>38</v>
      </c>
      <c r="D2627" s="21">
        <v>1</v>
      </c>
      <c r="E2627" s="12">
        <v>149</v>
      </c>
      <c r="F2627" s="10" t="str">
        <f>_xlfn.XLOOKUP(C2627,menu!A:A,menu!B:B)</f>
        <v>Chicken Wings</v>
      </c>
      <c r="G2627" s="10" t="str">
        <f>_xlfn.XLOOKUP(C2627,menu!A:A,menu!C:C)</f>
        <v>Starters</v>
      </c>
      <c r="H2627" s="10">
        <f>_xlfn.XLOOKUP(C2627,menu!A:A,menu!E:E)</f>
        <v>45</v>
      </c>
      <c r="I2627" s="10">
        <f t="shared" ref="I2627:I2690" si="41">D2627*H2627</f>
        <v>45</v>
      </c>
      <c r="K2627" s="10"/>
      <c r="L2627" s="5"/>
    </row>
    <row r="2628" spans="1:12" x14ac:dyDescent="0.25">
      <c r="A2628" s="5" t="s">
        <v>3620</v>
      </c>
      <c r="B2628" s="5" t="s">
        <v>3618</v>
      </c>
      <c r="C2628" s="5" t="s">
        <v>17</v>
      </c>
      <c r="D2628" s="21">
        <v>1</v>
      </c>
      <c r="E2628" s="12">
        <v>89</v>
      </c>
      <c r="F2628" s="10" t="str">
        <f>_xlfn.XLOOKUP(C2628,menu!A:A,menu!B:B)</f>
        <v>Paneer Momos</v>
      </c>
      <c r="G2628" s="10" t="str">
        <f>_xlfn.XLOOKUP(C2628,menu!A:A,menu!C:C)</f>
        <v>Momos</v>
      </c>
      <c r="H2628" s="10">
        <f>_xlfn.XLOOKUP(C2628,menu!A:A,menu!E:E)</f>
        <v>27</v>
      </c>
      <c r="I2628" s="10">
        <f t="shared" si="41"/>
        <v>27</v>
      </c>
      <c r="K2628" s="10"/>
      <c r="L2628" s="5"/>
    </row>
    <row r="2629" spans="1:12" x14ac:dyDescent="0.25">
      <c r="A2629" s="5" t="s">
        <v>3619</v>
      </c>
      <c r="B2629" s="5" t="s">
        <v>3618</v>
      </c>
      <c r="C2629" s="5" t="s">
        <v>40</v>
      </c>
      <c r="D2629" s="21">
        <v>1</v>
      </c>
      <c r="E2629" s="12">
        <v>99</v>
      </c>
      <c r="F2629" s="10" t="str">
        <f>_xlfn.XLOOKUP(C2629,menu!A:A,menu!B:B)</f>
        <v>Veg Nuggets</v>
      </c>
      <c r="G2629" s="10" t="str">
        <f>_xlfn.XLOOKUP(C2629,menu!A:A,menu!C:C)</f>
        <v>Starters</v>
      </c>
      <c r="H2629" s="10">
        <f>_xlfn.XLOOKUP(C2629,menu!A:A,menu!E:E)</f>
        <v>30</v>
      </c>
      <c r="I2629" s="10">
        <f t="shared" si="41"/>
        <v>30</v>
      </c>
      <c r="K2629" s="10"/>
      <c r="L2629" s="5"/>
    </row>
    <row r="2630" spans="1:12" x14ac:dyDescent="0.25">
      <c r="A2630" s="5" t="s">
        <v>3617</v>
      </c>
      <c r="B2630" s="5" t="s">
        <v>3615</v>
      </c>
      <c r="C2630" s="5" t="s">
        <v>52</v>
      </c>
      <c r="D2630" s="21">
        <v>2</v>
      </c>
      <c r="E2630" s="12">
        <v>198</v>
      </c>
      <c r="F2630" s="10" t="str">
        <f>_xlfn.XLOOKUP(C2630,menu!A:A,menu!B:B)</f>
        <v>French Fries</v>
      </c>
      <c r="G2630" s="10" t="str">
        <f>_xlfn.XLOOKUP(C2630,menu!A:A,menu!C:C)</f>
        <v>Starters</v>
      </c>
      <c r="H2630" s="10">
        <f>_xlfn.XLOOKUP(C2630,menu!A:A,menu!E:E)</f>
        <v>30</v>
      </c>
      <c r="I2630" s="10">
        <f t="shared" si="41"/>
        <v>60</v>
      </c>
      <c r="K2630" s="10"/>
      <c r="L2630" s="5"/>
    </row>
    <row r="2631" spans="1:12" x14ac:dyDescent="0.25">
      <c r="A2631" s="5" t="s">
        <v>3616</v>
      </c>
      <c r="B2631" s="5" t="s">
        <v>3615</v>
      </c>
      <c r="C2631" s="5" t="s">
        <v>61</v>
      </c>
      <c r="D2631" s="21">
        <v>5</v>
      </c>
      <c r="E2631" s="12">
        <v>395</v>
      </c>
      <c r="F2631" s="10" t="str">
        <f>_xlfn.XLOOKUP(C2631,menu!A:A,menu!B:B)</f>
        <v>Watermelon Mojito</v>
      </c>
      <c r="G2631" s="10" t="str">
        <f>_xlfn.XLOOKUP(C2631,menu!A:A,menu!C:C)</f>
        <v>Beverages</v>
      </c>
      <c r="H2631" s="10">
        <f>_xlfn.XLOOKUP(C2631,menu!A:A,menu!E:E)</f>
        <v>24</v>
      </c>
      <c r="I2631" s="10">
        <f t="shared" si="41"/>
        <v>120</v>
      </c>
      <c r="K2631" s="10"/>
      <c r="L2631" s="5"/>
    </row>
    <row r="2632" spans="1:12" x14ac:dyDescent="0.25">
      <c r="A2632" s="5" t="s">
        <v>3614</v>
      </c>
      <c r="B2632" s="5" t="s">
        <v>3613</v>
      </c>
      <c r="C2632" s="5" t="s">
        <v>12</v>
      </c>
      <c r="D2632" s="21">
        <v>1</v>
      </c>
      <c r="E2632" s="12">
        <v>79</v>
      </c>
      <c r="F2632" s="10" t="str">
        <f>_xlfn.XLOOKUP(C2632,menu!A:A,menu!B:B)</f>
        <v>Veg Momos</v>
      </c>
      <c r="G2632" s="10" t="str">
        <f>_xlfn.XLOOKUP(C2632,menu!A:A,menu!C:C)</f>
        <v>Momos</v>
      </c>
      <c r="H2632" s="10">
        <f>_xlfn.XLOOKUP(C2632,menu!A:A,menu!E:E)</f>
        <v>24</v>
      </c>
      <c r="I2632" s="10">
        <f t="shared" si="41"/>
        <v>24</v>
      </c>
      <c r="K2632" s="10"/>
      <c r="L2632" s="5"/>
    </row>
    <row r="2633" spans="1:12" x14ac:dyDescent="0.25">
      <c r="A2633" s="5" t="s">
        <v>3612</v>
      </c>
      <c r="B2633" s="5" t="s">
        <v>3611</v>
      </c>
      <c r="C2633" s="5" t="s">
        <v>8</v>
      </c>
      <c r="D2633" s="21">
        <v>3</v>
      </c>
      <c r="E2633" s="12">
        <v>297</v>
      </c>
      <c r="F2633" s="10" t="str">
        <f>_xlfn.XLOOKUP(C2633,menu!A:A,menu!B:B)</f>
        <v>Paneer Sandwich</v>
      </c>
      <c r="G2633" s="10" t="str">
        <f>_xlfn.XLOOKUP(C2633,menu!A:A,menu!C:C)</f>
        <v>Sandwich</v>
      </c>
      <c r="H2633" s="10">
        <f>_xlfn.XLOOKUP(C2633,menu!A:A,menu!E:E)</f>
        <v>30</v>
      </c>
      <c r="I2633" s="10">
        <f t="shared" si="41"/>
        <v>90</v>
      </c>
      <c r="K2633" s="10"/>
      <c r="L2633" s="5"/>
    </row>
    <row r="2634" spans="1:12" x14ac:dyDescent="0.25">
      <c r="A2634" s="5" t="s">
        <v>3610</v>
      </c>
      <c r="B2634" s="5" t="s">
        <v>3609</v>
      </c>
      <c r="C2634" s="5" t="s">
        <v>24</v>
      </c>
      <c r="D2634" s="21">
        <v>1</v>
      </c>
      <c r="E2634" s="12">
        <v>89</v>
      </c>
      <c r="F2634" s="10" t="str">
        <f>_xlfn.XLOOKUP(C2634,menu!A:A,menu!B:B)</f>
        <v>Paneer Burger</v>
      </c>
      <c r="G2634" s="10" t="str">
        <f>_xlfn.XLOOKUP(C2634,menu!A:A,menu!C:C)</f>
        <v>Burger</v>
      </c>
      <c r="H2634" s="10">
        <f>_xlfn.XLOOKUP(C2634,menu!A:A,menu!E:E)</f>
        <v>27</v>
      </c>
      <c r="I2634" s="10">
        <f t="shared" si="41"/>
        <v>27</v>
      </c>
      <c r="K2634" s="10"/>
      <c r="L2634" s="5"/>
    </row>
    <row r="2635" spans="1:12" x14ac:dyDescent="0.25">
      <c r="A2635" s="5" t="s">
        <v>3608</v>
      </c>
      <c r="B2635" s="5" t="s">
        <v>3605</v>
      </c>
      <c r="C2635" s="5" t="s">
        <v>10</v>
      </c>
      <c r="D2635" s="21">
        <v>2</v>
      </c>
      <c r="E2635" s="12">
        <v>238</v>
      </c>
      <c r="F2635" s="10" t="str">
        <f>_xlfn.XLOOKUP(C2635,menu!A:A,menu!B:B)</f>
        <v>Chicken Sandwich</v>
      </c>
      <c r="G2635" s="10" t="str">
        <f>_xlfn.XLOOKUP(C2635,menu!A:A,menu!C:C)</f>
        <v>Sandwich</v>
      </c>
      <c r="H2635" s="10">
        <f>_xlfn.XLOOKUP(C2635,menu!A:A,menu!E:E)</f>
        <v>36</v>
      </c>
      <c r="I2635" s="10">
        <f t="shared" si="41"/>
        <v>72</v>
      </c>
      <c r="K2635" s="10"/>
      <c r="L2635" s="5"/>
    </row>
    <row r="2636" spans="1:12" x14ac:dyDescent="0.25">
      <c r="A2636" s="5" t="s">
        <v>3607</v>
      </c>
      <c r="B2636" s="5" t="s">
        <v>3605</v>
      </c>
      <c r="C2636" s="5" t="s">
        <v>8</v>
      </c>
      <c r="D2636" s="21">
        <v>1</v>
      </c>
      <c r="E2636" s="12">
        <v>99</v>
      </c>
      <c r="F2636" s="10" t="str">
        <f>_xlfn.XLOOKUP(C2636,menu!A:A,menu!B:B)</f>
        <v>Paneer Sandwich</v>
      </c>
      <c r="G2636" s="10" t="str">
        <f>_xlfn.XLOOKUP(C2636,menu!A:A,menu!C:C)</f>
        <v>Sandwich</v>
      </c>
      <c r="H2636" s="10">
        <f>_xlfn.XLOOKUP(C2636,menu!A:A,menu!E:E)</f>
        <v>30</v>
      </c>
      <c r="I2636" s="10">
        <f t="shared" si="41"/>
        <v>30</v>
      </c>
      <c r="K2636" s="10"/>
      <c r="L2636" s="5"/>
    </row>
    <row r="2637" spans="1:12" x14ac:dyDescent="0.25">
      <c r="A2637" s="5" t="s">
        <v>3606</v>
      </c>
      <c r="B2637" s="5" t="s">
        <v>3605</v>
      </c>
      <c r="C2637" s="5" t="s">
        <v>38</v>
      </c>
      <c r="D2637" s="21">
        <v>3</v>
      </c>
      <c r="E2637" s="12">
        <v>447</v>
      </c>
      <c r="F2637" s="10" t="str">
        <f>_xlfn.XLOOKUP(C2637,menu!A:A,menu!B:B)</f>
        <v>Chicken Wings</v>
      </c>
      <c r="G2637" s="10" t="str">
        <f>_xlfn.XLOOKUP(C2637,menu!A:A,menu!C:C)</f>
        <v>Starters</v>
      </c>
      <c r="H2637" s="10">
        <f>_xlfn.XLOOKUP(C2637,menu!A:A,menu!E:E)</f>
        <v>45</v>
      </c>
      <c r="I2637" s="10">
        <f t="shared" si="41"/>
        <v>135</v>
      </c>
      <c r="K2637" s="10"/>
      <c r="L2637" s="5"/>
    </row>
    <row r="2638" spans="1:12" x14ac:dyDescent="0.25">
      <c r="A2638" s="5" t="s">
        <v>3604</v>
      </c>
      <c r="B2638" s="5" t="s">
        <v>3603</v>
      </c>
      <c r="C2638" s="5" t="s">
        <v>17</v>
      </c>
      <c r="D2638" s="21">
        <v>3</v>
      </c>
      <c r="E2638" s="12">
        <v>267</v>
      </c>
      <c r="F2638" s="10" t="str">
        <f>_xlfn.XLOOKUP(C2638,menu!A:A,menu!B:B)</f>
        <v>Paneer Momos</v>
      </c>
      <c r="G2638" s="10" t="str">
        <f>_xlfn.XLOOKUP(C2638,menu!A:A,menu!C:C)</f>
        <v>Momos</v>
      </c>
      <c r="H2638" s="10">
        <f>_xlfn.XLOOKUP(C2638,menu!A:A,menu!E:E)</f>
        <v>27</v>
      </c>
      <c r="I2638" s="10">
        <f t="shared" si="41"/>
        <v>81</v>
      </c>
      <c r="K2638" s="10"/>
      <c r="L2638" s="5"/>
    </row>
    <row r="2639" spans="1:12" x14ac:dyDescent="0.25">
      <c r="A2639" s="5" t="s">
        <v>3602</v>
      </c>
      <c r="B2639" s="5" t="s">
        <v>3600</v>
      </c>
      <c r="C2639" s="5" t="s">
        <v>8</v>
      </c>
      <c r="D2639" s="21">
        <v>1</v>
      </c>
      <c r="E2639" s="12">
        <v>99</v>
      </c>
      <c r="F2639" s="10" t="str">
        <f>_xlfn.XLOOKUP(C2639,menu!A:A,menu!B:B)</f>
        <v>Paneer Sandwich</v>
      </c>
      <c r="G2639" s="10" t="str">
        <f>_xlfn.XLOOKUP(C2639,menu!A:A,menu!C:C)</f>
        <v>Sandwich</v>
      </c>
      <c r="H2639" s="10">
        <f>_xlfn.XLOOKUP(C2639,menu!A:A,menu!E:E)</f>
        <v>30</v>
      </c>
      <c r="I2639" s="10">
        <f t="shared" si="41"/>
        <v>30</v>
      </c>
      <c r="K2639" s="10"/>
      <c r="L2639" s="5"/>
    </row>
    <row r="2640" spans="1:12" x14ac:dyDescent="0.25">
      <c r="A2640" s="5" t="s">
        <v>3601</v>
      </c>
      <c r="B2640" s="5" t="s">
        <v>3600</v>
      </c>
      <c r="C2640" s="5" t="s">
        <v>59</v>
      </c>
      <c r="D2640" s="21">
        <v>4</v>
      </c>
      <c r="E2640" s="12">
        <v>316</v>
      </c>
      <c r="F2640" s="10" t="str">
        <f>_xlfn.XLOOKUP(C2640,menu!A:A,menu!B:B)</f>
        <v>Blue Curacao Mojito</v>
      </c>
      <c r="G2640" s="10" t="str">
        <f>_xlfn.XLOOKUP(C2640,menu!A:A,menu!C:C)</f>
        <v>Beverages</v>
      </c>
      <c r="H2640" s="10">
        <f>_xlfn.XLOOKUP(C2640,menu!A:A,menu!E:E)</f>
        <v>24</v>
      </c>
      <c r="I2640" s="10">
        <f t="shared" si="41"/>
        <v>96</v>
      </c>
      <c r="K2640" s="10"/>
      <c r="L2640" s="5"/>
    </row>
    <row r="2641" spans="1:12" x14ac:dyDescent="0.25">
      <c r="A2641" s="5" t="s">
        <v>3599</v>
      </c>
      <c r="B2641" s="5" t="s">
        <v>3596</v>
      </c>
      <c r="C2641" s="5" t="s">
        <v>56</v>
      </c>
      <c r="D2641" s="21">
        <v>1</v>
      </c>
      <c r="E2641" s="12">
        <v>79</v>
      </c>
      <c r="F2641" s="10" t="str">
        <f>_xlfn.XLOOKUP(C2641,menu!A:A,menu!B:B)</f>
        <v>Mint Mojito</v>
      </c>
      <c r="G2641" s="10" t="str">
        <f>_xlfn.XLOOKUP(C2641,menu!A:A,menu!C:C)</f>
        <v>Beverages</v>
      </c>
      <c r="H2641" s="10">
        <f>_xlfn.XLOOKUP(C2641,menu!A:A,menu!E:E)</f>
        <v>24</v>
      </c>
      <c r="I2641" s="10">
        <f t="shared" si="41"/>
        <v>24</v>
      </c>
      <c r="K2641" s="10"/>
      <c r="L2641" s="5"/>
    </row>
    <row r="2642" spans="1:12" x14ac:dyDescent="0.25">
      <c r="A2642" s="5" t="s">
        <v>3598</v>
      </c>
      <c r="B2642" s="5" t="s">
        <v>3596</v>
      </c>
      <c r="C2642" s="5" t="s">
        <v>65</v>
      </c>
      <c r="D2642" s="21">
        <v>1</v>
      </c>
      <c r="E2642" s="12">
        <v>49</v>
      </c>
      <c r="F2642" s="10" t="str">
        <f>_xlfn.XLOOKUP(C2642,menu!A:A,menu!B:B)</f>
        <v>Lemon Juice</v>
      </c>
      <c r="G2642" s="10" t="str">
        <f>_xlfn.XLOOKUP(C2642,menu!A:A,menu!C:C)</f>
        <v>Beverages</v>
      </c>
      <c r="H2642" s="10">
        <f>_xlfn.XLOOKUP(C2642,menu!A:A,menu!E:E)</f>
        <v>15</v>
      </c>
      <c r="I2642" s="10">
        <f t="shared" si="41"/>
        <v>15</v>
      </c>
      <c r="K2642" s="10"/>
      <c r="L2642" s="5"/>
    </row>
    <row r="2643" spans="1:12" x14ac:dyDescent="0.25">
      <c r="A2643" s="5" t="s">
        <v>3597</v>
      </c>
      <c r="B2643" s="5" t="s">
        <v>3596</v>
      </c>
      <c r="C2643" s="5" t="s">
        <v>61</v>
      </c>
      <c r="D2643" s="21">
        <v>1</v>
      </c>
      <c r="E2643" s="12">
        <v>79</v>
      </c>
      <c r="F2643" s="10" t="str">
        <f>_xlfn.XLOOKUP(C2643,menu!A:A,menu!B:B)</f>
        <v>Watermelon Mojito</v>
      </c>
      <c r="G2643" s="10" t="str">
        <f>_xlfn.XLOOKUP(C2643,menu!A:A,menu!C:C)</f>
        <v>Beverages</v>
      </c>
      <c r="H2643" s="10">
        <f>_xlfn.XLOOKUP(C2643,menu!A:A,menu!E:E)</f>
        <v>24</v>
      </c>
      <c r="I2643" s="10">
        <f t="shared" si="41"/>
        <v>24</v>
      </c>
      <c r="K2643" s="10"/>
      <c r="L2643" s="5"/>
    </row>
    <row r="2644" spans="1:12" x14ac:dyDescent="0.25">
      <c r="A2644" s="5" t="s">
        <v>3595</v>
      </c>
      <c r="B2644" s="5" t="s">
        <v>3594</v>
      </c>
      <c r="C2644" s="5" t="s">
        <v>50</v>
      </c>
      <c r="D2644" s="21">
        <v>3</v>
      </c>
      <c r="E2644" s="12">
        <v>447</v>
      </c>
      <c r="F2644" s="10" t="str">
        <f>_xlfn.XLOOKUP(C2644,menu!A:A,menu!B:B)</f>
        <v>Grab Lollipop</v>
      </c>
      <c r="G2644" s="10" t="str">
        <f>_xlfn.XLOOKUP(C2644,menu!A:A,menu!C:C)</f>
        <v>Starters</v>
      </c>
      <c r="H2644" s="10">
        <f>_xlfn.XLOOKUP(C2644,menu!A:A,menu!E:E)</f>
        <v>45</v>
      </c>
      <c r="I2644" s="10">
        <f t="shared" si="41"/>
        <v>135</v>
      </c>
      <c r="K2644" s="10"/>
      <c r="L2644" s="5"/>
    </row>
    <row r="2645" spans="1:12" x14ac:dyDescent="0.25">
      <c r="A2645" s="5" t="s">
        <v>3593</v>
      </c>
      <c r="B2645" s="5" t="s">
        <v>3591</v>
      </c>
      <c r="C2645" s="5" t="s">
        <v>5</v>
      </c>
      <c r="D2645" s="21">
        <v>1</v>
      </c>
      <c r="E2645" s="12">
        <v>79</v>
      </c>
      <c r="F2645" s="10" t="str">
        <f>_xlfn.XLOOKUP(C2645,menu!A:A,menu!B:B)</f>
        <v>Veg Sandwich</v>
      </c>
      <c r="G2645" s="10" t="str">
        <f>_xlfn.XLOOKUP(C2645,menu!A:A,menu!C:C)</f>
        <v>Sandwich</v>
      </c>
      <c r="H2645" s="10">
        <f>_xlfn.XLOOKUP(C2645,menu!A:A,menu!E:E)</f>
        <v>24</v>
      </c>
      <c r="I2645" s="10">
        <f t="shared" si="41"/>
        <v>24</v>
      </c>
      <c r="K2645" s="10"/>
      <c r="L2645" s="5"/>
    </row>
    <row r="2646" spans="1:12" x14ac:dyDescent="0.25">
      <c r="A2646" s="5" t="s">
        <v>3592</v>
      </c>
      <c r="B2646" s="5" t="s">
        <v>3591</v>
      </c>
      <c r="C2646" s="5" t="s">
        <v>35</v>
      </c>
      <c r="D2646" s="21">
        <v>1</v>
      </c>
      <c r="E2646" s="12">
        <v>119</v>
      </c>
      <c r="F2646" s="10" t="str">
        <f>_xlfn.XLOOKUP(C2646,menu!A:A,menu!B:B)</f>
        <v>Chicken Nuggets</v>
      </c>
      <c r="G2646" s="10" t="str">
        <f>_xlfn.XLOOKUP(C2646,menu!A:A,menu!C:C)</f>
        <v>Starters</v>
      </c>
      <c r="H2646" s="10">
        <f>_xlfn.XLOOKUP(C2646,menu!A:A,menu!E:E)</f>
        <v>36</v>
      </c>
      <c r="I2646" s="10">
        <f t="shared" si="41"/>
        <v>36</v>
      </c>
      <c r="K2646" s="10"/>
      <c r="L2646" s="5"/>
    </row>
    <row r="2647" spans="1:12" x14ac:dyDescent="0.25">
      <c r="A2647" s="5" t="s">
        <v>3590</v>
      </c>
      <c r="B2647" s="5" t="s">
        <v>3589</v>
      </c>
      <c r="C2647" s="5" t="s">
        <v>8</v>
      </c>
      <c r="D2647" s="21">
        <v>3</v>
      </c>
      <c r="E2647" s="12">
        <v>297</v>
      </c>
      <c r="F2647" s="10" t="str">
        <f>_xlfn.XLOOKUP(C2647,menu!A:A,menu!B:B)</f>
        <v>Paneer Sandwich</v>
      </c>
      <c r="G2647" s="10" t="str">
        <f>_xlfn.XLOOKUP(C2647,menu!A:A,menu!C:C)</f>
        <v>Sandwich</v>
      </c>
      <c r="H2647" s="10">
        <f>_xlfn.XLOOKUP(C2647,menu!A:A,menu!E:E)</f>
        <v>30</v>
      </c>
      <c r="I2647" s="10">
        <f t="shared" si="41"/>
        <v>90</v>
      </c>
      <c r="K2647" s="10"/>
      <c r="L2647" s="5"/>
    </row>
    <row r="2648" spans="1:12" x14ac:dyDescent="0.25">
      <c r="A2648" s="5" t="s">
        <v>3588</v>
      </c>
      <c r="B2648" s="5" t="s">
        <v>3586</v>
      </c>
      <c r="C2648" s="5" t="s">
        <v>5</v>
      </c>
      <c r="D2648" s="21">
        <v>1</v>
      </c>
      <c r="E2648" s="12">
        <v>79</v>
      </c>
      <c r="F2648" s="10" t="str">
        <f>_xlfn.XLOOKUP(C2648,menu!A:A,menu!B:B)</f>
        <v>Veg Sandwich</v>
      </c>
      <c r="G2648" s="10" t="str">
        <f>_xlfn.XLOOKUP(C2648,menu!A:A,menu!C:C)</f>
        <v>Sandwich</v>
      </c>
      <c r="H2648" s="10">
        <f>_xlfn.XLOOKUP(C2648,menu!A:A,menu!E:E)</f>
        <v>24</v>
      </c>
      <c r="I2648" s="10">
        <f t="shared" si="41"/>
        <v>24</v>
      </c>
      <c r="K2648" s="10"/>
      <c r="L2648" s="5"/>
    </row>
    <row r="2649" spans="1:12" x14ac:dyDescent="0.25">
      <c r="A2649" s="5" t="s">
        <v>3587</v>
      </c>
      <c r="B2649" s="5" t="s">
        <v>3586</v>
      </c>
      <c r="C2649" s="5" t="s">
        <v>10</v>
      </c>
      <c r="D2649" s="21">
        <v>2</v>
      </c>
      <c r="E2649" s="12">
        <v>238</v>
      </c>
      <c r="F2649" s="10" t="str">
        <f>_xlfn.XLOOKUP(C2649,menu!A:A,menu!B:B)</f>
        <v>Chicken Sandwich</v>
      </c>
      <c r="G2649" s="10" t="str">
        <f>_xlfn.XLOOKUP(C2649,menu!A:A,menu!C:C)</f>
        <v>Sandwich</v>
      </c>
      <c r="H2649" s="10">
        <f>_xlfn.XLOOKUP(C2649,menu!A:A,menu!E:E)</f>
        <v>36</v>
      </c>
      <c r="I2649" s="10">
        <f t="shared" si="41"/>
        <v>72</v>
      </c>
      <c r="K2649" s="10"/>
      <c r="L2649" s="5"/>
    </row>
    <row r="2650" spans="1:12" x14ac:dyDescent="0.25">
      <c r="A2650" s="5" t="s">
        <v>3585</v>
      </c>
      <c r="B2650" s="5" t="s">
        <v>3584</v>
      </c>
      <c r="C2650" s="5" t="s">
        <v>65</v>
      </c>
      <c r="D2650" s="21">
        <v>2</v>
      </c>
      <c r="E2650" s="12">
        <v>98</v>
      </c>
      <c r="F2650" s="10" t="str">
        <f>_xlfn.XLOOKUP(C2650,menu!A:A,menu!B:B)</f>
        <v>Lemon Juice</v>
      </c>
      <c r="G2650" s="10" t="str">
        <f>_xlfn.XLOOKUP(C2650,menu!A:A,menu!C:C)</f>
        <v>Beverages</v>
      </c>
      <c r="H2650" s="10">
        <f>_xlfn.XLOOKUP(C2650,menu!A:A,menu!E:E)</f>
        <v>15</v>
      </c>
      <c r="I2650" s="10">
        <f t="shared" si="41"/>
        <v>30</v>
      </c>
      <c r="K2650" s="10"/>
      <c r="L2650" s="5"/>
    </row>
    <row r="2651" spans="1:12" x14ac:dyDescent="0.25">
      <c r="A2651" s="5" t="s">
        <v>3583</v>
      </c>
      <c r="B2651" s="5" t="s">
        <v>3580</v>
      </c>
      <c r="C2651" s="5" t="s">
        <v>12</v>
      </c>
      <c r="D2651" s="21">
        <v>3</v>
      </c>
      <c r="E2651" s="12">
        <v>237</v>
      </c>
      <c r="F2651" s="10" t="str">
        <f>_xlfn.XLOOKUP(C2651,menu!A:A,menu!B:B)</f>
        <v>Veg Momos</v>
      </c>
      <c r="G2651" s="10" t="str">
        <f>_xlfn.XLOOKUP(C2651,menu!A:A,menu!C:C)</f>
        <v>Momos</v>
      </c>
      <c r="H2651" s="10">
        <f>_xlfn.XLOOKUP(C2651,menu!A:A,menu!E:E)</f>
        <v>24</v>
      </c>
      <c r="I2651" s="10">
        <f t="shared" si="41"/>
        <v>72</v>
      </c>
      <c r="K2651" s="10"/>
      <c r="L2651" s="5"/>
    </row>
    <row r="2652" spans="1:12" x14ac:dyDescent="0.25">
      <c r="A2652" s="5" t="s">
        <v>3582</v>
      </c>
      <c r="B2652" s="5" t="s">
        <v>3580</v>
      </c>
      <c r="C2652" s="5" t="s">
        <v>24</v>
      </c>
      <c r="D2652" s="21">
        <v>2</v>
      </c>
      <c r="E2652" s="12">
        <v>178</v>
      </c>
      <c r="F2652" s="10" t="str">
        <f>_xlfn.XLOOKUP(C2652,menu!A:A,menu!B:B)</f>
        <v>Paneer Burger</v>
      </c>
      <c r="G2652" s="10" t="str">
        <f>_xlfn.XLOOKUP(C2652,menu!A:A,menu!C:C)</f>
        <v>Burger</v>
      </c>
      <c r="H2652" s="10">
        <f>_xlfn.XLOOKUP(C2652,menu!A:A,menu!E:E)</f>
        <v>27</v>
      </c>
      <c r="I2652" s="10">
        <f t="shared" si="41"/>
        <v>54</v>
      </c>
      <c r="K2652" s="10"/>
      <c r="L2652" s="5"/>
    </row>
    <row r="2653" spans="1:12" x14ac:dyDescent="0.25">
      <c r="A2653" s="5" t="s">
        <v>3581</v>
      </c>
      <c r="B2653" s="5" t="s">
        <v>3580</v>
      </c>
      <c r="C2653" s="5" t="s">
        <v>38</v>
      </c>
      <c r="D2653" s="21">
        <v>1</v>
      </c>
      <c r="E2653" s="12">
        <v>149</v>
      </c>
      <c r="F2653" s="10" t="str">
        <f>_xlfn.XLOOKUP(C2653,menu!A:A,menu!B:B)</f>
        <v>Chicken Wings</v>
      </c>
      <c r="G2653" s="10" t="str">
        <f>_xlfn.XLOOKUP(C2653,menu!A:A,menu!C:C)</f>
        <v>Starters</v>
      </c>
      <c r="H2653" s="10">
        <f>_xlfn.XLOOKUP(C2653,menu!A:A,menu!E:E)</f>
        <v>45</v>
      </c>
      <c r="I2653" s="10">
        <f t="shared" si="41"/>
        <v>45</v>
      </c>
      <c r="K2653" s="10"/>
      <c r="L2653" s="5"/>
    </row>
    <row r="2654" spans="1:12" x14ac:dyDescent="0.25">
      <c r="A2654" s="5" t="s">
        <v>3579</v>
      </c>
      <c r="B2654" s="5" t="s">
        <v>3577</v>
      </c>
      <c r="C2654" s="5" t="s">
        <v>17</v>
      </c>
      <c r="D2654" s="21">
        <v>4</v>
      </c>
      <c r="E2654" s="12">
        <v>356</v>
      </c>
      <c r="F2654" s="10" t="str">
        <f>_xlfn.XLOOKUP(C2654,menu!A:A,menu!B:B)</f>
        <v>Paneer Momos</v>
      </c>
      <c r="G2654" s="10" t="str">
        <f>_xlfn.XLOOKUP(C2654,menu!A:A,menu!C:C)</f>
        <v>Momos</v>
      </c>
      <c r="H2654" s="10">
        <f>_xlfn.XLOOKUP(C2654,menu!A:A,menu!E:E)</f>
        <v>27</v>
      </c>
      <c r="I2654" s="10">
        <f t="shared" si="41"/>
        <v>108</v>
      </c>
      <c r="K2654" s="10"/>
      <c r="L2654" s="5"/>
    </row>
    <row r="2655" spans="1:12" x14ac:dyDescent="0.25">
      <c r="A2655" s="5" t="s">
        <v>3578</v>
      </c>
      <c r="B2655" s="5" t="s">
        <v>3577</v>
      </c>
      <c r="C2655" s="5" t="s">
        <v>15</v>
      </c>
      <c r="D2655" s="21">
        <v>1</v>
      </c>
      <c r="E2655" s="12">
        <v>99</v>
      </c>
      <c r="F2655" s="10" t="str">
        <f>_xlfn.XLOOKUP(C2655,menu!A:A,menu!B:B)</f>
        <v>Chicken Momos</v>
      </c>
      <c r="G2655" s="10" t="str">
        <f>_xlfn.XLOOKUP(C2655,menu!A:A,menu!C:C)</f>
        <v>Momos</v>
      </c>
      <c r="H2655" s="10">
        <f>_xlfn.XLOOKUP(C2655,menu!A:A,menu!E:E)</f>
        <v>30</v>
      </c>
      <c r="I2655" s="10">
        <f t="shared" si="41"/>
        <v>30</v>
      </c>
      <c r="K2655" s="10"/>
      <c r="L2655" s="5"/>
    </row>
    <row r="2656" spans="1:12" x14ac:dyDescent="0.25">
      <c r="A2656" s="5" t="s">
        <v>3576</v>
      </c>
      <c r="B2656" s="5" t="s">
        <v>3572</v>
      </c>
      <c r="C2656" s="5" t="s">
        <v>29</v>
      </c>
      <c r="D2656" s="21">
        <v>1</v>
      </c>
      <c r="E2656" s="12">
        <v>79</v>
      </c>
      <c r="F2656" s="10" t="str">
        <f>_xlfn.XLOOKUP(C2656,menu!A:A,menu!B:B)</f>
        <v>Paneer Roll</v>
      </c>
      <c r="G2656" s="10" t="str">
        <f>_xlfn.XLOOKUP(C2656,menu!A:A,menu!C:C)</f>
        <v>Rolls</v>
      </c>
      <c r="H2656" s="10">
        <f>_xlfn.XLOOKUP(C2656,menu!A:A,menu!E:E)</f>
        <v>24</v>
      </c>
      <c r="I2656" s="10">
        <f t="shared" si="41"/>
        <v>24</v>
      </c>
      <c r="K2656" s="10"/>
      <c r="L2656" s="5"/>
    </row>
    <row r="2657" spans="1:12" x14ac:dyDescent="0.25">
      <c r="A2657" s="5" t="s">
        <v>3575</v>
      </c>
      <c r="B2657" s="5" t="s">
        <v>3572</v>
      </c>
      <c r="C2657" s="5" t="s">
        <v>38</v>
      </c>
      <c r="D2657" s="21">
        <v>3</v>
      </c>
      <c r="E2657" s="12">
        <v>447</v>
      </c>
      <c r="F2657" s="10" t="str">
        <f>_xlfn.XLOOKUP(C2657,menu!A:A,menu!B:B)</f>
        <v>Chicken Wings</v>
      </c>
      <c r="G2657" s="10" t="str">
        <f>_xlfn.XLOOKUP(C2657,menu!A:A,menu!C:C)</f>
        <v>Starters</v>
      </c>
      <c r="H2657" s="10">
        <f>_xlfn.XLOOKUP(C2657,menu!A:A,menu!E:E)</f>
        <v>45</v>
      </c>
      <c r="I2657" s="10">
        <f t="shared" si="41"/>
        <v>135</v>
      </c>
      <c r="K2657" s="10"/>
      <c r="L2657" s="5"/>
    </row>
    <row r="2658" spans="1:12" x14ac:dyDescent="0.25">
      <c r="A2658" s="5" t="s">
        <v>3574</v>
      </c>
      <c r="B2658" s="5" t="s">
        <v>3572</v>
      </c>
      <c r="C2658" s="5" t="s">
        <v>54</v>
      </c>
      <c r="D2658" s="21">
        <v>1</v>
      </c>
      <c r="E2658" s="12">
        <v>139</v>
      </c>
      <c r="F2658" s="10" t="str">
        <f>_xlfn.XLOOKUP(C2658,menu!A:A,menu!B:B)</f>
        <v>Chicken Strips</v>
      </c>
      <c r="G2658" s="10" t="str">
        <f>_xlfn.XLOOKUP(C2658,menu!A:A,menu!C:C)</f>
        <v>Starters</v>
      </c>
      <c r="H2658" s="10">
        <f>_xlfn.XLOOKUP(C2658,menu!A:A,menu!E:E)</f>
        <v>42</v>
      </c>
      <c r="I2658" s="10">
        <f t="shared" si="41"/>
        <v>42</v>
      </c>
      <c r="K2658" s="10"/>
      <c r="L2658" s="5"/>
    </row>
    <row r="2659" spans="1:12" x14ac:dyDescent="0.25">
      <c r="A2659" s="5" t="s">
        <v>3573</v>
      </c>
      <c r="B2659" s="5" t="s">
        <v>3572</v>
      </c>
      <c r="C2659" s="5" t="s">
        <v>24</v>
      </c>
      <c r="D2659" s="21">
        <v>3</v>
      </c>
      <c r="E2659" s="12">
        <v>267</v>
      </c>
      <c r="F2659" s="10" t="str">
        <f>_xlfn.XLOOKUP(C2659,menu!A:A,menu!B:B)</f>
        <v>Paneer Burger</v>
      </c>
      <c r="G2659" s="10" t="str">
        <f>_xlfn.XLOOKUP(C2659,menu!A:A,menu!C:C)</f>
        <v>Burger</v>
      </c>
      <c r="H2659" s="10">
        <f>_xlfn.XLOOKUP(C2659,menu!A:A,menu!E:E)</f>
        <v>27</v>
      </c>
      <c r="I2659" s="10">
        <f t="shared" si="41"/>
        <v>81</v>
      </c>
      <c r="K2659" s="10"/>
      <c r="L2659" s="5"/>
    </row>
    <row r="2660" spans="1:12" x14ac:dyDescent="0.25">
      <c r="A2660" s="5" t="s">
        <v>3571</v>
      </c>
      <c r="B2660" s="5" t="s">
        <v>3570</v>
      </c>
      <c r="C2660" s="5" t="s">
        <v>31</v>
      </c>
      <c r="D2660" s="21">
        <v>4</v>
      </c>
      <c r="E2660" s="12">
        <v>356</v>
      </c>
      <c r="F2660" s="10" t="str">
        <f>_xlfn.XLOOKUP(C2660,menu!A:A,menu!B:B)</f>
        <v>Chicken Roll</v>
      </c>
      <c r="G2660" s="10" t="str">
        <f>_xlfn.XLOOKUP(C2660,menu!A:A,menu!C:C)</f>
        <v>Rolls</v>
      </c>
      <c r="H2660" s="10">
        <f>_xlfn.XLOOKUP(C2660,menu!A:A,menu!E:E)</f>
        <v>27</v>
      </c>
      <c r="I2660" s="10">
        <f t="shared" si="41"/>
        <v>108</v>
      </c>
      <c r="K2660" s="10"/>
      <c r="L2660" s="5"/>
    </row>
    <row r="2661" spans="1:12" x14ac:dyDescent="0.25">
      <c r="A2661" s="5" t="s">
        <v>3569</v>
      </c>
      <c r="B2661" s="5" t="s">
        <v>3565</v>
      </c>
      <c r="C2661" s="5" t="s">
        <v>56</v>
      </c>
      <c r="D2661" s="21">
        <v>4</v>
      </c>
      <c r="E2661" s="12">
        <v>316</v>
      </c>
      <c r="F2661" s="10" t="str">
        <f>_xlfn.XLOOKUP(C2661,menu!A:A,menu!B:B)</f>
        <v>Mint Mojito</v>
      </c>
      <c r="G2661" s="10" t="str">
        <f>_xlfn.XLOOKUP(C2661,menu!A:A,menu!C:C)</f>
        <v>Beverages</v>
      </c>
      <c r="H2661" s="10">
        <f>_xlfn.XLOOKUP(C2661,menu!A:A,menu!E:E)</f>
        <v>24</v>
      </c>
      <c r="I2661" s="10">
        <f t="shared" si="41"/>
        <v>96</v>
      </c>
      <c r="K2661" s="10"/>
      <c r="L2661" s="5"/>
    </row>
    <row r="2662" spans="1:12" x14ac:dyDescent="0.25">
      <c r="A2662" s="5" t="s">
        <v>3568</v>
      </c>
      <c r="B2662" s="5" t="s">
        <v>3565</v>
      </c>
      <c r="C2662" s="5" t="s">
        <v>44</v>
      </c>
      <c r="D2662" s="21">
        <v>1</v>
      </c>
      <c r="E2662" s="12">
        <v>159</v>
      </c>
      <c r="F2662" s="10" t="str">
        <f>_xlfn.XLOOKUP(C2662,menu!A:A,menu!B:B)</f>
        <v>Fried Chicken</v>
      </c>
      <c r="G2662" s="10" t="str">
        <f>_xlfn.XLOOKUP(C2662,menu!A:A,menu!C:C)</f>
        <v>Starters</v>
      </c>
      <c r="H2662" s="10">
        <f>_xlfn.XLOOKUP(C2662,menu!A:A,menu!E:E)</f>
        <v>48</v>
      </c>
      <c r="I2662" s="10">
        <f t="shared" si="41"/>
        <v>48</v>
      </c>
      <c r="K2662" s="10"/>
      <c r="L2662" s="5"/>
    </row>
    <row r="2663" spans="1:12" x14ac:dyDescent="0.25">
      <c r="A2663" s="5" t="s">
        <v>3567</v>
      </c>
      <c r="B2663" s="5" t="s">
        <v>3565</v>
      </c>
      <c r="C2663" s="5" t="s">
        <v>59</v>
      </c>
      <c r="D2663" s="21">
        <v>1</v>
      </c>
      <c r="E2663" s="12">
        <v>79</v>
      </c>
      <c r="F2663" s="10" t="str">
        <f>_xlfn.XLOOKUP(C2663,menu!A:A,menu!B:B)</f>
        <v>Blue Curacao Mojito</v>
      </c>
      <c r="G2663" s="10" t="str">
        <f>_xlfn.XLOOKUP(C2663,menu!A:A,menu!C:C)</f>
        <v>Beverages</v>
      </c>
      <c r="H2663" s="10">
        <f>_xlfn.XLOOKUP(C2663,menu!A:A,menu!E:E)</f>
        <v>24</v>
      </c>
      <c r="I2663" s="10">
        <f t="shared" si="41"/>
        <v>24</v>
      </c>
      <c r="K2663" s="10"/>
      <c r="L2663" s="5"/>
    </row>
    <row r="2664" spans="1:12" x14ac:dyDescent="0.25">
      <c r="A2664" s="5" t="s">
        <v>3566</v>
      </c>
      <c r="B2664" s="5" t="s">
        <v>3565</v>
      </c>
      <c r="C2664" s="5" t="s">
        <v>38</v>
      </c>
      <c r="D2664" s="21">
        <v>2</v>
      </c>
      <c r="E2664" s="12">
        <v>298</v>
      </c>
      <c r="F2664" s="10" t="str">
        <f>_xlfn.XLOOKUP(C2664,menu!A:A,menu!B:B)</f>
        <v>Chicken Wings</v>
      </c>
      <c r="G2664" s="10" t="str">
        <f>_xlfn.XLOOKUP(C2664,menu!A:A,menu!C:C)</f>
        <v>Starters</v>
      </c>
      <c r="H2664" s="10">
        <f>_xlfn.XLOOKUP(C2664,menu!A:A,menu!E:E)</f>
        <v>45</v>
      </c>
      <c r="I2664" s="10">
        <f t="shared" si="41"/>
        <v>90</v>
      </c>
      <c r="K2664" s="10"/>
      <c r="L2664" s="5"/>
    </row>
    <row r="2665" spans="1:12" x14ac:dyDescent="0.25">
      <c r="A2665" s="5" t="s">
        <v>3564</v>
      </c>
      <c r="B2665" s="5" t="s">
        <v>3562</v>
      </c>
      <c r="C2665" s="5" t="s">
        <v>59</v>
      </c>
      <c r="D2665" s="21">
        <v>3</v>
      </c>
      <c r="E2665" s="12">
        <v>237</v>
      </c>
      <c r="F2665" s="10" t="str">
        <f>_xlfn.XLOOKUP(C2665,menu!A:A,menu!B:B)</f>
        <v>Blue Curacao Mojito</v>
      </c>
      <c r="G2665" s="10" t="str">
        <f>_xlfn.XLOOKUP(C2665,menu!A:A,menu!C:C)</f>
        <v>Beverages</v>
      </c>
      <c r="H2665" s="10">
        <f>_xlfn.XLOOKUP(C2665,menu!A:A,menu!E:E)</f>
        <v>24</v>
      </c>
      <c r="I2665" s="10">
        <f t="shared" si="41"/>
        <v>72</v>
      </c>
      <c r="K2665" s="10"/>
      <c r="L2665" s="5"/>
    </row>
    <row r="2666" spans="1:12" x14ac:dyDescent="0.25">
      <c r="A2666" s="5" t="s">
        <v>3563</v>
      </c>
      <c r="B2666" s="5" t="s">
        <v>3562</v>
      </c>
      <c r="C2666" s="5" t="s">
        <v>61</v>
      </c>
      <c r="D2666" s="21">
        <v>1</v>
      </c>
      <c r="E2666" s="12">
        <v>79</v>
      </c>
      <c r="F2666" s="10" t="str">
        <f>_xlfn.XLOOKUP(C2666,menu!A:A,menu!B:B)</f>
        <v>Watermelon Mojito</v>
      </c>
      <c r="G2666" s="10" t="str">
        <f>_xlfn.XLOOKUP(C2666,menu!A:A,menu!C:C)</f>
        <v>Beverages</v>
      </c>
      <c r="H2666" s="10">
        <f>_xlfn.XLOOKUP(C2666,menu!A:A,menu!E:E)</f>
        <v>24</v>
      </c>
      <c r="I2666" s="10">
        <f t="shared" si="41"/>
        <v>24</v>
      </c>
      <c r="K2666" s="10"/>
      <c r="L2666" s="5"/>
    </row>
    <row r="2667" spans="1:12" x14ac:dyDescent="0.25">
      <c r="A2667" s="5" t="s">
        <v>3561</v>
      </c>
      <c r="B2667" s="5" t="s">
        <v>3560</v>
      </c>
      <c r="C2667" s="5" t="s">
        <v>31</v>
      </c>
      <c r="D2667" s="21">
        <v>1</v>
      </c>
      <c r="E2667" s="12">
        <v>89</v>
      </c>
      <c r="F2667" s="10" t="str">
        <f>_xlfn.XLOOKUP(C2667,menu!A:A,menu!B:B)</f>
        <v>Chicken Roll</v>
      </c>
      <c r="G2667" s="10" t="str">
        <f>_xlfn.XLOOKUP(C2667,menu!A:A,menu!C:C)</f>
        <v>Rolls</v>
      </c>
      <c r="H2667" s="10">
        <f>_xlfn.XLOOKUP(C2667,menu!A:A,menu!E:E)</f>
        <v>27</v>
      </c>
      <c r="I2667" s="10">
        <f t="shared" si="41"/>
        <v>27</v>
      </c>
      <c r="K2667" s="10"/>
      <c r="L2667" s="5"/>
    </row>
    <row r="2668" spans="1:12" x14ac:dyDescent="0.25">
      <c r="A2668" s="5" t="s">
        <v>3559</v>
      </c>
      <c r="B2668" s="5" t="s">
        <v>3557</v>
      </c>
      <c r="C2668" s="5" t="s">
        <v>19</v>
      </c>
      <c r="D2668" s="21">
        <v>1</v>
      </c>
      <c r="E2668" s="12">
        <v>79</v>
      </c>
      <c r="F2668" s="10" t="str">
        <f>_xlfn.XLOOKUP(C2668,menu!A:A,menu!B:B)</f>
        <v>Veg Burger</v>
      </c>
      <c r="G2668" s="10" t="str">
        <f>_xlfn.XLOOKUP(C2668,menu!A:A,menu!C:C)</f>
        <v>Burger</v>
      </c>
      <c r="H2668" s="10">
        <f>_xlfn.XLOOKUP(C2668,menu!A:A,menu!E:E)</f>
        <v>24</v>
      </c>
      <c r="I2668" s="10">
        <f t="shared" si="41"/>
        <v>24</v>
      </c>
      <c r="K2668" s="10"/>
      <c r="L2668" s="5"/>
    </row>
    <row r="2669" spans="1:12" x14ac:dyDescent="0.25">
      <c r="A2669" s="5" t="s">
        <v>3558</v>
      </c>
      <c r="B2669" s="5" t="s">
        <v>3557</v>
      </c>
      <c r="C2669" s="5" t="s">
        <v>52</v>
      </c>
      <c r="D2669" s="21">
        <v>2</v>
      </c>
      <c r="E2669" s="12">
        <v>198</v>
      </c>
      <c r="F2669" s="10" t="str">
        <f>_xlfn.XLOOKUP(C2669,menu!A:A,menu!B:B)</f>
        <v>French Fries</v>
      </c>
      <c r="G2669" s="10" t="str">
        <f>_xlfn.XLOOKUP(C2669,menu!A:A,menu!C:C)</f>
        <v>Starters</v>
      </c>
      <c r="H2669" s="10">
        <f>_xlfn.XLOOKUP(C2669,menu!A:A,menu!E:E)</f>
        <v>30</v>
      </c>
      <c r="I2669" s="10">
        <f t="shared" si="41"/>
        <v>60</v>
      </c>
      <c r="K2669" s="10"/>
      <c r="L2669" s="5"/>
    </row>
    <row r="2670" spans="1:12" x14ac:dyDescent="0.25">
      <c r="A2670" s="5" t="s">
        <v>3556</v>
      </c>
      <c r="B2670" s="5" t="s">
        <v>3554</v>
      </c>
      <c r="C2670" s="5" t="s">
        <v>65</v>
      </c>
      <c r="D2670" s="21">
        <v>1</v>
      </c>
      <c r="E2670" s="12">
        <v>49</v>
      </c>
      <c r="F2670" s="10" t="str">
        <f>_xlfn.XLOOKUP(C2670,menu!A:A,menu!B:B)</f>
        <v>Lemon Juice</v>
      </c>
      <c r="G2670" s="10" t="str">
        <f>_xlfn.XLOOKUP(C2670,menu!A:A,menu!C:C)</f>
        <v>Beverages</v>
      </c>
      <c r="H2670" s="10">
        <f>_xlfn.XLOOKUP(C2670,menu!A:A,menu!E:E)</f>
        <v>15</v>
      </c>
      <c r="I2670" s="10">
        <f t="shared" si="41"/>
        <v>15</v>
      </c>
      <c r="K2670" s="10"/>
      <c r="L2670" s="5"/>
    </row>
    <row r="2671" spans="1:12" x14ac:dyDescent="0.25">
      <c r="A2671" s="5" t="s">
        <v>3555</v>
      </c>
      <c r="B2671" s="5" t="s">
        <v>3554</v>
      </c>
      <c r="C2671" s="5" t="s">
        <v>48</v>
      </c>
      <c r="D2671" s="21">
        <v>2</v>
      </c>
      <c r="E2671" s="12">
        <v>318</v>
      </c>
      <c r="F2671" s="10" t="str">
        <f>_xlfn.XLOOKUP(C2671,menu!A:A,menu!B:B)</f>
        <v>Chicken Lollipop</v>
      </c>
      <c r="G2671" s="10" t="str">
        <f>_xlfn.XLOOKUP(C2671,menu!A:A,menu!C:C)</f>
        <v>Starters</v>
      </c>
      <c r="H2671" s="10">
        <f>_xlfn.XLOOKUP(C2671,menu!A:A,menu!E:E)</f>
        <v>48</v>
      </c>
      <c r="I2671" s="10">
        <f t="shared" si="41"/>
        <v>96</v>
      </c>
      <c r="K2671" s="10"/>
      <c r="L2671" s="5"/>
    </row>
    <row r="2672" spans="1:12" x14ac:dyDescent="0.25">
      <c r="A2672" s="5" t="s">
        <v>3553</v>
      </c>
      <c r="B2672" s="5" t="s">
        <v>3551</v>
      </c>
      <c r="C2672" s="5" t="s">
        <v>40</v>
      </c>
      <c r="D2672" s="21">
        <v>3</v>
      </c>
      <c r="E2672" s="12">
        <v>297</v>
      </c>
      <c r="F2672" s="10" t="str">
        <f>_xlfn.XLOOKUP(C2672,menu!A:A,menu!B:B)</f>
        <v>Veg Nuggets</v>
      </c>
      <c r="G2672" s="10" t="str">
        <f>_xlfn.XLOOKUP(C2672,menu!A:A,menu!C:C)</f>
        <v>Starters</v>
      </c>
      <c r="H2672" s="10">
        <f>_xlfn.XLOOKUP(C2672,menu!A:A,menu!E:E)</f>
        <v>30</v>
      </c>
      <c r="I2672" s="10">
        <f t="shared" si="41"/>
        <v>90</v>
      </c>
      <c r="K2672" s="10"/>
      <c r="L2672" s="5"/>
    </row>
    <row r="2673" spans="1:12" x14ac:dyDescent="0.25">
      <c r="A2673" s="5" t="s">
        <v>3552</v>
      </c>
      <c r="B2673" s="5" t="s">
        <v>3551</v>
      </c>
      <c r="C2673" s="5" t="s">
        <v>19</v>
      </c>
      <c r="D2673" s="21">
        <v>1</v>
      </c>
      <c r="E2673" s="12">
        <v>79</v>
      </c>
      <c r="F2673" s="10" t="str">
        <f>_xlfn.XLOOKUP(C2673,menu!A:A,menu!B:B)</f>
        <v>Veg Burger</v>
      </c>
      <c r="G2673" s="10" t="str">
        <f>_xlfn.XLOOKUP(C2673,menu!A:A,menu!C:C)</f>
        <v>Burger</v>
      </c>
      <c r="H2673" s="10">
        <f>_xlfn.XLOOKUP(C2673,menu!A:A,menu!E:E)</f>
        <v>24</v>
      </c>
      <c r="I2673" s="10">
        <f t="shared" si="41"/>
        <v>24</v>
      </c>
      <c r="K2673" s="10"/>
      <c r="L2673" s="5"/>
    </row>
    <row r="2674" spans="1:12" x14ac:dyDescent="0.25">
      <c r="A2674" s="5" t="s">
        <v>3550</v>
      </c>
      <c r="B2674" s="5" t="s">
        <v>3546</v>
      </c>
      <c r="C2674" s="5" t="s">
        <v>17</v>
      </c>
      <c r="D2674" s="21">
        <v>3</v>
      </c>
      <c r="E2674" s="12">
        <v>267</v>
      </c>
      <c r="F2674" s="10" t="str">
        <f>_xlfn.XLOOKUP(C2674,menu!A:A,menu!B:B)</f>
        <v>Paneer Momos</v>
      </c>
      <c r="G2674" s="10" t="str">
        <f>_xlfn.XLOOKUP(C2674,menu!A:A,menu!C:C)</f>
        <v>Momos</v>
      </c>
      <c r="H2674" s="10">
        <f>_xlfn.XLOOKUP(C2674,menu!A:A,menu!E:E)</f>
        <v>27</v>
      </c>
      <c r="I2674" s="10">
        <f t="shared" si="41"/>
        <v>81</v>
      </c>
      <c r="K2674" s="10"/>
      <c r="L2674" s="5"/>
    </row>
    <row r="2675" spans="1:12" x14ac:dyDescent="0.25">
      <c r="A2675" s="5" t="s">
        <v>3549</v>
      </c>
      <c r="B2675" s="5" t="s">
        <v>3546</v>
      </c>
      <c r="C2675" s="5" t="s">
        <v>19</v>
      </c>
      <c r="D2675" s="21">
        <v>3</v>
      </c>
      <c r="E2675" s="12">
        <v>237</v>
      </c>
      <c r="F2675" s="10" t="str">
        <f>_xlfn.XLOOKUP(C2675,menu!A:A,menu!B:B)</f>
        <v>Veg Burger</v>
      </c>
      <c r="G2675" s="10" t="str">
        <f>_xlfn.XLOOKUP(C2675,menu!A:A,menu!C:C)</f>
        <v>Burger</v>
      </c>
      <c r="H2675" s="10">
        <f>_xlfn.XLOOKUP(C2675,menu!A:A,menu!E:E)</f>
        <v>24</v>
      </c>
      <c r="I2675" s="10">
        <f t="shared" si="41"/>
        <v>72</v>
      </c>
      <c r="K2675" s="10"/>
      <c r="L2675" s="5"/>
    </row>
    <row r="2676" spans="1:12" x14ac:dyDescent="0.25">
      <c r="A2676" s="5" t="s">
        <v>3548</v>
      </c>
      <c r="B2676" s="5" t="s">
        <v>3546</v>
      </c>
      <c r="C2676" s="5" t="s">
        <v>40</v>
      </c>
      <c r="D2676" s="21">
        <v>1</v>
      </c>
      <c r="E2676" s="12">
        <v>99</v>
      </c>
      <c r="F2676" s="10" t="str">
        <f>_xlfn.XLOOKUP(C2676,menu!A:A,menu!B:B)</f>
        <v>Veg Nuggets</v>
      </c>
      <c r="G2676" s="10" t="str">
        <f>_xlfn.XLOOKUP(C2676,menu!A:A,menu!C:C)</f>
        <v>Starters</v>
      </c>
      <c r="H2676" s="10">
        <f>_xlfn.XLOOKUP(C2676,menu!A:A,menu!E:E)</f>
        <v>30</v>
      </c>
      <c r="I2676" s="10">
        <f t="shared" si="41"/>
        <v>30</v>
      </c>
      <c r="K2676" s="10"/>
      <c r="L2676" s="5"/>
    </row>
    <row r="2677" spans="1:12" x14ac:dyDescent="0.25">
      <c r="A2677" s="5" t="s">
        <v>3547</v>
      </c>
      <c r="B2677" s="5" t="s">
        <v>3546</v>
      </c>
      <c r="C2677" s="5" t="s">
        <v>24</v>
      </c>
      <c r="D2677" s="21">
        <v>1</v>
      </c>
      <c r="E2677" s="12">
        <v>89</v>
      </c>
      <c r="F2677" s="10" t="str">
        <f>_xlfn.XLOOKUP(C2677,menu!A:A,menu!B:B)</f>
        <v>Paneer Burger</v>
      </c>
      <c r="G2677" s="10" t="str">
        <f>_xlfn.XLOOKUP(C2677,menu!A:A,menu!C:C)</f>
        <v>Burger</v>
      </c>
      <c r="H2677" s="10">
        <f>_xlfn.XLOOKUP(C2677,menu!A:A,menu!E:E)</f>
        <v>27</v>
      </c>
      <c r="I2677" s="10">
        <f t="shared" si="41"/>
        <v>27</v>
      </c>
      <c r="K2677" s="10"/>
      <c r="L2677" s="5"/>
    </row>
    <row r="2678" spans="1:12" x14ac:dyDescent="0.25">
      <c r="A2678" s="5" t="s">
        <v>3545</v>
      </c>
      <c r="B2678" s="5" t="s">
        <v>3543</v>
      </c>
      <c r="C2678" s="5" t="s">
        <v>56</v>
      </c>
      <c r="D2678" s="21">
        <v>1</v>
      </c>
      <c r="E2678" s="12">
        <v>79</v>
      </c>
      <c r="F2678" s="10" t="str">
        <f>_xlfn.XLOOKUP(C2678,menu!A:A,menu!B:B)</f>
        <v>Mint Mojito</v>
      </c>
      <c r="G2678" s="10" t="str">
        <f>_xlfn.XLOOKUP(C2678,menu!A:A,menu!C:C)</f>
        <v>Beverages</v>
      </c>
      <c r="H2678" s="10">
        <f>_xlfn.XLOOKUP(C2678,menu!A:A,menu!E:E)</f>
        <v>24</v>
      </c>
      <c r="I2678" s="10">
        <f t="shared" si="41"/>
        <v>24</v>
      </c>
      <c r="K2678" s="10"/>
      <c r="L2678" s="5"/>
    </row>
    <row r="2679" spans="1:12" x14ac:dyDescent="0.25">
      <c r="A2679" s="5" t="s">
        <v>3544</v>
      </c>
      <c r="B2679" s="5" t="s">
        <v>3543</v>
      </c>
      <c r="C2679" s="5" t="s">
        <v>52</v>
      </c>
      <c r="D2679" s="21">
        <v>1</v>
      </c>
      <c r="E2679" s="12">
        <v>99</v>
      </c>
      <c r="F2679" s="10" t="str">
        <f>_xlfn.XLOOKUP(C2679,menu!A:A,menu!B:B)</f>
        <v>French Fries</v>
      </c>
      <c r="G2679" s="10" t="str">
        <f>_xlfn.XLOOKUP(C2679,menu!A:A,menu!C:C)</f>
        <v>Starters</v>
      </c>
      <c r="H2679" s="10">
        <f>_xlfn.XLOOKUP(C2679,menu!A:A,menu!E:E)</f>
        <v>30</v>
      </c>
      <c r="I2679" s="10">
        <f t="shared" si="41"/>
        <v>30</v>
      </c>
      <c r="K2679" s="10"/>
      <c r="L2679" s="5"/>
    </row>
    <row r="2680" spans="1:12" x14ac:dyDescent="0.25">
      <c r="A2680" s="5" t="s">
        <v>3542</v>
      </c>
      <c r="B2680" s="5" t="s">
        <v>3540</v>
      </c>
      <c r="C2680" s="5" t="s">
        <v>35</v>
      </c>
      <c r="D2680" s="21">
        <v>2</v>
      </c>
      <c r="E2680" s="12">
        <v>238</v>
      </c>
      <c r="F2680" s="10" t="str">
        <f>_xlfn.XLOOKUP(C2680,menu!A:A,menu!B:B)</f>
        <v>Chicken Nuggets</v>
      </c>
      <c r="G2680" s="10" t="str">
        <f>_xlfn.XLOOKUP(C2680,menu!A:A,menu!C:C)</f>
        <v>Starters</v>
      </c>
      <c r="H2680" s="10">
        <f>_xlfn.XLOOKUP(C2680,menu!A:A,menu!E:E)</f>
        <v>36</v>
      </c>
      <c r="I2680" s="10">
        <f t="shared" si="41"/>
        <v>72</v>
      </c>
      <c r="K2680" s="10"/>
      <c r="L2680" s="5"/>
    </row>
    <row r="2681" spans="1:12" x14ac:dyDescent="0.25">
      <c r="A2681" s="5" t="s">
        <v>3541</v>
      </c>
      <c r="B2681" s="5" t="s">
        <v>3540</v>
      </c>
      <c r="C2681" s="5" t="s">
        <v>50</v>
      </c>
      <c r="D2681" s="21">
        <v>1</v>
      </c>
      <c r="E2681" s="12">
        <v>149</v>
      </c>
      <c r="F2681" s="10" t="str">
        <f>_xlfn.XLOOKUP(C2681,menu!A:A,menu!B:B)</f>
        <v>Grab Lollipop</v>
      </c>
      <c r="G2681" s="10" t="str">
        <f>_xlfn.XLOOKUP(C2681,menu!A:A,menu!C:C)</f>
        <v>Starters</v>
      </c>
      <c r="H2681" s="10">
        <f>_xlfn.XLOOKUP(C2681,menu!A:A,menu!E:E)</f>
        <v>45</v>
      </c>
      <c r="I2681" s="10">
        <f t="shared" si="41"/>
        <v>45</v>
      </c>
      <c r="K2681" s="10"/>
      <c r="L2681" s="5"/>
    </row>
    <row r="2682" spans="1:12" x14ac:dyDescent="0.25">
      <c r="A2682" s="5" t="s">
        <v>3539</v>
      </c>
      <c r="B2682" s="5" t="s">
        <v>3535</v>
      </c>
      <c r="C2682" s="5" t="s">
        <v>59</v>
      </c>
      <c r="D2682" s="21">
        <v>1</v>
      </c>
      <c r="E2682" s="12">
        <v>79</v>
      </c>
      <c r="F2682" s="10" t="str">
        <f>_xlfn.XLOOKUP(C2682,menu!A:A,menu!B:B)</f>
        <v>Blue Curacao Mojito</v>
      </c>
      <c r="G2682" s="10" t="str">
        <f>_xlfn.XLOOKUP(C2682,menu!A:A,menu!C:C)</f>
        <v>Beverages</v>
      </c>
      <c r="H2682" s="10">
        <f>_xlfn.XLOOKUP(C2682,menu!A:A,menu!E:E)</f>
        <v>24</v>
      </c>
      <c r="I2682" s="10">
        <f t="shared" si="41"/>
        <v>24</v>
      </c>
      <c r="K2682" s="10"/>
      <c r="L2682" s="5"/>
    </row>
    <row r="2683" spans="1:12" x14ac:dyDescent="0.25">
      <c r="A2683" s="5" t="s">
        <v>3538</v>
      </c>
      <c r="B2683" s="5" t="s">
        <v>3535</v>
      </c>
      <c r="C2683" s="5" t="s">
        <v>63</v>
      </c>
      <c r="D2683" s="21">
        <v>4</v>
      </c>
      <c r="E2683" s="12">
        <v>316</v>
      </c>
      <c r="F2683" s="10" t="str">
        <f>_xlfn.XLOOKUP(C2683,menu!A:A,menu!B:B)</f>
        <v>Virgin Mojito</v>
      </c>
      <c r="G2683" s="10" t="str">
        <f>_xlfn.XLOOKUP(C2683,menu!A:A,menu!C:C)</f>
        <v>Beverages</v>
      </c>
      <c r="H2683" s="10">
        <f>_xlfn.XLOOKUP(C2683,menu!A:A,menu!E:E)</f>
        <v>24</v>
      </c>
      <c r="I2683" s="10">
        <f t="shared" si="41"/>
        <v>96</v>
      </c>
      <c r="K2683" s="10"/>
      <c r="L2683" s="5"/>
    </row>
    <row r="2684" spans="1:12" x14ac:dyDescent="0.25">
      <c r="A2684" s="5" t="s">
        <v>3537</v>
      </c>
      <c r="B2684" s="5" t="s">
        <v>3535</v>
      </c>
      <c r="C2684" s="5" t="s">
        <v>65</v>
      </c>
      <c r="D2684" s="21">
        <v>2</v>
      </c>
      <c r="E2684" s="12">
        <v>98</v>
      </c>
      <c r="F2684" s="10" t="str">
        <f>_xlfn.XLOOKUP(C2684,menu!A:A,menu!B:B)</f>
        <v>Lemon Juice</v>
      </c>
      <c r="G2684" s="10" t="str">
        <f>_xlfn.XLOOKUP(C2684,menu!A:A,menu!C:C)</f>
        <v>Beverages</v>
      </c>
      <c r="H2684" s="10">
        <f>_xlfn.XLOOKUP(C2684,menu!A:A,menu!E:E)</f>
        <v>15</v>
      </c>
      <c r="I2684" s="10">
        <f t="shared" si="41"/>
        <v>30</v>
      </c>
      <c r="K2684" s="10"/>
      <c r="L2684" s="5"/>
    </row>
    <row r="2685" spans="1:12" x14ac:dyDescent="0.25">
      <c r="A2685" s="5" t="s">
        <v>3536</v>
      </c>
      <c r="B2685" s="5" t="s">
        <v>3535</v>
      </c>
      <c r="C2685" s="5" t="s">
        <v>31</v>
      </c>
      <c r="D2685" s="21">
        <v>1</v>
      </c>
      <c r="E2685" s="12">
        <v>89</v>
      </c>
      <c r="F2685" s="10" t="str">
        <f>_xlfn.XLOOKUP(C2685,menu!A:A,menu!B:B)</f>
        <v>Chicken Roll</v>
      </c>
      <c r="G2685" s="10" t="str">
        <f>_xlfn.XLOOKUP(C2685,menu!A:A,menu!C:C)</f>
        <v>Rolls</v>
      </c>
      <c r="H2685" s="10">
        <f>_xlfn.XLOOKUP(C2685,menu!A:A,menu!E:E)</f>
        <v>27</v>
      </c>
      <c r="I2685" s="10">
        <f t="shared" si="41"/>
        <v>27</v>
      </c>
      <c r="K2685" s="10"/>
      <c r="L2685" s="5"/>
    </row>
    <row r="2686" spans="1:12" x14ac:dyDescent="0.25">
      <c r="A2686" s="5" t="s">
        <v>3534</v>
      </c>
      <c r="B2686" s="5" t="s">
        <v>3532</v>
      </c>
      <c r="C2686" s="5" t="s">
        <v>17</v>
      </c>
      <c r="D2686" s="21">
        <v>1</v>
      </c>
      <c r="E2686" s="12">
        <v>89</v>
      </c>
      <c r="F2686" s="10" t="str">
        <f>_xlfn.XLOOKUP(C2686,menu!A:A,menu!B:B)</f>
        <v>Paneer Momos</v>
      </c>
      <c r="G2686" s="10" t="str">
        <f>_xlfn.XLOOKUP(C2686,menu!A:A,menu!C:C)</f>
        <v>Momos</v>
      </c>
      <c r="H2686" s="10">
        <f>_xlfn.XLOOKUP(C2686,menu!A:A,menu!E:E)</f>
        <v>27</v>
      </c>
      <c r="I2686" s="10">
        <f t="shared" si="41"/>
        <v>27</v>
      </c>
      <c r="K2686" s="10"/>
      <c r="L2686" s="5"/>
    </row>
    <row r="2687" spans="1:12" x14ac:dyDescent="0.25">
      <c r="A2687" s="5" t="s">
        <v>3533</v>
      </c>
      <c r="B2687" s="5" t="s">
        <v>3532</v>
      </c>
      <c r="C2687" s="5" t="s">
        <v>31</v>
      </c>
      <c r="D2687" s="21">
        <v>3</v>
      </c>
      <c r="E2687" s="12">
        <v>267</v>
      </c>
      <c r="F2687" s="10" t="str">
        <f>_xlfn.XLOOKUP(C2687,menu!A:A,menu!B:B)</f>
        <v>Chicken Roll</v>
      </c>
      <c r="G2687" s="10" t="str">
        <f>_xlfn.XLOOKUP(C2687,menu!A:A,menu!C:C)</f>
        <v>Rolls</v>
      </c>
      <c r="H2687" s="10">
        <f>_xlfn.XLOOKUP(C2687,menu!A:A,menu!E:E)</f>
        <v>27</v>
      </c>
      <c r="I2687" s="10">
        <f t="shared" si="41"/>
        <v>81</v>
      </c>
      <c r="K2687" s="10"/>
      <c r="L2687" s="5"/>
    </row>
    <row r="2688" spans="1:12" x14ac:dyDescent="0.25">
      <c r="A2688" s="5" t="s">
        <v>3531</v>
      </c>
      <c r="B2688" s="5" t="s">
        <v>3528</v>
      </c>
      <c r="C2688" s="5" t="s">
        <v>12</v>
      </c>
      <c r="D2688" s="21">
        <v>1</v>
      </c>
      <c r="E2688" s="12">
        <v>79</v>
      </c>
      <c r="F2688" s="10" t="str">
        <f>_xlfn.XLOOKUP(C2688,menu!A:A,menu!B:B)</f>
        <v>Veg Momos</v>
      </c>
      <c r="G2688" s="10" t="str">
        <f>_xlfn.XLOOKUP(C2688,menu!A:A,menu!C:C)</f>
        <v>Momos</v>
      </c>
      <c r="H2688" s="10">
        <f>_xlfn.XLOOKUP(C2688,menu!A:A,menu!E:E)</f>
        <v>24</v>
      </c>
      <c r="I2688" s="10">
        <f t="shared" si="41"/>
        <v>24</v>
      </c>
      <c r="K2688" s="10"/>
      <c r="L2688" s="5"/>
    </row>
    <row r="2689" spans="1:12" x14ac:dyDescent="0.25">
      <c r="A2689" s="5" t="s">
        <v>3530</v>
      </c>
      <c r="B2689" s="5" t="s">
        <v>3528</v>
      </c>
      <c r="C2689" s="5" t="s">
        <v>56</v>
      </c>
      <c r="D2689" s="21">
        <v>1</v>
      </c>
      <c r="E2689" s="12">
        <v>79</v>
      </c>
      <c r="F2689" s="10" t="str">
        <f>_xlfn.XLOOKUP(C2689,menu!A:A,menu!B:B)</f>
        <v>Mint Mojito</v>
      </c>
      <c r="G2689" s="10" t="str">
        <f>_xlfn.XLOOKUP(C2689,menu!A:A,menu!C:C)</f>
        <v>Beverages</v>
      </c>
      <c r="H2689" s="10">
        <f>_xlfn.XLOOKUP(C2689,menu!A:A,menu!E:E)</f>
        <v>24</v>
      </c>
      <c r="I2689" s="10">
        <f t="shared" si="41"/>
        <v>24</v>
      </c>
      <c r="K2689" s="10"/>
      <c r="L2689" s="5"/>
    </row>
    <row r="2690" spans="1:12" x14ac:dyDescent="0.25">
      <c r="A2690" s="5" t="s">
        <v>3529</v>
      </c>
      <c r="B2690" s="5" t="s">
        <v>3528</v>
      </c>
      <c r="C2690" s="5" t="s">
        <v>42</v>
      </c>
      <c r="D2690" s="21">
        <v>3</v>
      </c>
      <c r="E2690" s="12">
        <v>447</v>
      </c>
      <c r="F2690" s="10" t="str">
        <f>_xlfn.XLOOKUP(C2690,menu!A:A,menu!B:B)</f>
        <v>Chicken Popcorn</v>
      </c>
      <c r="G2690" s="10" t="str">
        <f>_xlfn.XLOOKUP(C2690,menu!A:A,menu!C:C)</f>
        <v>Starters</v>
      </c>
      <c r="H2690" s="10">
        <f>_xlfn.XLOOKUP(C2690,menu!A:A,menu!E:E)</f>
        <v>45</v>
      </c>
      <c r="I2690" s="10">
        <f t="shared" si="41"/>
        <v>135</v>
      </c>
      <c r="K2690" s="10"/>
      <c r="L2690" s="5"/>
    </row>
    <row r="2691" spans="1:12" x14ac:dyDescent="0.25">
      <c r="A2691" s="5" t="s">
        <v>3527</v>
      </c>
      <c r="B2691" s="5" t="s">
        <v>3526</v>
      </c>
      <c r="C2691" s="5" t="s">
        <v>48</v>
      </c>
      <c r="D2691" s="21">
        <v>1</v>
      </c>
      <c r="E2691" s="12">
        <v>159</v>
      </c>
      <c r="F2691" s="10" t="str">
        <f>_xlfn.XLOOKUP(C2691,menu!A:A,menu!B:B)</f>
        <v>Chicken Lollipop</v>
      </c>
      <c r="G2691" s="10" t="str">
        <f>_xlfn.XLOOKUP(C2691,menu!A:A,menu!C:C)</f>
        <v>Starters</v>
      </c>
      <c r="H2691" s="10">
        <f>_xlfn.XLOOKUP(C2691,menu!A:A,menu!E:E)</f>
        <v>48</v>
      </c>
      <c r="I2691" s="10">
        <f t="shared" ref="I2691:I2754" si="42">D2691*H2691</f>
        <v>48</v>
      </c>
      <c r="K2691" s="10"/>
      <c r="L2691" s="5"/>
    </row>
    <row r="2692" spans="1:12" x14ac:dyDescent="0.25">
      <c r="A2692" s="5" t="s">
        <v>3525</v>
      </c>
      <c r="B2692" s="5" t="s">
        <v>3521</v>
      </c>
      <c r="C2692" s="5" t="s">
        <v>17</v>
      </c>
      <c r="D2692" s="21">
        <v>3</v>
      </c>
      <c r="E2692" s="12">
        <v>267</v>
      </c>
      <c r="F2692" s="10" t="str">
        <f>_xlfn.XLOOKUP(C2692,menu!A:A,menu!B:B)</f>
        <v>Paneer Momos</v>
      </c>
      <c r="G2692" s="10" t="str">
        <f>_xlfn.XLOOKUP(C2692,menu!A:A,menu!C:C)</f>
        <v>Momos</v>
      </c>
      <c r="H2692" s="10">
        <f>_xlfn.XLOOKUP(C2692,menu!A:A,menu!E:E)</f>
        <v>27</v>
      </c>
      <c r="I2692" s="10">
        <f t="shared" si="42"/>
        <v>81</v>
      </c>
      <c r="K2692" s="10"/>
      <c r="L2692" s="5"/>
    </row>
    <row r="2693" spans="1:12" x14ac:dyDescent="0.25">
      <c r="A2693" s="5" t="s">
        <v>3524</v>
      </c>
      <c r="B2693" s="5" t="s">
        <v>3521</v>
      </c>
      <c r="C2693" s="5" t="s">
        <v>56</v>
      </c>
      <c r="D2693" s="21">
        <v>4</v>
      </c>
      <c r="E2693" s="12">
        <v>316</v>
      </c>
      <c r="F2693" s="10" t="str">
        <f>_xlfn.XLOOKUP(C2693,menu!A:A,menu!B:B)</f>
        <v>Mint Mojito</v>
      </c>
      <c r="G2693" s="10" t="str">
        <f>_xlfn.XLOOKUP(C2693,menu!A:A,menu!C:C)</f>
        <v>Beverages</v>
      </c>
      <c r="H2693" s="10">
        <f>_xlfn.XLOOKUP(C2693,menu!A:A,menu!E:E)</f>
        <v>24</v>
      </c>
      <c r="I2693" s="10">
        <f t="shared" si="42"/>
        <v>96</v>
      </c>
      <c r="K2693" s="10"/>
      <c r="L2693" s="5"/>
    </row>
    <row r="2694" spans="1:12" x14ac:dyDescent="0.25">
      <c r="A2694" s="5" t="s">
        <v>3523</v>
      </c>
      <c r="B2694" s="5" t="s">
        <v>3521</v>
      </c>
      <c r="C2694" s="5" t="s">
        <v>46</v>
      </c>
      <c r="D2694" s="21">
        <v>1</v>
      </c>
      <c r="E2694" s="12">
        <v>149</v>
      </c>
      <c r="F2694" s="10" t="str">
        <f>_xlfn.XLOOKUP(C2694,menu!A:A,menu!B:B)</f>
        <v>Fish Finger</v>
      </c>
      <c r="G2694" s="10" t="str">
        <f>_xlfn.XLOOKUP(C2694,menu!A:A,menu!C:C)</f>
        <v>Starters</v>
      </c>
      <c r="H2694" s="10">
        <f>_xlfn.XLOOKUP(C2694,menu!A:A,menu!E:E)</f>
        <v>45</v>
      </c>
      <c r="I2694" s="10">
        <f t="shared" si="42"/>
        <v>45</v>
      </c>
      <c r="K2694" s="10"/>
      <c r="L2694" s="5"/>
    </row>
    <row r="2695" spans="1:12" x14ac:dyDescent="0.25">
      <c r="A2695" s="5" t="s">
        <v>3522</v>
      </c>
      <c r="B2695" s="5" t="s">
        <v>3521</v>
      </c>
      <c r="C2695" s="5" t="s">
        <v>59</v>
      </c>
      <c r="D2695" s="21">
        <v>5</v>
      </c>
      <c r="E2695" s="12">
        <v>395</v>
      </c>
      <c r="F2695" s="10" t="str">
        <f>_xlfn.XLOOKUP(C2695,menu!A:A,menu!B:B)</f>
        <v>Blue Curacao Mojito</v>
      </c>
      <c r="G2695" s="10" t="str">
        <f>_xlfn.XLOOKUP(C2695,menu!A:A,menu!C:C)</f>
        <v>Beverages</v>
      </c>
      <c r="H2695" s="10">
        <f>_xlfn.XLOOKUP(C2695,menu!A:A,menu!E:E)</f>
        <v>24</v>
      </c>
      <c r="I2695" s="10">
        <f t="shared" si="42"/>
        <v>120</v>
      </c>
      <c r="K2695" s="10"/>
      <c r="L2695" s="5"/>
    </row>
    <row r="2696" spans="1:12" x14ac:dyDescent="0.25">
      <c r="A2696" s="5" t="s">
        <v>3520</v>
      </c>
      <c r="B2696" s="5" t="s">
        <v>3516</v>
      </c>
      <c r="C2696" s="5" t="s">
        <v>29</v>
      </c>
      <c r="D2696" s="21">
        <v>1</v>
      </c>
      <c r="E2696" s="12">
        <v>79</v>
      </c>
      <c r="F2696" s="10" t="str">
        <f>_xlfn.XLOOKUP(C2696,menu!A:A,menu!B:B)</f>
        <v>Paneer Roll</v>
      </c>
      <c r="G2696" s="10" t="str">
        <f>_xlfn.XLOOKUP(C2696,menu!A:A,menu!C:C)</f>
        <v>Rolls</v>
      </c>
      <c r="H2696" s="10">
        <f>_xlfn.XLOOKUP(C2696,menu!A:A,menu!E:E)</f>
        <v>24</v>
      </c>
      <c r="I2696" s="10">
        <f t="shared" si="42"/>
        <v>24</v>
      </c>
      <c r="K2696" s="10"/>
      <c r="L2696" s="5"/>
    </row>
    <row r="2697" spans="1:12" x14ac:dyDescent="0.25">
      <c r="A2697" s="5" t="s">
        <v>3519</v>
      </c>
      <c r="B2697" s="5" t="s">
        <v>3516</v>
      </c>
      <c r="C2697" s="5" t="s">
        <v>52</v>
      </c>
      <c r="D2697" s="21">
        <v>4</v>
      </c>
      <c r="E2697" s="12">
        <v>396</v>
      </c>
      <c r="F2697" s="10" t="str">
        <f>_xlfn.XLOOKUP(C2697,menu!A:A,menu!B:B)</f>
        <v>French Fries</v>
      </c>
      <c r="G2697" s="10" t="str">
        <f>_xlfn.XLOOKUP(C2697,menu!A:A,menu!C:C)</f>
        <v>Starters</v>
      </c>
      <c r="H2697" s="10">
        <f>_xlfn.XLOOKUP(C2697,menu!A:A,menu!E:E)</f>
        <v>30</v>
      </c>
      <c r="I2697" s="10">
        <f t="shared" si="42"/>
        <v>120</v>
      </c>
      <c r="K2697" s="10"/>
      <c r="L2697" s="5"/>
    </row>
    <row r="2698" spans="1:12" x14ac:dyDescent="0.25">
      <c r="A2698" s="5" t="s">
        <v>3518</v>
      </c>
      <c r="B2698" s="5" t="s">
        <v>3516</v>
      </c>
      <c r="C2698" s="5" t="s">
        <v>46</v>
      </c>
      <c r="D2698" s="21">
        <v>1</v>
      </c>
      <c r="E2698" s="12">
        <v>149</v>
      </c>
      <c r="F2698" s="10" t="str">
        <f>_xlfn.XLOOKUP(C2698,menu!A:A,menu!B:B)</f>
        <v>Fish Finger</v>
      </c>
      <c r="G2698" s="10" t="str">
        <f>_xlfn.XLOOKUP(C2698,menu!A:A,menu!C:C)</f>
        <v>Starters</v>
      </c>
      <c r="H2698" s="10">
        <f>_xlfn.XLOOKUP(C2698,menu!A:A,menu!E:E)</f>
        <v>45</v>
      </c>
      <c r="I2698" s="10">
        <f t="shared" si="42"/>
        <v>45</v>
      </c>
      <c r="K2698" s="10"/>
      <c r="L2698" s="5"/>
    </row>
    <row r="2699" spans="1:12" x14ac:dyDescent="0.25">
      <c r="A2699" s="5" t="s">
        <v>3517</v>
      </c>
      <c r="B2699" s="5" t="s">
        <v>3516</v>
      </c>
      <c r="C2699" s="5" t="s">
        <v>42</v>
      </c>
      <c r="D2699" s="21">
        <v>1</v>
      </c>
      <c r="E2699" s="12">
        <v>149</v>
      </c>
      <c r="F2699" s="10" t="str">
        <f>_xlfn.XLOOKUP(C2699,menu!A:A,menu!B:B)</f>
        <v>Chicken Popcorn</v>
      </c>
      <c r="G2699" s="10" t="str">
        <f>_xlfn.XLOOKUP(C2699,menu!A:A,menu!C:C)</f>
        <v>Starters</v>
      </c>
      <c r="H2699" s="10">
        <f>_xlfn.XLOOKUP(C2699,menu!A:A,menu!E:E)</f>
        <v>45</v>
      </c>
      <c r="I2699" s="10">
        <f t="shared" si="42"/>
        <v>45</v>
      </c>
      <c r="K2699" s="10"/>
      <c r="L2699" s="5"/>
    </row>
    <row r="2700" spans="1:12" x14ac:dyDescent="0.25">
      <c r="A2700" s="5" t="s">
        <v>3515</v>
      </c>
      <c r="B2700" s="5" t="s">
        <v>3512</v>
      </c>
      <c r="C2700" s="5" t="s">
        <v>48</v>
      </c>
      <c r="D2700" s="21">
        <v>1</v>
      </c>
      <c r="E2700" s="12">
        <v>159</v>
      </c>
      <c r="F2700" s="10" t="str">
        <f>_xlfn.XLOOKUP(C2700,menu!A:A,menu!B:B)</f>
        <v>Chicken Lollipop</v>
      </c>
      <c r="G2700" s="10" t="str">
        <f>_xlfn.XLOOKUP(C2700,menu!A:A,menu!C:C)</f>
        <v>Starters</v>
      </c>
      <c r="H2700" s="10">
        <f>_xlfn.XLOOKUP(C2700,menu!A:A,menu!E:E)</f>
        <v>48</v>
      </c>
      <c r="I2700" s="10">
        <f t="shared" si="42"/>
        <v>48</v>
      </c>
      <c r="K2700" s="10"/>
      <c r="L2700" s="5"/>
    </row>
    <row r="2701" spans="1:12" x14ac:dyDescent="0.25">
      <c r="A2701" s="5" t="s">
        <v>3514</v>
      </c>
      <c r="B2701" s="5" t="s">
        <v>3512</v>
      </c>
      <c r="C2701" s="5" t="s">
        <v>42</v>
      </c>
      <c r="D2701" s="21">
        <v>1</v>
      </c>
      <c r="E2701" s="12">
        <v>149</v>
      </c>
      <c r="F2701" s="10" t="str">
        <f>_xlfn.XLOOKUP(C2701,menu!A:A,menu!B:B)</f>
        <v>Chicken Popcorn</v>
      </c>
      <c r="G2701" s="10" t="str">
        <f>_xlfn.XLOOKUP(C2701,menu!A:A,menu!C:C)</f>
        <v>Starters</v>
      </c>
      <c r="H2701" s="10">
        <f>_xlfn.XLOOKUP(C2701,menu!A:A,menu!E:E)</f>
        <v>45</v>
      </c>
      <c r="I2701" s="10">
        <f t="shared" si="42"/>
        <v>45</v>
      </c>
      <c r="K2701" s="10"/>
      <c r="L2701" s="5"/>
    </row>
    <row r="2702" spans="1:12" x14ac:dyDescent="0.25">
      <c r="A2702" s="5" t="s">
        <v>3513</v>
      </c>
      <c r="B2702" s="5" t="s">
        <v>3512</v>
      </c>
      <c r="C2702" s="5" t="s">
        <v>61</v>
      </c>
      <c r="D2702" s="21">
        <v>1</v>
      </c>
      <c r="E2702" s="12">
        <v>79</v>
      </c>
      <c r="F2702" s="10" t="str">
        <f>_xlfn.XLOOKUP(C2702,menu!A:A,menu!B:B)</f>
        <v>Watermelon Mojito</v>
      </c>
      <c r="G2702" s="10" t="str">
        <f>_xlfn.XLOOKUP(C2702,menu!A:A,menu!C:C)</f>
        <v>Beverages</v>
      </c>
      <c r="H2702" s="10">
        <f>_xlfn.XLOOKUP(C2702,menu!A:A,menu!E:E)</f>
        <v>24</v>
      </c>
      <c r="I2702" s="10">
        <f t="shared" si="42"/>
        <v>24</v>
      </c>
      <c r="K2702" s="10"/>
      <c r="L2702" s="5"/>
    </row>
    <row r="2703" spans="1:12" x14ac:dyDescent="0.25">
      <c r="A2703" s="5" t="s">
        <v>3511</v>
      </c>
      <c r="B2703" s="5" t="s">
        <v>3509</v>
      </c>
      <c r="C2703" s="5" t="s">
        <v>12</v>
      </c>
      <c r="D2703" s="21">
        <v>1</v>
      </c>
      <c r="E2703" s="12">
        <v>79</v>
      </c>
      <c r="F2703" s="10" t="str">
        <f>_xlfn.XLOOKUP(C2703,menu!A:A,menu!B:B)</f>
        <v>Veg Momos</v>
      </c>
      <c r="G2703" s="10" t="str">
        <f>_xlfn.XLOOKUP(C2703,menu!A:A,menu!C:C)</f>
        <v>Momos</v>
      </c>
      <c r="H2703" s="10">
        <f>_xlfn.XLOOKUP(C2703,menu!A:A,menu!E:E)</f>
        <v>24</v>
      </c>
      <c r="I2703" s="10">
        <f t="shared" si="42"/>
        <v>24</v>
      </c>
      <c r="K2703" s="10"/>
      <c r="L2703" s="5"/>
    </row>
    <row r="2704" spans="1:12" x14ac:dyDescent="0.25">
      <c r="A2704" s="5" t="s">
        <v>3510</v>
      </c>
      <c r="B2704" s="5" t="s">
        <v>3509</v>
      </c>
      <c r="C2704" s="5" t="s">
        <v>56</v>
      </c>
      <c r="D2704" s="21">
        <v>1</v>
      </c>
      <c r="E2704" s="12">
        <v>79</v>
      </c>
      <c r="F2704" s="10" t="str">
        <f>_xlfn.XLOOKUP(C2704,menu!A:A,menu!B:B)</f>
        <v>Mint Mojito</v>
      </c>
      <c r="G2704" s="10" t="str">
        <f>_xlfn.XLOOKUP(C2704,menu!A:A,menu!C:C)</f>
        <v>Beverages</v>
      </c>
      <c r="H2704" s="10">
        <f>_xlfn.XLOOKUP(C2704,menu!A:A,menu!E:E)</f>
        <v>24</v>
      </c>
      <c r="I2704" s="10">
        <f t="shared" si="42"/>
        <v>24</v>
      </c>
      <c r="K2704" s="10"/>
      <c r="L2704" s="5"/>
    </row>
    <row r="2705" spans="1:12" x14ac:dyDescent="0.25">
      <c r="A2705" s="5" t="s">
        <v>3508</v>
      </c>
      <c r="B2705" s="5" t="s">
        <v>3504</v>
      </c>
      <c r="C2705" s="5" t="s">
        <v>63</v>
      </c>
      <c r="D2705" s="21">
        <v>4</v>
      </c>
      <c r="E2705" s="12">
        <v>316</v>
      </c>
      <c r="F2705" s="10" t="str">
        <f>_xlfn.XLOOKUP(C2705,menu!A:A,menu!B:B)</f>
        <v>Virgin Mojito</v>
      </c>
      <c r="G2705" s="10" t="str">
        <f>_xlfn.XLOOKUP(C2705,menu!A:A,menu!C:C)</f>
        <v>Beverages</v>
      </c>
      <c r="H2705" s="10">
        <f>_xlfn.XLOOKUP(C2705,menu!A:A,menu!E:E)</f>
        <v>24</v>
      </c>
      <c r="I2705" s="10">
        <f t="shared" si="42"/>
        <v>96</v>
      </c>
      <c r="K2705" s="10"/>
      <c r="L2705" s="5"/>
    </row>
    <row r="2706" spans="1:12" x14ac:dyDescent="0.25">
      <c r="A2706" s="5" t="s">
        <v>3507</v>
      </c>
      <c r="B2706" s="5" t="s">
        <v>3504</v>
      </c>
      <c r="C2706" s="5" t="s">
        <v>44</v>
      </c>
      <c r="D2706" s="21">
        <v>4</v>
      </c>
      <c r="E2706" s="12">
        <v>636</v>
      </c>
      <c r="F2706" s="10" t="str">
        <f>_xlfn.XLOOKUP(C2706,menu!A:A,menu!B:B)</f>
        <v>Fried Chicken</v>
      </c>
      <c r="G2706" s="10" t="str">
        <f>_xlfn.XLOOKUP(C2706,menu!A:A,menu!C:C)</f>
        <v>Starters</v>
      </c>
      <c r="H2706" s="10">
        <f>_xlfn.XLOOKUP(C2706,menu!A:A,menu!E:E)</f>
        <v>48</v>
      </c>
      <c r="I2706" s="10">
        <f t="shared" si="42"/>
        <v>192</v>
      </c>
      <c r="K2706" s="10"/>
      <c r="L2706" s="5"/>
    </row>
    <row r="2707" spans="1:12" x14ac:dyDescent="0.25">
      <c r="A2707" s="5" t="s">
        <v>3506</v>
      </c>
      <c r="B2707" s="5" t="s">
        <v>3504</v>
      </c>
      <c r="C2707" s="5" t="s">
        <v>65</v>
      </c>
      <c r="D2707" s="21">
        <v>1</v>
      </c>
      <c r="E2707" s="12">
        <v>49</v>
      </c>
      <c r="F2707" s="10" t="str">
        <f>_xlfn.XLOOKUP(C2707,menu!A:A,menu!B:B)</f>
        <v>Lemon Juice</v>
      </c>
      <c r="G2707" s="10" t="str">
        <f>_xlfn.XLOOKUP(C2707,menu!A:A,menu!C:C)</f>
        <v>Beverages</v>
      </c>
      <c r="H2707" s="10">
        <f>_xlfn.XLOOKUP(C2707,menu!A:A,menu!E:E)</f>
        <v>15</v>
      </c>
      <c r="I2707" s="10">
        <f t="shared" si="42"/>
        <v>15</v>
      </c>
      <c r="K2707" s="10"/>
      <c r="L2707" s="5"/>
    </row>
    <row r="2708" spans="1:12" x14ac:dyDescent="0.25">
      <c r="A2708" s="5" t="s">
        <v>3505</v>
      </c>
      <c r="B2708" s="5" t="s">
        <v>3504</v>
      </c>
      <c r="C2708" s="5" t="s">
        <v>26</v>
      </c>
      <c r="D2708" s="21">
        <v>3</v>
      </c>
      <c r="E2708" s="12">
        <v>177</v>
      </c>
      <c r="F2708" s="10" t="str">
        <f>_xlfn.XLOOKUP(C2708,menu!A:A,menu!B:B)</f>
        <v>Veg Roll</v>
      </c>
      <c r="G2708" s="10" t="str">
        <f>_xlfn.XLOOKUP(C2708,menu!A:A,menu!C:C)</f>
        <v>Rolls</v>
      </c>
      <c r="H2708" s="10">
        <f>_xlfn.XLOOKUP(C2708,menu!A:A,menu!E:E)</f>
        <v>18</v>
      </c>
      <c r="I2708" s="10">
        <f t="shared" si="42"/>
        <v>54</v>
      </c>
      <c r="K2708" s="10"/>
      <c r="L2708" s="5"/>
    </row>
    <row r="2709" spans="1:12" x14ac:dyDescent="0.25">
      <c r="A2709" s="5" t="s">
        <v>3503</v>
      </c>
      <c r="B2709" s="5" t="s">
        <v>3501</v>
      </c>
      <c r="C2709" s="5" t="s">
        <v>61</v>
      </c>
      <c r="D2709" s="21">
        <v>1</v>
      </c>
      <c r="E2709" s="12">
        <v>79</v>
      </c>
      <c r="F2709" s="10" t="str">
        <f>_xlfn.XLOOKUP(C2709,menu!A:A,menu!B:B)</f>
        <v>Watermelon Mojito</v>
      </c>
      <c r="G2709" s="10" t="str">
        <f>_xlfn.XLOOKUP(C2709,menu!A:A,menu!C:C)</f>
        <v>Beverages</v>
      </c>
      <c r="H2709" s="10">
        <f>_xlfn.XLOOKUP(C2709,menu!A:A,menu!E:E)</f>
        <v>24</v>
      </c>
      <c r="I2709" s="10">
        <f t="shared" si="42"/>
        <v>24</v>
      </c>
      <c r="K2709" s="10"/>
      <c r="L2709" s="5"/>
    </row>
    <row r="2710" spans="1:12" x14ac:dyDescent="0.25">
      <c r="A2710" s="5" t="s">
        <v>3502</v>
      </c>
      <c r="B2710" s="5" t="s">
        <v>3501</v>
      </c>
      <c r="C2710" s="5" t="s">
        <v>38</v>
      </c>
      <c r="D2710" s="21">
        <v>1</v>
      </c>
      <c r="E2710" s="12">
        <v>149</v>
      </c>
      <c r="F2710" s="10" t="str">
        <f>_xlfn.XLOOKUP(C2710,menu!A:A,menu!B:B)</f>
        <v>Chicken Wings</v>
      </c>
      <c r="G2710" s="10" t="str">
        <f>_xlfn.XLOOKUP(C2710,menu!A:A,menu!C:C)</f>
        <v>Starters</v>
      </c>
      <c r="H2710" s="10">
        <f>_xlfn.XLOOKUP(C2710,menu!A:A,menu!E:E)</f>
        <v>45</v>
      </c>
      <c r="I2710" s="10">
        <f t="shared" si="42"/>
        <v>45</v>
      </c>
      <c r="K2710" s="10"/>
      <c r="L2710" s="5"/>
    </row>
    <row r="2711" spans="1:12" x14ac:dyDescent="0.25">
      <c r="A2711" s="5" t="s">
        <v>3500</v>
      </c>
      <c r="B2711" s="5" t="s">
        <v>3498</v>
      </c>
      <c r="C2711" s="5" t="s">
        <v>56</v>
      </c>
      <c r="D2711" s="21">
        <v>5</v>
      </c>
      <c r="E2711" s="12">
        <v>395</v>
      </c>
      <c r="F2711" s="10" t="str">
        <f>_xlfn.XLOOKUP(C2711,menu!A:A,menu!B:B)</f>
        <v>Mint Mojito</v>
      </c>
      <c r="G2711" s="10" t="str">
        <f>_xlfn.XLOOKUP(C2711,menu!A:A,menu!C:C)</f>
        <v>Beverages</v>
      </c>
      <c r="H2711" s="10">
        <f>_xlfn.XLOOKUP(C2711,menu!A:A,menu!E:E)</f>
        <v>24</v>
      </c>
      <c r="I2711" s="10">
        <f t="shared" si="42"/>
        <v>120</v>
      </c>
      <c r="K2711" s="10"/>
      <c r="L2711" s="5"/>
    </row>
    <row r="2712" spans="1:12" x14ac:dyDescent="0.25">
      <c r="A2712" s="5" t="s">
        <v>3499</v>
      </c>
      <c r="B2712" s="5" t="s">
        <v>3498</v>
      </c>
      <c r="C2712" s="5" t="s">
        <v>50</v>
      </c>
      <c r="D2712" s="21">
        <v>2</v>
      </c>
      <c r="E2712" s="12">
        <v>298</v>
      </c>
      <c r="F2712" s="10" t="str">
        <f>_xlfn.XLOOKUP(C2712,menu!A:A,menu!B:B)</f>
        <v>Grab Lollipop</v>
      </c>
      <c r="G2712" s="10" t="str">
        <f>_xlfn.XLOOKUP(C2712,menu!A:A,menu!C:C)</f>
        <v>Starters</v>
      </c>
      <c r="H2712" s="10">
        <f>_xlfn.XLOOKUP(C2712,menu!A:A,menu!E:E)</f>
        <v>45</v>
      </c>
      <c r="I2712" s="10">
        <f t="shared" si="42"/>
        <v>90</v>
      </c>
      <c r="K2712" s="10"/>
      <c r="L2712" s="5"/>
    </row>
    <row r="2713" spans="1:12" x14ac:dyDescent="0.25">
      <c r="A2713" s="5" t="s">
        <v>3497</v>
      </c>
      <c r="B2713" s="5" t="s">
        <v>3494</v>
      </c>
      <c r="C2713" s="5" t="s">
        <v>19</v>
      </c>
      <c r="D2713" s="21">
        <v>1</v>
      </c>
      <c r="E2713" s="12">
        <v>79</v>
      </c>
      <c r="F2713" s="10" t="str">
        <f>_xlfn.XLOOKUP(C2713,menu!A:A,menu!B:B)</f>
        <v>Veg Burger</v>
      </c>
      <c r="G2713" s="10" t="str">
        <f>_xlfn.XLOOKUP(C2713,menu!A:A,menu!C:C)</f>
        <v>Burger</v>
      </c>
      <c r="H2713" s="10">
        <f>_xlfn.XLOOKUP(C2713,menu!A:A,menu!E:E)</f>
        <v>24</v>
      </c>
      <c r="I2713" s="10">
        <f t="shared" si="42"/>
        <v>24</v>
      </c>
      <c r="K2713" s="10"/>
      <c r="L2713" s="5"/>
    </row>
    <row r="2714" spans="1:12" x14ac:dyDescent="0.25">
      <c r="A2714" s="5" t="s">
        <v>3496</v>
      </c>
      <c r="B2714" s="5" t="s">
        <v>3494</v>
      </c>
      <c r="C2714" s="5" t="s">
        <v>63</v>
      </c>
      <c r="D2714" s="21">
        <v>2</v>
      </c>
      <c r="E2714" s="12">
        <v>158</v>
      </c>
      <c r="F2714" s="10" t="str">
        <f>_xlfn.XLOOKUP(C2714,menu!A:A,menu!B:B)</f>
        <v>Virgin Mojito</v>
      </c>
      <c r="G2714" s="10" t="str">
        <f>_xlfn.XLOOKUP(C2714,menu!A:A,menu!C:C)</f>
        <v>Beverages</v>
      </c>
      <c r="H2714" s="10">
        <f>_xlfn.XLOOKUP(C2714,menu!A:A,menu!E:E)</f>
        <v>24</v>
      </c>
      <c r="I2714" s="10">
        <f t="shared" si="42"/>
        <v>48</v>
      </c>
      <c r="K2714" s="10"/>
      <c r="L2714" s="5"/>
    </row>
    <row r="2715" spans="1:12" x14ac:dyDescent="0.25">
      <c r="A2715" s="5" t="s">
        <v>3495</v>
      </c>
      <c r="B2715" s="5" t="s">
        <v>3494</v>
      </c>
      <c r="C2715" s="5" t="s">
        <v>31</v>
      </c>
      <c r="D2715" s="21">
        <v>1</v>
      </c>
      <c r="E2715" s="12">
        <v>89</v>
      </c>
      <c r="F2715" s="10" t="str">
        <f>_xlfn.XLOOKUP(C2715,menu!A:A,menu!B:B)</f>
        <v>Chicken Roll</v>
      </c>
      <c r="G2715" s="10" t="str">
        <f>_xlfn.XLOOKUP(C2715,menu!A:A,menu!C:C)</f>
        <v>Rolls</v>
      </c>
      <c r="H2715" s="10">
        <f>_xlfn.XLOOKUP(C2715,menu!A:A,menu!E:E)</f>
        <v>27</v>
      </c>
      <c r="I2715" s="10">
        <f t="shared" si="42"/>
        <v>27</v>
      </c>
      <c r="K2715" s="10"/>
      <c r="L2715" s="5"/>
    </row>
    <row r="2716" spans="1:12" x14ac:dyDescent="0.25">
      <c r="A2716" s="5" t="s">
        <v>3493</v>
      </c>
      <c r="B2716" s="5" t="s">
        <v>3491</v>
      </c>
      <c r="C2716" s="5" t="s">
        <v>65</v>
      </c>
      <c r="D2716" s="21">
        <v>1</v>
      </c>
      <c r="E2716" s="12">
        <v>49</v>
      </c>
      <c r="F2716" s="10" t="str">
        <f>_xlfn.XLOOKUP(C2716,menu!A:A,menu!B:B)</f>
        <v>Lemon Juice</v>
      </c>
      <c r="G2716" s="10" t="str">
        <f>_xlfn.XLOOKUP(C2716,menu!A:A,menu!C:C)</f>
        <v>Beverages</v>
      </c>
      <c r="H2716" s="10">
        <f>_xlfn.XLOOKUP(C2716,menu!A:A,menu!E:E)</f>
        <v>15</v>
      </c>
      <c r="I2716" s="10">
        <f t="shared" si="42"/>
        <v>15</v>
      </c>
      <c r="K2716" s="10"/>
      <c r="L2716" s="5"/>
    </row>
    <row r="2717" spans="1:12" x14ac:dyDescent="0.25">
      <c r="A2717" s="5" t="s">
        <v>3492</v>
      </c>
      <c r="B2717" s="5" t="s">
        <v>3491</v>
      </c>
      <c r="C2717" s="5" t="s">
        <v>26</v>
      </c>
      <c r="D2717" s="21">
        <v>1</v>
      </c>
      <c r="E2717" s="12">
        <v>59</v>
      </c>
      <c r="F2717" s="10" t="str">
        <f>_xlfn.XLOOKUP(C2717,menu!A:A,menu!B:B)</f>
        <v>Veg Roll</v>
      </c>
      <c r="G2717" s="10" t="str">
        <f>_xlfn.XLOOKUP(C2717,menu!A:A,menu!C:C)</f>
        <v>Rolls</v>
      </c>
      <c r="H2717" s="10">
        <f>_xlfn.XLOOKUP(C2717,menu!A:A,menu!E:E)</f>
        <v>18</v>
      </c>
      <c r="I2717" s="10">
        <f t="shared" si="42"/>
        <v>18</v>
      </c>
      <c r="K2717" s="10"/>
      <c r="L2717" s="5"/>
    </row>
    <row r="2718" spans="1:12" x14ac:dyDescent="0.25">
      <c r="A2718" s="5" t="s">
        <v>3490</v>
      </c>
      <c r="B2718" s="5" t="s">
        <v>3487</v>
      </c>
      <c r="C2718" s="5" t="s">
        <v>10</v>
      </c>
      <c r="D2718" s="21">
        <v>3</v>
      </c>
      <c r="E2718" s="12">
        <v>357</v>
      </c>
      <c r="F2718" s="10" t="str">
        <f>_xlfn.XLOOKUP(C2718,menu!A:A,menu!B:B)</f>
        <v>Chicken Sandwich</v>
      </c>
      <c r="G2718" s="10" t="str">
        <f>_xlfn.XLOOKUP(C2718,menu!A:A,menu!C:C)</f>
        <v>Sandwich</v>
      </c>
      <c r="H2718" s="10">
        <f>_xlfn.XLOOKUP(C2718,menu!A:A,menu!E:E)</f>
        <v>36</v>
      </c>
      <c r="I2718" s="10">
        <f t="shared" si="42"/>
        <v>108</v>
      </c>
      <c r="K2718" s="10"/>
      <c r="L2718" s="5"/>
    </row>
    <row r="2719" spans="1:12" x14ac:dyDescent="0.25">
      <c r="A2719" s="5" t="s">
        <v>3489</v>
      </c>
      <c r="B2719" s="5" t="s">
        <v>3487</v>
      </c>
      <c r="C2719" s="5" t="s">
        <v>54</v>
      </c>
      <c r="D2719" s="21">
        <v>1</v>
      </c>
      <c r="E2719" s="12">
        <v>139</v>
      </c>
      <c r="F2719" s="10" t="str">
        <f>_xlfn.XLOOKUP(C2719,menu!A:A,menu!B:B)</f>
        <v>Chicken Strips</v>
      </c>
      <c r="G2719" s="10" t="str">
        <f>_xlfn.XLOOKUP(C2719,menu!A:A,menu!C:C)</f>
        <v>Starters</v>
      </c>
      <c r="H2719" s="10">
        <f>_xlfn.XLOOKUP(C2719,menu!A:A,menu!E:E)</f>
        <v>42</v>
      </c>
      <c r="I2719" s="10">
        <f t="shared" si="42"/>
        <v>42</v>
      </c>
      <c r="K2719" s="10"/>
      <c r="L2719" s="5"/>
    </row>
    <row r="2720" spans="1:12" x14ac:dyDescent="0.25">
      <c r="A2720" s="5" t="s">
        <v>3488</v>
      </c>
      <c r="B2720" s="5" t="s">
        <v>3487</v>
      </c>
      <c r="C2720" s="5" t="s">
        <v>24</v>
      </c>
      <c r="D2720" s="21">
        <v>1</v>
      </c>
      <c r="E2720" s="12">
        <v>89</v>
      </c>
      <c r="F2720" s="10" t="str">
        <f>_xlfn.XLOOKUP(C2720,menu!A:A,menu!B:B)</f>
        <v>Paneer Burger</v>
      </c>
      <c r="G2720" s="10" t="str">
        <f>_xlfn.XLOOKUP(C2720,menu!A:A,menu!C:C)</f>
        <v>Burger</v>
      </c>
      <c r="H2720" s="10">
        <f>_xlfn.XLOOKUP(C2720,menu!A:A,menu!E:E)</f>
        <v>27</v>
      </c>
      <c r="I2720" s="10">
        <f t="shared" si="42"/>
        <v>27</v>
      </c>
      <c r="K2720" s="10"/>
      <c r="L2720" s="5"/>
    </row>
    <row r="2721" spans="1:12" x14ac:dyDescent="0.25">
      <c r="A2721" s="5" t="s">
        <v>3486</v>
      </c>
      <c r="B2721" s="5" t="s">
        <v>3484</v>
      </c>
      <c r="C2721" s="5" t="s">
        <v>5</v>
      </c>
      <c r="D2721" s="21">
        <v>1</v>
      </c>
      <c r="E2721" s="12">
        <v>79</v>
      </c>
      <c r="F2721" s="10" t="str">
        <f>_xlfn.XLOOKUP(C2721,menu!A:A,menu!B:B)</f>
        <v>Veg Sandwich</v>
      </c>
      <c r="G2721" s="10" t="str">
        <f>_xlfn.XLOOKUP(C2721,menu!A:A,menu!C:C)</f>
        <v>Sandwich</v>
      </c>
      <c r="H2721" s="10">
        <f>_xlfn.XLOOKUP(C2721,menu!A:A,menu!E:E)</f>
        <v>24</v>
      </c>
      <c r="I2721" s="10">
        <f t="shared" si="42"/>
        <v>24</v>
      </c>
      <c r="K2721" s="10"/>
      <c r="L2721" s="5"/>
    </row>
    <row r="2722" spans="1:12" x14ac:dyDescent="0.25">
      <c r="A2722" s="5" t="s">
        <v>3485</v>
      </c>
      <c r="B2722" s="5" t="s">
        <v>3484</v>
      </c>
      <c r="C2722" s="5" t="s">
        <v>56</v>
      </c>
      <c r="D2722" s="21">
        <v>1</v>
      </c>
      <c r="E2722" s="12">
        <v>79</v>
      </c>
      <c r="F2722" s="10" t="str">
        <f>_xlfn.XLOOKUP(C2722,menu!A:A,menu!B:B)</f>
        <v>Mint Mojito</v>
      </c>
      <c r="G2722" s="10" t="str">
        <f>_xlfn.XLOOKUP(C2722,menu!A:A,menu!C:C)</f>
        <v>Beverages</v>
      </c>
      <c r="H2722" s="10">
        <f>_xlfn.XLOOKUP(C2722,menu!A:A,menu!E:E)</f>
        <v>24</v>
      </c>
      <c r="I2722" s="10">
        <f t="shared" si="42"/>
        <v>24</v>
      </c>
      <c r="K2722" s="10"/>
      <c r="L2722" s="5"/>
    </row>
    <row r="2723" spans="1:12" x14ac:dyDescent="0.25">
      <c r="A2723" s="5" t="s">
        <v>3483</v>
      </c>
      <c r="B2723" s="5" t="s">
        <v>3481</v>
      </c>
      <c r="C2723" s="5" t="s">
        <v>40</v>
      </c>
      <c r="D2723" s="21">
        <v>2</v>
      </c>
      <c r="E2723" s="12">
        <v>198</v>
      </c>
      <c r="F2723" s="10" t="str">
        <f>_xlfn.XLOOKUP(C2723,menu!A:A,menu!B:B)</f>
        <v>Veg Nuggets</v>
      </c>
      <c r="G2723" s="10" t="str">
        <f>_xlfn.XLOOKUP(C2723,menu!A:A,menu!C:C)</f>
        <v>Starters</v>
      </c>
      <c r="H2723" s="10">
        <f>_xlfn.XLOOKUP(C2723,menu!A:A,menu!E:E)</f>
        <v>30</v>
      </c>
      <c r="I2723" s="10">
        <f t="shared" si="42"/>
        <v>60</v>
      </c>
      <c r="K2723" s="10"/>
      <c r="L2723" s="5"/>
    </row>
    <row r="2724" spans="1:12" x14ac:dyDescent="0.25">
      <c r="A2724" s="5" t="s">
        <v>3482</v>
      </c>
      <c r="B2724" s="5" t="s">
        <v>3481</v>
      </c>
      <c r="C2724" s="5" t="s">
        <v>65</v>
      </c>
      <c r="D2724" s="21">
        <v>3</v>
      </c>
      <c r="E2724" s="12">
        <v>147</v>
      </c>
      <c r="F2724" s="10" t="str">
        <f>_xlfn.XLOOKUP(C2724,menu!A:A,menu!B:B)</f>
        <v>Lemon Juice</v>
      </c>
      <c r="G2724" s="10" t="str">
        <f>_xlfn.XLOOKUP(C2724,menu!A:A,menu!C:C)</f>
        <v>Beverages</v>
      </c>
      <c r="H2724" s="10">
        <f>_xlfn.XLOOKUP(C2724,menu!A:A,menu!E:E)</f>
        <v>15</v>
      </c>
      <c r="I2724" s="10">
        <f t="shared" si="42"/>
        <v>45</v>
      </c>
      <c r="K2724" s="10"/>
      <c r="L2724" s="5"/>
    </row>
    <row r="2725" spans="1:12" x14ac:dyDescent="0.25">
      <c r="A2725" s="5" t="s">
        <v>3480</v>
      </c>
      <c r="B2725" s="5" t="s">
        <v>3478</v>
      </c>
      <c r="C2725" s="5" t="s">
        <v>54</v>
      </c>
      <c r="D2725" s="21">
        <v>3</v>
      </c>
      <c r="E2725" s="12">
        <v>417</v>
      </c>
      <c r="F2725" s="10" t="str">
        <f>_xlfn.XLOOKUP(C2725,menu!A:A,menu!B:B)</f>
        <v>Chicken Strips</v>
      </c>
      <c r="G2725" s="10" t="str">
        <f>_xlfn.XLOOKUP(C2725,menu!A:A,menu!C:C)</f>
        <v>Starters</v>
      </c>
      <c r="H2725" s="10">
        <f>_xlfn.XLOOKUP(C2725,menu!A:A,menu!E:E)</f>
        <v>42</v>
      </c>
      <c r="I2725" s="10">
        <f t="shared" si="42"/>
        <v>126</v>
      </c>
      <c r="K2725" s="10"/>
      <c r="L2725" s="5"/>
    </row>
    <row r="2726" spans="1:12" x14ac:dyDescent="0.25">
      <c r="A2726" s="5" t="s">
        <v>3479</v>
      </c>
      <c r="B2726" s="5" t="s">
        <v>3478</v>
      </c>
      <c r="C2726" s="5" t="s">
        <v>33</v>
      </c>
      <c r="D2726" s="21">
        <v>1</v>
      </c>
      <c r="E2726" s="12">
        <v>69</v>
      </c>
      <c r="F2726" s="10" t="str">
        <f>_xlfn.XLOOKUP(C2726,menu!A:A,menu!B:B)</f>
        <v>Spring Roll</v>
      </c>
      <c r="G2726" s="10" t="str">
        <f>_xlfn.XLOOKUP(C2726,menu!A:A,menu!C:C)</f>
        <v>Rolls</v>
      </c>
      <c r="H2726" s="10">
        <f>_xlfn.XLOOKUP(C2726,menu!A:A,menu!E:E)</f>
        <v>21</v>
      </c>
      <c r="I2726" s="10">
        <f t="shared" si="42"/>
        <v>21</v>
      </c>
      <c r="K2726" s="10"/>
      <c r="L2726" s="5"/>
    </row>
    <row r="2727" spans="1:12" x14ac:dyDescent="0.25">
      <c r="A2727" s="5" t="s">
        <v>3477</v>
      </c>
      <c r="B2727" s="5" t="s">
        <v>3475</v>
      </c>
      <c r="C2727" s="5" t="s">
        <v>12</v>
      </c>
      <c r="D2727" s="21">
        <v>3</v>
      </c>
      <c r="E2727" s="12">
        <v>237</v>
      </c>
      <c r="F2727" s="10" t="str">
        <f>_xlfn.XLOOKUP(C2727,menu!A:A,menu!B:B)</f>
        <v>Veg Momos</v>
      </c>
      <c r="G2727" s="10" t="str">
        <f>_xlfn.XLOOKUP(C2727,menu!A:A,menu!C:C)</f>
        <v>Momos</v>
      </c>
      <c r="H2727" s="10">
        <f>_xlfn.XLOOKUP(C2727,menu!A:A,menu!E:E)</f>
        <v>24</v>
      </c>
      <c r="I2727" s="10">
        <f t="shared" si="42"/>
        <v>72</v>
      </c>
      <c r="K2727" s="10"/>
      <c r="L2727" s="5"/>
    </row>
    <row r="2728" spans="1:12" x14ac:dyDescent="0.25">
      <c r="A2728" s="5" t="s">
        <v>3476</v>
      </c>
      <c r="B2728" s="5" t="s">
        <v>3475</v>
      </c>
      <c r="C2728" s="5" t="s">
        <v>59</v>
      </c>
      <c r="D2728" s="21">
        <v>3</v>
      </c>
      <c r="E2728" s="12">
        <v>237</v>
      </c>
      <c r="F2728" s="10" t="str">
        <f>_xlfn.XLOOKUP(C2728,menu!A:A,menu!B:B)</f>
        <v>Blue Curacao Mojito</v>
      </c>
      <c r="G2728" s="10" t="str">
        <f>_xlfn.XLOOKUP(C2728,menu!A:A,menu!C:C)</f>
        <v>Beverages</v>
      </c>
      <c r="H2728" s="10">
        <f>_xlfn.XLOOKUP(C2728,menu!A:A,menu!E:E)</f>
        <v>24</v>
      </c>
      <c r="I2728" s="10">
        <f t="shared" si="42"/>
        <v>72</v>
      </c>
      <c r="K2728" s="10"/>
      <c r="L2728" s="5"/>
    </row>
    <row r="2729" spans="1:12" x14ac:dyDescent="0.25">
      <c r="A2729" s="5" t="s">
        <v>3474</v>
      </c>
      <c r="B2729" s="5" t="s">
        <v>3471</v>
      </c>
      <c r="C2729" s="5" t="s">
        <v>17</v>
      </c>
      <c r="D2729" s="21">
        <v>3</v>
      </c>
      <c r="E2729" s="12">
        <v>267</v>
      </c>
      <c r="F2729" s="10" t="str">
        <f>_xlfn.XLOOKUP(C2729,menu!A:A,menu!B:B)</f>
        <v>Paneer Momos</v>
      </c>
      <c r="G2729" s="10" t="str">
        <f>_xlfn.XLOOKUP(C2729,menu!A:A,menu!C:C)</f>
        <v>Momos</v>
      </c>
      <c r="H2729" s="10">
        <f>_xlfn.XLOOKUP(C2729,menu!A:A,menu!E:E)</f>
        <v>27</v>
      </c>
      <c r="I2729" s="10">
        <f t="shared" si="42"/>
        <v>81</v>
      </c>
      <c r="K2729" s="10"/>
      <c r="L2729" s="5"/>
    </row>
    <row r="2730" spans="1:12" x14ac:dyDescent="0.25">
      <c r="A2730" s="5" t="s">
        <v>3473</v>
      </c>
      <c r="B2730" s="5" t="s">
        <v>3471</v>
      </c>
      <c r="C2730" s="5" t="s">
        <v>59</v>
      </c>
      <c r="D2730" s="21">
        <v>2</v>
      </c>
      <c r="E2730" s="12">
        <v>158</v>
      </c>
      <c r="F2730" s="10" t="str">
        <f>_xlfn.XLOOKUP(C2730,menu!A:A,menu!B:B)</f>
        <v>Blue Curacao Mojito</v>
      </c>
      <c r="G2730" s="10" t="str">
        <f>_xlfn.XLOOKUP(C2730,menu!A:A,menu!C:C)</f>
        <v>Beverages</v>
      </c>
      <c r="H2730" s="10">
        <f>_xlfn.XLOOKUP(C2730,menu!A:A,menu!E:E)</f>
        <v>24</v>
      </c>
      <c r="I2730" s="10">
        <f t="shared" si="42"/>
        <v>48</v>
      </c>
      <c r="K2730" s="10"/>
      <c r="L2730" s="5"/>
    </row>
    <row r="2731" spans="1:12" x14ac:dyDescent="0.25">
      <c r="A2731" s="5" t="s">
        <v>3472</v>
      </c>
      <c r="B2731" s="5" t="s">
        <v>3471</v>
      </c>
      <c r="C2731" s="5" t="s">
        <v>29</v>
      </c>
      <c r="D2731" s="21">
        <v>4</v>
      </c>
      <c r="E2731" s="12">
        <v>316</v>
      </c>
      <c r="F2731" s="10" t="str">
        <f>_xlfn.XLOOKUP(C2731,menu!A:A,menu!B:B)</f>
        <v>Paneer Roll</v>
      </c>
      <c r="G2731" s="10" t="str">
        <f>_xlfn.XLOOKUP(C2731,menu!A:A,menu!C:C)</f>
        <v>Rolls</v>
      </c>
      <c r="H2731" s="10">
        <f>_xlfn.XLOOKUP(C2731,menu!A:A,menu!E:E)</f>
        <v>24</v>
      </c>
      <c r="I2731" s="10">
        <f t="shared" si="42"/>
        <v>96</v>
      </c>
      <c r="K2731" s="10"/>
      <c r="L2731" s="5"/>
    </row>
    <row r="2732" spans="1:12" x14ac:dyDescent="0.25">
      <c r="A2732" s="5" t="s">
        <v>3470</v>
      </c>
      <c r="B2732" s="5" t="s">
        <v>3467</v>
      </c>
      <c r="C2732" s="5" t="s">
        <v>40</v>
      </c>
      <c r="D2732" s="21">
        <v>4</v>
      </c>
      <c r="E2732" s="12">
        <v>396</v>
      </c>
      <c r="F2732" s="10" t="str">
        <f>_xlfn.XLOOKUP(C2732,menu!A:A,menu!B:B)</f>
        <v>Veg Nuggets</v>
      </c>
      <c r="G2732" s="10" t="str">
        <f>_xlfn.XLOOKUP(C2732,menu!A:A,menu!C:C)</f>
        <v>Starters</v>
      </c>
      <c r="H2732" s="10">
        <f>_xlfn.XLOOKUP(C2732,menu!A:A,menu!E:E)</f>
        <v>30</v>
      </c>
      <c r="I2732" s="10">
        <f t="shared" si="42"/>
        <v>120</v>
      </c>
      <c r="K2732" s="10"/>
      <c r="L2732" s="5"/>
    </row>
    <row r="2733" spans="1:12" x14ac:dyDescent="0.25">
      <c r="A2733" s="5" t="s">
        <v>3469</v>
      </c>
      <c r="B2733" s="5" t="s">
        <v>3467</v>
      </c>
      <c r="C2733" s="5" t="s">
        <v>26</v>
      </c>
      <c r="D2733" s="21">
        <v>2</v>
      </c>
      <c r="E2733" s="12">
        <v>118</v>
      </c>
      <c r="F2733" s="10" t="str">
        <f>_xlfn.XLOOKUP(C2733,menu!A:A,menu!B:B)</f>
        <v>Veg Roll</v>
      </c>
      <c r="G2733" s="10" t="str">
        <f>_xlfn.XLOOKUP(C2733,menu!A:A,menu!C:C)</f>
        <v>Rolls</v>
      </c>
      <c r="H2733" s="10">
        <f>_xlfn.XLOOKUP(C2733,menu!A:A,menu!E:E)</f>
        <v>18</v>
      </c>
      <c r="I2733" s="10">
        <f t="shared" si="42"/>
        <v>36</v>
      </c>
      <c r="K2733" s="10"/>
      <c r="L2733" s="5"/>
    </row>
    <row r="2734" spans="1:12" x14ac:dyDescent="0.25">
      <c r="A2734" s="5" t="s">
        <v>3468</v>
      </c>
      <c r="B2734" s="5" t="s">
        <v>3467</v>
      </c>
      <c r="C2734" s="5" t="s">
        <v>48</v>
      </c>
      <c r="D2734" s="21">
        <v>2</v>
      </c>
      <c r="E2734" s="12">
        <v>318</v>
      </c>
      <c r="F2734" s="10" t="str">
        <f>_xlfn.XLOOKUP(C2734,menu!A:A,menu!B:B)</f>
        <v>Chicken Lollipop</v>
      </c>
      <c r="G2734" s="10" t="str">
        <f>_xlfn.XLOOKUP(C2734,menu!A:A,menu!C:C)</f>
        <v>Starters</v>
      </c>
      <c r="H2734" s="10">
        <f>_xlfn.XLOOKUP(C2734,menu!A:A,menu!E:E)</f>
        <v>48</v>
      </c>
      <c r="I2734" s="10">
        <f t="shared" si="42"/>
        <v>96</v>
      </c>
      <c r="K2734" s="10"/>
      <c r="L2734" s="5"/>
    </row>
    <row r="2735" spans="1:12" x14ac:dyDescent="0.25">
      <c r="A2735" s="5" t="s">
        <v>3466</v>
      </c>
      <c r="B2735" s="5" t="s">
        <v>3462</v>
      </c>
      <c r="C2735" s="5" t="s">
        <v>48</v>
      </c>
      <c r="D2735" s="21">
        <v>1</v>
      </c>
      <c r="E2735" s="12">
        <v>159</v>
      </c>
      <c r="F2735" s="10" t="str">
        <f>_xlfn.XLOOKUP(C2735,menu!A:A,menu!B:B)</f>
        <v>Chicken Lollipop</v>
      </c>
      <c r="G2735" s="10" t="str">
        <f>_xlfn.XLOOKUP(C2735,menu!A:A,menu!C:C)</f>
        <v>Starters</v>
      </c>
      <c r="H2735" s="10">
        <f>_xlfn.XLOOKUP(C2735,menu!A:A,menu!E:E)</f>
        <v>48</v>
      </c>
      <c r="I2735" s="10">
        <f t="shared" si="42"/>
        <v>48</v>
      </c>
      <c r="K2735" s="10"/>
      <c r="L2735" s="5"/>
    </row>
    <row r="2736" spans="1:12" x14ac:dyDescent="0.25">
      <c r="A2736" s="5" t="s">
        <v>3465</v>
      </c>
      <c r="B2736" s="5" t="s">
        <v>3462</v>
      </c>
      <c r="C2736" s="5" t="s">
        <v>50</v>
      </c>
      <c r="D2736" s="21">
        <v>5</v>
      </c>
      <c r="E2736" s="12">
        <v>745</v>
      </c>
      <c r="F2736" s="10" t="str">
        <f>_xlfn.XLOOKUP(C2736,menu!A:A,menu!B:B)</f>
        <v>Grab Lollipop</v>
      </c>
      <c r="G2736" s="10" t="str">
        <f>_xlfn.XLOOKUP(C2736,menu!A:A,menu!C:C)</f>
        <v>Starters</v>
      </c>
      <c r="H2736" s="10">
        <f>_xlfn.XLOOKUP(C2736,menu!A:A,menu!E:E)</f>
        <v>45</v>
      </c>
      <c r="I2736" s="10">
        <f t="shared" si="42"/>
        <v>225</v>
      </c>
      <c r="K2736" s="10"/>
      <c r="L2736" s="5"/>
    </row>
    <row r="2737" spans="1:12" x14ac:dyDescent="0.25">
      <c r="A2737" s="5" t="s">
        <v>3464</v>
      </c>
      <c r="B2737" s="5" t="s">
        <v>3462</v>
      </c>
      <c r="C2737" s="5" t="s">
        <v>54</v>
      </c>
      <c r="D2737" s="21">
        <v>2</v>
      </c>
      <c r="E2737" s="12">
        <v>278</v>
      </c>
      <c r="F2737" s="10" t="str">
        <f>_xlfn.XLOOKUP(C2737,menu!A:A,menu!B:B)</f>
        <v>Chicken Strips</v>
      </c>
      <c r="G2737" s="10" t="str">
        <f>_xlfn.XLOOKUP(C2737,menu!A:A,menu!C:C)</f>
        <v>Starters</v>
      </c>
      <c r="H2737" s="10">
        <f>_xlfn.XLOOKUP(C2737,menu!A:A,menu!E:E)</f>
        <v>42</v>
      </c>
      <c r="I2737" s="10">
        <f t="shared" si="42"/>
        <v>84</v>
      </c>
      <c r="K2737" s="10"/>
      <c r="L2737" s="5"/>
    </row>
    <row r="2738" spans="1:12" x14ac:dyDescent="0.25">
      <c r="A2738" s="5" t="s">
        <v>3463</v>
      </c>
      <c r="B2738" s="5" t="s">
        <v>3462</v>
      </c>
      <c r="C2738" s="5" t="s">
        <v>38</v>
      </c>
      <c r="D2738" s="21">
        <v>1</v>
      </c>
      <c r="E2738" s="12">
        <v>149</v>
      </c>
      <c r="F2738" s="10" t="str">
        <f>_xlfn.XLOOKUP(C2738,menu!A:A,menu!B:B)</f>
        <v>Chicken Wings</v>
      </c>
      <c r="G2738" s="10" t="str">
        <f>_xlfn.XLOOKUP(C2738,menu!A:A,menu!C:C)</f>
        <v>Starters</v>
      </c>
      <c r="H2738" s="10">
        <f>_xlfn.XLOOKUP(C2738,menu!A:A,menu!E:E)</f>
        <v>45</v>
      </c>
      <c r="I2738" s="10">
        <f t="shared" si="42"/>
        <v>45</v>
      </c>
      <c r="K2738" s="10"/>
      <c r="L2738" s="5"/>
    </row>
    <row r="2739" spans="1:12" x14ac:dyDescent="0.25">
      <c r="A2739" s="5" t="s">
        <v>3461</v>
      </c>
      <c r="B2739" s="5" t="s">
        <v>3458</v>
      </c>
      <c r="C2739" s="5" t="s">
        <v>15</v>
      </c>
      <c r="D2739" s="21">
        <v>2</v>
      </c>
      <c r="E2739" s="12">
        <v>198</v>
      </c>
      <c r="F2739" s="10" t="str">
        <f>_xlfn.XLOOKUP(C2739,menu!A:A,menu!B:B)</f>
        <v>Chicken Momos</v>
      </c>
      <c r="G2739" s="10" t="str">
        <f>_xlfn.XLOOKUP(C2739,menu!A:A,menu!C:C)</f>
        <v>Momos</v>
      </c>
      <c r="H2739" s="10">
        <f>_xlfn.XLOOKUP(C2739,menu!A:A,menu!E:E)</f>
        <v>30</v>
      </c>
      <c r="I2739" s="10">
        <f t="shared" si="42"/>
        <v>60</v>
      </c>
      <c r="K2739" s="10"/>
      <c r="L2739" s="5"/>
    </row>
    <row r="2740" spans="1:12" x14ac:dyDescent="0.25">
      <c r="A2740" s="5" t="s">
        <v>3460</v>
      </c>
      <c r="B2740" s="5" t="s">
        <v>3458</v>
      </c>
      <c r="C2740" s="5" t="s">
        <v>65</v>
      </c>
      <c r="D2740" s="21">
        <v>1</v>
      </c>
      <c r="E2740" s="12">
        <v>49</v>
      </c>
      <c r="F2740" s="10" t="str">
        <f>_xlfn.XLOOKUP(C2740,menu!A:A,menu!B:B)</f>
        <v>Lemon Juice</v>
      </c>
      <c r="G2740" s="10" t="str">
        <f>_xlfn.XLOOKUP(C2740,menu!A:A,menu!C:C)</f>
        <v>Beverages</v>
      </c>
      <c r="H2740" s="10">
        <f>_xlfn.XLOOKUP(C2740,menu!A:A,menu!E:E)</f>
        <v>15</v>
      </c>
      <c r="I2740" s="10">
        <f t="shared" si="42"/>
        <v>15</v>
      </c>
      <c r="K2740" s="10"/>
      <c r="L2740" s="5"/>
    </row>
    <row r="2741" spans="1:12" x14ac:dyDescent="0.25">
      <c r="A2741" s="5" t="s">
        <v>3459</v>
      </c>
      <c r="B2741" s="5" t="s">
        <v>3458</v>
      </c>
      <c r="C2741" s="5" t="s">
        <v>48</v>
      </c>
      <c r="D2741" s="21">
        <v>1</v>
      </c>
      <c r="E2741" s="12">
        <v>159</v>
      </c>
      <c r="F2741" s="10" t="str">
        <f>_xlfn.XLOOKUP(C2741,menu!A:A,menu!B:B)</f>
        <v>Chicken Lollipop</v>
      </c>
      <c r="G2741" s="10" t="str">
        <f>_xlfn.XLOOKUP(C2741,menu!A:A,menu!C:C)</f>
        <v>Starters</v>
      </c>
      <c r="H2741" s="10">
        <f>_xlfn.XLOOKUP(C2741,menu!A:A,menu!E:E)</f>
        <v>48</v>
      </c>
      <c r="I2741" s="10">
        <f t="shared" si="42"/>
        <v>48</v>
      </c>
      <c r="K2741" s="10"/>
      <c r="L2741" s="5"/>
    </row>
    <row r="2742" spans="1:12" x14ac:dyDescent="0.25">
      <c r="A2742" s="5" t="s">
        <v>3457</v>
      </c>
      <c r="B2742" s="5" t="s">
        <v>3456</v>
      </c>
      <c r="C2742" s="5" t="s">
        <v>10</v>
      </c>
      <c r="D2742" s="21">
        <v>1</v>
      </c>
      <c r="E2742" s="12">
        <v>119</v>
      </c>
      <c r="F2742" s="10" t="str">
        <f>_xlfn.XLOOKUP(C2742,menu!A:A,menu!B:B)</f>
        <v>Chicken Sandwich</v>
      </c>
      <c r="G2742" s="10" t="str">
        <f>_xlfn.XLOOKUP(C2742,menu!A:A,menu!C:C)</f>
        <v>Sandwich</v>
      </c>
      <c r="H2742" s="10">
        <f>_xlfn.XLOOKUP(C2742,menu!A:A,menu!E:E)</f>
        <v>36</v>
      </c>
      <c r="I2742" s="10">
        <f t="shared" si="42"/>
        <v>36</v>
      </c>
      <c r="K2742" s="10"/>
      <c r="L2742" s="5"/>
    </row>
    <row r="2743" spans="1:12" x14ac:dyDescent="0.25">
      <c r="A2743" s="5" t="s">
        <v>3455</v>
      </c>
      <c r="B2743" s="5" t="s">
        <v>3452</v>
      </c>
      <c r="C2743" s="5" t="s">
        <v>17</v>
      </c>
      <c r="D2743" s="21">
        <v>2</v>
      </c>
      <c r="E2743" s="12">
        <v>178</v>
      </c>
      <c r="F2743" s="10" t="str">
        <f>_xlfn.XLOOKUP(C2743,menu!A:A,menu!B:B)</f>
        <v>Paneer Momos</v>
      </c>
      <c r="G2743" s="10" t="str">
        <f>_xlfn.XLOOKUP(C2743,menu!A:A,menu!C:C)</f>
        <v>Momos</v>
      </c>
      <c r="H2743" s="10">
        <f>_xlfn.XLOOKUP(C2743,menu!A:A,menu!E:E)</f>
        <v>27</v>
      </c>
      <c r="I2743" s="10">
        <f t="shared" si="42"/>
        <v>54</v>
      </c>
      <c r="K2743" s="10"/>
      <c r="L2743" s="5"/>
    </row>
    <row r="2744" spans="1:12" x14ac:dyDescent="0.25">
      <c r="A2744" s="5" t="s">
        <v>3454</v>
      </c>
      <c r="B2744" s="5" t="s">
        <v>3452</v>
      </c>
      <c r="C2744" s="5" t="s">
        <v>12</v>
      </c>
      <c r="D2744" s="21">
        <v>1</v>
      </c>
      <c r="E2744" s="12">
        <v>79</v>
      </c>
      <c r="F2744" s="10" t="str">
        <f>_xlfn.XLOOKUP(C2744,menu!A:A,menu!B:B)</f>
        <v>Veg Momos</v>
      </c>
      <c r="G2744" s="10" t="str">
        <f>_xlfn.XLOOKUP(C2744,menu!A:A,menu!C:C)</f>
        <v>Momos</v>
      </c>
      <c r="H2744" s="10">
        <f>_xlfn.XLOOKUP(C2744,menu!A:A,menu!E:E)</f>
        <v>24</v>
      </c>
      <c r="I2744" s="10">
        <f t="shared" si="42"/>
        <v>24</v>
      </c>
      <c r="K2744" s="10"/>
      <c r="L2744" s="5"/>
    </row>
    <row r="2745" spans="1:12" x14ac:dyDescent="0.25">
      <c r="A2745" s="5" t="s">
        <v>3453</v>
      </c>
      <c r="B2745" s="5" t="s">
        <v>3452</v>
      </c>
      <c r="C2745" s="5" t="s">
        <v>5</v>
      </c>
      <c r="D2745" s="21">
        <v>1</v>
      </c>
      <c r="E2745" s="12">
        <v>79</v>
      </c>
      <c r="F2745" s="10" t="str">
        <f>_xlfn.XLOOKUP(C2745,menu!A:A,menu!B:B)</f>
        <v>Veg Sandwich</v>
      </c>
      <c r="G2745" s="10" t="str">
        <f>_xlfn.XLOOKUP(C2745,menu!A:A,menu!C:C)</f>
        <v>Sandwich</v>
      </c>
      <c r="H2745" s="10">
        <f>_xlfn.XLOOKUP(C2745,menu!A:A,menu!E:E)</f>
        <v>24</v>
      </c>
      <c r="I2745" s="10">
        <f t="shared" si="42"/>
        <v>24</v>
      </c>
      <c r="K2745" s="10"/>
      <c r="L2745" s="5"/>
    </row>
    <row r="2746" spans="1:12" x14ac:dyDescent="0.25">
      <c r="A2746" s="5" t="s">
        <v>3451</v>
      </c>
      <c r="B2746" s="5" t="s">
        <v>3449</v>
      </c>
      <c r="C2746" s="5" t="s">
        <v>46</v>
      </c>
      <c r="D2746" s="21">
        <v>1</v>
      </c>
      <c r="E2746" s="12">
        <v>149</v>
      </c>
      <c r="F2746" s="10" t="str">
        <f>_xlfn.XLOOKUP(C2746,menu!A:A,menu!B:B)</f>
        <v>Fish Finger</v>
      </c>
      <c r="G2746" s="10" t="str">
        <f>_xlfn.XLOOKUP(C2746,menu!A:A,menu!C:C)</f>
        <v>Starters</v>
      </c>
      <c r="H2746" s="10">
        <f>_xlfn.XLOOKUP(C2746,menu!A:A,menu!E:E)</f>
        <v>45</v>
      </c>
      <c r="I2746" s="10">
        <f t="shared" si="42"/>
        <v>45</v>
      </c>
      <c r="K2746" s="10"/>
      <c r="L2746" s="5"/>
    </row>
    <row r="2747" spans="1:12" x14ac:dyDescent="0.25">
      <c r="A2747" s="5" t="s">
        <v>3450</v>
      </c>
      <c r="B2747" s="5" t="s">
        <v>3449</v>
      </c>
      <c r="C2747" s="5" t="s">
        <v>61</v>
      </c>
      <c r="D2747" s="21">
        <v>1</v>
      </c>
      <c r="E2747" s="12">
        <v>79</v>
      </c>
      <c r="F2747" s="10" t="str">
        <f>_xlfn.XLOOKUP(C2747,menu!A:A,menu!B:B)</f>
        <v>Watermelon Mojito</v>
      </c>
      <c r="G2747" s="10" t="str">
        <f>_xlfn.XLOOKUP(C2747,menu!A:A,menu!C:C)</f>
        <v>Beverages</v>
      </c>
      <c r="H2747" s="10">
        <f>_xlfn.XLOOKUP(C2747,menu!A:A,menu!E:E)</f>
        <v>24</v>
      </c>
      <c r="I2747" s="10">
        <f t="shared" si="42"/>
        <v>24</v>
      </c>
      <c r="K2747" s="10"/>
      <c r="L2747" s="5"/>
    </row>
    <row r="2748" spans="1:12" x14ac:dyDescent="0.25">
      <c r="A2748" s="5" t="s">
        <v>3448</v>
      </c>
      <c r="B2748" s="5" t="s">
        <v>3446</v>
      </c>
      <c r="C2748" s="5" t="s">
        <v>17</v>
      </c>
      <c r="D2748" s="21">
        <v>3</v>
      </c>
      <c r="E2748" s="12">
        <v>267</v>
      </c>
      <c r="F2748" s="10" t="str">
        <f>_xlfn.XLOOKUP(C2748,menu!A:A,menu!B:B)</f>
        <v>Paneer Momos</v>
      </c>
      <c r="G2748" s="10" t="str">
        <f>_xlfn.XLOOKUP(C2748,menu!A:A,menu!C:C)</f>
        <v>Momos</v>
      </c>
      <c r="H2748" s="10">
        <f>_xlfn.XLOOKUP(C2748,menu!A:A,menu!E:E)</f>
        <v>27</v>
      </c>
      <c r="I2748" s="10">
        <f t="shared" si="42"/>
        <v>81</v>
      </c>
      <c r="K2748" s="10"/>
      <c r="L2748" s="5"/>
    </row>
    <row r="2749" spans="1:12" x14ac:dyDescent="0.25">
      <c r="A2749" s="5" t="s">
        <v>3447</v>
      </c>
      <c r="B2749" s="5" t="s">
        <v>3446</v>
      </c>
      <c r="C2749" s="5" t="s">
        <v>46</v>
      </c>
      <c r="D2749" s="21">
        <v>1</v>
      </c>
      <c r="E2749" s="12">
        <v>149</v>
      </c>
      <c r="F2749" s="10" t="str">
        <f>_xlfn.XLOOKUP(C2749,menu!A:A,menu!B:B)</f>
        <v>Fish Finger</v>
      </c>
      <c r="G2749" s="10" t="str">
        <f>_xlfn.XLOOKUP(C2749,menu!A:A,menu!C:C)</f>
        <v>Starters</v>
      </c>
      <c r="H2749" s="10">
        <f>_xlfn.XLOOKUP(C2749,menu!A:A,menu!E:E)</f>
        <v>45</v>
      </c>
      <c r="I2749" s="10">
        <f t="shared" si="42"/>
        <v>45</v>
      </c>
      <c r="K2749" s="10"/>
      <c r="L2749" s="5"/>
    </row>
    <row r="2750" spans="1:12" x14ac:dyDescent="0.25">
      <c r="A2750" s="5" t="s">
        <v>3445</v>
      </c>
      <c r="B2750" s="5" t="s">
        <v>3442</v>
      </c>
      <c r="C2750" s="5" t="s">
        <v>5</v>
      </c>
      <c r="D2750" s="21">
        <v>1</v>
      </c>
      <c r="E2750" s="12">
        <v>79</v>
      </c>
      <c r="F2750" s="10" t="str">
        <f>_xlfn.XLOOKUP(C2750,menu!A:A,menu!B:B)</f>
        <v>Veg Sandwich</v>
      </c>
      <c r="G2750" s="10" t="str">
        <f>_xlfn.XLOOKUP(C2750,menu!A:A,menu!C:C)</f>
        <v>Sandwich</v>
      </c>
      <c r="H2750" s="10">
        <f>_xlfn.XLOOKUP(C2750,menu!A:A,menu!E:E)</f>
        <v>24</v>
      </c>
      <c r="I2750" s="10">
        <f t="shared" si="42"/>
        <v>24</v>
      </c>
      <c r="K2750" s="10"/>
      <c r="L2750" s="5"/>
    </row>
    <row r="2751" spans="1:12" x14ac:dyDescent="0.25">
      <c r="A2751" s="5" t="s">
        <v>3444</v>
      </c>
      <c r="B2751" s="5" t="s">
        <v>3442</v>
      </c>
      <c r="C2751" s="5" t="s">
        <v>10</v>
      </c>
      <c r="D2751" s="21">
        <v>2</v>
      </c>
      <c r="E2751" s="12">
        <v>238</v>
      </c>
      <c r="F2751" s="10" t="str">
        <f>_xlfn.XLOOKUP(C2751,menu!A:A,menu!B:B)</f>
        <v>Chicken Sandwich</v>
      </c>
      <c r="G2751" s="10" t="str">
        <f>_xlfn.XLOOKUP(C2751,menu!A:A,menu!C:C)</f>
        <v>Sandwich</v>
      </c>
      <c r="H2751" s="10">
        <f>_xlfn.XLOOKUP(C2751,menu!A:A,menu!E:E)</f>
        <v>36</v>
      </c>
      <c r="I2751" s="10">
        <f t="shared" si="42"/>
        <v>72</v>
      </c>
      <c r="K2751" s="10"/>
      <c r="L2751" s="5"/>
    </row>
    <row r="2752" spans="1:12" x14ac:dyDescent="0.25">
      <c r="A2752" s="5" t="s">
        <v>3443</v>
      </c>
      <c r="B2752" s="5" t="s">
        <v>3442</v>
      </c>
      <c r="C2752" s="5" t="s">
        <v>15</v>
      </c>
      <c r="D2752" s="21">
        <v>1</v>
      </c>
      <c r="E2752" s="12">
        <v>99</v>
      </c>
      <c r="F2752" s="10" t="str">
        <f>_xlfn.XLOOKUP(C2752,menu!A:A,menu!B:B)</f>
        <v>Chicken Momos</v>
      </c>
      <c r="G2752" s="10" t="str">
        <f>_xlfn.XLOOKUP(C2752,menu!A:A,menu!C:C)</f>
        <v>Momos</v>
      </c>
      <c r="H2752" s="10">
        <f>_xlfn.XLOOKUP(C2752,menu!A:A,menu!E:E)</f>
        <v>30</v>
      </c>
      <c r="I2752" s="10">
        <f t="shared" si="42"/>
        <v>30</v>
      </c>
      <c r="K2752" s="10"/>
      <c r="L2752" s="5"/>
    </row>
    <row r="2753" spans="1:12" x14ac:dyDescent="0.25">
      <c r="A2753" s="5" t="s">
        <v>3441</v>
      </c>
      <c r="B2753" s="5" t="s">
        <v>3438</v>
      </c>
      <c r="C2753" s="5" t="s">
        <v>19</v>
      </c>
      <c r="D2753" s="21">
        <v>1</v>
      </c>
      <c r="E2753" s="12">
        <v>79</v>
      </c>
      <c r="F2753" s="10" t="str">
        <f>_xlfn.XLOOKUP(C2753,menu!A:A,menu!B:B)</f>
        <v>Veg Burger</v>
      </c>
      <c r="G2753" s="10" t="str">
        <f>_xlfn.XLOOKUP(C2753,menu!A:A,menu!C:C)</f>
        <v>Burger</v>
      </c>
      <c r="H2753" s="10">
        <f>_xlfn.XLOOKUP(C2753,menu!A:A,menu!E:E)</f>
        <v>24</v>
      </c>
      <c r="I2753" s="10">
        <f t="shared" si="42"/>
        <v>24</v>
      </c>
      <c r="K2753" s="10"/>
      <c r="L2753" s="5"/>
    </row>
    <row r="2754" spans="1:12" x14ac:dyDescent="0.25">
      <c r="A2754" s="5" t="s">
        <v>3440</v>
      </c>
      <c r="B2754" s="5" t="s">
        <v>3438</v>
      </c>
      <c r="C2754" s="5" t="s">
        <v>63</v>
      </c>
      <c r="D2754" s="21">
        <v>1</v>
      </c>
      <c r="E2754" s="12">
        <v>79</v>
      </c>
      <c r="F2754" s="10" t="str">
        <f>_xlfn.XLOOKUP(C2754,menu!A:A,menu!B:B)</f>
        <v>Virgin Mojito</v>
      </c>
      <c r="G2754" s="10" t="str">
        <f>_xlfn.XLOOKUP(C2754,menu!A:A,menu!C:C)</f>
        <v>Beverages</v>
      </c>
      <c r="H2754" s="10">
        <f>_xlfn.XLOOKUP(C2754,menu!A:A,menu!E:E)</f>
        <v>24</v>
      </c>
      <c r="I2754" s="10">
        <f t="shared" si="42"/>
        <v>24</v>
      </c>
      <c r="K2754" s="10"/>
      <c r="L2754" s="5"/>
    </row>
    <row r="2755" spans="1:12" x14ac:dyDescent="0.25">
      <c r="A2755" s="5" t="s">
        <v>3439</v>
      </c>
      <c r="B2755" s="5" t="s">
        <v>3438</v>
      </c>
      <c r="C2755" s="5" t="s">
        <v>61</v>
      </c>
      <c r="D2755" s="21">
        <v>5</v>
      </c>
      <c r="E2755" s="12">
        <v>395</v>
      </c>
      <c r="F2755" s="10" t="str">
        <f>_xlfn.XLOOKUP(C2755,menu!A:A,menu!B:B)</f>
        <v>Watermelon Mojito</v>
      </c>
      <c r="G2755" s="10" t="str">
        <f>_xlfn.XLOOKUP(C2755,menu!A:A,menu!C:C)</f>
        <v>Beverages</v>
      </c>
      <c r="H2755" s="10">
        <f>_xlfn.XLOOKUP(C2755,menu!A:A,menu!E:E)</f>
        <v>24</v>
      </c>
      <c r="I2755" s="10">
        <f t="shared" ref="I2755:I2818" si="43">D2755*H2755</f>
        <v>120</v>
      </c>
      <c r="K2755" s="10"/>
      <c r="L2755" s="5"/>
    </row>
    <row r="2756" spans="1:12" x14ac:dyDescent="0.25">
      <c r="A2756" s="5" t="s">
        <v>3437</v>
      </c>
      <c r="B2756" s="5" t="s">
        <v>3435</v>
      </c>
      <c r="C2756" s="5" t="s">
        <v>5</v>
      </c>
      <c r="D2756" s="21">
        <v>1</v>
      </c>
      <c r="E2756" s="12">
        <v>79</v>
      </c>
      <c r="F2756" s="10" t="str">
        <f>_xlfn.XLOOKUP(C2756,menu!A:A,menu!B:B)</f>
        <v>Veg Sandwich</v>
      </c>
      <c r="G2756" s="10" t="str">
        <f>_xlfn.XLOOKUP(C2756,menu!A:A,menu!C:C)</f>
        <v>Sandwich</v>
      </c>
      <c r="H2756" s="10">
        <f>_xlfn.XLOOKUP(C2756,menu!A:A,menu!E:E)</f>
        <v>24</v>
      </c>
      <c r="I2756" s="10">
        <f t="shared" si="43"/>
        <v>24</v>
      </c>
      <c r="K2756" s="10"/>
      <c r="L2756" s="5"/>
    </row>
    <row r="2757" spans="1:12" x14ac:dyDescent="0.25">
      <c r="A2757" s="5" t="s">
        <v>3436</v>
      </c>
      <c r="B2757" s="5" t="s">
        <v>3435</v>
      </c>
      <c r="C2757" s="5" t="s">
        <v>8</v>
      </c>
      <c r="D2757" s="21">
        <v>4</v>
      </c>
      <c r="E2757" s="12">
        <v>396</v>
      </c>
      <c r="F2757" s="10" t="str">
        <f>_xlfn.XLOOKUP(C2757,menu!A:A,menu!B:B)</f>
        <v>Paneer Sandwich</v>
      </c>
      <c r="G2757" s="10" t="str">
        <f>_xlfn.XLOOKUP(C2757,menu!A:A,menu!C:C)</f>
        <v>Sandwich</v>
      </c>
      <c r="H2757" s="10">
        <f>_xlfn.XLOOKUP(C2757,menu!A:A,menu!E:E)</f>
        <v>30</v>
      </c>
      <c r="I2757" s="10">
        <f t="shared" si="43"/>
        <v>120</v>
      </c>
      <c r="K2757" s="10"/>
      <c r="L2757" s="5"/>
    </row>
    <row r="2758" spans="1:12" x14ac:dyDescent="0.25">
      <c r="A2758" s="5" t="s">
        <v>3434</v>
      </c>
      <c r="B2758" s="5" t="s">
        <v>3431</v>
      </c>
      <c r="C2758" s="5" t="s">
        <v>10</v>
      </c>
      <c r="D2758" s="21">
        <v>1</v>
      </c>
      <c r="E2758" s="12">
        <v>119</v>
      </c>
      <c r="F2758" s="10" t="str">
        <f>_xlfn.XLOOKUP(C2758,menu!A:A,menu!B:B)</f>
        <v>Chicken Sandwich</v>
      </c>
      <c r="G2758" s="10" t="str">
        <f>_xlfn.XLOOKUP(C2758,menu!A:A,menu!C:C)</f>
        <v>Sandwich</v>
      </c>
      <c r="H2758" s="10">
        <f>_xlfn.XLOOKUP(C2758,menu!A:A,menu!E:E)</f>
        <v>36</v>
      </c>
      <c r="I2758" s="10">
        <f t="shared" si="43"/>
        <v>36</v>
      </c>
      <c r="K2758" s="10"/>
      <c r="L2758" s="5"/>
    </row>
    <row r="2759" spans="1:12" x14ac:dyDescent="0.25">
      <c r="A2759" s="5" t="s">
        <v>3433</v>
      </c>
      <c r="B2759" s="5" t="s">
        <v>3431</v>
      </c>
      <c r="C2759" s="5" t="s">
        <v>38</v>
      </c>
      <c r="D2759" s="21">
        <v>1</v>
      </c>
      <c r="E2759" s="12">
        <v>149</v>
      </c>
      <c r="F2759" s="10" t="str">
        <f>_xlfn.XLOOKUP(C2759,menu!A:A,menu!B:B)</f>
        <v>Chicken Wings</v>
      </c>
      <c r="G2759" s="10" t="str">
        <f>_xlfn.XLOOKUP(C2759,menu!A:A,menu!C:C)</f>
        <v>Starters</v>
      </c>
      <c r="H2759" s="10">
        <f>_xlfn.XLOOKUP(C2759,menu!A:A,menu!E:E)</f>
        <v>45</v>
      </c>
      <c r="I2759" s="10">
        <f t="shared" si="43"/>
        <v>45</v>
      </c>
      <c r="K2759" s="10"/>
      <c r="L2759" s="5"/>
    </row>
    <row r="2760" spans="1:12" x14ac:dyDescent="0.25">
      <c r="A2760" s="5" t="s">
        <v>3432</v>
      </c>
      <c r="B2760" s="5" t="s">
        <v>3431</v>
      </c>
      <c r="C2760" s="5" t="s">
        <v>61</v>
      </c>
      <c r="D2760" s="21">
        <v>1</v>
      </c>
      <c r="E2760" s="12">
        <v>79</v>
      </c>
      <c r="F2760" s="10" t="str">
        <f>_xlfn.XLOOKUP(C2760,menu!A:A,menu!B:B)</f>
        <v>Watermelon Mojito</v>
      </c>
      <c r="G2760" s="10" t="str">
        <f>_xlfn.XLOOKUP(C2760,menu!A:A,menu!C:C)</f>
        <v>Beverages</v>
      </c>
      <c r="H2760" s="10">
        <f>_xlfn.XLOOKUP(C2760,menu!A:A,menu!E:E)</f>
        <v>24</v>
      </c>
      <c r="I2760" s="10">
        <f t="shared" si="43"/>
        <v>24</v>
      </c>
      <c r="K2760" s="10"/>
      <c r="L2760" s="5"/>
    </row>
    <row r="2761" spans="1:12" x14ac:dyDescent="0.25">
      <c r="A2761" s="5" t="s">
        <v>3430</v>
      </c>
      <c r="B2761" s="5" t="s">
        <v>3427</v>
      </c>
      <c r="C2761" s="5" t="s">
        <v>17</v>
      </c>
      <c r="D2761" s="21">
        <v>1</v>
      </c>
      <c r="E2761" s="12">
        <v>89</v>
      </c>
      <c r="F2761" s="10" t="str">
        <f>_xlfn.XLOOKUP(C2761,menu!A:A,menu!B:B)</f>
        <v>Paneer Momos</v>
      </c>
      <c r="G2761" s="10" t="str">
        <f>_xlfn.XLOOKUP(C2761,menu!A:A,menu!C:C)</f>
        <v>Momos</v>
      </c>
      <c r="H2761" s="10">
        <f>_xlfn.XLOOKUP(C2761,menu!A:A,menu!E:E)</f>
        <v>27</v>
      </c>
      <c r="I2761" s="10">
        <f t="shared" si="43"/>
        <v>27</v>
      </c>
      <c r="K2761" s="10"/>
      <c r="L2761" s="5"/>
    </row>
    <row r="2762" spans="1:12" x14ac:dyDescent="0.25">
      <c r="A2762" s="5" t="s">
        <v>3429</v>
      </c>
      <c r="B2762" s="5" t="s">
        <v>3427</v>
      </c>
      <c r="C2762" s="5" t="s">
        <v>19</v>
      </c>
      <c r="D2762" s="21">
        <v>1</v>
      </c>
      <c r="E2762" s="12">
        <v>79</v>
      </c>
      <c r="F2762" s="10" t="str">
        <f>_xlfn.XLOOKUP(C2762,menu!A:A,menu!B:B)</f>
        <v>Veg Burger</v>
      </c>
      <c r="G2762" s="10" t="str">
        <f>_xlfn.XLOOKUP(C2762,menu!A:A,menu!C:C)</f>
        <v>Burger</v>
      </c>
      <c r="H2762" s="10">
        <f>_xlfn.XLOOKUP(C2762,menu!A:A,menu!E:E)</f>
        <v>24</v>
      </c>
      <c r="I2762" s="10">
        <f t="shared" si="43"/>
        <v>24</v>
      </c>
      <c r="K2762" s="10"/>
      <c r="L2762" s="5"/>
    </row>
    <row r="2763" spans="1:12" x14ac:dyDescent="0.25">
      <c r="A2763" s="5" t="s">
        <v>3428</v>
      </c>
      <c r="B2763" s="5" t="s">
        <v>3427</v>
      </c>
      <c r="C2763" s="5" t="s">
        <v>42</v>
      </c>
      <c r="D2763" s="21">
        <v>2</v>
      </c>
      <c r="E2763" s="12">
        <v>298</v>
      </c>
      <c r="F2763" s="10" t="str">
        <f>_xlfn.XLOOKUP(C2763,menu!A:A,menu!B:B)</f>
        <v>Chicken Popcorn</v>
      </c>
      <c r="G2763" s="10" t="str">
        <f>_xlfn.XLOOKUP(C2763,menu!A:A,menu!C:C)</f>
        <v>Starters</v>
      </c>
      <c r="H2763" s="10">
        <f>_xlfn.XLOOKUP(C2763,menu!A:A,menu!E:E)</f>
        <v>45</v>
      </c>
      <c r="I2763" s="10">
        <f t="shared" si="43"/>
        <v>90</v>
      </c>
      <c r="K2763" s="10"/>
      <c r="L2763" s="5"/>
    </row>
    <row r="2764" spans="1:12" x14ac:dyDescent="0.25">
      <c r="A2764" s="5" t="s">
        <v>3426</v>
      </c>
      <c r="B2764" s="5" t="s">
        <v>3424</v>
      </c>
      <c r="C2764" s="5" t="s">
        <v>19</v>
      </c>
      <c r="D2764" s="21">
        <v>1</v>
      </c>
      <c r="E2764" s="12">
        <v>79</v>
      </c>
      <c r="F2764" s="10" t="str">
        <f>_xlfn.XLOOKUP(C2764,menu!A:A,menu!B:B)</f>
        <v>Veg Burger</v>
      </c>
      <c r="G2764" s="10" t="str">
        <f>_xlfn.XLOOKUP(C2764,menu!A:A,menu!C:C)</f>
        <v>Burger</v>
      </c>
      <c r="H2764" s="10">
        <f>_xlfn.XLOOKUP(C2764,menu!A:A,menu!E:E)</f>
        <v>24</v>
      </c>
      <c r="I2764" s="10">
        <f t="shared" si="43"/>
        <v>24</v>
      </c>
      <c r="K2764" s="10"/>
      <c r="L2764" s="5"/>
    </row>
    <row r="2765" spans="1:12" x14ac:dyDescent="0.25">
      <c r="A2765" s="5" t="s">
        <v>3425</v>
      </c>
      <c r="B2765" s="5" t="s">
        <v>3424</v>
      </c>
      <c r="C2765" s="5" t="s">
        <v>15</v>
      </c>
      <c r="D2765" s="21">
        <v>1</v>
      </c>
      <c r="E2765" s="12">
        <v>99</v>
      </c>
      <c r="F2765" s="10" t="str">
        <f>_xlfn.XLOOKUP(C2765,menu!A:A,menu!B:B)</f>
        <v>Chicken Momos</v>
      </c>
      <c r="G2765" s="10" t="str">
        <f>_xlfn.XLOOKUP(C2765,menu!A:A,menu!C:C)</f>
        <v>Momos</v>
      </c>
      <c r="H2765" s="10">
        <f>_xlfn.XLOOKUP(C2765,menu!A:A,menu!E:E)</f>
        <v>30</v>
      </c>
      <c r="I2765" s="10">
        <f t="shared" si="43"/>
        <v>30</v>
      </c>
      <c r="K2765" s="10"/>
      <c r="L2765" s="5"/>
    </row>
    <row r="2766" spans="1:12" x14ac:dyDescent="0.25">
      <c r="A2766" s="5" t="s">
        <v>3423</v>
      </c>
      <c r="B2766" s="5" t="s">
        <v>3420</v>
      </c>
      <c r="C2766" s="5" t="s">
        <v>40</v>
      </c>
      <c r="D2766" s="21">
        <v>5</v>
      </c>
      <c r="E2766" s="12">
        <v>495</v>
      </c>
      <c r="F2766" s="10" t="str">
        <f>_xlfn.XLOOKUP(C2766,menu!A:A,menu!B:B)</f>
        <v>Veg Nuggets</v>
      </c>
      <c r="G2766" s="10" t="str">
        <f>_xlfn.XLOOKUP(C2766,menu!A:A,menu!C:C)</f>
        <v>Starters</v>
      </c>
      <c r="H2766" s="10">
        <f>_xlfn.XLOOKUP(C2766,menu!A:A,menu!E:E)</f>
        <v>30</v>
      </c>
      <c r="I2766" s="10">
        <f t="shared" si="43"/>
        <v>150</v>
      </c>
      <c r="K2766" s="10"/>
      <c r="L2766" s="5"/>
    </row>
    <row r="2767" spans="1:12" x14ac:dyDescent="0.25">
      <c r="A2767" s="5" t="s">
        <v>3422</v>
      </c>
      <c r="B2767" s="5" t="s">
        <v>3420</v>
      </c>
      <c r="C2767" s="5" t="s">
        <v>63</v>
      </c>
      <c r="D2767" s="21">
        <v>4</v>
      </c>
      <c r="E2767" s="12">
        <v>316</v>
      </c>
      <c r="F2767" s="10" t="str">
        <f>_xlfn.XLOOKUP(C2767,menu!A:A,menu!B:B)</f>
        <v>Virgin Mojito</v>
      </c>
      <c r="G2767" s="10" t="str">
        <f>_xlfn.XLOOKUP(C2767,menu!A:A,menu!C:C)</f>
        <v>Beverages</v>
      </c>
      <c r="H2767" s="10">
        <f>_xlfn.XLOOKUP(C2767,menu!A:A,menu!E:E)</f>
        <v>24</v>
      </c>
      <c r="I2767" s="10">
        <f t="shared" si="43"/>
        <v>96</v>
      </c>
      <c r="K2767" s="10"/>
      <c r="L2767" s="5"/>
    </row>
    <row r="2768" spans="1:12" x14ac:dyDescent="0.25">
      <c r="A2768" s="5" t="s">
        <v>3421</v>
      </c>
      <c r="B2768" s="5" t="s">
        <v>3420</v>
      </c>
      <c r="C2768" s="5" t="s">
        <v>38</v>
      </c>
      <c r="D2768" s="21">
        <v>2</v>
      </c>
      <c r="E2768" s="12">
        <v>298</v>
      </c>
      <c r="F2768" s="10" t="str">
        <f>_xlfn.XLOOKUP(C2768,menu!A:A,menu!B:B)</f>
        <v>Chicken Wings</v>
      </c>
      <c r="G2768" s="10" t="str">
        <f>_xlfn.XLOOKUP(C2768,menu!A:A,menu!C:C)</f>
        <v>Starters</v>
      </c>
      <c r="H2768" s="10">
        <f>_xlfn.XLOOKUP(C2768,menu!A:A,menu!E:E)</f>
        <v>45</v>
      </c>
      <c r="I2768" s="10">
        <f t="shared" si="43"/>
        <v>90</v>
      </c>
      <c r="K2768" s="10"/>
      <c r="L2768" s="5"/>
    </row>
    <row r="2769" spans="1:12" x14ac:dyDescent="0.25">
      <c r="A2769" s="5" t="s">
        <v>3419</v>
      </c>
      <c r="B2769" s="5" t="s">
        <v>3416</v>
      </c>
      <c r="C2769" s="5" t="s">
        <v>19</v>
      </c>
      <c r="D2769" s="21">
        <v>3</v>
      </c>
      <c r="E2769" s="12">
        <v>237</v>
      </c>
      <c r="F2769" s="10" t="str">
        <f>_xlfn.XLOOKUP(C2769,menu!A:A,menu!B:B)</f>
        <v>Veg Burger</v>
      </c>
      <c r="G2769" s="10" t="str">
        <f>_xlfn.XLOOKUP(C2769,menu!A:A,menu!C:C)</f>
        <v>Burger</v>
      </c>
      <c r="H2769" s="10">
        <f>_xlfn.XLOOKUP(C2769,menu!A:A,menu!E:E)</f>
        <v>24</v>
      </c>
      <c r="I2769" s="10">
        <f t="shared" si="43"/>
        <v>72</v>
      </c>
      <c r="K2769" s="10"/>
      <c r="L2769" s="5"/>
    </row>
    <row r="2770" spans="1:12" x14ac:dyDescent="0.25">
      <c r="A2770" s="5" t="s">
        <v>3418</v>
      </c>
      <c r="B2770" s="5" t="s">
        <v>3416</v>
      </c>
      <c r="C2770" s="5" t="s">
        <v>40</v>
      </c>
      <c r="D2770" s="21">
        <v>4</v>
      </c>
      <c r="E2770" s="12">
        <v>396</v>
      </c>
      <c r="F2770" s="10" t="str">
        <f>_xlfn.XLOOKUP(C2770,menu!A:A,menu!B:B)</f>
        <v>Veg Nuggets</v>
      </c>
      <c r="G2770" s="10" t="str">
        <f>_xlfn.XLOOKUP(C2770,menu!A:A,menu!C:C)</f>
        <v>Starters</v>
      </c>
      <c r="H2770" s="10">
        <f>_xlfn.XLOOKUP(C2770,menu!A:A,menu!E:E)</f>
        <v>30</v>
      </c>
      <c r="I2770" s="10">
        <f t="shared" si="43"/>
        <v>120</v>
      </c>
      <c r="K2770" s="10"/>
      <c r="L2770" s="5"/>
    </row>
    <row r="2771" spans="1:12" x14ac:dyDescent="0.25">
      <c r="A2771" s="5" t="s">
        <v>3417</v>
      </c>
      <c r="B2771" s="5" t="s">
        <v>3416</v>
      </c>
      <c r="C2771" s="5" t="s">
        <v>31</v>
      </c>
      <c r="D2771" s="21">
        <v>2</v>
      </c>
      <c r="E2771" s="12">
        <v>178</v>
      </c>
      <c r="F2771" s="10" t="str">
        <f>_xlfn.XLOOKUP(C2771,menu!A:A,menu!B:B)</f>
        <v>Chicken Roll</v>
      </c>
      <c r="G2771" s="10" t="str">
        <f>_xlfn.XLOOKUP(C2771,menu!A:A,menu!C:C)</f>
        <v>Rolls</v>
      </c>
      <c r="H2771" s="10">
        <f>_xlfn.XLOOKUP(C2771,menu!A:A,menu!E:E)</f>
        <v>27</v>
      </c>
      <c r="I2771" s="10">
        <f t="shared" si="43"/>
        <v>54</v>
      </c>
      <c r="K2771" s="10"/>
      <c r="L2771" s="5"/>
    </row>
    <row r="2772" spans="1:12" x14ac:dyDescent="0.25">
      <c r="A2772" s="5" t="s">
        <v>3415</v>
      </c>
      <c r="B2772" s="5" t="s">
        <v>3413</v>
      </c>
      <c r="C2772" s="5" t="s">
        <v>22</v>
      </c>
      <c r="D2772" s="21">
        <v>4</v>
      </c>
      <c r="E2772" s="12">
        <v>396</v>
      </c>
      <c r="F2772" s="10" t="str">
        <f>_xlfn.XLOOKUP(C2772,menu!A:A,menu!B:B)</f>
        <v>Chicken Burger</v>
      </c>
      <c r="G2772" s="10" t="str">
        <f>_xlfn.XLOOKUP(C2772,menu!A:A,menu!C:C)</f>
        <v>Burger</v>
      </c>
      <c r="H2772" s="10">
        <f>_xlfn.XLOOKUP(C2772,menu!A:A,menu!E:E)</f>
        <v>30</v>
      </c>
      <c r="I2772" s="10">
        <f t="shared" si="43"/>
        <v>120</v>
      </c>
      <c r="K2772" s="10"/>
      <c r="L2772" s="5"/>
    </row>
    <row r="2773" spans="1:12" x14ac:dyDescent="0.25">
      <c r="A2773" s="5" t="s">
        <v>3414</v>
      </c>
      <c r="B2773" s="5" t="s">
        <v>3413</v>
      </c>
      <c r="C2773" s="5" t="s">
        <v>61</v>
      </c>
      <c r="D2773" s="21">
        <v>1</v>
      </c>
      <c r="E2773" s="12">
        <v>79</v>
      </c>
      <c r="F2773" s="10" t="str">
        <f>_xlfn.XLOOKUP(C2773,menu!A:A,menu!B:B)</f>
        <v>Watermelon Mojito</v>
      </c>
      <c r="G2773" s="10" t="str">
        <f>_xlfn.XLOOKUP(C2773,menu!A:A,menu!C:C)</f>
        <v>Beverages</v>
      </c>
      <c r="H2773" s="10">
        <f>_xlfn.XLOOKUP(C2773,menu!A:A,menu!E:E)</f>
        <v>24</v>
      </c>
      <c r="I2773" s="10">
        <f t="shared" si="43"/>
        <v>24</v>
      </c>
      <c r="K2773" s="10"/>
      <c r="L2773" s="5"/>
    </row>
    <row r="2774" spans="1:12" x14ac:dyDescent="0.25">
      <c r="A2774" s="5" t="s">
        <v>3412</v>
      </c>
      <c r="B2774" s="5" t="s">
        <v>3410</v>
      </c>
      <c r="C2774" s="5" t="s">
        <v>29</v>
      </c>
      <c r="D2774" s="21">
        <v>2</v>
      </c>
      <c r="E2774" s="12">
        <v>158</v>
      </c>
      <c r="F2774" s="10" t="str">
        <f>_xlfn.XLOOKUP(C2774,menu!A:A,menu!B:B)</f>
        <v>Paneer Roll</v>
      </c>
      <c r="G2774" s="10" t="str">
        <f>_xlfn.XLOOKUP(C2774,menu!A:A,menu!C:C)</f>
        <v>Rolls</v>
      </c>
      <c r="H2774" s="10">
        <f>_xlfn.XLOOKUP(C2774,menu!A:A,menu!E:E)</f>
        <v>24</v>
      </c>
      <c r="I2774" s="10">
        <f t="shared" si="43"/>
        <v>48</v>
      </c>
      <c r="K2774" s="10"/>
      <c r="L2774" s="5"/>
    </row>
    <row r="2775" spans="1:12" x14ac:dyDescent="0.25">
      <c r="A2775" s="5" t="s">
        <v>3411</v>
      </c>
      <c r="B2775" s="5" t="s">
        <v>3410</v>
      </c>
      <c r="C2775" s="5" t="s">
        <v>48</v>
      </c>
      <c r="D2775" s="21">
        <v>2</v>
      </c>
      <c r="E2775" s="12">
        <v>318</v>
      </c>
      <c r="F2775" s="10" t="str">
        <f>_xlfn.XLOOKUP(C2775,menu!A:A,menu!B:B)</f>
        <v>Chicken Lollipop</v>
      </c>
      <c r="G2775" s="10" t="str">
        <f>_xlfn.XLOOKUP(C2775,menu!A:A,menu!C:C)</f>
        <v>Starters</v>
      </c>
      <c r="H2775" s="10">
        <f>_xlfn.XLOOKUP(C2775,menu!A:A,menu!E:E)</f>
        <v>48</v>
      </c>
      <c r="I2775" s="10">
        <f t="shared" si="43"/>
        <v>96</v>
      </c>
      <c r="K2775" s="10"/>
      <c r="L2775" s="5"/>
    </row>
    <row r="2776" spans="1:12" x14ac:dyDescent="0.25">
      <c r="A2776" s="5" t="s">
        <v>3409</v>
      </c>
      <c r="B2776" s="5" t="s">
        <v>3406</v>
      </c>
      <c r="C2776" s="5" t="s">
        <v>29</v>
      </c>
      <c r="D2776" s="21">
        <v>3</v>
      </c>
      <c r="E2776" s="12">
        <v>237</v>
      </c>
      <c r="F2776" s="10" t="str">
        <f>_xlfn.XLOOKUP(C2776,menu!A:A,menu!B:B)</f>
        <v>Paneer Roll</v>
      </c>
      <c r="G2776" s="10" t="str">
        <f>_xlfn.XLOOKUP(C2776,menu!A:A,menu!C:C)</f>
        <v>Rolls</v>
      </c>
      <c r="H2776" s="10">
        <f>_xlfn.XLOOKUP(C2776,menu!A:A,menu!E:E)</f>
        <v>24</v>
      </c>
      <c r="I2776" s="10">
        <f t="shared" si="43"/>
        <v>72</v>
      </c>
      <c r="K2776" s="10"/>
      <c r="L2776" s="5"/>
    </row>
    <row r="2777" spans="1:12" x14ac:dyDescent="0.25">
      <c r="A2777" s="5" t="s">
        <v>3408</v>
      </c>
      <c r="B2777" s="5" t="s">
        <v>3406</v>
      </c>
      <c r="C2777" s="5" t="s">
        <v>19</v>
      </c>
      <c r="D2777" s="21">
        <v>1</v>
      </c>
      <c r="E2777" s="12">
        <v>79</v>
      </c>
      <c r="F2777" s="10" t="str">
        <f>_xlfn.XLOOKUP(C2777,menu!A:A,menu!B:B)</f>
        <v>Veg Burger</v>
      </c>
      <c r="G2777" s="10" t="str">
        <f>_xlfn.XLOOKUP(C2777,menu!A:A,menu!C:C)</f>
        <v>Burger</v>
      </c>
      <c r="H2777" s="10">
        <f>_xlfn.XLOOKUP(C2777,menu!A:A,menu!E:E)</f>
        <v>24</v>
      </c>
      <c r="I2777" s="10">
        <f t="shared" si="43"/>
        <v>24</v>
      </c>
      <c r="K2777" s="10"/>
      <c r="L2777" s="5"/>
    </row>
    <row r="2778" spans="1:12" x14ac:dyDescent="0.25">
      <c r="A2778" s="5" t="s">
        <v>3407</v>
      </c>
      <c r="B2778" s="5" t="s">
        <v>3406</v>
      </c>
      <c r="C2778" s="5" t="s">
        <v>35</v>
      </c>
      <c r="D2778" s="21">
        <v>4</v>
      </c>
      <c r="E2778" s="12">
        <v>476</v>
      </c>
      <c r="F2778" s="10" t="str">
        <f>_xlfn.XLOOKUP(C2778,menu!A:A,menu!B:B)</f>
        <v>Chicken Nuggets</v>
      </c>
      <c r="G2778" s="10" t="str">
        <f>_xlfn.XLOOKUP(C2778,menu!A:A,menu!C:C)</f>
        <v>Starters</v>
      </c>
      <c r="H2778" s="10">
        <f>_xlfn.XLOOKUP(C2778,menu!A:A,menu!E:E)</f>
        <v>36</v>
      </c>
      <c r="I2778" s="10">
        <f t="shared" si="43"/>
        <v>144</v>
      </c>
      <c r="K2778" s="10"/>
      <c r="L2778" s="5"/>
    </row>
    <row r="2779" spans="1:12" x14ac:dyDescent="0.25">
      <c r="A2779" s="5" t="s">
        <v>3405</v>
      </c>
      <c r="B2779" s="5" t="s">
        <v>3403</v>
      </c>
      <c r="C2779" s="5" t="s">
        <v>5</v>
      </c>
      <c r="D2779" s="21">
        <v>2</v>
      </c>
      <c r="E2779" s="12">
        <v>158</v>
      </c>
      <c r="F2779" s="10" t="str">
        <f>_xlfn.XLOOKUP(C2779,menu!A:A,menu!B:B)</f>
        <v>Veg Sandwich</v>
      </c>
      <c r="G2779" s="10" t="str">
        <f>_xlfn.XLOOKUP(C2779,menu!A:A,menu!C:C)</f>
        <v>Sandwich</v>
      </c>
      <c r="H2779" s="10">
        <f>_xlfn.XLOOKUP(C2779,menu!A:A,menu!E:E)</f>
        <v>24</v>
      </c>
      <c r="I2779" s="10">
        <f t="shared" si="43"/>
        <v>48</v>
      </c>
      <c r="K2779" s="10"/>
      <c r="L2779" s="5"/>
    </row>
    <row r="2780" spans="1:12" x14ac:dyDescent="0.25">
      <c r="A2780" s="5" t="s">
        <v>3404</v>
      </c>
      <c r="B2780" s="5" t="s">
        <v>3403</v>
      </c>
      <c r="C2780" s="5" t="s">
        <v>24</v>
      </c>
      <c r="D2780" s="21">
        <v>1</v>
      </c>
      <c r="E2780" s="12">
        <v>89</v>
      </c>
      <c r="F2780" s="10" t="str">
        <f>_xlfn.XLOOKUP(C2780,menu!A:A,menu!B:B)</f>
        <v>Paneer Burger</v>
      </c>
      <c r="G2780" s="10" t="str">
        <f>_xlfn.XLOOKUP(C2780,menu!A:A,menu!C:C)</f>
        <v>Burger</v>
      </c>
      <c r="H2780" s="10">
        <f>_xlfn.XLOOKUP(C2780,menu!A:A,menu!E:E)</f>
        <v>27</v>
      </c>
      <c r="I2780" s="10">
        <f t="shared" si="43"/>
        <v>27</v>
      </c>
      <c r="K2780" s="10"/>
      <c r="L2780" s="5"/>
    </row>
    <row r="2781" spans="1:12" x14ac:dyDescent="0.25">
      <c r="A2781" s="5" t="s">
        <v>3402</v>
      </c>
      <c r="B2781" s="5" t="s">
        <v>3399</v>
      </c>
      <c r="C2781" s="5" t="s">
        <v>42</v>
      </c>
      <c r="D2781" s="21">
        <v>1</v>
      </c>
      <c r="E2781" s="12">
        <v>149</v>
      </c>
      <c r="F2781" s="10" t="str">
        <f>_xlfn.XLOOKUP(C2781,menu!A:A,menu!B:B)</f>
        <v>Chicken Popcorn</v>
      </c>
      <c r="G2781" s="10" t="str">
        <f>_xlfn.XLOOKUP(C2781,menu!A:A,menu!C:C)</f>
        <v>Starters</v>
      </c>
      <c r="H2781" s="10">
        <f>_xlfn.XLOOKUP(C2781,menu!A:A,menu!E:E)</f>
        <v>45</v>
      </c>
      <c r="I2781" s="10">
        <f t="shared" si="43"/>
        <v>45</v>
      </c>
      <c r="K2781" s="10"/>
      <c r="L2781" s="5"/>
    </row>
    <row r="2782" spans="1:12" x14ac:dyDescent="0.25">
      <c r="A2782" s="5" t="s">
        <v>3401</v>
      </c>
      <c r="B2782" s="5" t="s">
        <v>3399</v>
      </c>
      <c r="C2782" s="5" t="s">
        <v>26</v>
      </c>
      <c r="D2782" s="21">
        <v>3</v>
      </c>
      <c r="E2782" s="12">
        <v>177</v>
      </c>
      <c r="F2782" s="10" t="str">
        <f>_xlfn.XLOOKUP(C2782,menu!A:A,menu!B:B)</f>
        <v>Veg Roll</v>
      </c>
      <c r="G2782" s="10" t="str">
        <f>_xlfn.XLOOKUP(C2782,menu!A:A,menu!C:C)</f>
        <v>Rolls</v>
      </c>
      <c r="H2782" s="10">
        <f>_xlfn.XLOOKUP(C2782,menu!A:A,menu!E:E)</f>
        <v>18</v>
      </c>
      <c r="I2782" s="10">
        <f t="shared" si="43"/>
        <v>54</v>
      </c>
      <c r="K2782" s="10"/>
      <c r="L2782" s="5"/>
    </row>
    <row r="2783" spans="1:12" x14ac:dyDescent="0.25">
      <c r="A2783" s="5" t="s">
        <v>3400</v>
      </c>
      <c r="B2783" s="5" t="s">
        <v>3399</v>
      </c>
      <c r="C2783" s="5" t="s">
        <v>61</v>
      </c>
      <c r="D2783" s="21">
        <v>1</v>
      </c>
      <c r="E2783" s="12">
        <v>79</v>
      </c>
      <c r="F2783" s="10" t="str">
        <f>_xlfn.XLOOKUP(C2783,menu!A:A,menu!B:B)</f>
        <v>Watermelon Mojito</v>
      </c>
      <c r="G2783" s="10" t="str">
        <f>_xlfn.XLOOKUP(C2783,menu!A:A,menu!C:C)</f>
        <v>Beverages</v>
      </c>
      <c r="H2783" s="10">
        <f>_xlfn.XLOOKUP(C2783,menu!A:A,menu!E:E)</f>
        <v>24</v>
      </c>
      <c r="I2783" s="10">
        <f t="shared" si="43"/>
        <v>24</v>
      </c>
      <c r="K2783" s="10"/>
      <c r="L2783" s="5"/>
    </row>
    <row r="2784" spans="1:12" x14ac:dyDescent="0.25">
      <c r="A2784" s="5" t="s">
        <v>3398</v>
      </c>
      <c r="B2784" s="5" t="s">
        <v>3396</v>
      </c>
      <c r="C2784" s="5" t="s">
        <v>12</v>
      </c>
      <c r="D2784" s="21">
        <v>1</v>
      </c>
      <c r="E2784" s="12">
        <v>79</v>
      </c>
      <c r="F2784" s="10" t="str">
        <f>_xlfn.XLOOKUP(C2784,menu!A:A,menu!B:B)</f>
        <v>Veg Momos</v>
      </c>
      <c r="G2784" s="10" t="str">
        <f>_xlfn.XLOOKUP(C2784,menu!A:A,menu!C:C)</f>
        <v>Momos</v>
      </c>
      <c r="H2784" s="10">
        <f>_xlfn.XLOOKUP(C2784,menu!A:A,menu!E:E)</f>
        <v>24</v>
      </c>
      <c r="I2784" s="10">
        <f t="shared" si="43"/>
        <v>24</v>
      </c>
      <c r="K2784" s="10"/>
      <c r="L2784" s="5"/>
    </row>
    <row r="2785" spans="1:12" x14ac:dyDescent="0.25">
      <c r="A2785" s="5" t="s">
        <v>3397</v>
      </c>
      <c r="B2785" s="5" t="s">
        <v>3396</v>
      </c>
      <c r="C2785" s="5" t="s">
        <v>52</v>
      </c>
      <c r="D2785" s="21">
        <v>2</v>
      </c>
      <c r="E2785" s="12">
        <v>198</v>
      </c>
      <c r="F2785" s="10" t="str">
        <f>_xlfn.XLOOKUP(C2785,menu!A:A,menu!B:B)</f>
        <v>French Fries</v>
      </c>
      <c r="G2785" s="10" t="str">
        <f>_xlfn.XLOOKUP(C2785,menu!A:A,menu!C:C)</f>
        <v>Starters</v>
      </c>
      <c r="H2785" s="10">
        <f>_xlfn.XLOOKUP(C2785,menu!A:A,menu!E:E)</f>
        <v>30</v>
      </c>
      <c r="I2785" s="10">
        <f t="shared" si="43"/>
        <v>60</v>
      </c>
      <c r="K2785" s="10"/>
      <c r="L2785" s="5"/>
    </row>
    <row r="2786" spans="1:12" x14ac:dyDescent="0.25">
      <c r="A2786" s="5" t="s">
        <v>3395</v>
      </c>
      <c r="B2786" s="5" t="s">
        <v>3393</v>
      </c>
      <c r="C2786" s="5" t="s">
        <v>26</v>
      </c>
      <c r="D2786" s="21">
        <v>2</v>
      </c>
      <c r="E2786" s="12">
        <v>118</v>
      </c>
      <c r="F2786" s="10" t="str">
        <f>_xlfn.XLOOKUP(C2786,menu!A:A,menu!B:B)</f>
        <v>Veg Roll</v>
      </c>
      <c r="G2786" s="10" t="str">
        <f>_xlfn.XLOOKUP(C2786,menu!A:A,menu!C:C)</f>
        <v>Rolls</v>
      </c>
      <c r="H2786" s="10">
        <f>_xlfn.XLOOKUP(C2786,menu!A:A,menu!E:E)</f>
        <v>18</v>
      </c>
      <c r="I2786" s="10">
        <f t="shared" si="43"/>
        <v>36</v>
      </c>
      <c r="K2786" s="10"/>
      <c r="L2786" s="5"/>
    </row>
    <row r="2787" spans="1:12" x14ac:dyDescent="0.25">
      <c r="A2787" s="5" t="s">
        <v>3394</v>
      </c>
      <c r="B2787" s="5" t="s">
        <v>3393</v>
      </c>
      <c r="C2787" s="5" t="s">
        <v>24</v>
      </c>
      <c r="D2787" s="21">
        <v>1</v>
      </c>
      <c r="E2787" s="12">
        <v>89</v>
      </c>
      <c r="F2787" s="10" t="str">
        <f>_xlfn.XLOOKUP(C2787,menu!A:A,menu!B:B)</f>
        <v>Paneer Burger</v>
      </c>
      <c r="G2787" s="10" t="str">
        <f>_xlfn.XLOOKUP(C2787,menu!A:A,menu!C:C)</f>
        <v>Burger</v>
      </c>
      <c r="H2787" s="10">
        <f>_xlfn.XLOOKUP(C2787,menu!A:A,menu!E:E)</f>
        <v>27</v>
      </c>
      <c r="I2787" s="10">
        <f t="shared" si="43"/>
        <v>27</v>
      </c>
      <c r="K2787" s="10"/>
      <c r="L2787" s="5"/>
    </row>
    <row r="2788" spans="1:12" x14ac:dyDescent="0.25">
      <c r="A2788" s="5" t="s">
        <v>3392</v>
      </c>
      <c r="B2788" s="5" t="s">
        <v>3389</v>
      </c>
      <c r="C2788" s="5" t="s">
        <v>12</v>
      </c>
      <c r="D2788" s="21">
        <v>3</v>
      </c>
      <c r="E2788" s="12">
        <v>237</v>
      </c>
      <c r="F2788" s="10" t="str">
        <f>_xlfn.XLOOKUP(C2788,menu!A:A,menu!B:B)</f>
        <v>Veg Momos</v>
      </c>
      <c r="G2788" s="10" t="str">
        <f>_xlfn.XLOOKUP(C2788,menu!A:A,menu!C:C)</f>
        <v>Momos</v>
      </c>
      <c r="H2788" s="10">
        <f>_xlfn.XLOOKUP(C2788,menu!A:A,menu!E:E)</f>
        <v>24</v>
      </c>
      <c r="I2788" s="10">
        <f t="shared" si="43"/>
        <v>72</v>
      </c>
      <c r="K2788" s="10"/>
      <c r="L2788" s="5"/>
    </row>
    <row r="2789" spans="1:12" x14ac:dyDescent="0.25">
      <c r="A2789" s="5" t="s">
        <v>3391</v>
      </c>
      <c r="B2789" s="5" t="s">
        <v>3389</v>
      </c>
      <c r="C2789" s="5" t="s">
        <v>46</v>
      </c>
      <c r="D2789" s="21">
        <v>4</v>
      </c>
      <c r="E2789" s="12">
        <v>596</v>
      </c>
      <c r="F2789" s="10" t="str">
        <f>_xlfn.XLOOKUP(C2789,menu!A:A,menu!B:B)</f>
        <v>Fish Finger</v>
      </c>
      <c r="G2789" s="10" t="str">
        <f>_xlfn.XLOOKUP(C2789,menu!A:A,menu!C:C)</f>
        <v>Starters</v>
      </c>
      <c r="H2789" s="10">
        <f>_xlfn.XLOOKUP(C2789,menu!A:A,menu!E:E)</f>
        <v>45</v>
      </c>
      <c r="I2789" s="10">
        <f t="shared" si="43"/>
        <v>180</v>
      </c>
      <c r="K2789" s="10"/>
      <c r="L2789" s="5"/>
    </row>
    <row r="2790" spans="1:12" x14ac:dyDescent="0.25">
      <c r="A2790" s="5" t="s">
        <v>3390</v>
      </c>
      <c r="B2790" s="5" t="s">
        <v>3389</v>
      </c>
      <c r="C2790" s="5" t="s">
        <v>61</v>
      </c>
      <c r="D2790" s="21">
        <v>1</v>
      </c>
      <c r="E2790" s="12">
        <v>79</v>
      </c>
      <c r="F2790" s="10" t="str">
        <f>_xlfn.XLOOKUP(C2790,menu!A:A,menu!B:B)</f>
        <v>Watermelon Mojito</v>
      </c>
      <c r="G2790" s="10" t="str">
        <f>_xlfn.XLOOKUP(C2790,menu!A:A,menu!C:C)</f>
        <v>Beverages</v>
      </c>
      <c r="H2790" s="10">
        <f>_xlfn.XLOOKUP(C2790,menu!A:A,menu!E:E)</f>
        <v>24</v>
      </c>
      <c r="I2790" s="10">
        <f t="shared" si="43"/>
        <v>24</v>
      </c>
      <c r="K2790" s="10"/>
      <c r="L2790" s="5"/>
    </row>
    <row r="2791" spans="1:12" x14ac:dyDescent="0.25">
      <c r="A2791" s="5" t="s">
        <v>3388</v>
      </c>
      <c r="B2791" s="5" t="s">
        <v>3385</v>
      </c>
      <c r="C2791" s="5" t="s">
        <v>17</v>
      </c>
      <c r="D2791" s="21">
        <v>2</v>
      </c>
      <c r="E2791" s="12">
        <v>178</v>
      </c>
      <c r="F2791" s="10" t="str">
        <f>_xlfn.XLOOKUP(C2791,menu!A:A,menu!B:B)</f>
        <v>Paneer Momos</v>
      </c>
      <c r="G2791" s="10" t="str">
        <f>_xlfn.XLOOKUP(C2791,menu!A:A,menu!C:C)</f>
        <v>Momos</v>
      </c>
      <c r="H2791" s="10">
        <f>_xlfn.XLOOKUP(C2791,menu!A:A,menu!E:E)</f>
        <v>27</v>
      </c>
      <c r="I2791" s="10">
        <f t="shared" si="43"/>
        <v>54</v>
      </c>
      <c r="K2791" s="10"/>
      <c r="L2791" s="5"/>
    </row>
    <row r="2792" spans="1:12" x14ac:dyDescent="0.25">
      <c r="A2792" s="5" t="s">
        <v>3387</v>
      </c>
      <c r="B2792" s="5" t="s">
        <v>3385</v>
      </c>
      <c r="C2792" s="5" t="s">
        <v>56</v>
      </c>
      <c r="D2792" s="21">
        <v>1</v>
      </c>
      <c r="E2792" s="12">
        <v>79</v>
      </c>
      <c r="F2792" s="10" t="str">
        <f>_xlfn.XLOOKUP(C2792,menu!A:A,menu!B:B)</f>
        <v>Mint Mojito</v>
      </c>
      <c r="G2792" s="10" t="str">
        <f>_xlfn.XLOOKUP(C2792,menu!A:A,menu!C:C)</f>
        <v>Beverages</v>
      </c>
      <c r="H2792" s="10">
        <f>_xlfn.XLOOKUP(C2792,menu!A:A,menu!E:E)</f>
        <v>24</v>
      </c>
      <c r="I2792" s="10">
        <f t="shared" si="43"/>
        <v>24</v>
      </c>
      <c r="K2792" s="10"/>
      <c r="L2792" s="5"/>
    </row>
    <row r="2793" spans="1:12" x14ac:dyDescent="0.25">
      <c r="A2793" s="5" t="s">
        <v>3386</v>
      </c>
      <c r="B2793" s="5" t="s">
        <v>3385</v>
      </c>
      <c r="C2793" s="5" t="s">
        <v>38</v>
      </c>
      <c r="D2793" s="21">
        <v>2</v>
      </c>
      <c r="E2793" s="12">
        <v>298</v>
      </c>
      <c r="F2793" s="10" t="str">
        <f>_xlfn.XLOOKUP(C2793,menu!A:A,menu!B:B)</f>
        <v>Chicken Wings</v>
      </c>
      <c r="G2793" s="10" t="str">
        <f>_xlfn.XLOOKUP(C2793,menu!A:A,menu!C:C)</f>
        <v>Starters</v>
      </c>
      <c r="H2793" s="10">
        <f>_xlfn.XLOOKUP(C2793,menu!A:A,menu!E:E)</f>
        <v>45</v>
      </c>
      <c r="I2793" s="10">
        <f t="shared" si="43"/>
        <v>90</v>
      </c>
      <c r="K2793" s="10"/>
      <c r="L2793" s="5"/>
    </row>
    <row r="2794" spans="1:12" x14ac:dyDescent="0.25">
      <c r="A2794" s="5" t="s">
        <v>3384</v>
      </c>
      <c r="B2794" s="5" t="s">
        <v>3382</v>
      </c>
      <c r="C2794" s="5" t="s">
        <v>26</v>
      </c>
      <c r="D2794" s="21">
        <v>1</v>
      </c>
      <c r="E2794" s="12">
        <v>59</v>
      </c>
      <c r="F2794" s="10" t="str">
        <f>_xlfn.XLOOKUP(C2794,menu!A:A,menu!B:B)</f>
        <v>Veg Roll</v>
      </c>
      <c r="G2794" s="10" t="str">
        <f>_xlfn.XLOOKUP(C2794,menu!A:A,menu!C:C)</f>
        <v>Rolls</v>
      </c>
      <c r="H2794" s="10">
        <f>_xlfn.XLOOKUP(C2794,menu!A:A,menu!E:E)</f>
        <v>18</v>
      </c>
      <c r="I2794" s="10">
        <f t="shared" si="43"/>
        <v>18</v>
      </c>
      <c r="K2794" s="10"/>
      <c r="L2794" s="5"/>
    </row>
    <row r="2795" spans="1:12" x14ac:dyDescent="0.25">
      <c r="A2795" s="5" t="s">
        <v>3383</v>
      </c>
      <c r="B2795" s="5" t="s">
        <v>3382</v>
      </c>
      <c r="C2795" s="5" t="s">
        <v>48</v>
      </c>
      <c r="D2795" s="21">
        <v>4</v>
      </c>
      <c r="E2795" s="12">
        <v>636</v>
      </c>
      <c r="F2795" s="10" t="str">
        <f>_xlfn.XLOOKUP(C2795,menu!A:A,menu!B:B)</f>
        <v>Chicken Lollipop</v>
      </c>
      <c r="G2795" s="10" t="str">
        <f>_xlfn.XLOOKUP(C2795,menu!A:A,menu!C:C)</f>
        <v>Starters</v>
      </c>
      <c r="H2795" s="10">
        <f>_xlfn.XLOOKUP(C2795,menu!A:A,menu!E:E)</f>
        <v>48</v>
      </c>
      <c r="I2795" s="10">
        <f t="shared" si="43"/>
        <v>192</v>
      </c>
      <c r="K2795" s="10"/>
      <c r="L2795" s="5"/>
    </row>
    <row r="2796" spans="1:12" x14ac:dyDescent="0.25">
      <c r="A2796" s="5" t="s">
        <v>3381</v>
      </c>
      <c r="B2796" s="5" t="s">
        <v>3380</v>
      </c>
      <c r="C2796" s="5" t="s">
        <v>59</v>
      </c>
      <c r="D2796" s="21">
        <v>2</v>
      </c>
      <c r="E2796" s="12">
        <v>158</v>
      </c>
      <c r="F2796" s="10" t="str">
        <f>_xlfn.XLOOKUP(C2796,menu!A:A,menu!B:B)</f>
        <v>Blue Curacao Mojito</v>
      </c>
      <c r="G2796" s="10" t="str">
        <f>_xlfn.XLOOKUP(C2796,menu!A:A,menu!C:C)</f>
        <v>Beverages</v>
      </c>
      <c r="H2796" s="10">
        <f>_xlfn.XLOOKUP(C2796,menu!A:A,menu!E:E)</f>
        <v>24</v>
      </c>
      <c r="I2796" s="10">
        <f t="shared" si="43"/>
        <v>48</v>
      </c>
      <c r="K2796" s="10"/>
      <c r="L2796" s="5"/>
    </row>
    <row r="2797" spans="1:12" x14ac:dyDescent="0.25">
      <c r="A2797" s="5" t="s">
        <v>3379</v>
      </c>
      <c r="B2797" s="5" t="s">
        <v>3376</v>
      </c>
      <c r="C2797" s="5" t="s">
        <v>5</v>
      </c>
      <c r="D2797" s="21">
        <v>1</v>
      </c>
      <c r="E2797" s="12">
        <v>79</v>
      </c>
      <c r="F2797" s="10" t="str">
        <f>_xlfn.XLOOKUP(C2797,menu!A:A,menu!B:B)</f>
        <v>Veg Sandwich</v>
      </c>
      <c r="G2797" s="10" t="str">
        <f>_xlfn.XLOOKUP(C2797,menu!A:A,menu!C:C)</f>
        <v>Sandwich</v>
      </c>
      <c r="H2797" s="10">
        <f>_xlfn.XLOOKUP(C2797,menu!A:A,menu!E:E)</f>
        <v>24</v>
      </c>
      <c r="I2797" s="10">
        <f t="shared" si="43"/>
        <v>24</v>
      </c>
      <c r="K2797" s="10"/>
      <c r="L2797" s="5"/>
    </row>
    <row r="2798" spans="1:12" x14ac:dyDescent="0.25">
      <c r="A2798" s="5" t="s">
        <v>3378</v>
      </c>
      <c r="B2798" s="5" t="s">
        <v>3376</v>
      </c>
      <c r="C2798" s="5" t="s">
        <v>46</v>
      </c>
      <c r="D2798" s="21">
        <v>3</v>
      </c>
      <c r="E2798" s="12">
        <v>447</v>
      </c>
      <c r="F2798" s="10" t="str">
        <f>_xlfn.XLOOKUP(C2798,menu!A:A,menu!B:B)</f>
        <v>Fish Finger</v>
      </c>
      <c r="G2798" s="10" t="str">
        <f>_xlfn.XLOOKUP(C2798,menu!A:A,menu!C:C)</f>
        <v>Starters</v>
      </c>
      <c r="H2798" s="10">
        <f>_xlfn.XLOOKUP(C2798,menu!A:A,menu!E:E)</f>
        <v>45</v>
      </c>
      <c r="I2798" s="10">
        <f t="shared" si="43"/>
        <v>135</v>
      </c>
      <c r="K2798" s="10"/>
      <c r="L2798" s="5"/>
    </row>
    <row r="2799" spans="1:12" x14ac:dyDescent="0.25">
      <c r="A2799" s="5" t="s">
        <v>3377</v>
      </c>
      <c r="B2799" s="5" t="s">
        <v>3376</v>
      </c>
      <c r="C2799" s="5" t="s">
        <v>8</v>
      </c>
      <c r="D2799" s="21">
        <v>1</v>
      </c>
      <c r="E2799" s="12">
        <v>99</v>
      </c>
      <c r="F2799" s="10" t="str">
        <f>_xlfn.XLOOKUP(C2799,menu!A:A,menu!B:B)</f>
        <v>Paneer Sandwich</v>
      </c>
      <c r="G2799" s="10" t="str">
        <f>_xlfn.XLOOKUP(C2799,menu!A:A,menu!C:C)</f>
        <v>Sandwich</v>
      </c>
      <c r="H2799" s="10">
        <f>_xlfn.XLOOKUP(C2799,menu!A:A,menu!E:E)</f>
        <v>30</v>
      </c>
      <c r="I2799" s="10">
        <f t="shared" si="43"/>
        <v>30</v>
      </c>
      <c r="K2799" s="10"/>
      <c r="L2799" s="5"/>
    </row>
    <row r="2800" spans="1:12" x14ac:dyDescent="0.25">
      <c r="A2800" s="5" t="s">
        <v>3375</v>
      </c>
      <c r="B2800" s="5" t="s">
        <v>3371</v>
      </c>
      <c r="C2800" s="5" t="s">
        <v>12</v>
      </c>
      <c r="D2800" s="21">
        <v>2</v>
      </c>
      <c r="E2800" s="12">
        <v>158</v>
      </c>
      <c r="F2800" s="10" t="str">
        <f>_xlfn.XLOOKUP(C2800,menu!A:A,menu!B:B)</f>
        <v>Veg Momos</v>
      </c>
      <c r="G2800" s="10" t="str">
        <f>_xlfn.XLOOKUP(C2800,menu!A:A,menu!C:C)</f>
        <v>Momos</v>
      </c>
      <c r="H2800" s="10">
        <f>_xlfn.XLOOKUP(C2800,menu!A:A,menu!E:E)</f>
        <v>24</v>
      </c>
      <c r="I2800" s="10">
        <f t="shared" si="43"/>
        <v>48</v>
      </c>
      <c r="K2800" s="10"/>
      <c r="L2800" s="5"/>
    </row>
    <row r="2801" spans="1:12" x14ac:dyDescent="0.25">
      <c r="A2801" s="5" t="s">
        <v>3374</v>
      </c>
      <c r="B2801" s="5" t="s">
        <v>3371</v>
      </c>
      <c r="C2801" s="5" t="s">
        <v>50</v>
      </c>
      <c r="D2801" s="21">
        <v>2</v>
      </c>
      <c r="E2801" s="12">
        <v>298</v>
      </c>
      <c r="F2801" s="10" t="str">
        <f>_xlfn.XLOOKUP(C2801,menu!A:A,menu!B:B)</f>
        <v>Grab Lollipop</v>
      </c>
      <c r="G2801" s="10" t="str">
        <f>_xlfn.XLOOKUP(C2801,menu!A:A,menu!C:C)</f>
        <v>Starters</v>
      </c>
      <c r="H2801" s="10">
        <f>_xlfn.XLOOKUP(C2801,menu!A:A,menu!E:E)</f>
        <v>45</v>
      </c>
      <c r="I2801" s="10">
        <f t="shared" si="43"/>
        <v>90</v>
      </c>
      <c r="K2801" s="10"/>
      <c r="L2801" s="5"/>
    </row>
    <row r="2802" spans="1:12" x14ac:dyDescent="0.25">
      <c r="A2802" s="5" t="s">
        <v>3373</v>
      </c>
      <c r="B2802" s="5" t="s">
        <v>3371</v>
      </c>
      <c r="C2802" s="5" t="s">
        <v>46</v>
      </c>
      <c r="D2802" s="21">
        <v>1</v>
      </c>
      <c r="E2802" s="12">
        <v>149</v>
      </c>
      <c r="F2802" s="10" t="str">
        <f>_xlfn.XLOOKUP(C2802,menu!A:A,menu!B:B)</f>
        <v>Fish Finger</v>
      </c>
      <c r="G2802" s="10" t="str">
        <f>_xlfn.XLOOKUP(C2802,menu!A:A,menu!C:C)</f>
        <v>Starters</v>
      </c>
      <c r="H2802" s="10">
        <f>_xlfn.XLOOKUP(C2802,menu!A:A,menu!E:E)</f>
        <v>45</v>
      </c>
      <c r="I2802" s="10">
        <f t="shared" si="43"/>
        <v>45</v>
      </c>
      <c r="K2802" s="10"/>
      <c r="L2802" s="5"/>
    </row>
    <row r="2803" spans="1:12" x14ac:dyDescent="0.25">
      <c r="A2803" s="5" t="s">
        <v>3372</v>
      </c>
      <c r="B2803" s="5" t="s">
        <v>3371</v>
      </c>
      <c r="C2803" s="5" t="s">
        <v>59</v>
      </c>
      <c r="D2803" s="21">
        <v>5</v>
      </c>
      <c r="E2803" s="12">
        <v>395</v>
      </c>
      <c r="F2803" s="10" t="str">
        <f>_xlfn.XLOOKUP(C2803,menu!A:A,menu!B:B)</f>
        <v>Blue Curacao Mojito</v>
      </c>
      <c r="G2803" s="10" t="str">
        <f>_xlfn.XLOOKUP(C2803,menu!A:A,menu!C:C)</f>
        <v>Beverages</v>
      </c>
      <c r="H2803" s="10">
        <f>_xlfn.XLOOKUP(C2803,menu!A:A,menu!E:E)</f>
        <v>24</v>
      </c>
      <c r="I2803" s="10">
        <f t="shared" si="43"/>
        <v>120</v>
      </c>
      <c r="K2803" s="10"/>
      <c r="L2803" s="5"/>
    </row>
    <row r="2804" spans="1:12" x14ac:dyDescent="0.25">
      <c r="A2804" s="5" t="s">
        <v>3370</v>
      </c>
      <c r="B2804" s="5" t="s">
        <v>3368</v>
      </c>
      <c r="C2804" s="5" t="s">
        <v>42</v>
      </c>
      <c r="D2804" s="21">
        <v>1</v>
      </c>
      <c r="E2804" s="12">
        <v>149</v>
      </c>
      <c r="F2804" s="10" t="str">
        <f>_xlfn.XLOOKUP(C2804,menu!A:A,menu!B:B)</f>
        <v>Chicken Popcorn</v>
      </c>
      <c r="G2804" s="10" t="str">
        <f>_xlfn.XLOOKUP(C2804,menu!A:A,menu!C:C)</f>
        <v>Starters</v>
      </c>
      <c r="H2804" s="10">
        <f>_xlfn.XLOOKUP(C2804,menu!A:A,menu!E:E)</f>
        <v>45</v>
      </c>
      <c r="I2804" s="10">
        <f t="shared" si="43"/>
        <v>45</v>
      </c>
      <c r="K2804" s="10"/>
      <c r="L2804" s="5"/>
    </row>
    <row r="2805" spans="1:12" x14ac:dyDescent="0.25">
      <c r="A2805" s="5" t="s">
        <v>3369</v>
      </c>
      <c r="B2805" s="5" t="s">
        <v>3368</v>
      </c>
      <c r="C2805" s="5" t="s">
        <v>48</v>
      </c>
      <c r="D2805" s="21">
        <v>2</v>
      </c>
      <c r="E2805" s="12">
        <v>318</v>
      </c>
      <c r="F2805" s="10" t="str">
        <f>_xlfn.XLOOKUP(C2805,menu!A:A,menu!B:B)</f>
        <v>Chicken Lollipop</v>
      </c>
      <c r="G2805" s="10" t="str">
        <f>_xlfn.XLOOKUP(C2805,menu!A:A,menu!C:C)</f>
        <v>Starters</v>
      </c>
      <c r="H2805" s="10">
        <f>_xlfn.XLOOKUP(C2805,menu!A:A,menu!E:E)</f>
        <v>48</v>
      </c>
      <c r="I2805" s="10">
        <f t="shared" si="43"/>
        <v>96</v>
      </c>
      <c r="K2805" s="10"/>
      <c r="L2805" s="5"/>
    </row>
    <row r="2806" spans="1:12" x14ac:dyDescent="0.25">
      <c r="A2806" s="5" t="s">
        <v>3367</v>
      </c>
      <c r="B2806" s="5" t="s">
        <v>3365</v>
      </c>
      <c r="C2806" s="5" t="s">
        <v>15</v>
      </c>
      <c r="D2806" s="21">
        <v>3</v>
      </c>
      <c r="E2806" s="12">
        <v>297</v>
      </c>
      <c r="F2806" s="10" t="str">
        <f>_xlfn.XLOOKUP(C2806,menu!A:A,menu!B:B)</f>
        <v>Chicken Momos</v>
      </c>
      <c r="G2806" s="10" t="str">
        <f>_xlfn.XLOOKUP(C2806,menu!A:A,menu!C:C)</f>
        <v>Momos</v>
      </c>
      <c r="H2806" s="10">
        <f>_xlfn.XLOOKUP(C2806,menu!A:A,menu!E:E)</f>
        <v>30</v>
      </c>
      <c r="I2806" s="10">
        <f t="shared" si="43"/>
        <v>90</v>
      </c>
      <c r="K2806" s="10"/>
      <c r="L2806" s="5"/>
    </row>
    <row r="2807" spans="1:12" x14ac:dyDescent="0.25">
      <c r="A2807" s="5" t="s">
        <v>3366</v>
      </c>
      <c r="B2807" s="5" t="s">
        <v>3365</v>
      </c>
      <c r="C2807" s="5" t="s">
        <v>46</v>
      </c>
      <c r="D2807" s="21">
        <v>1</v>
      </c>
      <c r="E2807" s="12">
        <v>149</v>
      </c>
      <c r="F2807" s="10" t="str">
        <f>_xlfn.XLOOKUP(C2807,menu!A:A,menu!B:B)</f>
        <v>Fish Finger</v>
      </c>
      <c r="G2807" s="10" t="str">
        <f>_xlfn.XLOOKUP(C2807,menu!A:A,menu!C:C)</f>
        <v>Starters</v>
      </c>
      <c r="H2807" s="10">
        <f>_xlfn.XLOOKUP(C2807,menu!A:A,menu!E:E)</f>
        <v>45</v>
      </c>
      <c r="I2807" s="10">
        <f t="shared" si="43"/>
        <v>45</v>
      </c>
      <c r="K2807" s="10"/>
      <c r="L2807" s="5"/>
    </row>
    <row r="2808" spans="1:12" x14ac:dyDescent="0.25">
      <c r="A2808" s="5" t="s">
        <v>3364</v>
      </c>
      <c r="B2808" s="5" t="s">
        <v>3362</v>
      </c>
      <c r="C2808" s="5" t="s">
        <v>19</v>
      </c>
      <c r="D2808" s="21">
        <v>2</v>
      </c>
      <c r="E2808" s="12">
        <v>158</v>
      </c>
      <c r="F2808" s="10" t="str">
        <f>_xlfn.XLOOKUP(C2808,menu!A:A,menu!B:B)</f>
        <v>Veg Burger</v>
      </c>
      <c r="G2808" s="10" t="str">
        <f>_xlfn.XLOOKUP(C2808,menu!A:A,menu!C:C)</f>
        <v>Burger</v>
      </c>
      <c r="H2808" s="10">
        <f>_xlfn.XLOOKUP(C2808,menu!A:A,menu!E:E)</f>
        <v>24</v>
      </c>
      <c r="I2808" s="10">
        <f t="shared" si="43"/>
        <v>48</v>
      </c>
      <c r="K2808" s="10"/>
      <c r="L2808" s="5"/>
    </row>
    <row r="2809" spans="1:12" x14ac:dyDescent="0.25">
      <c r="A2809" s="5" t="s">
        <v>3363</v>
      </c>
      <c r="B2809" s="5" t="s">
        <v>3362</v>
      </c>
      <c r="C2809" s="5" t="s">
        <v>33</v>
      </c>
      <c r="D2809" s="21">
        <v>5</v>
      </c>
      <c r="E2809" s="12">
        <v>345</v>
      </c>
      <c r="F2809" s="10" t="str">
        <f>_xlfn.XLOOKUP(C2809,menu!A:A,menu!B:B)</f>
        <v>Spring Roll</v>
      </c>
      <c r="G2809" s="10" t="str">
        <f>_xlfn.XLOOKUP(C2809,menu!A:A,menu!C:C)</f>
        <v>Rolls</v>
      </c>
      <c r="H2809" s="10">
        <f>_xlfn.XLOOKUP(C2809,menu!A:A,menu!E:E)</f>
        <v>21</v>
      </c>
      <c r="I2809" s="10">
        <f t="shared" si="43"/>
        <v>105</v>
      </c>
      <c r="K2809" s="10"/>
      <c r="L2809" s="5"/>
    </row>
    <row r="2810" spans="1:12" x14ac:dyDescent="0.25">
      <c r="A2810" s="5" t="s">
        <v>3361</v>
      </c>
      <c r="B2810" s="5" t="s">
        <v>3359</v>
      </c>
      <c r="C2810" s="5" t="s">
        <v>17</v>
      </c>
      <c r="D2810" s="21">
        <v>1</v>
      </c>
      <c r="E2810" s="12">
        <v>89</v>
      </c>
      <c r="F2810" s="10" t="str">
        <f>_xlfn.XLOOKUP(C2810,menu!A:A,menu!B:B)</f>
        <v>Paneer Momos</v>
      </c>
      <c r="G2810" s="10" t="str">
        <f>_xlfn.XLOOKUP(C2810,menu!A:A,menu!C:C)</f>
        <v>Momos</v>
      </c>
      <c r="H2810" s="10">
        <f>_xlfn.XLOOKUP(C2810,menu!A:A,menu!E:E)</f>
        <v>27</v>
      </c>
      <c r="I2810" s="10">
        <f t="shared" si="43"/>
        <v>27</v>
      </c>
      <c r="K2810" s="10"/>
      <c r="L2810" s="5"/>
    </row>
    <row r="2811" spans="1:12" x14ac:dyDescent="0.25">
      <c r="A2811" s="5" t="s">
        <v>3360</v>
      </c>
      <c r="B2811" s="5" t="s">
        <v>3359</v>
      </c>
      <c r="C2811" s="5" t="s">
        <v>52</v>
      </c>
      <c r="D2811" s="21">
        <v>1</v>
      </c>
      <c r="E2811" s="12">
        <v>99</v>
      </c>
      <c r="F2811" s="10" t="str">
        <f>_xlfn.XLOOKUP(C2811,menu!A:A,menu!B:B)</f>
        <v>French Fries</v>
      </c>
      <c r="G2811" s="10" t="str">
        <f>_xlfn.XLOOKUP(C2811,menu!A:A,menu!C:C)</f>
        <v>Starters</v>
      </c>
      <c r="H2811" s="10">
        <f>_xlfn.XLOOKUP(C2811,menu!A:A,menu!E:E)</f>
        <v>30</v>
      </c>
      <c r="I2811" s="10">
        <f t="shared" si="43"/>
        <v>30</v>
      </c>
      <c r="K2811" s="10"/>
      <c r="L2811" s="5"/>
    </row>
    <row r="2812" spans="1:12" x14ac:dyDescent="0.25">
      <c r="A2812" s="5" t="s">
        <v>3358</v>
      </c>
      <c r="B2812" s="5" t="s">
        <v>3354</v>
      </c>
      <c r="C2812" s="5" t="s">
        <v>52</v>
      </c>
      <c r="D2812" s="21">
        <v>3</v>
      </c>
      <c r="E2812" s="12">
        <v>297</v>
      </c>
      <c r="F2812" s="10" t="str">
        <f>_xlfn.XLOOKUP(C2812,menu!A:A,menu!B:B)</f>
        <v>French Fries</v>
      </c>
      <c r="G2812" s="10" t="str">
        <f>_xlfn.XLOOKUP(C2812,menu!A:A,menu!C:C)</f>
        <v>Starters</v>
      </c>
      <c r="H2812" s="10">
        <f>_xlfn.XLOOKUP(C2812,menu!A:A,menu!E:E)</f>
        <v>30</v>
      </c>
      <c r="I2812" s="10">
        <f t="shared" si="43"/>
        <v>90</v>
      </c>
      <c r="K2812" s="10"/>
      <c r="L2812" s="5"/>
    </row>
    <row r="2813" spans="1:12" x14ac:dyDescent="0.25">
      <c r="A2813" s="5" t="s">
        <v>3357</v>
      </c>
      <c r="B2813" s="5" t="s">
        <v>3354</v>
      </c>
      <c r="C2813" s="5" t="s">
        <v>44</v>
      </c>
      <c r="D2813" s="21">
        <v>2</v>
      </c>
      <c r="E2813" s="12">
        <v>318</v>
      </c>
      <c r="F2813" s="10" t="str">
        <f>_xlfn.XLOOKUP(C2813,menu!A:A,menu!B:B)</f>
        <v>Fried Chicken</v>
      </c>
      <c r="G2813" s="10" t="str">
        <f>_xlfn.XLOOKUP(C2813,menu!A:A,menu!C:C)</f>
        <v>Starters</v>
      </c>
      <c r="H2813" s="10">
        <f>_xlfn.XLOOKUP(C2813,menu!A:A,menu!E:E)</f>
        <v>48</v>
      </c>
      <c r="I2813" s="10">
        <f t="shared" si="43"/>
        <v>96</v>
      </c>
      <c r="K2813" s="10"/>
      <c r="L2813" s="5"/>
    </row>
    <row r="2814" spans="1:12" x14ac:dyDescent="0.25">
      <c r="A2814" s="5" t="s">
        <v>3356</v>
      </c>
      <c r="B2814" s="5" t="s">
        <v>3354</v>
      </c>
      <c r="C2814" s="5" t="s">
        <v>59</v>
      </c>
      <c r="D2814" s="21">
        <v>1</v>
      </c>
      <c r="E2814" s="12">
        <v>79</v>
      </c>
      <c r="F2814" s="10" t="str">
        <f>_xlfn.XLOOKUP(C2814,menu!A:A,menu!B:B)</f>
        <v>Blue Curacao Mojito</v>
      </c>
      <c r="G2814" s="10" t="str">
        <f>_xlfn.XLOOKUP(C2814,menu!A:A,menu!C:C)</f>
        <v>Beverages</v>
      </c>
      <c r="H2814" s="10">
        <f>_xlfn.XLOOKUP(C2814,menu!A:A,menu!E:E)</f>
        <v>24</v>
      </c>
      <c r="I2814" s="10">
        <f t="shared" si="43"/>
        <v>24</v>
      </c>
      <c r="K2814" s="10"/>
      <c r="L2814" s="5"/>
    </row>
    <row r="2815" spans="1:12" x14ac:dyDescent="0.25">
      <c r="A2815" s="5" t="s">
        <v>3355</v>
      </c>
      <c r="B2815" s="5" t="s">
        <v>3354</v>
      </c>
      <c r="C2815" s="5" t="s">
        <v>38</v>
      </c>
      <c r="D2815" s="21">
        <v>1</v>
      </c>
      <c r="E2815" s="12">
        <v>149</v>
      </c>
      <c r="F2815" s="10" t="str">
        <f>_xlfn.XLOOKUP(C2815,menu!A:A,menu!B:B)</f>
        <v>Chicken Wings</v>
      </c>
      <c r="G2815" s="10" t="str">
        <f>_xlfn.XLOOKUP(C2815,menu!A:A,menu!C:C)</f>
        <v>Starters</v>
      </c>
      <c r="H2815" s="10">
        <f>_xlfn.XLOOKUP(C2815,menu!A:A,menu!E:E)</f>
        <v>45</v>
      </c>
      <c r="I2815" s="10">
        <f t="shared" si="43"/>
        <v>45</v>
      </c>
      <c r="K2815" s="10"/>
      <c r="L2815" s="5"/>
    </row>
    <row r="2816" spans="1:12" x14ac:dyDescent="0.25">
      <c r="A2816" s="5" t="s">
        <v>3353</v>
      </c>
      <c r="B2816" s="5" t="s">
        <v>3349</v>
      </c>
      <c r="C2816" s="5" t="s">
        <v>50</v>
      </c>
      <c r="D2816" s="21">
        <v>1</v>
      </c>
      <c r="E2816" s="12">
        <v>149</v>
      </c>
      <c r="F2816" s="10" t="str">
        <f>_xlfn.XLOOKUP(C2816,menu!A:A,menu!B:B)</f>
        <v>Grab Lollipop</v>
      </c>
      <c r="G2816" s="10" t="str">
        <f>_xlfn.XLOOKUP(C2816,menu!A:A,menu!C:C)</f>
        <v>Starters</v>
      </c>
      <c r="H2816" s="10">
        <f>_xlfn.XLOOKUP(C2816,menu!A:A,menu!E:E)</f>
        <v>45</v>
      </c>
      <c r="I2816" s="10">
        <f t="shared" si="43"/>
        <v>45</v>
      </c>
      <c r="K2816" s="10"/>
      <c r="L2816" s="5"/>
    </row>
    <row r="2817" spans="1:12" x14ac:dyDescent="0.25">
      <c r="A2817" s="5" t="s">
        <v>3352</v>
      </c>
      <c r="B2817" s="5" t="s">
        <v>3349</v>
      </c>
      <c r="C2817" s="5" t="s">
        <v>44</v>
      </c>
      <c r="D2817" s="21">
        <v>5</v>
      </c>
      <c r="E2817" s="12">
        <v>795</v>
      </c>
      <c r="F2817" s="10" t="str">
        <f>_xlfn.XLOOKUP(C2817,menu!A:A,menu!B:B)</f>
        <v>Fried Chicken</v>
      </c>
      <c r="G2817" s="10" t="str">
        <f>_xlfn.XLOOKUP(C2817,menu!A:A,menu!C:C)</f>
        <v>Starters</v>
      </c>
      <c r="H2817" s="10">
        <f>_xlfn.XLOOKUP(C2817,menu!A:A,menu!E:E)</f>
        <v>48</v>
      </c>
      <c r="I2817" s="10">
        <f t="shared" si="43"/>
        <v>240</v>
      </c>
      <c r="K2817" s="10"/>
      <c r="L2817" s="5"/>
    </row>
    <row r="2818" spans="1:12" x14ac:dyDescent="0.25">
      <c r="A2818" s="5" t="s">
        <v>3351</v>
      </c>
      <c r="B2818" s="5" t="s">
        <v>3349</v>
      </c>
      <c r="C2818" s="5" t="s">
        <v>59</v>
      </c>
      <c r="D2818" s="21">
        <v>1</v>
      </c>
      <c r="E2818" s="12">
        <v>79</v>
      </c>
      <c r="F2818" s="10" t="str">
        <f>_xlfn.XLOOKUP(C2818,menu!A:A,menu!B:B)</f>
        <v>Blue Curacao Mojito</v>
      </c>
      <c r="G2818" s="10" t="str">
        <f>_xlfn.XLOOKUP(C2818,menu!A:A,menu!C:C)</f>
        <v>Beverages</v>
      </c>
      <c r="H2818" s="10">
        <f>_xlfn.XLOOKUP(C2818,menu!A:A,menu!E:E)</f>
        <v>24</v>
      </c>
      <c r="I2818" s="10">
        <f t="shared" si="43"/>
        <v>24</v>
      </c>
      <c r="K2818" s="10"/>
      <c r="L2818" s="5"/>
    </row>
    <row r="2819" spans="1:12" x14ac:dyDescent="0.25">
      <c r="A2819" s="5" t="s">
        <v>3350</v>
      </c>
      <c r="B2819" s="5" t="s">
        <v>3349</v>
      </c>
      <c r="C2819" s="5" t="s">
        <v>38</v>
      </c>
      <c r="D2819" s="21">
        <v>5</v>
      </c>
      <c r="E2819" s="12">
        <v>745</v>
      </c>
      <c r="F2819" s="10" t="str">
        <f>_xlfn.XLOOKUP(C2819,menu!A:A,menu!B:B)</f>
        <v>Chicken Wings</v>
      </c>
      <c r="G2819" s="10" t="str">
        <f>_xlfn.XLOOKUP(C2819,menu!A:A,menu!C:C)</f>
        <v>Starters</v>
      </c>
      <c r="H2819" s="10">
        <f>_xlfn.XLOOKUP(C2819,menu!A:A,menu!E:E)</f>
        <v>45</v>
      </c>
      <c r="I2819" s="10">
        <f t="shared" ref="I2819:I2882" si="44">D2819*H2819</f>
        <v>225</v>
      </c>
      <c r="K2819" s="10"/>
      <c r="L2819" s="5"/>
    </row>
    <row r="2820" spans="1:12" x14ac:dyDescent="0.25">
      <c r="A2820" s="5" t="s">
        <v>3348</v>
      </c>
      <c r="B2820" s="5" t="s">
        <v>3346</v>
      </c>
      <c r="C2820" s="5" t="s">
        <v>52</v>
      </c>
      <c r="D2820" s="21">
        <v>2</v>
      </c>
      <c r="E2820" s="12">
        <v>198</v>
      </c>
      <c r="F2820" s="10" t="str">
        <f>_xlfn.XLOOKUP(C2820,menu!A:A,menu!B:B)</f>
        <v>French Fries</v>
      </c>
      <c r="G2820" s="10" t="str">
        <f>_xlfn.XLOOKUP(C2820,menu!A:A,menu!C:C)</f>
        <v>Starters</v>
      </c>
      <c r="H2820" s="10">
        <f>_xlfn.XLOOKUP(C2820,menu!A:A,menu!E:E)</f>
        <v>30</v>
      </c>
      <c r="I2820" s="10">
        <f t="shared" si="44"/>
        <v>60</v>
      </c>
      <c r="K2820" s="10"/>
      <c r="L2820" s="5"/>
    </row>
    <row r="2821" spans="1:12" x14ac:dyDescent="0.25">
      <c r="A2821" s="5" t="s">
        <v>3347</v>
      </c>
      <c r="B2821" s="5" t="s">
        <v>3346</v>
      </c>
      <c r="C2821" s="5" t="s">
        <v>31</v>
      </c>
      <c r="D2821" s="21">
        <v>5</v>
      </c>
      <c r="E2821" s="12">
        <v>445</v>
      </c>
      <c r="F2821" s="10" t="str">
        <f>_xlfn.XLOOKUP(C2821,menu!A:A,menu!B:B)</f>
        <v>Chicken Roll</v>
      </c>
      <c r="G2821" s="10" t="str">
        <f>_xlfn.XLOOKUP(C2821,menu!A:A,menu!C:C)</f>
        <v>Rolls</v>
      </c>
      <c r="H2821" s="10">
        <f>_xlfn.XLOOKUP(C2821,menu!A:A,menu!E:E)</f>
        <v>27</v>
      </c>
      <c r="I2821" s="10">
        <f t="shared" si="44"/>
        <v>135</v>
      </c>
      <c r="K2821" s="10"/>
      <c r="L2821" s="5"/>
    </row>
    <row r="2822" spans="1:12" x14ac:dyDescent="0.25">
      <c r="A2822" s="5" t="s">
        <v>3345</v>
      </c>
      <c r="B2822" s="5" t="s">
        <v>3344</v>
      </c>
      <c r="C2822" s="5" t="s">
        <v>44</v>
      </c>
      <c r="D2822" s="21">
        <v>2</v>
      </c>
      <c r="E2822" s="12">
        <v>318</v>
      </c>
      <c r="F2822" s="10" t="str">
        <f>_xlfn.XLOOKUP(C2822,menu!A:A,menu!B:B)</f>
        <v>Fried Chicken</v>
      </c>
      <c r="G2822" s="10" t="str">
        <f>_xlfn.XLOOKUP(C2822,menu!A:A,menu!C:C)</f>
        <v>Starters</v>
      </c>
      <c r="H2822" s="10">
        <f>_xlfn.XLOOKUP(C2822,menu!A:A,menu!E:E)</f>
        <v>48</v>
      </c>
      <c r="I2822" s="10">
        <f t="shared" si="44"/>
        <v>96</v>
      </c>
      <c r="K2822" s="10"/>
      <c r="L2822" s="5"/>
    </row>
    <row r="2823" spans="1:12" x14ac:dyDescent="0.25">
      <c r="A2823" s="5" t="s">
        <v>3343</v>
      </c>
      <c r="B2823" s="5" t="s">
        <v>3341</v>
      </c>
      <c r="C2823" s="5" t="s">
        <v>40</v>
      </c>
      <c r="D2823" s="21">
        <v>1</v>
      </c>
      <c r="E2823" s="12">
        <v>99</v>
      </c>
      <c r="F2823" s="10" t="str">
        <f>_xlfn.XLOOKUP(C2823,menu!A:A,menu!B:B)</f>
        <v>Veg Nuggets</v>
      </c>
      <c r="G2823" s="10" t="str">
        <f>_xlfn.XLOOKUP(C2823,menu!A:A,menu!C:C)</f>
        <v>Starters</v>
      </c>
      <c r="H2823" s="10">
        <f>_xlfn.XLOOKUP(C2823,menu!A:A,menu!E:E)</f>
        <v>30</v>
      </c>
      <c r="I2823" s="10">
        <f t="shared" si="44"/>
        <v>30</v>
      </c>
      <c r="K2823" s="10"/>
      <c r="L2823" s="5"/>
    </row>
    <row r="2824" spans="1:12" x14ac:dyDescent="0.25">
      <c r="A2824" s="5" t="s">
        <v>3342</v>
      </c>
      <c r="B2824" s="5" t="s">
        <v>3341</v>
      </c>
      <c r="C2824" s="5" t="s">
        <v>24</v>
      </c>
      <c r="D2824" s="21">
        <v>2</v>
      </c>
      <c r="E2824" s="12">
        <v>178</v>
      </c>
      <c r="F2824" s="10" t="str">
        <f>_xlfn.XLOOKUP(C2824,menu!A:A,menu!B:B)</f>
        <v>Paneer Burger</v>
      </c>
      <c r="G2824" s="10" t="str">
        <f>_xlfn.XLOOKUP(C2824,menu!A:A,menu!C:C)</f>
        <v>Burger</v>
      </c>
      <c r="H2824" s="10">
        <f>_xlfn.XLOOKUP(C2824,menu!A:A,menu!E:E)</f>
        <v>27</v>
      </c>
      <c r="I2824" s="10">
        <f t="shared" si="44"/>
        <v>54</v>
      </c>
      <c r="K2824" s="10"/>
      <c r="L2824" s="5"/>
    </row>
    <row r="2825" spans="1:12" x14ac:dyDescent="0.25">
      <c r="A2825" s="5" t="s">
        <v>3340</v>
      </c>
      <c r="B2825" s="5" t="s">
        <v>3338</v>
      </c>
      <c r="C2825" s="5" t="s">
        <v>52</v>
      </c>
      <c r="D2825" s="21">
        <v>1</v>
      </c>
      <c r="E2825" s="12">
        <v>99</v>
      </c>
      <c r="F2825" s="10" t="str">
        <f>_xlfn.XLOOKUP(C2825,menu!A:A,menu!B:B)</f>
        <v>French Fries</v>
      </c>
      <c r="G2825" s="10" t="str">
        <f>_xlfn.XLOOKUP(C2825,menu!A:A,menu!C:C)</f>
        <v>Starters</v>
      </c>
      <c r="H2825" s="10">
        <f>_xlfn.XLOOKUP(C2825,menu!A:A,menu!E:E)</f>
        <v>30</v>
      </c>
      <c r="I2825" s="10">
        <f t="shared" si="44"/>
        <v>30</v>
      </c>
      <c r="K2825" s="10"/>
      <c r="L2825" s="5"/>
    </row>
    <row r="2826" spans="1:12" x14ac:dyDescent="0.25">
      <c r="A2826" s="5" t="s">
        <v>3339</v>
      </c>
      <c r="B2826" s="5" t="s">
        <v>3338</v>
      </c>
      <c r="C2826" s="5" t="s">
        <v>35</v>
      </c>
      <c r="D2826" s="21">
        <v>1</v>
      </c>
      <c r="E2826" s="12">
        <v>119</v>
      </c>
      <c r="F2826" s="10" t="str">
        <f>_xlfn.XLOOKUP(C2826,menu!A:A,menu!B:B)</f>
        <v>Chicken Nuggets</v>
      </c>
      <c r="G2826" s="10" t="str">
        <f>_xlfn.XLOOKUP(C2826,menu!A:A,menu!C:C)</f>
        <v>Starters</v>
      </c>
      <c r="H2826" s="10">
        <f>_xlfn.XLOOKUP(C2826,menu!A:A,menu!E:E)</f>
        <v>36</v>
      </c>
      <c r="I2826" s="10">
        <f t="shared" si="44"/>
        <v>36</v>
      </c>
      <c r="K2826" s="10"/>
      <c r="L2826" s="5"/>
    </row>
    <row r="2827" spans="1:12" x14ac:dyDescent="0.25">
      <c r="A2827" s="5" t="s">
        <v>3337</v>
      </c>
      <c r="B2827" s="5" t="s">
        <v>3335</v>
      </c>
      <c r="C2827" s="5" t="s">
        <v>33</v>
      </c>
      <c r="D2827" s="21">
        <v>1</v>
      </c>
      <c r="E2827" s="12">
        <v>69</v>
      </c>
      <c r="F2827" s="10" t="str">
        <f>_xlfn.XLOOKUP(C2827,menu!A:A,menu!B:B)</f>
        <v>Spring Roll</v>
      </c>
      <c r="G2827" s="10" t="str">
        <f>_xlfn.XLOOKUP(C2827,menu!A:A,menu!C:C)</f>
        <v>Rolls</v>
      </c>
      <c r="H2827" s="10">
        <f>_xlfn.XLOOKUP(C2827,menu!A:A,menu!E:E)</f>
        <v>21</v>
      </c>
      <c r="I2827" s="10">
        <f t="shared" si="44"/>
        <v>21</v>
      </c>
      <c r="K2827" s="10"/>
      <c r="L2827" s="5"/>
    </row>
    <row r="2828" spans="1:12" x14ac:dyDescent="0.25">
      <c r="A2828" s="5" t="s">
        <v>3336</v>
      </c>
      <c r="B2828" s="5" t="s">
        <v>3335</v>
      </c>
      <c r="C2828" s="5" t="s">
        <v>48</v>
      </c>
      <c r="D2828" s="21">
        <v>2</v>
      </c>
      <c r="E2828" s="12">
        <v>318</v>
      </c>
      <c r="F2828" s="10" t="str">
        <f>_xlfn.XLOOKUP(C2828,menu!A:A,menu!B:B)</f>
        <v>Chicken Lollipop</v>
      </c>
      <c r="G2828" s="10" t="str">
        <f>_xlfn.XLOOKUP(C2828,menu!A:A,menu!C:C)</f>
        <v>Starters</v>
      </c>
      <c r="H2828" s="10">
        <f>_xlfn.XLOOKUP(C2828,menu!A:A,menu!E:E)</f>
        <v>48</v>
      </c>
      <c r="I2828" s="10">
        <f t="shared" si="44"/>
        <v>96</v>
      </c>
      <c r="K2828" s="10"/>
      <c r="L2828" s="5"/>
    </row>
    <row r="2829" spans="1:12" x14ac:dyDescent="0.25">
      <c r="A2829" s="5" t="s">
        <v>3334</v>
      </c>
      <c r="B2829" s="5" t="s">
        <v>3330</v>
      </c>
      <c r="C2829" s="5" t="s">
        <v>52</v>
      </c>
      <c r="D2829" s="21">
        <v>1</v>
      </c>
      <c r="E2829" s="12">
        <v>99</v>
      </c>
      <c r="F2829" s="10" t="str">
        <f>_xlfn.XLOOKUP(C2829,menu!A:A,menu!B:B)</f>
        <v>French Fries</v>
      </c>
      <c r="G2829" s="10" t="str">
        <f>_xlfn.XLOOKUP(C2829,menu!A:A,menu!C:C)</f>
        <v>Starters</v>
      </c>
      <c r="H2829" s="10">
        <f>_xlfn.XLOOKUP(C2829,menu!A:A,menu!E:E)</f>
        <v>30</v>
      </c>
      <c r="I2829" s="10">
        <f t="shared" si="44"/>
        <v>30</v>
      </c>
      <c r="K2829" s="10"/>
      <c r="L2829" s="5"/>
    </row>
    <row r="2830" spans="1:12" x14ac:dyDescent="0.25">
      <c r="A2830" s="5" t="s">
        <v>3333</v>
      </c>
      <c r="B2830" s="5" t="s">
        <v>3330</v>
      </c>
      <c r="C2830" s="5" t="s">
        <v>35</v>
      </c>
      <c r="D2830" s="21">
        <v>3</v>
      </c>
      <c r="E2830" s="12">
        <v>357</v>
      </c>
      <c r="F2830" s="10" t="str">
        <f>_xlfn.XLOOKUP(C2830,menu!A:A,menu!B:B)</f>
        <v>Chicken Nuggets</v>
      </c>
      <c r="G2830" s="10" t="str">
        <f>_xlfn.XLOOKUP(C2830,menu!A:A,menu!C:C)</f>
        <v>Starters</v>
      </c>
      <c r="H2830" s="10">
        <f>_xlfn.XLOOKUP(C2830,menu!A:A,menu!E:E)</f>
        <v>36</v>
      </c>
      <c r="I2830" s="10">
        <f t="shared" si="44"/>
        <v>108</v>
      </c>
      <c r="K2830" s="10"/>
      <c r="L2830" s="5"/>
    </row>
    <row r="2831" spans="1:12" x14ac:dyDescent="0.25">
      <c r="A2831" s="5" t="s">
        <v>3332</v>
      </c>
      <c r="B2831" s="5" t="s">
        <v>3330</v>
      </c>
      <c r="C2831" s="5" t="s">
        <v>42</v>
      </c>
      <c r="D2831" s="21">
        <v>3</v>
      </c>
      <c r="E2831" s="12">
        <v>447</v>
      </c>
      <c r="F2831" s="10" t="str">
        <f>_xlfn.XLOOKUP(C2831,menu!A:A,menu!B:B)</f>
        <v>Chicken Popcorn</v>
      </c>
      <c r="G2831" s="10" t="str">
        <f>_xlfn.XLOOKUP(C2831,menu!A:A,menu!C:C)</f>
        <v>Starters</v>
      </c>
      <c r="H2831" s="10">
        <f>_xlfn.XLOOKUP(C2831,menu!A:A,menu!E:E)</f>
        <v>45</v>
      </c>
      <c r="I2831" s="10">
        <f t="shared" si="44"/>
        <v>135</v>
      </c>
      <c r="K2831" s="10"/>
      <c r="L2831" s="5"/>
    </row>
    <row r="2832" spans="1:12" x14ac:dyDescent="0.25">
      <c r="A2832" s="5" t="s">
        <v>3331</v>
      </c>
      <c r="B2832" s="5" t="s">
        <v>3330</v>
      </c>
      <c r="C2832" s="5" t="s">
        <v>38</v>
      </c>
      <c r="D2832" s="21">
        <v>1</v>
      </c>
      <c r="E2832" s="12">
        <v>149</v>
      </c>
      <c r="F2832" s="10" t="str">
        <f>_xlfn.XLOOKUP(C2832,menu!A:A,menu!B:B)</f>
        <v>Chicken Wings</v>
      </c>
      <c r="G2832" s="10" t="str">
        <f>_xlfn.XLOOKUP(C2832,menu!A:A,menu!C:C)</f>
        <v>Starters</v>
      </c>
      <c r="H2832" s="10">
        <f>_xlfn.XLOOKUP(C2832,menu!A:A,menu!E:E)</f>
        <v>45</v>
      </c>
      <c r="I2832" s="10">
        <f t="shared" si="44"/>
        <v>45</v>
      </c>
      <c r="K2832" s="10"/>
      <c r="L2832" s="5"/>
    </row>
    <row r="2833" spans="1:12" x14ac:dyDescent="0.25">
      <c r="A2833" s="5" t="s">
        <v>3329</v>
      </c>
      <c r="B2833" s="5" t="s">
        <v>3326</v>
      </c>
      <c r="C2833" s="5" t="s">
        <v>12</v>
      </c>
      <c r="D2833" s="21">
        <v>2</v>
      </c>
      <c r="E2833" s="12">
        <v>158</v>
      </c>
      <c r="F2833" s="10" t="str">
        <f>_xlfn.XLOOKUP(C2833,menu!A:A,menu!B:B)</f>
        <v>Veg Momos</v>
      </c>
      <c r="G2833" s="10" t="str">
        <f>_xlfn.XLOOKUP(C2833,menu!A:A,menu!C:C)</f>
        <v>Momos</v>
      </c>
      <c r="H2833" s="10">
        <f>_xlfn.XLOOKUP(C2833,menu!A:A,menu!E:E)</f>
        <v>24</v>
      </c>
      <c r="I2833" s="10">
        <f t="shared" si="44"/>
        <v>48</v>
      </c>
      <c r="K2833" s="10"/>
      <c r="L2833" s="5"/>
    </row>
    <row r="2834" spans="1:12" x14ac:dyDescent="0.25">
      <c r="A2834" s="5" t="s">
        <v>3328</v>
      </c>
      <c r="B2834" s="5" t="s">
        <v>3326</v>
      </c>
      <c r="C2834" s="5" t="s">
        <v>61</v>
      </c>
      <c r="D2834" s="21">
        <v>3</v>
      </c>
      <c r="E2834" s="12">
        <v>237</v>
      </c>
      <c r="F2834" s="10" t="str">
        <f>_xlfn.XLOOKUP(C2834,menu!A:A,menu!B:B)</f>
        <v>Watermelon Mojito</v>
      </c>
      <c r="G2834" s="10" t="str">
        <f>_xlfn.XLOOKUP(C2834,menu!A:A,menu!C:C)</f>
        <v>Beverages</v>
      </c>
      <c r="H2834" s="10">
        <f>_xlfn.XLOOKUP(C2834,menu!A:A,menu!E:E)</f>
        <v>24</v>
      </c>
      <c r="I2834" s="10">
        <f t="shared" si="44"/>
        <v>72</v>
      </c>
      <c r="K2834" s="10"/>
      <c r="L2834" s="5"/>
    </row>
    <row r="2835" spans="1:12" x14ac:dyDescent="0.25">
      <c r="A2835" s="5" t="s">
        <v>3327</v>
      </c>
      <c r="B2835" s="5" t="s">
        <v>3326</v>
      </c>
      <c r="C2835" s="5" t="s">
        <v>24</v>
      </c>
      <c r="D2835" s="21">
        <v>1</v>
      </c>
      <c r="E2835" s="12">
        <v>89</v>
      </c>
      <c r="F2835" s="10" t="str">
        <f>_xlfn.XLOOKUP(C2835,menu!A:A,menu!B:B)</f>
        <v>Paneer Burger</v>
      </c>
      <c r="G2835" s="10" t="str">
        <f>_xlfn.XLOOKUP(C2835,menu!A:A,menu!C:C)</f>
        <v>Burger</v>
      </c>
      <c r="H2835" s="10">
        <f>_xlfn.XLOOKUP(C2835,menu!A:A,menu!E:E)</f>
        <v>27</v>
      </c>
      <c r="I2835" s="10">
        <f t="shared" si="44"/>
        <v>27</v>
      </c>
      <c r="K2835" s="10"/>
      <c r="L2835" s="5"/>
    </row>
    <row r="2836" spans="1:12" x14ac:dyDescent="0.25">
      <c r="A2836" s="5" t="s">
        <v>3325</v>
      </c>
      <c r="B2836" s="5" t="s">
        <v>3323</v>
      </c>
      <c r="C2836" s="5" t="s">
        <v>15</v>
      </c>
      <c r="D2836" s="21">
        <v>2</v>
      </c>
      <c r="E2836" s="12">
        <v>198</v>
      </c>
      <c r="F2836" s="10" t="str">
        <f>_xlfn.XLOOKUP(C2836,menu!A:A,menu!B:B)</f>
        <v>Chicken Momos</v>
      </c>
      <c r="G2836" s="10" t="str">
        <f>_xlfn.XLOOKUP(C2836,menu!A:A,menu!C:C)</f>
        <v>Momos</v>
      </c>
      <c r="H2836" s="10">
        <f>_xlfn.XLOOKUP(C2836,menu!A:A,menu!E:E)</f>
        <v>30</v>
      </c>
      <c r="I2836" s="10">
        <f t="shared" si="44"/>
        <v>60</v>
      </c>
      <c r="K2836" s="10"/>
      <c r="L2836" s="5"/>
    </row>
    <row r="2837" spans="1:12" x14ac:dyDescent="0.25">
      <c r="A2837" s="5" t="s">
        <v>3324</v>
      </c>
      <c r="B2837" s="5" t="s">
        <v>3323</v>
      </c>
      <c r="C2837" s="5" t="s">
        <v>38</v>
      </c>
      <c r="D2837" s="21">
        <v>1</v>
      </c>
      <c r="E2837" s="12">
        <v>149</v>
      </c>
      <c r="F2837" s="10" t="str">
        <f>_xlfn.XLOOKUP(C2837,menu!A:A,menu!B:B)</f>
        <v>Chicken Wings</v>
      </c>
      <c r="G2837" s="10" t="str">
        <f>_xlfn.XLOOKUP(C2837,menu!A:A,menu!C:C)</f>
        <v>Starters</v>
      </c>
      <c r="H2837" s="10">
        <f>_xlfn.XLOOKUP(C2837,menu!A:A,menu!E:E)</f>
        <v>45</v>
      </c>
      <c r="I2837" s="10">
        <f t="shared" si="44"/>
        <v>45</v>
      </c>
      <c r="K2837" s="10"/>
      <c r="L2837" s="5"/>
    </row>
    <row r="2838" spans="1:12" x14ac:dyDescent="0.25">
      <c r="A2838" s="5" t="s">
        <v>3322</v>
      </c>
      <c r="B2838" s="5" t="s">
        <v>3319</v>
      </c>
      <c r="C2838" s="5" t="s">
        <v>40</v>
      </c>
      <c r="D2838" s="21">
        <v>2</v>
      </c>
      <c r="E2838" s="12">
        <v>198</v>
      </c>
      <c r="F2838" s="10" t="str">
        <f>_xlfn.XLOOKUP(C2838,menu!A:A,menu!B:B)</f>
        <v>Veg Nuggets</v>
      </c>
      <c r="G2838" s="10" t="str">
        <f>_xlfn.XLOOKUP(C2838,menu!A:A,menu!C:C)</f>
        <v>Starters</v>
      </c>
      <c r="H2838" s="10">
        <f>_xlfn.XLOOKUP(C2838,menu!A:A,menu!E:E)</f>
        <v>30</v>
      </c>
      <c r="I2838" s="10">
        <f t="shared" si="44"/>
        <v>60</v>
      </c>
      <c r="K2838" s="10"/>
      <c r="L2838" s="5"/>
    </row>
    <row r="2839" spans="1:12" x14ac:dyDescent="0.25">
      <c r="A2839" s="5" t="s">
        <v>3321</v>
      </c>
      <c r="B2839" s="5" t="s">
        <v>3319</v>
      </c>
      <c r="C2839" s="5" t="s">
        <v>63</v>
      </c>
      <c r="D2839" s="21">
        <v>1</v>
      </c>
      <c r="E2839" s="12">
        <v>79</v>
      </c>
      <c r="F2839" s="10" t="str">
        <f>_xlfn.XLOOKUP(C2839,menu!A:A,menu!B:B)</f>
        <v>Virgin Mojito</v>
      </c>
      <c r="G2839" s="10" t="str">
        <f>_xlfn.XLOOKUP(C2839,menu!A:A,menu!C:C)</f>
        <v>Beverages</v>
      </c>
      <c r="H2839" s="10">
        <f>_xlfn.XLOOKUP(C2839,menu!A:A,menu!E:E)</f>
        <v>24</v>
      </c>
      <c r="I2839" s="10">
        <f t="shared" si="44"/>
        <v>24</v>
      </c>
      <c r="K2839" s="10"/>
      <c r="L2839" s="5"/>
    </row>
    <row r="2840" spans="1:12" x14ac:dyDescent="0.25">
      <c r="A2840" s="5" t="s">
        <v>3320</v>
      </c>
      <c r="B2840" s="5" t="s">
        <v>3319</v>
      </c>
      <c r="C2840" s="5" t="s">
        <v>35</v>
      </c>
      <c r="D2840" s="21">
        <v>3</v>
      </c>
      <c r="E2840" s="12">
        <v>357</v>
      </c>
      <c r="F2840" s="10" t="str">
        <f>_xlfn.XLOOKUP(C2840,menu!A:A,menu!B:B)</f>
        <v>Chicken Nuggets</v>
      </c>
      <c r="G2840" s="10" t="str">
        <f>_xlfn.XLOOKUP(C2840,menu!A:A,menu!C:C)</f>
        <v>Starters</v>
      </c>
      <c r="H2840" s="10">
        <f>_xlfn.XLOOKUP(C2840,menu!A:A,menu!E:E)</f>
        <v>36</v>
      </c>
      <c r="I2840" s="10">
        <f t="shared" si="44"/>
        <v>108</v>
      </c>
      <c r="K2840" s="10"/>
      <c r="L2840" s="5"/>
    </row>
    <row r="2841" spans="1:12" x14ac:dyDescent="0.25">
      <c r="A2841" s="5" t="s">
        <v>3318</v>
      </c>
      <c r="B2841" s="5" t="s">
        <v>3316</v>
      </c>
      <c r="C2841" s="5" t="s">
        <v>8</v>
      </c>
      <c r="D2841" s="21">
        <v>2</v>
      </c>
      <c r="E2841" s="12">
        <v>198</v>
      </c>
      <c r="F2841" s="10" t="str">
        <f>_xlfn.XLOOKUP(C2841,menu!A:A,menu!B:B)</f>
        <v>Paneer Sandwich</v>
      </c>
      <c r="G2841" s="10" t="str">
        <f>_xlfn.XLOOKUP(C2841,menu!A:A,menu!C:C)</f>
        <v>Sandwich</v>
      </c>
      <c r="H2841" s="10">
        <f>_xlfn.XLOOKUP(C2841,menu!A:A,menu!E:E)</f>
        <v>30</v>
      </c>
      <c r="I2841" s="10">
        <f t="shared" si="44"/>
        <v>60</v>
      </c>
      <c r="K2841" s="10"/>
      <c r="L2841" s="5"/>
    </row>
    <row r="2842" spans="1:12" x14ac:dyDescent="0.25">
      <c r="A2842" s="5" t="s">
        <v>3317</v>
      </c>
      <c r="B2842" s="5" t="s">
        <v>3316</v>
      </c>
      <c r="C2842" s="5" t="s">
        <v>38</v>
      </c>
      <c r="D2842" s="21">
        <v>2</v>
      </c>
      <c r="E2842" s="12">
        <v>298</v>
      </c>
      <c r="F2842" s="10" t="str">
        <f>_xlfn.XLOOKUP(C2842,menu!A:A,menu!B:B)</f>
        <v>Chicken Wings</v>
      </c>
      <c r="G2842" s="10" t="str">
        <f>_xlfn.XLOOKUP(C2842,menu!A:A,menu!C:C)</f>
        <v>Starters</v>
      </c>
      <c r="H2842" s="10">
        <f>_xlfn.XLOOKUP(C2842,menu!A:A,menu!E:E)</f>
        <v>45</v>
      </c>
      <c r="I2842" s="10">
        <f t="shared" si="44"/>
        <v>90</v>
      </c>
      <c r="K2842" s="10"/>
      <c r="L2842" s="5"/>
    </row>
    <row r="2843" spans="1:12" x14ac:dyDescent="0.25">
      <c r="A2843" s="5" t="s">
        <v>3315</v>
      </c>
      <c r="B2843" s="5" t="s">
        <v>3313</v>
      </c>
      <c r="C2843" s="5" t="s">
        <v>65</v>
      </c>
      <c r="D2843" s="21">
        <v>2</v>
      </c>
      <c r="E2843" s="12">
        <v>98</v>
      </c>
      <c r="F2843" s="10" t="str">
        <f>_xlfn.XLOOKUP(C2843,menu!A:A,menu!B:B)</f>
        <v>Lemon Juice</v>
      </c>
      <c r="G2843" s="10" t="str">
        <f>_xlfn.XLOOKUP(C2843,menu!A:A,menu!C:C)</f>
        <v>Beverages</v>
      </c>
      <c r="H2843" s="10">
        <f>_xlfn.XLOOKUP(C2843,menu!A:A,menu!E:E)</f>
        <v>15</v>
      </c>
      <c r="I2843" s="10">
        <f t="shared" si="44"/>
        <v>30</v>
      </c>
      <c r="K2843" s="10"/>
      <c r="L2843" s="5"/>
    </row>
    <row r="2844" spans="1:12" x14ac:dyDescent="0.25">
      <c r="A2844" s="5" t="s">
        <v>3314</v>
      </c>
      <c r="B2844" s="5" t="s">
        <v>3313</v>
      </c>
      <c r="C2844" s="5" t="s">
        <v>31</v>
      </c>
      <c r="D2844" s="21">
        <v>2</v>
      </c>
      <c r="E2844" s="12">
        <v>178</v>
      </c>
      <c r="F2844" s="10" t="str">
        <f>_xlfn.XLOOKUP(C2844,menu!A:A,menu!B:B)</f>
        <v>Chicken Roll</v>
      </c>
      <c r="G2844" s="10" t="str">
        <f>_xlfn.XLOOKUP(C2844,menu!A:A,menu!C:C)</f>
        <v>Rolls</v>
      </c>
      <c r="H2844" s="10">
        <f>_xlfn.XLOOKUP(C2844,menu!A:A,menu!E:E)</f>
        <v>27</v>
      </c>
      <c r="I2844" s="10">
        <f t="shared" si="44"/>
        <v>54</v>
      </c>
      <c r="K2844" s="10"/>
      <c r="L2844" s="5"/>
    </row>
    <row r="2845" spans="1:12" x14ac:dyDescent="0.25">
      <c r="A2845" s="5" t="s">
        <v>3312</v>
      </c>
      <c r="B2845" s="5" t="s">
        <v>3310</v>
      </c>
      <c r="C2845" s="5" t="s">
        <v>40</v>
      </c>
      <c r="D2845" s="21">
        <v>2</v>
      </c>
      <c r="E2845" s="12">
        <v>198</v>
      </c>
      <c r="F2845" s="10" t="str">
        <f>_xlfn.XLOOKUP(C2845,menu!A:A,menu!B:B)</f>
        <v>Veg Nuggets</v>
      </c>
      <c r="G2845" s="10" t="str">
        <f>_xlfn.XLOOKUP(C2845,menu!A:A,menu!C:C)</f>
        <v>Starters</v>
      </c>
      <c r="H2845" s="10">
        <f>_xlfn.XLOOKUP(C2845,menu!A:A,menu!E:E)</f>
        <v>30</v>
      </c>
      <c r="I2845" s="10">
        <f t="shared" si="44"/>
        <v>60</v>
      </c>
      <c r="K2845" s="10"/>
      <c r="L2845" s="5"/>
    </row>
    <row r="2846" spans="1:12" x14ac:dyDescent="0.25">
      <c r="A2846" s="5" t="s">
        <v>3311</v>
      </c>
      <c r="B2846" s="5" t="s">
        <v>3310</v>
      </c>
      <c r="C2846" s="5" t="s">
        <v>50</v>
      </c>
      <c r="D2846" s="21">
        <v>1</v>
      </c>
      <c r="E2846" s="12">
        <v>149</v>
      </c>
      <c r="F2846" s="10" t="str">
        <f>_xlfn.XLOOKUP(C2846,menu!A:A,menu!B:B)</f>
        <v>Grab Lollipop</v>
      </c>
      <c r="G2846" s="10" t="str">
        <f>_xlfn.XLOOKUP(C2846,menu!A:A,menu!C:C)</f>
        <v>Starters</v>
      </c>
      <c r="H2846" s="10">
        <f>_xlfn.XLOOKUP(C2846,menu!A:A,menu!E:E)</f>
        <v>45</v>
      </c>
      <c r="I2846" s="10">
        <f t="shared" si="44"/>
        <v>45</v>
      </c>
      <c r="K2846" s="10"/>
      <c r="L2846" s="5"/>
    </row>
    <row r="2847" spans="1:12" x14ac:dyDescent="0.25">
      <c r="A2847" s="5" t="s">
        <v>3309</v>
      </c>
      <c r="B2847" s="5" t="s">
        <v>3307</v>
      </c>
      <c r="C2847" s="5" t="s">
        <v>54</v>
      </c>
      <c r="D2847" s="21">
        <v>1</v>
      </c>
      <c r="E2847" s="12">
        <v>139</v>
      </c>
      <c r="F2847" s="10" t="str">
        <f>_xlfn.XLOOKUP(C2847,menu!A:A,menu!B:B)</f>
        <v>Chicken Strips</v>
      </c>
      <c r="G2847" s="10" t="str">
        <f>_xlfn.XLOOKUP(C2847,menu!A:A,menu!C:C)</f>
        <v>Starters</v>
      </c>
      <c r="H2847" s="10">
        <f>_xlfn.XLOOKUP(C2847,menu!A:A,menu!E:E)</f>
        <v>42</v>
      </c>
      <c r="I2847" s="10">
        <f t="shared" si="44"/>
        <v>42</v>
      </c>
      <c r="K2847" s="10"/>
      <c r="L2847" s="5"/>
    </row>
    <row r="2848" spans="1:12" x14ac:dyDescent="0.25">
      <c r="A2848" s="5" t="s">
        <v>3308</v>
      </c>
      <c r="B2848" s="5" t="s">
        <v>3307</v>
      </c>
      <c r="C2848" s="5" t="s">
        <v>8</v>
      </c>
      <c r="D2848" s="21">
        <v>1</v>
      </c>
      <c r="E2848" s="12">
        <v>99</v>
      </c>
      <c r="F2848" s="10" t="str">
        <f>_xlfn.XLOOKUP(C2848,menu!A:A,menu!B:B)</f>
        <v>Paneer Sandwich</v>
      </c>
      <c r="G2848" s="10" t="str">
        <f>_xlfn.XLOOKUP(C2848,menu!A:A,menu!C:C)</f>
        <v>Sandwich</v>
      </c>
      <c r="H2848" s="10">
        <f>_xlfn.XLOOKUP(C2848,menu!A:A,menu!E:E)</f>
        <v>30</v>
      </c>
      <c r="I2848" s="10">
        <f t="shared" si="44"/>
        <v>30</v>
      </c>
      <c r="K2848" s="10"/>
      <c r="L2848" s="5"/>
    </row>
    <row r="2849" spans="1:12" x14ac:dyDescent="0.25">
      <c r="A2849" s="5" t="s">
        <v>3306</v>
      </c>
      <c r="B2849" s="5" t="s">
        <v>3304</v>
      </c>
      <c r="C2849" s="5" t="s">
        <v>12</v>
      </c>
      <c r="D2849" s="21">
        <v>2</v>
      </c>
      <c r="E2849" s="12">
        <v>158</v>
      </c>
      <c r="F2849" s="10" t="str">
        <f>_xlfn.XLOOKUP(C2849,menu!A:A,menu!B:B)</f>
        <v>Veg Momos</v>
      </c>
      <c r="G2849" s="10" t="str">
        <f>_xlfn.XLOOKUP(C2849,menu!A:A,menu!C:C)</f>
        <v>Momos</v>
      </c>
      <c r="H2849" s="10">
        <f>_xlfn.XLOOKUP(C2849,menu!A:A,menu!E:E)</f>
        <v>24</v>
      </c>
      <c r="I2849" s="10">
        <f t="shared" si="44"/>
        <v>48</v>
      </c>
      <c r="K2849" s="10"/>
      <c r="L2849" s="5"/>
    </row>
    <row r="2850" spans="1:12" x14ac:dyDescent="0.25">
      <c r="A2850" s="5" t="s">
        <v>3305</v>
      </c>
      <c r="B2850" s="5" t="s">
        <v>3304</v>
      </c>
      <c r="C2850" s="5" t="s">
        <v>44</v>
      </c>
      <c r="D2850" s="21">
        <v>1</v>
      </c>
      <c r="E2850" s="12">
        <v>159</v>
      </c>
      <c r="F2850" s="10" t="str">
        <f>_xlfn.XLOOKUP(C2850,menu!A:A,menu!B:B)</f>
        <v>Fried Chicken</v>
      </c>
      <c r="G2850" s="10" t="str">
        <f>_xlfn.XLOOKUP(C2850,menu!A:A,menu!C:C)</f>
        <v>Starters</v>
      </c>
      <c r="H2850" s="10">
        <f>_xlfn.XLOOKUP(C2850,menu!A:A,menu!E:E)</f>
        <v>48</v>
      </c>
      <c r="I2850" s="10">
        <f t="shared" si="44"/>
        <v>48</v>
      </c>
      <c r="K2850" s="10"/>
      <c r="L2850" s="5"/>
    </row>
    <row r="2851" spans="1:12" x14ac:dyDescent="0.25">
      <c r="A2851" s="5" t="s">
        <v>3303</v>
      </c>
      <c r="B2851" s="5" t="s">
        <v>3301</v>
      </c>
      <c r="C2851" s="5" t="s">
        <v>12</v>
      </c>
      <c r="D2851" s="21">
        <v>2</v>
      </c>
      <c r="E2851" s="12">
        <v>158</v>
      </c>
      <c r="F2851" s="10" t="str">
        <f>_xlfn.XLOOKUP(C2851,menu!A:A,menu!B:B)</f>
        <v>Veg Momos</v>
      </c>
      <c r="G2851" s="10" t="str">
        <f>_xlfn.XLOOKUP(C2851,menu!A:A,menu!C:C)</f>
        <v>Momos</v>
      </c>
      <c r="H2851" s="10">
        <f>_xlfn.XLOOKUP(C2851,menu!A:A,menu!E:E)</f>
        <v>24</v>
      </c>
      <c r="I2851" s="10">
        <f t="shared" si="44"/>
        <v>48</v>
      </c>
      <c r="K2851" s="10"/>
      <c r="L2851" s="5"/>
    </row>
    <row r="2852" spans="1:12" x14ac:dyDescent="0.25">
      <c r="A2852" s="5" t="s">
        <v>3302</v>
      </c>
      <c r="B2852" s="5" t="s">
        <v>3301</v>
      </c>
      <c r="C2852" s="5" t="s">
        <v>40</v>
      </c>
      <c r="D2852" s="21">
        <v>2</v>
      </c>
      <c r="E2852" s="12">
        <v>198</v>
      </c>
      <c r="F2852" s="10" t="str">
        <f>_xlfn.XLOOKUP(C2852,menu!A:A,menu!B:B)</f>
        <v>Veg Nuggets</v>
      </c>
      <c r="G2852" s="10" t="str">
        <f>_xlfn.XLOOKUP(C2852,menu!A:A,menu!C:C)</f>
        <v>Starters</v>
      </c>
      <c r="H2852" s="10">
        <f>_xlfn.XLOOKUP(C2852,menu!A:A,menu!E:E)</f>
        <v>30</v>
      </c>
      <c r="I2852" s="10">
        <f t="shared" si="44"/>
        <v>60</v>
      </c>
      <c r="K2852" s="10"/>
      <c r="L2852" s="5"/>
    </row>
    <row r="2853" spans="1:12" x14ac:dyDescent="0.25">
      <c r="A2853" s="5" t="s">
        <v>3300</v>
      </c>
      <c r="B2853" s="5" t="s">
        <v>3298</v>
      </c>
      <c r="C2853" s="5" t="s">
        <v>33</v>
      </c>
      <c r="D2853" s="21">
        <v>1</v>
      </c>
      <c r="E2853" s="12">
        <v>69</v>
      </c>
      <c r="F2853" s="10" t="str">
        <f>_xlfn.XLOOKUP(C2853,menu!A:A,menu!B:B)</f>
        <v>Spring Roll</v>
      </c>
      <c r="G2853" s="10" t="str">
        <f>_xlfn.XLOOKUP(C2853,menu!A:A,menu!C:C)</f>
        <v>Rolls</v>
      </c>
      <c r="H2853" s="10">
        <f>_xlfn.XLOOKUP(C2853,menu!A:A,menu!E:E)</f>
        <v>21</v>
      </c>
      <c r="I2853" s="10">
        <f t="shared" si="44"/>
        <v>21</v>
      </c>
      <c r="K2853" s="10"/>
      <c r="L2853" s="5"/>
    </row>
    <row r="2854" spans="1:12" x14ac:dyDescent="0.25">
      <c r="A2854" s="5" t="s">
        <v>3299</v>
      </c>
      <c r="B2854" s="5" t="s">
        <v>3298</v>
      </c>
      <c r="C2854" s="5" t="s">
        <v>59</v>
      </c>
      <c r="D2854" s="21">
        <v>1</v>
      </c>
      <c r="E2854" s="12">
        <v>79</v>
      </c>
      <c r="F2854" s="10" t="str">
        <f>_xlfn.XLOOKUP(C2854,menu!A:A,menu!B:B)</f>
        <v>Blue Curacao Mojito</v>
      </c>
      <c r="G2854" s="10" t="str">
        <f>_xlfn.XLOOKUP(C2854,menu!A:A,menu!C:C)</f>
        <v>Beverages</v>
      </c>
      <c r="H2854" s="10">
        <f>_xlfn.XLOOKUP(C2854,menu!A:A,menu!E:E)</f>
        <v>24</v>
      </c>
      <c r="I2854" s="10">
        <f t="shared" si="44"/>
        <v>24</v>
      </c>
      <c r="K2854" s="10"/>
      <c r="L2854" s="5"/>
    </row>
    <row r="2855" spans="1:12" x14ac:dyDescent="0.25">
      <c r="A2855" s="5" t="s">
        <v>3297</v>
      </c>
      <c r="B2855" s="5" t="s">
        <v>3294</v>
      </c>
      <c r="C2855" s="5" t="s">
        <v>12</v>
      </c>
      <c r="D2855" s="21">
        <v>2</v>
      </c>
      <c r="E2855" s="12">
        <v>158</v>
      </c>
      <c r="F2855" s="10" t="str">
        <f>_xlfn.XLOOKUP(C2855,menu!A:A,menu!B:B)</f>
        <v>Veg Momos</v>
      </c>
      <c r="G2855" s="10" t="str">
        <f>_xlfn.XLOOKUP(C2855,menu!A:A,menu!C:C)</f>
        <v>Momos</v>
      </c>
      <c r="H2855" s="10">
        <f>_xlfn.XLOOKUP(C2855,menu!A:A,menu!E:E)</f>
        <v>24</v>
      </c>
      <c r="I2855" s="10">
        <f t="shared" si="44"/>
        <v>48</v>
      </c>
      <c r="K2855" s="10"/>
      <c r="L2855" s="5"/>
    </row>
    <row r="2856" spans="1:12" x14ac:dyDescent="0.25">
      <c r="A2856" s="5" t="s">
        <v>3296</v>
      </c>
      <c r="B2856" s="5" t="s">
        <v>3294</v>
      </c>
      <c r="C2856" s="5" t="s">
        <v>42</v>
      </c>
      <c r="D2856" s="21">
        <v>1</v>
      </c>
      <c r="E2856" s="12">
        <v>149</v>
      </c>
      <c r="F2856" s="10" t="str">
        <f>_xlfn.XLOOKUP(C2856,menu!A:A,menu!B:B)</f>
        <v>Chicken Popcorn</v>
      </c>
      <c r="G2856" s="10" t="str">
        <f>_xlfn.XLOOKUP(C2856,menu!A:A,menu!C:C)</f>
        <v>Starters</v>
      </c>
      <c r="H2856" s="10">
        <f>_xlfn.XLOOKUP(C2856,menu!A:A,menu!E:E)</f>
        <v>45</v>
      </c>
      <c r="I2856" s="10">
        <f t="shared" si="44"/>
        <v>45</v>
      </c>
      <c r="K2856" s="10"/>
      <c r="L2856" s="5"/>
    </row>
    <row r="2857" spans="1:12" x14ac:dyDescent="0.25">
      <c r="A2857" s="5" t="s">
        <v>3295</v>
      </c>
      <c r="B2857" s="5" t="s">
        <v>3294</v>
      </c>
      <c r="C2857" s="5" t="s">
        <v>24</v>
      </c>
      <c r="D2857" s="21">
        <v>2</v>
      </c>
      <c r="E2857" s="12">
        <v>178</v>
      </c>
      <c r="F2857" s="10" t="str">
        <f>_xlfn.XLOOKUP(C2857,menu!A:A,menu!B:B)</f>
        <v>Paneer Burger</v>
      </c>
      <c r="G2857" s="10" t="str">
        <f>_xlfn.XLOOKUP(C2857,menu!A:A,menu!C:C)</f>
        <v>Burger</v>
      </c>
      <c r="H2857" s="10">
        <f>_xlfn.XLOOKUP(C2857,menu!A:A,menu!E:E)</f>
        <v>27</v>
      </c>
      <c r="I2857" s="10">
        <f t="shared" si="44"/>
        <v>54</v>
      </c>
      <c r="K2857" s="10"/>
      <c r="L2857" s="5"/>
    </row>
    <row r="2858" spans="1:12" x14ac:dyDescent="0.25">
      <c r="A2858" s="5" t="s">
        <v>3293</v>
      </c>
      <c r="B2858" s="5" t="s">
        <v>3291</v>
      </c>
      <c r="C2858" s="5" t="s">
        <v>40</v>
      </c>
      <c r="D2858" s="21">
        <v>2</v>
      </c>
      <c r="E2858" s="12">
        <v>198</v>
      </c>
      <c r="F2858" s="10" t="str">
        <f>_xlfn.XLOOKUP(C2858,menu!A:A,menu!B:B)</f>
        <v>Veg Nuggets</v>
      </c>
      <c r="G2858" s="10" t="str">
        <f>_xlfn.XLOOKUP(C2858,menu!A:A,menu!C:C)</f>
        <v>Starters</v>
      </c>
      <c r="H2858" s="10">
        <f>_xlfn.XLOOKUP(C2858,menu!A:A,menu!E:E)</f>
        <v>30</v>
      </c>
      <c r="I2858" s="10">
        <f t="shared" si="44"/>
        <v>60</v>
      </c>
      <c r="K2858" s="10"/>
      <c r="L2858" s="5"/>
    </row>
    <row r="2859" spans="1:12" x14ac:dyDescent="0.25">
      <c r="A2859" s="5" t="s">
        <v>3292</v>
      </c>
      <c r="B2859" s="5" t="s">
        <v>3291</v>
      </c>
      <c r="C2859" s="5" t="s">
        <v>46</v>
      </c>
      <c r="D2859" s="21">
        <v>2</v>
      </c>
      <c r="E2859" s="12">
        <v>298</v>
      </c>
      <c r="F2859" s="10" t="str">
        <f>_xlfn.XLOOKUP(C2859,menu!A:A,menu!B:B)</f>
        <v>Fish Finger</v>
      </c>
      <c r="G2859" s="10" t="str">
        <f>_xlfn.XLOOKUP(C2859,menu!A:A,menu!C:C)</f>
        <v>Starters</v>
      </c>
      <c r="H2859" s="10">
        <f>_xlfn.XLOOKUP(C2859,menu!A:A,menu!E:E)</f>
        <v>45</v>
      </c>
      <c r="I2859" s="10">
        <f t="shared" si="44"/>
        <v>90</v>
      </c>
      <c r="K2859" s="10"/>
      <c r="L2859" s="5"/>
    </row>
    <row r="2860" spans="1:12" x14ac:dyDescent="0.25">
      <c r="A2860" s="5" t="s">
        <v>3290</v>
      </c>
      <c r="B2860" s="5" t="s">
        <v>3288</v>
      </c>
      <c r="C2860" s="5" t="s">
        <v>40</v>
      </c>
      <c r="D2860" s="21">
        <v>3</v>
      </c>
      <c r="E2860" s="12">
        <v>297</v>
      </c>
      <c r="F2860" s="10" t="str">
        <f>_xlfn.XLOOKUP(C2860,menu!A:A,menu!B:B)</f>
        <v>Veg Nuggets</v>
      </c>
      <c r="G2860" s="10" t="str">
        <f>_xlfn.XLOOKUP(C2860,menu!A:A,menu!C:C)</f>
        <v>Starters</v>
      </c>
      <c r="H2860" s="10">
        <f>_xlfn.XLOOKUP(C2860,menu!A:A,menu!E:E)</f>
        <v>30</v>
      </c>
      <c r="I2860" s="10">
        <f t="shared" si="44"/>
        <v>90</v>
      </c>
      <c r="K2860" s="10"/>
      <c r="L2860" s="5"/>
    </row>
    <row r="2861" spans="1:12" x14ac:dyDescent="0.25">
      <c r="A2861" s="5" t="s">
        <v>3289</v>
      </c>
      <c r="B2861" s="5" t="s">
        <v>3288</v>
      </c>
      <c r="C2861" s="5" t="s">
        <v>50</v>
      </c>
      <c r="D2861" s="21">
        <v>1</v>
      </c>
      <c r="E2861" s="12">
        <v>149</v>
      </c>
      <c r="F2861" s="10" t="str">
        <f>_xlfn.XLOOKUP(C2861,menu!A:A,menu!B:B)</f>
        <v>Grab Lollipop</v>
      </c>
      <c r="G2861" s="10" t="str">
        <f>_xlfn.XLOOKUP(C2861,menu!A:A,menu!C:C)</f>
        <v>Starters</v>
      </c>
      <c r="H2861" s="10">
        <f>_xlfn.XLOOKUP(C2861,menu!A:A,menu!E:E)</f>
        <v>45</v>
      </c>
      <c r="I2861" s="10">
        <f t="shared" si="44"/>
        <v>45</v>
      </c>
      <c r="K2861" s="10"/>
      <c r="L2861" s="5"/>
    </row>
    <row r="2862" spans="1:12" x14ac:dyDescent="0.25">
      <c r="A2862" s="5" t="s">
        <v>3287</v>
      </c>
      <c r="B2862" s="5" t="s">
        <v>3283</v>
      </c>
      <c r="C2862" s="5" t="s">
        <v>24</v>
      </c>
      <c r="D2862" s="21">
        <v>1</v>
      </c>
      <c r="E2862" s="12">
        <v>89</v>
      </c>
      <c r="F2862" s="10" t="str">
        <f>_xlfn.XLOOKUP(C2862,menu!A:A,menu!B:B)</f>
        <v>Paneer Burger</v>
      </c>
      <c r="G2862" s="10" t="str">
        <f>_xlfn.XLOOKUP(C2862,menu!A:A,menu!C:C)</f>
        <v>Burger</v>
      </c>
      <c r="H2862" s="10">
        <f>_xlfn.XLOOKUP(C2862,menu!A:A,menu!E:E)</f>
        <v>27</v>
      </c>
      <c r="I2862" s="10">
        <f t="shared" si="44"/>
        <v>27</v>
      </c>
      <c r="K2862" s="10"/>
      <c r="L2862" s="5"/>
    </row>
    <row r="2863" spans="1:12" x14ac:dyDescent="0.25">
      <c r="A2863" s="5" t="s">
        <v>3286</v>
      </c>
      <c r="B2863" s="5" t="s">
        <v>3283</v>
      </c>
      <c r="C2863" s="5" t="s">
        <v>50</v>
      </c>
      <c r="D2863" s="21">
        <v>1</v>
      </c>
      <c r="E2863" s="12">
        <v>149</v>
      </c>
      <c r="F2863" s="10" t="str">
        <f>_xlfn.XLOOKUP(C2863,menu!A:A,menu!B:B)</f>
        <v>Grab Lollipop</v>
      </c>
      <c r="G2863" s="10" t="str">
        <f>_xlfn.XLOOKUP(C2863,menu!A:A,menu!C:C)</f>
        <v>Starters</v>
      </c>
      <c r="H2863" s="10">
        <f>_xlfn.XLOOKUP(C2863,menu!A:A,menu!E:E)</f>
        <v>45</v>
      </c>
      <c r="I2863" s="10">
        <f t="shared" si="44"/>
        <v>45</v>
      </c>
      <c r="K2863" s="10"/>
      <c r="L2863" s="5"/>
    </row>
    <row r="2864" spans="1:12" x14ac:dyDescent="0.25">
      <c r="A2864" s="5" t="s">
        <v>3285</v>
      </c>
      <c r="B2864" s="5" t="s">
        <v>3283</v>
      </c>
      <c r="C2864" s="5" t="s">
        <v>54</v>
      </c>
      <c r="D2864" s="21">
        <v>2</v>
      </c>
      <c r="E2864" s="12">
        <v>278</v>
      </c>
      <c r="F2864" s="10" t="str">
        <f>_xlfn.XLOOKUP(C2864,menu!A:A,menu!B:B)</f>
        <v>Chicken Strips</v>
      </c>
      <c r="G2864" s="10" t="str">
        <f>_xlfn.XLOOKUP(C2864,menu!A:A,menu!C:C)</f>
        <v>Starters</v>
      </c>
      <c r="H2864" s="10">
        <f>_xlfn.XLOOKUP(C2864,menu!A:A,menu!E:E)</f>
        <v>42</v>
      </c>
      <c r="I2864" s="10">
        <f t="shared" si="44"/>
        <v>84</v>
      </c>
      <c r="K2864" s="10"/>
      <c r="L2864" s="5"/>
    </row>
    <row r="2865" spans="1:12" x14ac:dyDescent="0.25">
      <c r="A2865" s="5" t="s">
        <v>3284</v>
      </c>
      <c r="B2865" s="5" t="s">
        <v>3283</v>
      </c>
      <c r="C2865" s="5" t="s">
        <v>38</v>
      </c>
      <c r="D2865" s="21">
        <v>1</v>
      </c>
      <c r="E2865" s="12">
        <v>149</v>
      </c>
      <c r="F2865" s="10" t="str">
        <f>_xlfn.XLOOKUP(C2865,menu!A:A,menu!B:B)</f>
        <v>Chicken Wings</v>
      </c>
      <c r="G2865" s="10" t="str">
        <f>_xlfn.XLOOKUP(C2865,menu!A:A,menu!C:C)</f>
        <v>Starters</v>
      </c>
      <c r="H2865" s="10">
        <f>_xlfn.XLOOKUP(C2865,menu!A:A,menu!E:E)</f>
        <v>45</v>
      </c>
      <c r="I2865" s="10">
        <f t="shared" si="44"/>
        <v>45</v>
      </c>
      <c r="K2865" s="10"/>
      <c r="L2865" s="5"/>
    </row>
    <row r="2866" spans="1:12" x14ac:dyDescent="0.25">
      <c r="A2866" s="5" t="s">
        <v>3282</v>
      </c>
      <c r="B2866" s="5" t="s">
        <v>3279</v>
      </c>
      <c r="C2866" s="5" t="s">
        <v>10</v>
      </c>
      <c r="D2866" s="21">
        <v>2</v>
      </c>
      <c r="E2866" s="12">
        <v>238</v>
      </c>
      <c r="F2866" s="10" t="str">
        <f>_xlfn.XLOOKUP(C2866,menu!A:A,menu!B:B)</f>
        <v>Chicken Sandwich</v>
      </c>
      <c r="G2866" s="10" t="str">
        <f>_xlfn.XLOOKUP(C2866,menu!A:A,menu!C:C)</f>
        <v>Sandwich</v>
      </c>
      <c r="H2866" s="10">
        <f>_xlfn.XLOOKUP(C2866,menu!A:A,menu!E:E)</f>
        <v>36</v>
      </c>
      <c r="I2866" s="10">
        <f t="shared" si="44"/>
        <v>72</v>
      </c>
      <c r="K2866" s="10"/>
      <c r="L2866" s="5"/>
    </row>
    <row r="2867" spans="1:12" x14ac:dyDescent="0.25">
      <c r="A2867" s="5" t="s">
        <v>3281</v>
      </c>
      <c r="B2867" s="5" t="s">
        <v>3279</v>
      </c>
      <c r="C2867" s="5" t="s">
        <v>54</v>
      </c>
      <c r="D2867" s="21">
        <v>1</v>
      </c>
      <c r="E2867" s="12">
        <v>139</v>
      </c>
      <c r="F2867" s="10" t="str">
        <f>_xlfn.XLOOKUP(C2867,menu!A:A,menu!B:B)</f>
        <v>Chicken Strips</v>
      </c>
      <c r="G2867" s="10" t="str">
        <f>_xlfn.XLOOKUP(C2867,menu!A:A,menu!C:C)</f>
        <v>Starters</v>
      </c>
      <c r="H2867" s="10">
        <f>_xlfn.XLOOKUP(C2867,menu!A:A,menu!E:E)</f>
        <v>42</v>
      </c>
      <c r="I2867" s="10">
        <f t="shared" si="44"/>
        <v>42</v>
      </c>
      <c r="K2867" s="10"/>
      <c r="L2867" s="5"/>
    </row>
    <row r="2868" spans="1:12" x14ac:dyDescent="0.25">
      <c r="A2868" s="5" t="s">
        <v>3280</v>
      </c>
      <c r="B2868" s="5" t="s">
        <v>3279</v>
      </c>
      <c r="C2868" s="5" t="s">
        <v>31</v>
      </c>
      <c r="D2868" s="21">
        <v>1</v>
      </c>
      <c r="E2868" s="12">
        <v>89</v>
      </c>
      <c r="F2868" s="10" t="str">
        <f>_xlfn.XLOOKUP(C2868,menu!A:A,menu!B:B)</f>
        <v>Chicken Roll</v>
      </c>
      <c r="G2868" s="10" t="str">
        <f>_xlfn.XLOOKUP(C2868,menu!A:A,menu!C:C)</f>
        <v>Rolls</v>
      </c>
      <c r="H2868" s="10">
        <f>_xlfn.XLOOKUP(C2868,menu!A:A,menu!E:E)</f>
        <v>27</v>
      </c>
      <c r="I2868" s="10">
        <f t="shared" si="44"/>
        <v>27</v>
      </c>
      <c r="K2868" s="10"/>
      <c r="L2868" s="5"/>
    </row>
    <row r="2869" spans="1:12" x14ac:dyDescent="0.25">
      <c r="A2869" s="5" t="s">
        <v>3278</v>
      </c>
      <c r="B2869" s="5" t="s">
        <v>3275</v>
      </c>
      <c r="C2869" s="5" t="s">
        <v>40</v>
      </c>
      <c r="D2869" s="21">
        <v>2</v>
      </c>
      <c r="E2869" s="12">
        <v>198</v>
      </c>
      <c r="F2869" s="10" t="str">
        <f>_xlfn.XLOOKUP(C2869,menu!A:A,menu!B:B)</f>
        <v>Veg Nuggets</v>
      </c>
      <c r="G2869" s="10" t="str">
        <f>_xlfn.XLOOKUP(C2869,menu!A:A,menu!C:C)</f>
        <v>Starters</v>
      </c>
      <c r="H2869" s="10">
        <f>_xlfn.XLOOKUP(C2869,menu!A:A,menu!E:E)</f>
        <v>30</v>
      </c>
      <c r="I2869" s="10">
        <f t="shared" si="44"/>
        <v>60</v>
      </c>
      <c r="K2869" s="10"/>
      <c r="L2869" s="5"/>
    </row>
    <row r="2870" spans="1:12" x14ac:dyDescent="0.25">
      <c r="A2870" s="5" t="s">
        <v>3277</v>
      </c>
      <c r="B2870" s="5" t="s">
        <v>3275</v>
      </c>
      <c r="C2870" s="5" t="s">
        <v>42</v>
      </c>
      <c r="D2870" s="21">
        <v>3</v>
      </c>
      <c r="E2870" s="12">
        <v>447</v>
      </c>
      <c r="F2870" s="10" t="str">
        <f>_xlfn.XLOOKUP(C2870,menu!A:A,menu!B:B)</f>
        <v>Chicken Popcorn</v>
      </c>
      <c r="G2870" s="10" t="str">
        <f>_xlfn.XLOOKUP(C2870,menu!A:A,menu!C:C)</f>
        <v>Starters</v>
      </c>
      <c r="H2870" s="10">
        <f>_xlfn.XLOOKUP(C2870,menu!A:A,menu!E:E)</f>
        <v>45</v>
      </c>
      <c r="I2870" s="10">
        <f t="shared" si="44"/>
        <v>135</v>
      </c>
      <c r="K2870" s="10"/>
      <c r="L2870" s="5"/>
    </row>
    <row r="2871" spans="1:12" x14ac:dyDescent="0.25">
      <c r="A2871" s="5" t="s">
        <v>3276</v>
      </c>
      <c r="B2871" s="5" t="s">
        <v>3275</v>
      </c>
      <c r="C2871" s="5" t="s">
        <v>17</v>
      </c>
      <c r="D2871" s="21">
        <v>5</v>
      </c>
      <c r="E2871" s="12">
        <v>445</v>
      </c>
      <c r="F2871" s="10" t="str">
        <f>_xlfn.XLOOKUP(C2871,menu!A:A,menu!B:B)</f>
        <v>Paneer Momos</v>
      </c>
      <c r="G2871" s="10" t="str">
        <f>_xlfn.XLOOKUP(C2871,menu!A:A,menu!C:C)</f>
        <v>Momos</v>
      </c>
      <c r="H2871" s="10">
        <f>_xlfn.XLOOKUP(C2871,menu!A:A,menu!E:E)</f>
        <v>27</v>
      </c>
      <c r="I2871" s="10">
        <f t="shared" si="44"/>
        <v>135</v>
      </c>
      <c r="K2871" s="10"/>
      <c r="L2871" s="5"/>
    </row>
    <row r="2872" spans="1:12" x14ac:dyDescent="0.25">
      <c r="A2872" s="5" t="s">
        <v>3274</v>
      </c>
      <c r="B2872" s="5" t="s">
        <v>3271</v>
      </c>
      <c r="C2872" s="5" t="s">
        <v>17</v>
      </c>
      <c r="D2872" s="21">
        <v>1</v>
      </c>
      <c r="E2872" s="12">
        <v>89</v>
      </c>
      <c r="F2872" s="10" t="str">
        <f>_xlfn.XLOOKUP(C2872,menu!A:A,menu!B:B)</f>
        <v>Paneer Momos</v>
      </c>
      <c r="G2872" s="10" t="str">
        <f>_xlfn.XLOOKUP(C2872,menu!A:A,menu!C:C)</f>
        <v>Momos</v>
      </c>
      <c r="H2872" s="10">
        <f>_xlfn.XLOOKUP(C2872,menu!A:A,menu!E:E)</f>
        <v>27</v>
      </c>
      <c r="I2872" s="10">
        <f t="shared" si="44"/>
        <v>27</v>
      </c>
      <c r="K2872" s="10"/>
      <c r="L2872" s="5"/>
    </row>
    <row r="2873" spans="1:12" x14ac:dyDescent="0.25">
      <c r="A2873" s="5" t="s">
        <v>3273</v>
      </c>
      <c r="B2873" s="5" t="s">
        <v>3271</v>
      </c>
      <c r="C2873" s="5" t="s">
        <v>46</v>
      </c>
      <c r="D2873" s="21">
        <v>1</v>
      </c>
      <c r="E2873" s="12">
        <v>149</v>
      </c>
      <c r="F2873" s="10" t="str">
        <f>_xlfn.XLOOKUP(C2873,menu!A:A,menu!B:B)</f>
        <v>Fish Finger</v>
      </c>
      <c r="G2873" s="10" t="str">
        <f>_xlfn.XLOOKUP(C2873,menu!A:A,menu!C:C)</f>
        <v>Starters</v>
      </c>
      <c r="H2873" s="10">
        <f>_xlfn.XLOOKUP(C2873,menu!A:A,menu!E:E)</f>
        <v>45</v>
      </c>
      <c r="I2873" s="10">
        <f t="shared" si="44"/>
        <v>45</v>
      </c>
      <c r="K2873" s="10"/>
      <c r="L2873" s="5"/>
    </row>
    <row r="2874" spans="1:12" x14ac:dyDescent="0.25">
      <c r="A2874" s="5" t="s">
        <v>3272</v>
      </c>
      <c r="B2874" s="5" t="s">
        <v>3271</v>
      </c>
      <c r="C2874" s="5" t="s">
        <v>31</v>
      </c>
      <c r="D2874" s="21">
        <v>4</v>
      </c>
      <c r="E2874" s="12">
        <v>356</v>
      </c>
      <c r="F2874" s="10" t="str">
        <f>_xlfn.XLOOKUP(C2874,menu!A:A,menu!B:B)</f>
        <v>Chicken Roll</v>
      </c>
      <c r="G2874" s="10" t="str">
        <f>_xlfn.XLOOKUP(C2874,menu!A:A,menu!C:C)</f>
        <v>Rolls</v>
      </c>
      <c r="H2874" s="10">
        <f>_xlfn.XLOOKUP(C2874,menu!A:A,menu!E:E)</f>
        <v>27</v>
      </c>
      <c r="I2874" s="10">
        <f t="shared" si="44"/>
        <v>108</v>
      </c>
      <c r="K2874" s="10"/>
      <c r="L2874" s="5"/>
    </row>
    <row r="2875" spans="1:12" x14ac:dyDescent="0.25">
      <c r="A2875" s="5" t="s">
        <v>3270</v>
      </c>
      <c r="B2875" s="5" t="s">
        <v>3267</v>
      </c>
      <c r="C2875" s="5" t="s">
        <v>17</v>
      </c>
      <c r="D2875" s="21">
        <v>2</v>
      </c>
      <c r="E2875" s="12">
        <v>178</v>
      </c>
      <c r="F2875" s="10" t="str">
        <f>_xlfn.XLOOKUP(C2875,menu!A:A,menu!B:B)</f>
        <v>Paneer Momos</v>
      </c>
      <c r="G2875" s="10" t="str">
        <f>_xlfn.XLOOKUP(C2875,menu!A:A,menu!C:C)</f>
        <v>Momos</v>
      </c>
      <c r="H2875" s="10">
        <f>_xlfn.XLOOKUP(C2875,menu!A:A,menu!E:E)</f>
        <v>27</v>
      </c>
      <c r="I2875" s="10">
        <f t="shared" si="44"/>
        <v>54</v>
      </c>
      <c r="K2875" s="10"/>
      <c r="L2875" s="5"/>
    </row>
    <row r="2876" spans="1:12" x14ac:dyDescent="0.25">
      <c r="A2876" s="5" t="s">
        <v>3269</v>
      </c>
      <c r="B2876" s="5" t="s">
        <v>3267</v>
      </c>
      <c r="C2876" s="5" t="s">
        <v>35</v>
      </c>
      <c r="D2876" s="21">
        <v>1</v>
      </c>
      <c r="E2876" s="12">
        <v>119</v>
      </c>
      <c r="F2876" s="10" t="str">
        <f>_xlfn.XLOOKUP(C2876,menu!A:A,menu!B:B)</f>
        <v>Chicken Nuggets</v>
      </c>
      <c r="G2876" s="10" t="str">
        <f>_xlfn.XLOOKUP(C2876,menu!A:A,menu!C:C)</f>
        <v>Starters</v>
      </c>
      <c r="H2876" s="10">
        <f>_xlfn.XLOOKUP(C2876,menu!A:A,menu!E:E)</f>
        <v>36</v>
      </c>
      <c r="I2876" s="10">
        <f t="shared" si="44"/>
        <v>36</v>
      </c>
      <c r="K2876" s="10"/>
      <c r="L2876" s="5"/>
    </row>
    <row r="2877" spans="1:12" x14ac:dyDescent="0.25">
      <c r="A2877" s="5" t="s">
        <v>3268</v>
      </c>
      <c r="B2877" s="5" t="s">
        <v>3267</v>
      </c>
      <c r="C2877" s="5" t="s">
        <v>33</v>
      </c>
      <c r="D2877" s="21">
        <v>1</v>
      </c>
      <c r="E2877" s="12">
        <v>69</v>
      </c>
      <c r="F2877" s="10" t="str">
        <f>_xlfn.XLOOKUP(C2877,menu!A:A,menu!B:B)</f>
        <v>Spring Roll</v>
      </c>
      <c r="G2877" s="10" t="str">
        <f>_xlfn.XLOOKUP(C2877,menu!A:A,menu!C:C)</f>
        <v>Rolls</v>
      </c>
      <c r="H2877" s="10">
        <f>_xlfn.XLOOKUP(C2877,menu!A:A,menu!E:E)</f>
        <v>21</v>
      </c>
      <c r="I2877" s="10">
        <f t="shared" si="44"/>
        <v>21</v>
      </c>
      <c r="K2877" s="10"/>
      <c r="L2877" s="5"/>
    </row>
    <row r="2878" spans="1:12" x14ac:dyDescent="0.25">
      <c r="A2878" s="5" t="s">
        <v>3266</v>
      </c>
      <c r="B2878" s="5" t="s">
        <v>3262</v>
      </c>
      <c r="C2878" s="5" t="s">
        <v>52</v>
      </c>
      <c r="D2878" s="21">
        <v>2</v>
      </c>
      <c r="E2878" s="12">
        <v>198</v>
      </c>
      <c r="F2878" s="10" t="str">
        <f>_xlfn.XLOOKUP(C2878,menu!A:A,menu!B:B)</f>
        <v>French Fries</v>
      </c>
      <c r="G2878" s="10" t="str">
        <f>_xlfn.XLOOKUP(C2878,menu!A:A,menu!C:C)</f>
        <v>Starters</v>
      </c>
      <c r="H2878" s="10">
        <f>_xlfn.XLOOKUP(C2878,menu!A:A,menu!E:E)</f>
        <v>30</v>
      </c>
      <c r="I2878" s="10">
        <f t="shared" si="44"/>
        <v>60</v>
      </c>
      <c r="K2878" s="10"/>
      <c r="L2878" s="5"/>
    </row>
    <row r="2879" spans="1:12" x14ac:dyDescent="0.25">
      <c r="A2879" s="5" t="s">
        <v>3265</v>
      </c>
      <c r="B2879" s="5" t="s">
        <v>3262</v>
      </c>
      <c r="C2879" s="5" t="s">
        <v>44</v>
      </c>
      <c r="D2879" s="21">
        <v>4</v>
      </c>
      <c r="E2879" s="12">
        <v>636</v>
      </c>
      <c r="F2879" s="10" t="str">
        <f>_xlfn.XLOOKUP(C2879,menu!A:A,menu!B:B)</f>
        <v>Fried Chicken</v>
      </c>
      <c r="G2879" s="10" t="str">
        <f>_xlfn.XLOOKUP(C2879,menu!A:A,menu!C:C)</f>
        <v>Starters</v>
      </c>
      <c r="H2879" s="10">
        <f>_xlfn.XLOOKUP(C2879,menu!A:A,menu!E:E)</f>
        <v>48</v>
      </c>
      <c r="I2879" s="10">
        <f t="shared" si="44"/>
        <v>192</v>
      </c>
      <c r="K2879" s="10"/>
      <c r="L2879" s="5"/>
    </row>
    <row r="2880" spans="1:12" x14ac:dyDescent="0.25">
      <c r="A2880" s="5" t="s">
        <v>3264</v>
      </c>
      <c r="B2880" s="5" t="s">
        <v>3262</v>
      </c>
      <c r="C2880" s="5" t="s">
        <v>8</v>
      </c>
      <c r="D2880" s="21">
        <v>2</v>
      </c>
      <c r="E2880" s="12">
        <v>198</v>
      </c>
      <c r="F2880" s="10" t="str">
        <f>_xlfn.XLOOKUP(C2880,menu!A:A,menu!B:B)</f>
        <v>Paneer Sandwich</v>
      </c>
      <c r="G2880" s="10" t="str">
        <f>_xlfn.XLOOKUP(C2880,menu!A:A,menu!C:C)</f>
        <v>Sandwich</v>
      </c>
      <c r="H2880" s="10">
        <f>_xlfn.XLOOKUP(C2880,menu!A:A,menu!E:E)</f>
        <v>30</v>
      </c>
      <c r="I2880" s="10">
        <f t="shared" si="44"/>
        <v>60</v>
      </c>
      <c r="K2880" s="10"/>
      <c r="L2880" s="5"/>
    </row>
    <row r="2881" spans="1:12" x14ac:dyDescent="0.25">
      <c r="A2881" s="5" t="s">
        <v>3263</v>
      </c>
      <c r="B2881" s="5" t="s">
        <v>3262</v>
      </c>
      <c r="C2881" s="5" t="s">
        <v>65</v>
      </c>
      <c r="D2881" s="21">
        <v>1</v>
      </c>
      <c r="E2881" s="12">
        <v>49</v>
      </c>
      <c r="F2881" s="10" t="str">
        <f>_xlfn.XLOOKUP(C2881,menu!A:A,menu!B:B)</f>
        <v>Lemon Juice</v>
      </c>
      <c r="G2881" s="10" t="str">
        <f>_xlfn.XLOOKUP(C2881,menu!A:A,menu!C:C)</f>
        <v>Beverages</v>
      </c>
      <c r="H2881" s="10">
        <f>_xlfn.XLOOKUP(C2881,menu!A:A,menu!E:E)</f>
        <v>15</v>
      </c>
      <c r="I2881" s="10">
        <f t="shared" si="44"/>
        <v>15</v>
      </c>
      <c r="K2881" s="10"/>
      <c r="L2881" s="5"/>
    </row>
    <row r="2882" spans="1:12" x14ac:dyDescent="0.25">
      <c r="A2882" s="5" t="s">
        <v>3261</v>
      </c>
      <c r="B2882" s="5" t="s">
        <v>3257</v>
      </c>
      <c r="C2882" s="5" t="s">
        <v>10</v>
      </c>
      <c r="D2882" s="21">
        <v>3</v>
      </c>
      <c r="E2882" s="12">
        <v>357</v>
      </c>
      <c r="F2882" s="10" t="str">
        <f>_xlfn.XLOOKUP(C2882,menu!A:A,menu!B:B)</f>
        <v>Chicken Sandwich</v>
      </c>
      <c r="G2882" s="10" t="str">
        <f>_xlfn.XLOOKUP(C2882,menu!A:A,menu!C:C)</f>
        <v>Sandwich</v>
      </c>
      <c r="H2882" s="10">
        <f>_xlfn.XLOOKUP(C2882,menu!A:A,menu!E:E)</f>
        <v>36</v>
      </c>
      <c r="I2882" s="10">
        <f t="shared" si="44"/>
        <v>108</v>
      </c>
      <c r="K2882" s="10"/>
      <c r="L2882" s="5"/>
    </row>
    <row r="2883" spans="1:12" x14ac:dyDescent="0.25">
      <c r="A2883" s="5" t="s">
        <v>3260</v>
      </c>
      <c r="B2883" s="5" t="s">
        <v>3257</v>
      </c>
      <c r="C2883" s="5" t="s">
        <v>22</v>
      </c>
      <c r="D2883" s="21">
        <v>1</v>
      </c>
      <c r="E2883" s="12">
        <v>99</v>
      </c>
      <c r="F2883" s="10" t="str">
        <f>_xlfn.XLOOKUP(C2883,menu!A:A,menu!B:B)</f>
        <v>Chicken Burger</v>
      </c>
      <c r="G2883" s="10" t="str">
        <f>_xlfn.XLOOKUP(C2883,menu!A:A,menu!C:C)</f>
        <v>Burger</v>
      </c>
      <c r="H2883" s="10">
        <f>_xlfn.XLOOKUP(C2883,menu!A:A,menu!E:E)</f>
        <v>30</v>
      </c>
      <c r="I2883" s="10">
        <f t="shared" ref="I2883:I2946" si="45">D2883*H2883</f>
        <v>30</v>
      </c>
      <c r="K2883" s="10"/>
      <c r="L2883" s="5"/>
    </row>
    <row r="2884" spans="1:12" x14ac:dyDescent="0.25">
      <c r="A2884" s="5" t="s">
        <v>3259</v>
      </c>
      <c r="B2884" s="5" t="s">
        <v>3257</v>
      </c>
      <c r="C2884" s="5" t="s">
        <v>65</v>
      </c>
      <c r="D2884" s="21">
        <v>1</v>
      </c>
      <c r="E2884" s="12">
        <v>49</v>
      </c>
      <c r="F2884" s="10" t="str">
        <f>_xlfn.XLOOKUP(C2884,menu!A:A,menu!B:B)</f>
        <v>Lemon Juice</v>
      </c>
      <c r="G2884" s="10" t="str">
        <f>_xlfn.XLOOKUP(C2884,menu!A:A,menu!C:C)</f>
        <v>Beverages</v>
      </c>
      <c r="H2884" s="10">
        <f>_xlfn.XLOOKUP(C2884,menu!A:A,menu!E:E)</f>
        <v>15</v>
      </c>
      <c r="I2884" s="10">
        <f t="shared" si="45"/>
        <v>15</v>
      </c>
      <c r="K2884" s="10"/>
      <c r="L2884" s="5"/>
    </row>
    <row r="2885" spans="1:12" x14ac:dyDescent="0.25">
      <c r="A2885" s="5" t="s">
        <v>3258</v>
      </c>
      <c r="B2885" s="5" t="s">
        <v>3257</v>
      </c>
      <c r="C2885" s="5" t="s">
        <v>24</v>
      </c>
      <c r="D2885" s="21">
        <v>3</v>
      </c>
      <c r="E2885" s="12">
        <v>267</v>
      </c>
      <c r="F2885" s="10" t="str">
        <f>_xlfn.XLOOKUP(C2885,menu!A:A,menu!B:B)</f>
        <v>Paneer Burger</v>
      </c>
      <c r="G2885" s="10" t="str">
        <f>_xlfn.XLOOKUP(C2885,menu!A:A,menu!C:C)</f>
        <v>Burger</v>
      </c>
      <c r="H2885" s="10">
        <f>_xlfn.XLOOKUP(C2885,menu!A:A,menu!E:E)</f>
        <v>27</v>
      </c>
      <c r="I2885" s="10">
        <f t="shared" si="45"/>
        <v>81</v>
      </c>
      <c r="K2885" s="10"/>
      <c r="L2885" s="5"/>
    </row>
    <row r="2886" spans="1:12" x14ac:dyDescent="0.25">
      <c r="A2886" s="5" t="s">
        <v>3256</v>
      </c>
      <c r="B2886" s="5" t="s">
        <v>3254</v>
      </c>
      <c r="C2886" s="5" t="s">
        <v>50</v>
      </c>
      <c r="D2886" s="21">
        <v>3</v>
      </c>
      <c r="E2886" s="12">
        <v>447</v>
      </c>
      <c r="F2886" s="10" t="str">
        <f>_xlfn.XLOOKUP(C2886,menu!A:A,menu!B:B)</f>
        <v>Grab Lollipop</v>
      </c>
      <c r="G2886" s="10" t="str">
        <f>_xlfn.XLOOKUP(C2886,menu!A:A,menu!C:C)</f>
        <v>Starters</v>
      </c>
      <c r="H2886" s="10">
        <f>_xlfn.XLOOKUP(C2886,menu!A:A,menu!E:E)</f>
        <v>45</v>
      </c>
      <c r="I2886" s="10">
        <f t="shared" si="45"/>
        <v>135</v>
      </c>
      <c r="K2886" s="10"/>
      <c r="L2886" s="5"/>
    </row>
    <row r="2887" spans="1:12" x14ac:dyDescent="0.25">
      <c r="A2887" s="5" t="s">
        <v>3255</v>
      </c>
      <c r="B2887" s="5" t="s">
        <v>3254</v>
      </c>
      <c r="C2887" s="5" t="s">
        <v>48</v>
      </c>
      <c r="D2887" s="21">
        <v>3</v>
      </c>
      <c r="E2887" s="12">
        <v>477</v>
      </c>
      <c r="F2887" s="10" t="str">
        <f>_xlfn.XLOOKUP(C2887,menu!A:A,menu!B:B)</f>
        <v>Chicken Lollipop</v>
      </c>
      <c r="G2887" s="10" t="str">
        <f>_xlfn.XLOOKUP(C2887,menu!A:A,menu!C:C)</f>
        <v>Starters</v>
      </c>
      <c r="H2887" s="10">
        <f>_xlfn.XLOOKUP(C2887,menu!A:A,menu!E:E)</f>
        <v>48</v>
      </c>
      <c r="I2887" s="10">
        <f t="shared" si="45"/>
        <v>144</v>
      </c>
      <c r="K2887" s="10"/>
      <c r="L2887" s="5"/>
    </row>
    <row r="2888" spans="1:12" x14ac:dyDescent="0.25">
      <c r="A2888" s="5" t="s">
        <v>3253</v>
      </c>
      <c r="B2888" s="5" t="s">
        <v>3251</v>
      </c>
      <c r="C2888" s="5" t="s">
        <v>12</v>
      </c>
      <c r="D2888" s="21">
        <v>1</v>
      </c>
      <c r="E2888" s="12">
        <v>79</v>
      </c>
      <c r="F2888" s="10" t="str">
        <f>_xlfn.XLOOKUP(C2888,menu!A:A,menu!B:B)</f>
        <v>Veg Momos</v>
      </c>
      <c r="G2888" s="10" t="str">
        <f>_xlfn.XLOOKUP(C2888,menu!A:A,menu!C:C)</f>
        <v>Momos</v>
      </c>
      <c r="H2888" s="10">
        <f>_xlfn.XLOOKUP(C2888,menu!A:A,menu!E:E)</f>
        <v>24</v>
      </c>
      <c r="I2888" s="10">
        <f t="shared" si="45"/>
        <v>24</v>
      </c>
      <c r="K2888" s="10"/>
      <c r="L2888" s="5"/>
    </row>
    <row r="2889" spans="1:12" x14ac:dyDescent="0.25">
      <c r="A2889" s="5" t="s">
        <v>3252</v>
      </c>
      <c r="B2889" s="5" t="s">
        <v>3251</v>
      </c>
      <c r="C2889" s="5" t="s">
        <v>42</v>
      </c>
      <c r="D2889" s="21">
        <v>1</v>
      </c>
      <c r="E2889" s="12">
        <v>149</v>
      </c>
      <c r="F2889" s="10" t="str">
        <f>_xlfn.XLOOKUP(C2889,menu!A:A,menu!B:B)</f>
        <v>Chicken Popcorn</v>
      </c>
      <c r="G2889" s="10" t="str">
        <f>_xlfn.XLOOKUP(C2889,menu!A:A,menu!C:C)</f>
        <v>Starters</v>
      </c>
      <c r="H2889" s="10">
        <f>_xlfn.XLOOKUP(C2889,menu!A:A,menu!E:E)</f>
        <v>45</v>
      </c>
      <c r="I2889" s="10">
        <f t="shared" si="45"/>
        <v>45</v>
      </c>
      <c r="K2889" s="10"/>
      <c r="L2889" s="5"/>
    </row>
    <row r="2890" spans="1:12" x14ac:dyDescent="0.25">
      <c r="A2890" s="5" t="s">
        <v>3250</v>
      </c>
      <c r="B2890" s="5" t="s">
        <v>3248</v>
      </c>
      <c r="C2890" s="5" t="s">
        <v>52</v>
      </c>
      <c r="D2890" s="21">
        <v>1</v>
      </c>
      <c r="E2890" s="12">
        <v>99</v>
      </c>
      <c r="F2890" s="10" t="str">
        <f>_xlfn.XLOOKUP(C2890,menu!A:A,menu!B:B)</f>
        <v>French Fries</v>
      </c>
      <c r="G2890" s="10" t="str">
        <f>_xlfn.XLOOKUP(C2890,menu!A:A,menu!C:C)</f>
        <v>Starters</v>
      </c>
      <c r="H2890" s="10">
        <f>_xlfn.XLOOKUP(C2890,menu!A:A,menu!E:E)</f>
        <v>30</v>
      </c>
      <c r="I2890" s="10">
        <f t="shared" si="45"/>
        <v>30</v>
      </c>
      <c r="K2890" s="10"/>
      <c r="L2890" s="5"/>
    </row>
    <row r="2891" spans="1:12" x14ac:dyDescent="0.25">
      <c r="A2891" s="5" t="s">
        <v>3249</v>
      </c>
      <c r="B2891" s="5" t="s">
        <v>3248</v>
      </c>
      <c r="C2891" s="5" t="s">
        <v>35</v>
      </c>
      <c r="D2891" s="21">
        <v>3</v>
      </c>
      <c r="E2891" s="12">
        <v>357</v>
      </c>
      <c r="F2891" s="10" t="str">
        <f>_xlfn.XLOOKUP(C2891,menu!A:A,menu!B:B)</f>
        <v>Chicken Nuggets</v>
      </c>
      <c r="G2891" s="10" t="str">
        <f>_xlfn.XLOOKUP(C2891,menu!A:A,menu!C:C)</f>
        <v>Starters</v>
      </c>
      <c r="H2891" s="10">
        <f>_xlfn.XLOOKUP(C2891,menu!A:A,menu!E:E)</f>
        <v>36</v>
      </c>
      <c r="I2891" s="10">
        <f t="shared" si="45"/>
        <v>108</v>
      </c>
      <c r="K2891" s="10"/>
      <c r="L2891" s="5"/>
    </row>
    <row r="2892" spans="1:12" x14ac:dyDescent="0.25">
      <c r="A2892" s="5" t="s">
        <v>3247</v>
      </c>
      <c r="B2892" s="5" t="s">
        <v>3246</v>
      </c>
      <c r="C2892" s="5" t="s">
        <v>61</v>
      </c>
      <c r="D2892" s="21">
        <v>1</v>
      </c>
      <c r="E2892" s="12">
        <v>79</v>
      </c>
      <c r="F2892" s="10" t="str">
        <f>_xlfn.XLOOKUP(C2892,menu!A:A,menu!B:B)</f>
        <v>Watermelon Mojito</v>
      </c>
      <c r="G2892" s="10" t="str">
        <f>_xlfn.XLOOKUP(C2892,menu!A:A,menu!C:C)</f>
        <v>Beverages</v>
      </c>
      <c r="H2892" s="10">
        <f>_xlfn.XLOOKUP(C2892,menu!A:A,menu!E:E)</f>
        <v>24</v>
      </c>
      <c r="I2892" s="10">
        <f t="shared" si="45"/>
        <v>24</v>
      </c>
      <c r="K2892" s="10"/>
      <c r="L2892" s="5"/>
    </row>
    <row r="2893" spans="1:12" x14ac:dyDescent="0.25">
      <c r="A2893" s="5" t="s">
        <v>3245</v>
      </c>
      <c r="B2893" s="5" t="s">
        <v>3244</v>
      </c>
      <c r="C2893" s="5" t="s">
        <v>40</v>
      </c>
      <c r="D2893" s="21">
        <v>2</v>
      </c>
      <c r="E2893" s="12">
        <v>198</v>
      </c>
      <c r="F2893" s="10" t="str">
        <f>_xlfn.XLOOKUP(C2893,menu!A:A,menu!B:B)</f>
        <v>Veg Nuggets</v>
      </c>
      <c r="G2893" s="10" t="str">
        <f>_xlfn.XLOOKUP(C2893,menu!A:A,menu!C:C)</f>
        <v>Starters</v>
      </c>
      <c r="H2893" s="10">
        <f>_xlfn.XLOOKUP(C2893,menu!A:A,menu!E:E)</f>
        <v>30</v>
      </c>
      <c r="I2893" s="10">
        <f t="shared" si="45"/>
        <v>60</v>
      </c>
      <c r="K2893" s="10"/>
      <c r="L2893" s="5"/>
    </row>
    <row r="2894" spans="1:12" x14ac:dyDescent="0.25">
      <c r="A2894" s="5" t="s">
        <v>3243</v>
      </c>
      <c r="B2894" s="5" t="s">
        <v>3241</v>
      </c>
      <c r="C2894" s="5" t="s">
        <v>56</v>
      </c>
      <c r="D2894" s="21">
        <v>3</v>
      </c>
      <c r="E2894" s="12">
        <v>237</v>
      </c>
      <c r="F2894" s="10" t="str">
        <f>_xlfn.XLOOKUP(C2894,menu!A:A,menu!B:B)</f>
        <v>Mint Mojito</v>
      </c>
      <c r="G2894" s="10" t="str">
        <f>_xlfn.XLOOKUP(C2894,menu!A:A,menu!C:C)</f>
        <v>Beverages</v>
      </c>
      <c r="H2894" s="10">
        <f>_xlfn.XLOOKUP(C2894,menu!A:A,menu!E:E)</f>
        <v>24</v>
      </c>
      <c r="I2894" s="10">
        <f t="shared" si="45"/>
        <v>72</v>
      </c>
      <c r="K2894" s="10"/>
      <c r="L2894" s="5"/>
    </row>
    <row r="2895" spans="1:12" x14ac:dyDescent="0.25">
      <c r="A2895" s="5" t="s">
        <v>3242</v>
      </c>
      <c r="B2895" s="5" t="s">
        <v>3241</v>
      </c>
      <c r="C2895" s="5" t="s">
        <v>8</v>
      </c>
      <c r="D2895" s="21">
        <v>2</v>
      </c>
      <c r="E2895" s="12">
        <v>198</v>
      </c>
      <c r="F2895" s="10" t="str">
        <f>_xlfn.XLOOKUP(C2895,menu!A:A,menu!B:B)</f>
        <v>Paneer Sandwich</v>
      </c>
      <c r="G2895" s="10" t="str">
        <f>_xlfn.XLOOKUP(C2895,menu!A:A,menu!C:C)</f>
        <v>Sandwich</v>
      </c>
      <c r="H2895" s="10">
        <f>_xlfn.XLOOKUP(C2895,menu!A:A,menu!E:E)</f>
        <v>30</v>
      </c>
      <c r="I2895" s="10">
        <f t="shared" si="45"/>
        <v>60</v>
      </c>
      <c r="K2895" s="10"/>
      <c r="L2895" s="5"/>
    </row>
    <row r="2896" spans="1:12" x14ac:dyDescent="0.25">
      <c r="A2896" s="5" t="s">
        <v>3240</v>
      </c>
      <c r="B2896" s="5" t="s">
        <v>3238</v>
      </c>
      <c r="C2896" s="5" t="s">
        <v>12</v>
      </c>
      <c r="D2896" s="21">
        <v>3</v>
      </c>
      <c r="E2896" s="12">
        <v>237</v>
      </c>
      <c r="F2896" s="10" t="str">
        <f>_xlfn.XLOOKUP(C2896,menu!A:A,menu!B:B)</f>
        <v>Veg Momos</v>
      </c>
      <c r="G2896" s="10" t="str">
        <f>_xlfn.XLOOKUP(C2896,menu!A:A,menu!C:C)</f>
        <v>Momos</v>
      </c>
      <c r="H2896" s="10">
        <f>_xlfn.XLOOKUP(C2896,menu!A:A,menu!E:E)</f>
        <v>24</v>
      </c>
      <c r="I2896" s="10">
        <f t="shared" si="45"/>
        <v>72</v>
      </c>
      <c r="K2896" s="10"/>
      <c r="L2896" s="5"/>
    </row>
    <row r="2897" spans="1:12" x14ac:dyDescent="0.25">
      <c r="A2897" s="5" t="s">
        <v>3239</v>
      </c>
      <c r="B2897" s="5" t="s">
        <v>3238</v>
      </c>
      <c r="C2897" s="5" t="s">
        <v>22</v>
      </c>
      <c r="D2897" s="21">
        <v>2</v>
      </c>
      <c r="E2897" s="12">
        <v>198</v>
      </c>
      <c r="F2897" s="10" t="str">
        <f>_xlfn.XLOOKUP(C2897,menu!A:A,menu!B:B)</f>
        <v>Chicken Burger</v>
      </c>
      <c r="G2897" s="10" t="str">
        <f>_xlfn.XLOOKUP(C2897,menu!A:A,menu!C:C)</f>
        <v>Burger</v>
      </c>
      <c r="H2897" s="10">
        <f>_xlfn.XLOOKUP(C2897,menu!A:A,menu!E:E)</f>
        <v>30</v>
      </c>
      <c r="I2897" s="10">
        <f t="shared" si="45"/>
        <v>60</v>
      </c>
      <c r="K2897" s="10"/>
      <c r="L2897" s="5"/>
    </row>
    <row r="2898" spans="1:12" x14ac:dyDescent="0.25">
      <c r="A2898" s="5" t="s">
        <v>3237</v>
      </c>
      <c r="B2898" s="5" t="s">
        <v>3234</v>
      </c>
      <c r="C2898" s="5" t="s">
        <v>35</v>
      </c>
      <c r="D2898" s="21">
        <v>4</v>
      </c>
      <c r="E2898" s="12">
        <v>476</v>
      </c>
      <c r="F2898" s="10" t="str">
        <f>_xlfn.XLOOKUP(C2898,menu!A:A,menu!B:B)</f>
        <v>Chicken Nuggets</v>
      </c>
      <c r="G2898" s="10" t="str">
        <f>_xlfn.XLOOKUP(C2898,menu!A:A,menu!C:C)</f>
        <v>Starters</v>
      </c>
      <c r="H2898" s="10">
        <f>_xlfn.XLOOKUP(C2898,menu!A:A,menu!E:E)</f>
        <v>36</v>
      </c>
      <c r="I2898" s="10">
        <f t="shared" si="45"/>
        <v>144</v>
      </c>
      <c r="K2898" s="10"/>
      <c r="L2898" s="5"/>
    </row>
    <row r="2899" spans="1:12" x14ac:dyDescent="0.25">
      <c r="A2899" s="5" t="s">
        <v>3236</v>
      </c>
      <c r="B2899" s="5" t="s">
        <v>3234</v>
      </c>
      <c r="C2899" s="5" t="s">
        <v>15</v>
      </c>
      <c r="D2899" s="21">
        <v>1</v>
      </c>
      <c r="E2899" s="12">
        <v>99</v>
      </c>
      <c r="F2899" s="10" t="str">
        <f>_xlfn.XLOOKUP(C2899,menu!A:A,menu!B:B)</f>
        <v>Chicken Momos</v>
      </c>
      <c r="G2899" s="10" t="str">
        <f>_xlfn.XLOOKUP(C2899,menu!A:A,menu!C:C)</f>
        <v>Momos</v>
      </c>
      <c r="H2899" s="10">
        <f>_xlfn.XLOOKUP(C2899,menu!A:A,menu!E:E)</f>
        <v>30</v>
      </c>
      <c r="I2899" s="10">
        <f t="shared" si="45"/>
        <v>30</v>
      </c>
      <c r="K2899" s="10"/>
      <c r="L2899" s="5"/>
    </row>
    <row r="2900" spans="1:12" x14ac:dyDescent="0.25">
      <c r="A2900" s="5" t="s">
        <v>3235</v>
      </c>
      <c r="B2900" s="5" t="s">
        <v>3234</v>
      </c>
      <c r="C2900" s="5" t="s">
        <v>38</v>
      </c>
      <c r="D2900" s="21">
        <v>1</v>
      </c>
      <c r="E2900" s="12">
        <v>149</v>
      </c>
      <c r="F2900" s="10" t="str">
        <f>_xlfn.XLOOKUP(C2900,menu!A:A,menu!B:B)</f>
        <v>Chicken Wings</v>
      </c>
      <c r="G2900" s="10" t="str">
        <f>_xlfn.XLOOKUP(C2900,menu!A:A,menu!C:C)</f>
        <v>Starters</v>
      </c>
      <c r="H2900" s="10">
        <f>_xlfn.XLOOKUP(C2900,menu!A:A,menu!E:E)</f>
        <v>45</v>
      </c>
      <c r="I2900" s="10">
        <f t="shared" si="45"/>
        <v>45</v>
      </c>
      <c r="K2900" s="10"/>
      <c r="L2900" s="5"/>
    </row>
    <row r="2901" spans="1:12" x14ac:dyDescent="0.25">
      <c r="A2901" s="5" t="s">
        <v>3233</v>
      </c>
      <c r="B2901" s="5" t="s">
        <v>3230</v>
      </c>
      <c r="C2901" s="5" t="s">
        <v>15</v>
      </c>
      <c r="D2901" s="21">
        <v>1</v>
      </c>
      <c r="E2901" s="12">
        <v>99</v>
      </c>
      <c r="F2901" s="10" t="str">
        <f>_xlfn.XLOOKUP(C2901,menu!A:A,menu!B:B)</f>
        <v>Chicken Momos</v>
      </c>
      <c r="G2901" s="10" t="str">
        <f>_xlfn.XLOOKUP(C2901,menu!A:A,menu!C:C)</f>
        <v>Momos</v>
      </c>
      <c r="H2901" s="10">
        <f>_xlfn.XLOOKUP(C2901,menu!A:A,menu!E:E)</f>
        <v>30</v>
      </c>
      <c r="I2901" s="10">
        <f t="shared" si="45"/>
        <v>30</v>
      </c>
      <c r="K2901" s="10"/>
      <c r="L2901" s="5"/>
    </row>
    <row r="2902" spans="1:12" x14ac:dyDescent="0.25">
      <c r="A2902" s="5" t="s">
        <v>3232</v>
      </c>
      <c r="B2902" s="5" t="s">
        <v>3230</v>
      </c>
      <c r="C2902" s="5" t="s">
        <v>59</v>
      </c>
      <c r="D2902" s="21">
        <v>1</v>
      </c>
      <c r="E2902" s="12">
        <v>79</v>
      </c>
      <c r="F2902" s="10" t="str">
        <f>_xlfn.XLOOKUP(C2902,menu!A:A,menu!B:B)</f>
        <v>Blue Curacao Mojito</v>
      </c>
      <c r="G2902" s="10" t="str">
        <f>_xlfn.XLOOKUP(C2902,menu!A:A,menu!C:C)</f>
        <v>Beverages</v>
      </c>
      <c r="H2902" s="10">
        <f>_xlfn.XLOOKUP(C2902,menu!A:A,menu!E:E)</f>
        <v>24</v>
      </c>
      <c r="I2902" s="10">
        <f t="shared" si="45"/>
        <v>24</v>
      </c>
      <c r="K2902" s="10"/>
      <c r="L2902" s="5"/>
    </row>
    <row r="2903" spans="1:12" x14ac:dyDescent="0.25">
      <c r="A2903" s="5" t="s">
        <v>3231</v>
      </c>
      <c r="B2903" s="5" t="s">
        <v>3230</v>
      </c>
      <c r="C2903" s="5" t="s">
        <v>48</v>
      </c>
      <c r="D2903" s="21">
        <v>1</v>
      </c>
      <c r="E2903" s="12">
        <v>159</v>
      </c>
      <c r="F2903" s="10" t="str">
        <f>_xlfn.XLOOKUP(C2903,menu!A:A,menu!B:B)</f>
        <v>Chicken Lollipop</v>
      </c>
      <c r="G2903" s="10" t="str">
        <f>_xlfn.XLOOKUP(C2903,menu!A:A,menu!C:C)</f>
        <v>Starters</v>
      </c>
      <c r="H2903" s="10">
        <f>_xlfn.XLOOKUP(C2903,menu!A:A,menu!E:E)</f>
        <v>48</v>
      </c>
      <c r="I2903" s="10">
        <f t="shared" si="45"/>
        <v>48</v>
      </c>
      <c r="K2903" s="10"/>
      <c r="L2903" s="5"/>
    </row>
    <row r="2904" spans="1:12" x14ac:dyDescent="0.25">
      <c r="A2904" s="5" t="s">
        <v>3229</v>
      </c>
      <c r="B2904" s="5" t="s">
        <v>3226</v>
      </c>
      <c r="C2904" s="5" t="s">
        <v>63</v>
      </c>
      <c r="D2904" s="21">
        <v>5</v>
      </c>
      <c r="E2904" s="12">
        <v>395</v>
      </c>
      <c r="F2904" s="10" t="str">
        <f>_xlfn.XLOOKUP(C2904,menu!A:A,menu!B:B)</f>
        <v>Virgin Mojito</v>
      </c>
      <c r="G2904" s="10" t="str">
        <f>_xlfn.XLOOKUP(C2904,menu!A:A,menu!C:C)</f>
        <v>Beverages</v>
      </c>
      <c r="H2904" s="10">
        <f>_xlfn.XLOOKUP(C2904,menu!A:A,menu!E:E)</f>
        <v>24</v>
      </c>
      <c r="I2904" s="10">
        <f t="shared" si="45"/>
        <v>120</v>
      </c>
      <c r="K2904" s="10"/>
      <c r="L2904" s="5"/>
    </row>
    <row r="2905" spans="1:12" x14ac:dyDescent="0.25">
      <c r="A2905" s="5" t="s">
        <v>3228</v>
      </c>
      <c r="B2905" s="5" t="s">
        <v>3226</v>
      </c>
      <c r="C2905" s="5" t="s">
        <v>46</v>
      </c>
      <c r="D2905" s="21">
        <v>2</v>
      </c>
      <c r="E2905" s="12">
        <v>298</v>
      </c>
      <c r="F2905" s="10" t="str">
        <f>_xlfn.XLOOKUP(C2905,menu!A:A,menu!B:B)</f>
        <v>Fish Finger</v>
      </c>
      <c r="G2905" s="10" t="str">
        <f>_xlfn.XLOOKUP(C2905,menu!A:A,menu!C:C)</f>
        <v>Starters</v>
      </c>
      <c r="H2905" s="10">
        <f>_xlfn.XLOOKUP(C2905,menu!A:A,menu!E:E)</f>
        <v>45</v>
      </c>
      <c r="I2905" s="10">
        <f t="shared" si="45"/>
        <v>90</v>
      </c>
      <c r="K2905" s="10"/>
      <c r="L2905" s="5"/>
    </row>
    <row r="2906" spans="1:12" x14ac:dyDescent="0.25">
      <c r="A2906" s="5" t="s">
        <v>3227</v>
      </c>
      <c r="B2906" s="5" t="s">
        <v>3226</v>
      </c>
      <c r="C2906" s="5" t="s">
        <v>8</v>
      </c>
      <c r="D2906" s="21">
        <v>3</v>
      </c>
      <c r="E2906" s="12">
        <v>297</v>
      </c>
      <c r="F2906" s="10" t="str">
        <f>_xlfn.XLOOKUP(C2906,menu!A:A,menu!B:B)</f>
        <v>Paneer Sandwich</v>
      </c>
      <c r="G2906" s="10" t="str">
        <f>_xlfn.XLOOKUP(C2906,menu!A:A,menu!C:C)</f>
        <v>Sandwich</v>
      </c>
      <c r="H2906" s="10">
        <f>_xlfn.XLOOKUP(C2906,menu!A:A,menu!E:E)</f>
        <v>30</v>
      </c>
      <c r="I2906" s="10">
        <f t="shared" si="45"/>
        <v>90</v>
      </c>
      <c r="K2906" s="10"/>
      <c r="L2906" s="5"/>
    </row>
    <row r="2907" spans="1:12" x14ac:dyDescent="0.25">
      <c r="A2907" s="5" t="s">
        <v>3225</v>
      </c>
      <c r="B2907" s="5" t="s">
        <v>3222</v>
      </c>
      <c r="C2907" s="5" t="s">
        <v>52</v>
      </c>
      <c r="D2907" s="21">
        <v>1</v>
      </c>
      <c r="E2907" s="12">
        <v>99</v>
      </c>
      <c r="F2907" s="10" t="str">
        <f>_xlfn.XLOOKUP(C2907,menu!A:A,menu!B:B)</f>
        <v>French Fries</v>
      </c>
      <c r="G2907" s="10" t="str">
        <f>_xlfn.XLOOKUP(C2907,menu!A:A,menu!C:C)</f>
        <v>Starters</v>
      </c>
      <c r="H2907" s="10">
        <f>_xlfn.XLOOKUP(C2907,menu!A:A,menu!E:E)</f>
        <v>30</v>
      </c>
      <c r="I2907" s="10">
        <f t="shared" si="45"/>
        <v>30</v>
      </c>
      <c r="K2907" s="10"/>
      <c r="L2907" s="5"/>
    </row>
    <row r="2908" spans="1:12" x14ac:dyDescent="0.25">
      <c r="A2908" s="5" t="s">
        <v>3224</v>
      </c>
      <c r="B2908" s="5" t="s">
        <v>3222</v>
      </c>
      <c r="C2908" s="5" t="s">
        <v>42</v>
      </c>
      <c r="D2908" s="21">
        <v>2</v>
      </c>
      <c r="E2908" s="12">
        <v>298</v>
      </c>
      <c r="F2908" s="10" t="str">
        <f>_xlfn.XLOOKUP(C2908,menu!A:A,menu!B:B)</f>
        <v>Chicken Popcorn</v>
      </c>
      <c r="G2908" s="10" t="str">
        <f>_xlfn.XLOOKUP(C2908,menu!A:A,menu!C:C)</f>
        <v>Starters</v>
      </c>
      <c r="H2908" s="10">
        <f>_xlfn.XLOOKUP(C2908,menu!A:A,menu!E:E)</f>
        <v>45</v>
      </c>
      <c r="I2908" s="10">
        <f t="shared" si="45"/>
        <v>90</v>
      </c>
      <c r="K2908" s="10"/>
      <c r="L2908" s="5"/>
    </row>
    <row r="2909" spans="1:12" x14ac:dyDescent="0.25">
      <c r="A2909" s="5" t="s">
        <v>3223</v>
      </c>
      <c r="B2909" s="5" t="s">
        <v>3222</v>
      </c>
      <c r="C2909" s="5" t="s">
        <v>61</v>
      </c>
      <c r="D2909" s="21">
        <v>2</v>
      </c>
      <c r="E2909" s="12">
        <v>158</v>
      </c>
      <c r="F2909" s="10" t="str">
        <f>_xlfn.XLOOKUP(C2909,menu!A:A,menu!B:B)</f>
        <v>Watermelon Mojito</v>
      </c>
      <c r="G2909" s="10" t="str">
        <f>_xlfn.XLOOKUP(C2909,menu!A:A,menu!C:C)</f>
        <v>Beverages</v>
      </c>
      <c r="H2909" s="10">
        <f>_xlfn.XLOOKUP(C2909,menu!A:A,menu!E:E)</f>
        <v>24</v>
      </c>
      <c r="I2909" s="10">
        <f t="shared" si="45"/>
        <v>48</v>
      </c>
      <c r="K2909" s="10"/>
      <c r="L2909" s="5"/>
    </row>
    <row r="2910" spans="1:12" x14ac:dyDescent="0.25">
      <c r="A2910" s="5" t="s">
        <v>3221</v>
      </c>
      <c r="B2910" s="5" t="s">
        <v>3219</v>
      </c>
      <c r="C2910" s="5" t="s">
        <v>15</v>
      </c>
      <c r="D2910" s="21">
        <v>1</v>
      </c>
      <c r="E2910" s="12">
        <v>99</v>
      </c>
      <c r="F2910" s="10" t="str">
        <f>_xlfn.XLOOKUP(C2910,menu!A:A,menu!B:B)</f>
        <v>Chicken Momos</v>
      </c>
      <c r="G2910" s="10" t="str">
        <f>_xlfn.XLOOKUP(C2910,menu!A:A,menu!C:C)</f>
        <v>Momos</v>
      </c>
      <c r="H2910" s="10">
        <f>_xlfn.XLOOKUP(C2910,menu!A:A,menu!E:E)</f>
        <v>30</v>
      </c>
      <c r="I2910" s="10">
        <f t="shared" si="45"/>
        <v>30</v>
      </c>
      <c r="K2910" s="10"/>
      <c r="L2910" s="5"/>
    </row>
    <row r="2911" spans="1:12" x14ac:dyDescent="0.25">
      <c r="A2911" s="5" t="s">
        <v>3220</v>
      </c>
      <c r="B2911" s="5" t="s">
        <v>3219</v>
      </c>
      <c r="C2911" s="5" t="s">
        <v>38</v>
      </c>
      <c r="D2911" s="21">
        <v>1</v>
      </c>
      <c r="E2911" s="12">
        <v>149</v>
      </c>
      <c r="F2911" s="10" t="str">
        <f>_xlfn.XLOOKUP(C2911,menu!A:A,menu!B:B)</f>
        <v>Chicken Wings</v>
      </c>
      <c r="G2911" s="10" t="str">
        <f>_xlfn.XLOOKUP(C2911,menu!A:A,menu!C:C)</f>
        <v>Starters</v>
      </c>
      <c r="H2911" s="10">
        <f>_xlfn.XLOOKUP(C2911,menu!A:A,menu!E:E)</f>
        <v>45</v>
      </c>
      <c r="I2911" s="10">
        <f t="shared" si="45"/>
        <v>45</v>
      </c>
      <c r="K2911" s="10"/>
      <c r="L2911" s="5"/>
    </row>
    <row r="2912" spans="1:12" x14ac:dyDescent="0.25">
      <c r="A2912" s="5" t="s">
        <v>3218</v>
      </c>
      <c r="B2912" s="5" t="s">
        <v>3217</v>
      </c>
      <c r="C2912" s="5" t="s">
        <v>46</v>
      </c>
      <c r="D2912" s="21">
        <v>1</v>
      </c>
      <c r="E2912" s="12">
        <v>149</v>
      </c>
      <c r="F2912" s="10" t="str">
        <f>_xlfn.XLOOKUP(C2912,menu!A:A,menu!B:B)</f>
        <v>Fish Finger</v>
      </c>
      <c r="G2912" s="10" t="str">
        <f>_xlfn.XLOOKUP(C2912,menu!A:A,menu!C:C)</f>
        <v>Starters</v>
      </c>
      <c r="H2912" s="10">
        <f>_xlfn.XLOOKUP(C2912,menu!A:A,menu!E:E)</f>
        <v>45</v>
      </c>
      <c r="I2912" s="10">
        <f t="shared" si="45"/>
        <v>45</v>
      </c>
      <c r="K2912" s="10"/>
      <c r="L2912" s="5"/>
    </row>
    <row r="2913" spans="1:12" x14ac:dyDescent="0.25">
      <c r="A2913" s="5" t="s">
        <v>3216</v>
      </c>
      <c r="B2913" s="5" t="s">
        <v>3212</v>
      </c>
      <c r="C2913" s="5" t="s">
        <v>5</v>
      </c>
      <c r="D2913" s="21">
        <v>2</v>
      </c>
      <c r="E2913" s="12">
        <v>158</v>
      </c>
      <c r="F2913" s="10" t="str">
        <f>_xlfn.XLOOKUP(C2913,menu!A:A,menu!B:B)</f>
        <v>Veg Sandwich</v>
      </c>
      <c r="G2913" s="10" t="str">
        <f>_xlfn.XLOOKUP(C2913,menu!A:A,menu!C:C)</f>
        <v>Sandwich</v>
      </c>
      <c r="H2913" s="10">
        <f>_xlfn.XLOOKUP(C2913,menu!A:A,menu!E:E)</f>
        <v>24</v>
      </c>
      <c r="I2913" s="10">
        <f t="shared" si="45"/>
        <v>48</v>
      </c>
      <c r="K2913" s="10"/>
      <c r="L2913" s="5"/>
    </row>
    <row r="2914" spans="1:12" x14ac:dyDescent="0.25">
      <c r="A2914" s="5" t="s">
        <v>3215</v>
      </c>
      <c r="B2914" s="5" t="s">
        <v>3212</v>
      </c>
      <c r="C2914" s="5" t="s">
        <v>35</v>
      </c>
      <c r="D2914" s="21">
        <v>2</v>
      </c>
      <c r="E2914" s="12">
        <v>238</v>
      </c>
      <c r="F2914" s="10" t="str">
        <f>_xlfn.XLOOKUP(C2914,menu!A:A,menu!B:B)</f>
        <v>Chicken Nuggets</v>
      </c>
      <c r="G2914" s="10" t="str">
        <f>_xlfn.XLOOKUP(C2914,menu!A:A,menu!C:C)</f>
        <v>Starters</v>
      </c>
      <c r="H2914" s="10">
        <f>_xlfn.XLOOKUP(C2914,menu!A:A,menu!E:E)</f>
        <v>36</v>
      </c>
      <c r="I2914" s="10">
        <f t="shared" si="45"/>
        <v>72</v>
      </c>
      <c r="K2914" s="10"/>
      <c r="L2914" s="5"/>
    </row>
    <row r="2915" spans="1:12" x14ac:dyDescent="0.25">
      <c r="A2915" s="5" t="s">
        <v>3214</v>
      </c>
      <c r="B2915" s="5" t="s">
        <v>3212</v>
      </c>
      <c r="C2915" s="5" t="s">
        <v>59</v>
      </c>
      <c r="D2915" s="21">
        <v>2</v>
      </c>
      <c r="E2915" s="12">
        <v>158</v>
      </c>
      <c r="F2915" s="10" t="str">
        <f>_xlfn.XLOOKUP(C2915,menu!A:A,menu!B:B)</f>
        <v>Blue Curacao Mojito</v>
      </c>
      <c r="G2915" s="10" t="str">
        <f>_xlfn.XLOOKUP(C2915,menu!A:A,menu!C:C)</f>
        <v>Beverages</v>
      </c>
      <c r="H2915" s="10">
        <f>_xlfn.XLOOKUP(C2915,menu!A:A,menu!E:E)</f>
        <v>24</v>
      </c>
      <c r="I2915" s="10">
        <f t="shared" si="45"/>
        <v>48</v>
      </c>
      <c r="K2915" s="10"/>
      <c r="L2915" s="5"/>
    </row>
    <row r="2916" spans="1:12" x14ac:dyDescent="0.25">
      <c r="A2916" s="5" t="s">
        <v>3213</v>
      </c>
      <c r="B2916" s="5" t="s">
        <v>3212</v>
      </c>
      <c r="C2916" s="5" t="s">
        <v>24</v>
      </c>
      <c r="D2916" s="21">
        <v>2</v>
      </c>
      <c r="E2916" s="12">
        <v>178</v>
      </c>
      <c r="F2916" s="10" t="str">
        <f>_xlfn.XLOOKUP(C2916,menu!A:A,menu!B:B)</f>
        <v>Paneer Burger</v>
      </c>
      <c r="G2916" s="10" t="str">
        <f>_xlfn.XLOOKUP(C2916,menu!A:A,menu!C:C)</f>
        <v>Burger</v>
      </c>
      <c r="H2916" s="10">
        <f>_xlfn.XLOOKUP(C2916,menu!A:A,menu!E:E)</f>
        <v>27</v>
      </c>
      <c r="I2916" s="10">
        <f t="shared" si="45"/>
        <v>54</v>
      </c>
      <c r="K2916" s="10"/>
      <c r="L2916" s="5"/>
    </row>
    <row r="2917" spans="1:12" x14ac:dyDescent="0.25">
      <c r="A2917" s="5" t="s">
        <v>3211</v>
      </c>
      <c r="B2917" s="5" t="s">
        <v>3208</v>
      </c>
      <c r="C2917" s="5" t="s">
        <v>10</v>
      </c>
      <c r="D2917" s="21">
        <v>3</v>
      </c>
      <c r="E2917" s="12">
        <v>357</v>
      </c>
      <c r="F2917" s="10" t="str">
        <f>_xlfn.XLOOKUP(C2917,menu!A:A,menu!B:B)</f>
        <v>Chicken Sandwich</v>
      </c>
      <c r="G2917" s="10" t="str">
        <f>_xlfn.XLOOKUP(C2917,menu!A:A,menu!C:C)</f>
        <v>Sandwich</v>
      </c>
      <c r="H2917" s="10">
        <f>_xlfn.XLOOKUP(C2917,menu!A:A,menu!E:E)</f>
        <v>36</v>
      </c>
      <c r="I2917" s="10">
        <f t="shared" si="45"/>
        <v>108</v>
      </c>
      <c r="K2917" s="10"/>
      <c r="L2917" s="5"/>
    </row>
    <row r="2918" spans="1:12" x14ac:dyDescent="0.25">
      <c r="A2918" s="5" t="s">
        <v>3210</v>
      </c>
      <c r="B2918" s="5" t="s">
        <v>3208</v>
      </c>
      <c r="C2918" s="5" t="s">
        <v>50</v>
      </c>
      <c r="D2918" s="21">
        <v>1</v>
      </c>
      <c r="E2918" s="12">
        <v>149</v>
      </c>
      <c r="F2918" s="10" t="str">
        <f>_xlfn.XLOOKUP(C2918,menu!A:A,menu!B:B)</f>
        <v>Grab Lollipop</v>
      </c>
      <c r="G2918" s="10" t="str">
        <f>_xlfn.XLOOKUP(C2918,menu!A:A,menu!C:C)</f>
        <v>Starters</v>
      </c>
      <c r="H2918" s="10">
        <f>_xlfn.XLOOKUP(C2918,menu!A:A,menu!E:E)</f>
        <v>45</v>
      </c>
      <c r="I2918" s="10">
        <f t="shared" si="45"/>
        <v>45</v>
      </c>
      <c r="K2918" s="10"/>
      <c r="L2918" s="5"/>
    </row>
    <row r="2919" spans="1:12" x14ac:dyDescent="0.25">
      <c r="A2919" s="5" t="s">
        <v>3209</v>
      </c>
      <c r="B2919" s="5" t="s">
        <v>3208</v>
      </c>
      <c r="C2919" s="5" t="s">
        <v>26</v>
      </c>
      <c r="D2919" s="21">
        <v>1</v>
      </c>
      <c r="E2919" s="12">
        <v>59</v>
      </c>
      <c r="F2919" s="10" t="str">
        <f>_xlfn.XLOOKUP(C2919,menu!A:A,menu!B:B)</f>
        <v>Veg Roll</v>
      </c>
      <c r="G2919" s="10" t="str">
        <f>_xlfn.XLOOKUP(C2919,menu!A:A,menu!C:C)</f>
        <v>Rolls</v>
      </c>
      <c r="H2919" s="10">
        <f>_xlfn.XLOOKUP(C2919,menu!A:A,menu!E:E)</f>
        <v>18</v>
      </c>
      <c r="I2919" s="10">
        <f t="shared" si="45"/>
        <v>18</v>
      </c>
      <c r="K2919" s="10"/>
      <c r="L2919" s="5"/>
    </row>
    <row r="2920" spans="1:12" x14ac:dyDescent="0.25">
      <c r="A2920" s="5" t="s">
        <v>3207</v>
      </c>
      <c r="B2920" s="5" t="s">
        <v>3205</v>
      </c>
      <c r="C2920" s="5" t="s">
        <v>17</v>
      </c>
      <c r="D2920" s="21">
        <v>2</v>
      </c>
      <c r="E2920" s="12">
        <v>178</v>
      </c>
      <c r="F2920" s="10" t="str">
        <f>_xlfn.XLOOKUP(C2920,menu!A:A,menu!B:B)</f>
        <v>Paneer Momos</v>
      </c>
      <c r="G2920" s="10" t="str">
        <f>_xlfn.XLOOKUP(C2920,menu!A:A,menu!C:C)</f>
        <v>Momos</v>
      </c>
      <c r="H2920" s="10">
        <f>_xlfn.XLOOKUP(C2920,menu!A:A,menu!E:E)</f>
        <v>27</v>
      </c>
      <c r="I2920" s="10">
        <f t="shared" si="45"/>
        <v>54</v>
      </c>
      <c r="K2920" s="10"/>
      <c r="L2920" s="5"/>
    </row>
    <row r="2921" spans="1:12" x14ac:dyDescent="0.25">
      <c r="A2921" s="5" t="s">
        <v>3206</v>
      </c>
      <c r="B2921" s="5" t="s">
        <v>3205</v>
      </c>
      <c r="C2921" s="5" t="s">
        <v>59</v>
      </c>
      <c r="D2921" s="21">
        <v>3</v>
      </c>
      <c r="E2921" s="12">
        <v>237</v>
      </c>
      <c r="F2921" s="10" t="str">
        <f>_xlfn.XLOOKUP(C2921,menu!A:A,menu!B:B)</f>
        <v>Blue Curacao Mojito</v>
      </c>
      <c r="G2921" s="10" t="str">
        <f>_xlfn.XLOOKUP(C2921,menu!A:A,menu!C:C)</f>
        <v>Beverages</v>
      </c>
      <c r="H2921" s="10">
        <f>_xlfn.XLOOKUP(C2921,menu!A:A,menu!E:E)</f>
        <v>24</v>
      </c>
      <c r="I2921" s="10">
        <f t="shared" si="45"/>
        <v>72</v>
      </c>
      <c r="K2921" s="10"/>
      <c r="L2921" s="5"/>
    </row>
    <row r="2922" spans="1:12" x14ac:dyDescent="0.25">
      <c r="A2922" s="5" t="s">
        <v>3204</v>
      </c>
      <c r="B2922" s="5" t="s">
        <v>3200</v>
      </c>
      <c r="C2922" s="5" t="s">
        <v>15</v>
      </c>
      <c r="D2922" s="21">
        <v>1</v>
      </c>
      <c r="E2922" s="12">
        <v>99</v>
      </c>
      <c r="F2922" s="10" t="str">
        <f>_xlfn.XLOOKUP(C2922,menu!A:A,menu!B:B)</f>
        <v>Chicken Momos</v>
      </c>
      <c r="G2922" s="10" t="str">
        <f>_xlfn.XLOOKUP(C2922,menu!A:A,menu!C:C)</f>
        <v>Momos</v>
      </c>
      <c r="H2922" s="10">
        <f>_xlfn.XLOOKUP(C2922,menu!A:A,menu!E:E)</f>
        <v>30</v>
      </c>
      <c r="I2922" s="10">
        <f t="shared" si="45"/>
        <v>30</v>
      </c>
      <c r="K2922" s="10"/>
      <c r="L2922" s="5"/>
    </row>
    <row r="2923" spans="1:12" x14ac:dyDescent="0.25">
      <c r="A2923" s="5" t="s">
        <v>3203</v>
      </c>
      <c r="B2923" s="5" t="s">
        <v>3200</v>
      </c>
      <c r="C2923" s="5" t="s">
        <v>42</v>
      </c>
      <c r="D2923" s="21">
        <v>1</v>
      </c>
      <c r="E2923" s="12">
        <v>149</v>
      </c>
      <c r="F2923" s="10" t="str">
        <f>_xlfn.XLOOKUP(C2923,menu!A:A,menu!B:B)</f>
        <v>Chicken Popcorn</v>
      </c>
      <c r="G2923" s="10" t="str">
        <f>_xlfn.XLOOKUP(C2923,menu!A:A,menu!C:C)</f>
        <v>Starters</v>
      </c>
      <c r="H2923" s="10">
        <f>_xlfn.XLOOKUP(C2923,menu!A:A,menu!E:E)</f>
        <v>45</v>
      </c>
      <c r="I2923" s="10">
        <f t="shared" si="45"/>
        <v>45</v>
      </c>
      <c r="K2923" s="10"/>
      <c r="L2923" s="5"/>
    </row>
    <row r="2924" spans="1:12" x14ac:dyDescent="0.25">
      <c r="A2924" s="5" t="s">
        <v>3202</v>
      </c>
      <c r="B2924" s="5" t="s">
        <v>3200</v>
      </c>
      <c r="C2924" s="5" t="s">
        <v>46</v>
      </c>
      <c r="D2924" s="21">
        <v>1</v>
      </c>
      <c r="E2924" s="12">
        <v>149</v>
      </c>
      <c r="F2924" s="10" t="str">
        <f>_xlfn.XLOOKUP(C2924,menu!A:A,menu!B:B)</f>
        <v>Fish Finger</v>
      </c>
      <c r="G2924" s="10" t="str">
        <f>_xlfn.XLOOKUP(C2924,menu!A:A,menu!C:C)</f>
        <v>Starters</v>
      </c>
      <c r="H2924" s="10">
        <f>_xlfn.XLOOKUP(C2924,menu!A:A,menu!E:E)</f>
        <v>45</v>
      </c>
      <c r="I2924" s="10">
        <f t="shared" si="45"/>
        <v>45</v>
      </c>
      <c r="K2924" s="10"/>
      <c r="L2924" s="5"/>
    </row>
    <row r="2925" spans="1:12" x14ac:dyDescent="0.25">
      <c r="A2925" s="5" t="s">
        <v>3201</v>
      </c>
      <c r="B2925" s="5" t="s">
        <v>3200</v>
      </c>
      <c r="C2925" s="5" t="s">
        <v>61</v>
      </c>
      <c r="D2925" s="21">
        <v>4</v>
      </c>
      <c r="E2925" s="12">
        <v>316</v>
      </c>
      <c r="F2925" s="10" t="str">
        <f>_xlfn.XLOOKUP(C2925,menu!A:A,menu!B:B)</f>
        <v>Watermelon Mojito</v>
      </c>
      <c r="G2925" s="10" t="str">
        <f>_xlfn.XLOOKUP(C2925,menu!A:A,menu!C:C)</f>
        <v>Beverages</v>
      </c>
      <c r="H2925" s="10">
        <f>_xlfn.XLOOKUP(C2925,menu!A:A,menu!E:E)</f>
        <v>24</v>
      </c>
      <c r="I2925" s="10">
        <f t="shared" si="45"/>
        <v>96</v>
      </c>
      <c r="K2925" s="10"/>
      <c r="L2925" s="5"/>
    </row>
    <row r="2926" spans="1:12" x14ac:dyDescent="0.25">
      <c r="A2926" s="5" t="s">
        <v>3199</v>
      </c>
      <c r="B2926" s="5" t="s">
        <v>3197</v>
      </c>
      <c r="C2926" s="5" t="s">
        <v>35</v>
      </c>
      <c r="D2926" s="21">
        <v>1</v>
      </c>
      <c r="E2926" s="12">
        <v>119</v>
      </c>
      <c r="F2926" s="10" t="str">
        <f>_xlfn.XLOOKUP(C2926,menu!A:A,menu!B:B)</f>
        <v>Chicken Nuggets</v>
      </c>
      <c r="G2926" s="10" t="str">
        <f>_xlfn.XLOOKUP(C2926,menu!A:A,menu!C:C)</f>
        <v>Starters</v>
      </c>
      <c r="H2926" s="10">
        <f>_xlfn.XLOOKUP(C2926,menu!A:A,menu!E:E)</f>
        <v>36</v>
      </c>
      <c r="I2926" s="10">
        <f t="shared" si="45"/>
        <v>36</v>
      </c>
      <c r="K2926" s="10"/>
      <c r="L2926" s="5"/>
    </row>
    <row r="2927" spans="1:12" x14ac:dyDescent="0.25">
      <c r="A2927" s="5" t="s">
        <v>3198</v>
      </c>
      <c r="B2927" s="5" t="s">
        <v>3197</v>
      </c>
      <c r="C2927" s="5" t="s">
        <v>48</v>
      </c>
      <c r="D2927" s="21">
        <v>1</v>
      </c>
      <c r="E2927" s="12">
        <v>159</v>
      </c>
      <c r="F2927" s="10" t="str">
        <f>_xlfn.XLOOKUP(C2927,menu!A:A,menu!B:B)</f>
        <v>Chicken Lollipop</v>
      </c>
      <c r="G2927" s="10" t="str">
        <f>_xlfn.XLOOKUP(C2927,menu!A:A,menu!C:C)</f>
        <v>Starters</v>
      </c>
      <c r="H2927" s="10">
        <f>_xlfn.XLOOKUP(C2927,menu!A:A,menu!E:E)</f>
        <v>48</v>
      </c>
      <c r="I2927" s="10">
        <f t="shared" si="45"/>
        <v>48</v>
      </c>
      <c r="K2927" s="10"/>
      <c r="L2927" s="5"/>
    </row>
    <row r="2928" spans="1:12" x14ac:dyDescent="0.25">
      <c r="A2928" s="5" t="s">
        <v>3196</v>
      </c>
      <c r="B2928" s="5" t="s">
        <v>3193</v>
      </c>
      <c r="C2928" s="5" t="s">
        <v>5</v>
      </c>
      <c r="D2928" s="21">
        <v>1</v>
      </c>
      <c r="E2928" s="12">
        <v>79</v>
      </c>
      <c r="F2928" s="10" t="str">
        <f>_xlfn.XLOOKUP(C2928,menu!A:A,menu!B:B)</f>
        <v>Veg Sandwich</v>
      </c>
      <c r="G2928" s="10" t="str">
        <f>_xlfn.XLOOKUP(C2928,menu!A:A,menu!C:C)</f>
        <v>Sandwich</v>
      </c>
      <c r="H2928" s="10">
        <f>_xlfn.XLOOKUP(C2928,menu!A:A,menu!E:E)</f>
        <v>24</v>
      </c>
      <c r="I2928" s="10">
        <f t="shared" si="45"/>
        <v>24</v>
      </c>
      <c r="K2928" s="10"/>
      <c r="L2928" s="5"/>
    </row>
    <row r="2929" spans="1:12" x14ac:dyDescent="0.25">
      <c r="A2929" s="5" t="s">
        <v>3195</v>
      </c>
      <c r="B2929" s="5" t="s">
        <v>3193</v>
      </c>
      <c r="C2929" s="5" t="s">
        <v>46</v>
      </c>
      <c r="D2929" s="21">
        <v>2</v>
      </c>
      <c r="E2929" s="12">
        <v>298</v>
      </c>
      <c r="F2929" s="10" t="str">
        <f>_xlfn.XLOOKUP(C2929,menu!A:A,menu!B:B)</f>
        <v>Fish Finger</v>
      </c>
      <c r="G2929" s="10" t="str">
        <f>_xlfn.XLOOKUP(C2929,menu!A:A,menu!C:C)</f>
        <v>Starters</v>
      </c>
      <c r="H2929" s="10">
        <f>_xlfn.XLOOKUP(C2929,menu!A:A,menu!E:E)</f>
        <v>45</v>
      </c>
      <c r="I2929" s="10">
        <f t="shared" si="45"/>
        <v>90</v>
      </c>
      <c r="K2929" s="10"/>
      <c r="L2929" s="5"/>
    </row>
    <row r="2930" spans="1:12" x14ac:dyDescent="0.25">
      <c r="A2930" s="5" t="s">
        <v>3194</v>
      </c>
      <c r="B2930" s="5" t="s">
        <v>3193</v>
      </c>
      <c r="C2930" s="5" t="s">
        <v>26</v>
      </c>
      <c r="D2930" s="21">
        <v>1</v>
      </c>
      <c r="E2930" s="12">
        <v>59</v>
      </c>
      <c r="F2930" s="10" t="str">
        <f>_xlfn.XLOOKUP(C2930,menu!A:A,menu!B:B)</f>
        <v>Veg Roll</v>
      </c>
      <c r="G2930" s="10" t="str">
        <f>_xlfn.XLOOKUP(C2930,menu!A:A,menu!C:C)</f>
        <v>Rolls</v>
      </c>
      <c r="H2930" s="10">
        <f>_xlfn.XLOOKUP(C2930,menu!A:A,menu!E:E)</f>
        <v>18</v>
      </c>
      <c r="I2930" s="10">
        <f t="shared" si="45"/>
        <v>18</v>
      </c>
      <c r="K2930" s="10"/>
      <c r="L2930" s="5"/>
    </row>
    <row r="2931" spans="1:12" x14ac:dyDescent="0.25">
      <c r="A2931" s="5" t="s">
        <v>3192</v>
      </c>
      <c r="B2931" s="5" t="s">
        <v>3188</v>
      </c>
      <c r="C2931" s="5" t="s">
        <v>12</v>
      </c>
      <c r="D2931" s="21">
        <v>3</v>
      </c>
      <c r="E2931" s="12">
        <v>237</v>
      </c>
      <c r="F2931" s="10" t="str">
        <f>_xlfn.XLOOKUP(C2931,menu!A:A,menu!B:B)</f>
        <v>Veg Momos</v>
      </c>
      <c r="G2931" s="10" t="str">
        <f>_xlfn.XLOOKUP(C2931,menu!A:A,menu!C:C)</f>
        <v>Momos</v>
      </c>
      <c r="H2931" s="10">
        <f>_xlfn.XLOOKUP(C2931,menu!A:A,menu!E:E)</f>
        <v>24</v>
      </c>
      <c r="I2931" s="10">
        <f t="shared" si="45"/>
        <v>72</v>
      </c>
      <c r="K2931" s="10"/>
      <c r="L2931" s="5"/>
    </row>
    <row r="2932" spans="1:12" x14ac:dyDescent="0.25">
      <c r="A2932" s="5" t="s">
        <v>3191</v>
      </c>
      <c r="B2932" s="5" t="s">
        <v>3188</v>
      </c>
      <c r="C2932" s="5" t="s">
        <v>10</v>
      </c>
      <c r="D2932" s="21">
        <v>1</v>
      </c>
      <c r="E2932" s="12">
        <v>119</v>
      </c>
      <c r="F2932" s="10" t="str">
        <f>_xlfn.XLOOKUP(C2932,menu!A:A,menu!B:B)</f>
        <v>Chicken Sandwich</v>
      </c>
      <c r="G2932" s="10" t="str">
        <f>_xlfn.XLOOKUP(C2932,menu!A:A,menu!C:C)</f>
        <v>Sandwich</v>
      </c>
      <c r="H2932" s="10">
        <f>_xlfn.XLOOKUP(C2932,menu!A:A,menu!E:E)</f>
        <v>36</v>
      </c>
      <c r="I2932" s="10">
        <f t="shared" si="45"/>
        <v>36</v>
      </c>
      <c r="K2932" s="10"/>
      <c r="L2932" s="5"/>
    </row>
    <row r="2933" spans="1:12" x14ac:dyDescent="0.25">
      <c r="A2933" s="5" t="s">
        <v>3190</v>
      </c>
      <c r="B2933" s="5" t="s">
        <v>3188</v>
      </c>
      <c r="C2933" s="5" t="s">
        <v>54</v>
      </c>
      <c r="D2933" s="21">
        <v>1</v>
      </c>
      <c r="E2933" s="12">
        <v>139</v>
      </c>
      <c r="F2933" s="10" t="str">
        <f>_xlfn.XLOOKUP(C2933,menu!A:A,menu!B:B)</f>
        <v>Chicken Strips</v>
      </c>
      <c r="G2933" s="10" t="str">
        <f>_xlfn.XLOOKUP(C2933,menu!A:A,menu!C:C)</f>
        <v>Starters</v>
      </c>
      <c r="H2933" s="10">
        <f>_xlfn.XLOOKUP(C2933,menu!A:A,menu!E:E)</f>
        <v>42</v>
      </c>
      <c r="I2933" s="10">
        <f t="shared" si="45"/>
        <v>42</v>
      </c>
      <c r="K2933" s="10"/>
      <c r="L2933" s="5"/>
    </row>
    <row r="2934" spans="1:12" x14ac:dyDescent="0.25">
      <c r="A2934" s="5" t="s">
        <v>3189</v>
      </c>
      <c r="B2934" s="5" t="s">
        <v>3188</v>
      </c>
      <c r="C2934" s="5" t="s">
        <v>52</v>
      </c>
      <c r="D2934" s="21">
        <v>2</v>
      </c>
      <c r="E2934" s="12">
        <v>198</v>
      </c>
      <c r="F2934" s="10" t="str">
        <f>_xlfn.XLOOKUP(C2934,menu!A:A,menu!B:B)</f>
        <v>French Fries</v>
      </c>
      <c r="G2934" s="10" t="str">
        <f>_xlfn.XLOOKUP(C2934,menu!A:A,menu!C:C)</f>
        <v>Starters</v>
      </c>
      <c r="H2934" s="10">
        <f>_xlfn.XLOOKUP(C2934,menu!A:A,menu!E:E)</f>
        <v>30</v>
      </c>
      <c r="I2934" s="10">
        <f t="shared" si="45"/>
        <v>60</v>
      </c>
      <c r="K2934" s="10"/>
      <c r="L2934" s="5"/>
    </row>
    <row r="2935" spans="1:12" x14ac:dyDescent="0.25">
      <c r="A2935" s="5" t="s">
        <v>3187</v>
      </c>
      <c r="B2935" s="5" t="s">
        <v>3183</v>
      </c>
      <c r="C2935" s="5" t="s">
        <v>12</v>
      </c>
      <c r="D2935" s="21">
        <v>2</v>
      </c>
      <c r="E2935" s="12">
        <v>158</v>
      </c>
      <c r="F2935" s="10" t="str">
        <f>_xlfn.XLOOKUP(C2935,menu!A:A,menu!B:B)</f>
        <v>Veg Momos</v>
      </c>
      <c r="G2935" s="10" t="str">
        <f>_xlfn.XLOOKUP(C2935,menu!A:A,menu!C:C)</f>
        <v>Momos</v>
      </c>
      <c r="H2935" s="10">
        <f>_xlfn.XLOOKUP(C2935,menu!A:A,menu!E:E)</f>
        <v>24</v>
      </c>
      <c r="I2935" s="10">
        <f t="shared" si="45"/>
        <v>48</v>
      </c>
      <c r="K2935" s="10"/>
      <c r="L2935" s="5"/>
    </row>
    <row r="2936" spans="1:12" x14ac:dyDescent="0.25">
      <c r="A2936" s="5" t="s">
        <v>3186</v>
      </c>
      <c r="B2936" s="5" t="s">
        <v>3183</v>
      </c>
      <c r="C2936" s="5" t="s">
        <v>22</v>
      </c>
      <c r="D2936" s="21">
        <v>1</v>
      </c>
      <c r="E2936" s="12">
        <v>99</v>
      </c>
      <c r="F2936" s="10" t="str">
        <f>_xlfn.XLOOKUP(C2936,menu!A:A,menu!B:B)</f>
        <v>Chicken Burger</v>
      </c>
      <c r="G2936" s="10" t="str">
        <f>_xlfn.XLOOKUP(C2936,menu!A:A,menu!C:C)</f>
        <v>Burger</v>
      </c>
      <c r="H2936" s="10">
        <f>_xlfn.XLOOKUP(C2936,menu!A:A,menu!E:E)</f>
        <v>30</v>
      </c>
      <c r="I2936" s="10">
        <f t="shared" si="45"/>
        <v>30</v>
      </c>
      <c r="K2936" s="10"/>
      <c r="L2936" s="5"/>
    </row>
    <row r="2937" spans="1:12" x14ac:dyDescent="0.25">
      <c r="A2937" s="5" t="s">
        <v>3185</v>
      </c>
      <c r="B2937" s="5" t="s">
        <v>3183</v>
      </c>
      <c r="C2937" s="5" t="s">
        <v>42</v>
      </c>
      <c r="D2937" s="21">
        <v>5</v>
      </c>
      <c r="E2937" s="12">
        <v>745</v>
      </c>
      <c r="F2937" s="10" t="str">
        <f>_xlfn.XLOOKUP(C2937,menu!A:A,menu!B:B)</f>
        <v>Chicken Popcorn</v>
      </c>
      <c r="G2937" s="10" t="str">
        <f>_xlfn.XLOOKUP(C2937,menu!A:A,menu!C:C)</f>
        <v>Starters</v>
      </c>
      <c r="H2937" s="10">
        <f>_xlfn.XLOOKUP(C2937,menu!A:A,menu!E:E)</f>
        <v>45</v>
      </c>
      <c r="I2937" s="10">
        <f t="shared" si="45"/>
        <v>225</v>
      </c>
      <c r="K2937" s="10"/>
      <c r="L2937" s="5"/>
    </row>
    <row r="2938" spans="1:12" x14ac:dyDescent="0.25">
      <c r="A2938" s="5" t="s">
        <v>3184</v>
      </c>
      <c r="B2938" s="5" t="s">
        <v>3183</v>
      </c>
      <c r="C2938" s="5" t="s">
        <v>40</v>
      </c>
      <c r="D2938" s="21">
        <v>3</v>
      </c>
      <c r="E2938" s="12">
        <v>297</v>
      </c>
      <c r="F2938" s="10" t="str">
        <f>_xlfn.XLOOKUP(C2938,menu!A:A,menu!B:B)</f>
        <v>Veg Nuggets</v>
      </c>
      <c r="G2938" s="10" t="str">
        <f>_xlfn.XLOOKUP(C2938,menu!A:A,menu!C:C)</f>
        <v>Starters</v>
      </c>
      <c r="H2938" s="10">
        <f>_xlfn.XLOOKUP(C2938,menu!A:A,menu!E:E)</f>
        <v>30</v>
      </c>
      <c r="I2938" s="10">
        <f t="shared" si="45"/>
        <v>90</v>
      </c>
      <c r="K2938" s="10"/>
      <c r="L2938" s="5"/>
    </row>
    <row r="2939" spans="1:12" x14ac:dyDescent="0.25">
      <c r="A2939" s="5" t="s">
        <v>3182</v>
      </c>
      <c r="B2939" s="5" t="s">
        <v>3179</v>
      </c>
      <c r="C2939" s="5" t="s">
        <v>40</v>
      </c>
      <c r="D2939" s="21">
        <v>3</v>
      </c>
      <c r="E2939" s="12">
        <v>297</v>
      </c>
      <c r="F2939" s="10" t="str">
        <f>_xlfn.XLOOKUP(C2939,menu!A:A,menu!B:B)</f>
        <v>Veg Nuggets</v>
      </c>
      <c r="G2939" s="10" t="str">
        <f>_xlfn.XLOOKUP(C2939,menu!A:A,menu!C:C)</f>
        <v>Starters</v>
      </c>
      <c r="H2939" s="10">
        <f>_xlfn.XLOOKUP(C2939,menu!A:A,menu!E:E)</f>
        <v>30</v>
      </c>
      <c r="I2939" s="10">
        <f t="shared" si="45"/>
        <v>90</v>
      </c>
      <c r="K2939" s="10"/>
      <c r="L2939" s="5"/>
    </row>
    <row r="2940" spans="1:12" x14ac:dyDescent="0.25">
      <c r="A2940" s="5" t="s">
        <v>3181</v>
      </c>
      <c r="B2940" s="5" t="s">
        <v>3179</v>
      </c>
      <c r="C2940" s="5" t="s">
        <v>54</v>
      </c>
      <c r="D2940" s="21">
        <v>4</v>
      </c>
      <c r="E2940" s="12">
        <v>556</v>
      </c>
      <c r="F2940" s="10" t="str">
        <f>_xlfn.XLOOKUP(C2940,menu!A:A,menu!B:B)</f>
        <v>Chicken Strips</v>
      </c>
      <c r="G2940" s="10" t="str">
        <f>_xlfn.XLOOKUP(C2940,menu!A:A,menu!C:C)</f>
        <v>Starters</v>
      </c>
      <c r="H2940" s="10">
        <f>_xlfn.XLOOKUP(C2940,menu!A:A,menu!E:E)</f>
        <v>42</v>
      </c>
      <c r="I2940" s="10">
        <f t="shared" si="45"/>
        <v>168</v>
      </c>
      <c r="K2940" s="10"/>
      <c r="L2940" s="5"/>
    </row>
    <row r="2941" spans="1:12" x14ac:dyDescent="0.25">
      <c r="A2941" s="5" t="s">
        <v>3180</v>
      </c>
      <c r="B2941" s="5" t="s">
        <v>3179</v>
      </c>
      <c r="C2941" s="5" t="s">
        <v>38</v>
      </c>
      <c r="D2941" s="21">
        <v>2</v>
      </c>
      <c r="E2941" s="12">
        <v>298</v>
      </c>
      <c r="F2941" s="10" t="str">
        <f>_xlfn.XLOOKUP(C2941,menu!A:A,menu!B:B)</f>
        <v>Chicken Wings</v>
      </c>
      <c r="G2941" s="10" t="str">
        <f>_xlfn.XLOOKUP(C2941,menu!A:A,menu!C:C)</f>
        <v>Starters</v>
      </c>
      <c r="H2941" s="10">
        <f>_xlfn.XLOOKUP(C2941,menu!A:A,menu!E:E)</f>
        <v>45</v>
      </c>
      <c r="I2941" s="10">
        <f t="shared" si="45"/>
        <v>90</v>
      </c>
      <c r="K2941" s="10"/>
      <c r="L2941" s="5"/>
    </row>
    <row r="2942" spans="1:12" x14ac:dyDescent="0.25">
      <c r="A2942" s="5" t="s">
        <v>3178</v>
      </c>
      <c r="B2942" s="5" t="s">
        <v>3175</v>
      </c>
      <c r="C2942" s="5" t="s">
        <v>12</v>
      </c>
      <c r="D2942" s="21">
        <v>3</v>
      </c>
      <c r="E2942" s="12">
        <v>237</v>
      </c>
      <c r="F2942" s="10" t="str">
        <f>_xlfn.XLOOKUP(C2942,menu!A:A,menu!B:B)</f>
        <v>Veg Momos</v>
      </c>
      <c r="G2942" s="10" t="str">
        <f>_xlfn.XLOOKUP(C2942,menu!A:A,menu!C:C)</f>
        <v>Momos</v>
      </c>
      <c r="H2942" s="10">
        <f>_xlfn.XLOOKUP(C2942,menu!A:A,menu!E:E)</f>
        <v>24</v>
      </c>
      <c r="I2942" s="10">
        <f t="shared" si="45"/>
        <v>72</v>
      </c>
      <c r="K2942" s="10"/>
      <c r="L2942" s="5"/>
    </row>
    <row r="2943" spans="1:12" x14ac:dyDescent="0.25">
      <c r="A2943" s="5" t="s">
        <v>3177</v>
      </c>
      <c r="B2943" s="5" t="s">
        <v>3175</v>
      </c>
      <c r="C2943" s="5" t="s">
        <v>15</v>
      </c>
      <c r="D2943" s="21">
        <v>1</v>
      </c>
      <c r="E2943" s="12">
        <v>99</v>
      </c>
      <c r="F2943" s="10" t="str">
        <f>_xlfn.XLOOKUP(C2943,menu!A:A,menu!B:B)</f>
        <v>Chicken Momos</v>
      </c>
      <c r="G2943" s="10" t="str">
        <f>_xlfn.XLOOKUP(C2943,menu!A:A,menu!C:C)</f>
        <v>Momos</v>
      </c>
      <c r="H2943" s="10">
        <f>_xlfn.XLOOKUP(C2943,menu!A:A,menu!E:E)</f>
        <v>30</v>
      </c>
      <c r="I2943" s="10">
        <f t="shared" si="45"/>
        <v>30</v>
      </c>
      <c r="K2943" s="10"/>
      <c r="L2943" s="5"/>
    </row>
    <row r="2944" spans="1:12" x14ac:dyDescent="0.25">
      <c r="A2944" s="5" t="s">
        <v>3176</v>
      </c>
      <c r="B2944" s="5" t="s">
        <v>3175</v>
      </c>
      <c r="C2944" s="5" t="s">
        <v>61</v>
      </c>
      <c r="D2944" s="21">
        <v>1</v>
      </c>
      <c r="E2944" s="12">
        <v>79</v>
      </c>
      <c r="F2944" s="10" t="str">
        <f>_xlfn.XLOOKUP(C2944,menu!A:A,menu!B:B)</f>
        <v>Watermelon Mojito</v>
      </c>
      <c r="G2944" s="10" t="str">
        <f>_xlfn.XLOOKUP(C2944,menu!A:A,menu!C:C)</f>
        <v>Beverages</v>
      </c>
      <c r="H2944" s="10">
        <f>_xlfn.XLOOKUP(C2944,menu!A:A,menu!E:E)</f>
        <v>24</v>
      </c>
      <c r="I2944" s="10">
        <f t="shared" si="45"/>
        <v>24</v>
      </c>
      <c r="K2944" s="10"/>
      <c r="L2944" s="5"/>
    </row>
    <row r="2945" spans="1:12" x14ac:dyDescent="0.25">
      <c r="A2945" s="5" t="s">
        <v>3174</v>
      </c>
      <c r="B2945" s="5" t="s">
        <v>3171</v>
      </c>
      <c r="C2945" s="5" t="s">
        <v>42</v>
      </c>
      <c r="D2945" s="21">
        <v>3</v>
      </c>
      <c r="E2945" s="12">
        <v>447</v>
      </c>
      <c r="F2945" s="10" t="str">
        <f>_xlfn.XLOOKUP(C2945,menu!A:A,menu!B:B)</f>
        <v>Chicken Popcorn</v>
      </c>
      <c r="G2945" s="10" t="str">
        <f>_xlfn.XLOOKUP(C2945,menu!A:A,menu!C:C)</f>
        <v>Starters</v>
      </c>
      <c r="H2945" s="10">
        <f>_xlfn.XLOOKUP(C2945,menu!A:A,menu!E:E)</f>
        <v>45</v>
      </c>
      <c r="I2945" s="10">
        <f t="shared" si="45"/>
        <v>135</v>
      </c>
      <c r="K2945" s="10"/>
      <c r="L2945" s="5"/>
    </row>
    <row r="2946" spans="1:12" x14ac:dyDescent="0.25">
      <c r="A2946" s="5" t="s">
        <v>3173</v>
      </c>
      <c r="B2946" s="5" t="s">
        <v>3171</v>
      </c>
      <c r="C2946" s="5" t="s">
        <v>59</v>
      </c>
      <c r="D2946" s="21">
        <v>3</v>
      </c>
      <c r="E2946" s="12">
        <v>237</v>
      </c>
      <c r="F2946" s="10" t="str">
        <f>_xlfn.XLOOKUP(C2946,menu!A:A,menu!B:B)</f>
        <v>Blue Curacao Mojito</v>
      </c>
      <c r="G2946" s="10" t="str">
        <f>_xlfn.XLOOKUP(C2946,menu!A:A,menu!C:C)</f>
        <v>Beverages</v>
      </c>
      <c r="H2946" s="10">
        <f>_xlfn.XLOOKUP(C2946,menu!A:A,menu!E:E)</f>
        <v>24</v>
      </c>
      <c r="I2946" s="10">
        <f t="shared" si="45"/>
        <v>72</v>
      </c>
      <c r="K2946" s="10"/>
      <c r="L2946" s="5"/>
    </row>
    <row r="2947" spans="1:12" x14ac:dyDescent="0.25">
      <c r="A2947" s="5" t="s">
        <v>3172</v>
      </c>
      <c r="B2947" s="5" t="s">
        <v>3171</v>
      </c>
      <c r="C2947" s="5" t="s">
        <v>61</v>
      </c>
      <c r="D2947" s="21">
        <v>1</v>
      </c>
      <c r="E2947" s="12">
        <v>79</v>
      </c>
      <c r="F2947" s="10" t="str">
        <f>_xlfn.XLOOKUP(C2947,menu!A:A,menu!B:B)</f>
        <v>Watermelon Mojito</v>
      </c>
      <c r="G2947" s="10" t="str">
        <f>_xlfn.XLOOKUP(C2947,menu!A:A,menu!C:C)</f>
        <v>Beverages</v>
      </c>
      <c r="H2947" s="10">
        <f>_xlfn.XLOOKUP(C2947,menu!A:A,menu!E:E)</f>
        <v>24</v>
      </c>
      <c r="I2947" s="10">
        <f t="shared" ref="I2947:I3010" si="46">D2947*H2947</f>
        <v>24</v>
      </c>
      <c r="K2947" s="10"/>
      <c r="L2947" s="5"/>
    </row>
    <row r="2948" spans="1:12" x14ac:dyDescent="0.25">
      <c r="A2948" s="5" t="s">
        <v>3170</v>
      </c>
      <c r="B2948" s="5" t="s">
        <v>3167</v>
      </c>
      <c r="C2948" s="5" t="s">
        <v>12</v>
      </c>
      <c r="D2948" s="21">
        <v>1</v>
      </c>
      <c r="E2948" s="12">
        <v>79</v>
      </c>
      <c r="F2948" s="10" t="str">
        <f>_xlfn.XLOOKUP(C2948,menu!A:A,menu!B:B)</f>
        <v>Veg Momos</v>
      </c>
      <c r="G2948" s="10" t="str">
        <f>_xlfn.XLOOKUP(C2948,menu!A:A,menu!C:C)</f>
        <v>Momos</v>
      </c>
      <c r="H2948" s="10">
        <f>_xlfn.XLOOKUP(C2948,menu!A:A,menu!E:E)</f>
        <v>24</v>
      </c>
      <c r="I2948" s="10">
        <f t="shared" si="46"/>
        <v>24</v>
      </c>
      <c r="K2948" s="10"/>
      <c r="L2948" s="5"/>
    </row>
    <row r="2949" spans="1:12" x14ac:dyDescent="0.25">
      <c r="A2949" s="5" t="s">
        <v>3169</v>
      </c>
      <c r="B2949" s="5" t="s">
        <v>3167</v>
      </c>
      <c r="C2949" s="5" t="s">
        <v>15</v>
      </c>
      <c r="D2949" s="21">
        <v>2</v>
      </c>
      <c r="E2949" s="12">
        <v>198</v>
      </c>
      <c r="F2949" s="10" t="str">
        <f>_xlfn.XLOOKUP(C2949,menu!A:A,menu!B:B)</f>
        <v>Chicken Momos</v>
      </c>
      <c r="G2949" s="10" t="str">
        <f>_xlfn.XLOOKUP(C2949,menu!A:A,menu!C:C)</f>
        <v>Momos</v>
      </c>
      <c r="H2949" s="10">
        <f>_xlfn.XLOOKUP(C2949,menu!A:A,menu!E:E)</f>
        <v>30</v>
      </c>
      <c r="I2949" s="10">
        <f t="shared" si="46"/>
        <v>60</v>
      </c>
      <c r="K2949" s="10"/>
      <c r="L2949" s="5"/>
    </row>
    <row r="2950" spans="1:12" x14ac:dyDescent="0.25">
      <c r="A2950" s="5" t="s">
        <v>3168</v>
      </c>
      <c r="B2950" s="5" t="s">
        <v>3167</v>
      </c>
      <c r="C2950" s="5" t="s">
        <v>48</v>
      </c>
      <c r="D2950" s="21">
        <v>1</v>
      </c>
      <c r="E2950" s="12">
        <v>159</v>
      </c>
      <c r="F2950" s="10" t="str">
        <f>_xlfn.XLOOKUP(C2950,menu!A:A,menu!B:B)</f>
        <v>Chicken Lollipop</v>
      </c>
      <c r="G2950" s="10" t="str">
        <f>_xlfn.XLOOKUP(C2950,menu!A:A,menu!C:C)</f>
        <v>Starters</v>
      </c>
      <c r="H2950" s="10">
        <f>_xlfn.XLOOKUP(C2950,menu!A:A,menu!E:E)</f>
        <v>48</v>
      </c>
      <c r="I2950" s="10">
        <f t="shared" si="46"/>
        <v>48</v>
      </c>
      <c r="K2950" s="10"/>
      <c r="L2950" s="5"/>
    </row>
    <row r="2951" spans="1:12" x14ac:dyDescent="0.25">
      <c r="A2951" s="5" t="s">
        <v>3166</v>
      </c>
      <c r="B2951" s="5" t="s">
        <v>3164</v>
      </c>
      <c r="C2951" s="5" t="s">
        <v>17</v>
      </c>
      <c r="D2951" s="21">
        <v>1</v>
      </c>
      <c r="E2951" s="12">
        <v>89</v>
      </c>
      <c r="F2951" s="10" t="str">
        <f>_xlfn.XLOOKUP(C2951,menu!A:A,menu!B:B)</f>
        <v>Paneer Momos</v>
      </c>
      <c r="G2951" s="10" t="str">
        <f>_xlfn.XLOOKUP(C2951,menu!A:A,menu!C:C)</f>
        <v>Momos</v>
      </c>
      <c r="H2951" s="10">
        <f>_xlfn.XLOOKUP(C2951,menu!A:A,menu!E:E)</f>
        <v>27</v>
      </c>
      <c r="I2951" s="10">
        <f t="shared" si="46"/>
        <v>27</v>
      </c>
      <c r="K2951" s="10"/>
      <c r="L2951" s="5"/>
    </row>
    <row r="2952" spans="1:12" x14ac:dyDescent="0.25">
      <c r="A2952" s="5" t="s">
        <v>3165</v>
      </c>
      <c r="B2952" s="5" t="s">
        <v>3164</v>
      </c>
      <c r="C2952" s="5" t="s">
        <v>15</v>
      </c>
      <c r="D2952" s="21">
        <v>2</v>
      </c>
      <c r="E2952" s="12">
        <v>198</v>
      </c>
      <c r="F2952" s="10" t="str">
        <f>_xlfn.XLOOKUP(C2952,menu!A:A,menu!B:B)</f>
        <v>Chicken Momos</v>
      </c>
      <c r="G2952" s="10" t="str">
        <f>_xlfn.XLOOKUP(C2952,menu!A:A,menu!C:C)</f>
        <v>Momos</v>
      </c>
      <c r="H2952" s="10">
        <f>_xlfn.XLOOKUP(C2952,menu!A:A,menu!E:E)</f>
        <v>30</v>
      </c>
      <c r="I2952" s="10">
        <f t="shared" si="46"/>
        <v>60</v>
      </c>
      <c r="K2952" s="10"/>
      <c r="L2952" s="5"/>
    </row>
    <row r="2953" spans="1:12" x14ac:dyDescent="0.25">
      <c r="A2953" s="5" t="s">
        <v>3163</v>
      </c>
      <c r="B2953" s="5" t="s">
        <v>3159</v>
      </c>
      <c r="C2953" s="5" t="s">
        <v>40</v>
      </c>
      <c r="D2953" s="21">
        <v>4</v>
      </c>
      <c r="E2953" s="12">
        <v>396</v>
      </c>
      <c r="F2953" s="10" t="str">
        <f>_xlfn.XLOOKUP(C2953,menu!A:A,menu!B:B)</f>
        <v>Veg Nuggets</v>
      </c>
      <c r="G2953" s="10" t="str">
        <f>_xlfn.XLOOKUP(C2953,menu!A:A,menu!C:C)</f>
        <v>Starters</v>
      </c>
      <c r="H2953" s="10">
        <f>_xlfn.XLOOKUP(C2953,menu!A:A,menu!E:E)</f>
        <v>30</v>
      </c>
      <c r="I2953" s="10">
        <f t="shared" si="46"/>
        <v>120</v>
      </c>
      <c r="K2953" s="10"/>
      <c r="L2953" s="5"/>
    </row>
    <row r="2954" spans="1:12" x14ac:dyDescent="0.25">
      <c r="A2954" s="5" t="s">
        <v>3162</v>
      </c>
      <c r="B2954" s="5" t="s">
        <v>3159</v>
      </c>
      <c r="C2954" s="5" t="s">
        <v>46</v>
      </c>
      <c r="D2954" s="21">
        <v>3</v>
      </c>
      <c r="E2954" s="12">
        <v>447</v>
      </c>
      <c r="F2954" s="10" t="str">
        <f>_xlfn.XLOOKUP(C2954,menu!A:A,menu!B:B)</f>
        <v>Fish Finger</v>
      </c>
      <c r="G2954" s="10" t="str">
        <f>_xlfn.XLOOKUP(C2954,menu!A:A,menu!C:C)</f>
        <v>Starters</v>
      </c>
      <c r="H2954" s="10">
        <f>_xlfn.XLOOKUP(C2954,menu!A:A,menu!E:E)</f>
        <v>45</v>
      </c>
      <c r="I2954" s="10">
        <f t="shared" si="46"/>
        <v>135</v>
      </c>
      <c r="K2954" s="10"/>
      <c r="L2954" s="5"/>
    </row>
    <row r="2955" spans="1:12" x14ac:dyDescent="0.25">
      <c r="A2955" s="5" t="s">
        <v>3161</v>
      </c>
      <c r="B2955" s="5" t="s">
        <v>3159</v>
      </c>
      <c r="C2955" s="5" t="s">
        <v>29</v>
      </c>
      <c r="D2955" s="21">
        <v>2</v>
      </c>
      <c r="E2955" s="12">
        <v>158</v>
      </c>
      <c r="F2955" s="10" t="str">
        <f>_xlfn.XLOOKUP(C2955,menu!A:A,menu!B:B)</f>
        <v>Paneer Roll</v>
      </c>
      <c r="G2955" s="10" t="str">
        <f>_xlfn.XLOOKUP(C2955,menu!A:A,menu!C:C)</f>
        <v>Rolls</v>
      </c>
      <c r="H2955" s="10">
        <f>_xlfn.XLOOKUP(C2955,menu!A:A,menu!E:E)</f>
        <v>24</v>
      </c>
      <c r="I2955" s="10">
        <f t="shared" si="46"/>
        <v>48</v>
      </c>
      <c r="K2955" s="10"/>
      <c r="L2955" s="5"/>
    </row>
    <row r="2956" spans="1:12" x14ac:dyDescent="0.25">
      <c r="A2956" s="5" t="s">
        <v>3160</v>
      </c>
      <c r="B2956" s="5" t="s">
        <v>3159</v>
      </c>
      <c r="C2956" s="5" t="s">
        <v>5</v>
      </c>
      <c r="D2956" s="21">
        <v>2</v>
      </c>
      <c r="E2956" s="12">
        <v>158</v>
      </c>
      <c r="F2956" s="10" t="str">
        <f>_xlfn.XLOOKUP(C2956,menu!A:A,menu!B:B)</f>
        <v>Veg Sandwich</v>
      </c>
      <c r="G2956" s="10" t="str">
        <f>_xlfn.XLOOKUP(C2956,menu!A:A,menu!C:C)</f>
        <v>Sandwich</v>
      </c>
      <c r="H2956" s="10">
        <f>_xlfn.XLOOKUP(C2956,menu!A:A,menu!E:E)</f>
        <v>24</v>
      </c>
      <c r="I2956" s="10">
        <f t="shared" si="46"/>
        <v>48</v>
      </c>
      <c r="K2956" s="10"/>
      <c r="L2956" s="5"/>
    </row>
    <row r="2957" spans="1:12" x14ac:dyDescent="0.25">
      <c r="A2957" s="5" t="s">
        <v>3158</v>
      </c>
      <c r="B2957" s="5" t="s">
        <v>3154</v>
      </c>
      <c r="C2957" s="5" t="s">
        <v>17</v>
      </c>
      <c r="D2957" s="21">
        <v>4</v>
      </c>
      <c r="E2957" s="12">
        <v>356</v>
      </c>
      <c r="F2957" s="10" t="str">
        <f>_xlfn.XLOOKUP(C2957,menu!A:A,menu!B:B)</f>
        <v>Paneer Momos</v>
      </c>
      <c r="G2957" s="10" t="str">
        <f>_xlfn.XLOOKUP(C2957,menu!A:A,menu!C:C)</f>
        <v>Momos</v>
      </c>
      <c r="H2957" s="10">
        <f>_xlfn.XLOOKUP(C2957,menu!A:A,menu!E:E)</f>
        <v>27</v>
      </c>
      <c r="I2957" s="10">
        <f t="shared" si="46"/>
        <v>108</v>
      </c>
      <c r="K2957" s="10"/>
      <c r="L2957" s="5"/>
    </row>
    <row r="2958" spans="1:12" x14ac:dyDescent="0.25">
      <c r="A2958" s="5" t="s">
        <v>3157</v>
      </c>
      <c r="B2958" s="5" t="s">
        <v>3154</v>
      </c>
      <c r="C2958" s="5" t="s">
        <v>56</v>
      </c>
      <c r="D2958" s="21">
        <v>2</v>
      </c>
      <c r="E2958" s="12">
        <v>158</v>
      </c>
      <c r="F2958" s="10" t="str">
        <f>_xlfn.XLOOKUP(C2958,menu!A:A,menu!B:B)</f>
        <v>Mint Mojito</v>
      </c>
      <c r="G2958" s="10" t="str">
        <f>_xlfn.XLOOKUP(C2958,menu!A:A,menu!C:C)</f>
        <v>Beverages</v>
      </c>
      <c r="H2958" s="10">
        <f>_xlfn.XLOOKUP(C2958,menu!A:A,menu!E:E)</f>
        <v>24</v>
      </c>
      <c r="I2958" s="10">
        <f t="shared" si="46"/>
        <v>48</v>
      </c>
      <c r="K2958" s="10"/>
      <c r="L2958" s="5"/>
    </row>
    <row r="2959" spans="1:12" x14ac:dyDescent="0.25">
      <c r="A2959" s="5" t="s">
        <v>3156</v>
      </c>
      <c r="B2959" s="5" t="s">
        <v>3154</v>
      </c>
      <c r="C2959" s="5" t="s">
        <v>54</v>
      </c>
      <c r="D2959" s="21">
        <v>4</v>
      </c>
      <c r="E2959" s="12">
        <v>556</v>
      </c>
      <c r="F2959" s="10" t="str">
        <f>_xlfn.XLOOKUP(C2959,menu!A:A,menu!B:B)</f>
        <v>Chicken Strips</v>
      </c>
      <c r="G2959" s="10" t="str">
        <f>_xlfn.XLOOKUP(C2959,menu!A:A,menu!C:C)</f>
        <v>Starters</v>
      </c>
      <c r="H2959" s="10">
        <f>_xlfn.XLOOKUP(C2959,menu!A:A,menu!E:E)</f>
        <v>42</v>
      </c>
      <c r="I2959" s="10">
        <f t="shared" si="46"/>
        <v>168</v>
      </c>
      <c r="K2959" s="10"/>
      <c r="L2959" s="5"/>
    </row>
    <row r="2960" spans="1:12" x14ac:dyDescent="0.25">
      <c r="A2960" s="5" t="s">
        <v>3155</v>
      </c>
      <c r="B2960" s="5" t="s">
        <v>3154</v>
      </c>
      <c r="C2960" s="5" t="s">
        <v>40</v>
      </c>
      <c r="D2960" s="21">
        <v>2</v>
      </c>
      <c r="E2960" s="12">
        <v>198</v>
      </c>
      <c r="F2960" s="10" t="str">
        <f>_xlfn.XLOOKUP(C2960,menu!A:A,menu!B:B)</f>
        <v>Veg Nuggets</v>
      </c>
      <c r="G2960" s="10" t="str">
        <f>_xlfn.XLOOKUP(C2960,menu!A:A,menu!C:C)</f>
        <v>Starters</v>
      </c>
      <c r="H2960" s="10">
        <f>_xlfn.XLOOKUP(C2960,menu!A:A,menu!E:E)</f>
        <v>30</v>
      </c>
      <c r="I2960" s="10">
        <f t="shared" si="46"/>
        <v>60</v>
      </c>
      <c r="K2960" s="10"/>
      <c r="L2960" s="5"/>
    </row>
    <row r="2961" spans="1:12" x14ac:dyDescent="0.25">
      <c r="A2961" s="5" t="s">
        <v>3153</v>
      </c>
      <c r="B2961" s="5" t="s">
        <v>3150</v>
      </c>
      <c r="C2961" s="5" t="s">
        <v>63</v>
      </c>
      <c r="D2961" s="21">
        <v>1</v>
      </c>
      <c r="E2961" s="12">
        <v>79</v>
      </c>
      <c r="F2961" s="10" t="str">
        <f>_xlfn.XLOOKUP(C2961,menu!A:A,menu!B:B)</f>
        <v>Virgin Mojito</v>
      </c>
      <c r="G2961" s="10" t="str">
        <f>_xlfn.XLOOKUP(C2961,menu!A:A,menu!C:C)</f>
        <v>Beverages</v>
      </c>
      <c r="H2961" s="10">
        <f>_xlfn.XLOOKUP(C2961,menu!A:A,menu!E:E)</f>
        <v>24</v>
      </c>
      <c r="I2961" s="10">
        <f t="shared" si="46"/>
        <v>24</v>
      </c>
      <c r="K2961" s="10"/>
      <c r="L2961" s="5"/>
    </row>
    <row r="2962" spans="1:12" x14ac:dyDescent="0.25">
      <c r="A2962" s="5" t="s">
        <v>3152</v>
      </c>
      <c r="B2962" s="5" t="s">
        <v>3150</v>
      </c>
      <c r="C2962" s="5" t="s">
        <v>50</v>
      </c>
      <c r="D2962" s="21">
        <v>2</v>
      </c>
      <c r="E2962" s="12">
        <v>298</v>
      </c>
      <c r="F2962" s="10" t="str">
        <f>_xlfn.XLOOKUP(C2962,menu!A:A,menu!B:B)</f>
        <v>Grab Lollipop</v>
      </c>
      <c r="G2962" s="10" t="str">
        <f>_xlfn.XLOOKUP(C2962,menu!A:A,menu!C:C)</f>
        <v>Starters</v>
      </c>
      <c r="H2962" s="10">
        <f>_xlfn.XLOOKUP(C2962,menu!A:A,menu!E:E)</f>
        <v>45</v>
      </c>
      <c r="I2962" s="10">
        <f t="shared" si="46"/>
        <v>90</v>
      </c>
      <c r="K2962" s="10"/>
      <c r="L2962" s="5"/>
    </row>
    <row r="2963" spans="1:12" x14ac:dyDescent="0.25">
      <c r="A2963" s="5" t="s">
        <v>3151</v>
      </c>
      <c r="B2963" s="5" t="s">
        <v>3150</v>
      </c>
      <c r="C2963" s="5" t="s">
        <v>59</v>
      </c>
      <c r="D2963" s="21">
        <v>1</v>
      </c>
      <c r="E2963" s="12">
        <v>79</v>
      </c>
      <c r="F2963" s="10" t="str">
        <f>_xlfn.XLOOKUP(C2963,menu!A:A,menu!B:B)</f>
        <v>Blue Curacao Mojito</v>
      </c>
      <c r="G2963" s="10" t="str">
        <f>_xlfn.XLOOKUP(C2963,menu!A:A,menu!C:C)</f>
        <v>Beverages</v>
      </c>
      <c r="H2963" s="10">
        <f>_xlfn.XLOOKUP(C2963,menu!A:A,menu!E:E)</f>
        <v>24</v>
      </c>
      <c r="I2963" s="10">
        <f t="shared" si="46"/>
        <v>24</v>
      </c>
      <c r="K2963" s="10"/>
      <c r="L2963" s="5"/>
    </row>
    <row r="2964" spans="1:12" x14ac:dyDescent="0.25">
      <c r="A2964" s="5" t="s">
        <v>3149</v>
      </c>
      <c r="B2964" s="5" t="s">
        <v>3145</v>
      </c>
      <c r="C2964" s="5" t="s">
        <v>54</v>
      </c>
      <c r="D2964" s="21">
        <v>3</v>
      </c>
      <c r="E2964" s="12">
        <v>417</v>
      </c>
      <c r="F2964" s="10" t="str">
        <f>_xlfn.XLOOKUP(C2964,menu!A:A,menu!B:B)</f>
        <v>Chicken Strips</v>
      </c>
      <c r="G2964" s="10" t="str">
        <f>_xlfn.XLOOKUP(C2964,menu!A:A,menu!C:C)</f>
        <v>Starters</v>
      </c>
      <c r="H2964" s="10">
        <f>_xlfn.XLOOKUP(C2964,menu!A:A,menu!E:E)</f>
        <v>42</v>
      </c>
      <c r="I2964" s="10">
        <f t="shared" si="46"/>
        <v>126</v>
      </c>
      <c r="K2964" s="10"/>
      <c r="L2964" s="5"/>
    </row>
    <row r="2965" spans="1:12" x14ac:dyDescent="0.25">
      <c r="A2965" s="5" t="s">
        <v>3148</v>
      </c>
      <c r="B2965" s="5" t="s">
        <v>3145</v>
      </c>
      <c r="C2965" s="5" t="s">
        <v>15</v>
      </c>
      <c r="D2965" s="21">
        <v>1</v>
      </c>
      <c r="E2965" s="12">
        <v>99</v>
      </c>
      <c r="F2965" s="10" t="str">
        <f>_xlfn.XLOOKUP(C2965,menu!A:A,menu!B:B)</f>
        <v>Chicken Momos</v>
      </c>
      <c r="G2965" s="10" t="str">
        <f>_xlfn.XLOOKUP(C2965,menu!A:A,menu!C:C)</f>
        <v>Momos</v>
      </c>
      <c r="H2965" s="10">
        <f>_xlfn.XLOOKUP(C2965,menu!A:A,menu!E:E)</f>
        <v>30</v>
      </c>
      <c r="I2965" s="10">
        <f t="shared" si="46"/>
        <v>30</v>
      </c>
      <c r="K2965" s="10"/>
      <c r="L2965" s="5"/>
    </row>
    <row r="2966" spans="1:12" x14ac:dyDescent="0.25">
      <c r="A2966" s="5" t="s">
        <v>3147</v>
      </c>
      <c r="B2966" s="5" t="s">
        <v>3145</v>
      </c>
      <c r="C2966" s="5" t="s">
        <v>46</v>
      </c>
      <c r="D2966" s="21">
        <v>4</v>
      </c>
      <c r="E2966" s="12">
        <v>596</v>
      </c>
      <c r="F2966" s="10" t="str">
        <f>_xlfn.XLOOKUP(C2966,menu!A:A,menu!B:B)</f>
        <v>Fish Finger</v>
      </c>
      <c r="G2966" s="10" t="str">
        <f>_xlfn.XLOOKUP(C2966,menu!A:A,menu!C:C)</f>
        <v>Starters</v>
      </c>
      <c r="H2966" s="10">
        <f>_xlfn.XLOOKUP(C2966,menu!A:A,menu!E:E)</f>
        <v>45</v>
      </c>
      <c r="I2966" s="10">
        <f t="shared" si="46"/>
        <v>180</v>
      </c>
      <c r="K2966" s="10"/>
      <c r="L2966" s="5"/>
    </row>
    <row r="2967" spans="1:12" x14ac:dyDescent="0.25">
      <c r="A2967" s="5" t="s">
        <v>3146</v>
      </c>
      <c r="B2967" s="5" t="s">
        <v>3145</v>
      </c>
      <c r="C2967" s="5" t="s">
        <v>48</v>
      </c>
      <c r="D2967" s="21">
        <v>2</v>
      </c>
      <c r="E2967" s="12">
        <v>318</v>
      </c>
      <c r="F2967" s="10" t="str">
        <f>_xlfn.XLOOKUP(C2967,menu!A:A,menu!B:B)</f>
        <v>Chicken Lollipop</v>
      </c>
      <c r="G2967" s="10" t="str">
        <f>_xlfn.XLOOKUP(C2967,menu!A:A,menu!C:C)</f>
        <v>Starters</v>
      </c>
      <c r="H2967" s="10">
        <f>_xlfn.XLOOKUP(C2967,menu!A:A,menu!E:E)</f>
        <v>48</v>
      </c>
      <c r="I2967" s="10">
        <f t="shared" si="46"/>
        <v>96</v>
      </c>
      <c r="K2967" s="10"/>
      <c r="L2967" s="5"/>
    </row>
    <row r="2968" spans="1:12" x14ac:dyDescent="0.25">
      <c r="A2968" s="5" t="s">
        <v>3144</v>
      </c>
      <c r="B2968" s="5" t="s">
        <v>3140</v>
      </c>
      <c r="C2968" s="5" t="s">
        <v>44</v>
      </c>
      <c r="D2968" s="21">
        <v>2</v>
      </c>
      <c r="E2968" s="12">
        <v>318</v>
      </c>
      <c r="F2968" s="10" t="str">
        <f>_xlfn.XLOOKUP(C2968,menu!A:A,menu!B:B)</f>
        <v>Fried Chicken</v>
      </c>
      <c r="G2968" s="10" t="str">
        <f>_xlfn.XLOOKUP(C2968,menu!A:A,menu!C:C)</f>
        <v>Starters</v>
      </c>
      <c r="H2968" s="10">
        <f>_xlfn.XLOOKUP(C2968,menu!A:A,menu!E:E)</f>
        <v>48</v>
      </c>
      <c r="I2968" s="10">
        <f t="shared" si="46"/>
        <v>96</v>
      </c>
      <c r="K2968" s="10"/>
      <c r="L2968" s="5"/>
    </row>
    <row r="2969" spans="1:12" x14ac:dyDescent="0.25">
      <c r="A2969" s="5" t="s">
        <v>3143</v>
      </c>
      <c r="B2969" s="5" t="s">
        <v>3140</v>
      </c>
      <c r="C2969" s="5" t="s">
        <v>33</v>
      </c>
      <c r="D2969" s="21">
        <v>1</v>
      </c>
      <c r="E2969" s="12">
        <v>69</v>
      </c>
      <c r="F2969" s="10" t="str">
        <f>_xlfn.XLOOKUP(C2969,menu!A:A,menu!B:B)</f>
        <v>Spring Roll</v>
      </c>
      <c r="G2969" s="10" t="str">
        <f>_xlfn.XLOOKUP(C2969,menu!A:A,menu!C:C)</f>
        <v>Rolls</v>
      </c>
      <c r="H2969" s="10">
        <f>_xlfn.XLOOKUP(C2969,menu!A:A,menu!E:E)</f>
        <v>21</v>
      </c>
      <c r="I2969" s="10">
        <f t="shared" si="46"/>
        <v>21</v>
      </c>
      <c r="K2969" s="10"/>
      <c r="L2969" s="5"/>
    </row>
    <row r="2970" spans="1:12" x14ac:dyDescent="0.25">
      <c r="A2970" s="5" t="s">
        <v>3142</v>
      </c>
      <c r="B2970" s="5" t="s">
        <v>3140</v>
      </c>
      <c r="C2970" s="5" t="s">
        <v>31</v>
      </c>
      <c r="D2970" s="21">
        <v>2</v>
      </c>
      <c r="E2970" s="12">
        <v>178</v>
      </c>
      <c r="F2970" s="10" t="str">
        <f>_xlfn.XLOOKUP(C2970,menu!A:A,menu!B:B)</f>
        <v>Chicken Roll</v>
      </c>
      <c r="G2970" s="10" t="str">
        <f>_xlfn.XLOOKUP(C2970,menu!A:A,menu!C:C)</f>
        <v>Rolls</v>
      </c>
      <c r="H2970" s="10">
        <f>_xlfn.XLOOKUP(C2970,menu!A:A,menu!E:E)</f>
        <v>27</v>
      </c>
      <c r="I2970" s="10">
        <f t="shared" si="46"/>
        <v>54</v>
      </c>
      <c r="K2970" s="10"/>
      <c r="L2970" s="5"/>
    </row>
    <row r="2971" spans="1:12" x14ac:dyDescent="0.25">
      <c r="A2971" s="5" t="s">
        <v>3141</v>
      </c>
      <c r="B2971" s="5" t="s">
        <v>3140</v>
      </c>
      <c r="C2971" s="5" t="s">
        <v>38</v>
      </c>
      <c r="D2971" s="21">
        <v>1</v>
      </c>
      <c r="E2971" s="12">
        <v>149</v>
      </c>
      <c r="F2971" s="10" t="str">
        <f>_xlfn.XLOOKUP(C2971,menu!A:A,menu!B:B)</f>
        <v>Chicken Wings</v>
      </c>
      <c r="G2971" s="10" t="str">
        <f>_xlfn.XLOOKUP(C2971,menu!A:A,menu!C:C)</f>
        <v>Starters</v>
      </c>
      <c r="H2971" s="10">
        <f>_xlfn.XLOOKUP(C2971,menu!A:A,menu!E:E)</f>
        <v>45</v>
      </c>
      <c r="I2971" s="10">
        <f t="shared" si="46"/>
        <v>45</v>
      </c>
      <c r="K2971" s="10"/>
      <c r="L2971" s="5"/>
    </row>
    <row r="2972" spans="1:12" x14ac:dyDescent="0.25">
      <c r="A2972" s="5" t="s">
        <v>3139</v>
      </c>
      <c r="B2972" s="5" t="s">
        <v>3137</v>
      </c>
      <c r="C2972" s="5" t="s">
        <v>63</v>
      </c>
      <c r="D2972" s="21">
        <v>1</v>
      </c>
      <c r="E2972" s="12">
        <v>79</v>
      </c>
      <c r="F2972" s="10" t="str">
        <f>_xlfn.XLOOKUP(C2972,menu!A:A,menu!B:B)</f>
        <v>Virgin Mojito</v>
      </c>
      <c r="G2972" s="10" t="str">
        <f>_xlfn.XLOOKUP(C2972,menu!A:A,menu!C:C)</f>
        <v>Beverages</v>
      </c>
      <c r="H2972" s="10">
        <f>_xlfn.XLOOKUP(C2972,menu!A:A,menu!E:E)</f>
        <v>24</v>
      </c>
      <c r="I2972" s="10">
        <f t="shared" si="46"/>
        <v>24</v>
      </c>
      <c r="K2972" s="10"/>
      <c r="L2972" s="5"/>
    </row>
    <row r="2973" spans="1:12" x14ac:dyDescent="0.25">
      <c r="A2973" s="5" t="s">
        <v>3138</v>
      </c>
      <c r="B2973" s="5" t="s">
        <v>3137</v>
      </c>
      <c r="C2973" s="5" t="s">
        <v>42</v>
      </c>
      <c r="D2973" s="21">
        <v>4</v>
      </c>
      <c r="E2973" s="12">
        <v>596</v>
      </c>
      <c r="F2973" s="10" t="str">
        <f>_xlfn.XLOOKUP(C2973,menu!A:A,menu!B:B)</f>
        <v>Chicken Popcorn</v>
      </c>
      <c r="G2973" s="10" t="str">
        <f>_xlfn.XLOOKUP(C2973,menu!A:A,menu!C:C)</f>
        <v>Starters</v>
      </c>
      <c r="H2973" s="10">
        <f>_xlfn.XLOOKUP(C2973,menu!A:A,menu!E:E)</f>
        <v>45</v>
      </c>
      <c r="I2973" s="10">
        <f t="shared" si="46"/>
        <v>180</v>
      </c>
      <c r="K2973" s="10"/>
      <c r="L2973" s="5"/>
    </row>
    <row r="2974" spans="1:12" x14ac:dyDescent="0.25">
      <c r="A2974" s="5" t="s">
        <v>3136</v>
      </c>
      <c r="B2974" s="5" t="s">
        <v>3133</v>
      </c>
      <c r="C2974" s="5" t="s">
        <v>17</v>
      </c>
      <c r="D2974" s="21">
        <v>3</v>
      </c>
      <c r="E2974" s="12">
        <v>267</v>
      </c>
      <c r="F2974" s="10" t="str">
        <f>_xlfn.XLOOKUP(C2974,menu!A:A,menu!B:B)</f>
        <v>Paneer Momos</v>
      </c>
      <c r="G2974" s="10" t="str">
        <f>_xlfn.XLOOKUP(C2974,menu!A:A,menu!C:C)</f>
        <v>Momos</v>
      </c>
      <c r="H2974" s="10">
        <f>_xlfn.XLOOKUP(C2974,menu!A:A,menu!E:E)</f>
        <v>27</v>
      </c>
      <c r="I2974" s="10">
        <f t="shared" si="46"/>
        <v>81</v>
      </c>
      <c r="K2974" s="10"/>
      <c r="L2974" s="5"/>
    </row>
    <row r="2975" spans="1:12" x14ac:dyDescent="0.25">
      <c r="A2975" s="5" t="s">
        <v>3135</v>
      </c>
      <c r="B2975" s="5" t="s">
        <v>3133</v>
      </c>
      <c r="C2975" s="5" t="s">
        <v>46</v>
      </c>
      <c r="D2975" s="21">
        <v>1</v>
      </c>
      <c r="E2975" s="12">
        <v>149</v>
      </c>
      <c r="F2975" s="10" t="str">
        <f>_xlfn.XLOOKUP(C2975,menu!A:A,menu!B:B)</f>
        <v>Fish Finger</v>
      </c>
      <c r="G2975" s="10" t="str">
        <f>_xlfn.XLOOKUP(C2975,menu!A:A,menu!C:C)</f>
        <v>Starters</v>
      </c>
      <c r="H2975" s="10">
        <f>_xlfn.XLOOKUP(C2975,menu!A:A,menu!E:E)</f>
        <v>45</v>
      </c>
      <c r="I2975" s="10">
        <f t="shared" si="46"/>
        <v>45</v>
      </c>
      <c r="K2975" s="10"/>
      <c r="L2975" s="5"/>
    </row>
    <row r="2976" spans="1:12" x14ac:dyDescent="0.25">
      <c r="A2976" s="5" t="s">
        <v>3134</v>
      </c>
      <c r="B2976" s="5" t="s">
        <v>3133</v>
      </c>
      <c r="C2976" s="5" t="s">
        <v>65</v>
      </c>
      <c r="D2976" s="21">
        <v>1</v>
      </c>
      <c r="E2976" s="12">
        <v>49</v>
      </c>
      <c r="F2976" s="10" t="str">
        <f>_xlfn.XLOOKUP(C2976,menu!A:A,menu!B:B)</f>
        <v>Lemon Juice</v>
      </c>
      <c r="G2976" s="10" t="str">
        <f>_xlfn.XLOOKUP(C2976,menu!A:A,menu!C:C)</f>
        <v>Beverages</v>
      </c>
      <c r="H2976" s="10">
        <f>_xlfn.XLOOKUP(C2976,menu!A:A,menu!E:E)</f>
        <v>15</v>
      </c>
      <c r="I2976" s="10">
        <f t="shared" si="46"/>
        <v>15</v>
      </c>
      <c r="K2976" s="10"/>
      <c r="L2976" s="5"/>
    </row>
    <row r="2977" spans="1:12" x14ac:dyDescent="0.25">
      <c r="A2977" s="5" t="s">
        <v>3132</v>
      </c>
      <c r="B2977" s="5" t="s">
        <v>3128</v>
      </c>
      <c r="C2977" s="5" t="s">
        <v>35</v>
      </c>
      <c r="D2977" s="21">
        <v>2</v>
      </c>
      <c r="E2977" s="12">
        <v>238</v>
      </c>
      <c r="F2977" s="10" t="str">
        <f>_xlfn.XLOOKUP(C2977,menu!A:A,menu!B:B)</f>
        <v>Chicken Nuggets</v>
      </c>
      <c r="G2977" s="10" t="str">
        <f>_xlfn.XLOOKUP(C2977,menu!A:A,menu!C:C)</f>
        <v>Starters</v>
      </c>
      <c r="H2977" s="10">
        <f>_xlfn.XLOOKUP(C2977,menu!A:A,menu!E:E)</f>
        <v>36</v>
      </c>
      <c r="I2977" s="10">
        <f t="shared" si="46"/>
        <v>72</v>
      </c>
      <c r="K2977" s="10"/>
      <c r="L2977" s="5"/>
    </row>
    <row r="2978" spans="1:12" x14ac:dyDescent="0.25">
      <c r="A2978" s="5" t="s">
        <v>3131</v>
      </c>
      <c r="B2978" s="5" t="s">
        <v>3128</v>
      </c>
      <c r="C2978" s="5" t="s">
        <v>15</v>
      </c>
      <c r="D2978" s="21">
        <v>4</v>
      </c>
      <c r="E2978" s="12">
        <v>396</v>
      </c>
      <c r="F2978" s="10" t="str">
        <f>_xlfn.XLOOKUP(C2978,menu!A:A,menu!B:B)</f>
        <v>Chicken Momos</v>
      </c>
      <c r="G2978" s="10" t="str">
        <f>_xlfn.XLOOKUP(C2978,menu!A:A,menu!C:C)</f>
        <v>Momos</v>
      </c>
      <c r="H2978" s="10">
        <f>_xlfn.XLOOKUP(C2978,menu!A:A,menu!E:E)</f>
        <v>30</v>
      </c>
      <c r="I2978" s="10">
        <f t="shared" si="46"/>
        <v>120</v>
      </c>
      <c r="K2978" s="10"/>
      <c r="L2978" s="5"/>
    </row>
    <row r="2979" spans="1:12" x14ac:dyDescent="0.25">
      <c r="A2979" s="5" t="s">
        <v>3130</v>
      </c>
      <c r="B2979" s="5" t="s">
        <v>3128</v>
      </c>
      <c r="C2979" s="5" t="s">
        <v>38</v>
      </c>
      <c r="D2979" s="21">
        <v>1</v>
      </c>
      <c r="E2979" s="12">
        <v>149</v>
      </c>
      <c r="F2979" s="10" t="str">
        <f>_xlfn.XLOOKUP(C2979,menu!A:A,menu!B:B)</f>
        <v>Chicken Wings</v>
      </c>
      <c r="G2979" s="10" t="str">
        <f>_xlfn.XLOOKUP(C2979,menu!A:A,menu!C:C)</f>
        <v>Starters</v>
      </c>
      <c r="H2979" s="10">
        <f>_xlfn.XLOOKUP(C2979,menu!A:A,menu!E:E)</f>
        <v>45</v>
      </c>
      <c r="I2979" s="10">
        <f t="shared" si="46"/>
        <v>45</v>
      </c>
      <c r="K2979" s="10"/>
      <c r="L2979" s="5"/>
    </row>
    <row r="2980" spans="1:12" x14ac:dyDescent="0.25">
      <c r="A2980" s="5" t="s">
        <v>3129</v>
      </c>
      <c r="B2980" s="5" t="s">
        <v>3128</v>
      </c>
      <c r="C2980" s="5" t="s">
        <v>24</v>
      </c>
      <c r="D2980" s="21">
        <v>1</v>
      </c>
      <c r="E2980" s="12">
        <v>89</v>
      </c>
      <c r="F2980" s="10" t="str">
        <f>_xlfn.XLOOKUP(C2980,menu!A:A,menu!B:B)</f>
        <v>Paneer Burger</v>
      </c>
      <c r="G2980" s="10" t="str">
        <f>_xlfn.XLOOKUP(C2980,menu!A:A,menu!C:C)</f>
        <v>Burger</v>
      </c>
      <c r="H2980" s="10">
        <f>_xlfn.XLOOKUP(C2980,menu!A:A,menu!E:E)</f>
        <v>27</v>
      </c>
      <c r="I2980" s="10">
        <f t="shared" si="46"/>
        <v>27</v>
      </c>
      <c r="K2980" s="10"/>
      <c r="L2980" s="5"/>
    </row>
    <row r="2981" spans="1:12" x14ac:dyDescent="0.25">
      <c r="A2981" s="5" t="s">
        <v>3127</v>
      </c>
      <c r="B2981" s="5" t="s">
        <v>3125</v>
      </c>
      <c r="C2981" s="5" t="s">
        <v>50</v>
      </c>
      <c r="D2981" s="21">
        <v>1</v>
      </c>
      <c r="E2981" s="12">
        <v>149</v>
      </c>
      <c r="F2981" s="10" t="str">
        <f>_xlfn.XLOOKUP(C2981,menu!A:A,menu!B:B)</f>
        <v>Grab Lollipop</v>
      </c>
      <c r="G2981" s="10" t="str">
        <f>_xlfn.XLOOKUP(C2981,menu!A:A,menu!C:C)</f>
        <v>Starters</v>
      </c>
      <c r="H2981" s="10">
        <f>_xlfn.XLOOKUP(C2981,menu!A:A,menu!E:E)</f>
        <v>45</v>
      </c>
      <c r="I2981" s="10">
        <f t="shared" si="46"/>
        <v>45</v>
      </c>
      <c r="K2981" s="10"/>
      <c r="L2981" s="5"/>
    </row>
    <row r="2982" spans="1:12" x14ac:dyDescent="0.25">
      <c r="A2982" s="5" t="s">
        <v>3126</v>
      </c>
      <c r="B2982" s="5" t="s">
        <v>3125</v>
      </c>
      <c r="C2982" s="5" t="s">
        <v>35</v>
      </c>
      <c r="D2982" s="21">
        <v>2</v>
      </c>
      <c r="E2982" s="12">
        <v>238</v>
      </c>
      <c r="F2982" s="10" t="str">
        <f>_xlfn.XLOOKUP(C2982,menu!A:A,menu!B:B)</f>
        <v>Chicken Nuggets</v>
      </c>
      <c r="G2982" s="10" t="str">
        <f>_xlfn.XLOOKUP(C2982,menu!A:A,menu!C:C)</f>
        <v>Starters</v>
      </c>
      <c r="H2982" s="10">
        <f>_xlfn.XLOOKUP(C2982,menu!A:A,menu!E:E)</f>
        <v>36</v>
      </c>
      <c r="I2982" s="10">
        <f t="shared" si="46"/>
        <v>72</v>
      </c>
      <c r="K2982" s="10"/>
      <c r="L2982" s="5"/>
    </row>
    <row r="2983" spans="1:12" x14ac:dyDescent="0.25">
      <c r="A2983" s="5" t="s">
        <v>3124</v>
      </c>
      <c r="B2983" s="5" t="s">
        <v>3121</v>
      </c>
      <c r="C2983" s="5" t="s">
        <v>35</v>
      </c>
      <c r="D2983" s="21">
        <v>2</v>
      </c>
      <c r="E2983" s="12">
        <v>238</v>
      </c>
      <c r="F2983" s="10" t="str">
        <f>_xlfn.XLOOKUP(C2983,menu!A:A,menu!B:B)</f>
        <v>Chicken Nuggets</v>
      </c>
      <c r="G2983" s="10" t="str">
        <f>_xlfn.XLOOKUP(C2983,menu!A:A,menu!C:C)</f>
        <v>Starters</v>
      </c>
      <c r="H2983" s="10">
        <f>_xlfn.XLOOKUP(C2983,menu!A:A,menu!E:E)</f>
        <v>36</v>
      </c>
      <c r="I2983" s="10">
        <f t="shared" si="46"/>
        <v>72</v>
      </c>
      <c r="K2983" s="10"/>
      <c r="L2983" s="5"/>
    </row>
    <row r="2984" spans="1:12" x14ac:dyDescent="0.25">
      <c r="A2984" s="5" t="s">
        <v>3123</v>
      </c>
      <c r="B2984" s="5" t="s">
        <v>3121</v>
      </c>
      <c r="C2984" s="5" t="s">
        <v>46</v>
      </c>
      <c r="D2984" s="21">
        <v>2</v>
      </c>
      <c r="E2984" s="12">
        <v>298</v>
      </c>
      <c r="F2984" s="10" t="str">
        <f>_xlfn.XLOOKUP(C2984,menu!A:A,menu!B:B)</f>
        <v>Fish Finger</v>
      </c>
      <c r="G2984" s="10" t="str">
        <f>_xlfn.XLOOKUP(C2984,menu!A:A,menu!C:C)</f>
        <v>Starters</v>
      </c>
      <c r="H2984" s="10">
        <f>_xlfn.XLOOKUP(C2984,menu!A:A,menu!E:E)</f>
        <v>45</v>
      </c>
      <c r="I2984" s="10">
        <f t="shared" si="46"/>
        <v>90</v>
      </c>
      <c r="K2984" s="10"/>
      <c r="L2984" s="5"/>
    </row>
    <row r="2985" spans="1:12" x14ac:dyDescent="0.25">
      <c r="A2985" s="5" t="s">
        <v>3122</v>
      </c>
      <c r="B2985" s="5" t="s">
        <v>3121</v>
      </c>
      <c r="C2985" s="5" t="s">
        <v>38</v>
      </c>
      <c r="D2985" s="21">
        <v>3</v>
      </c>
      <c r="E2985" s="12">
        <v>447</v>
      </c>
      <c r="F2985" s="10" t="str">
        <f>_xlfn.XLOOKUP(C2985,menu!A:A,menu!B:B)</f>
        <v>Chicken Wings</v>
      </c>
      <c r="G2985" s="10" t="str">
        <f>_xlfn.XLOOKUP(C2985,menu!A:A,menu!C:C)</f>
        <v>Starters</v>
      </c>
      <c r="H2985" s="10">
        <f>_xlfn.XLOOKUP(C2985,menu!A:A,menu!E:E)</f>
        <v>45</v>
      </c>
      <c r="I2985" s="10">
        <f t="shared" si="46"/>
        <v>135</v>
      </c>
      <c r="K2985" s="10"/>
      <c r="L2985" s="5"/>
    </row>
    <row r="2986" spans="1:12" x14ac:dyDescent="0.25">
      <c r="A2986" s="5" t="s">
        <v>3120</v>
      </c>
      <c r="B2986" s="5" t="s">
        <v>3118</v>
      </c>
      <c r="C2986" s="5" t="s">
        <v>19</v>
      </c>
      <c r="D2986" s="21">
        <v>2</v>
      </c>
      <c r="E2986" s="12">
        <v>158</v>
      </c>
      <c r="F2986" s="10" t="str">
        <f>_xlfn.XLOOKUP(C2986,menu!A:A,menu!B:B)</f>
        <v>Veg Burger</v>
      </c>
      <c r="G2986" s="10" t="str">
        <f>_xlfn.XLOOKUP(C2986,menu!A:A,menu!C:C)</f>
        <v>Burger</v>
      </c>
      <c r="H2986" s="10">
        <f>_xlfn.XLOOKUP(C2986,menu!A:A,menu!E:E)</f>
        <v>24</v>
      </c>
      <c r="I2986" s="10">
        <f t="shared" si="46"/>
        <v>48</v>
      </c>
      <c r="K2986" s="10"/>
      <c r="L2986" s="5"/>
    </row>
    <row r="2987" spans="1:12" x14ac:dyDescent="0.25">
      <c r="A2987" s="5" t="s">
        <v>3119</v>
      </c>
      <c r="B2987" s="5" t="s">
        <v>3118</v>
      </c>
      <c r="C2987" s="5" t="s">
        <v>54</v>
      </c>
      <c r="D2987" s="21">
        <v>2</v>
      </c>
      <c r="E2987" s="12">
        <v>278</v>
      </c>
      <c r="F2987" s="10" t="str">
        <f>_xlfn.XLOOKUP(C2987,menu!A:A,menu!B:B)</f>
        <v>Chicken Strips</v>
      </c>
      <c r="G2987" s="10" t="str">
        <f>_xlfn.XLOOKUP(C2987,menu!A:A,menu!C:C)</f>
        <v>Starters</v>
      </c>
      <c r="H2987" s="10">
        <f>_xlfn.XLOOKUP(C2987,menu!A:A,menu!E:E)</f>
        <v>42</v>
      </c>
      <c r="I2987" s="10">
        <f t="shared" si="46"/>
        <v>84</v>
      </c>
      <c r="K2987" s="10"/>
      <c r="L2987" s="5"/>
    </row>
    <row r="2988" spans="1:12" x14ac:dyDescent="0.25">
      <c r="A2988" s="5" t="s">
        <v>3117</v>
      </c>
      <c r="B2988" s="5" t="s">
        <v>3115</v>
      </c>
      <c r="C2988" s="5" t="s">
        <v>52</v>
      </c>
      <c r="D2988" s="21">
        <v>1</v>
      </c>
      <c r="E2988" s="12">
        <v>99</v>
      </c>
      <c r="F2988" s="10" t="str">
        <f>_xlfn.XLOOKUP(C2988,menu!A:A,menu!B:B)</f>
        <v>French Fries</v>
      </c>
      <c r="G2988" s="10" t="str">
        <f>_xlfn.XLOOKUP(C2988,menu!A:A,menu!C:C)</f>
        <v>Starters</v>
      </c>
      <c r="H2988" s="10">
        <f>_xlfn.XLOOKUP(C2988,menu!A:A,menu!E:E)</f>
        <v>30</v>
      </c>
      <c r="I2988" s="10">
        <f t="shared" si="46"/>
        <v>30</v>
      </c>
      <c r="K2988" s="10"/>
      <c r="L2988" s="5"/>
    </row>
    <row r="2989" spans="1:12" x14ac:dyDescent="0.25">
      <c r="A2989" s="5" t="s">
        <v>3116</v>
      </c>
      <c r="B2989" s="5" t="s">
        <v>3115</v>
      </c>
      <c r="C2989" s="5" t="s">
        <v>26</v>
      </c>
      <c r="D2989" s="21">
        <v>2</v>
      </c>
      <c r="E2989" s="12">
        <v>118</v>
      </c>
      <c r="F2989" s="10" t="str">
        <f>_xlfn.XLOOKUP(C2989,menu!A:A,menu!B:B)</f>
        <v>Veg Roll</v>
      </c>
      <c r="G2989" s="10" t="str">
        <f>_xlfn.XLOOKUP(C2989,menu!A:A,menu!C:C)</f>
        <v>Rolls</v>
      </c>
      <c r="H2989" s="10">
        <f>_xlfn.XLOOKUP(C2989,menu!A:A,menu!E:E)</f>
        <v>18</v>
      </c>
      <c r="I2989" s="10">
        <f t="shared" si="46"/>
        <v>36</v>
      </c>
      <c r="K2989" s="10"/>
      <c r="L2989" s="5"/>
    </row>
    <row r="2990" spans="1:12" x14ac:dyDescent="0.25">
      <c r="A2990" s="5" t="s">
        <v>3114</v>
      </c>
      <c r="B2990" s="5" t="s">
        <v>3112</v>
      </c>
      <c r="C2990" s="5" t="s">
        <v>63</v>
      </c>
      <c r="D2990" s="21">
        <v>1</v>
      </c>
      <c r="E2990" s="12">
        <v>79</v>
      </c>
      <c r="F2990" s="10" t="str">
        <f>_xlfn.XLOOKUP(C2990,menu!A:A,menu!B:B)</f>
        <v>Virgin Mojito</v>
      </c>
      <c r="G2990" s="10" t="str">
        <f>_xlfn.XLOOKUP(C2990,menu!A:A,menu!C:C)</f>
        <v>Beverages</v>
      </c>
      <c r="H2990" s="10">
        <f>_xlfn.XLOOKUP(C2990,menu!A:A,menu!E:E)</f>
        <v>24</v>
      </c>
      <c r="I2990" s="10">
        <f t="shared" si="46"/>
        <v>24</v>
      </c>
      <c r="K2990" s="10"/>
      <c r="L2990" s="5"/>
    </row>
    <row r="2991" spans="1:12" x14ac:dyDescent="0.25">
      <c r="A2991" s="5" t="s">
        <v>3113</v>
      </c>
      <c r="B2991" s="5" t="s">
        <v>3112</v>
      </c>
      <c r="C2991" s="5" t="s">
        <v>8</v>
      </c>
      <c r="D2991" s="21">
        <v>2</v>
      </c>
      <c r="E2991" s="12">
        <v>198</v>
      </c>
      <c r="F2991" s="10" t="str">
        <f>_xlfn.XLOOKUP(C2991,menu!A:A,menu!B:B)</f>
        <v>Paneer Sandwich</v>
      </c>
      <c r="G2991" s="10" t="str">
        <f>_xlfn.XLOOKUP(C2991,menu!A:A,menu!C:C)</f>
        <v>Sandwich</v>
      </c>
      <c r="H2991" s="10">
        <f>_xlfn.XLOOKUP(C2991,menu!A:A,menu!E:E)</f>
        <v>30</v>
      </c>
      <c r="I2991" s="10">
        <f t="shared" si="46"/>
        <v>60</v>
      </c>
      <c r="K2991" s="10"/>
      <c r="L2991" s="5"/>
    </row>
    <row r="2992" spans="1:12" x14ac:dyDescent="0.25">
      <c r="A2992" s="5" t="s">
        <v>3111</v>
      </c>
      <c r="B2992" s="5" t="s">
        <v>3108</v>
      </c>
      <c r="C2992" s="5" t="s">
        <v>5</v>
      </c>
      <c r="D2992" s="21">
        <v>1</v>
      </c>
      <c r="E2992" s="12">
        <v>79</v>
      </c>
      <c r="F2992" s="10" t="str">
        <f>_xlfn.XLOOKUP(C2992,menu!A:A,menu!B:B)</f>
        <v>Veg Sandwich</v>
      </c>
      <c r="G2992" s="10" t="str">
        <f>_xlfn.XLOOKUP(C2992,menu!A:A,menu!C:C)</f>
        <v>Sandwich</v>
      </c>
      <c r="H2992" s="10">
        <f>_xlfn.XLOOKUP(C2992,menu!A:A,menu!E:E)</f>
        <v>24</v>
      </c>
      <c r="I2992" s="10">
        <f t="shared" si="46"/>
        <v>24</v>
      </c>
      <c r="K2992" s="10"/>
      <c r="L2992" s="5"/>
    </row>
    <row r="2993" spans="1:12" x14ac:dyDescent="0.25">
      <c r="A2993" s="5" t="s">
        <v>3110</v>
      </c>
      <c r="B2993" s="5" t="s">
        <v>3108</v>
      </c>
      <c r="C2993" s="5" t="s">
        <v>56</v>
      </c>
      <c r="D2993" s="21">
        <v>2</v>
      </c>
      <c r="E2993" s="12">
        <v>158</v>
      </c>
      <c r="F2993" s="10" t="str">
        <f>_xlfn.XLOOKUP(C2993,menu!A:A,menu!B:B)</f>
        <v>Mint Mojito</v>
      </c>
      <c r="G2993" s="10" t="str">
        <f>_xlfn.XLOOKUP(C2993,menu!A:A,menu!C:C)</f>
        <v>Beverages</v>
      </c>
      <c r="H2993" s="10">
        <f>_xlfn.XLOOKUP(C2993,menu!A:A,menu!E:E)</f>
        <v>24</v>
      </c>
      <c r="I2993" s="10">
        <f t="shared" si="46"/>
        <v>48</v>
      </c>
      <c r="K2993" s="10"/>
      <c r="L2993" s="5"/>
    </row>
    <row r="2994" spans="1:12" x14ac:dyDescent="0.25">
      <c r="A2994" s="5" t="s">
        <v>3109</v>
      </c>
      <c r="B2994" s="5" t="s">
        <v>3108</v>
      </c>
      <c r="C2994" s="5" t="s">
        <v>42</v>
      </c>
      <c r="D2994" s="21">
        <v>1</v>
      </c>
      <c r="E2994" s="12">
        <v>149</v>
      </c>
      <c r="F2994" s="10" t="str">
        <f>_xlfn.XLOOKUP(C2994,menu!A:A,menu!B:B)</f>
        <v>Chicken Popcorn</v>
      </c>
      <c r="G2994" s="10" t="str">
        <f>_xlfn.XLOOKUP(C2994,menu!A:A,menu!C:C)</f>
        <v>Starters</v>
      </c>
      <c r="H2994" s="10">
        <f>_xlfn.XLOOKUP(C2994,menu!A:A,menu!E:E)</f>
        <v>45</v>
      </c>
      <c r="I2994" s="10">
        <f t="shared" si="46"/>
        <v>45</v>
      </c>
      <c r="K2994" s="10"/>
      <c r="L2994" s="5"/>
    </row>
    <row r="2995" spans="1:12" x14ac:dyDescent="0.25">
      <c r="A2995" s="5" t="s">
        <v>3107</v>
      </c>
      <c r="B2995" s="5" t="s">
        <v>3103</v>
      </c>
      <c r="C2995" s="5" t="s">
        <v>12</v>
      </c>
      <c r="D2995" s="21">
        <v>1</v>
      </c>
      <c r="E2995" s="12">
        <v>79</v>
      </c>
      <c r="F2995" s="10" t="str">
        <f>_xlfn.XLOOKUP(C2995,menu!A:A,menu!B:B)</f>
        <v>Veg Momos</v>
      </c>
      <c r="G2995" s="10" t="str">
        <f>_xlfn.XLOOKUP(C2995,menu!A:A,menu!C:C)</f>
        <v>Momos</v>
      </c>
      <c r="H2995" s="10">
        <f>_xlfn.XLOOKUP(C2995,menu!A:A,menu!E:E)</f>
        <v>24</v>
      </c>
      <c r="I2995" s="10">
        <f t="shared" si="46"/>
        <v>24</v>
      </c>
      <c r="K2995" s="10"/>
      <c r="L2995" s="5"/>
    </row>
    <row r="2996" spans="1:12" x14ac:dyDescent="0.25">
      <c r="A2996" s="5" t="s">
        <v>3106</v>
      </c>
      <c r="B2996" s="5" t="s">
        <v>3103</v>
      </c>
      <c r="C2996" s="5" t="s">
        <v>50</v>
      </c>
      <c r="D2996" s="21">
        <v>1</v>
      </c>
      <c r="E2996" s="12">
        <v>149</v>
      </c>
      <c r="F2996" s="10" t="str">
        <f>_xlfn.XLOOKUP(C2996,menu!A:A,menu!B:B)</f>
        <v>Grab Lollipop</v>
      </c>
      <c r="G2996" s="10" t="str">
        <f>_xlfn.XLOOKUP(C2996,menu!A:A,menu!C:C)</f>
        <v>Starters</v>
      </c>
      <c r="H2996" s="10">
        <f>_xlfn.XLOOKUP(C2996,menu!A:A,menu!E:E)</f>
        <v>45</v>
      </c>
      <c r="I2996" s="10">
        <f t="shared" si="46"/>
        <v>45</v>
      </c>
      <c r="K2996" s="10"/>
      <c r="L2996" s="5"/>
    </row>
    <row r="2997" spans="1:12" x14ac:dyDescent="0.25">
      <c r="A2997" s="5" t="s">
        <v>3105</v>
      </c>
      <c r="B2997" s="5" t="s">
        <v>3103</v>
      </c>
      <c r="C2997" s="5" t="s">
        <v>65</v>
      </c>
      <c r="D2997" s="21">
        <v>5</v>
      </c>
      <c r="E2997" s="12">
        <v>245</v>
      </c>
      <c r="F2997" s="10" t="str">
        <f>_xlfn.XLOOKUP(C2997,menu!A:A,menu!B:B)</f>
        <v>Lemon Juice</v>
      </c>
      <c r="G2997" s="10" t="str">
        <f>_xlfn.XLOOKUP(C2997,menu!A:A,menu!C:C)</f>
        <v>Beverages</v>
      </c>
      <c r="H2997" s="10">
        <f>_xlfn.XLOOKUP(C2997,menu!A:A,menu!E:E)</f>
        <v>15</v>
      </c>
      <c r="I2997" s="10">
        <f t="shared" si="46"/>
        <v>75</v>
      </c>
      <c r="K2997" s="10"/>
      <c r="L2997" s="5"/>
    </row>
    <row r="2998" spans="1:12" x14ac:dyDescent="0.25">
      <c r="A2998" s="5" t="s">
        <v>3104</v>
      </c>
      <c r="B2998" s="5" t="s">
        <v>3103</v>
      </c>
      <c r="C2998" s="5" t="s">
        <v>29</v>
      </c>
      <c r="D2998" s="21">
        <v>3</v>
      </c>
      <c r="E2998" s="12">
        <v>237</v>
      </c>
      <c r="F2998" s="10" t="str">
        <f>_xlfn.XLOOKUP(C2998,menu!A:A,menu!B:B)</f>
        <v>Paneer Roll</v>
      </c>
      <c r="G2998" s="10" t="str">
        <f>_xlfn.XLOOKUP(C2998,menu!A:A,menu!C:C)</f>
        <v>Rolls</v>
      </c>
      <c r="H2998" s="10">
        <f>_xlfn.XLOOKUP(C2998,menu!A:A,menu!E:E)</f>
        <v>24</v>
      </c>
      <c r="I2998" s="10">
        <f t="shared" si="46"/>
        <v>72</v>
      </c>
      <c r="K2998" s="10"/>
      <c r="L2998" s="5"/>
    </row>
    <row r="2999" spans="1:12" x14ac:dyDescent="0.25">
      <c r="A2999" s="5" t="s">
        <v>3102</v>
      </c>
      <c r="B2999" s="5" t="s">
        <v>3099</v>
      </c>
      <c r="C2999" s="5" t="s">
        <v>44</v>
      </c>
      <c r="D2999" s="21">
        <v>1</v>
      </c>
      <c r="E2999" s="12">
        <v>159</v>
      </c>
      <c r="F2999" s="10" t="str">
        <f>_xlfn.XLOOKUP(C2999,menu!A:A,menu!B:B)</f>
        <v>Fried Chicken</v>
      </c>
      <c r="G2999" s="10" t="str">
        <f>_xlfn.XLOOKUP(C2999,menu!A:A,menu!C:C)</f>
        <v>Starters</v>
      </c>
      <c r="H2999" s="10">
        <f>_xlfn.XLOOKUP(C2999,menu!A:A,menu!E:E)</f>
        <v>48</v>
      </c>
      <c r="I2999" s="10">
        <f t="shared" si="46"/>
        <v>48</v>
      </c>
      <c r="K2999" s="10"/>
      <c r="L2999" s="5"/>
    </row>
    <row r="3000" spans="1:12" x14ac:dyDescent="0.25">
      <c r="A3000" s="5" t="s">
        <v>3101</v>
      </c>
      <c r="B3000" s="5" t="s">
        <v>3099</v>
      </c>
      <c r="C3000" s="5" t="s">
        <v>54</v>
      </c>
      <c r="D3000" s="21">
        <v>5</v>
      </c>
      <c r="E3000" s="12">
        <v>695</v>
      </c>
      <c r="F3000" s="10" t="str">
        <f>_xlfn.XLOOKUP(C3000,menu!A:A,menu!B:B)</f>
        <v>Chicken Strips</v>
      </c>
      <c r="G3000" s="10" t="str">
        <f>_xlfn.XLOOKUP(C3000,menu!A:A,menu!C:C)</f>
        <v>Starters</v>
      </c>
      <c r="H3000" s="10">
        <f>_xlfn.XLOOKUP(C3000,menu!A:A,menu!E:E)</f>
        <v>42</v>
      </c>
      <c r="I3000" s="10">
        <f t="shared" si="46"/>
        <v>210</v>
      </c>
      <c r="K3000" s="10"/>
      <c r="L3000" s="5"/>
    </row>
    <row r="3001" spans="1:12" x14ac:dyDescent="0.25">
      <c r="A3001" s="5" t="s">
        <v>3100</v>
      </c>
      <c r="B3001" s="5" t="s">
        <v>3099</v>
      </c>
      <c r="C3001" s="5" t="s">
        <v>42</v>
      </c>
      <c r="D3001" s="21">
        <v>1</v>
      </c>
      <c r="E3001" s="12">
        <v>149</v>
      </c>
      <c r="F3001" s="10" t="str">
        <f>_xlfn.XLOOKUP(C3001,menu!A:A,menu!B:B)</f>
        <v>Chicken Popcorn</v>
      </c>
      <c r="G3001" s="10" t="str">
        <f>_xlfn.XLOOKUP(C3001,menu!A:A,menu!C:C)</f>
        <v>Starters</v>
      </c>
      <c r="H3001" s="10">
        <f>_xlfn.XLOOKUP(C3001,menu!A:A,menu!E:E)</f>
        <v>45</v>
      </c>
      <c r="I3001" s="10">
        <f t="shared" si="46"/>
        <v>45</v>
      </c>
      <c r="K3001" s="10"/>
      <c r="L3001" s="5"/>
    </row>
    <row r="3002" spans="1:12" x14ac:dyDescent="0.25">
      <c r="A3002" s="5" t="s">
        <v>3098</v>
      </c>
      <c r="B3002" s="5" t="s">
        <v>3096</v>
      </c>
      <c r="C3002" s="5" t="s">
        <v>50</v>
      </c>
      <c r="D3002" s="21">
        <v>4</v>
      </c>
      <c r="E3002" s="12">
        <v>596</v>
      </c>
      <c r="F3002" s="10" t="str">
        <f>_xlfn.XLOOKUP(C3002,menu!A:A,menu!B:B)</f>
        <v>Grab Lollipop</v>
      </c>
      <c r="G3002" s="10" t="str">
        <f>_xlfn.XLOOKUP(C3002,menu!A:A,menu!C:C)</f>
        <v>Starters</v>
      </c>
      <c r="H3002" s="10">
        <f>_xlfn.XLOOKUP(C3002,menu!A:A,menu!E:E)</f>
        <v>45</v>
      </c>
      <c r="I3002" s="10">
        <f t="shared" si="46"/>
        <v>180</v>
      </c>
      <c r="K3002" s="10"/>
      <c r="L3002" s="5"/>
    </row>
    <row r="3003" spans="1:12" x14ac:dyDescent="0.25">
      <c r="A3003" s="5" t="s">
        <v>3097</v>
      </c>
      <c r="B3003" s="5" t="s">
        <v>3096</v>
      </c>
      <c r="C3003" s="5" t="s">
        <v>8</v>
      </c>
      <c r="D3003" s="21">
        <v>4</v>
      </c>
      <c r="E3003" s="12">
        <v>396</v>
      </c>
      <c r="F3003" s="10" t="str">
        <f>_xlfn.XLOOKUP(C3003,menu!A:A,menu!B:B)</f>
        <v>Paneer Sandwich</v>
      </c>
      <c r="G3003" s="10" t="str">
        <f>_xlfn.XLOOKUP(C3003,menu!A:A,menu!C:C)</f>
        <v>Sandwich</v>
      </c>
      <c r="H3003" s="10">
        <f>_xlfn.XLOOKUP(C3003,menu!A:A,menu!E:E)</f>
        <v>30</v>
      </c>
      <c r="I3003" s="10">
        <f t="shared" si="46"/>
        <v>120</v>
      </c>
      <c r="K3003" s="10"/>
      <c r="L3003" s="5"/>
    </row>
    <row r="3004" spans="1:12" x14ac:dyDescent="0.25">
      <c r="A3004" s="5" t="s">
        <v>3095</v>
      </c>
      <c r="B3004" s="5" t="s">
        <v>3093</v>
      </c>
      <c r="C3004" s="5" t="s">
        <v>46</v>
      </c>
      <c r="D3004" s="21">
        <v>1</v>
      </c>
      <c r="E3004" s="12">
        <v>149</v>
      </c>
      <c r="F3004" s="10" t="str">
        <f>_xlfn.XLOOKUP(C3004,menu!A:A,menu!B:B)</f>
        <v>Fish Finger</v>
      </c>
      <c r="G3004" s="10" t="str">
        <f>_xlfn.XLOOKUP(C3004,menu!A:A,menu!C:C)</f>
        <v>Starters</v>
      </c>
      <c r="H3004" s="10">
        <f>_xlfn.XLOOKUP(C3004,menu!A:A,menu!E:E)</f>
        <v>45</v>
      </c>
      <c r="I3004" s="10">
        <f t="shared" si="46"/>
        <v>45</v>
      </c>
      <c r="K3004" s="10"/>
      <c r="L3004" s="5"/>
    </row>
    <row r="3005" spans="1:12" x14ac:dyDescent="0.25">
      <c r="A3005" s="5" t="s">
        <v>3094</v>
      </c>
      <c r="B3005" s="5" t="s">
        <v>3093</v>
      </c>
      <c r="C3005" s="5" t="s">
        <v>8</v>
      </c>
      <c r="D3005" s="21">
        <v>1</v>
      </c>
      <c r="E3005" s="12">
        <v>99</v>
      </c>
      <c r="F3005" s="10" t="str">
        <f>_xlfn.XLOOKUP(C3005,menu!A:A,menu!B:B)</f>
        <v>Paneer Sandwich</v>
      </c>
      <c r="G3005" s="10" t="str">
        <f>_xlfn.XLOOKUP(C3005,menu!A:A,menu!C:C)</f>
        <v>Sandwich</v>
      </c>
      <c r="H3005" s="10">
        <f>_xlfn.XLOOKUP(C3005,menu!A:A,menu!E:E)</f>
        <v>30</v>
      </c>
      <c r="I3005" s="10">
        <f t="shared" si="46"/>
        <v>30</v>
      </c>
      <c r="K3005" s="10"/>
      <c r="L3005" s="5"/>
    </row>
    <row r="3006" spans="1:12" x14ac:dyDescent="0.25">
      <c r="A3006" s="5" t="s">
        <v>3092</v>
      </c>
      <c r="B3006" s="5" t="s">
        <v>3089</v>
      </c>
      <c r="C3006" s="5" t="s">
        <v>52</v>
      </c>
      <c r="D3006" s="21">
        <v>1</v>
      </c>
      <c r="E3006" s="12">
        <v>99</v>
      </c>
      <c r="F3006" s="10" t="str">
        <f>_xlfn.XLOOKUP(C3006,menu!A:A,menu!B:B)</f>
        <v>French Fries</v>
      </c>
      <c r="G3006" s="10" t="str">
        <f>_xlfn.XLOOKUP(C3006,menu!A:A,menu!C:C)</f>
        <v>Starters</v>
      </c>
      <c r="H3006" s="10">
        <f>_xlfn.XLOOKUP(C3006,menu!A:A,menu!E:E)</f>
        <v>30</v>
      </c>
      <c r="I3006" s="10">
        <f t="shared" si="46"/>
        <v>30</v>
      </c>
      <c r="K3006" s="10"/>
      <c r="L3006" s="5"/>
    </row>
    <row r="3007" spans="1:12" x14ac:dyDescent="0.25">
      <c r="A3007" s="5" t="s">
        <v>3091</v>
      </c>
      <c r="B3007" s="5" t="s">
        <v>3089</v>
      </c>
      <c r="C3007" s="5" t="s">
        <v>31</v>
      </c>
      <c r="D3007" s="21">
        <v>1</v>
      </c>
      <c r="E3007" s="12">
        <v>89</v>
      </c>
      <c r="F3007" s="10" t="str">
        <f>_xlfn.XLOOKUP(C3007,menu!A:A,menu!B:B)</f>
        <v>Chicken Roll</v>
      </c>
      <c r="G3007" s="10" t="str">
        <f>_xlfn.XLOOKUP(C3007,menu!A:A,menu!C:C)</f>
        <v>Rolls</v>
      </c>
      <c r="H3007" s="10">
        <f>_xlfn.XLOOKUP(C3007,menu!A:A,menu!E:E)</f>
        <v>27</v>
      </c>
      <c r="I3007" s="10">
        <f t="shared" si="46"/>
        <v>27</v>
      </c>
      <c r="K3007" s="10"/>
      <c r="L3007" s="5"/>
    </row>
    <row r="3008" spans="1:12" x14ac:dyDescent="0.25">
      <c r="A3008" s="5" t="s">
        <v>3090</v>
      </c>
      <c r="B3008" s="5" t="s">
        <v>3089</v>
      </c>
      <c r="C3008" s="5" t="s">
        <v>61</v>
      </c>
      <c r="D3008" s="21">
        <v>1</v>
      </c>
      <c r="E3008" s="12">
        <v>79</v>
      </c>
      <c r="F3008" s="10" t="str">
        <f>_xlfn.XLOOKUP(C3008,menu!A:A,menu!B:B)</f>
        <v>Watermelon Mojito</v>
      </c>
      <c r="G3008" s="10" t="str">
        <f>_xlfn.XLOOKUP(C3008,menu!A:A,menu!C:C)</f>
        <v>Beverages</v>
      </c>
      <c r="H3008" s="10">
        <f>_xlfn.XLOOKUP(C3008,menu!A:A,menu!E:E)</f>
        <v>24</v>
      </c>
      <c r="I3008" s="10">
        <f t="shared" si="46"/>
        <v>24</v>
      </c>
      <c r="K3008" s="10"/>
      <c r="L3008" s="5"/>
    </row>
    <row r="3009" spans="1:12" x14ac:dyDescent="0.25">
      <c r="A3009" s="5" t="s">
        <v>3088</v>
      </c>
      <c r="B3009" s="5" t="s">
        <v>3084</v>
      </c>
      <c r="C3009" s="5" t="s">
        <v>17</v>
      </c>
      <c r="D3009" s="21">
        <v>1</v>
      </c>
      <c r="E3009" s="12">
        <v>89</v>
      </c>
      <c r="F3009" s="10" t="str">
        <f>_xlfn.XLOOKUP(C3009,menu!A:A,menu!B:B)</f>
        <v>Paneer Momos</v>
      </c>
      <c r="G3009" s="10" t="str">
        <f>_xlfn.XLOOKUP(C3009,menu!A:A,menu!C:C)</f>
        <v>Momos</v>
      </c>
      <c r="H3009" s="10">
        <f>_xlfn.XLOOKUP(C3009,menu!A:A,menu!E:E)</f>
        <v>27</v>
      </c>
      <c r="I3009" s="10">
        <f t="shared" si="46"/>
        <v>27</v>
      </c>
      <c r="K3009" s="10"/>
      <c r="L3009" s="5"/>
    </row>
    <row r="3010" spans="1:12" x14ac:dyDescent="0.25">
      <c r="A3010" s="5" t="s">
        <v>3087</v>
      </c>
      <c r="B3010" s="5" t="s">
        <v>3084</v>
      </c>
      <c r="C3010" s="5" t="s">
        <v>50</v>
      </c>
      <c r="D3010" s="21">
        <v>1</v>
      </c>
      <c r="E3010" s="12">
        <v>149</v>
      </c>
      <c r="F3010" s="10" t="str">
        <f>_xlfn.XLOOKUP(C3010,menu!A:A,menu!B:B)</f>
        <v>Grab Lollipop</v>
      </c>
      <c r="G3010" s="10" t="str">
        <f>_xlfn.XLOOKUP(C3010,menu!A:A,menu!C:C)</f>
        <v>Starters</v>
      </c>
      <c r="H3010" s="10">
        <f>_xlfn.XLOOKUP(C3010,menu!A:A,menu!E:E)</f>
        <v>45</v>
      </c>
      <c r="I3010" s="10">
        <f t="shared" si="46"/>
        <v>45</v>
      </c>
      <c r="K3010" s="10"/>
      <c r="L3010" s="5"/>
    </row>
    <row r="3011" spans="1:12" x14ac:dyDescent="0.25">
      <c r="A3011" s="5" t="s">
        <v>3086</v>
      </c>
      <c r="B3011" s="5" t="s">
        <v>3084</v>
      </c>
      <c r="C3011" s="5" t="s">
        <v>12</v>
      </c>
      <c r="D3011" s="21">
        <v>4</v>
      </c>
      <c r="E3011" s="12">
        <v>316</v>
      </c>
      <c r="F3011" s="10" t="str">
        <f>_xlfn.XLOOKUP(C3011,menu!A:A,menu!B:B)</f>
        <v>Veg Momos</v>
      </c>
      <c r="G3011" s="10" t="str">
        <f>_xlfn.XLOOKUP(C3011,menu!A:A,menu!C:C)</f>
        <v>Momos</v>
      </c>
      <c r="H3011" s="10">
        <f>_xlfn.XLOOKUP(C3011,menu!A:A,menu!E:E)</f>
        <v>24</v>
      </c>
      <c r="I3011" s="10">
        <f t="shared" ref="I3011:I3074" si="47">D3011*H3011</f>
        <v>96</v>
      </c>
      <c r="K3011" s="10"/>
      <c r="L3011" s="5"/>
    </row>
    <row r="3012" spans="1:12" x14ac:dyDescent="0.25">
      <c r="A3012" s="5" t="s">
        <v>3085</v>
      </c>
      <c r="B3012" s="5" t="s">
        <v>3084</v>
      </c>
      <c r="C3012" s="5" t="s">
        <v>54</v>
      </c>
      <c r="D3012" s="21">
        <v>2</v>
      </c>
      <c r="E3012" s="12">
        <v>278</v>
      </c>
      <c r="F3012" s="10" t="str">
        <f>_xlfn.XLOOKUP(C3012,menu!A:A,menu!B:B)</f>
        <v>Chicken Strips</v>
      </c>
      <c r="G3012" s="10" t="str">
        <f>_xlfn.XLOOKUP(C3012,menu!A:A,menu!C:C)</f>
        <v>Starters</v>
      </c>
      <c r="H3012" s="10">
        <f>_xlfn.XLOOKUP(C3012,menu!A:A,menu!E:E)</f>
        <v>42</v>
      </c>
      <c r="I3012" s="10">
        <f t="shared" si="47"/>
        <v>84</v>
      </c>
      <c r="K3012" s="10"/>
      <c r="L3012" s="5"/>
    </row>
    <row r="3013" spans="1:12" x14ac:dyDescent="0.25">
      <c r="A3013" s="5" t="s">
        <v>3083</v>
      </c>
      <c r="B3013" s="5" t="s">
        <v>3081</v>
      </c>
      <c r="C3013" s="5" t="s">
        <v>19</v>
      </c>
      <c r="D3013" s="21">
        <v>1</v>
      </c>
      <c r="E3013" s="12">
        <v>79</v>
      </c>
      <c r="F3013" s="10" t="str">
        <f>_xlfn.XLOOKUP(C3013,menu!A:A,menu!B:B)</f>
        <v>Veg Burger</v>
      </c>
      <c r="G3013" s="10" t="str">
        <f>_xlfn.XLOOKUP(C3013,menu!A:A,menu!C:C)</f>
        <v>Burger</v>
      </c>
      <c r="H3013" s="10">
        <f>_xlfn.XLOOKUP(C3013,menu!A:A,menu!E:E)</f>
        <v>24</v>
      </c>
      <c r="I3013" s="10">
        <f t="shared" si="47"/>
        <v>24</v>
      </c>
      <c r="K3013" s="10"/>
      <c r="L3013" s="5"/>
    </row>
    <row r="3014" spans="1:12" x14ac:dyDescent="0.25">
      <c r="A3014" s="5" t="s">
        <v>3082</v>
      </c>
      <c r="B3014" s="5" t="s">
        <v>3081</v>
      </c>
      <c r="C3014" s="5" t="s">
        <v>35</v>
      </c>
      <c r="D3014" s="21">
        <v>3</v>
      </c>
      <c r="E3014" s="12">
        <v>357</v>
      </c>
      <c r="F3014" s="10" t="str">
        <f>_xlfn.XLOOKUP(C3014,menu!A:A,menu!B:B)</f>
        <v>Chicken Nuggets</v>
      </c>
      <c r="G3014" s="10" t="str">
        <f>_xlfn.XLOOKUP(C3014,menu!A:A,menu!C:C)</f>
        <v>Starters</v>
      </c>
      <c r="H3014" s="10">
        <f>_xlfn.XLOOKUP(C3014,menu!A:A,menu!E:E)</f>
        <v>36</v>
      </c>
      <c r="I3014" s="10">
        <f t="shared" si="47"/>
        <v>108</v>
      </c>
      <c r="K3014" s="10"/>
      <c r="L3014" s="5"/>
    </row>
    <row r="3015" spans="1:12" x14ac:dyDescent="0.25">
      <c r="A3015" s="5" t="s">
        <v>3080</v>
      </c>
      <c r="B3015" s="5" t="s">
        <v>3077</v>
      </c>
      <c r="C3015" s="5" t="s">
        <v>19</v>
      </c>
      <c r="D3015" s="21">
        <v>4</v>
      </c>
      <c r="E3015" s="12">
        <v>316</v>
      </c>
      <c r="F3015" s="10" t="str">
        <f>_xlfn.XLOOKUP(C3015,menu!A:A,menu!B:B)</f>
        <v>Veg Burger</v>
      </c>
      <c r="G3015" s="10" t="str">
        <f>_xlfn.XLOOKUP(C3015,menu!A:A,menu!C:C)</f>
        <v>Burger</v>
      </c>
      <c r="H3015" s="10">
        <f>_xlfn.XLOOKUP(C3015,menu!A:A,menu!E:E)</f>
        <v>24</v>
      </c>
      <c r="I3015" s="10">
        <f t="shared" si="47"/>
        <v>96</v>
      </c>
      <c r="K3015" s="10"/>
      <c r="L3015" s="5"/>
    </row>
    <row r="3016" spans="1:12" x14ac:dyDescent="0.25">
      <c r="A3016" s="5" t="s">
        <v>3079</v>
      </c>
      <c r="B3016" s="5" t="s">
        <v>3077</v>
      </c>
      <c r="C3016" s="5" t="s">
        <v>52</v>
      </c>
      <c r="D3016" s="21">
        <v>1</v>
      </c>
      <c r="E3016" s="12">
        <v>99</v>
      </c>
      <c r="F3016" s="10" t="str">
        <f>_xlfn.XLOOKUP(C3016,menu!A:A,menu!B:B)</f>
        <v>French Fries</v>
      </c>
      <c r="G3016" s="10" t="str">
        <f>_xlfn.XLOOKUP(C3016,menu!A:A,menu!C:C)</f>
        <v>Starters</v>
      </c>
      <c r="H3016" s="10">
        <f>_xlfn.XLOOKUP(C3016,menu!A:A,menu!E:E)</f>
        <v>30</v>
      </c>
      <c r="I3016" s="10">
        <f t="shared" si="47"/>
        <v>30</v>
      </c>
      <c r="K3016" s="10"/>
      <c r="L3016" s="5"/>
    </row>
    <row r="3017" spans="1:12" x14ac:dyDescent="0.25">
      <c r="A3017" s="5" t="s">
        <v>3078</v>
      </c>
      <c r="B3017" s="5" t="s">
        <v>3077</v>
      </c>
      <c r="C3017" s="5" t="s">
        <v>15</v>
      </c>
      <c r="D3017" s="21">
        <v>3</v>
      </c>
      <c r="E3017" s="12">
        <v>297</v>
      </c>
      <c r="F3017" s="10" t="str">
        <f>_xlfn.XLOOKUP(C3017,menu!A:A,menu!B:B)</f>
        <v>Chicken Momos</v>
      </c>
      <c r="G3017" s="10" t="str">
        <f>_xlfn.XLOOKUP(C3017,menu!A:A,menu!C:C)</f>
        <v>Momos</v>
      </c>
      <c r="H3017" s="10">
        <f>_xlfn.XLOOKUP(C3017,menu!A:A,menu!E:E)</f>
        <v>30</v>
      </c>
      <c r="I3017" s="10">
        <f t="shared" si="47"/>
        <v>90</v>
      </c>
      <c r="K3017" s="10"/>
      <c r="L3017" s="5"/>
    </row>
    <row r="3018" spans="1:12" x14ac:dyDescent="0.25">
      <c r="A3018" s="5" t="s">
        <v>3076</v>
      </c>
      <c r="B3018" s="5" t="s">
        <v>3073</v>
      </c>
      <c r="C3018" s="5" t="s">
        <v>50</v>
      </c>
      <c r="D3018" s="21">
        <v>2</v>
      </c>
      <c r="E3018" s="12">
        <v>298</v>
      </c>
      <c r="F3018" s="10" t="str">
        <f>_xlfn.XLOOKUP(C3018,menu!A:A,menu!B:B)</f>
        <v>Grab Lollipop</v>
      </c>
      <c r="G3018" s="10" t="str">
        <f>_xlfn.XLOOKUP(C3018,menu!A:A,menu!C:C)</f>
        <v>Starters</v>
      </c>
      <c r="H3018" s="10">
        <f>_xlfn.XLOOKUP(C3018,menu!A:A,menu!E:E)</f>
        <v>45</v>
      </c>
      <c r="I3018" s="10">
        <f t="shared" si="47"/>
        <v>90</v>
      </c>
      <c r="K3018" s="10"/>
      <c r="L3018" s="5"/>
    </row>
    <row r="3019" spans="1:12" x14ac:dyDescent="0.25">
      <c r="A3019" s="5" t="s">
        <v>3075</v>
      </c>
      <c r="B3019" s="5" t="s">
        <v>3073</v>
      </c>
      <c r="C3019" s="5" t="s">
        <v>35</v>
      </c>
      <c r="D3019" s="21">
        <v>2</v>
      </c>
      <c r="E3019" s="12">
        <v>238</v>
      </c>
      <c r="F3019" s="10" t="str">
        <f>_xlfn.XLOOKUP(C3019,menu!A:A,menu!B:B)</f>
        <v>Chicken Nuggets</v>
      </c>
      <c r="G3019" s="10" t="str">
        <f>_xlfn.XLOOKUP(C3019,menu!A:A,menu!C:C)</f>
        <v>Starters</v>
      </c>
      <c r="H3019" s="10">
        <f>_xlfn.XLOOKUP(C3019,menu!A:A,menu!E:E)</f>
        <v>36</v>
      </c>
      <c r="I3019" s="10">
        <f t="shared" si="47"/>
        <v>72</v>
      </c>
      <c r="K3019" s="10"/>
      <c r="L3019" s="5"/>
    </row>
    <row r="3020" spans="1:12" x14ac:dyDescent="0.25">
      <c r="A3020" s="5" t="s">
        <v>3074</v>
      </c>
      <c r="B3020" s="5" t="s">
        <v>3073</v>
      </c>
      <c r="C3020" s="5" t="s">
        <v>15</v>
      </c>
      <c r="D3020" s="21">
        <v>1</v>
      </c>
      <c r="E3020" s="12">
        <v>99</v>
      </c>
      <c r="F3020" s="10" t="str">
        <f>_xlfn.XLOOKUP(C3020,menu!A:A,menu!B:B)</f>
        <v>Chicken Momos</v>
      </c>
      <c r="G3020" s="10" t="str">
        <f>_xlfn.XLOOKUP(C3020,menu!A:A,menu!C:C)</f>
        <v>Momos</v>
      </c>
      <c r="H3020" s="10">
        <f>_xlfn.XLOOKUP(C3020,menu!A:A,menu!E:E)</f>
        <v>30</v>
      </c>
      <c r="I3020" s="10">
        <f t="shared" si="47"/>
        <v>30</v>
      </c>
      <c r="K3020" s="10"/>
      <c r="L3020" s="5"/>
    </row>
    <row r="3021" spans="1:12" x14ac:dyDescent="0.25">
      <c r="A3021" s="5" t="s">
        <v>3072</v>
      </c>
      <c r="B3021" s="5" t="s">
        <v>3069</v>
      </c>
      <c r="C3021" s="5" t="s">
        <v>29</v>
      </c>
      <c r="D3021" s="21">
        <v>1</v>
      </c>
      <c r="E3021" s="12">
        <v>79</v>
      </c>
      <c r="F3021" s="10" t="str">
        <f>_xlfn.XLOOKUP(C3021,menu!A:A,menu!B:B)</f>
        <v>Paneer Roll</v>
      </c>
      <c r="G3021" s="10" t="str">
        <f>_xlfn.XLOOKUP(C3021,menu!A:A,menu!C:C)</f>
        <v>Rolls</v>
      </c>
      <c r="H3021" s="10">
        <f>_xlfn.XLOOKUP(C3021,menu!A:A,menu!E:E)</f>
        <v>24</v>
      </c>
      <c r="I3021" s="10">
        <f t="shared" si="47"/>
        <v>24</v>
      </c>
      <c r="K3021" s="10"/>
      <c r="L3021" s="5"/>
    </row>
    <row r="3022" spans="1:12" x14ac:dyDescent="0.25">
      <c r="A3022" s="5" t="s">
        <v>3071</v>
      </c>
      <c r="B3022" s="5" t="s">
        <v>3069</v>
      </c>
      <c r="C3022" s="5" t="s">
        <v>26</v>
      </c>
      <c r="D3022" s="21">
        <v>5</v>
      </c>
      <c r="E3022" s="12">
        <v>295</v>
      </c>
      <c r="F3022" s="10" t="str">
        <f>_xlfn.XLOOKUP(C3022,menu!A:A,menu!B:B)</f>
        <v>Veg Roll</v>
      </c>
      <c r="G3022" s="10" t="str">
        <f>_xlfn.XLOOKUP(C3022,menu!A:A,menu!C:C)</f>
        <v>Rolls</v>
      </c>
      <c r="H3022" s="10">
        <f>_xlfn.XLOOKUP(C3022,menu!A:A,menu!E:E)</f>
        <v>18</v>
      </c>
      <c r="I3022" s="10">
        <f t="shared" si="47"/>
        <v>90</v>
      </c>
      <c r="K3022" s="10"/>
      <c r="L3022" s="5"/>
    </row>
    <row r="3023" spans="1:12" x14ac:dyDescent="0.25">
      <c r="A3023" s="5" t="s">
        <v>3070</v>
      </c>
      <c r="B3023" s="5" t="s">
        <v>3069</v>
      </c>
      <c r="C3023" s="5" t="s">
        <v>48</v>
      </c>
      <c r="D3023" s="21">
        <v>1</v>
      </c>
      <c r="E3023" s="12">
        <v>159</v>
      </c>
      <c r="F3023" s="10" t="str">
        <f>_xlfn.XLOOKUP(C3023,menu!A:A,menu!B:B)</f>
        <v>Chicken Lollipop</v>
      </c>
      <c r="G3023" s="10" t="str">
        <f>_xlfn.XLOOKUP(C3023,menu!A:A,menu!C:C)</f>
        <v>Starters</v>
      </c>
      <c r="H3023" s="10">
        <f>_xlfn.XLOOKUP(C3023,menu!A:A,menu!E:E)</f>
        <v>48</v>
      </c>
      <c r="I3023" s="10">
        <f t="shared" si="47"/>
        <v>48</v>
      </c>
      <c r="K3023" s="10"/>
      <c r="L3023" s="5"/>
    </row>
    <row r="3024" spans="1:12" x14ac:dyDescent="0.25">
      <c r="A3024" s="5" t="s">
        <v>3068</v>
      </c>
      <c r="B3024" s="5" t="s">
        <v>3066</v>
      </c>
      <c r="C3024" s="5" t="s">
        <v>12</v>
      </c>
      <c r="D3024" s="21">
        <v>1</v>
      </c>
      <c r="E3024" s="12">
        <v>79</v>
      </c>
      <c r="F3024" s="10" t="str">
        <f>_xlfn.XLOOKUP(C3024,menu!A:A,menu!B:B)</f>
        <v>Veg Momos</v>
      </c>
      <c r="G3024" s="10" t="str">
        <f>_xlfn.XLOOKUP(C3024,menu!A:A,menu!C:C)</f>
        <v>Momos</v>
      </c>
      <c r="H3024" s="10">
        <f>_xlfn.XLOOKUP(C3024,menu!A:A,menu!E:E)</f>
        <v>24</v>
      </c>
      <c r="I3024" s="10">
        <f t="shared" si="47"/>
        <v>24</v>
      </c>
      <c r="K3024" s="10"/>
      <c r="L3024" s="5"/>
    </row>
    <row r="3025" spans="1:12" x14ac:dyDescent="0.25">
      <c r="A3025" s="5" t="s">
        <v>3067</v>
      </c>
      <c r="B3025" s="5" t="s">
        <v>3066</v>
      </c>
      <c r="C3025" s="5" t="s">
        <v>35</v>
      </c>
      <c r="D3025" s="21">
        <v>2</v>
      </c>
      <c r="E3025" s="12">
        <v>238</v>
      </c>
      <c r="F3025" s="10" t="str">
        <f>_xlfn.XLOOKUP(C3025,menu!A:A,menu!B:B)</f>
        <v>Chicken Nuggets</v>
      </c>
      <c r="G3025" s="10" t="str">
        <f>_xlfn.XLOOKUP(C3025,menu!A:A,menu!C:C)</f>
        <v>Starters</v>
      </c>
      <c r="H3025" s="10">
        <f>_xlfn.XLOOKUP(C3025,menu!A:A,menu!E:E)</f>
        <v>36</v>
      </c>
      <c r="I3025" s="10">
        <f t="shared" si="47"/>
        <v>72</v>
      </c>
      <c r="K3025" s="10"/>
      <c r="L3025" s="5"/>
    </row>
    <row r="3026" spans="1:12" x14ac:dyDescent="0.25">
      <c r="A3026" s="5" t="s">
        <v>3065</v>
      </c>
      <c r="B3026" s="5" t="s">
        <v>3061</v>
      </c>
      <c r="C3026" s="5" t="s">
        <v>12</v>
      </c>
      <c r="D3026" s="21">
        <v>5</v>
      </c>
      <c r="E3026" s="12">
        <v>395</v>
      </c>
      <c r="F3026" s="10" t="str">
        <f>_xlfn.XLOOKUP(C3026,menu!A:A,menu!B:B)</f>
        <v>Veg Momos</v>
      </c>
      <c r="G3026" s="10" t="str">
        <f>_xlfn.XLOOKUP(C3026,menu!A:A,menu!C:C)</f>
        <v>Momos</v>
      </c>
      <c r="H3026" s="10">
        <f>_xlfn.XLOOKUP(C3026,menu!A:A,menu!E:E)</f>
        <v>24</v>
      </c>
      <c r="I3026" s="10">
        <f t="shared" si="47"/>
        <v>120</v>
      </c>
      <c r="K3026" s="10"/>
      <c r="L3026" s="5"/>
    </row>
    <row r="3027" spans="1:12" x14ac:dyDescent="0.25">
      <c r="A3027" s="5" t="s">
        <v>3064</v>
      </c>
      <c r="B3027" s="5" t="s">
        <v>3061</v>
      </c>
      <c r="C3027" s="5" t="s">
        <v>54</v>
      </c>
      <c r="D3027" s="21">
        <v>2</v>
      </c>
      <c r="E3027" s="12">
        <v>278</v>
      </c>
      <c r="F3027" s="10" t="str">
        <f>_xlfn.XLOOKUP(C3027,menu!A:A,menu!B:B)</f>
        <v>Chicken Strips</v>
      </c>
      <c r="G3027" s="10" t="str">
        <f>_xlfn.XLOOKUP(C3027,menu!A:A,menu!C:C)</f>
        <v>Starters</v>
      </c>
      <c r="H3027" s="10">
        <f>_xlfn.XLOOKUP(C3027,menu!A:A,menu!E:E)</f>
        <v>42</v>
      </c>
      <c r="I3027" s="10">
        <f t="shared" si="47"/>
        <v>84</v>
      </c>
      <c r="K3027" s="10"/>
      <c r="L3027" s="5"/>
    </row>
    <row r="3028" spans="1:12" x14ac:dyDescent="0.25">
      <c r="A3028" s="5" t="s">
        <v>3063</v>
      </c>
      <c r="B3028" s="5" t="s">
        <v>3061</v>
      </c>
      <c r="C3028" s="5" t="s">
        <v>42</v>
      </c>
      <c r="D3028" s="21">
        <v>1</v>
      </c>
      <c r="E3028" s="12">
        <v>149</v>
      </c>
      <c r="F3028" s="10" t="str">
        <f>_xlfn.XLOOKUP(C3028,menu!A:A,menu!B:B)</f>
        <v>Chicken Popcorn</v>
      </c>
      <c r="G3028" s="10" t="str">
        <f>_xlfn.XLOOKUP(C3028,menu!A:A,menu!C:C)</f>
        <v>Starters</v>
      </c>
      <c r="H3028" s="10">
        <f>_xlfn.XLOOKUP(C3028,menu!A:A,menu!E:E)</f>
        <v>45</v>
      </c>
      <c r="I3028" s="10">
        <f t="shared" si="47"/>
        <v>45</v>
      </c>
      <c r="K3028" s="10"/>
      <c r="L3028" s="5"/>
    </row>
    <row r="3029" spans="1:12" x14ac:dyDescent="0.25">
      <c r="A3029" s="5" t="s">
        <v>3062</v>
      </c>
      <c r="B3029" s="5" t="s">
        <v>3061</v>
      </c>
      <c r="C3029" s="5" t="s">
        <v>48</v>
      </c>
      <c r="D3029" s="21">
        <v>3</v>
      </c>
      <c r="E3029" s="12">
        <v>477</v>
      </c>
      <c r="F3029" s="10" t="str">
        <f>_xlfn.XLOOKUP(C3029,menu!A:A,menu!B:B)</f>
        <v>Chicken Lollipop</v>
      </c>
      <c r="G3029" s="10" t="str">
        <f>_xlfn.XLOOKUP(C3029,menu!A:A,menu!C:C)</f>
        <v>Starters</v>
      </c>
      <c r="H3029" s="10">
        <f>_xlfn.XLOOKUP(C3029,menu!A:A,menu!E:E)</f>
        <v>48</v>
      </c>
      <c r="I3029" s="10">
        <f t="shared" si="47"/>
        <v>144</v>
      </c>
      <c r="K3029" s="10"/>
      <c r="L3029" s="5"/>
    </row>
    <row r="3030" spans="1:12" x14ac:dyDescent="0.25">
      <c r="A3030" s="5" t="s">
        <v>3060</v>
      </c>
      <c r="B3030" s="5" t="s">
        <v>3058</v>
      </c>
      <c r="C3030" s="5" t="s">
        <v>10</v>
      </c>
      <c r="D3030" s="21">
        <v>2</v>
      </c>
      <c r="E3030" s="12">
        <v>238</v>
      </c>
      <c r="F3030" s="10" t="str">
        <f>_xlfn.XLOOKUP(C3030,menu!A:A,menu!B:B)</f>
        <v>Chicken Sandwich</v>
      </c>
      <c r="G3030" s="10" t="str">
        <f>_xlfn.XLOOKUP(C3030,menu!A:A,menu!C:C)</f>
        <v>Sandwich</v>
      </c>
      <c r="H3030" s="10">
        <f>_xlfn.XLOOKUP(C3030,menu!A:A,menu!E:E)</f>
        <v>36</v>
      </c>
      <c r="I3030" s="10">
        <f t="shared" si="47"/>
        <v>72</v>
      </c>
      <c r="K3030" s="10"/>
      <c r="L3030" s="5"/>
    </row>
    <row r="3031" spans="1:12" x14ac:dyDescent="0.25">
      <c r="A3031" s="5" t="s">
        <v>3059</v>
      </c>
      <c r="B3031" s="5" t="s">
        <v>3058</v>
      </c>
      <c r="C3031" s="5" t="s">
        <v>52</v>
      </c>
      <c r="D3031" s="21">
        <v>1</v>
      </c>
      <c r="E3031" s="12">
        <v>99</v>
      </c>
      <c r="F3031" s="10" t="str">
        <f>_xlfn.XLOOKUP(C3031,menu!A:A,menu!B:B)</f>
        <v>French Fries</v>
      </c>
      <c r="G3031" s="10" t="str">
        <f>_xlfn.XLOOKUP(C3031,menu!A:A,menu!C:C)</f>
        <v>Starters</v>
      </c>
      <c r="H3031" s="10">
        <f>_xlfn.XLOOKUP(C3031,menu!A:A,menu!E:E)</f>
        <v>30</v>
      </c>
      <c r="I3031" s="10">
        <f t="shared" si="47"/>
        <v>30</v>
      </c>
      <c r="K3031" s="10"/>
      <c r="L3031" s="5"/>
    </row>
    <row r="3032" spans="1:12" x14ac:dyDescent="0.25">
      <c r="A3032" s="5" t="s">
        <v>3057</v>
      </c>
      <c r="B3032" s="5" t="s">
        <v>3053</v>
      </c>
      <c r="C3032" s="5" t="s">
        <v>40</v>
      </c>
      <c r="D3032" s="21">
        <v>2</v>
      </c>
      <c r="E3032" s="12">
        <v>198</v>
      </c>
      <c r="F3032" s="10" t="str">
        <f>_xlfn.XLOOKUP(C3032,menu!A:A,menu!B:B)</f>
        <v>Veg Nuggets</v>
      </c>
      <c r="G3032" s="10" t="str">
        <f>_xlfn.XLOOKUP(C3032,menu!A:A,menu!C:C)</f>
        <v>Starters</v>
      </c>
      <c r="H3032" s="10">
        <f>_xlfn.XLOOKUP(C3032,menu!A:A,menu!E:E)</f>
        <v>30</v>
      </c>
      <c r="I3032" s="10">
        <f t="shared" si="47"/>
        <v>60</v>
      </c>
      <c r="K3032" s="10"/>
      <c r="L3032" s="5"/>
    </row>
    <row r="3033" spans="1:12" x14ac:dyDescent="0.25">
      <c r="A3033" s="5" t="s">
        <v>3056</v>
      </c>
      <c r="B3033" s="5" t="s">
        <v>3053</v>
      </c>
      <c r="C3033" s="5" t="s">
        <v>52</v>
      </c>
      <c r="D3033" s="21">
        <v>1</v>
      </c>
      <c r="E3033" s="12">
        <v>99</v>
      </c>
      <c r="F3033" s="10" t="str">
        <f>_xlfn.XLOOKUP(C3033,menu!A:A,menu!B:B)</f>
        <v>French Fries</v>
      </c>
      <c r="G3033" s="10" t="str">
        <f>_xlfn.XLOOKUP(C3033,menu!A:A,menu!C:C)</f>
        <v>Starters</v>
      </c>
      <c r="H3033" s="10">
        <f>_xlfn.XLOOKUP(C3033,menu!A:A,menu!E:E)</f>
        <v>30</v>
      </c>
      <c r="I3033" s="10">
        <f t="shared" si="47"/>
        <v>30</v>
      </c>
      <c r="K3033" s="10"/>
      <c r="L3033" s="5"/>
    </row>
    <row r="3034" spans="1:12" x14ac:dyDescent="0.25">
      <c r="A3034" s="5" t="s">
        <v>3055</v>
      </c>
      <c r="B3034" s="5" t="s">
        <v>3053</v>
      </c>
      <c r="C3034" s="5" t="s">
        <v>17</v>
      </c>
      <c r="D3034" s="21">
        <v>1</v>
      </c>
      <c r="E3034" s="12">
        <v>89</v>
      </c>
      <c r="F3034" s="10" t="str">
        <f>_xlfn.XLOOKUP(C3034,menu!A:A,menu!B:B)</f>
        <v>Paneer Momos</v>
      </c>
      <c r="G3034" s="10" t="str">
        <f>_xlfn.XLOOKUP(C3034,menu!A:A,menu!C:C)</f>
        <v>Momos</v>
      </c>
      <c r="H3034" s="10">
        <f>_xlfn.XLOOKUP(C3034,menu!A:A,menu!E:E)</f>
        <v>27</v>
      </c>
      <c r="I3034" s="10">
        <f t="shared" si="47"/>
        <v>27</v>
      </c>
      <c r="K3034" s="10"/>
      <c r="L3034" s="5"/>
    </row>
    <row r="3035" spans="1:12" x14ac:dyDescent="0.25">
      <c r="A3035" s="5" t="s">
        <v>3054</v>
      </c>
      <c r="B3035" s="5" t="s">
        <v>3053</v>
      </c>
      <c r="C3035" s="5" t="s">
        <v>29</v>
      </c>
      <c r="D3035" s="21">
        <v>2</v>
      </c>
      <c r="E3035" s="12">
        <v>158</v>
      </c>
      <c r="F3035" s="10" t="str">
        <f>_xlfn.XLOOKUP(C3035,menu!A:A,menu!B:B)</f>
        <v>Paneer Roll</v>
      </c>
      <c r="G3035" s="10" t="str">
        <f>_xlfn.XLOOKUP(C3035,menu!A:A,menu!C:C)</f>
        <v>Rolls</v>
      </c>
      <c r="H3035" s="10">
        <f>_xlfn.XLOOKUP(C3035,menu!A:A,menu!E:E)</f>
        <v>24</v>
      </c>
      <c r="I3035" s="10">
        <f t="shared" si="47"/>
        <v>48</v>
      </c>
      <c r="K3035" s="10"/>
      <c r="L3035" s="5"/>
    </row>
    <row r="3036" spans="1:12" x14ac:dyDescent="0.25">
      <c r="A3036" s="5" t="s">
        <v>3052</v>
      </c>
      <c r="B3036" s="5" t="s">
        <v>3049</v>
      </c>
      <c r="C3036" s="5" t="s">
        <v>52</v>
      </c>
      <c r="D3036" s="21">
        <v>1</v>
      </c>
      <c r="E3036" s="12">
        <v>99</v>
      </c>
      <c r="F3036" s="10" t="str">
        <f>_xlfn.XLOOKUP(C3036,menu!A:A,menu!B:B)</f>
        <v>French Fries</v>
      </c>
      <c r="G3036" s="10" t="str">
        <f>_xlfn.XLOOKUP(C3036,menu!A:A,menu!C:C)</f>
        <v>Starters</v>
      </c>
      <c r="H3036" s="10">
        <f>_xlfn.XLOOKUP(C3036,menu!A:A,menu!E:E)</f>
        <v>30</v>
      </c>
      <c r="I3036" s="10">
        <f t="shared" si="47"/>
        <v>30</v>
      </c>
      <c r="K3036" s="10"/>
      <c r="L3036" s="5"/>
    </row>
    <row r="3037" spans="1:12" x14ac:dyDescent="0.25">
      <c r="A3037" s="5" t="s">
        <v>3051</v>
      </c>
      <c r="B3037" s="5" t="s">
        <v>3049</v>
      </c>
      <c r="C3037" s="5" t="s">
        <v>38</v>
      </c>
      <c r="D3037" s="21">
        <v>2</v>
      </c>
      <c r="E3037" s="12">
        <v>298</v>
      </c>
      <c r="F3037" s="10" t="str">
        <f>_xlfn.XLOOKUP(C3037,menu!A:A,menu!B:B)</f>
        <v>Chicken Wings</v>
      </c>
      <c r="G3037" s="10" t="str">
        <f>_xlfn.XLOOKUP(C3037,menu!A:A,menu!C:C)</f>
        <v>Starters</v>
      </c>
      <c r="H3037" s="10">
        <f>_xlfn.XLOOKUP(C3037,menu!A:A,menu!E:E)</f>
        <v>45</v>
      </c>
      <c r="I3037" s="10">
        <f t="shared" si="47"/>
        <v>90</v>
      </c>
      <c r="K3037" s="10"/>
      <c r="L3037" s="5"/>
    </row>
    <row r="3038" spans="1:12" x14ac:dyDescent="0.25">
      <c r="A3038" s="5" t="s">
        <v>3050</v>
      </c>
      <c r="B3038" s="5" t="s">
        <v>3049</v>
      </c>
      <c r="C3038" s="5" t="s">
        <v>48</v>
      </c>
      <c r="D3038" s="21">
        <v>1</v>
      </c>
      <c r="E3038" s="12">
        <v>159</v>
      </c>
      <c r="F3038" s="10" t="str">
        <f>_xlfn.XLOOKUP(C3038,menu!A:A,menu!B:B)</f>
        <v>Chicken Lollipop</v>
      </c>
      <c r="G3038" s="10" t="str">
        <f>_xlfn.XLOOKUP(C3038,menu!A:A,menu!C:C)</f>
        <v>Starters</v>
      </c>
      <c r="H3038" s="10">
        <f>_xlfn.XLOOKUP(C3038,menu!A:A,menu!E:E)</f>
        <v>48</v>
      </c>
      <c r="I3038" s="10">
        <f t="shared" si="47"/>
        <v>48</v>
      </c>
      <c r="K3038" s="10"/>
      <c r="L3038" s="5"/>
    </row>
    <row r="3039" spans="1:12" x14ac:dyDescent="0.25">
      <c r="A3039" s="5" t="s">
        <v>3048</v>
      </c>
      <c r="B3039" s="5" t="s">
        <v>3045</v>
      </c>
      <c r="C3039" s="5" t="s">
        <v>42</v>
      </c>
      <c r="D3039" s="21">
        <v>4</v>
      </c>
      <c r="E3039" s="12">
        <v>596</v>
      </c>
      <c r="F3039" s="10" t="str">
        <f>_xlfn.XLOOKUP(C3039,menu!A:A,menu!B:B)</f>
        <v>Chicken Popcorn</v>
      </c>
      <c r="G3039" s="10" t="str">
        <f>_xlfn.XLOOKUP(C3039,menu!A:A,menu!C:C)</f>
        <v>Starters</v>
      </c>
      <c r="H3039" s="10">
        <f>_xlfn.XLOOKUP(C3039,menu!A:A,menu!E:E)</f>
        <v>45</v>
      </c>
      <c r="I3039" s="10">
        <f t="shared" si="47"/>
        <v>180</v>
      </c>
      <c r="K3039" s="10"/>
      <c r="L3039" s="5"/>
    </row>
    <row r="3040" spans="1:12" x14ac:dyDescent="0.25">
      <c r="A3040" s="5" t="s">
        <v>3047</v>
      </c>
      <c r="B3040" s="5" t="s">
        <v>3045</v>
      </c>
      <c r="C3040" s="5" t="s">
        <v>31</v>
      </c>
      <c r="D3040" s="21">
        <v>5</v>
      </c>
      <c r="E3040" s="12">
        <v>445</v>
      </c>
      <c r="F3040" s="10" t="str">
        <f>_xlfn.XLOOKUP(C3040,menu!A:A,menu!B:B)</f>
        <v>Chicken Roll</v>
      </c>
      <c r="G3040" s="10" t="str">
        <f>_xlfn.XLOOKUP(C3040,menu!A:A,menu!C:C)</f>
        <v>Rolls</v>
      </c>
      <c r="H3040" s="10">
        <f>_xlfn.XLOOKUP(C3040,menu!A:A,menu!E:E)</f>
        <v>27</v>
      </c>
      <c r="I3040" s="10">
        <f t="shared" si="47"/>
        <v>135</v>
      </c>
      <c r="K3040" s="10"/>
      <c r="L3040" s="5"/>
    </row>
    <row r="3041" spans="1:12" x14ac:dyDescent="0.25">
      <c r="A3041" s="5" t="s">
        <v>3046</v>
      </c>
      <c r="B3041" s="5" t="s">
        <v>3045</v>
      </c>
      <c r="C3041" s="5" t="s">
        <v>61</v>
      </c>
      <c r="D3041" s="21">
        <v>1</v>
      </c>
      <c r="E3041" s="12">
        <v>79</v>
      </c>
      <c r="F3041" s="10" t="str">
        <f>_xlfn.XLOOKUP(C3041,menu!A:A,menu!B:B)</f>
        <v>Watermelon Mojito</v>
      </c>
      <c r="G3041" s="10" t="str">
        <f>_xlfn.XLOOKUP(C3041,menu!A:A,menu!C:C)</f>
        <v>Beverages</v>
      </c>
      <c r="H3041" s="10">
        <f>_xlfn.XLOOKUP(C3041,menu!A:A,menu!E:E)</f>
        <v>24</v>
      </c>
      <c r="I3041" s="10">
        <f t="shared" si="47"/>
        <v>24</v>
      </c>
      <c r="K3041" s="10"/>
      <c r="L3041" s="5"/>
    </row>
    <row r="3042" spans="1:12" x14ac:dyDescent="0.25">
      <c r="A3042" s="5" t="s">
        <v>3044</v>
      </c>
      <c r="B3042" s="5" t="s">
        <v>3040</v>
      </c>
      <c r="C3042" s="5" t="s">
        <v>52</v>
      </c>
      <c r="D3042" s="21">
        <v>2</v>
      </c>
      <c r="E3042" s="12">
        <v>198</v>
      </c>
      <c r="F3042" s="10" t="str">
        <f>_xlfn.XLOOKUP(C3042,menu!A:A,menu!B:B)</f>
        <v>French Fries</v>
      </c>
      <c r="G3042" s="10" t="str">
        <f>_xlfn.XLOOKUP(C3042,menu!A:A,menu!C:C)</f>
        <v>Starters</v>
      </c>
      <c r="H3042" s="10">
        <f>_xlfn.XLOOKUP(C3042,menu!A:A,menu!E:E)</f>
        <v>30</v>
      </c>
      <c r="I3042" s="10">
        <f t="shared" si="47"/>
        <v>60</v>
      </c>
      <c r="K3042" s="10"/>
      <c r="L3042" s="5"/>
    </row>
    <row r="3043" spans="1:12" x14ac:dyDescent="0.25">
      <c r="A3043" s="5" t="s">
        <v>3043</v>
      </c>
      <c r="B3043" s="5" t="s">
        <v>3040</v>
      </c>
      <c r="C3043" s="5" t="s">
        <v>44</v>
      </c>
      <c r="D3043" s="21">
        <v>1</v>
      </c>
      <c r="E3043" s="12">
        <v>159</v>
      </c>
      <c r="F3043" s="10" t="str">
        <f>_xlfn.XLOOKUP(C3043,menu!A:A,menu!B:B)</f>
        <v>Fried Chicken</v>
      </c>
      <c r="G3043" s="10" t="str">
        <f>_xlfn.XLOOKUP(C3043,menu!A:A,menu!C:C)</f>
        <v>Starters</v>
      </c>
      <c r="H3043" s="10">
        <f>_xlfn.XLOOKUP(C3043,menu!A:A,menu!E:E)</f>
        <v>48</v>
      </c>
      <c r="I3043" s="10">
        <f t="shared" si="47"/>
        <v>48</v>
      </c>
      <c r="K3043" s="10"/>
      <c r="L3043" s="5"/>
    </row>
    <row r="3044" spans="1:12" x14ac:dyDescent="0.25">
      <c r="A3044" s="5" t="s">
        <v>3042</v>
      </c>
      <c r="B3044" s="5" t="s">
        <v>3040</v>
      </c>
      <c r="C3044" s="5" t="s">
        <v>42</v>
      </c>
      <c r="D3044" s="21">
        <v>2</v>
      </c>
      <c r="E3044" s="12">
        <v>298</v>
      </c>
      <c r="F3044" s="10" t="str">
        <f>_xlfn.XLOOKUP(C3044,menu!A:A,menu!B:B)</f>
        <v>Chicken Popcorn</v>
      </c>
      <c r="G3044" s="10" t="str">
        <f>_xlfn.XLOOKUP(C3044,menu!A:A,menu!C:C)</f>
        <v>Starters</v>
      </c>
      <c r="H3044" s="10">
        <f>_xlfn.XLOOKUP(C3044,menu!A:A,menu!E:E)</f>
        <v>45</v>
      </c>
      <c r="I3044" s="10">
        <f t="shared" si="47"/>
        <v>90</v>
      </c>
      <c r="K3044" s="10"/>
      <c r="L3044" s="5"/>
    </row>
    <row r="3045" spans="1:12" x14ac:dyDescent="0.25">
      <c r="A3045" s="5" t="s">
        <v>3041</v>
      </c>
      <c r="B3045" s="5" t="s">
        <v>3040</v>
      </c>
      <c r="C3045" s="5" t="s">
        <v>26</v>
      </c>
      <c r="D3045" s="21">
        <v>2</v>
      </c>
      <c r="E3045" s="12">
        <v>118</v>
      </c>
      <c r="F3045" s="10" t="str">
        <f>_xlfn.XLOOKUP(C3045,menu!A:A,menu!B:B)</f>
        <v>Veg Roll</v>
      </c>
      <c r="G3045" s="10" t="str">
        <f>_xlfn.XLOOKUP(C3045,menu!A:A,menu!C:C)</f>
        <v>Rolls</v>
      </c>
      <c r="H3045" s="10">
        <f>_xlfn.XLOOKUP(C3045,menu!A:A,menu!E:E)</f>
        <v>18</v>
      </c>
      <c r="I3045" s="10">
        <f t="shared" si="47"/>
        <v>36</v>
      </c>
      <c r="K3045" s="10"/>
      <c r="L3045" s="5"/>
    </row>
    <row r="3046" spans="1:12" x14ac:dyDescent="0.25">
      <c r="A3046" s="5" t="s">
        <v>3039</v>
      </c>
      <c r="B3046" s="5" t="s">
        <v>3038</v>
      </c>
      <c r="C3046" s="5" t="s">
        <v>10</v>
      </c>
      <c r="D3046" s="21">
        <v>2</v>
      </c>
      <c r="E3046" s="12">
        <v>238</v>
      </c>
      <c r="F3046" s="10" t="str">
        <f>_xlfn.XLOOKUP(C3046,menu!A:A,menu!B:B)</f>
        <v>Chicken Sandwich</v>
      </c>
      <c r="G3046" s="10" t="str">
        <f>_xlfn.XLOOKUP(C3046,menu!A:A,menu!C:C)</f>
        <v>Sandwich</v>
      </c>
      <c r="H3046" s="10">
        <f>_xlfn.XLOOKUP(C3046,menu!A:A,menu!E:E)</f>
        <v>36</v>
      </c>
      <c r="I3046" s="10">
        <f t="shared" si="47"/>
        <v>72</v>
      </c>
      <c r="K3046" s="10"/>
      <c r="L3046" s="5"/>
    </row>
    <row r="3047" spans="1:12" x14ac:dyDescent="0.25">
      <c r="A3047" s="5" t="s">
        <v>3037</v>
      </c>
      <c r="B3047" s="5" t="s">
        <v>3035</v>
      </c>
      <c r="C3047" s="5" t="s">
        <v>56</v>
      </c>
      <c r="D3047" s="21">
        <v>2</v>
      </c>
      <c r="E3047" s="12">
        <v>158</v>
      </c>
      <c r="F3047" s="10" t="str">
        <f>_xlfn.XLOOKUP(C3047,menu!A:A,menu!B:B)</f>
        <v>Mint Mojito</v>
      </c>
      <c r="G3047" s="10" t="str">
        <f>_xlfn.XLOOKUP(C3047,menu!A:A,menu!C:C)</f>
        <v>Beverages</v>
      </c>
      <c r="H3047" s="10">
        <f>_xlfn.XLOOKUP(C3047,menu!A:A,menu!E:E)</f>
        <v>24</v>
      </c>
      <c r="I3047" s="10">
        <f t="shared" si="47"/>
        <v>48</v>
      </c>
      <c r="K3047" s="10"/>
      <c r="L3047" s="5"/>
    </row>
    <row r="3048" spans="1:12" x14ac:dyDescent="0.25">
      <c r="A3048" s="5" t="s">
        <v>3036</v>
      </c>
      <c r="B3048" s="5" t="s">
        <v>3035</v>
      </c>
      <c r="C3048" s="5" t="s">
        <v>50</v>
      </c>
      <c r="D3048" s="21">
        <v>2</v>
      </c>
      <c r="E3048" s="12">
        <v>298</v>
      </c>
      <c r="F3048" s="10" t="str">
        <f>_xlfn.XLOOKUP(C3048,menu!A:A,menu!B:B)</f>
        <v>Grab Lollipop</v>
      </c>
      <c r="G3048" s="10" t="str">
        <f>_xlfn.XLOOKUP(C3048,menu!A:A,menu!C:C)</f>
        <v>Starters</v>
      </c>
      <c r="H3048" s="10">
        <f>_xlfn.XLOOKUP(C3048,menu!A:A,menu!E:E)</f>
        <v>45</v>
      </c>
      <c r="I3048" s="10">
        <f t="shared" si="47"/>
        <v>90</v>
      </c>
      <c r="K3048" s="10"/>
      <c r="L3048" s="5"/>
    </row>
    <row r="3049" spans="1:12" x14ac:dyDescent="0.25">
      <c r="A3049" s="5" t="s">
        <v>3034</v>
      </c>
      <c r="B3049" s="5" t="s">
        <v>3032</v>
      </c>
      <c r="C3049" s="5" t="s">
        <v>40</v>
      </c>
      <c r="D3049" s="21">
        <v>3</v>
      </c>
      <c r="E3049" s="12">
        <v>297</v>
      </c>
      <c r="F3049" s="10" t="str">
        <f>_xlfn.XLOOKUP(C3049,menu!A:A,menu!B:B)</f>
        <v>Veg Nuggets</v>
      </c>
      <c r="G3049" s="10" t="str">
        <f>_xlfn.XLOOKUP(C3049,menu!A:A,menu!C:C)</f>
        <v>Starters</v>
      </c>
      <c r="H3049" s="10">
        <f>_xlfn.XLOOKUP(C3049,menu!A:A,menu!E:E)</f>
        <v>30</v>
      </c>
      <c r="I3049" s="10">
        <f t="shared" si="47"/>
        <v>90</v>
      </c>
      <c r="K3049" s="10"/>
      <c r="L3049" s="5"/>
    </row>
    <row r="3050" spans="1:12" x14ac:dyDescent="0.25">
      <c r="A3050" s="5" t="s">
        <v>3033</v>
      </c>
      <c r="B3050" s="5" t="s">
        <v>3032</v>
      </c>
      <c r="C3050" s="5" t="s">
        <v>61</v>
      </c>
      <c r="D3050" s="21">
        <v>3</v>
      </c>
      <c r="E3050" s="12">
        <v>237</v>
      </c>
      <c r="F3050" s="10" t="str">
        <f>_xlfn.XLOOKUP(C3050,menu!A:A,menu!B:B)</f>
        <v>Watermelon Mojito</v>
      </c>
      <c r="G3050" s="10" t="str">
        <f>_xlfn.XLOOKUP(C3050,menu!A:A,menu!C:C)</f>
        <v>Beverages</v>
      </c>
      <c r="H3050" s="10">
        <f>_xlfn.XLOOKUP(C3050,menu!A:A,menu!E:E)</f>
        <v>24</v>
      </c>
      <c r="I3050" s="10">
        <f t="shared" si="47"/>
        <v>72</v>
      </c>
      <c r="K3050" s="10"/>
      <c r="L3050" s="5"/>
    </row>
    <row r="3051" spans="1:12" x14ac:dyDescent="0.25">
      <c r="A3051" s="5" t="s">
        <v>3031</v>
      </c>
      <c r="B3051" s="5" t="s">
        <v>3029</v>
      </c>
      <c r="C3051" s="5" t="s">
        <v>40</v>
      </c>
      <c r="D3051" s="21">
        <v>4</v>
      </c>
      <c r="E3051" s="12">
        <v>396</v>
      </c>
      <c r="F3051" s="10" t="str">
        <f>_xlfn.XLOOKUP(C3051,menu!A:A,menu!B:B)</f>
        <v>Veg Nuggets</v>
      </c>
      <c r="G3051" s="10" t="str">
        <f>_xlfn.XLOOKUP(C3051,menu!A:A,menu!C:C)</f>
        <v>Starters</v>
      </c>
      <c r="H3051" s="10">
        <f>_xlfn.XLOOKUP(C3051,menu!A:A,menu!E:E)</f>
        <v>30</v>
      </c>
      <c r="I3051" s="10">
        <f t="shared" si="47"/>
        <v>120</v>
      </c>
      <c r="K3051" s="10"/>
      <c r="L3051" s="5"/>
    </row>
    <row r="3052" spans="1:12" x14ac:dyDescent="0.25">
      <c r="A3052" s="5" t="s">
        <v>3030</v>
      </c>
      <c r="B3052" s="5" t="s">
        <v>3029</v>
      </c>
      <c r="C3052" s="5" t="s">
        <v>44</v>
      </c>
      <c r="D3052" s="21">
        <v>2</v>
      </c>
      <c r="E3052" s="12">
        <v>318</v>
      </c>
      <c r="F3052" s="10" t="str">
        <f>_xlfn.XLOOKUP(C3052,menu!A:A,menu!B:B)</f>
        <v>Fried Chicken</v>
      </c>
      <c r="G3052" s="10" t="str">
        <f>_xlfn.XLOOKUP(C3052,menu!A:A,menu!C:C)</f>
        <v>Starters</v>
      </c>
      <c r="H3052" s="10">
        <f>_xlfn.XLOOKUP(C3052,menu!A:A,menu!E:E)</f>
        <v>48</v>
      </c>
      <c r="I3052" s="10">
        <f t="shared" si="47"/>
        <v>96</v>
      </c>
      <c r="K3052" s="10"/>
      <c r="L3052" s="5"/>
    </row>
    <row r="3053" spans="1:12" x14ac:dyDescent="0.25">
      <c r="A3053" s="5" t="s">
        <v>3028</v>
      </c>
      <c r="B3053" s="5" t="s">
        <v>3025</v>
      </c>
      <c r="C3053" s="5" t="s">
        <v>17</v>
      </c>
      <c r="D3053" s="21">
        <v>3</v>
      </c>
      <c r="E3053" s="12">
        <v>267</v>
      </c>
      <c r="F3053" s="10" t="str">
        <f>_xlfn.XLOOKUP(C3053,menu!A:A,menu!B:B)</f>
        <v>Paneer Momos</v>
      </c>
      <c r="G3053" s="10" t="str">
        <f>_xlfn.XLOOKUP(C3053,menu!A:A,menu!C:C)</f>
        <v>Momos</v>
      </c>
      <c r="H3053" s="10">
        <f>_xlfn.XLOOKUP(C3053,menu!A:A,menu!E:E)</f>
        <v>27</v>
      </c>
      <c r="I3053" s="10">
        <f t="shared" si="47"/>
        <v>81</v>
      </c>
      <c r="K3053" s="10"/>
      <c r="L3053" s="5"/>
    </row>
    <row r="3054" spans="1:12" x14ac:dyDescent="0.25">
      <c r="A3054" s="5" t="s">
        <v>3027</v>
      </c>
      <c r="B3054" s="5" t="s">
        <v>3025</v>
      </c>
      <c r="C3054" s="5" t="s">
        <v>52</v>
      </c>
      <c r="D3054" s="21">
        <v>2</v>
      </c>
      <c r="E3054" s="12">
        <v>198</v>
      </c>
      <c r="F3054" s="10" t="str">
        <f>_xlfn.XLOOKUP(C3054,menu!A:A,menu!B:B)</f>
        <v>French Fries</v>
      </c>
      <c r="G3054" s="10" t="str">
        <f>_xlfn.XLOOKUP(C3054,menu!A:A,menu!C:C)</f>
        <v>Starters</v>
      </c>
      <c r="H3054" s="10">
        <f>_xlfn.XLOOKUP(C3054,menu!A:A,menu!E:E)</f>
        <v>30</v>
      </c>
      <c r="I3054" s="10">
        <f t="shared" si="47"/>
        <v>60</v>
      </c>
      <c r="K3054" s="10"/>
      <c r="L3054" s="5"/>
    </row>
    <row r="3055" spans="1:12" x14ac:dyDescent="0.25">
      <c r="A3055" s="5" t="s">
        <v>3026</v>
      </c>
      <c r="B3055" s="5" t="s">
        <v>3025</v>
      </c>
      <c r="C3055" s="5" t="s">
        <v>38</v>
      </c>
      <c r="D3055" s="21">
        <v>1</v>
      </c>
      <c r="E3055" s="12">
        <v>149</v>
      </c>
      <c r="F3055" s="10" t="str">
        <f>_xlfn.XLOOKUP(C3055,menu!A:A,menu!B:B)</f>
        <v>Chicken Wings</v>
      </c>
      <c r="G3055" s="10" t="str">
        <f>_xlfn.XLOOKUP(C3055,menu!A:A,menu!C:C)</f>
        <v>Starters</v>
      </c>
      <c r="H3055" s="10">
        <f>_xlfn.XLOOKUP(C3055,menu!A:A,menu!E:E)</f>
        <v>45</v>
      </c>
      <c r="I3055" s="10">
        <f t="shared" si="47"/>
        <v>45</v>
      </c>
      <c r="K3055" s="10"/>
      <c r="L3055" s="5"/>
    </row>
    <row r="3056" spans="1:12" x14ac:dyDescent="0.25">
      <c r="A3056" s="5" t="s">
        <v>3024</v>
      </c>
      <c r="B3056" s="5" t="s">
        <v>3020</v>
      </c>
      <c r="C3056" s="5" t="s">
        <v>12</v>
      </c>
      <c r="D3056" s="21">
        <v>2</v>
      </c>
      <c r="E3056" s="12">
        <v>158</v>
      </c>
      <c r="F3056" s="10" t="str">
        <f>_xlfn.XLOOKUP(C3056,menu!A:A,menu!B:B)</f>
        <v>Veg Momos</v>
      </c>
      <c r="G3056" s="10" t="str">
        <f>_xlfn.XLOOKUP(C3056,menu!A:A,menu!C:C)</f>
        <v>Momos</v>
      </c>
      <c r="H3056" s="10">
        <f>_xlfn.XLOOKUP(C3056,menu!A:A,menu!E:E)</f>
        <v>24</v>
      </c>
      <c r="I3056" s="10">
        <f t="shared" si="47"/>
        <v>48</v>
      </c>
      <c r="K3056" s="10"/>
      <c r="L3056" s="5"/>
    </row>
    <row r="3057" spans="1:12" x14ac:dyDescent="0.25">
      <c r="A3057" s="5" t="s">
        <v>3023</v>
      </c>
      <c r="B3057" s="5" t="s">
        <v>3020</v>
      </c>
      <c r="C3057" s="5" t="s">
        <v>10</v>
      </c>
      <c r="D3057" s="21">
        <v>2</v>
      </c>
      <c r="E3057" s="12">
        <v>238</v>
      </c>
      <c r="F3057" s="10" t="str">
        <f>_xlfn.XLOOKUP(C3057,menu!A:A,menu!B:B)</f>
        <v>Chicken Sandwich</v>
      </c>
      <c r="G3057" s="10" t="str">
        <f>_xlfn.XLOOKUP(C3057,menu!A:A,menu!C:C)</f>
        <v>Sandwich</v>
      </c>
      <c r="H3057" s="10">
        <f>_xlfn.XLOOKUP(C3057,menu!A:A,menu!E:E)</f>
        <v>36</v>
      </c>
      <c r="I3057" s="10">
        <f t="shared" si="47"/>
        <v>72</v>
      </c>
      <c r="K3057" s="10"/>
      <c r="L3057" s="5"/>
    </row>
    <row r="3058" spans="1:12" x14ac:dyDescent="0.25">
      <c r="A3058" s="5" t="s">
        <v>3022</v>
      </c>
      <c r="B3058" s="5" t="s">
        <v>3020</v>
      </c>
      <c r="C3058" s="5" t="s">
        <v>22</v>
      </c>
      <c r="D3058" s="21">
        <v>1</v>
      </c>
      <c r="E3058" s="12">
        <v>99</v>
      </c>
      <c r="F3058" s="10" t="str">
        <f>_xlfn.XLOOKUP(C3058,menu!A:A,menu!B:B)</f>
        <v>Chicken Burger</v>
      </c>
      <c r="G3058" s="10" t="str">
        <f>_xlfn.XLOOKUP(C3058,menu!A:A,menu!C:C)</f>
        <v>Burger</v>
      </c>
      <c r="H3058" s="10">
        <f>_xlfn.XLOOKUP(C3058,menu!A:A,menu!E:E)</f>
        <v>30</v>
      </c>
      <c r="I3058" s="10">
        <f t="shared" si="47"/>
        <v>30</v>
      </c>
      <c r="K3058" s="10"/>
      <c r="L3058" s="5"/>
    </row>
    <row r="3059" spans="1:12" x14ac:dyDescent="0.25">
      <c r="A3059" s="5" t="s">
        <v>3021</v>
      </c>
      <c r="B3059" s="5" t="s">
        <v>3020</v>
      </c>
      <c r="C3059" s="5" t="s">
        <v>65</v>
      </c>
      <c r="D3059" s="21">
        <v>4</v>
      </c>
      <c r="E3059" s="12">
        <v>196</v>
      </c>
      <c r="F3059" s="10" t="str">
        <f>_xlfn.XLOOKUP(C3059,menu!A:A,menu!B:B)</f>
        <v>Lemon Juice</v>
      </c>
      <c r="G3059" s="10" t="str">
        <f>_xlfn.XLOOKUP(C3059,menu!A:A,menu!C:C)</f>
        <v>Beverages</v>
      </c>
      <c r="H3059" s="10">
        <f>_xlfn.XLOOKUP(C3059,menu!A:A,menu!E:E)</f>
        <v>15</v>
      </c>
      <c r="I3059" s="10">
        <f t="shared" si="47"/>
        <v>60</v>
      </c>
      <c r="K3059" s="10"/>
      <c r="L3059" s="5"/>
    </row>
    <row r="3060" spans="1:12" x14ac:dyDescent="0.25">
      <c r="A3060" s="5" t="s">
        <v>3019</v>
      </c>
      <c r="B3060" s="5" t="s">
        <v>3017</v>
      </c>
      <c r="C3060" s="5" t="s">
        <v>29</v>
      </c>
      <c r="D3060" s="21">
        <v>1</v>
      </c>
      <c r="E3060" s="12">
        <v>79</v>
      </c>
      <c r="F3060" s="10" t="str">
        <f>_xlfn.XLOOKUP(C3060,menu!A:A,menu!B:B)</f>
        <v>Paneer Roll</v>
      </c>
      <c r="G3060" s="10" t="str">
        <f>_xlfn.XLOOKUP(C3060,menu!A:A,menu!C:C)</f>
        <v>Rolls</v>
      </c>
      <c r="H3060" s="10">
        <f>_xlfn.XLOOKUP(C3060,menu!A:A,menu!E:E)</f>
        <v>24</v>
      </c>
      <c r="I3060" s="10">
        <f t="shared" si="47"/>
        <v>24</v>
      </c>
      <c r="K3060" s="10"/>
      <c r="L3060" s="5"/>
    </row>
    <row r="3061" spans="1:12" x14ac:dyDescent="0.25">
      <c r="A3061" s="5" t="s">
        <v>3018</v>
      </c>
      <c r="B3061" s="5" t="s">
        <v>3017</v>
      </c>
      <c r="C3061" s="5" t="s">
        <v>42</v>
      </c>
      <c r="D3061" s="21">
        <v>3</v>
      </c>
      <c r="E3061" s="12">
        <v>447</v>
      </c>
      <c r="F3061" s="10" t="str">
        <f>_xlfn.XLOOKUP(C3061,menu!A:A,menu!B:B)</f>
        <v>Chicken Popcorn</v>
      </c>
      <c r="G3061" s="10" t="str">
        <f>_xlfn.XLOOKUP(C3061,menu!A:A,menu!C:C)</f>
        <v>Starters</v>
      </c>
      <c r="H3061" s="10">
        <f>_xlfn.XLOOKUP(C3061,menu!A:A,menu!E:E)</f>
        <v>45</v>
      </c>
      <c r="I3061" s="10">
        <f t="shared" si="47"/>
        <v>135</v>
      </c>
      <c r="K3061" s="10"/>
      <c r="L3061" s="5"/>
    </row>
    <row r="3062" spans="1:12" x14ac:dyDescent="0.25">
      <c r="A3062" s="5" t="s">
        <v>3016</v>
      </c>
      <c r="B3062" s="5" t="s">
        <v>3013</v>
      </c>
      <c r="C3062" s="5" t="s">
        <v>5</v>
      </c>
      <c r="D3062" s="21">
        <v>1</v>
      </c>
      <c r="E3062" s="12">
        <v>79</v>
      </c>
      <c r="F3062" s="10" t="str">
        <f>_xlfn.XLOOKUP(C3062,menu!A:A,menu!B:B)</f>
        <v>Veg Sandwich</v>
      </c>
      <c r="G3062" s="10" t="str">
        <f>_xlfn.XLOOKUP(C3062,menu!A:A,menu!C:C)</f>
        <v>Sandwich</v>
      </c>
      <c r="H3062" s="10">
        <f>_xlfn.XLOOKUP(C3062,menu!A:A,menu!E:E)</f>
        <v>24</v>
      </c>
      <c r="I3062" s="10">
        <f t="shared" si="47"/>
        <v>24</v>
      </c>
      <c r="K3062" s="10"/>
      <c r="L3062" s="5"/>
    </row>
    <row r="3063" spans="1:12" x14ac:dyDescent="0.25">
      <c r="A3063" s="5" t="s">
        <v>3015</v>
      </c>
      <c r="B3063" s="5" t="s">
        <v>3013</v>
      </c>
      <c r="C3063" s="5" t="s">
        <v>63</v>
      </c>
      <c r="D3063" s="21">
        <v>3</v>
      </c>
      <c r="E3063" s="12">
        <v>237</v>
      </c>
      <c r="F3063" s="10" t="str">
        <f>_xlfn.XLOOKUP(C3063,menu!A:A,menu!B:B)</f>
        <v>Virgin Mojito</v>
      </c>
      <c r="G3063" s="10" t="str">
        <f>_xlfn.XLOOKUP(C3063,menu!A:A,menu!C:C)</f>
        <v>Beverages</v>
      </c>
      <c r="H3063" s="10">
        <f>_xlfn.XLOOKUP(C3063,menu!A:A,menu!E:E)</f>
        <v>24</v>
      </c>
      <c r="I3063" s="10">
        <f t="shared" si="47"/>
        <v>72</v>
      </c>
      <c r="K3063" s="10"/>
      <c r="L3063" s="5"/>
    </row>
    <row r="3064" spans="1:12" x14ac:dyDescent="0.25">
      <c r="A3064" s="5" t="s">
        <v>3014</v>
      </c>
      <c r="B3064" s="5" t="s">
        <v>3013</v>
      </c>
      <c r="C3064" s="5" t="s">
        <v>48</v>
      </c>
      <c r="D3064" s="21">
        <v>1</v>
      </c>
      <c r="E3064" s="12">
        <v>159</v>
      </c>
      <c r="F3064" s="10" t="str">
        <f>_xlfn.XLOOKUP(C3064,menu!A:A,menu!B:B)</f>
        <v>Chicken Lollipop</v>
      </c>
      <c r="G3064" s="10" t="str">
        <f>_xlfn.XLOOKUP(C3064,menu!A:A,menu!C:C)</f>
        <v>Starters</v>
      </c>
      <c r="H3064" s="10">
        <f>_xlfn.XLOOKUP(C3064,menu!A:A,menu!E:E)</f>
        <v>48</v>
      </c>
      <c r="I3064" s="10">
        <f t="shared" si="47"/>
        <v>48</v>
      </c>
      <c r="K3064" s="10"/>
      <c r="L3064" s="5"/>
    </row>
    <row r="3065" spans="1:12" x14ac:dyDescent="0.25">
      <c r="A3065" s="5" t="s">
        <v>3012</v>
      </c>
      <c r="B3065" s="5" t="s">
        <v>3010</v>
      </c>
      <c r="C3065" s="5" t="s">
        <v>12</v>
      </c>
      <c r="D3065" s="21">
        <v>2</v>
      </c>
      <c r="E3065" s="12">
        <v>158</v>
      </c>
      <c r="F3065" s="10" t="str">
        <f>_xlfn.XLOOKUP(C3065,menu!A:A,menu!B:B)</f>
        <v>Veg Momos</v>
      </c>
      <c r="G3065" s="10" t="str">
        <f>_xlfn.XLOOKUP(C3065,menu!A:A,menu!C:C)</f>
        <v>Momos</v>
      </c>
      <c r="H3065" s="10">
        <f>_xlfn.XLOOKUP(C3065,menu!A:A,menu!E:E)</f>
        <v>24</v>
      </c>
      <c r="I3065" s="10">
        <f t="shared" si="47"/>
        <v>48</v>
      </c>
      <c r="K3065" s="10"/>
      <c r="L3065" s="5"/>
    </row>
    <row r="3066" spans="1:12" x14ac:dyDescent="0.25">
      <c r="A3066" s="5" t="s">
        <v>3011</v>
      </c>
      <c r="B3066" s="5" t="s">
        <v>3010</v>
      </c>
      <c r="C3066" s="5" t="s">
        <v>54</v>
      </c>
      <c r="D3066" s="21">
        <v>2</v>
      </c>
      <c r="E3066" s="12">
        <v>278</v>
      </c>
      <c r="F3066" s="10" t="str">
        <f>_xlfn.XLOOKUP(C3066,menu!A:A,menu!B:B)</f>
        <v>Chicken Strips</v>
      </c>
      <c r="G3066" s="10" t="str">
        <f>_xlfn.XLOOKUP(C3066,menu!A:A,menu!C:C)</f>
        <v>Starters</v>
      </c>
      <c r="H3066" s="10">
        <f>_xlfn.XLOOKUP(C3066,menu!A:A,menu!E:E)</f>
        <v>42</v>
      </c>
      <c r="I3066" s="10">
        <f t="shared" si="47"/>
        <v>84</v>
      </c>
      <c r="K3066" s="10"/>
      <c r="L3066" s="5"/>
    </row>
    <row r="3067" spans="1:12" x14ac:dyDescent="0.25">
      <c r="A3067" s="5" t="s">
        <v>3009</v>
      </c>
      <c r="B3067" s="5" t="s">
        <v>3005</v>
      </c>
      <c r="C3067" s="5" t="s">
        <v>52</v>
      </c>
      <c r="D3067" s="21">
        <v>1</v>
      </c>
      <c r="E3067" s="12">
        <v>99</v>
      </c>
      <c r="F3067" s="10" t="str">
        <f>_xlfn.XLOOKUP(C3067,menu!A:A,menu!B:B)</f>
        <v>French Fries</v>
      </c>
      <c r="G3067" s="10" t="str">
        <f>_xlfn.XLOOKUP(C3067,menu!A:A,menu!C:C)</f>
        <v>Starters</v>
      </c>
      <c r="H3067" s="10">
        <f>_xlfn.XLOOKUP(C3067,menu!A:A,menu!E:E)</f>
        <v>30</v>
      </c>
      <c r="I3067" s="10">
        <f t="shared" si="47"/>
        <v>30</v>
      </c>
      <c r="K3067" s="10"/>
      <c r="L3067" s="5"/>
    </row>
    <row r="3068" spans="1:12" x14ac:dyDescent="0.25">
      <c r="A3068" s="5" t="s">
        <v>3008</v>
      </c>
      <c r="B3068" s="5" t="s">
        <v>3005</v>
      </c>
      <c r="C3068" s="5" t="s">
        <v>54</v>
      </c>
      <c r="D3068" s="21">
        <v>3</v>
      </c>
      <c r="E3068" s="12">
        <v>417</v>
      </c>
      <c r="F3068" s="10" t="str">
        <f>_xlfn.XLOOKUP(C3068,menu!A:A,menu!B:B)</f>
        <v>Chicken Strips</v>
      </c>
      <c r="G3068" s="10" t="str">
        <f>_xlfn.XLOOKUP(C3068,menu!A:A,menu!C:C)</f>
        <v>Starters</v>
      </c>
      <c r="H3068" s="10">
        <f>_xlfn.XLOOKUP(C3068,menu!A:A,menu!E:E)</f>
        <v>42</v>
      </c>
      <c r="I3068" s="10">
        <f t="shared" si="47"/>
        <v>126</v>
      </c>
      <c r="K3068" s="10"/>
      <c r="L3068" s="5"/>
    </row>
    <row r="3069" spans="1:12" x14ac:dyDescent="0.25">
      <c r="A3069" s="5" t="s">
        <v>3007</v>
      </c>
      <c r="B3069" s="5" t="s">
        <v>3005</v>
      </c>
      <c r="C3069" s="5" t="s">
        <v>8</v>
      </c>
      <c r="D3069" s="21">
        <v>1</v>
      </c>
      <c r="E3069" s="12">
        <v>99</v>
      </c>
      <c r="F3069" s="10" t="str">
        <f>_xlfn.XLOOKUP(C3069,menu!A:A,menu!B:B)</f>
        <v>Paneer Sandwich</v>
      </c>
      <c r="G3069" s="10" t="str">
        <f>_xlfn.XLOOKUP(C3069,menu!A:A,menu!C:C)</f>
        <v>Sandwich</v>
      </c>
      <c r="H3069" s="10">
        <f>_xlfn.XLOOKUP(C3069,menu!A:A,menu!E:E)</f>
        <v>30</v>
      </c>
      <c r="I3069" s="10">
        <f t="shared" si="47"/>
        <v>30</v>
      </c>
      <c r="K3069" s="10"/>
      <c r="L3069" s="5"/>
    </row>
    <row r="3070" spans="1:12" x14ac:dyDescent="0.25">
      <c r="A3070" s="5" t="s">
        <v>3006</v>
      </c>
      <c r="B3070" s="5" t="s">
        <v>3005</v>
      </c>
      <c r="C3070" s="5" t="s">
        <v>48</v>
      </c>
      <c r="D3070" s="21">
        <v>2</v>
      </c>
      <c r="E3070" s="12">
        <v>318</v>
      </c>
      <c r="F3070" s="10" t="str">
        <f>_xlfn.XLOOKUP(C3070,menu!A:A,menu!B:B)</f>
        <v>Chicken Lollipop</v>
      </c>
      <c r="G3070" s="10" t="str">
        <f>_xlfn.XLOOKUP(C3070,menu!A:A,menu!C:C)</f>
        <v>Starters</v>
      </c>
      <c r="H3070" s="10">
        <f>_xlfn.XLOOKUP(C3070,menu!A:A,menu!E:E)</f>
        <v>48</v>
      </c>
      <c r="I3070" s="10">
        <f t="shared" si="47"/>
        <v>96</v>
      </c>
      <c r="K3070" s="10"/>
      <c r="L3070" s="5"/>
    </row>
    <row r="3071" spans="1:12" x14ac:dyDescent="0.25">
      <c r="A3071" s="5" t="s">
        <v>3004</v>
      </c>
      <c r="B3071" s="5" t="s">
        <v>3001</v>
      </c>
      <c r="C3071" s="5" t="s">
        <v>19</v>
      </c>
      <c r="D3071" s="21">
        <v>1</v>
      </c>
      <c r="E3071" s="12">
        <v>79</v>
      </c>
      <c r="F3071" s="10" t="str">
        <f>_xlfn.XLOOKUP(C3071,menu!A:A,menu!B:B)</f>
        <v>Veg Burger</v>
      </c>
      <c r="G3071" s="10" t="str">
        <f>_xlfn.XLOOKUP(C3071,menu!A:A,menu!C:C)</f>
        <v>Burger</v>
      </c>
      <c r="H3071" s="10">
        <f>_xlfn.XLOOKUP(C3071,menu!A:A,menu!E:E)</f>
        <v>24</v>
      </c>
      <c r="I3071" s="10">
        <f t="shared" si="47"/>
        <v>24</v>
      </c>
      <c r="K3071" s="10"/>
      <c r="L3071" s="5"/>
    </row>
    <row r="3072" spans="1:12" x14ac:dyDescent="0.25">
      <c r="A3072" s="5" t="s">
        <v>3003</v>
      </c>
      <c r="B3072" s="5" t="s">
        <v>3001</v>
      </c>
      <c r="C3072" s="5" t="s">
        <v>35</v>
      </c>
      <c r="D3072" s="21">
        <v>2</v>
      </c>
      <c r="E3072" s="12">
        <v>238</v>
      </c>
      <c r="F3072" s="10" t="str">
        <f>_xlfn.XLOOKUP(C3072,menu!A:A,menu!B:B)</f>
        <v>Chicken Nuggets</v>
      </c>
      <c r="G3072" s="10" t="str">
        <f>_xlfn.XLOOKUP(C3072,menu!A:A,menu!C:C)</f>
        <v>Starters</v>
      </c>
      <c r="H3072" s="10">
        <f>_xlfn.XLOOKUP(C3072,menu!A:A,menu!E:E)</f>
        <v>36</v>
      </c>
      <c r="I3072" s="10">
        <f t="shared" si="47"/>
        <v>72</v>
      </c>
      <c r="K3072" s="10"/>
      <c r="L3072" s="5"/>
    </row>
    <row r="3073" spans="1:12" x14ac:dyDescent="0.25">
      <c r="A3073" s="5" t="s">
        <v>3002</v>
      </c>
      <c r="B3073" s="5" t="s">
        <v>3001</v>
      </c>
      <c r="C3073" s="5" t="s">
        <v>15</v>
      </c>
      <c r="D3073" s="21">
        <v>1</v>
      </c>
      <c r="E3073" s="12">
        <v>99</v>
      </c>
      <c r="F3073" s="10" t="str">
        <f>_xlfn.XLOOKUP(C3073,menu!A:A,menu!B:B)</f>
        <v>Chicken Momos</v>
      </c>
      <c r="G3073" s="10" t="str">
        <f>_xlfn.XLOOKUP(C3073,menu!A:A,menu!C:C)</f>
        <v>Momos</v>
      </c>
      <c r="H3073" s="10">
        <f>_xlfn.XLOOKUP(C3073,menu!A:A,menu!E:E)</f>
        <v>30</v>
      </c>
      <c r="I3073" s="10">
        <f t="shared" si="47"/>
        <v>30</v>
      </c>
      <c r="K3073" s="10"/>
      <c r="L3073" s="5"/>
    </row>
    <row r="3074" spans="1:12" x14ac:dyDescent="0.25">
      <c r="A3074" s="5" t="s">
        <v>3000</v>
      </c>
      <c r="B3074" s="5" t="s">
        <v>2998</v>
      </c>
      <c r="C3074" s="5" t="s">
        <v>50</v>
      </c>
      <c r="D3074" s="21">
        <v>5</v>
      </c>
      <c r="E3074" s="12">
        <v>745</v>
      </c>
      <c r="F3074" s="10" t="str">
        <f>_xlfn.XLOOKUP(C3074,menu!A:A,menu!B:B)</f>
        <v>Grab Lollipop</v>
      </c>
      <c r="G3074" s="10" t="str">
        <f>_xlfn.XLOOKUP(C3074,menu!A:A,menu!C:C)</f>
        <v>Starters</v>
      </c>
      <c r="H3074" s="10">
        <f>_xlfn.XLOOKUP(C3074,menu!A:A,menu!E:E)</f>
        <v>45</v>
      </c>
      <c r="I3074" s="10">
        <f t="shared" si="47"/>
        <v>225</v>
      </c>
      <c r="K3074" s="10"/>
      <c r="L3074" s="5"/>
    </row>
    <row r="3075" spans="1:12" x14ac:dyDescent="0.25">
      <c r="A3075" s="5" t="s">
        <v>2999</v>
      </c>
      <c r="B3075" s="5" t="s">
        <v>2998</v>
      </c>
      <c r="C3075" s="5" t="s">
        <v>54</v>
      </c>
      <c r="D3075" s="21">
        <v>1</v>
      </c>
      <c r="E3075" s="12">
        <v>139</v>
      </c>
      <c r="F3075" s="10" t="str">
        <f>_xlfn.XLOOKUP(C3075,menu!A:A,menu!B:B)</f>
        <v>Chicken Strips</v>
      </c>
      <c r="G3075" s="10" t="str">
        <f>_xlfn.XLOOKUP(C3075,menu!A:A,menu!C:C)</f>
        <v>Starters</v>
      </c>
      <c r="H3075" s="10">
        <f>_xlfn.XLOOKUP(C3075,menu!A:A,menu!E:E)</f>
        <v>42</v>
      </c>
      <c r="I3075" s="10">
        <f t="shared" ref="I3075:I3138" si="48">D3075*H3075</f>
        <v>42</v>
      </c>
      <c r="K3075" s="10"/>
      <c r="L3075" s="5"/>
    </row>
    <row r="3076" spans="1:12" x14ac:dyDescent="0.25">
      <c r="A3076" s="5" t="s">
        <v>2997</v>
      </c>
      <c r="B3076" s="5" t="s">
        <v>2994</v>
      </c>
      <c r="C3076" s="5" t="s">
        <v>29</v>
      </c>
      <c r="D3076" s="21">
        <v>1</v>
      </c>
      <c r="E3076" s="12">
        <v>79</v>
      </c>
      <c r="F3076" s="10" t="str">
        <f>_xlfn.XLOOKUP(C3076,menu!A:A,menu!B:B)</f>
        <v>Paneer Roll</v>
      </c>
      <c r="G3076" s="10" t="str">
        <f>_xlfn.XLOOKUP(C3076,menu!A:A,menu!C:C)</f>
        <v>Rolls</v>
      </c>
      <c r="H3076" s="10">
        <f>_xlfn.XLOOKUP(C3076,menu!A:A,menu!E:E)</f>
        <v>24</v>
      </c>
      <c r="I3076" s="10">
        <f t="shared" si="48"/>
        <v>24</v>
      </c>
      <c r="K3076" s="10"/>
      <c r="L3076" s="5"/>
    </row>
    <row r="3077" spans="1:12" x14ac:dyDescent="0.25">
      <c r="A3077" s="5" t="s">
        <v>2996</v>
      </c>
      <c r="B3077" s="5" t="s">
        <v>2994</v>
      </c>
      <c r="C3077" s="5" t="s">
        <v>52</v>
      </c>
      <c r="D3077" s="21">
        <v>1</v>
      </c>
      <c r="E3077" s="12">
        <v>99</v>
      </c>
      <c r="F3077" s="10" t="str">
        <f>_xlfn.XLOOKUP(C3077,menu!A:A,menu!B:B)</f>
        <v>French Fries</v>
      </c>
      <c r="G3077" s="10" t="str">
        <f>_xlfn.XLOOKUP(C3077,menu!A:A,menu!C:C)</f>
        <v>Starters</v>
      </c>
      <c r="H3077" s="10">
        <f>_xlfn.XLOOKUP(C3077,menu!A:A,menu!E:E)</f>
        <v>30</v>
      </c>
      <c r="I3077" s="10">
        <f t="shared" si="48"/>
        <v>30</v>
      </c>
      <c r="K3077" s="10"/>
      <c r="L3077" s="5"/>
    </row>
    <row r="3078" spans="1:12" x14ac:dyDescent="0.25">
      <c r="A3078" s="5" t="s">
        <v>2995</v>
      </c>
      <c r="B3078" s="5" t="s">
        <v>2994</v>
      </c>
      <c r="C3078" s="5" t="s">
        <v>42</v>
      </c>
      <c r="D3078" s="21">
        <v>1</v>
      </c>
      <c r="E3078" s="12">
        <v>149</v>
      </c>
      <c r="F3078" s="10" t="str">
        <f>_xlfn.XLOOKUP(C3078,menu!A:A,menu!B:B)</f>
        <v>Chicken Popcorn</v>
      </c>
      <c r="G3078" s="10" t="str">
        <f>_xlfn.XLOOKUP(C3078,menu!A:A,menu!C:C)</f>
        <v>Starters</v>
      </c>
      <c r="H3078" s="10">
        <f>_xlfn.XLOOKUP(C3078,menu!A:A,menu!E:E)</f>
        <v>45</v>
      </c>
      <c r="I3078" s="10">
        <f t="shared" si="48"/>
        <v>45</v>
      </c>
      <c r="K3078" s="10"/>
      <c r="L3078" s="5"/>
    </row>
    <row r="3079" spans="1:12" x14ac:dyDescent="0.25">
      <c r="A3079" s="5" t="s">
        <v>2993</v>
      </c>
      <c r="B3079" s="5" t="s">
        <v>2992</v>
      </c>
      <c r="C3079" s="5" t="s">
        <v>15</v>
      </c>
      <c r="D3079" s="21">
        <v>2</v>
      </c>
      <c r="E3079" s="12">
        <v>198</v>
      </c>
      <c r="F3079" s="10" t="str">
        <f>_xlfn.XLOOKUP(C3079,menu!A:A,menu!B:B)</f>
        <v>Chicken Momos</v>
      </c>
      <c r="G3079" s="10" t="str">
        <f>_xlfn.XLOOKUP(C3079,menu!A:A,menu!C:C)</f>
        <v>Momos</v>
      </c>
      <c r="H3079" s="10">
        <f>_xlfn.XLOOKUP(C3079,menu!A:A,menu!E:E)</f>
        <v>30</v>
      </c>
      <c r="I3079" s="10">
        <f t="shared" si="48"/>
        <v>60</v>
      </c>
      <c r="K3079" s="10"/>
      <c r="L3079" s="5"/>
    </row>
    <row r="3080" spans="1:12" x14ac:dyDescent="0.25">
      <c r="A3080" s="5" t="s">
        <v>2991</v>
      </c>
      <c r="B3080" s="5" t="s">
        <v>2989</v>
      </c>
      <c r="C3080" s="5" t="s">
        <v>52</v>
      </c>
      <c r="D3080" s="21">
        <v>1</v>
      </c>
      <c r="E3080" s="12">
        <v>99</v>
      </c>
      <c r="F3080" s="10" t="str">
        <f>_xlfn.XLOOKUP(C3080,menu!A:A,menu!B:B)</f>
        <v>French Fries</v>
      </c>
      <c r="G3080" s="10" t="str">
        <f>_xlfn.XLOOKUP(C3080,menu!A:A,menu!C:C)</f>
        <v>Starters</v>
      </c>
      <c r="H3080" s="10">
        <f>_xlfn.XLOOKUP(C3080,menu!A:A,menu!E:E)</f>
        <v>30</v>
      </c>
      <c r="I3080" s="10">
        <f t="shared" si="48"/>
        <v>30</v>
      </c>
      <c r="K3080" s="10"/>
      <c r="L3080" s="5"/>
    </row>
    <row r="3081" spans="1:12" x14ac:dyDescent="0.25">
      <c r="A3081" s="5" t="s">
        <v>2990</v>
      </c>
      <c r="B3081" s="5" t="s">
        <v>2989</v>
      </c>
      <c r="C3081" s="5" t="s">
        <v>46</v>
      </c>
      <c r="D3081" s="21">
        <v>4</v>
      </c>
      <c r="E3081" s="12">
        <v>596</v>
      </c>
      <c r="F3081" s="10" t="str">
        <f>_xlfn.XLOOKUP(C3081,menu!A:A,menu!B:B)</f>
        <v>Fish Finger</v>
      </c>
      <c r="G3081" s="10" t="str">
        <f>_xlfn.XLOOKUP(C3081,menu!A:A,menu!C:C)</f>
        <v>Starters</v>
      </c>
      <c r="H3081" s="10">
        <f>_xlfn.XLOOKUP(C3081,menu!A:A,menu!E:E)</f>
        <v>45</v>
      </c>
      <c r="I3081" s="10">
        <f t="shared" si="48"/>
        <v>180</v>
      </c>
      <c r="K3081" s="10"/>
      <c r="L3081" s="5"/>
    </row>
    <row r="3082" spans="1:12" x14ac:dyDescent="0.25">
      <c r="A3082" s="5" t="s">
        <v>2988</v>
      </c>
      <c r="B3082" s="5" t="s">
        <v>2986</v>
      </c>
      <c r="C3082" s="5" t="s">
        <v>22</v>
      </c>
      <c r="D3082" s="21">
        <v>5</v>
      </c>
      <c r="E3082" s="12">
        <v>495</v>
      </c>
      <c r="F3082" s="10" t="str">
        <f>_xlfn.XLOOKUP(C3082,menu!A:A,menu!B:B)</f>
        <v>Chicken Burger</v>
      </c>
      <c r="G3082" s="10" t="str">
        <f>_xlfn.XLOOKUP(C3082,menu!A:A,menu!C:C)</f>
        <v>Burger</v>
      </c>
      <c r="H3082" s="10">
        <f>_xlfn.XLOOKUP(C3082,menu!A:A,menu!E:E)</f>
        <v>30</v>
      </c>
      <c r="I3082" s="10">
        <f t="shared" si="48"/>
        <v>150</v>
      </c>
      <c r="K3082" s="10"/>
      <c r="L3082" s="5"/>
    </row>
    <row r="3083" spans="1:12" x14ac:dyDescent="0.25">
      <c r="A3083" s="5" t="s">
        <v>2987</v>
      </c>
      <c r="B3083" s="5" t="s">
        <v>2986</v>
      </c>
      <c r="C3083" s="5" t="s">
        <v>65</v>
      </c>
      <c r="D3083" s="21">
        <v>1</v>
      </c>
      <c r="E3083" s="12">
        <v>49</v>
      </c>
      <c r="F3083" s="10" t="str">
        <f>_xlfn.XLOOKUP(C3083,menu!A:A,menu!B:B)</f>
        <v>Lemon Juice</v>
      </c>
      <c r="G3083" s="10" t="str">
        <f>_xlfn.XLOOKUP(C3083,menu!A:A,menu!C:C)</f>
        <v>Beverages</v>
      </c>
      <c r="H3083" s="10">
        <f>_xlfn.XLOOKUP(C3083,menu!A:A,menu!E:E)</f>
        <v>15</v>
      </c>
      <c r="I3083" s="10">
        <f t="shared" si="48"/>
        <v>15</v>
      </c>
      <c r="K3083" s="10"/>
      <c r="L3083" s="5"/>
    </row>
    <row r="3084" spans="1:12" x14ac:dyDescent="0.25">
      <c r="A3084" s="5" t="s">
        <v>2985</v>
      </c>
      <c r="B3084" s="5" t="s">
        <v>2983</v>
      </c>
      <c r="C3084" s="5" t="s">
        <v>38</v>
      </c>
      <c r="D3084" s="21">
        <v>1</v>
      </c>
      <c r="E3084" s="12">
        <v>149</v>
      </c>
      <c r="F3084" s="10" t="str">
        <f>_xlfn.XLOOKUP(C3084,menu!A:A,menu!B:B)</f>
        <v>Chicken Wings</v>
      </c>
      <c r="G3084" s="10" t="str">
        <f>_xlfn.XLOOKUP(C3084,menu!A:A,menu!C:C)</f>
        <v>Starters</v>
      </c>
      <c r="H3084" s="10">
        <f>_xlfn.XLOOKUP(C3084,menu!A:A,menu!E:E)</f>
        <v>45</v>
      </c>
      <c r="I3084" s="10">
        <f t="shared" si="48"/>
        <v>45</v>
      </c>
      <c r="K3084" s="10"/>
      <c r="L3084" s="5"/>
    </row>
    <row r="3085" spans="1:12" x14ac:dyDescent="0.25">
      <c r="A3085" s="5" t="s">
        <v>2984</v>
      </c>
      <c r="B3085" s="5" t="s">
        <v>2983</v>
      </c>
      <c r="C3085" s="5" t="s">
        <v>61</v>
      </c>
      <c r="D3085" s="21">
        <v>2</v>
      </c>
      <c r="E3085" s="12">
        <v>158</v>
      </c>
      <c r="F3085" s="10" t="str">
        <f>_xlfn.XLOOKUP(C3085,menu!A:A,menu!B:B)</f>
        <v>Watermelon Mojito</v>
      </c>
      <c r="G3085" s="10" t="str">
        <f>_xlfn.XLOOKUP(C3085,menu!A:A,menu!C:C)</f>
        <v>Beverages</v>
      </c>
      <c r="H3085" s="10">
        <f>_xlfn.XLOOKUP(C3085,menu!A:A,menu!E:E)</f>
        <v>24</v>
      </c>
      <c r="I3085" s="10">
        <f t="shared" si="48"/>
        <v>48</v>
      </c>
      <c r="K3085" s="10"/>
      <c r="L3085" s="5"/>
    </row>
    <row r="3086" spans="1:12" x14ac:dyDescent="0.25">
      <c r="A3086" s="5" t="s">
        <v>2982</v>
      </c>
      <c r="B3086" s="5" t="s">
        <v>2979</v>
      </c>
      <c r="C3086" s="5" t="s">
        <v>42</v>
      </c>
      <c r="D3086" s="21">
        <v>1</v>
      </c>
      <c r="E3086" s="12">
        <v>149</v>
      </c>
      <c r="F3086" s="10" t="str">
        <f>_xlfn.XLOOKUP(C3086,menu!A:A,menu!B:B)</f>
        <v>Chicken Popcorn</v>
      </c>
      <c r="G3086" s="10" t="str">
        <f>_xlfn.XLOOKUP(C3086,menu!A:A,menu!C:C)</f>
        <v>Starters</v>
      </c>
      <c r="H3086" s="10">
        <f>_xlfn.XLOOKUP(C3086,menu!A:A,menu!E:E)</f>
        <v>45</v>
      </c>
      <c r="I3086" s="10">
        <f t="shared" si="48"/>
        <v>45</v>
      </c>
      <c r="K3086" s="10"/>
      <c r="L3086" s="5"/>
    </row>
    <row r="3087" spans="1:12" x14ac:dyDescent="0.25">
      <c r="A3087" s="5" t="s">
        <v>2981</v>
      </c>
      <c r="B3087" s="5" t="s">
        <v>2979</v>
      </c>
      <c r="C3087" s="5" t="s">
        <v>8</v>
      </c>
      <c r="D3087" s="21">
        <v>3</v>
      </c>
      <c r="E3087" s="12">
        <v>297</v>
      </c>
      <c r="F3087" s="10" t="str">
        <f>_xlfn.XLOOKUP(C3087,menu!A:A,menu!B:B)</f>
        <v>Paneer Sandwich</v>
      </c>
      <c r="G3087" s="10" t="str">
        <f>_xlfn.XLOOKUP(C3087,menu!A:A,menu!C:C)</f>
        <v>Sandwich</v>
      </c>
      <c r="H3087" s="10">
        <f>_xlfn.XLOOKUP(C3087,menu!A:A,menu!E:E)</f>
        <v>30</v>
      </c>
      <c r="I3087" s="10">
        <f t="shared" si="48"/>
        <v>90</v>
      </c>
      <c r="K3087" s="10"/>
      <c r="L3087" s="5"/>
    </row>
    <row r="3088" spans="1:12" x14ac:dyDescent="0.25">
      <c r="A3088" s="5" t="s">
        <v>2980</v>
      </c>
      <c r="B3088" s="5" t="s">
        <v>2979</v>
      </c>
      <c r="C3088" s="5" t="s">
        <v>38</v>
      </c>
      <c r="D3088" s="21">
        <v>4</v>
      </c>
      <c r="E3088" s="12">
        <v>596</v>
      </c>
      <c r="F3088" s="10" t="str">
        <f>_xlfn.XLOOKUP(C3088,menu!A:A,menu!B:B)</f>
        <v>Chicken Wings</v>
      </c>
      <c r="G3088" s="10" t="str">
        <f>_xlfn.XLOOKUP(C3088,menu!A:A,menu!C:C)</f>
        <v>Starters</v>
      </c>
      <c r="H3088" s="10">
        <f>_xlfn.XLOOKUP(C3088,menu!A:A,menu!E:E)</f>
        <v>45</v>
      </c>
      <c r="I3088" s="10">
        <f t="shared" si="48"/>
        <v>180</v>
      </c>
      <c r="K3088" s="10"/>
      <c r="L3088" s="5"/>
    </row>
    <row r="3089" spans="1:12" x14ac:dyDescent="0.25">
      <c r="A3089" s="5" t="s">
        <v>2978</v>
      </c>
      <c r="B3089" s="5" t="s">
        <v>2976</v>
      </c>
      <c r="C3089" s="5" t="s">
        <v>50</v>
      </c>
      <c r="D3089" s="21">
        <v>3</v>
      </c>
      <c r="E3089" s="12">
        <v>447</v>
      </c>
      <c r="F3089" s="10" t="str">
        <f>_xlfn.XLOOKUP(C3089,menu!A:A,menu!B:B)</f>
        <v>Grab Lollipop</v>
      </c>
      <c r="G3089" s="10" t="str">
        <f>_xlfn.XLOOKUP(C3089,menu!A:A,menu!C:C)</f>
        <v>Starters</v>
      </c>
      <c r="H3089" s="10">
        <f>_xlfn.XLOOKUP(C3089,menu!A:A,menu!E:E)</f>
        <v>45</v>
      </c>
      <c r="I3089" s="10">
        <f t="shared" si="48"/>
        <v>135</v>
      </c>
      <c r="K3089" s="10"/>
      <c r="L3089" s="5"/>
    </row>
    <row r="3090" spans="1:12" x14ac:dyDescent="0.25">
      <c r="A3090" s="5" t="s">
        <v>2977</v>
      </c>
      <c r="B3090" s="5" t="s">
        <v>2976</v>
      </c>
      <c r="C3090" s="5" t="s">
        <v>54</v>
      </c>
      <c r="D3090" s="21">
        <v>1</v>
      </c>
      <c r="E3090" s="12">
        <v>139</v>
      </c>
      <c r="F3090" s="10" t="str">
        <f>_xlfn.XLOOKUP(C3090,menu!A:A,menu!B:B)</f>
        <v>Chicken Strips</v>
      </c>
      <c r="G3090" s="10" t="str">
        <f>_xlfn.XLOOKUP(C3090,menu!A:A,menu!C:C)</f>
        <v>Starters</v>
      </c>
      <c r="H3090" s="10">
        <f>_xlfn.XLOOKUP(C3090,menu!A:A,menu!E:E)</f>
        <v>42</v>
      </c>
      <c r="I3090" s="10">
        <f t="shared" si="48"/>
        <v>42</v>
      </c>
      <c r="K3090" s="10"/>
      <c r="L3090" s="5"/>
    </row>
    <row r="3091" spans="1:12" x14ac:dyDescent="0.25">
      <c r="A3091" s="5" t="s">
        <v>2975</v>
      </c>
      <c r="B3091" s="5" t="s">
        <v>2973</v>
      </c>
      <c r="C3091" s="5" t="s">
        <v>17</v>
      </c>
      <c r="D3091" s="21">
        <v>2</v>
      </c>
      <c r="E3091" s="12">
        <v>178</v>
      </c>
      <c r="F3091" s="10" t="str">
        <f>_xlfn.XLOOKUP(C3091,menu!A:A,menu!B:B)</f>
        <v>Paneer Momos</v>
      </c>
      <c r="G3091" s="10" t="str">
        <f>_xlfn.XLOOKUP(C3091,menu!A:A,menu!C:C)</f>
        <v>Momos</v>
      </c>
      <c r="H3091" s="10">
        <f>_xlfn.XLOOKUP(C3091,menu!A:A,menu!E:E)</f>
        <v>27</v>
      </c>
      <c r="I3091" s="10">
        <f t="shared" si="48"/>
        <v>54</v>
      </c>
      <c r="K3091" s="10"/>
      <c r="L3091" s="5"/>
    </row>
    <row r="3092" spans="1:12" x14ac:dyDescent="0.25">
      <c r="A3092" s="5" t="s">
        <v>2974</v>
      </c>
      <c r="B3092" s="5" t="s">
        <v>2973</v>
      </c>
      <c r="C3092" s="5" t="s">
        <v>22</v>
      </c>
      <c r="D3092" s="21">
        <v>1</v>
      </c>
      <c r="E3092" s="12">
        <v>99</v>
      </c>
      <c r="F3092" s="10" t="str">
        <f>_xlfn.XLOOKUP(C3092,menu!A:A,menu!B:B)</f>
        <v>Chicken Burger</v>
      </c>
      <c r="G3092" s="10" t="str">
        <f>_xlfn.XLOOKUP(C3092,menu!A:A,menu!C:C)</f>
        <v>Burger</v>
      </c>
      <c r="H3092" s="10">
        <f>_xlfn.XLOOKUP(C3092,menu!A:A,menu!E:E)</f>
        <v>30</v>
      </c>
      <c r="I3092" s="10">
        <f t="shared" si="48"/>
        <v>30</v>
      </c>
      <c r="K3092" s="10"/>
      <c r="L3092" s="5"/>
    </row>
    <row r="3093" spans="1:12" x14ac:dyDescent="0.25">
      <c r="A3093" s="5" t="s">
        <v>2972</v>
      </c>
      <c r="B3093" s="5" t="s">
        <v>2970</v>
      </c>
      <c r="C3093" s="5" t="s">
        <v>42</v>
      </c>
      <c r="D3093" s="21">
        <v>3</v>
      </c>
      <c r="E3093" s="12">
        <v>447</v>
      </c>
      <c r="F3093" s="10" t="str">
        <f>_xlfn.XLOOKUP(C3093,menu!A:A,menu!B:B)</f>
        <v>Chicken Popcorn</v>
      </c>
      <c r="G3093" s="10" t="str">
        <f>_xlfn.XLOOKUP(C3093,menu!A:A,menu!C:C)</f>
        <v>Starters</v>
      </c>
      <c r="H3093" s="10">
        <f>_xlfn.XLOOKUP(C3093,menu!A:A,menu!E:E)</f>
        <v>45</v>
      </c>
      <c r="I3093" s="10">
        <f t="shared" si="48"/>
        <v>135</v>
      </c>
      <c r="K3093" s="10"/>
      <c r="L3093" s="5"/>
    </row>
    <row r="3094" spans="1:12" x14ac:dyDescent="0.25">
      <c r="A3094" s="5" t="s">
        <v>2971</v>
      </c>
      <c r="B3094" s="5" t="s">
        <v>2970</v>
      </c>
      <c r="C3094" s="5" t="s">
        <v>61</v>
      </c>
      <c r="D3094" s="21">
        <v>4</v>
      </c>
      <c r="E3094" s="12">
        <v>316</v>
      </c>
      <c r="F3094" s="10" t="str">
        <f>_xlfn.XLOOKUP(C3094,menu!A:A,menu!B:B)</f>
        <v>Watermelon Mojito</v>
      </c>
      <c r="G3094" s="10" t="str">
        <f>_xlfn.XLOOKUP(C3094,menu!A:A,menu!C:C)</f>
        <v>Beverages</v>
      </c>
      <c r="H3094" s="10">
        <f>_xlfn.XLOOKUP(C3094,menu!A:A,menu!E:E)</f>
        <v>24</v>
      </c>
      <c r="I3094" s="10">
        <f t="shared" si="48"/>
        <v>96</v>
      </c>
      <c r="K3094" s="10"/>
      <c r="L3094" s="5"/>
    </row>
    <row r="3095" spans="1:12" x14ac:dyDescent="0.25">
      <c r="A3095" s="5" t="s">
        <v>2969</v>
      </c>
      <c r="B3095" s="5" t="s">
        <v>2967</v>
      </c>
      <c r="C3095" s="5" t="s">
        <v>35</v>
      </c>
      <c r="D3095" s="21">
        <v>1</v>
      </c>
      <c r="E3095" s="12">
        <v>119</v>
      </c>
      <c r="F3095" s="10" t="str">
        <f>_xlfn.XLOOKUP(C3095,menu!A:A,menu!B:B)</f>
        <v>Chicken Nuggets</v>
      </c>
      <c r="G3095" s="10" t="str">
        <f>_xlfn.XLOOKUP(C3095,menu!A:A,menu!C:C)</f>
        <v>Starters</v>
      </c>
      <c r="H3095" s="10">
        <f>_xlfn.XLOOKUP(C3095,menu!A:A,menu!E:E)</f>
        <v>36</v>
      </c>
      <c r="I3095" s="10">
        <f t="shared" si="48"/>
        <v>36</v>
      </c>
      <c r="K3095" s="10"/>
      <c r="L3095" s="5"/>
    </row>
    <row r="3096" spans="1:12" x14ac:dyDescent="0.25">
      <c r="A3096" s="5" t="s">
        <v>2968</v>
      </c>
      <c r="B3096" s="5" t="s">
        <v>2967</v>
      </c>
      <c r="C3096" s="5" t="s">
        <v>24</v>
      </c>
      <c r="D3096" s="21">
        <v>1</v>
      </c>
      <c r="E3096" s="12">
        <v>89</v>
      </c>
      <c r="F3096" s="10" t="str">
        <f>_xlfn.XLOOKUP(C3096,menu!A:A,menu!B:B)</f>
        <v>Paneer Burger</v>
      </c>
      <c r="G3096" s="10" t="str">
        <f>_xlfn.XLOOKUP(C3096,menu!A:A,menu!C:C)</f>
        <v>Burger</v>
      </c>
      <c r="H3096" s="10">
        <f>_xlfn.XLOOKUP(C3096,menu!A:A,menu!E:E)</f>
        <v>27</v>
      </c>
      <c r="I3096" s="10">
        <f t="shared" si="48"/>
        <v>27</v>
      </c>
      <c r="K3096" s="10"/>
      <c r="L3096" s="5"/>
    </row>
    <row r="3097" spans="1:12" x14ac:dyDescent="0.25">
      <c r="A3097" s="5" t="s">
        <v>2966</v>
      </c>
      <c r="B3097" s="5" t="s">
        <v>2964</v>
      </c>
      <c r="C3097" s="5" t="s">
        <v>12</v>
      </c>
      <c r="D3097" s="21">
        <v>1</v>
      </c>
      <c r="E3097" s="12">
        <v>79</v>
      </c>
      <c r="F3097" s="10" t="str">
        <f>_xlfn.XLOOKUP(C3097,menu!A:A,menu!B:B)</f>
        <v>Veg Momos</v>
      </c>
      <c r="G3097" s="10" t="str">
        <f>_xlfn.XLOOKUP(C3097,menu!A:A,menu!C:C)</f>
        <v>Momos</v>
      </c>
      <c r="H3097" s="10">
        <f>_xlfn.XLOOKUP(C3097,menu!A:A,menu!E:E)</f>
        <v>24</v>
      </c>
      <c r="I3097" s="10">
        <f t="shared" si="48"/>
        <v>24</v>
      </c>
      <c r="K3097" s="10"/>
      <c r="L3097" s="5"/>
    </row>
    <row r="3098" spans="1:12" x14ac:dyDescent="0.25">
      <c r="A3098" s="5" t="s">
        <v>2965</v>
      </c>
      <c r="B3098" s="5" t="s">
        <v>2964</v>
      </c>
      <c r="C3098" s="5" t="s">
        <v>15</v>
      </c>
      <c r="D3098" s="21">
        <v>1</v>
      </c>
      <c r="E3098" s="12">
        <v>99</v>
      </c>
      <c r="F3098" s="10" t="str">
        <f>_xlfn.XLOOKUP(C3098,menu!A:A,menu!B:B)</f>
        <v>Chicken Momos</v>
      </c>
      <c r="G3098" s="10" t="str">
        <f>_xlfn.XLOOKUP(C3098,menu!A:A,menu!C:C)</f>
        <v>Momos</v>
      </c>
      <c r="H3098" s="10">
        <f>_xlfn.XLOOKUP(C3098,menu!A:A,menu!E:E)</f>
        <v>30</v>
      </c>
      <c r="I3098" s="10">
        <f t="shared" si="48"/>
        <v>30</v>
      </c>
      <c r="K3098" s="10"/>
      <c r="L3098" s="5"/>
    </row>
    <row r="3099" spans="1:12" x14ac:dyDescent="0.25">
      <c r="A3099" s="5" t="s">
        <v>2963</v>
      </c>
      <c r="B3099" s="5" t="s">
        <v>2962</v>
      </c>
      <c r="C3099" s="5" t="s">
        <v>44</v>
      </c>
      <c r="D3099" s="21">
        <v>2</v>
      </c>
      <c r="E3099" s="12">
        <v>318</v>
      </c>
      <c r="F3099" s="10" t="str">
        <f>_xlfn.XLOOKUP(C3099,menu!A:A,menu!B:B)</f>
        <v>Fried Chicken</v>
      </c>
      <c r="G3099" s="10" t="str">
        <f>_xlfn.XLOOKUP(C3099,menu!A:A,menu!C:C)</f>
        <v>Starters</v>
      </c>
      <c r="H3099" s="10">
        <f>_xlfn.XLOOKUP(C3099,menu!A:A,menu!E:E)</f>
        <v>48</v>
      </c>
      <c r="I3099" s="10">
        <f t="shared" si="48"/>
        <v>96</v>
      </c>
      <c r="K3099" s="10"/>
      <c r="L3099" s="5"/>
    </row>
    <row r="3100" spans="1:12" x14ac:dyDescent="0.25">
      <c r="A3100" s="5" t="s">
        <v>2961</v>
      </c>
      <c r="B3100" s="5" t="s">
        <v>2958</v>
      </c>
      <c r="C3100" s="5" t="s">
        <v>29</v>
      </c>
      <c r="D3100" s="21">
        <v>3</v>
      </c>
      <c r="E3100" s="12">
        <v>237</v>
      </c>
      <c r="F3100" s="10" t="str">
        <f>_xlfn.XLOOKUP(C3100,menu!A:A,menu!B:B)</f>
        <v>Paneer Roll</v>
      </c>
      <c r="G3100" s="10" t="str">
        <f>_xlfn.XLOOKUP(C3100,menu!A:A,menu!C:C)</f>
        <v>Rolls</v>
      </c>
      <c r="H3100" s="10">
        <f>_xlfn.XLOOKUP(C3100,menu!A:A,menu!E:E)</f>
        <v>24</v>
      </c>
      <c r="I3100" s="10">
        <f t="shared" si="48"/>
        <v>72</v>
      </c>
      <c r="K3100" s="10"/>
      <c r="L3100" s="5"/>
    </row>
    <row r="3101" spans="1:12" x14ac:dyDescent="0.25">
      <c r="A3101" s="5" t="s">
        <v>2960</v>
      </c>
      <c r="B3101" s="5" t="s">
        <v>2958</v>
      </c>
      <c r="C3101" s="5" t="s">
        <v>50</v>
      </c>
      <c r="D3101" s="21">
        <v>2</v>
      </c>
      <c r="E3101" s="12">
        <v>298</v>
      </c>
      <c r="F3101" s="10" t="str">
        <f>_xlfn.XLOOKUP(C3101,menu!A:A,menu!B:B)</f>
        <v>Grab Lollipop</v>
      </c>
      <c r="G3101" s="10" t="str">
        <f>_xlfn.XLOOKUP(C3101,menu!A:A,menu!C:C)</f>
        <v>Starters</v>
      </c>
      <c r="H3101" s="10">
        <f>_xlfn.XLOOKUP(C3101,menu!A:A,menu!E:E)</f>
        <v>45</v>
      </c>
      <c r="I3101" s="10">
        <f t="shared" si="48"/>
        <v>90</v>
      </c>
      <c r="K3101" s="10"/>
      <c r="L3101" s="5"/>
    </row>
    <row r="3102" spans="1:12" x14ac:dyDescent="0.25">
      <c r="A3102" s="5" t="s">
        <v>2959</v>
      </c>
      <c r="B3102" s="5" t="s">
        <v>2958</v>
      </c>
      <c r="C3102" s="5" t="s">
        <v>15</v>
      </c>
      <c r="D3102" s="21">
        <v>1</v>
      </c>
      <c r="E3102" s="12">
        <v>99</v>
      </c>
      <c r="F3102" s="10" t="str">
        <f>_xlfn.XLOOKUP(C3102,menu!A:A,menu!B:B)</f>
        <v>Chicken Momos</v>
      </c>
      <c r="G3102" s="10" t="str">
        <f>_xlfn.XLOOKUP(C3102,menu!A:A,menu!C:C)</f>
        <v>Momos</v>
      </c>
      <c r="H3102" s="10">
        <f>_xlfn.XLOOKUP(C3102,menu!A:A,menu!E:E)</f>
        <v>30</v>
      </c>
      <c r="I3102" s="10">
        <f t="shared" si="48"/>
        <v>30</v>
      </c>
      <c r="K3102" s="10"/>
      <c r="L3102" s="5"/>
    </row>
    <row r="3103" spans="1:12" x14ac:dyDescent="0.25">
      <c r="A3103" s="5" t="s">
        <v>2957</v>
      </c>
      <c r="B3103" s="5" t="s">
        <v>2953</v>
      </c>
      <c r="C3103" s="5" t="s">
        <v>5</v>
      </c>
      <c r="D3103" s="21">
        <v>1</v>
      </c>
      <c r="E3103" s="12">
        <v>79</v>
      </c>
      <c r="F3103" s="10" t="str">
        <f>_xlfn.XLOOKUP(C3103,menu!A:A,menu!B:B)</f>
        <v>Veg Sandwich</v>
      </c>
      <c r="G3103" s="10" t="str">
        <f>_xlfn.XLOOKUP(C3103,menu!A:A,menu!C:C)</f>
        <v>Sandwich</v>
      </c>
      <c r="H3103" s="10">
        <f>_xlfn.XLOOKUP(C3103,menu!A:A,menu!E:E)</f>
        <v>24</v>
      </c>
      <c r="I3103" s="10">
        <f t="shared" si="48"/>
        <v>24</v>
      </c>
      <c r="K3103" s="10"/>
      <c r="L3103" s="5"/>
    </row>
    <row r="3104" spans="1:12" x14ac:dyDescent="0.25">
      <c r="A3104" s="5" t="s">
        <v>2956</v>
      </c>
      <c r="B3104" s="5" t="s">
        <v>2953</v>
      </c>
      <c r="C3104" s="5" t="s">
        <v>15</v>
      </c>
      <c r="D3104" s="21">
        <v>1</v>
      </c>
      <c r="E3104" s="12">
        <v>99</v>
      </c>
      <c r="F3104" s="10" t="str">
        <f>_xlfn.XLOOKUP(C3104,menu!A:A,menu!B:B)</f>
        <v>Chicken Momos</v>
      </c>
      <c r="G3104" s="10" t="str">
        <f>_xlfn.XLOOKUP(C3104,menu!A:A,menu!C:C)</f>
        <v>Momos</v>
      </c>
      <c r="H3104" s="10">
        <f>_xlfn.XLOOKUP(C3104,menu!A:A,menu!E:E)</f>
        <v>30</v>
      </c>
      <c r="I3104" s="10">
        <f t="shared" si="48"/>
        <v>30</v>
      </c>
      <c r="K3104" s="10"/>
      <c r="L3104" s="5"/>
    </row>
    <row r="3105" spans="1:12" x14ac:dyDescent="0.25">
      <c r="A3105" s="5" t="s">
        <v>2955</v>
      </c>
      <c r="B3105" s="5" t="s">
        <v>2953</v>
      </c>
      <c r="C3105" s="5" t="s">
        <v>40</v>
      </c>
      <c r="D3105" s="21">
        <v>4</v>
      </c>
      <c r="E3105" s="12">
        <v>396</v>
      </c>
      <c r="F3105" s="10" t="str">
        <f>_xlfn.XLOOKUP(C3105,menu!A:A,menu!B:B)</f>
        <v>Veg Nuggets</v>
      </c>
      <c r="G3105" s="10" t="str">
        <f>_xlfn.XLOOKUP(C3105,menu!A:A,menu!C:C)</f>
        <v>Starters</v>
      </c>
      <c r="H3105" s="10">
        <f>_xlfn.XLOOKUP(C3105,menu!A:A,menu!E:E)</f>
        <v>30</v>
      </c>
      <c r="I3105" s="10">
        <f t="shared" si="48"/>
        <v>120</v>
      </c>
      <c r="K3105" s="10"/>
      <c r="L3105" s="5"/>
    </row>
    <row r="3106" spans="1:12" x14ac:dyDescent="0.25">
      <c r="A3106" s="5" t="s">
        <v>2954</v>
      </c>
      <c r="B3106" s="5" t="s">
        <v>2953</v>
      </c>
      <c r="C3106" s="5" t="s">
        <v>48</v>
      </c>
      <c r="D3106" s="21">
        <v>1</v>
      </c>
      <c r="E3106" s="12">
        <v>159</v>
      </c>
      <c r="F3106" s="10" t="str">
        <f>_xlfn.XLOOKUP(C3106,menu!A:A,menu!B:B)</f>
        <v>Chicken Lollipop</v>
      </c>
      <c r="G3106" s="10" t="str">
        <f>_xlfn.XLOOKUP(C3106,menu!A:A,menu!C:C)</f>
        <v>Starters</v>
      </c>
      <c r="H3106" s="10">
        <f>_xlfn.XLOOKUP(C3106,menu!A:A,menu!E:E)</f>
        <v>48</v>
      </c>
      <c r="I3106" s="10">
        <f t="shared" si="48"/>
        <v>48</v>
      </c>
      <c r="K3106" s="10"/>
      <c r="L3106" s="5"/>
    </row>
    <row r="3107" spans="1:12" x14ac:dyDescent="0.25">
      <c r="A3107" s="5" t="s">
        <v>2952</v>
      </c>
      <c r="B3107" s="5" t="s">
        <v>2951</v>
      </c>
      <c r="C3107" s="5" t="s">
        <v>54</v>
      </c>
      <c r="D3107" s="21">
        <v>2</v>
      </c>
      <c r="E3107" s="12">
        <v>278</v>
      </c>
      <c r="F3107" s="10" t="str">
        <f>_xlfn.XLOOKUP(C3107,menu!A:A,menu!B:B)</f>
        <v>Chicken Strips</v>
      </c>
      <c r="G3107" s="10" t="str">
        <f>_xlfn.XLOOKUP(C3107,menu!A:A,menu!C:C)</f>
        <v>Starters</v>
      </c>
      <c r="H3107" s="10">
        <f>_xlfn.XLOOKUP(C3107,menu!A:A,menu!E:E)</f>
        <v>42</v>
      </c>
      <c r="I3107" s="10">
        <f t="shared" si="48"/>
        <v>84</v>
      </c>
      <c r="K3107" s="10"/>
      <c r="L3107" s="5"/>
    </row>
    <row r="3108" spans="1:12" x14ac:dyDescent="0.25">
      <c r="A3108" s="5" t="s">
        <v>2950</v>
      </c>
      <c r="B3108" s="5" t="s">
        <v>2948</v>
      </c>
      <c r="C3108" s="5" t="s">
        <v>35</v>
      </c>
      <c r="D3108" s="21">
        <v>1</v>
      </c>
      <c r="E3108" s="12">
        <v>119</v>
      </c>
      <c r="F3108" s="10" t="str">
        <f>_xlfn.XLOOKUP(C3108,menu!A:A,menu!B:B)</f>
        <v>Chicken Nuggets</v>
      </c>
      <c r="G3108" s="10" t="str">
        <f>_xlfn.XLOOKUP(C3108,menu!A:A,menu!C:C)</f>
        <v>Starters</v>
      </c>
      <c r="H3108" s="10">
        <f>_xlfn.XLOOKUP(C3108,menu!A:A,menu!E:E)</f>
        <v>36</v>
      </c>
      <c r="I3108" s="10">
        <f t="shared" si="48"/>
        <v>36</v>
      </c>
      <c r="K3108" s="10"/>
      <c r="L3108" s="5"/>
    </row>
    <row r="3109" spans="1:12" x14ac:dyDescent="0.25">
      <c r="A3109" s="5" t="s">
        <v>2949</v>
      </c>
      <c r="B3109" s="5" t="s">
        <v>2948</v>
      </c>
      <c r="C3109" s="5" t="s">
        <v>46</v>
      </c>
      <c r="D3109" s="21">
        <v>2</v>
      </c>
      <c r="E3109" s="12">
        <v>298</v>
      </c>
      <c r="F3109" s="10" t="str">
        <f>_xlfn.XLOOKUP(C3109,menu!A:A,menu!B:B)</f>
        <v>Fish Finger</v>
      </c>
      <c r="G3109" s="10" t="str">
        <f>_xlfn.XLOOKUP(C3109,menu!A:A,menu!C:C)</f>
        <v>Starters</v>
      </c>
      <c r="H3109" s="10">
        <f>_xlfn.XLOOKUP(C3109,menu!A:A,menu!E:E)</f>
        <v>45</v>
      </c>
      <c r="I3109" s="10">
        <f t="shared" si="48"/>
        <v>90</v>
      </c>
      <c r="K3109" s="10"/>
      <c r="L3109" s="5"/>
    </row>
    <row r="3110" spans="1:12" x14ac:dyDescent="0.25">
      <c r="A3110" s="5" t="s">
        <v>2947</v>
      </c>
      <c r="B3110" s="5" t="s">
        <v>2944</v>
      </c>
      <c r="C3110" s="5" t="s">
        <v>19</v>
      </c>
      <c r="D3110" s="21">
        <v>1</v>
      </c>
      <c r="E3110" s="12">
        <v>79</v>
      </c>
      <c r="F3110" s="10" t="str">
        <f>_xlfn.XLOOKUP(C3110,menu!A:A,menu!B:B)</f>
        <v>Veg Burger</v>
      </c>
      <c r="G3110" s="10" t="str">
        <f>_xlfn.XLOOKUP(C3110,menu!A:A,menu!C:C)</f>
        <v>Burger</v>
      </c>
      <c r="H3110" s="10">
        <f>_xlfn.XLOOKUP(C3110,menu!A:A,menu!E:E)</f>
        <v>24</v>
      </c>
      <c r="I3110" s="10">
        <f t="shared" si="48"/>
        <v>24</v>
      </c>
      <c r="K3110" s="10"/>
      <c r="L3110" s="5"/>
    </row>
    <row r="3111" spans="1:12" x14ac:dyDescent="0.25">
      <c r="A3111" s="5" t="s">
        <v>2946</v>
      </c>
      <c r="B3111" s="5" t="s">
        <v>2944</v>
      </c>
      <c r="C3111" s="5" t="s">
        <v>56</v>
      </c>
      <c r="D3111" s="21">
        <v>1</v>
      </c>
      <c r="E3111" s="12">
        <v>79</v>
      </c>
      <c r="F3111" s="10" t="str">
        <f>_xlfn.XLOOKUP(C3111,menu!A:A,menu!B:B)</f>
        <v>Mint Mojito</v>
      </c>
      <c r="G3111" s="10" t="str">
        <f>_xlfn.XLOOKUP(C3111,menu!A:A,menu!C:C)</f>
        <v>Beverages</v>
      </c>
      <c r="H3111" s="10">
        <f>_xlfn.XLOOKUP(C3111,menu!A:A,menu!E:E)</f>
        <v>24</v>
      </c>
      <c r="I3111" s="10">
        <f t="shared" si="48"/>
        <v>24</v>
      </c>
      <c r="K3111" s="10"/>
      <c r="L3111" s="5"/>
    </row>
    <row r="3112" spans="1:12" x14ac:dyDescent="0.25">
      <c r="A3112" s="5" t="s">
        <v>2945</v>
      </c>
      <c r="B3112" s="5" t="s">
        <v>2944</v>
      </c>
      <c r="C3112" s="5" t="s">
        <v>50</v>
      </c>
      <c r="D3112" s="21">
        <v>2</v>
      </c>
      <c r="E3112" s="12">
        <v>298</v>
      </c>
      <c r="F3112" s="10" t="str">
        <f>_xlfn.XLOOKUP(C3112,menu!A:A,menu!B:B)</f>
        <v>Grab Lollipop</v>
      </c>
      <c r="G3112" s="10" t="str">
        <f>_xlfn.XLOOKUP(C3112,menu!A:A,menu!C:C)</f>
        <v>Starters</v>
      </c>
      <c r="H3112" s="10">
        <f>_xlfn.XLOOKUP(C3112,menu!A:A,menu!E:E)</f>
        <v>45</v>
      </c>
      <c r="I3112" s="10">
        <f t="shared" si="48"/>
        <v>90</v>
      </c>
      <c r="K3112" s="10"/>
      <c r="L3112" s="5"/>
    </row>
    <row r="3113" spans="1:12" x14ac:dyDescent="0.25">
      <c r="A3113" s="5" t="s">
        <v>2943</v>
      </c>
      <c r="B3113" s="5" t="s">
        <v>2942</v>
      </c>
      <c r="C3113" s="5" t="s">
        <v>38</v>
      </c>
      <c r="D3113" s="21">
        <v>1</v>
      </c>
      <c r="E3113" s="12">
        <v>149</v>
      </c>
      <c r="F3113" s="10" t="str">
        <f>_xlfn.XLOOKUP(C3113,menu!A:A,menu!B:B)</f>
        <v>Chicken Wings</v>
      </c>
      <c r="G3113" s="10" t="str">
        <f>_xlfn.XLOOKUP(C3113,menu!A:A,menu!C:C)</f>
        <v>Starters</v>
      </c>
      <c r="H3113" s="10">
        <f>_xlfn.XLOOKUP(C3113,menu!A:A,menu!E:E)</f>
        <v>45</v>
      </c>
      <c r="I3113" s="10">
        <f t="shared" si="48"/>
        <v>45</v>
      </c>
      <c r="K3113" s="10"/>
      <c r="L3113" s="5"/>
    </row>
    <row r="3114" spans="1:12" x14ac:dyDescent="0.25">
      <c r="A3114" s="5" t="s">
        <v>2941</v>
      </c>
      <c r="B3114" s="5" t="s">
        <v>2939</v>
      </c>
      <c r="C3114" s="5" t="s">
        <v>17</v>
      </c>
      <c r="D3114" s="21">
        <v>3</v>
      </c>
      <c r="E3114" s="12">
        <v>267</v>
      </c>
      <c r="F3114" s="10" t="str">
        <f>_xlfn.XLOOKUP(C3114,menu!A:A,menu!B:B)</f>
        <v>Paneer Momos</v>
      </c>
      <c r="G3114" s="10" t="str">
        <f>_xlfn.XLOOKUP(C3114,menu!A:A,menu!C:C)</f>
        <v>Momos</v>
      </c>
      <c r="H3114" s="10">
        <f>_xlfn.XLOOKUP(C3114,menu!A:A,menu!E:E)</f>
        <v>27</v>
      </c>
      <c r="I3114" s="10">
        <f t="shared" si="48"/>
        <v>81</v>
      </c>
      <c r="K3114" s="10"/>
      <c r="L3114" s="5"/>
    </row>
    <row r="3115" spans="1:12" x14ac:dyDescent="0.25">
      <c r="A3115" s="5" t="s">
        <v>2940</v>
      </c>
      <c r="B3115" s="5" t="s">
        <v>2939</v>
      </c>
      <c r="C3115" s="5" t="s">
        <v>12</v>
      </c>
      <c r="D3115" s="21">
        <v>2</v>
      </c>
      <c r="E3115" s="12">
        <v>158</v>
      </c>
      <c r="F3115" s="10" t="str">
        <f>_xlfn.XLOOKUP(C3115,menu!A:A,menu!B:B)</f>
        <v>Veg Momos</v>
      </c>
      <c r="G3115" s="10" t="str">
        <f>_xlfn.XLOOKUP(C3115,menu!A:A,menu!C:C)</f>
        <v>Momos</v>
      </c>
      <c r="H3115" s="10">
        <f>_xlfn.XLOOKUP(C3115,menu!A:A,menu!E:E)</f>
        <v>24</v>
      </c>
      <c r="I3115" s="10">
        <f t="shared" si="48"/>
        <v>48</v>
      </c>
      <c r="K3115" s="10"/>
      <c r="L3115" s="5"/>
    </row>
    <row r="3116" spans="1:12" x14ac:dyDescent="0.25">
      <c r="A3116" s="5" t="s">
        <v>2938</v>
      </c>
      <c r="B3116" s="5" t="s">
        <v>2936</v>
      </c>
      <c r="C3116" s="5" t="s">
        <v>50</v>
      </c>
      <c r="D3116" s="21">
        <v>3</v>
      </c>
      <c r="E3116" s="12">
        <v>447</v>
      </c>
      <c r="F3116" s="10" t="str">
        <f>_xlfn.XLOOKUP(C3116,menu!A:A,menu!B:B)</f>
        <v>Grab Lollipop</v>
      </c>
      <c r="G3116" s="10" t="str">
        <f>_xlfn.XLOOKUP(C3116,menu!A:A,menu!C:C)</f>
        <v>Starters</v>
      </c>
      <c r="H3116" s="10">
        <f>_xlfn.XLOOKUP(C3116,menu!A:A,menu!E:E)</f>
        <v>45</v>
      </c>
      <c r="I3116" s="10">
        <f t="shared" si="48"/>
        <v>135</v>
      </c>
      <c r="K3116" s="10"/>
      <c r="L3116" s="5"/>
    </row>
    <row r="3117" spans="1:12" x14ac:dyDescent="0.25">
      <c r="A3117" s="5" t="s">
        <v>2937</v>
      </c>
      <c r="B3117" s="5" t="s">
        <v>2936</v>
      </c>
      <c r="C3117" s="5" t="s">
        <v>59</v>
      </c>
      <c r="D3117" s="21">
        <v>3</v>
      </c>
      <c r="E3117" s="12">
        <v>237</v>
      </c>
      <c r="F3117" s="10" t="str">
        <f>_xlfn.XLOOKUP(C3117,menu!A:A,menu!B:B)</f>
        <v>Blue Curacao Mojito</v>
      </c>
      <c r="G3117" s="10" t="str">
        <f>_xlfn.XLOOKUP(C3117,menu!A:A,menu!C:C)</f>
        <v>Beverages</v>
      </c>
      <c r="H3117" s="10">
        <f>_xlfn.XLOOKUP(C3117,menu!A:A,menu!E:E)</f>
        <v>24</v>
      </c>
      <c r="I3117" s="10">
        <f t="shared" si="48"/>
        <v>72</v>
      </c>
      <c r="K3117" s="10"/>
      <c r="L3117" s="5"/>
    </row>
    <row r="3118" spans="1:12" x14ac:dyDescent="0.25">
      <c r="A3118" s="5" t="s">
        <v>2935</v>
      </c>
      <c r="B3118" s="5" t="s">
        <v>2933</v>
      </c>
      <c r="C3118" s="5" t="s">
        <v>8</v>
      </c>
      <c r="D3118" s="21">
        <v>3</v>
      </c>
      <c r="E3118" s="12">
        <v>297</v>
      </c>
      <c r="F3118" s="10" t="str">
        <f>_xlfn.XLOOKUP(C3118,menu!A:A,menu!B:B)</f>
        <v>Paneer Sandwich</v>
      </c>
      <c r="G3118" s="10" t="str">
        <f>_xlfn.XLOOKUP(C3118,menu!A:A,menu!C:C)</f>
        <v>Sandwich</v>
      </c>
      <c r="H3118" s="10">
        <f>_xlfn.XLOOKUP(C3118,menu!A:A,menu!E:E)</f>
        <v>30</v>
      </c>
      <c r="I3118" s="10">
        <f t="shared" si="48"/>
        <v>90</v>
      </c>
      <c r="K3118" s="10"/>
      <c r="L3118" s="5"/>
    </row>
    <row r="3119" spans="1:12" x14ac:dyDescent="0.25">
      <c r="A3119" s="5" t="s">
        <v>2934</v>
      </c>
      <c r="B3119" s="5" t="s">
        <v>2933</v>
      </c>
      <c r="C3119" s="5" t="s">
        <v>65</v>
      </c>
      <c r="D3119" s="21">
        <v>3</v>
      </c>
      <c r="E3119" s="12">
        <v>147</v>
      </c>
      <c r="F3119" s="10" t="str">
        <f>_xlfn.XLOOKUP(C3119,menu!A:A,menu!B:B)</f>
        <v>Lemon Juice</v>
      </c>
      <c r="G3119" s="10" t="str">
        <f>_xlfn.XLOOKUP(C3119,menu!A:A,menu!C:C)</f>
        <v>Beverages</v>
      </c>
      <c r="H3119" s="10">
        <f>_xlfn.XLOOKUP(C3119,menu!A:A,menu!E:E)</f>
        <v>15</v>
      </c>
      <c r="I3119" s="10">
        <f t="shared" si="48"/>
        <v>45</v>
      </c>
      <c r="K3119" s="10"/>
      <c r="L3119" s="5"/>
    </row>
    <row r="3120" spans="1:12" x14ac:dyDescent="0.25">
      <c r="A3120" s="5" t="s">
        <v>2932</v>
      </c>
      <c r="B3120" s="5" t="s">
        <v>2930</v>
      </c>
      <c r="C3120" s="5" t="s">
        <v>17</v>
      </c>
      <c r="D3120" s="21">
        <v>1</v>
      </c>
      <c r="E3120" s="12">
        <v>89</v>
      </c>
      <c r="F3120" s="10" t="str">
        <f>_xlfn.XLOOKUP(C3120,menu!A:A,menu!B:B)</f>
        <v>Paneer Momos</v>
      </c>
      <c r="G3120" s="10" t="str">
        <f>_xlfn.XLOOKUP(C3120,menu!A:A,menu!C:C)</f>
        <v>Momos</v>
      </c>
      <c r="H3120" s="10">
        <f>_xlfn.XLOOKUP(C3120,menu!A:A,menu!E:E)</f>
        <v>27</v>
      </c>
      <c r="I3120" s="10">
        <f t="shared" si="48"/>
        <v>27</v>
      </c>
      <c r="K3120" s="10"/>
      <c r="L3120" s="5"/>
    </row>
    <row r="3121" spans="1:12" x14ac:dyDescent="0.25">
      <c r="A3121" s="5" t="s">
        <v>2931</v>
      </c>
      <c r="B3121" s="5" t="s">
        <v>2930</v>
      </c>
      <c r="C3121" s="5" t="s">
        <v>59</v>
      </c>
      <c r="D3121" s="21">
        <v>1</v>
      </c>
      <c r="E3121" s="12">
        <v>79</v>
      </c>
      <c r="F3121" s="10" t="str">
        <f>_xlfn.XLOOKUP(C3121,menu!A:A,menu!B:B)</f>
        <v>Blue Curacao Mojito</v>
      </c>
      <c r="G3121" s="10" t="str">
        <f>_xlfn.XLOOKUP(C3121,menu!A:A,menu!C:C)</f>
        <v>Beverages</v>
      </c>
      <c r="H3121" s="10">
        <f>_xlfn.XLOOKUP(C3121,menu!A:A,menu!E:E)</f>
        <v>24</v>
      </c>
      <c r="I3121" s="10">
        <f t="shared" si="48"/>
        <v>24</v>
      </c>
      <c r="K3121" s="10"/>
      <c r="L3121" s="5"/>
    </row>
    <row r="3122" spans="1:12" x14ac:dyDescent="0.25">
      <c r="A3122" s="5" t="s">
        <v>2929</v>
      </c>
      <c r="B3122" s="5" t="s">
        <v>2926</v>
      </c>
      <c r="C3122" s="5" t="s">
        <v>19</v>
      </c>
      <c r="D3122" s="21">
        <v>1</v>
      </c>
      <c r="E3122" s="12">
        <v>79</v>
      </c>
      <c r="F3122" s="10" t="str">
        <f>_xlfn.XLOOKUP(C3122,menu!A:A,menu!B:B)</f>
        <v>Veg Burger</v>
      </c>
      <c r="G3122" s="10" t="str">
        <f>_xlfn.XLOOKUP(C3122,menu!A:A,menu!C:C)</f>
        <v>Burger</v>
      </c>
      <c r="H3122" s="10">
        <f>_xlfn.XLOOKUP(C3122,menu!A:A,menu!E:E)</f>
        <v>24</v>
      </c>
      <c r="I3122" s="10">
        <f t="shared" si="48"/>
        <v>24</v>
      </c>
      <c r="K3122" s="10"/>
      <c r="L3122" s="5"/>
    </row>
    <row r="3123" spans="1:12" x14ac:dyDescent="0.25">
      <c r="A3123" s="5" t="s">
        <v>2928</v>
      </c>
      <c r="B3123" s="5" t="s">
        <v>2926</v>
      </c>
      <c r="C3123" s="5" t="s">
        <v>44</v>
      </c>
      <c r="D3123" s="21">
        <v>1</v>
      </c>
      <c r="E3123" s="12">
        <v>159</v>
      </c>
      <c r="F3123" s="10" t="str">
        <f>_xlfn.XLOOKUP(C3123,menu!A:A,menu!B:B)</f>
        <v>Fried Chicken</v>
      </c>
      <c r="G3123" s="10" t="str">
        <f>_xlfn.XLOOKUP(C3123,menu!A:A,menu!C:C)</f>
        <v>Starters</v>
      </c>
      <c r="H3123" s="10">
        <f>_xlfn.XLOOKUP(C3123,menu!A:A,menu!E:E)</f>
        <v>48</v>
      </c>
      <c r="I3123" s="10">
        <f t="shared" si="48"/>
        <v>48</v>
      </c>
      <c r="K3123" s="10"/>
      <c r="L3123" s="5"/>
    </row>
    <row r="3124" spans="1:12" x14ac:dyDescent="0.25">
      <c r="A3124" s="5" t="s">
        <v>2927</v>
      </c>
      <c r="B3124" s="5" t="s">
        <v>2926</v>
      </c>
      <c r="C3124" s="5" t="s">
        <v>17</v>
      </c>
      <c r="D3124" s="21">
        <v>4</v>
      </c>
      <c r="E3124" s="12">
        <v>356</v>
      </c>
      <c r="F3124" s="10" t="str">
        <f>_xlfn.XLOOKUP(C3124,menu!A:A,menu!B:B)</f>
        <v>Paneer Momos</v>
      </c>
      <c r="G3124" s="10" t="str">
        <f>_xlfn.XLOOKUP(C3124,menu!A:A,menu!C:C)</f>
        <v>Momos</v>
      </c>
      <c r="H3124" s="10">
        <f>_xlfn.XLOOKUP(C3124,menu!A:A,menu!E:E)</f>
        <v>27</v>
      </c>
      <c r="I3124" s="10">
        <f t="shared" si="48"/>
        <v>108</v>
      </c>
      <c r="K3124" s="10"/>
      <c r="L3124" s="5"/>
    </row>
    <row r="3125" spans="1:12" x14ac:dyDescent="0.25">
      <c r="A3125" s="5" t="s">
        <v>2925</v>
      </c>
      <c r="B3125" s="5" t="s">
        <v>2921</v>
      </c>
      <c r="C3125" s="5" t="s">
        <v>29</v>
      </c>
      <c r="D3125" s="21">
        <v>1</v>
      </c>
      <c r="E3125" s="12">
        <v>79</v>
      </c>
      <c r="F3125" s="10" t="str">
        <f>_xlfn.XLOOKUP(C3125,menu!A:A,menu!B:B)</f>
        <v>Paneer Roll</v>
      </c>
      <c r="G3125" s="10" t="str">
        <f>_xlfn.XLOOKUP(C3125,menu!A:A,menu!C:C)</f>
        <v>Rolls</v>
      </c>
      <c r="H3125" s="10">
        <f>_xlfn.XLOOKUP(C3125,menu!A:A,menu!E:E)</f>
        <v>24</v>
      </c>
      <c r="I3125" s="10">
        <f t="shared" si="48"/>
        <v>24</v>
      </c>
      <c r="K3125" s="10"/>
      <c r="L3125" s="5"/>
    </row>
    <row r="3126" spans="1:12" x14ac:dyDescent="0.25">
      <c r="A3126" s="5" t="s">
        <v>2924</v>
      </c>
      <c r="B3126" s="5" t="s">
        <v>2921</v>
      </c>
      <c r="C3126" s="5" t="s">
        <v>52</v>
      </c>
      <c r="D3126" s="21">
        <v>1</v>
      </c>
      <c r="E3126" s="12">
        <v>99</v>
      </c>
      <c r="F3126" s="10" t="str">
        <f>_xlfn.XLOOKUP(C3126,menu!A:A,menu!B:B)</f>
        <v>French Fries</v>
      </c>
      <c r="G3126" s="10" t="str">
        <f>_xlfn.XLOOKUP(C3126,menu!A:A,menu!C:C)</f>
        <v>Starters</v>
      </c>
      <c r="H3126" s="10">
        <f>_xlfn.XLOOKUP(C3126,menu!A:A,menu!E:E)</f>
        <v>30</v>
      </c>
      <c r="I3126" s="10">
        <f t="shared" si="48"/>
        <v>30</v>
      </c>
      <c r="K3126" s="10"/>
      <c r="L3126" s="5"/>
    </row>
    <row r="3127" spans="1:12" x14ac:dyDescent="0.25">
      <c r="A3127" s="5" t="s">
        <v>2923</v>
      </c>
      <c r="B3127" s="5" t="s">
        <v>2921</v>
      </c>
      <c r="C3127" s="5" t="s">
        <v>40</v>
      </c>
      <c r="D3127" s="21">
        <v>2</v>
      </c>
      <c r="E3127" s="12">
        <v>198</v>
      </c>
      <c r="F3127" s="10" t="str">
        <f>_xlfn.XLOOKUP(C3127,menu!A:A,menu!B:B)</f>
        <v>Veg Nuggets</v>
      </c>
      <c r="G3127" s="10" t="str">
        <f>_xlfn.XLOOKUP(C3127,menu!A:A,menu!C:C)</f>
        <v>Starters</v>
      </c>
      <c r="H3127" s="10">
        <f>_xlfn.XLOOKUP(C3127,menu!A:A,menu!E:E)</f>
        <v>30</v>
      </c>
      <c r="I3127" s="10">
        <f t="shared" si="48"/>
        <v>60</v>
      </c>
      <c r="K3127" s="10"/>
      <c r="L3127" s="5"/>
    </row>
    <row r="3128" spans="1:12" x14ac:dyDescent="0.25">
      <c r="A3128" s="5" t="s">
        <v>2922</v>
      </c>
      <c r="B3128" s="5" t="s">
        <v>2921</v>
      </c>
      <c r="C3128" s="5" t="s">
        <v>12</v>
      </c>
      <c r="D3128" s="21">
        <v>1</v>
      </c>
      <c r="E3128" s="12">
        <v>79</v>
      </c>
      <c r="F3128" s="10" t="str">
        <f>_xlfn.XLOOKUP(C3128,menu!A:A,menu!B:B)</f>
        <v>Veg Momos</v>
      </c>
      <c r="G3128" s="10" t="str">
        <f>_xlfn.XLOOKUP(C3128,menu!A:A,menu!C:C)</f>
        <v>Momos</v>
      </c>
      <c r="H3128" s="10">
        <f>_xlfn.XLOOKUP(C3128,menu!A:A,menu!E:E)</f>
        <v>24</v>
      </c>
      <c r="I3128" s="10">
        <f t="shared" si="48"/>
        <v>24</v>
      </c>
      <c r="K3128" s="10"/>
      <c r="L3128" s="5"/>
    </row>
    <row r="3129" spans="1:12" x14ac:dyDescent="0.25">
      <c r="A3129" s="5" t="s">
        <v>2920</v>
      </c>
      <c r="B3129" s="5" t="s">
        <v>2917</v>
      </c>
      <c r="C3129" s="5" t="s">
        <v>52</v>
      </c>
      <c r="D3129" s="21">
        <v>2</v>
      </c>
      <c r="E3129" s="12">
        <v>198</v>
      </c>
      <c r="F3129" s="10" t="str">
        <f>_xlfn.XLOOKUP(C3129,menu!A:A,menu!B:B)</f>
        <v>French Fries</v>
      </c>
      <c r="G3129" s="10" t="str">
        <f>_xlfn.XLOOKUP(C3129,menu!A:A,menu!C:C)</f>
        <v>Starters</v>
      </c>
      <c r="H3129" s="10">
        <f>_xlfn.XLOOKUP(C3129,menu!A:A,menu!E:E)</f>
        <v>30</v>
      </c>
      <c r="I3129" s="10">
        <f t="shared" si="48"/>
        <v>60</v>
      </c>
      <c r="K3129" s="10"/>
      <c r="L3129" s="5"/>
    </row>
    <row r="3130" spans="1:12" x14ac:dyDescent="0.25">
      <c r="A3130" s="5" t="s">
        <v>2919</v>
      </c>
      <c r="B3130" s="5" t="s">
        <v>2917</v>
      </c>
      <c r="C3130" s="5" t="s">
        <v>56</v>
      </c>
      <c r="D3130" s="21">
        <v>3</v>
      </c>
      <c r="E3130" s="12">
        <v>237</v>
      </c>
      <c r="F3130" s="10" t="str">
        <f>_xlfn.XLOOKUP(C3130,menu!A:A,menu!B:B)</f>
        <v>Mint Mojito</v>
      </c>
      <c r="G3130" s="10" t="str">
        <f>_xlfn.XLOOKUP(C3130,menu!A:A,menu!C:C)</f>
        <v>Beverages</v>
      </c>
      <c r="H3130" s="10">
        <f>_xlfn.XLOOKUP(C3130,menu!A:A,menu!E:E)</f>
        <v>24</v>
      </c>
      <c r="I3130" s="10">
        <f t="shared" si="48"/>
        <v>72</v>
      </c>
      <c r="K3130" s="10"/>
      <c r="L3130" s="5"/>
    </row>
    <row r="3131" spans="1:12" x14ac:dyDescent="0.25">
      <c r="A3131" s="5" t="s">
        <v>2918</v>
      </c>
      <c r="B3131" s="5" t="s">
        <v>2917</v>
      </c>
      <c r="C3131" s="5" t="s">
        <v>22</v>
      </c>
      <c r="D3131" s="21">
        <v>4</v>
      </c>
      <c r="E3131" s="12">
        <v>396</v>
      </c>
      <c r="F3131" s="10" t="str">
        <f>_xlfn.XLOOKUP(C3131,menu!A:A,menu!B:B)</f>
        <v>Chicken Burger</v>
      </c>
      <c r="G3131" s="10" t="str">
        <f>_xlfn.XLOOKUP(C3131,menu!A:A,menu!C:C)</f>
        <v>Burger</v>
      </c>
      <c r="H3131" s="10">
        <f>_xlfn.XLOOKUP(C3131,menu!A:A,menu!E:E)</f>
        <v>30</v>
      </c>
      <c r="I3131" s="10">
        <f t="shared" si="48"/>
        <v>120</v>
      </c>
      <c r="K3131" s="10"/>
      <c r="L3131" s="5"/>
    </row>
    <row r="3132" spans="1:12" x14ac:dyDescent="0.25">
      <c r="A3132" s="5" t="s">
        <v>2916</v>
      </c>
      <c r="B3132" s="5" t="s">
        <v>2914</v>
      </c>
      <c r="C3132" s="5" t="s">
        <v>5</v>
      </c>
      <c r="D3132" s="21">
        <v>1</v>
      </c>
      <c r="E3132" s="12">
        <v>79</v>
      </c>
      <c r="F3132" s="10" t="str">
        <f>_xlfn.XLOOKUP(C3132,menu!A:A,menu!B:B)</f>
        <v>Veg Sandwich</v>
      </c>
      <c r="G3132" s="10" t="str">
        <f>_xlfn.XLOOKUP(C3132,menu!A:A,menu!C:C)</f>
        <v>Sandwich</v>
      </c>
      <c r="H3132" s="10">
        <f>_xlfn.XLOOKUP(C3132,menu!A:A,menu!E:E)</f>
        <v>24</v>
      </c>
      <c r="I3132" s="10">
        <f t="shared" si="48"/>
        <v>24</v>
      </c>
      <c r="K3132" s="10"/>
      <c r="L3132" s="5"/>
    </row>
    <row r="3133" spans="1:12" x14ac:dyDescent="0.25">
      <c r="A3133" s="5" t="s">
        <v>2915</v>
      </c>
      <c r="B3133" s="5" t="s">
        <v>2914</v>
      </c>
      <c r="C3133" s="5" t="s">
        <v>50</v>
      </c>
      <c r="D3133" s="21">
        <v>2</v>
      </c>
      <c r="E3133" s="12">
        <v>298</v>
      </c>
      <c r="F3133" s="10" t="str">
        <f>_xlfn.XLOOKUP(C3133,menu!A:A,menu!B:B)</f>
        <v>Grab Lollipop</v>
      </c>
      <c r="G3133" s="10" t="str">
        <f>_xlfn.XLOOKUP(C3133,menu!A:A,menu!C:C)</f>
        <v>Starters</v>
      </c>
      <c r="H3133" s="10">
        <f>_xlfn.XLOOKUP(C3133,menu!A:A,menu!E:E)</f>
        <v>45</v>
      </c>
      <c r="I3133" s="10">
        <f t="shared" si="48"/>
        <v>90</v>
      </c>
      <c r="K3133" s="10"/>
      <c r="L3133" s="5"/>
    </row>
    <row r="3134" spans="1:12" x14ac:dyDescent="0.25">
      <c r="A3134" s="5" t="s">
        <v>2913</v>
      </c>
      <c r="B3134" s="5" t="s">
        <v>2911</v>
      </c>
      <c r="C3134" s="5" t="s">
        <v>8</v>
      </c>
      <c r="D3134" s="21">
        <v>3</v>
      </c>
      <c r="E3134" s="12">
        <v>297</v>
      </c>
      <c r="F3134" s="10" t="str">
        <f>_xlfn.XLOOKUP(C3134,menu!A:A,menu!B:B)</f>
        <v>Paneer Sandwich</v>
      </c>
      <c r="G3134" s="10" t="str">
        <f>_xlfn.XLOOKUP(C3134,menu!A:A,menu!C:C)</f>
        <v>Sandwich</v>
      </c>
      <c r="H3134" s="10">
        <f>_xlfn.XLOOKUP(C3134,menu!A:A,menu!E:E)</f>
        <v>30</v>
      </c>
      <c r="I3134" s="10">
        <f t="shared" si="48"/>
        <v>90</v>
      </c>
      <c r="K3134" s="10"/>
      <c r="L3134" s="5"/>
    </row>
    <row r="3135" spans="1:12" x14ac:dyDescent="0.25">
      <c r="A3135" s="5" t="s">
        <v>2912</v>
      </c>
      <c r="B3135" s="5" t="s">
        <v>2911</v>
      </c>
      <c r="C3135" s="5" t="s">
        <v>33</v>
      </c>
      <c r="D3135" s="21">
        <v>3</v>
      </c>
      <c r="E3135" s="12">
        <v>207</v>
      </c>
      <c r="F3135" s="10" t="str">
        <f>_xlfn.XLOOKUP(C3135,menu!A:A,menu!B:B)</f>
        <v>Spring Roll</v>
      </c>
      <c r="G3135" s="10" t="str">
        <f>_xlfn.XLOOKUP(C3135,menu!A:A,menu!C:C)</f>
        <v>Rolls</v>
      </c>
      <c r="H3135" s="10">
        <f>_xlfn.XLOOKUP(C3135,menu!A:A,menu!E:E)</f>
        <v>21</v>
      </c>
      <c r="I3135" s="10">
        <f t="shared" si="48"/>
        <v>63</v>
      </c>
      <c r="K3135" s="10"/>
      <c r="L3135" s="5"/>
    </row>
    <row r="3136" spans="1:12" x14ac:dyDescent="0.25">
      <c r="A3136" s="5" t="s">
        <v>2910</v>
      </c>
      <c r="B3136" s="5" t="s">
        <v>2907</v>
      </c>
      <c r="C3136" s="5" t="s">
        <v>22</v>
      </c>
      <c r="D3136" s="21">
        <v>1</v>
      </c>
      <c r="E3136" s="12">
        <v>99</v>
      </c>
      <c r="F3136" s="10" t="str">
        <f>_xlfn.XLOOKUP(C3136,menu!A:A,menu!B:B)</f>
        <v>Chicken Burger</v>
      </c>
      <c r="G3136" s="10" t="str">
        <f>_xlfn.XLOOKUP(C3136,menu!A:A,menu!C:C)</f>
        <v>Burger</v>
      </c>
      <c r="H3136" s="10">
        <f>_xlfn.XLOOKUP(C3136,menu!A:A,menu!E:E)</f>
        <v>30</v>
      </c>
      <c r="I3136" s="10">
        <f t="shared" si="48"/>
        <v>30</v>
      </c>
      <c r="K3136" s="10"/>
      <c r="L3136" s="5"/>
    </row>
    <row r="3137" spans="1:12" x14ac:dyDescent="0.25">
      <c r="A3137" s="5" t="s">
        <v>2909</v>
      </c>
      <c r="B3137" s="5" t="s">
        <v>2907</v>
      </c>
      <c r="C3137" s="5" t="s">
        <v>65</v>
      </c>
      <c r="D3137" s="21">
        <v>1</v>
      </c>
      <c r="E3137" s="12">
        <v>49</v>
      </c>
      <c r="F3137" s="10" t="str">
        <f>_xlfn.XLOOKUP(C3137,menu!A:A,menu!B:B)</f>
        <v>Lemon Juice</v>
      </c>
      <c r="G3137" s="10" t="str">
        <f>_xlfn.XLOOKUP(C3137,menu!A:A,menu!C:C)</f>
        <v>Beverages</v>
      </c>
      <c r="H3137" s="10">
        <f>_xlfn.XLOOKUP(C3137,menu!A:A,menu!E:E)</f>
        <v>15</v>
      </c>
      <c r="I3137" s="10">
        <f t="shared" si="48"/>
        <v>15</v>
      </c>
      <c r="K3137" s="10"/>
      <c r="L3137" s="5"/>
    </row>
    <row r="3138" spans="1:12" x14ac:dyDescent="0.25">
      <c r="A3138" s="5" t="s">
        <v>2908</v>
      </c>
      <c r="B3138" s="5" t="s">
        <v>2907</v>
      </c>
      <c r="C3138" s="5" t="s">
        <v>24</v>
      </c>
      <c r="D3138" s="21">
        <v>4</v>
      </c>
      <c r="E3138" s="12">
        <v>356</v>
      </c>
      <c r="F3138" s="10" t="str">
        <f>_xlfn.XLOOKUP(C3138,menu!A:A,menu!B:B)</f>
        <v>Paneer Burger</v>
      </c>
      <c r="G3138" s="10" t="str">
        <f>_xlfn.XLOOKUP(C3138,menu!A:A,menu!C:C)</f>
        <v>Burger</v>
      </c>
      <c r="H3138" s="10">
        <f>_xlfn.XLOOKUP(C3138,menu!A:A,menu!E:E)</f>
        <v>27</v>
      </c>
      <c r="I3138" s="10">
        <f t="shared" si="48"/>
        <v>108</v>
      </c>
      <c r="K3138" s="10"/>
      <c r="L3138" s="5"/>
    </row>
    <row r="3139" spans="1:12" x14ac:dyDescent="0.25">
      <c r="A3139" s="5" t="s">
        <v>2906</v>
      </c>
      <c r="B3139" s="5" t="s">
        <v>2903</v>
      </c>
      <c r="C3139" s="5" t="s">
        <v>5</v>
      </c>
      <c r="D3139" s="21">
        <v>3</v>
      </c>
      <c r="E3139" s="12">
        <v>237</v>
      </c>
      <c r="F3139" s="10" t="str">
        <f>_xlfn.XLOOKUP(C3139,menu!A:A,menu!B:B)</f>
        <v>Veg Sandwich</v>
      </c>
      <c r="G3139" s="10" t="str">
        <f>_xlfn.XLOOKUP(C3139,menu!A:A,menu!C:C)</f>
        <v>Sandwich</v>
      </c>
      <c r="H3139" s="10">
        <f>_xlfn.XLOOKUP(C3139,menu!A:A,menu!E:E)</f>
        <v>24</v>
      </c>
      <c r="I3139" s="10">
        <f t="shared" ref="I3139:I3202" si="49">D3139*H3139</f>
        <v>72</v>
      </c>
      <c r="K3139" s="10"/>
      <c r="L3139" s="5"/>
    </row>
    <row r="3140" spans="1:12" x14ac:dyDescent="0.25">
      <c r="A3140" s="5" t="s">
        <v>2905</v>
      </c>
      <c r="B3140" s="5" t="s">
        <v>2903</v>
      </c>
      <c r="C3140" s="5" t="s">
        <v>10</v>
      </c>
      <c r="D3140" s="21">
        <v>2</v>
      </c>
      <c r="E3140" s="12">
        <v>238</v>
      </c>
      <c r="F3140" s="10" t="str">
        <f>_xlfn.XLOOKUP(C3140,menu!A:A,menu!B:B)</f>
        <v>Chicken Sandwich</v>
      </c>
      <c r="G3140" s="10" t="str">
        <f>_xlfn.XLOOKUP(C3140,menu!A:A,menu!C:C)</f>
        <v>Sandwich</v>
      </c>
      <c r="H3140" s="10">
        <f>_xlfn.XLOOKUP(C3140,menu!A:A,menu!E:E)</f>
        <v>36</v>
      </c>
      <c r="I3140" s="10">
        <f t="shared" si="49"/>
        <v>72</v>
      </c>
      <c r="K3140" s="10"/>
      <c r="L3140" s="5"/>
    </row>
    <row r="3141" spans="1:12" x14ac:dyDescent="0.25">
      <c r="A3141" s="5" t="s">
        <v>2904</v>
      </c>
      <c r="B3141" s="5" t="s">
        <v>2903</v>
      </c>
      <c r="C3141" s="5" t="s">
        <v>15</v>
      </c>
      <c r="D3141" s="21">
        <v>4</v>
      </c>
      <c r="E3141" s="12">
        <v>396</v>
      </c>
      <c r="F3141" s="10" t="str">
        <f>_xlfn.XLOOKUP(C3141,menu!A:A,menu!B:B)</f>
        <v>Chicken Momos</v>
      </c>
      <c r="G3141" s="10" t="str">
        <f>_xlfn.XLOOKUP(C3141,menu!A:A,menu!C:C)</f>
        <v>Momos</v>
      </c>
      <c r="H3141" s="10">
        <f>_xlfn.XLOOKUP(C3141,menu!A:A,menu!E:E)</f>
        <v>30</v>
      </c>
      <c r="I3141" s="10">
        <f t="shared" si="49"/>
        <v>120</v>
      </c>
      <c r="K3141" s="10"/>
      <c r="L3141" s="5"/>
    </row>
    <row r="3142" spans="1:12" x14ac:dyDescent="0.25">
      <c r="A3142" s="5" t="s">
        <v>2902</v>
      </c>
      <c r="B3142" s="5" t="s">
        <v>2901</v>
      </c>
      <c r="C3142" s="5" t="s">
        <v>5</v>
      </c>
      <c r="D3142" s="21">
        <v>2</v>
      </c>
      <c r="E3142" s="12">
        <v>158</v>
      </c>
      <c r="F3142" s="10" t="str">
        <f>_xlfn.XLOOKUP(C3142,menu!A:A,menu!B:B)</f>
        <v>Veg Sandwich</v>
      </c>
      <c r="G3142" s="10" t="str">
        <f>_xlfn.XLOOKUP(C3142,menu!A:A,menu!C:C)</f>
        <v>Sandwich</v>
      </c>
      <c r="H3142" s="10">
        <f>_xlfn.XLOOKUP(C3142,menu!A:A,menu!E:E)</f>
        <v>24</v>
      </c>
      <c r="I3142" s="10">
        <f t="shared" si="49"/>
        <v>48</v>
      </c>
      <c r="K3142" s="10"/>
      <c r="L3142" s="5"/>
    </row>
    <row r="3143" spans="1:12" x14ac:dyDescent="0.25">
      <c r="A3143" s="5" t="s">
        <v>2900</v>
      </c>
      <c r="B3143" s="5" t="s">
        <v>2898</v>
      </c>
      <c r="C3143" s="5" t="s">
        <v>50</v>
      </c>
      <c r="D3143" s="21">
        <v>5</v>
      </c>
      <c r="E3143" s="12">
        <v>745</v>
      </c>
      <c r="F3143" s="10" t="str">
        <f>_xlfn.XLOOKUP(C3143,menu!A:A,menu!B:B)</f>
        <v>Grab Lollipop</v>
      </c>
      <c r="G3143" s="10" t="str">
        <f>_xlfn.XLOOKUP(C3143,menu!A:A,menu!C:C)</f>
        <v>Starters</v>
      </c>
      <c r="H3143" s="10">
        <f>_xlfn.XLOOKUP(C3143,menu!A:A,menu!E:E)</f>
        <v>45</v>
      </c>
      <c r="I3143" s="10">
        <f t="shared" si="49"/>
        <v>225</v>
      </c>
      <c r="K3143" s="10"/>
      <c r="L3143" s="5"/>
    </row>
    <row r="3144" spans="1:12" x14ac:dyDescent="0.25">
      <c r="A3144" s="5" t="s">
        <v>2899</v>
      </c>
      <c r="B3144" s="5" t="s">
        <v>2898</v>
      </c>
      <c r="C3144" s="5" t="s">
        <v>42</v>
      </c>
      <c r="D3144" s="21">
        <v>1</v>
      </c>
      <c r="E3144" s="12">
        <v>149</v>
      </c>
      <c r="F3144" s="10" t="str">
        <f>_xlfn.XLOOKUP(C3144,menu!A:A,menu!B:B)</f>
        <v>Chicken Popcorn</v>
      </c>
      <c r="G3144" s="10" t="str">
        <f>_xlfn.XLOOKUP(C3144,menu!A:A,menu!C:C)</f>
        <v>Starters</v>
      </c>
      <c r="H3144" s="10">
        <f>_xlfn.XLOOKUP(C3144,menu!A:A,menu!E:E)</f>
        <v>45</v>
      </c>
      <c r="I3144" s="10">
        <f t="shared" si="49"/>
        <v>45</v>
      </c>
      <c r="K3144" s="10"/>
      <c r="L3144" s="5"/>
    </row>
    <row r="3145" spans="1:12" x14ac:dyDescent="0.25">
      <c r="A3145" s="5" t="s">
        <v>2897</v>
      </c>
      <c r="B3145" s="5" t="s">
        <v>2895</v>
      </c>
      <c r="C3145" s="5" t="s">
        <v>61</v>
      </c>
      <c r="D3145" s="21">
        <v>3</v>
      </c>
      <c r="E3145" s="12">
        <v>237</v>
      </c>
      <c r="F3145" s="10" t="str">
        <f>_xlfn.XLOOKUP(C3145,menu!A:A,menu!B:B)</f>
        <v>Watermelon Mojito</v>
      </c>
      <c r="G3145" s="10" t="str">
        <f>_xlfn.XLOOKUP(C3145,menu!A:A,menu!C:C)</f>
        <v>Beverages</v>
      </c>
      <c r="H3145" s="10">
        <f>_xlfn.XLOOKUP(C3145,menu!A:A,menu!E:E)</f>
        <v>24</v>
      </c>
      <c r="I3145" s="10">
        <f t="shared" si="49"/>
        <v>72</v>
      </c>
      <c r="K3145" s="10"/>
      <c r="L3145" s="5"/>
    </row>
    <row r="3146" spans="1:12" x14ac:dyDescent="0.25">
      <c r="A3146" s="5" t="s">
        <v>2896</v>
      </c>
      <c r="B3146" s="5" t="s">
        <v>2895</v>
      </c>
      <c r="C3146" s="5" t="s">
        <v>38</v>
      </c>
      <c r="D3146" s="21">
        <v>2</v>
      </c>
      <c r="E3146" s="12">
        <v>298</v>
      </c>
      <c r="F3146" s="10" t="str">
        <f>_xlfn.XLOOKUP(C3146,menu!A:A,menu!B:B)</f>
        <v>Chicken Wings</v>
      </c>
      <c r="G3146" s="10" t="str">
        <f>_xlfn.XLOOKUP(C3146,menu!A:A,menu!C:C)</f>
        <v>Starters</v>
      </c>
      <c r="H3146" s="10">
        <f>_xlfn.XLOOKUP(C3146,menu!A:A,menu!E:E)</f>
        <v>45</v>
      </c>
      <c r="I3146" s="10">
        <f t="shared" si="49"/>
        <v>90</v>
      </c>
      <c r="K3146" s="10"/>
      <c r="L3146" s="5"/>
    </row>
    <row r="3147" spans="1:12" x14ac:dyDescent="0.25">
      <c r="A3147" s="5" t="s">
        <v>2894</v>
      </c>
      <c r="B3147" s="5" t="s">
        <v>2892</v>
      </c>
      <c r="C3147" s="5" t="s">
        <v>10</v>
      </c>
      <c r="D3147" s="21">
        <v>4</v>
      </c>
      <c r="E3147" s="12">
        <v>476</v>
      </c>
      <c r="F3147" s="10" t="str">
        <f>_xlfn.XLOOKUP(C3147,menu!A:A,menu!B:B)</f>
        <v>Chicken Sandwich</v>
      </c>
      <c r="G3147" s="10" t="str">
        <f>_xlfn.XLOOKUP(C3147,menu!A:A,menu!C:C)</f>
        <v>Sandwich</v>
      </c>
      <c r="H3147" s="10">
        <f>_xlfn.XLOOKUP(C3147,menu!A:A,menu!E:E)</f>
        <v>36</v>
      </c>
      <c r="I3147" s="10">
        <f t="shared" si="49"/>
        <v>144</v>
      </c>
      <c r="K3147" s="10"/>
      <c r="L3147" s="5"/>
    </row>
    <row r="3148" spans="1:12" x14ac:dyDescent="0.25">
      <c r="A3148" s="5" t="s">
        <v>2893</v>
      </c>
      <c r="B3148" s="5" t="s">
        <v>2892</v>
      </c>
      <c r="C3148" s="5" t="s">
        <v>54</v>
      </c>
      <c r="D3148" s="21">
        <v>1</v>
      </c>
      <c r="E3148" s="12">
        <v>139</v>
      </c>
      <c r="F3148" s="10" t="str">
        <f>_xlfn.XLOOKUP(C3148,menu!A:A,menu!B:B)</f>
        <v>Chicken Strips</v>
      </c>
      <c r="G3148" s="10" t="str">
        <f>_xlfn.XLOOKUP(C3148,menu!A:A,menu!C:C)</f>
        <v>Starters</v>
      </c>
      <c r="H3148" s="10">
        <f>_xlfn.XLOOKUP(C3148,menu!A:A,menu!E:E)</f>
        <v>42</v>
      </c>
      <c r="I3148" s="10">
        <f t="shared" si="49"/>
        <v>42</v>
      </c>
      <c r="K3148" s="10"/>
      <c r="L3148" s="5"/>
    </row>
    <row r="3149" spans="1:12" x14ac:dyDescent="0.25">
      <c r="A3149" s="5" t="s">
        <v>2891</v>
      </c>
      <c r="B3149" s="5" t="s">
        <v>2889</v>
      </c>
      <c r="C3149" s="5" t="s">
        <v>12</v>
      </c>
      <c r="D3149" s="21">
        <v>3</v>
      </c>
      <c r="E3149" s="12">
        <v>237</v>
      </c>
      <c r="F3149" s="10" t="str">
        <f>_xlfn.XLOOKUP(C3149,menu!A:A,menu!B:B)</f>
        <v>Veg Momos</v>
      </c>
      <c r="G3149" s="10" t="str">
        <f>_xlfn.XLOOKUP(C3149,menu!A:A,menu!C:C)</f>
        <v>Momos</v>
      </c>
      <c r="H3149" s="10">
        <f>_xlfn.XLOOKUP(C3149,menu!A:A,menu!E:E)</f>
        <v>24</v>
      </c>
      <c r="I3149" s="10">
        <f t="shared" si="49"/>
        <v>72</v>
      </c>
      <c r="K3149" s="10"/>
      <c r="L3149" s="5"/>
    </row>
    <row r="3150" spans="1:12" x14ac:dyDescent="0.25">
      <c r="A3150" s="5" t="s">
        <v>2890</v>
      </c>
      <c r="B3150" s="5" t="s">
        <v>2889</v>
      </c>
      <c r="C3150" s="5" t="s">
        <v>22</v>
      </c>
      <c r="D3150" s="21">
        <v>4</v>
      </c>
      <c r="E3150" s="12">
        <v>396</v>
      </c>
      <c r="F3150" s="10" t="str">
        <f>_xlfn.XLOOKUP(C3150,menu!A:A,menu!B:B)</f>
        <v>Chicken Burger</v>
      </c>
      <c r="G3150" s="10" t="str">
        <f>_xlfn.XLOOKUP(C3150,menu!A:A,menu!C:C)</f>
        <v>Burger</v>
      </c>
      <c r="H3150" s="10">
        <f>_xlfn.XLOOKUP(C3150,menu!A:A,menu!E:E)</f>
        <v>30</v>
      </c>
      <c r="I3150" s="10">
        <f t="shared" si="49"/>
        <v>120</v>
      </c>
      <c r="K3150" s="10"/>
      <c r="L3150" s="5"/>
    </row>
    <row r="3151" spans="1:12" x14ac:dyDescent="0.25">
      <c r="A3151" s="5" t="s">
        <v>2888</v>
      </c>
      <c r="B3151" s="5" t="s">
        <v>2886</v>
      </c>
      <c r="C3151" s="5" t="s">
        <v>15</v>
      </c>
      <c r="D3151" s="21">
        <v>3</v>
      </c>
      <c r="E3151" s="12">
        <v>297</v>
      </c>
      <c r="F3151" s="10" t="str">
        <f>_xlfn.XLOOKUP(C3151,menu!A:A,menu!B:B)</f>
        <v>Chicken Momos</v>
      </c>
      <c r="G3151" s="10" t="str">
        <f>_xlfn.XLOOKUP(C3151,menu!A:A,menu!C:C)</f>
        <v>Momos</v>
      </c>
      <c r="H3151" s="10">
        <f>_xlfn.XLOOKUP(C3151,menu!A:A,menu!E:E)</f>
        <v>30</v>
      </c>
      <c r="I3151" s="10">
        <f t="shared" si="49"/>
        <v>90</v>
      </c>
      <c r="K3151" s="10"/>
      <c r="L3151" s="5"/>
    </row>
    <row r="3152" spans="1:12" x14ac:dyDescent="0.25">
      <c r="A3152" s="5" t="s">
        <v>2887</v>
      </c>
      <c r="B3152" s="5" t="s">
        <v>2886</v>
      </c>
      <c r="C3152" s="5" t="s">
        <v>42</v>
      </c>
      <c r="D3152" s="21">
        <v>1</v>
      </c>
      <c r="E3152" s="12">
        <v>149</v>
      </c>
      <c r="F3152" s="10" t="str">
        <f>_xlfn.XLOOKUP(C3152,menu!A:A,menu!B:B)</f>
        <v>Chicken Popcorn</v>
      </c>
      <c r="G3152" s="10" t="str">
        <f>_xlfn.XLOOKUP(C3152,menu!A:A,menu!C:C)</f>
        <v>Starters</v>
      </c>
      <c r="H3152" s="10">
        <f>_xlfn.XLOOKUP(C3152,menu!A:A,menu!E:E)</f>
        <v>45</v>
      </c>
      <c r="I3152" s="10">
        <f t="shared" si="49"/>
        <v>45</v>
      </c>
      <c r="K3152" s="10"/>
      <c r="L3152" s="5"/>
    </row>
    <row r="3153" spans="1:12" x14ac:dyDescent="0.25">
      <c r="A3153" s="5" t="s">
        <v>2885</v>
      </c>
      <c r="B3153" s="5" t="s">
        <v>2883</v>
      </c>
      <c r="C3153" s="5" t="s">
        <v>8</v>
      </c>
      <c r="D3153" s="21">
        <v>4</v>
      </c>
      <c r="E3153" s="12">
        <v>396</v>
      </c>
      <c r="F3153" s="10" t="str">
        <f>_xlfn.XLOOKUP(C3153,menu!A:A,menu!B:B)</f>
        <v>Paneer Sandwich</v>
      </c>
      <c r="G3153" s="10" t="str">
        <f>_xlfn.XLOOKUP(C3153,menu!A:A,menu!C:C)</f>
        <v>Sandwich</v>
      </c>
      <c r="H3153" s="10">
        <f>_xlfn.XLOOKUP(C3153,menu!A:A,menu!E:E)</f>
        <v>30</v>
      </c>
      <c r="I3153" s="10">
        <f t="shared" si="49"/>
        <v>120</v>
      </c>
      <c r="K3153" s="10"/>
      <c r="L3153" s="5"/>
    </row>
    <row r="3154" spans="1:12" x14ac:dyDescent="0.25">
      <c r="A3154" s="5" t="s">
        <v>2884</v>
      </c>
      <c r="B3154" s="5" t="s">
        <v>2883</v>
      </c>
      <c r="C3154" s="5" t="s">
        <v>26</v>
      </c>
      <c r="D3154" s="21">
        <v>2</v>
      </c>
      <c r="E3154" s="12">
        <v>118</v>
      </c>
      <c r="F3154" s="10" t="str">
        <f>_xlfn.XLOOKUP(C3154,menu!A:A,menu!B:B)</f>
        <v>Veg Roll</v>
      </c>
      <c r="G3154" s="10" t="str">
        <f>_xlfn.XLOOKUP(C3154,menu!A:A,menu!C:C)</f>
        <v>Rolls</v>
      </c>
      <c r="H3154" s="10">
        <f>_xlfn.XLOOKUP(C3154,menu!A:A,menu!E:E)</f>
        <v>18</v>
      </c>
      <c r="I3154" s="10">
        <f t="shared" si="49"/>
        <v>36</v>
      </c>
      <c r="K3154" s="10"/>
      <c r="L3154" s="5"/>
    </row>
    <row r="3155" spans="1:12" x14ac:dyDescent="0.25">
      <c r="A3155" s="5" t="s">
        <v>2882</v>
      </c>
      <c r="B3155" s="5" t="s">
        <v>2881</v>
      </c>
      <c r="C3155" s="5" t="s">
        <v>15</v>
      </c>
      <c r="D3155" s="21">
        <v>4</v>
      </c>
      <c r="E3155" s="12">
        <v>396</v>
      </c>
      <c r="F3155" s="10" t="str">
        <f>_xlfn.XLOOKUP(C3155,menu!A:A,menu!B:B)</f>
        <v>Chicken Momos</v>
      </c>
      <c r="G3155" s="10" t="str">
        <f>_xlfn.XLOOKUP(C3155,menu!A:A,menu!C:C)</f>
        <v>Momos</v>
      </c>
      <c r="H3155" s="10">
        <f>_xlfn.XLOOKUP(C3155,menu!A:A,menu!E:E)</f>
        <v>30</v>
      </c>
      <c r="I3155" s="10">
        <f t="shared" si="49"/>
        <v>120</v>
      </c>
      <c r="K3155" s="10"/>
      <c r="L3155" s="5"/>
    </row>
    <row r="3156" spans="1:12" x14ac:dyDescent="0.25">
      <c r="A3156" s="5" t="s">
        <v>2880</v>
      </c>
      <c r="B3156" s="5" t="s">
        <v>2877</v>
      </c>
      <c r="C3156" s="5" t="s">
        <v>50</v>
      </c>
      <c r="D3156" s="21">
        <v>5</v>
      </c>
      <c r="E3156" s="12">
        <v>745</v>
      </c>
      <c r="F3156" s="10" t="str">
        <f>_xlfn.XLOOKUP(C3156,menu!A:A,menu!B:B)</f>
        <v>Grab Lollipop</v>
      </c>
      <c r="G3156" s="10" t="str">
        <f>_xlfn.XLOOKUP(C3156,menu!A:A,menu!C:C)</f>
        <v>Starters</v>
      </c>
      <c r="H3156" s="10">
        <f>_xlfn.XLOOKUP(C3156,menu!A:A,menu!E:E)</f>
        <v>45</v>
      </c>
      <c r="I3156" s="10">
        <f t="shared" si="49"/>
        <v>225</v>
      </c>
      <c r="K3156" s="10"/>
      <c r="L3156" s="5"/>
    </row>
    <row r="3157" spans="1:12" x14ac:dyDescent="0.25">
      <c r="A3157" s="5" t="s">
        <v>2879</v>
      </c>
      <c r="B3157" s="5" t="s">
        <v>2877</v>
      </c>
      <c r="C3157" s="5" t="s">
        <v>42</v>
      </c>
      <c r="D3157" s="21">
        <v>1</v>
      </c>
      <c r="E3157" s="12">
        <v>149</v>
      </c>
      <c r="F3157" s="10" t="str">
        <f>_xlfn.XLOOKUP(C3157,menu!A:A,menu!B:B)</f>
        <v>Chicken Popcorn</v>
      </c>
      <c r="G3157" s="10" t="str">
        <f>_xlfn.XLOOKUP(C3157,menu!A:A,menu!C:C)</f>
        <v>Starters</v>
      </c>
      <c r="H3157" s="10">
        <f>_xlfn.XLOOKUP(C3157,menu!A:A,menu!E:E)</f>
        <v>45</v>
      </c>
      <c r="I3157" s="10">
        <f t="shared" si="49"/>
        <v>45</v>
      </c>
      <c r="K3157" s="10"/>
      <c r="L3157" s="5"/>
    </row>
    <row r="3158" spans="1:12" x14ac:dyDescent="0.25">
      <c r="A3158" s="5" t="s">
        <v>2878</v>
      </c>
      <c r="B3158" s="5" t="s">
        <v>2877</v>
      </c>
      <c r="C3158" s="5" t="s">
        <v>38</v>
      </c>
      <c r="D3158" s="21">
        <v>4</v>
      </c>
      <c r="E3158" s="12">
        <v>596</v>
      </c>
      <c r="F3158" s="10" t="str">
        <f>_xlfn.XLOOKUP(C3158,menu!A:A,menu!B:B)</f>
        <v>Chicken Wings</v>
      </c>
      <c r="G3158" s="10" t="str">
        <f>_xlfn.XLOOKUP(C3158,menu!A:A,menu!C:C)</f>
        <v>Starters</v>
      </c>
      <c r="H3158" s="10">
        <f>_xlfn.XLOOKUP(C3158,menu!A:A,menu!E:E)</f>
        <v>45</v>
      </c>
      <c r="I3158" s="10">
        <f t="shared" si="49"/>
        <v>180</v>
      </c>
      <c r="K3158" s="10"/>
      <c r="L3158" s="5"/>
    </row>
    <row r="3159" spans="1:12" x14ac:dyDescent="0.25">
      <c r="A3159" s="5" t="s">
        <v>2876</v>
      </c>
      <c r="B3159" s="5" t="s">
        <v>2874</v>
      </c>
      <c r="C3159" s="5" t="s">
        <v>44</v>
      </c>
      <c r="D3159" s="21">
        <v>1</v>
      </c>
      <c r="E3159" s="12">
        <v>159</v>
      </c>
      <c r="F3159" s="10" t="str">
        <f>_xlfn.XLOOKUP(C3159,menu!A:A,menu!B:B)</f>
        <v>Fried Chicken</v>
      </c>
      <c r="G3159" s="10" t="str">
        <f>_xlfn.XLOOKUP(C3159,menu!A:A,menu!C:C)</f>
        <v>Starters</v>
      </c>
      <c r="H3159" s="10">
        <f>_xlfn.XLOOKUP(C3159,menu!A:A,menu!E:E)</f>
        <v>48</v>
      </c>
      <c r="I3159" s="10">
        <f t="shared" si="49"/>
        <v>48</v>
      </c>
      <c r="K3159" s="10"/>
      <c r="L3159" s="5"/>
    </row>
    <row r="3160" spans="1:12" x14ac:dyDescent="0.25">
      <c r="A3160" s="5" t="s">
        <v>2875</v>
      </c>
      <c r="B3160" s="5" t="s">
        <v>2874</v>
      </c>
      <c r="C3160" s="5" t="s">
        <v>59</v>
      </c>
      <c r="D3160" s="21">
        <v>1</v>
      </c>
      <c r="E3160" s="12">
        <v>79</v>
      </c>
      <c r="F3160" s="10" t="str">
        <f>_xlfn.XLOOKUP(C3160,menu!A:A,menu!B:B)</f>
        <v>Blue Curacao Mojito</v>
      </c>
      <c r="G3160" s="10" t="str">
        <f>_xlfn.XLOOKUP(C3160,menu!A:A,menu!C:C)</f>
        <v>Beverages</v>
      </c>
      <c r="H3160" s="10">
        <f>_xlfn.XLOOKUP(C3160,menu!A:A,menu!E:E)</f>
        <v>24</v>
      </c>
      <c r="I3160" s="10">
        <f t="shared" si="49"/>
        <v>24</v>
      </c>
      <c r="K3160" s="10"/>
      <c r="L3160" s="5"/>
    </row>
    <row r="3161" spans="1:12" x14ac:dyDescent="0.25">
      <c r="A3161" s="5" t="s">
        <v>2873</v>
      </c>
      <c r="B3161" s="5" t="s">
        <v>2870</v>
      </c>
      <c r="C3161" s="5" t="s">
        <v>40</v>
      </c>
      <c r="D3161" s="21">
        <v>4</v>
      </c>
      <c r="E3161" s="12">
        <v>396</v>
      </c>
      <c r="F3161" s="10" t="str">
        <f>_xlfn.XLOOKUP(C3161,menu!A:A,menu!B:B)</f>
        <v>Veg Nuggets</v>
      </c>
      <c r="G3161" s="10" t="str">
        <f>_xlfn.XLOOKUP(C3161,menu!A:A,menu!C:C)</f>
        <v>Starters</v>
      </c>
      <c r="H3161" s="10">
        <f>_xlfn.XLOOKUP(C3161,menu!A:A,menu!E:E)</f>
        <v>30</v>
      </c>
      <c r="I3161" s="10">
        <f t="shared" si="49"/>
        <v>120</v>
      </c>
      <c r="K3161" s="10"/>
      <c r="L3161" s="5"/>
    </row>
    <row r="3162" spans="1:12" x14ac:dyDescent="0.25">
      <c r="A3162" s="5" t="s">
        <v>2872</v>
      </c>
      <c r="B3162" s="5" t="s">
        <v>2870</v>
      </c>
      <c r="C3162" s="5" t="s">
        <v>46</v>
      </c>
      <c r="D3162" s="21">
        <v>2</v>
      </c>
      <c r="E3162" s="12">
        <v>298</v>
      </c>
      <c r="F3162" s="10" t="str">
        <f>_xlfn.XLOOKUP(C3162,menu!A:A,menu!B:B)</f>
        <v>Fish Finger</v>
      </c>
      <c r="G3162" s="10" t="str">
        <f>_xlfn.XLOOKUP(C3162,menu!A:A,menu!C:C)</f>
        <v>Starters</v>
      </c>
      <c r="H3162" s="10">
        <f>_xlfn.XLOOKUP(C3162,menu!A:A,menu!E:E)</f>
        <v>45</v>
      </c>
      <c r="I3162" s="10">
        <f t="shared" si="49"/>
        <v>90</v>
      </c>
      <c r="K3162" s="10"/>
      <c r="L3162" s="5"/>
    </row>
    <row r="3163" spans="1:12" x14ac:dyDescent="0.25">
      <c r="A3163" s="5" t="s">
        <v>2871</v>
      </c>
      <c r="B3163" s="5" t="s">
        <v>2870</v>
      </c>
      <c r="C3163" s="5" t="s">
        <v>26</v>
      </c>
      <c r="D3163" s="21">
        <v>3</v>
      </c>
      <c r="E3163" s="12">
        <v>177</v>
      </c>
      <c r="F3163" s="10" t="str">
        <f>_xlfn.XLOOKUP(C3163,menu!A:A,menu!B:B)</f>
        <v>Veg Roll</v>
      </c>
      <c r="G3163" s="10" t="str">
        <f>_xlfn.XLOOKUP(C3163,menu!A:A,menu!C:C)</f>
        <v>Rolls</v>
      </c>
      <c r="H3163" s="10">
        <f>_xlfn.XLOOKUP(C3163,menu!A:A,menu!E:E)</f>
        <v>18</v>
      </c>
      <c r="I3163" s="10">
        <f t="shared" si="49"/>
        <v>54</v>
      </c>
      <c r="K3163" s="10"/>
      <c r="L3163" s="5"/>
    </row>
    <row r="3164" spans="1:12" x14ac:dyDescent="0.25">
      <c r="A3164" s="5" t="s">
        <v>2869</v>
      </c>
      <c r="B3164" s="5" t="s">
        <v>2867</v>
      </c>
      <c r="C3164" s="5" t="s">
        <v>17</v>
      </c>
      <c r="D3164" s="21">
        <v>1</v>
      </c>
      <c r="E3164" s="12">
        <v>89</v>
      </c>
      <c r="F3164" s="10" t="str">
        <f>_xlfn.XLOOKUP(C3164,menu!A:A,menu!B:B)</f>
        <v>Paneer Momos</v>
      </c>
      <c r="G3164" s="10" t="str">
        <f>_xlfn.XLOOKUP(C3164,menu!A:A,menu!C:C)</f>
        <v>Momos</v>
      </c>
      <c r="H3164" s="10">
        <f>_xlfn.XLOOKUP(C3164,menu!A:A,menu!E:E)</f>
        <v>27</v>
      </c>
      <c r="I3164" s="10">
        <f t="shared" si="49"/>
        <v>27</v>
      </c>
      <c r="K3164" s="10"/>
      <c r="L3164" s="5"/>
    </row>
    <row r="3165" spans="1:12" x14ac:dyDescent="0.25">
      <c r="A3165" s="5" t="s">
        <v>2868</v>
      </c>
      <c r="B3165" s="5" t="s">
        <v>2867</v>
      </c>
      <c r="C3165" s="5" t="s">
        <v>8</v>
      </c>
      <c r="D3165" s="21">
        <v>1</v>
      </c>
      <c r="E3165" s="12">
        <v>99</v>
      </c>
      <c r="F3165" s="10" t="str">
        <f>_xlfn.XLOOKUP(C3165,menu!A:A,menu!B:B)</f>
        <v>Paneer Sandwich</v>
      </c>
      <c r="G3165" s="10" t="str">
        <f>_xlfn.XLOOKUP(C3165,menu!A:A,menu!C:C)</f>
        <v>Sandwich</v>
      </c>
      <c r="H3165" s="10">
        <f>_xlfn.XLOOKUP(C3165,menu!A:A,menu!E:E)</f>
        <v>30</v>
      </c>
      <c r="I3165" s="10">
        <f t="shared" si="49"/>
        <v>30</v>
      </c>
      <c r="K3165" s="10"/>
      <c r="L3165" s="5"/>
    </row>
    <row r="3166" spans="1:12" x14ac:dyDescent="0.25">
      <c r="A3166" s="5" t="s">
        <v>2866</v>
      </c>
      <c r="B3166" s="5" t="s">
        <v>2862</v>
      </c>
      <c r="C3166" s="5" t="s">
        <v>12</v>
      </c>
      <c r="D3166" s="21">
        <v>1</v>
      </c>
      <c r="E3166" s="12">
        <v>79</v>
      </c>
      <c r="F3166" s="10" t="str">
        <f>_xlfn.XLOOKUP(C3166,menu!A:A,menu!B:B)</f>
        <v>Veg Momos</v>
      </c>
      <c r="G3166" s="10" t="str">
        <f>_xlfn.XLOOKUP(C3166,menu!A:A,menu!C:C)</f>
        <v>Momos</v>
      </c>
      <c r="H3166" s="10">
        <f>_xlfn.XLOOKUP(C3166,menu!A:A,menu!E:E)</f>
        <v>24</v>
      </c>
      <c r="I3166" s="10">
        <f t="shared" si="49"/>
        <v>24</v>
      </c>
      <c r="K3166" s="10"/>
      <c r="L3166" s="5"/>
    </row>
    <row r="3167" spans="1:12" x14ac:dyDescent="0.25">
      <c r="A3167" s="5" t="s">
        <v>2865</v>
      </c>
      <c r="B3167" s="5" t="s">
        <v>2862</v>
      </c>
      <c r="C3167" s="5" t="s">
        <v>33</v>
      </c>
      <c r="D3167" s="21">
        <v>1</v>
      </c>
      <c r="E3167" s="12">
        <v>69</v>
      </c>
      <c r="F3167" s="10" t="str">
        <f>_xlfn.XLOOKUP(C3167,menu!A:A,menu!B:B)</f>
        <v>Spring Roll</v>
      </c>
      <c r="G3167" s="10" t="str">
        <f>_xlfn.XLOOKUP(C3167,menu!A:A,menu!C:C)</f>
        <v>Rolls</v>
      </c>
      <c r="H3167" s="10">
        <f>_xlfn.XLOOKUP(C3167,menu!A:A,menu!E:E)</f>
        <v>21</v>
      </c>
      <c r="I3167" s="10">
        <f t="shared" si="49"/>
        <v>21</v>
      </c>
      <c r="K3167" s="10"/>
      <c r="L3167" s="5"/>
    </row>
    <row r="3168" spans="1:12" x14ac:dyDescent="0.25">
      <c r="A3168" s="5" t="s">
        <v>2864</v>
      </c>
      <c r="B3168" s="5" t="s">
        <v>2862</v>
      </c>
      <c r="C3168" s="5" t="s">
        <v>59</v>
      </c>
      <c r="D3168" s="21">
        <v>2</v>
      </c>
      <c r="E3168" s="12">
        <v>158</v>
      </c>
      <c r="F3168" s="10" t="str">
        <f>_xlfn.XLOOKUP(C3168,menu!A:A,menu!B:B)</f>
        <v>Blue Curacao Mojito</v>
      </c>
      <c r="G3168" s="10" t="str">
        <f>_xlfn.XLOOKUP(C3168,menu!A:A,menu!C:C)</f>
        <v>Beverages</v>
      </c>
      <c r="H3168" s="10">
        <f>_xlfn.XLOOKUP(C3168,menu!A:A,menu!E:E)</f>
        <v>24</v>
      </c>
      <c r="I3168" s="10">
        <f t="shared" si="49"/>
        <v>48</v>
      </c>
      <c r="K3168" s="10"/>
      <c r="L3168" s="5"/>
    </row>
    <row r="3169" spans="1:12" x14ac:dyDescent="0.25">
      <c r="A3169" s="5" t="s">
        <v>2863</v>
      </c>
      <c r="B3169" s="5" t="s">
        <v>2862</v>
      </c>
      <c r="C3169" s="5" t="s">
        <v>48</v>
      </c>
      <c r="D3169" s="21">
        <v>1</v>
      </c>
      <c r="E3169" s="12">
        <v>159</v>
      </c>
      <c r="F3169" s="10" t="str">
        <f>_xlfn.XLOOKUP(C3169,menu!A:A,menu!B:B)</f>
        <v>Chicken Lollipop</v>
      </c>
      <c r="G3169" s="10" t="str">
        <f>_xlfn.XLOOKUP(C3169,menu!A:A,menu!C:C)</f>
        <v>Starters</v>
      </c>
      <c r="H3169" s="10">
        <f>_xlfn.XLOOKUP(C3169,menu!A:A,menu!E:E)</f>
        <v>48</v>
      </c>
      <c r="I3169" s="10">
        <f t="shared" si="49"/>
        <v>48</v>
      </c>
      <c r="K3169" s="10"/>
      <c r="L3169" s="5"/>
    </row>
    <row r="3170" spans="1:12" x14ac:dyDescent="0.25">
      <c r="A3170" s="5" t="s">
        <v>2861</v>
      </c>
      <c r="B3170" s="5" t="s">
        <v>2859</v>
      </c>
      <c r="C3170" s="5" t="s">
        <v>54</v>
      </c>
      <c r="D3170" s="21">
        <v>2</v>
      </c>
      <c r="E3170" s="12">
        <v>278</v>
      </c>
      <c r="F3170" s="10" t="str">
        <f>_xlfn.XLOOKUP(C3170,menu!A:A,menu!B:B)</f>
        <v>Chicken Strips</v>
      </c>
      <c r="G3170" s="10" t="str">
        <f>_xlfn.XLOOKUP(C3170,menu!A:A,menu!C:C)</f>
        <v>Starters</v>
      </c>
      <c r="H3170" s="10">
        <f>_xlfn.XLOOKUP(C3170,menu!A:A,menu!E:E)</f>
        <v>42</v>
      </c>
      <c r="I3170" s="10">
        <f t="shared" si="49"/>
        <v>84</v>
      </c>
      <c r="K3170" s="10"/>
      <c r="L3170" s="5"/>
    </row>
    <row r="3171" spans="1:12" x14ac:dyDescent="0.25">
      <c r="A3171" s="5" t="s">
        <v>2860</v>
      </c>
      <c r="B3171" s="5" t="s">
        <v>2859</v>
      </c>
      <c r="C3171" s="5" t="s">
        <v>8</v>
      </c>
      <c r="D3171" s="21">
        <v>4</v>
      </c>
      <c r="E3171" s="12">
        <v>396</v>
      </c>
      <c r="F3171" s="10" t="str">
        <f>_xlfn.XLOOKUP(C3171,menu!A:A,menu!B:B)</f>
        <v>Paneer Sandwich</v>
      </c>
      <c r="G3171" s="10" t="str">
        <f>_xlfn.XLOOKUP(C3171,menu!A:A,menu!C:C)</f>
        <v>Sandwich</v>
      </c>
      <c r="H3171" s="10">
        <f>_xlfn.XLOOKUP(C3171,menu!A:A,menu!E:E)</f>
        <v>30</v>
      </c>
      <c r="I3171" s="10">
        <f t="shared" si="49"/>
        <v>120</v>
      </c>
      <c r="K3171" s="10"/>
      <c r="L3171" s="5"/>
    </row>
    <row r="3172" spans="1:12" x14ac:dyDescent="0.25">
      <c r="A3172" s="5" t="s">
        <v>2858</v>
      </c>
      <c r="B3172" s="5" t="s">
        <v>2855</v>
      </c>
      <c r="C3172" s="5" t="s">
        <v>5</v>
      </c>
      <c r="D3172" s="21">
        <v>3</v>
      </c>
      <c r="E3172" s="12">
        <v>237</v>
      </c>
      <c r="F3172" s="10" t="str">
        <f>_xlfn.XLOOKUP(C3172,menu!A:A,menu!B:B)</f>
        <v>Veg Sandwich</v>
      </c>
      <c r="G3172" s="10" t="str">
        <f>_xlfn.XLOOKUP(C3172,menu!A:A,menu!C:C)</f>
        <v>Sandwich</v>
      </c>
      <c r="H3172" s="10">
        <f>_xlfn.XLOOKUP(C3172,menu!A:A,menu!E:E)</f>
        <v>24</v>
      </c>
      <c r="I3172" s="10">
        <f t="shared" si="49"/>
        <v>72</v>
      </c>
      <c r="K3172" s="10"/>
      <c r="L3172" s="5"/>
    </row>
    <row r="3173" spans="1:12" x14ac:dyDescent="0.25">
      <c r="A3173" s="5" t="s">
        <v>2857</v>
      </c>
      <c r="B3173" s="5" t="s">
        <v>2855</v>
      </c>
      <c r="C3173" s="5" t="s">
        <v>26</v>
      </c>
      <c r="D3173" s="21">
        <v>2</v>
      </c>
      <c r="E3173" s="12">
        <v>118</v>
      </c>
      <c r="F3173" s="10" t="str">
        <f>_xlfn.XLOOKUP(C3173,menu!A:A,menu!B:B)</f>
        <v>Veg Roll</v>
      </c>
      <c r="G3173" s="10" t="str">
        <f>_xlfn.XLOOKUP(C3173,menu!A:A,menu!C:C)</f>
        <v>Rolls</v>
      </c>
      <c r="H3173" s="10">
        <f>_xlfn.XLOOKUP(C3173,menu!A:A,menu!E:E)</f>
        <v>18</v>
      </c>
      <c r="I3173" s="10">
        <f t="shared" si="49"/>
        <v>36</v>
      </c>
      <c r="K3173" s="10"/>
      <c r="L3173" s="5"/>
    </row>
    <row r="3174" spans="1:12" x14ac:dyDescent="0.25">
      <c r="A3174" s="5" t="s">
        <v>2856</v>
      </c>
      <c r="B3174" s="5" t="s">
        <v>2855</v>
      </c>
      <c r="C3174" s="5" t="s">
        <v>38</v>
      </c>
      <c r="D3174" s="21">
        <v>1</v>
      </c>
      <c r="E3174" s="12">
        <v>149</v>
      </c>
      <c r="F3174" s="10" t="str">
        <f>_xlfn.XLOOKUP(C3174,menu!A:A,menu!B:B)</f>
        <v>Chicken Wings</v>
      </c>
      <c r="G3174" s="10" t="str">
        <f>_xlfn.XLOOKUP(C3174,menu!A:A,menu!C:C)</f>
        <v>Starters</v>
      </c>
      <c r="H3174" s="10">
        <f>_xlfn.XLOOKUP(C3174,menu!A:A,menu!E:E)</f>
        <v>45</v>
      </c>
      <c r="I3174" s="10">
        <f t="shared" si="49"/>
        <v>45</v>
      </c>
      <c r="K3174" s="10"/>
      <c r="L3174" s="5"/>
    </row>
    <row r="3175" spans="1:12" x14ac:dyDescent="0.25">
      <c r="A3175" s="5" t="s">
        <v>2854</v>
      </c>
      <c r="B3175" s="5" t="s">
        <v>2850</v>
      </c>
      <c r="C3175" s="5" t="s">
        <v>40</v>
      </c>
      <c r="D3175" s="21">
        <v>2</v>
      </c>
      <c r="E3175" s="12">
        <v>198</v>
      </c>
      <c r="F3175" s="10" t="str">
        <f>_xlfn.XLOOKUP(C3175,menu!A:A,menu!B:B)</f>
        <v>Veg Nuggets</v>
      </c>
      <c r="G3175" s="10" t="str">
        <f>_xlfn.XLOOKUP(C3175,menu!A:A,menu!C:C)</f>
        <v>Starters</v>
      </c>
      <c r="H3175" s="10">
        <f>_xlfn.XLOOKUP(C3175,menu!A:A,menu!E:E)</f>
        <v>30</v>
      </c>
      <c r="I3175" s="10">
        <f t="shared" si="49"/>
        <v>60</v>
      </c>
      <c r="K3175" s="10"/>
      <c r="L3175" s="5"/>
    </row>
    <row r="3176" spans="1:12" x14ac:dyDescent="0.25">
      <c r="A3176" s="5" t="s">
        <v>2853</v>
      </c>
      <c r="B3176" s="5" t="s">
        <v>2850</v>
      </c>
      <c r="C3176" s="5" t="s">
        <v>15</v>
      </c>
      <c r="D3176" s="21">
        <v>3</v>
      </c>
      <c r="E3176" s="12">
        <v>297</v>
      </c>
      <c r="F3176" s="10" t="str">
        <f>_xlfn.XLOOKUP(C3176,menu!A:A,menu!B:B)</f>
        <v>Chicken Momos</v>
      </c>
      <c r="G3176" s="10" t="str">
        <f>_xlfn.XLOOKUP(C3176,menu!A:A,menu!C:C)</f>
        <v>Momos</v>
      </c>
      <c r="H3176" s="10">
        <f>_xlfn.XLOOKUP(C3176,menu!A:A,menu!E:E)</f>
        <v>30</v>
      </c>
      <c r="I3176" s="10">
        <f t="shared" si="49"/>
        <v>90</v>
      </c>
      <c r="K3176" s="10"/>
      <c r="L3176" s="5"/>
    </row>
    <row r="3177" spans="1:12" x14ac:dyDescent="0.25">
      <c r="A3177" s="5" t="s">
        <v>2852</v>
      </c>
      <c r="B3177" s="5" t="s">
        <v>2850</v>
      </c>
      <c r="C3177" s="5" t="s">
        <v>26</v>
      </c>
      <c r="D3177" s="21">
        <v>2</v>
      </c>
      <c r="E3177" s="12">
        <v>118</v>
      </c>
      <c r="F3177" s="10" t="str">
        <f>_xlfn.XLOOKUP(C3177,menu!A:A,menu!B:B)</f>
        <v>Veg Roll</v>
      </c>
      <c r="G3177" s="10" t="str">
        <f>_xlfn.XLOOKUP(C3177,menu!A:A,menu!C:C)</f>
        <v>Rolls</v>
      </c>
      <c r="H3177" s="10">
        <f>_xlfn.XLOOKUP(C3177,menu!A:A,menu!E:E)</f>
        <v>18</v>
      </c>
      <c r="I3177" s="10">
        <f t="shared" si="49"/>
        <v>36</v>
      </c>
      <c r="K3177" s="10"/>
      <c r="L3177" s="5"/>
    </row>
    <row r="3178" spans="1:12" x14ac:dyDescent="0.25">
      <c r="A3178" s="5" t="s">
        <v>2851</v>
      </c>
      <c r="B3178" s="5" t="s">
        <v>2850</v>
      </c>
      <c r="C3178" s="5" t="s">
        <v>12</v>
      </c>
      <c r="D3178" s="21">
        <v>1</v>
      </c>
      <c r="E3178" s="12">
        <v>79</v>
      </c>
      <c r="F3178" s="10" t="str">
        <f>_xlfn.XLOOKUP(C3178,menu!A:A,menu!B:B)</f>
        <v>Veg Momos</v>
      </c>
      <c r="G3178" s="10" t="str">
        <f>_xlfn.XLOOKUP(C3178,menu!A:A,menu!C:C)</f>
        <v>Momos</v>
      </c>
      <c r="H3178" s="10">
        <f>_xlfn.XLOOKUP(C3178,menu!A:A,menu!E:E)</f>
        <v>24</v>
      </c>
      <c r="I3178" s="10">
        <f t="shared" si="49"/>
        <v>24</v>
      </c>
      <c r="K3178" s="10"/>
      <c r="L3178" s="5"/>
    </row>
    <row r="3179" spans="1:12" x14ac:dyDescent="0.25">
      <c r="A3179" s="5" t="s">
        <v>2849</v>
      </c>
      <c r="B3179" s="5" t="s">
        <v>2845</v>
      </c>
      <c r="C3179" s="5" t="s">
        <v>10</v>
      </c>
      <c r="D3179" s="21">
        <v>3</v>
      </c>
      <c r="E3179" s="12">
        <v>357</v>
      </c>
      <c r="F3179" s="10" t="str">
        <f>_xlfn.XLOOKUP(C3179,menu!A:A,menu!B:B)</f>
        <v>Chicken Sandwich</v>
      </c>
      <c r="G3179" s="10" t="str">
        <f>_xlfn.XLOOKUP(C3179,menu!A:A,menu!C:C)</f>
        <v>Sandwich</v>
      </c>
      <c r="H3179" s="10">
        <f>_xlfn.XLOOKUP(C3179,menu!A:A,menu!E:E)</f>
        <v>36</v>
      </c>
      <c r="I3179" s="10">
        <f t="shared" si="49"/>
        <v>108</v>
      </c>
      <c r="K3179" s="10"/>
      <c r="L3179" s="5"/>
    </row>
    <row r="3180" spans="1:12" x14ac:dyDescent="0.25">
      <c r="A3180" s="5" t="s">
        <v>2848</v>
      </c>
      <c r="B3180" s="5" t="s">
        <v>2845</v>
      </c>
      <c r="C3180" s="5" t="s">
        <v>54</v>
      </c>
      <c r="D3180" s="21">
        <v>4</v>
      </c>
      <c r="E3180" s="12">
        <v>556</v>
      </c>
      <c r="F3180" s="10" t="str">
        <f>_xlfn.XLOOKUP(C3180,menu!A:A,menu!B:B)</f>
        <v>Chicken Strips</v>
      </c>
      <c r="G3180" s="10" t="str">
        <f>_xlfn.XLOOKUP(C3180,menu!A:A,menu!C:C)</f>
        <v>Starters</v>
      </c>
      <c r="H3180" s="10">
        <f>_xlfn.XLOOKUP(C3180,menu!A:A,menu!E:E)</f>
        <v>42</v>
      </c>
      <c r="I3180" s="10">
        <f t="shared" si="49"/>
        <v>168</v>
      </c>
      <c r="K3180" s="10"/>
      <c r="L3180" s="5"/>
    </row>
    <row r="3181" spans="1:12" x14ac:dyDescent="0.25">
      <c r="A3181" s="5" t="s">
        <v>2847</v>
      </c>
      <c r="B3181" s="5" t="s">
        <v>2845</v>
      </c>
      <c r="C3181" s="5" t="s">
        <v>22</v>
      </c>
      <c r="D3181" s="21">
        <v>1</v>
      </c>
      <c r="E3181" s="12">
        <v>99</v>
      </c>
      <c r="F3181" s="10" t="str">
        <f>_xlfn.XLOOKUP(C3181,menu!A:A,menu!B:B)</f>
        <v>Chicken Burger</v>
      </c>
      <c r="G3181" s="10" t="str">
        <f>_xlfn.XLOOKUP(C3181,menu!A:A,menu!C:C)</f>
        <v>Burger</v>
      </c>
      <c r="H3181" s="10">
        <f>_xlfn.XLOOKUP(C3181,menu!A:A,menu!E:E)</f>
        <v>30</v>
      </c>
      <c r="I3181" s="10">
        <f t="shared" si="49"/>
        <v>30</v>
      </c>
      <c r="K3181" s="10"/>
      <c r="L3181" s="5"/>
    </row>
    <row r="3182" spans="1:12" x14ac:dyDescent="0.25">
      <c r="A3182" s="5" t="s">
        <v>2846</v>
      </c>
      <c r="B3182" s="5" t="s">
        <v>2845</v>
      </c>
      <c r="C3182" s="5" t="s">
        <v>61</v>
      </c>
      <c r="D3182" s="21">
        <v>2</v>
      </c>
      <c r="E3182" s="12">
        <v>158</v>
      </c>
      <c r="F3182" s="10" t="str">
        <f>_xlfn.XLOOKUP(C3182,menu!A:A,menu!B:B)</f>
        <v>Watermelon Mojito</v>
      </c>
      <c r="G3182" s="10" t="str">
        <f>_xlfn.XLOOKUP(C3182,menu!A:A,menu!C:C)</f>
        <v>Beverages</v>
      </c>
      <c r="H3182" s="10">
        <f>_xlfn.XLOOKUP(C3182,menu!A:A,menu!E:E)</f>
        <v>24</v>
      </c>
      <c r="I3182" s="10">
        <f t="shared" si="49"/>
        <v>48</v>
      </c>
      <c r="K3182" s="10"/>
      <c r="L3182" s="5"/>
    </row>
    <row r="3183" spans="1:12" x14ac:dyDescent="0.25">
      <c r="A3183" s="5" t="s">
        <v>2844</v>
      </c>
      <c r="B3183" s="5" t="s">
        <v>2843</v>
      </c>
      <c r="C3183" s="5" t="s">
        <v>17</v>
      </c>
      <c r="D3183" s="21">
        <v>1</v>
      </c>
      <c r="E3183" s="12">
        <v>89</v>
      </c>
      <c r="F3183" s="10" t="str">
        <f>_xlfn.XLOOKUP(C3183,menu!A:A,menu!B:B)</f>
        <v>Paneer Momos</v>
      </c>
      <c r="G3183" s="10" t="str">
        <f>_xlfn.XLOOKUP(C3183,menu!A:A,menu!C:C)</f>
        <v>Momos</v>
      </c>
      <c r="H3183" s="10">
        <f>_xlfn.XLOOKUP(C3183,menu!A:A,menu!E:E)</f>
        <v>27</v>
      </c>
      <c r="I3183" s="10">
        <f t="shared" si="49"/>
        <v>27</v>
      </c>
      <c r="K3183" s="10"/>
      <c r="L3183" s="5"/>
    </row>
    <row r="3184" spans="1:12" x14ac:dyDescent="0.25">
      <c r="A3184" s="5" t="s">
        <v>2842</v>
      </c>
      <c r="B3184" s="5" t="s">
        <v>2840</v>
      </c>
      <c r="C3184" s="5" t="s">
        <v>22</v>
      </c>
      <c r="D3184" s="21">
        <v>1</v>
      </c>
      <c r="E3184" s="12">
        <v>99</v>
      </c>
      <c r="F3184" s="10" t="str">
        <f>_xlfn.XLOOKUP(C3184,menu!A:A,menu!B:B)</f>
        <v>Chicken Burger</v>
      </c>
      <c r="G3184" s="10" t="str">
        <f>_xlfn.XLOOKUP(C3184,menu!A:A,menu!C:C)</f>
        <v>Burger</v>
      </c>
      <c r="H3184" s="10">
        <f>_xlfn.XLOOKUP(C3184,menu!A:A,menu!E:E)</f>
        <v>30</v>
      </c>
      <c r="I3184" s="10">
        <f t="shared" si="49"/>
        <v>30</v>
      </c>
      <c r="K3184" s="10"/>
      <c r="L3184" s="5"/>
    </row>
    <row r="3185" spans="1:12" x14ac:dyDescent="0.25">
      <c r="A3185" s="5" t="s">
        <v>2841</v>
      </c>
      <c r="B3185" s="5" t="s">
        <v>2840</v>
      </c>
      <c r="C3185" s="5" t="s">
        <v>26</v>
      </c>
      <c r="D3185" s="21">
        <v>1</v>
      </c>
      <c r="E3185" s="12">
        <v>59</v>
      </c>
      <c r="F3185" s="10" t="str">
        <f>_xlfn.XLOOKUP(C3185,menu!A:A,menu!B:B)</f>
        <v>Veg Roll</v>
      </c>
      <c r="G3185" s="10" t="str">
        <f>_xlfn.XLOOKUP(C3185,menu!A:A,menu!C:C)</f>
        <v>Rolls</v>
      </c>
      <c r="H3185" s="10">
        <f>_xlfn.XLOOKUP(C3185,menu!A:A,menu!E:E)</f>
        <v>18</v>
      </c>
      <c r="I3185" s="10">
        <f t="shared" si="49"/>
        <v>18</v>
      </c>
      <c r="K3185" s="10"/>
      <c r="L3185" s="5"/>
    </row>
    <row r="3186" spans="1:12" x14ac:dyDescent="0.25">
      <c r="A3186" s="5" t="s">
        <v>2839</v>
      </c>
      <c r="B3186" s="5" t="s">
        <v>2836</v>
      </c>
      <c r="C3186" s="5" t="s">
        <v>35</v>
      </c>
      <c r="D3186" s="21">
        <v>1</v>
      </c>
      <c r="E3186" s="12">
        <v>119</v>
      </c>
      <c r="F3186" s="10" t="str">
        <f>_xlfn.XLOOKUP(C3186,menu!A:A,menu!B:B)</f>
        <v>Chicken Nuggets</v>
      </c>
      <c r="G3186" s="10" t="str">
        <f>_xlfn.XLOOKUP(C3186,menu!A:A,menu!C:C)</f>
        <v>Starters</v>
      </c>
      <c r="H3186" s="10">
        <f>_xlfn.XLOOKUP(C3186,menu!A:A,menu!E:E)</f>
        <v>36</v>
      </c>
      <c r="I3186" s="10">
        <f t="shared" si="49"/>
        <v>36</v>
      </c>
      <c r="K3186" s="10"/>
      <c r="L3186" s="5"/>
    </row>
    <row r="3187" spans="1:12" x14ac:dyDescent="0.25">
      <c r="A3187" s="5" t="s">
        <v>2838</v>
      </c>
      <c r="B3187" s="5" t="s">
        <v>2836</v>
      </c>
      <c r="C3187" s="5" t="s">
        <v>22</v>
      </c>
      <c r="D3187" s="21">
        <v>1</v>
      </c>
      <c r="E3187" s="12">
        <v>99</v>
      </c>
      <c r="F3187" s="10" t="str">
        <f>_xlfn.XLOOKUP(C3187,menu!A:A,menu!B:B)</f>
        <v>Chicken Burger</v>
      </c>
      <c r="G3187" s="10" t="str">
        <f>_xlfn.XLOOKUP(C3187,menu!A:A,menu!C:C)</f>
        <v>Burger</v>
      </c>
      <c r="H3187" s="10">
        <f>_xlfn.XLOOKUP(C3187,menu!A:A,menu!E:E)</f>
        <v>30</v>
      </c>
      <c r="I3187" s="10">
        <f t="shared" si="49"/>
        <v>30</v>
      </c>
      <c r="K3187" s="10"/>
      <c r="L3187" s="5"/>
    </row>
    <row r="3188" spans="1:12" x14ac:dyDescent="0.25">
      <c r="A3188" s="5" t="s">
        <v>2837</v>
      </c>
      <c r="B3188" s="5" t="s">
        <v>2836</v>
      </c>
      <c r="C3188" s="5" t="s">
        <v>48</v>
      </c>
      <c r="D3188" s="21">
        <v>2</v>
      </c>
      <c r="E3188" s="12">
        <v>318</v>
      </c>
      <c r="F3188" s="10" t="str">
        <f>_xlfn.XLOOKUP(C3188,menu!A:A,menu!B:B)</f>
        <v>Chicken Lollipop</v>
      </c>
      <c r="G3188" s="10" t="str">
        <f>_xlfn.XLOOKUP(C3188,menu!A:A,menu!C:C)</f>
        <v>Starters</v>
      </c>
      <c r="H3188" s="10">
        <f>_xlfn.XLOOKUP(C3188,menu!A:A,menu!E:E)</f>
        <v>48</v>
      </c>
      <c r="I3188" s="10">
        <f t="shared" si="49"/>
        <v>96</v>
      </c>
      <c r="K3188" s="10"/>
      <c r="L3188" s="5"/>
    </row>
    <row r="3189" spans="1:12" x14ac:dyDescent="0.25">
      <c r="A3189" s="5" t="s">
        <v>2835</v>
      </c>
      <c r="B3189" s="5" t="s">
        <v>2834</v>
      </c>
      <c r="C3189" s="5" t="s">
        <v>48</v>
      </c>
      <c r="D3189" s="21">
        <v>2</v>
      </c>
      <c r="E3189" s="12">
        <v>318</v>
      </c>
      <c r="F3189" s="10" t="str">
        <f>_xlfn.XLOOKUP(C3189,menu!A:A,menu!B:B)</f>
        <v>Chicken Lollipop</v>
      </c>
      <c r="G3189" s="10" t="str">
        <f>_xlfn.XLOOKUP(C3189,menu!A:A,menu!C:C)</f>
        <v>Starters</v>
      </c>
      <c r="H3189" s="10">
        <f>_xlfn.XLOOKUP(C3189,menu!A:A,menu!E:E)</f>
        <v>48</v>
      </c>
      <c r="I3189" s="10">
        <f t="shared" si="49"/>
        <v>96</v>
      </c>
      <c r="K3189" s="10"/>
      <c r="L3189" s="5"/>
    </row>
    <row r="3190" spans="1:12" x14ac:dyDescent="0.25">
      <c r="A3190" s="5" t="s">
        <v>2833</v>
      </c>
      <c r="B3190" s="5" t="s">
        <v>2831</v>
      </c>
      <c r="C3190" s="5" t="s">
        <v>42</v>
      </c>
      <c r="D3190" s="21">
        <v>1</v>
      </c>
      <c r="E3190" s="12">
        <v>149</v>
      </c>
      <c r="F3190" s="10" t="str">
        <f>_xlfn.XLOOKUP(C3190,menu!A:A,menu!B:B)</f>
        <v>Chicken Popcorn</v>
      </c>
      <c r="G3190" s="10" t="str">
        <f>_xlfn.XLOOKUP(C3190,menu!A:A,menu!C:C)</f>
        <v>Starters</v>
      </c>
      <c r="H3190" s="10">
        <f>_xlfn.XLOOKUP(C3190,menu!A:A,menu!E:E)</f>
        <v>45</v>
      </c>
      <c r="I3190" s="10">
        <f t="shared" si="49"/>
        <v>45</v>
      </c>
      <c r="K3190" s="10"/>
      <c r="L3190" s="5"/>
    </row>
    <row r="3191" spans="1:12" x14ac:dyDescent="0.25">
      <c r="A3191" s="5" t="s">
        <v>2832</v>
      </c>
      <c r="B3191" s="5" t="s">
        <v>2831</v>
      </c>
      <c r="C3191" s="5" t="s">
        <v>26</v>
      </c>
      <c r="D3191" s="21">
        <v>3</v>
      </c>
      <c r="E3191" s="12">
        <v>177</v>
      </c>
      <c r="F3191" s="10" t="str">
        <f>_xlfn.XLOOKUP(C3191,menu!A:A,menu!B:B)</f>
        <v>Veg Roll</v>
      </c>
      <c r="G3191" s="10" t="str">
        <f>_xlfn.XLOOKUP(C3191,menu!A:A,menu!C:C)</f>
        <v>Rolls</v>
      </c>
      <c r="H3191" s="10">
        <f>_xlfn.XLOOKUP(C3191,menu!A:A,menu!E:E)</f>
        <v>18</v>
      </c>
      <c r="I3191" s="10">
        <f t="shared" si="49"/>
        <v>54</v>
      </c>
      <c r="K3191" s="10"/>
      <c r="L3191" s="5"/>
    </row>
    <row r="3192" spans="1:12" x14ac:dyDescent="0.25">
      <c r="A3192" s="5" t="s">
        <v>2830</v>
      </c>
      <c r="B3192" s="5" t="s">
        <v>2828</v>
      </c>
      <c r="C3192" s="5" t="s">
        <v>5</v>
      </c>
      <c r="D3192" s="21">
        <v>3</v>
      </c>
      <c r="E3192" s="12">
        <v>237</v>
      </c>
      <c r="F3192" s="10" t="str">
        <f>_xlfn.XLOOKUP(C3192,menu!A:A,menu!B:B)</f>
        <v>Veg Sandwich</v>
      </c>
      <c r="G3192" s="10" t="str">
        <f>_xlfn.XLOOKUP(C3192,menu!A:A,menu!C:C)</f>
        <v>Sandwich</v>
      </c>
      <c r="H3192" s="10">
        <f>_xlfn.XLOOKUP(C3192,menu!A:A,menu!E:E)</f>
        <v>24</v>
      </c>
      <c r="I3192" s="10">
        <f t="shared" si="49"/>
        <v>72</v>
      </c>
      <c r="K3192" s="10"/>
      <c r="L3192" s="5"/>
    </row>
    <row r="3193" spans="1:12" x14ac:dyDescent="0.25">
      <c r="A3193" s="5" t="s">
        <v>2829</v>
      </c>
      <c r="B3193" s="5" t="s">
        <v>2828</v>
      </c>
      <c r="C3193" s="5" t="s">
        <v>54</v>
      </c>
      <c r="D3193" s="21">
        <v>3</v>
      </c>
      <c r="E3193" s="12">
        <v>417</v>
      </c>
      <c r="F3193" s="10" t="str">
        <f>_xlfn.XLOOKUP(C3193,menu!A:A,menu!B:B)</f>
        <v>Chicken Strips</v>
      </c>
      <c r="G3193" s="10" t="str">
        <f>_xlfn.XLOOKUP(C3193,menu!A:A,menu!C:C)</f>
        <v>Starters</v>
      </c>
      <c r="H3193" s="10">
        <f>_xlfn.XLOOKUP(C3193,menu!A:A,menu!E:E)</f>
        <v>42</v>
      </c>
      <c r="I3193" s="10">
        <f t="shared" si="49"/>
        <v>126</v>
      </c>
      <c r="K3193" s="10"/>
      <c r="L3193" s="5"/>
    </row>
    <row r="3194" spans="1:12" x14ac:dyDescent="0.25">
      <c r="A3194" s="5" t="s">
        <v>2827</v>
      </c>
      <c r="B3194" s="5" t="s">
        <v>2823</v>
      </c>
      <c r="C3194" s="5" t="s">
        <v>17</v>
      </c>
      <c r="D3194" s="21">
        <v>1</v>
      </c>
      <c r="E3194" s="12">
        <v>89</v>
      </c>
      <c r="F3194" s="10" t="str">
        <f>_xlfn.XLOOKUP(C3194,menu!A:A,menu!B:B)</f>
        <v>Paneer Momos</v>
      </c>
      <c r="G3194" s="10" t="str">
        <f>_xlfn.XLOOKUP(C3194,menu!A:A,menu!C:C)</f>
        <v>Momos</v>
      </c>
      <c r="H3194" s="10">
        <f>_xlfn.XLOOKUP(C3194,menu!A:A,menu!E:E)</f>
        <v>27</v>
      </c>
      <c r="I3194" s="10">
        <f t="shared" si="49"/>
        <v>27</v>
      </c>
      <c r="K3194" s="10"/>
      <c r="L3194" s="5"/>
    </row>
    <row r="3195" spans="1:12" x14ac:dyDescent="0.25">
      <c r="A3195" s="5" t="s">
        <v>2826</v>
      </c>
      <c r="B3195" s="5" t="s">
        <v>2823</v>
      </c>
      <c r="C3195" s="5" t="s">
        <v>54</v>
      </c>
      <c r="D3195" s="21">
        <v>3</v>
      </c>
      <c r="E3195" s="12">
        <v>417</v>
      </c>
      <c r="F3195" s="10" t="str">
        <f>_xlfn.XLOOKUP(C3195,menu!A:A,menu!B:B)</f>
        <v>Chicken Strips</v>
      </c>
      <c r="G3195" s="10" t="str">
        <f>_xlfn.XLOOKUP(C3195,menu!A:A,menu!C:C)</f>
        <v>Starters</v>
      </c>
      <c r="H3195" s="10">
        <f>_xlfn.XLOOKUP(C3195,menu!A:A,menu!E:E)</f>
        <v>42</v>
      </c>
      <c r="I3195" s="10">
        <f t="shared" si="49"/>
        <v>126</v>
      </c>
      <c r="K3195" s="10"/>
      <c r="L3195" s="5"/>
    </row>
    <row r="3196" spans="1:12" x14ac:dyDescent="0.25">
      <c r="A3196" s="5" t="s">
        <v>2825</v>
      </c>
      <c r="B3196" s="5" t="s">
        <v>2823</v>
      </c>
      <c r="C3196" s="5" t="s">
        <v>33</v>
      </c>
      <c r="D3196" s="21">
        <v>2</v>
      </c>
      <c r="E3196" s="12">
        <v>138</v>
      </c>
      <c r="F3196" s="10" t="str">
        <f>_xlfn.XLOOKUP(C3196,menu!A:A,menu!B:B)</f>
        <v>Spring Roll</v>
      </c>
      <c r="G3196" s="10" t="str">
        <f>_xlfn.XLOOKUP(C3196,menu!A:A,menu!C:C)</f>
        <v>Rolls</v>
      </c>
      <c r="H3196" s="10">
        <f>_xlfn.XLOOKUP(C3196,menu!A:A,menu!E:E)</f>
        <v>21</v>
      </c>
      <c r="I3196" s="10">
        <f t="shared" si="49"/>
        <v>42</v>
      </c>
      <c r="K3196" s="10"/>
      <c r="L3196" s="5"/>
    </row>
    <row r="3197" spans="1:12" x14ac:dyDescent="0.25">
      <c r="A3197" s="5" t="s">
        <v>2824</v>
      </c>
      <c r="B3197" s="5" t="s">
        <v>2823</v>
      </c>
      <c r="C3197" s="5" t="s">
        <v>12</v>
      </c>
      <c r="D3197" s="21">
        <v>1</v>
      </c>
      <c r="E3197" s="12">
        <v>79</v>
      </c>
      <c r="F3197" s="10" t="str">
        <f>_xlfn.XLOOKUP(C3197,menu!A:A,menu!B:B)</f>
        <v>Veg Momos</v>
      </c>
      <c r="G3197" s="10" t="str">
        <f>_xlfn.XLOOKUP(C3197,menu!A:A,menu!C:C)</f>
        <v>Momos</v>
      </c>
      <c r="H3197" s="10">
        <f>_xlfn.XLOOKUP(C3197,menu!A:A,menu!E:E)</f>
        <v>24</v>
      </c>
      <c r="I3197" s="10">
        <f t="shared" si="49"/>
        <v>24</v>
      </c>
      <c r="K3197" s="10"/>
      <c r="L3197" s="5"/>
    </row>
    <row r="3198" spans="1:12" x14ac:dyDescent="0.25">
      <c r="A3198" s="5" t="s">
        <v>2822</v>
      </c>
      <c r="B3198" s="5" t="s">
        <v>2820</v>
      </c>
      <c r="C3198" s="5" t="s">
        <v>10</v>
      </c>
      <c r="D3198" s="21">
        <v>1</v>
      </c>
      <c r="E3198" s="12">
        <v>119</v>
      </c>
      <c r="F3198" s="10" t="str">
        <f>_xlfn.XLOOKUP(C3198,menu!A:A,menu!B:B)</f>
        <v>Chicken Sandwich</v>
      </c>
      <c r="G3198" s="10" t="str">
        <f>_xlfn.XLOOKUP(C3198,menu!A:A,menu!C:C)</f>
        <v>Sandwich</v>
      </c>
      <c r="H3198" s="10">
        <f>_xlfn.XLOOKUP(C3198,menu!A:A,menu!E:E)</f>
        <v>36</v>
      </c>
      <c r="I3198" s="10">
        <f t="shared" si="49"/>
        <v>36</v>
      </c>
      <c r="K3198" s="10"/>
      <c r="L3198" s="5"/>
    </row>
    <row r="3199" spans="1:12" x14ac:dyDescent="0.25">
      <c r="A3199" s="5" t="s">
        <v>2821</v>
      </c>
      <c r="B3199" s="5" t="s">
        <v>2820</v>
      </c>
      <c r="C3199" s="5" t="s">
        <v>48</v>
      </c>
      <c r="D3199" s="21">
        <v>1</v>
      </c>
      <c r="E3199" s="12">
        <v>159</v>
      </c>
      <c r="F3199" s="10" t="str">
        <f>_xlfn.XLOOKUP(C3199,menu!A:A,menu!B:B)</f>
        <v>Chicken Lollipop</v>
      </c>
      <c r="G3199" s="10" t="str">
        <f>_xlfn.XLOOKUP(C3199,menu!A:A,menu!C:C)</f>
        <v>Starters</v>
      </c>
      <c r="H3199" s="10">
        <f>_xlfn.XLOOKUP(C3199,menu!A:A,menu!E:E)</f>
        <v>48</v>
      </c>
      <c r="I3199" s="10">
        <f t="shared" si="49"/>
        <v>48</v>
      </c>
      <c r="K3199" s="10"/>
      <c r="L3199" s="5"/>
    </row>
    <row r="3200" spans="1:12" x14ac:dyDescent="0.25">
      <c r="A3200" s="5" t="s">
        <v>2819</v>
      </c>
      <c r="B3200" s="5" t="s">
        <v>2817</v>
      </c>
      <c r="C3200" s="5" t="s">
        <v>35</v>
      </c>
      <c r="D3200" s="21">
        <v>1</v>
      </c>
      <c r="E3200" s="12">
        <v>119</v>
      </c>
      <c r="F3200" s="10" t="str">
        <f>_xlfn.XLOOKUP(C3200,menu!A:A,menu!B:B)</f>
        <v>Chicken Nuggets</v>
      </c>
      <c r="G3200" s="10" t="str">
        <f>_xlfn.XLOOKUP(C3200,menu!A:A,menu!C:C)</f>
        <v>Starters</v>
      </c>
      <c r="H3200" s="10">
        <f>_xlfn.XLOOKUP(C3200,menu!A:A,menu!E:E)</f>
        <v>36</v>
      </c>
      <c r="I3200" s="10">
        <f t="shared" si="49"/>
        <v>36</v>
      </c>
      <c r="K3200" s="10"/>
      <c r="L3200" s="5"/>
    </row>
    <row r="3201" spans="1:12" x14ac:dyDescent="0.25">
      <c r="A3201" s="5" t="s">
        <v>2818</v>
      </c>
      <c r="B3201" s="5" t="s">
        <v>2817</v>
      </c>
      <c r="C3201" s="5" t="s">
        <v>59</v>
      </c>
      <c r="D3201" s="21">
        <v>1</v>
      </c>
      <c r="E3201" s="12">
        <v>79</v>
      </c>
      <c r="F3201" s="10" t="str">
        <f>_xlfn.XLOOKUP(C3201,menu!A:A,menu!B:B)</f>
        <v>Blue Curacao Mojito</v>
      </c>
      <c r="G3201" s="10" t="str">
        <f>_xlfn.XLOOKUP(C3201,menu!A:A,menu!C:C)</f>
        <v>Beverages</v>
      </c>
      <c r="H3201" s="10">
        <f>_xlfn.XLOOKUP(C3201,menu!A:A,menu!E:E)</f>
        <v>24</v>
      </c>
      <c r="I3201" s="10">
        <f t="shared" si="49"/>
        <v>24</v>
      </c>
      <c r="K3201" s="10"/>
      <c r="L3201" s="5"/>
    </row>
    <row r="3202" spans="1:12" x14ac:dyDescent="0.25">
      <c r="A3202" s="5" t="s">
        <v>2816</v>
      </c>
      <c r="B3202" s="5" t="s">
        <v>2812</v>
      </c>
      <c r="C3202" s="5" t="s">
        <v>56</v>
      </c>
      <c r="D3202" s="21">
        <v>1</v>
      </c>
      <c r="E3202" s="12">
        <v>79</v>
      </c>
      <c r="F3202" s="10" t="str">
        <f>_xlfn.XLOOKUP(C3202,menu!A:A,menu!B:B)</f>
        <v>Mint Mojito</v>
      </c>
      <c r="G3202" s="10" t="str">
        <f>_xlfn.XLOOKUP(C3202,menu!A:A,menu!C:C)</f>
        <v>Beverages</v>
      </c>
      <c r="H3202" s="10">
        <f>_xlfn.XLOOKUP(C3202,menu!A:A,menu!E:E)</f>
        <v>24</v>
      </c>
      <c r="I3202" s="10">
        <f t="shared" si="49"/>
        <v>24</v>
      </c>
      <c r="K3202" s="10"/>
      <c r="L3202" s="5"/>
    </row>
    <row r="3203" spans="1:12" x14ac:dyDescent="0.25">
      <c r="A3203" s="5" t="s">
        <v>2815</v>
      </c>
      <c r="B3203" s="5" t="s">
        <v>2812</v>
      </c>
      <c r="C3203" s="5" t="s">
        <v>50</v>
      </c>
      <c r="D3203" s="21">
        <v>2</v>
      </c>
      <c r="E3203" s="12">
        <v>298</v>
      </c>
      <c r="F3203" s="10" t="str">
        <f>_xlfn.XLOOKUP(C3203,menu!A:A,menu!B:B)</f>
        <v>Grab Lollipop</v>
      </c>
      <c r="G3203" s="10" t="str">
        <f>_xlfn.XLOOKUP(C3203,menu!A:A,menu!C:C)</f>
        <v>Starters</v>
      </c>
      <c r="H3203" s="10">
        <f>_xlfn.XLOOKUP(C3203,menu!A:A,menu!E:E)</f>
        <v>45</v>
      </c>
      <c r="I3203" s="10">
        <f t="shared" ref="I3203:I3266" si="50">D3203*H3203</f>
        <v>90</v>
      </c>
      <c r="K3203" s="10"/>
      <c r="L3203" s="5"/>
    </row>
    <row r="3204" spans="1:12" x14ac:dyDescent="0.25">
      <c r="A3204" s="5" t="s">
        <v>2814</v>
      </c>
      <c r="B3204" s="5" t="s">
        <v>2812</v>
      </c>
      <c r="C3204" s="5" t="s">
        <v>15</v>
      </c>
      <c r="D3204" s="21">
        <v>5</v>
      </c>
      <c r="E3204" s="12">
        <v>495</v>
      </c>
      <c r="F3204" s="10" t="str">
        <f>_xlfn.XLOOKUP(C3204,menu!A:A,menu!B:B)</f>
        <v>Chicken Momos</v>
      </c>
      <c r="G3204" s="10" t="str">
        <f>_xlfn.XLOOKUP(C3204,menu!A:A,menu!C:C)</f>
        <v>Momos</v>
      </c>
      <c r="H3204" s="10">
        <f>_xlfn.XLOOKUP(C3204,menu!A:A,menu!E:E)</f>
        <v>30</v>
      </c>
      <c r="I3204" s="10">
        <f t="shared" si="50"/>
        <v>150</v>
      </c>
      <c r="K3204" s="10"/>
      <c r="L3204" s="5"/>
    </row>
    <row r="3205" spans="1:12" x14ac:dyDescent="0.25">
      <c r="A3205" s="5" t="s">
        <v>2813</v>
      </c>
      <c r="B3205" s="5" t="s">
        <v>2812</v>
      </c>
      <c r="C3205" s="5" t="s">
        <v>65</v>
      </c>
      <c r="D3205" s="21">
        <v>5</v>
      </c>
      <c r="E3205" s="12">
        <v>245</v>
      </c>
      <c r="F3205" s="10" t="str">
        <f>_xlfn.XLOOKUP(C3205,menu!A:A,menu!B:B)</f>
        <v>Lemon Juice</v>
      </c>
      <c r="G3205" s="10" t="str">
        <f>_xlfn.XLOOKUP(C3205,menu!A:A,menu!C:C)</f>
        <v>Beverages</v>
      </c>
      <c r="H3205" s="10">
        <f>_xlfn.XLOOKUP(C3205,menu!A:A,menu!E:E)</f>
        <v>15</v>
      </c>
      <c r="I3205" s="10">
        <f t="shared" si="50"/>
        <v>75</v>
      </c>
      <c r="K3205" s="10"/>
      <c r="L3205" s="5"/>
    </row>
    <row r="3206" spans="1:12" x14ac:dyDescent="0.25">
      <c r="A3206" s="5" t="s">
        <v>2811</v>
      </c>
      <c r="B3206" s="5" t="s">
        <v>2807</v>
      </c>
      <c r="C3206" s="5" t="s">
        <v>10</v>
      </c>
      <c r="D3206" s="21">
        <v>1</v>
      </c>
      <c r="E3206" s="12">
        <v>119</v>
      </c>
      <c r="F3206" s="10" t="str">
        <f>_xlfn.XLOOKUP(C3206,menu!A:A,menu!B:B)</f>
        <v>Chicken Sandwich</v>
      </c>
      <c r="G3206" s="10" t="str">
        <f>_xlfn.XLOOKUP(C3206,menu!A:A,menu!C:C)</f>
        <v>Sandwich</v>
      </c>
      <c r="H3206" s="10">
        <f>_xlfn.XLOOKUP(C3206,menu!A:A,menu!E:E)</f>
        <v>36</v>
      </c>
      <c r="I3206" s="10">
        <f t="shared" si="50"/>
        <v>36</v>
      </c>
      <c r="K3206" s="10"/>
      <c r="L3206" s="5"/>
    </row>
    <row r="3207" spans="1:12" x14ac:dyDescent="0.25">
      <c r="A3207" s="5" t="s">
        <v>2810</v>
      </c>
      <c r="B3207" s="5" t="s">
        <v>2807</v>
      </c>
      <c r="C3207" s="5" t="s">
        <v>44</v>
      </c>
      <c r="D3207" s="21">
        <v>1</v>
      </c>
      <c r="E3207" s="12">
        <v>159</v>
      </c>
      <c r="F3207" s="10" t="str">
        <f>_xlfn.XLOOKUP(C3207,menu!A:A,menu!B:B)</f>
        <v>Fried Chicken</v>
      </c>
      <c r="G3207" s="10" t="str">
        <f>_xlfn.XLOOKUP(C3207,menu!A:A,menu!C:C)</f>
        <v>Starters</v>
      </c>
      <c r="H3207" s="10">
        <f>_xlfn.XLOOKUP(C3207,menu!A:A,menu!E:E)</f>
        <v>48</v>
      </c>
      <c r="I3207" s="10">
        <f t="shared" si="50"/>
        <v>48</v>
      </c>
      <c r="K3207" s="10"/>
      <c r="L3207" s="5"/>
    </row>
    <row r="3208" spans="1:12" x14ac:dyDescent="0.25">
      <c r="A3208" s="5" t="s">
        <v>2809</v>
      </c>
      <c r="B3208" s="5" t="s">
        <v>2807</v>
      </c>
      <c r="C3208" s="5" t="s">
        <v>63</v>
      </c>
      <c r="D3208" s="21">
        <v>1</v>
      </c>
      <c r="E3208" s="12">
        <v>79</v>
      </c>
      <c r="F3208" s="10" t="str">
        <f>_xlfn.XLOOKUP(C3208,menu!A:A,menu!B:B)</f>
        <v>Virgin Mojito</v>
      </c>
      <c r="G3208" s="10" t="str">
        <f>_xlfn.XLOOKUP(C3208,menu!A:A,menu!C:C)</f>
        <v>Beverages</v>
      </c>
      <c r="H3208" s="10">
        <f>_xlfn.XLOOKUP(C3208,menu!A:A,menu!E:E)</f>
        <v>24</v>
      </c>
      <c r="I3208" s="10">
        <f t="shared" si="50"/>
        <v>24</v>
      </c>
      <c r="K3208" s="10"/>
      <c r="L3208" s="5"/>
    </row>
    <row r="3209" spans="1:12" x14ac:dyDescent="0.25">
      <c r="A3209" s="5" t="s">
        <v>2808</v>
      </c>
      <c r="B3209" s="5" t="s">
        <v>2807</v>
      </c>
      <c r="C3209" s="5" t="s">
        <v>59</v>
      </c>
      <c r="D3209" s="21">
        <v>1</v>
      </c>
      <c r="E3209" s="12">
        <v>79</v>
      </c>
      <c r="F3209" s="10" t="str">
        <f>_xlfn.XLOOKUP(C3209,menu!A:A,menu!B:B)</f>
        <v>Blue Curacao Mojito</v>
      </c>
      <c r="G3209" s="10" t="str">
        <f>_xlfn.XLOOKUP(C3209,menu!A:A,menu!C:C)</f>
        <v>Beverages</v>
      </c>
      <c r="H3209" s="10">
        <f>_xlfn.XLOOKUP(C3209,menu!A:A,menu!E:E)</f>
        <v>24</v>
      </c>
      <c r="I3209" s="10">
        <f t="shared" si="50"/>
        <v>24</v>
      </c>
      <c r="K3209" s="10"/>
      <c r="L3209" s="5"/>
    </row>
    <row r="3210" spans="1:12" x14ac:dyDescent="0.25">
      <c r="A3210" s="5" t="s">
        <v>2806</v>
      </c>
      <c r="B3210" s="5" t="s">
        <v>2803</v>
      </c>
      <c r="C3210" s="5" t="s">
        <v>19</v>
      </c>
      <c r="D3210" s="21">
        <v>1</v>
      </c>
      <c r="E3210" s="12">
        <v>79</v>
      </c>
      <c r="F3210" s="10" t="str">
        <f>_xlfn.XLOOKUP(C3210,menu!A:A,menu!B:B)</f>
        <v>Veg Burger</v>
      </c>
      <c r="G3210" s="10" t="str">
        <f>_xlfn.XLOOKUP(C3210,menu!A:A,menu!C:C)</f>
        <v>Burger</v>
      </c>
      <c r="H3210" s="10">
        <f>_xlfn.XLOOKUP(C3210,menu!A:A,menu!E:E)</f>
        <v>24</v>
      </c>
      <c r="I3210" s="10">
        <f t="shared" si="50"/>
        <v>24</v>
      </c>
      <c r="K3210" s="10"/>
      <c r="L3210" s="5"/>
    </row>
    <row r="3211" spans="1:12" x14ac:dyDescent="0.25">
      <c r="A3211" s="5" t="s">
        <v>2805</v>
      </c>
      <c r="B3211" s="5" t="s">
        <v>2803</v>
      </c>
      <c r="C3211" s="5" t="s">
        <v>8</v>
      </c>
      <c r="D3211" s="21">
        <v>1</v>
      </c>
      <c r="E3211" s="12">
        <v>99</v>
      </c>
      <c r="F3211" s="10" t="str">
        <f>_xlfn.XLOOKUP(C3211,menu!A:A,menu!B:B)</f>
        <v>Paneer Sandwich</v>
      </c>
      <c r="G3211" s="10" t="str">
        <f>_xlfn.XLOOKUP(C3211,menu!A:A,menu!C:C)</f>
        <v>Sandwich</v>
      </c>
      <c r="H3211" s="10">
        <f>_xlfn.XLOOKUP(C3211,menu!A:A,menu!E:E)</f>
        <v>30</v>
      </c>
      <c r="I3211" s="10">
        <f t="shared" si="50"/>
        <v>30</v>
      </c>
      <c r="K3211" s="10"/>
      <c r="L3211" s="5"/>
    </row>
    <row r="3212" spans="1:12" x14ac:dyDescent="0.25">
      <c r="A3212" s="5" t="s">
        <v>2804</v>
      </c>
      <c r="B3212" s="5" t="s">
        <v>2803</v>
      </c>
      <c r="C3212" s="5" t="s">
        <v>12</v>
      </c>
      <c r="D3212" s="21">
        <v>2</v>
      </c>
      <c r="E3212" s="12">
        <v>158</v>
      </c>
      <c r="F3212" s="10" t="str">
        <f>_xlfn.XLOOKUP(C3212,menu!A:A,menu!B:B)</f>
        <v>Veg Momos</v>
      </c>
      <c r="G3212" s="10" t="str">
        <f>_xlfn.XLOOKUP(C3212,menu!A:A,menu!C:C)</f>
        <v>Momos</v>
      </c>
      <c r="H3212" s="10">
        <f>_xlfn.XLOOKUP(C3212,menu!A:A,menu!E:E)</f>
        <v>24</v>
      </c>
      <c r="I3212" s="10">
        <f t="shared" si="50"/>
        <v>48</v>
      </c>
      <c r="K3212" s="10"/>
      <c r="L3212" s="5"/>
    </row>
    <row r="3213" spans="1:12" x14ac:dyDescent="0.25">
      <c r="A3213" s="5" t="s">
        <v>2802</v>
      </c>
      <c r="B3213" s="5" t="s">
        <v>2800</v>
      </c>
      <c r="C3213" s="5" t="s">
        <v>40</v>
      </c>
      <c r="D3213" s="21">
        <v>2</v>
      </c>
      <c r="E3213" s="12">
        <v>198</v>
      </c>
      <c r="F3213" s="10" t="str">
        <f>_xlfn.XLOOKUP(C3213,menu!A:A,menu!B:B)</f>
        <v>Veg Nuggets</v>
      </c>
      <c r="G3213" s="10" t="str">
        <f>_xlfn.XLOOKUP(C3213,menu!A:A,menu!C:C)</f>
        <v>Starters</v>
      </c>
      <c r="H3213" s="10">
        <f>_xlfn.XLOOKUP(C3213,menu!A:A,menu!E:E)</f>
        <v>30</v>
      </c>
      <c r="I3213" s="10">
        <f t="shared" si="50"/>
        <v>60</v>
      </c>
      <c r="K3213" s="10"/>
      <c r="L3213" s="5"/>
    </row>
    <row r="3214" spans="1:12" x14ac:dyDescent="0.25">
      <c r="A3214" s="5" t="s">
        <v>2801</v>
      </c>
      <c r="B3214" s="5" t="s">
        <v>2800</v>
      </c>
      <c r="C3214" s="5" t="s">
        <v>50</v>
      </c>
      <c r="D3214" s="21">
        <v>3</v>
      </c>
      <c r="E3214" s="12">
        <v>447</v>
      </c>
      <c r="F3214" s="10" t="str">
        <f>_xlfn.XLOOKUP(C3214,menu!A:A,menu!B:B)</f>
        <v>Grab Lollipop</v>
      </c>
      <c r="G3214" s="10" t="str">
        <f>_xlfn.XLOOKUP(C3214,menu!A:A,menu!C:C)</f>
        <v>Starters</v>
      </c>
      <c r="H3214" s="10">
        <f>_xlfn.XLOOKUP(C3214,menu!A:A,menu!E:E)</f>
        <v>45</v>
      </c>
      <c r="I3214" s="10">
        <f t="shared" si="50"/>
        <v>135</v>
      </c>
      <c r="K3214" s="10"/>
      <c r="L3214" s="5"/>
    </row>
    <row r="3215" spans="1:12" x14ac:dyDescent="0.25">
      <c r="A3215" s="5" t="s">
        <v>2799</v>
      </c>
      <c r="B3215" s="5" t="s">
        <v>2797</v>
      </c>
      <c r="C3215" s="5" t="s">
        <v>29</v>
      </c>
      <c r="D3215" s="21">
        <v>2</v>
      </c>
      <c r="E3215" s="12">
        <v>158</v>
      </c>
      <c r="F3215" s="10" t="str">
        <f>_xlfn.XLOOKUP(C3215,menu!A:A,menu!B:B)</f>
        <v>Paneer Roll</v>
      </c>
      <c r="G3215" s="10" t="str">
        <f>_xlfn.XLOOKUP(C3215,menu!A:A,menu!C:C)</f>
        <v>Rolls</v>
      </c>
      <c r="H3215" s="10">
        <f>_xlfn.XLOOKUP(C3215,menu!A:A,menu!E:E)</f>
        <v>24</v>
      </c>
      <c r="I3215" s="10">
        <f t="shared" si="50"/>
        <v>48</v>
      </c>
      <c r="K3215" s="10"/>
      <c r="L3215" s="5"/>
    </row>
    <row r="3216" spans="1:12" x14ac:dyDescent="0.25">
      <c r="A3216" s="5" t="s">
        <v>2798</v>
      </c>
      <c r="B3216" s="5" t="s">
        <v>2797</v>
      </c>
      <c r="C3216" s="5" t="s">
        <v>54</v>
      </c>
      <c r="D3216" s="21">
        <v>1</v>
      </c>
      <c r="E3216" s="12">
        <v>139</v>
      </c>
      <c r="F3216" s="10" t="str">
        <f>_xlfn.XLOOKUP(C3216,menu!A:A,menu!B:B)</f>
        <v>Chicken Strips</v>
      </c>
      <c r="G3216" s="10" t="str">
        <f>_xlfn.XLOOKUP(C3216,menu!A:A,menu!C:C)</f>
        <v>Starters</v>
      </c>
      <c r="H3216" s="10">
        <f>_xlfn.XLOOKUP(C3216,menu!A:A,menu!E:E)</f>
        <v>42</v>
      </c>
      <c r="I3216" s="10">
        <f t="shared" si="50"/>
        <v>42</v>
      </c>
      <c r="K3216" s="10"/>
      <c r="L3216" s="5"/>
    </row>
    <row r="3217" spans="1:12" x14ac:dyDescent="0.25">
      <c r="A3217" s="5" t="s">
        <v>2796</v>
      </c>
      <c r="B3217" s="5" t="s">
        <v>2792</v>
      </c>
      <c r="C3217" s="5" t="s">
        <v>12</v>
      </c>
      <c r="D3217" s="21">
        <v>2</v>
      </c>
      <c r="E3217" s="12">
        <v>158</v>
      </c>
      <c r="F3217" s="10" t="str">
        <f>_xlfn.XLOOKUP(C3217,menu!A:A,menu!B:B)</f>
        <v>Veg Momos</v>
      </c>
      <c r="G3217" s="10" t="str">
        <f>_xlfn.XLOOKUP(C3217,menu!A:A,menu!C:C)</f>
        <v>Momos</v>
      </c>
      <c r="H3217" s="10">
        <f>_xlfn.XLOOKUP(C3217,menu!A:A,menu!E:E)</f>
        <v>24</v>
      </c>
      <c r="I3217" s="10">
        <f t="shared" si="50"/>
        <v>48</v>
      </c>
      <c r="K3217" s="10"/>
      <c r="L3217" s="5"/>
    </row>
    <row r="3218" spans="1:12" x14ac:dyDescent="0.25">
      <c r="A3218" s="5" t="s">
        <v>2795</v>
      </c>
      <c r="B3218" s="5" t="s">
        <v>2792</v>
      </c>
      <c r="C3218" s="5" t="s">
        <v>52</v>
      </c>
      <c r="D3218" s="21">
        <v>1</v>
      </c>
      <c r="E3218" s="12">
        <v>99</v>
      </c>
      <c r="F3218" s="10" t="str">
        <f>_xlfn.XLOOKUP(C3218,menu!A:A,menu!B:B)</f>
        <v>French Fries</v>
      </c>
      <c r="G3218" s="10" t="str">
        <f>_xlfn.XLOOKUP(C3218,menu!A:A,menu!C:C)</f>
        <v>Starters</v>
      </c>
      <c r="H3218" s="10">
        <f>_xlfn.XLOOKUP(C3218,menu!A:A,menu!E:E)</f>
        <v>30</v>
      </c>
      <c r="I3218" s="10">
        <f t="shared" si="50"/>
        <v>30</v>
      </c>
      <c r="K3218" s="10"/>
      <c r="L3218" s="5"/>
    </row>
    <row r="3219" spans="1:12" x14ac:dyDescent="0.25">
      <c r="A3219" s="5" t="s">
        <v>2794</v>
      </c>
      <c r="B3219" s="5" t="s">
        <v>2792</v>
      </c>
      <c r="C3219" s="5" t="s">
        <v>42</v>
      </c>
      <c r="D3219" s="21">
        <v>1</v>
      </c>
      <c r="E3219" s="12">
        <v>149</v>
      </c>
      <c r="F3219" s="10" t="str">
        <f>_xlfn.XLOOKUP(C3219,menu!A:A,menu!B:B)</f>
        <v>Chicken Popcorn</v>
      </c>
      <c r="G3219" s="10" t="str">
        <f>_xlfn.XLOOKUP(C3219,menu!A:A,menu!C:C)</f>
        <v>Starters</v>
      </c>
      <c r="H3219" s="10">
        <f>_xlfn.XLOOKUP(C3219,menu!A:A,menu!E:E)</f>
        <v>45</v>
      </c>
      <c r="I3219" s="10">
        <f t="shared" si="50"/>
        <v>45</v>
      </c>
      <c r="K3219" s="10"/>
      <c r="L3219" s="5"/>
    </row>
    <row r="3220" spans="1:12" x14ac:dyDescent="0.25">
      <c r="A3220" s="5" t="s">
        <v>2793</v>
      </c>
      <c r="B3220" s="5" t="s">
        <v>2792</v>
      </c>
      <c r="C3220" s="5" t="s">
        <v>31</v>
      </c>
      <c r="D3220" s="21">
        <v>2</v>
      </c>
      <c r="E3220" s="12">
        <v>178</v>
      </c>
      <c r="F3220" s="10" t="str">
        <f>_xlfn.XLOOKUP(C3220,menu!A:A,menu!B:B)</f>
        <v>Chicken Roll</v>
      </c>
      <c r="G3220" s="10" t="str">
        <f>_xlfn.XLOOKUP(C3220,menu!A:A,menu!C:C)</f>
        <v>Rolls</v>
      </c>
      <c r="H3220" s="10">
        <f>_xlfn.XLOOKUP(C3220,menu!A:A,menu!E:E)</f>
        <v>27</v>
      </c>
      <c r="I3220" s="10">
        <f t="shared" si="50"/>
        <v>54</v>
      </c>
      <c r="K3220" s="10"/>
      <c r="L3220" s="5"/>
    </row>
    <row r="3221" spans="1:12" x14ac:dyDescent="0.25">
      <c r="A3221" s="5" t="s">
        <v>2791</v>
      </c>
      <c r="B3221" s="5" t="s">
        <v>2788</v>
      </c>
      <c r="C3221" s="5" t="s">
        <v>54</v>
      </c>
      <c r="D3221" s="21">
        <v>1</v>
      </c>
      <c r="E3221" s="12">
        <v>139</v>
      </c>
      <c r="F3221" s="10" t="str">
        <f>_xlfn.XLOOKUP(C3221,menu!A:A,menu!B:B)</f>
        <v>Chicken Strips</v>
      </c>
      <c r="G3221" s="10" t="str">
        <f>_xlfn.XLOOKUP(C3221,menu!A:A,menu!C:C)</f>
        <v>Starters</v>
      </c>
      <c r="H3221" s="10">
        <f>_xlfn.XLOOKUP(C3221,menu!A:A,menu!E:E)</f>
        <v>42</v>
      </c>
      <c r="I3221" s="10">
        <f t="shared" si="50"/>
        <v>42</v>
      </c>
      <c r="K3221" s="10"/>
      <c r="L3221" s="5"/>
    </row>
    <row r="3222" spans="1:12" x14ac:dyDescent="0.25">
      <c r="A3222" s="5" t="s">
        <v>2790</v>
      </c>
      <c r="B3222" s="5" t="s">
        <v>2788</v>
      </c>
      <c r="C3222" s="5" t="s">
        <v>22</v>
      </c>
      <c r="D3222" s="21">
        <v>3</v>
      </c>
      <c r="E3222" s="12">
        <v>297</v>
      </c>
      <c r="F3222" s="10" t="str">
        <f>_xlfn.XLOOKUP(C3222,menu!A:A,menu!B:B)</f>
        <v>Chicken Burger</v>
      </c>
      <c r="G3222" s="10" t="str">
        <f>_xlfn.XLOOKUP(C3222,menu!A:A,menu!C:C)</f>
        <v>Burger</v>
      </c>
      <c r="H3222" s="10">
        <f>_xlfn.XLOOKUP(C3222,menu!A:A,menu!E:E)</f>
        <v>30</v>
      </c>
      <c r="I3222" s="10">
        <f t="shared" si="50"/>
        <v>90</v>
      </c>
      <c r="K3222" s="10"/>
      <c r="L3222" s="5"/>
    </row>
    <row r="3223" spans="1:12" x14ac:dyDescent="0.25">
      <c r="A3223" s="5" t="s">
        <v>2789</v>
      </c>
      <c r="B3223" s="5" t="s">
        <v>2788</v>
      </c>
      <c r="C3223" s="5" t="s">
        <v>59</v>
      </c>
      <c r="D3223" s="21">
        <v>3</v>
      </c>
      <c r="E3223" s="12">
        <v>237</v>
      </c>
      <c r="F3223" s="10" t="str">
        <f>_xlfn.XLOOKUP(C3223,menu!A:A,menu!B:B)</f>
        <v>Blue Curacao Mojito</v>
      </c>
      <c r="G3223" s="10" t="str">
        <f>_xlfn.XLOOKUP(C3223,menu!A:A,menu!C:C)</f>
        <v>Beverages</v>
      </c>
      <c r="H3223" s="10">
        <f>_xlfn.XLOOKUP(C3223,menu!A:A,menu!E:E)</f>
        <v>24</v>
      </c>
      <c r="I3223" s="10">
        <f t="shared" si="50"/>
        <v>72</v>
      </c>
      <c r="K3223" s="10"/>
      <c r="L3223" s="5"/>
    </row>
    <row r="3224" spans="1:12" x14ac:dyDescent="0.25">
      <c r="A3224" s="5" t="s">
        <v>2787</v>
      </c>
      <c r="B3224" s="5" t="s">
        <v>2786</v>
      </c>
      <c r="C3224" s="5" t="s">
        <v>38</v>
      </c>
      <c r="D3224" s="21">
        <v>1</v>
      </c>
      <c r="E3224" s="12">
        <v>149</v>
      </c>
      <c r="F3224" s="10" t="str">
        <f>_xlfn.XLOOKUP(C3224,menu!A:A,menu!B:B)</f>
        <v>Chicken Wings</v>
      </c>
      <c r="G3224" s="10" t="str">
        <f>_xlfn.XLOOKUP(C3224,menu!A:A,menu!C:C)</f>
        <v>Starters</v>
      </c>
      <c r="H3224" s="10">
        <f>_xlfn.XLOOKUP(C3224,menu!A:A,menu!E:E)</f>
        <v>45</v>
      </c>
      <c r="I3224" s="10">
        <f t="shared" si="50"/>
        <v>45</v>
      </c>
      <c r="K3224" s="10"/>
      <c r="L3224" s="5"/>
    </row>
    <row r="3225" spans="1:12" x14ac:dyDescent="0.25">
      <c r="A3225" s="5" t="s">
        <v>2785</v>
      </c>
      <c r="B3225" s="5" t="s">
        <v>2781</v>
      </c>
      <c r="C3225" s="5" t="s">
        <v>54</v>
      </c>
      <c r="D3225" s="21">
        <v>2</v>
      </c>
      <c r="E3225" s="12">
        <v>278</v>
      </c>
      <c r="F3225" s="10" t="str">
        <f>_xlfn.XLOOKUP(C3225,menu!A:A,menu!B:B)</f>
        <v>Chicken Strips</v>
      </c>
      <c r="G3225" s="10" t="str">
        <f>_xlfn.XLOOKUP(C3225,menu!A:A,menu!C:C)</f>
        <v>Starters</v>
      </c>
      <c r="H3225" s="10">
        <f>_xlfn.XLOOKUP(C3225,menu!A:A,menu!E:E)</f>
        <v>42</v>
      </c>
      <c r="I3225" s="10">
        <f t="shared" si="50"/>
        <v>84</v>
      </c>
      <c r="K3225" s="10"/>
      <c r="L3225" s="5"/>
    </row>
    <row r="3226" spans="1:12" x14ac:dyDescent="0.25">
      <c r="A3226" s="5" t="s">
        <v>2784</v>
      </c>
      <c r="B3226" s="5" t="s">
        <v>2781</v>
      </c>
      <c r="C3226" s="5" t="s">
        <v>44</v>
      </c>
      <c r="D3226" s="21">
        <v>1</v>
      </c>
      <c r="E3226" s="12">
        <v>159</v>
      </c>
      <c r="F3226" s="10" t="str">
        <f>_xlfn.XLOOKUP(C3226,menu!A:A,menu!B:B)</f>
        <v>Fried Chicken</v>
      </c>
      <c r="G3226" s="10" t="str">
        <f>_xlfn.XLOOKUP(C3226,menu!A:A,menu!C:C)</f>
        <v>Starters</v>
      </c>
      <c r="H3226" s="10">
        <f>_xlfn.XLOOKUP(C3226,menu!A:A,menu!E:E)</f>
        <v>48</v>
      </c>
      <c r="I3226" s="10">
        <f t="shared" si="50"/>
        <v>48</v>
      </c>
      <c r="K3226" s="10"/>
      <c r="L3226" s="5"/>
    </row>
    <row r="3227" spans="1:12" x14ac:dyDescent="0.25">
      <c r="A3227" s="5" t="s">
        <v>2783</v>
      </c>
      <c r="B3227" s="5" t="s">
        <v>2781</v>
      </c>
      <c r="C3227" s="5" t="s">
        <v>46</v>
      </c>
      <c r="D3227" s="21">
        <v>3</v>
      </c>
      <c r="E3227" s="12">
        <v>447</v>
      </c>
      <c r="F3227" s="10" t="str">
        <f>_xlfn.XLOOKUP(C3227,menu!A:A,menu!B:B)</f>
        <v>Fish Finger</v>
      </c>
      <c r="G3227" s="10" t="str">
        <f>_xlfn.XLOOKUP(C3227,menu!A:A,menu!C:C)</f>
        <v>Starters</v>
      </c>
      <c r="H3227" s="10">
        <f>_xlfn.XLOOKUP(C3227,menu!A:A,menu!E:E)</f>
        <v>45</v>
      </c>
      <c r="I3227" s="10">
        <f t="shared" si="50"/>
        <v>135</v>
      </c>
      <c r="K3227" s="10"/>
      <c r="L3227" s="5"/>
    </row>
    <row r="3228" spans="1:12" x14ac:dyDescent="0.25">
      <c r="A3228" s="5" t="s">
        <v>2782</v>
      </c>
      <c r="B3228" s="5" t="s">
        <v>2781</v>
      </c>
      <c r="C3228" s="5" t="s">
        <v>48</v>
      </c>
      <c r="D3228" s="21">
        <v>2</v>
      </c>
      <c r="E3228" s="12">
        <v>318</v>
      </c>
      <c r="F3228" s="10" t="str">
        <f>_xlfn.XLOOKUP(C3228,menu!A:A,menu!B:B)</f>
        <v>Chicken Lollipop</v>
      </c>
      <c r="G3228" s="10" t="str">
        <f>_xlfn.XLOOKUP(C3228,menu!A:A,menu!C:C)</f>
        <v>Starters</v>
      </c>
      <c r="H3228" s="10">
        <f>_xlfn.XLOOKUP(C3228,menu!A:A,menu!E:E)</f>
        <v>48</v>
      </c>
      <c r="I3228" s="10">
        <f t="shared" si="50"/>
        <v>96</v>
      </c>
      <c r="K3228" s="10"/>
      <c r="L3228" s="5"/>
    </row>
    <row r="3229" spans="1:12" x14ac:dyDescent="0.25">
      <c r="A3229" s="5" t="s">
        <v>2780</v>
      </c>
      <c r="B3229" s="5" t="s">
        <v>2776</v>
      </c>
      <c r="C3229" s="5" t="s">
        <v>12</v>
      </c>
      <c r="D3229" s="21">
        <v>2</v>
      </c>
      <c r="E3229" s="12">
        <v>158</v>
      </c>
      <c r="F3229" s="10" t="str">
        <f>_xlfn.XLOOKUP(C3229,menu!A:A,menu!B:B)</f>
        <v>Veg Momos</v>
      </c>
      <c r="G3229" s="10" t="str">
        <f>_xlfn.XLOOKUP(C3229,menu!A:A,menu!C:C)</f>
        <v>Momos</v>
      </c>
      <c r="H3229" s="10">
        <f>_xlfn.XLOOKUP(C3229,menu!A:A,menu!E:E)</f>
        <v>24</v>
      </c>
      <c r="I3229" s="10">
        <f t="shared" si="50"/>
        <v>48</v>
      </c>
      <c r="K3229" s="10"/>
      <c r="L3229" s="5"/>
    </row>
    <row r="3230" spans="1:12" x14ac:dyDescent="0.25">
      <c r="A3230" s="5" t="s">
        <v>2779</v>
      </c>
      <c r="B3230" s="5" t="s">
        <v>2776</v>
      </c>
      <c r="C3230" s="5" t="s">
        <v>8</v>
      </c>
      <c r="D3230" s="21">
        <v>3</v>
      </c>
      <c r="E3230" s="12">
        <v>297</v>
      </c>
      <c r="F3230" s="10" t="str">
        <f>_xlfn.XLOOKUP(C3230,menu!A:A,menu!B:B)</f>
        <v>Paneer Sandwich</v>
      </c>
      <c r="G3230" s="10" t="str">
        <f>_xlfn.XLOOKUP(C3230,menu!A:A,menu!C:C)</f>
        <v>Sandwich</v>
      </c>
      <c r="H3230" s="10">
        <f>_xlfn.XLOOKUP(C3230,menu!A:A,menu!E:E)</f>
        <v>30</v>
      </c>
      <c r="I3230" s="10">
        <f t="shared" si="50"/>
        <v>90</v>
      </c>
      <c r="K3230" s="10"/>
      <c r="L3230" s="5"/>
    </row>
    <row r="3231" spans="1:12" x14ac:dyDescent="0.25">
      <c r="A3231" s="5" t="s">
        <v>2778</v>
      </c>
      <c r="B3231" s="5" t="s">
        <v>2776</v>
      </c>
      <c r="C3231" s="5" t="s">
        <v>59</v>
      </c>
      <c r="D3231" s="21">
        <v>2</v>
      </c>
      <c r="E3231" s="12">
        <v>158</v>
      </c>
      <c r="F3231" s="10" t="str">
        <f>_xlfn.XLOOKUP(C3231,menu!A:A,menu!B:B)</f>
        <v>Blue Curacao Mojito</v>
      </c>
      <c r="G3231" s="10" t="str">
        <f>_xlfn.XLOOKUP(C3231,menu!A:A,menu!C:C)</f>
        <v>Beverages</v>
      </c>
      <c r="H3231" s="10">
        <f>_xlfn.XLOOKUP(C3231,menu!A:A,menu!E:E)</f>
        <v>24</v>
      </c>
      <c r="I3231" s="10">
        <f t="shared" si="50"/>
        <v>48</v>
      </c>
      <c r="K3231" s="10"/>
      <c r="L3231" s="5"/>
    </row>
    <row r="3232" spans="1:12" x14ac:dyDescent="0.25">
      <c r="A3232" s="5" t="s">
        <v>2777</v>
      </c>
      <c r="B3232" s="5" t="s">
        <v>2776</v>
      </c>
      <c r="C3232" s="5" t="s">
        <v>31</v>
      </c>
      <c r="D3232" s="21">
        <v>5</v>
      </c>
      <c r="E3232" s="12">
        <v>445</v>
      </c>
      <c r="F3232" s="10" t="str">
        <f>_xlfn.XLOOKUP(C3232,menu!A:A,menu!B:B)</f>
        <v>Chicken Roll</v>
      </c>
      <c r="G3232" s="10" t="str">
        <f>_xlfn.XLOOKUP(C3232,menu!A:A,menu!C:C)</f>
        <v>Rolls</v>
      </c>
      <c r="H3232" s="10">
        <f>_xlfn.XLOOKUP(C3232,menu!A:A,menu!E:E)</f>
        <v>27</v>
      </c>
      <c r="I3232" s="10">
        <f t="shared" si="50"/>
        <v>135</v>
      </c>
      <c r="K3232" s="10"/>
      <c r="L3232" s="5"/>
    </row>
    <row r="3233" spans="1:12" x14ac:dyDescent="0.25">
      <c r="A3233" s="5" t="s">
        <v>2775</v>
      </c>
      <c r="B3233" s="5" t="s">
        <v>2773</v>
      </c>
      <c r="C3233" s="5" t="s">
        <v>12</v>
      </c>
      <c r="D3233" s="21">
        <v>1</v>
      </c>
      <c r="E3233" s="12">
        <v>79</v>
      </c>
      <c r="F3233" s="10" t="str">
        <f>_xlfn.XLOOKUP(C3233,menu!A:A,menu!B:B)</f>
        <v>Veg Momos</v>
      </c>
      <c r="G3233" s="10" t="str">
        <f>_xlfn.XLOOKUP(C3233,menu!A:A,menu!C:C)</f>
        <v>Momos</v>
      </c>
      <c r="H3233" s="10">
        <f>_xlfn.XLOOKUP(C3233,menu!A:A,menu!E:E)</f>
        <v>24</v>
      </c>
      <c r="I3233" s="10">
        <f t="shared" si="50"/>
        <v>24</v>
      </c>
      <c r="K3233" s="10"/>
      <c r="L3233" s="5"/>
    </row>
    <row r="3234" spans="1:12" x14ac:dyDescent="0.25">
      <c r="A3234" s="5" t="s">
        <v>2774</v>
      </c>
      <c r="B3234" s="5" t="s">
        <v>2773</v>
      </c>
      <c r="C3234" s="5" t="s">
        <v>5</v>
      </c>
      <c r="D3234" s="21">
        <v>1</v>
      </c>
      <c r="E3234" s="12">
        <v>79</v>
      </c>
      <c r="F3234" s="10" t="str">
        <f>_xlfn.XLOOKUP(C3234,menu!A:A,menu!B:B)</f>
        <v>Veg Sandwich</v>
      </c>
      <c r="G3234" s="10" t="str">
        <f>_xlfn.XLOOKUP(C3234,menu!A:A,menu!C:C)</f>
        <v>Sandwich</v>
      </c>
      <c r="H3234" s="10">
        <f>_xlfn.XLOOKUP(C3234,menu!A:A,menu!E:E)</f>
        <v>24</v>
      </c>
      <c r="I3234" s="10">
        <f t="shared" si="50"/>
        <v>24</v>
      </c>
      <c r="K3234" s="10"/>
      <c r="L3234" s="5"/>
    </row>
    <row r="3235" spans="1:12" x14ac:dyDescent="0.25">
      <c r="A3235" s="5" t="s">
        <v>2772</v>
      </c>
      <c r="B3235" s="5" t="s">
        <v>2770</v>
      </c>
      <c r="C3235" s="5" t="s">
        <v>22</v>
      </c>
      <c r="D3235" s="21">
        <v>3</v>
      </c>
      <c r="E3235" s="12">
        <v>297</v>
      </c>
      <c r="F3235" s="10" t="str">
        <f>_xlfn.XLOOKUP(C3235,menu!A:A,menu!B:B)</f>
        <v>Chicken Burger</v>
      </c>
      <c r="G3235" s="10" t="str">
        <f>_xlfn.XLOOKUP(C3235,menu!A:A,menu!C:C)</f>
        <v>Burger</v>
      </c>
      <c r="H3235" s="10">
        <f>_xlfn.XLOOKUP(C3235,menu!A:A,menu!E:E)</f>
        <v>30</v>
      </c>
      <c r="I3235" s="10">
        <f t="shared" si="50"/>
        <v>90</v>
      </c>
      <c r="K3235" s="10"/>
      <c r="L3235" s="5"/>
    </row>
    <row r="3236" spans="1:12" x14ac:dyDescent="0.25">
      <c r="A3236" s="5" t="s">
        <v>2771</v>
      </c>
      <c r="B3236" s="5" t="s">
        <v>2770</v>
      </c>
      <c r="C3236" s="5" t="s">
        <v>26</v>
      </c>
      <c r="D3236" s="21">
        <v>4</v>
      </c>
      <c r="E3236" s="12">
        <v>236</v>
      </c>
      <c r="F3236" s="10" t="str">
        <f>_xlfn.XLOOKUP(C3236,menu!A:A,menu!B:B)</f>
        <v>Veg Roll</v>
      </c>
      <c r="G3236" s="10" t="str">
        <f>_xlfn.XLOOKUP(C3236,menu!A:A,menu!C:C)</f>
        <v>Rolls</v>
      </c>
      <c r="H3236" s="10">
        <f>_xlfn.XLOOKUP(C3236,menu!A:A,menu!E:E)</f>
        <v>18</v>
      </c>
      <c r="I3236" s="10">
        <f t="shared" si="50"/>
        <v>72</v>
      </c>
      <c r="K3236" s="10"/>
      <c r="L3236" s="5"/>
    </row>
    <row r="3237" spans="1:12" x14ac:dyDescent="0.25">
      <c r="A3237" s="5" t="s">
        <v>2769</v>
      </c>
      <c r="B3237" s="5" t="s">
        <v>2767</v>
      </c>
      <c r="C3237" s="5" t="s">
        <v>40</v>
      </c>
      <c r="D3237" s="21">
        <v>1</v>
      </c>
      <c r="E3237" s="12">
        <v>99</v>
      </c>
      <c r="F3237" s="10" t="str">
        <f>_xlfn.XLOOKUP(C3237,menu!A:A,menu!B:B)</f>
        <v>Veg Nuggets</v>
      </c>
      <c r="G3237" s="10" t="str">
        <f>_xlfn.XLOOKUP(C3237,menu!A:A,menu!C:C)</f>
        <v>Starters</v>
      </c>
      <c r="H3237" s="10">
        <f>_xlfn.XLOOKUP(C3237,menu!A:A,menu!E:E)</f>
        <v>30</v>
      </c>
      <c r="I3237" s="10">
        <f t="shared" si="50"/>
        <v>30</v>
      </c>
      <c r="K3237" s="10"/>
      <c r="L3237" s="5"/>
    </row>
    <row r="3238" spans="1:12" x14ac:dyDescent="0.25">
      <c r="A3238" s="5" t="s">
        <v>2768</v>
      </c>
      <c r="B3238" s="5" t="s">
        <v>2767</v>
      </c>
      <c r="C3238" s="5" t="s">
        <v>38</v>
      </c>
      <c r="D3238" s="21">
        <v>1</v>
      </c>
      <c r="E3238" s="12">
        <v>149</v>
      </c>
      <c r="F3238" s="10" t="str">
        <f>_xlfn.XLOOKUP(C3238,menu!A:A,menu!B:B)</f>
        <v>Chicken Wings</v>
      </c>
      <c r="G3238" s="10" t="str">
        <f>_xlfn.XLOOKUP(C3238,menu!A:A,menu!C:C)</f>
        <v>Starters</v>
      </c>
      <c r="H3238" s="10">
        <f>_xlfn.XLOOKUP(C3238,menu!A:A,menu!E:E)</f>
        <v>45</v>
      </c>
      <c r="I3238" s="10">
        <f t="shared" si="50"/>
        <v>45</v>
      </c>
      <c r="K3238" s="10"/>
      <c r="L3238" s="5"/>
    </row>
    <row r="3239" spans="1:12" x14ac:dyDescent="0.25">
      <c r="A3239" s="5" t="s">
        <v>2766</v>
      </c>
      <c r="B3239" s="5" t="s">
        <v>2765</v>
      </c>
      <c r="C3239" s="5" t="s">
        <v>24</v>
      </c>
      <c r="D3239" s="21">
        <v>1</v>
      </c>
      <c r="E3239" s="12">
        <v>89</v>
      </c>
      <c r="F3239" s="10" t="str">
        <f>_xlfn.XLOOKUP(C3239,menu!A:A,menu!B:B)</f>
        <v>Paneer Burger</v>
      </c>
      <c r="G3239" s="10" t="str">
        <f>_xlfn.XLOOKUP(C3239,menu!A:A,menu!C:C)</f>
        <v>Burger</v>
      </c>
      <c r="H3239" s="10">
        <f>_xlfn.XLOOKUP(C3239,menu!A:A,menu!E:E)</f>
        <v>27</v>
      </c>
      <c r="I3239" s="10">
        <f t="shared" si="50"/>
        <v>27</v>
      </c>
      <c r="K3239" s="10"/>
      <c r="L3239" s="5"/>
    </row>
    <row r="3240" spans="1:12" x14ac:dyDescent="0.25">
      <c r="A3240" s="5" t="s">
        <v>2764</v>
      </c>
      <c r="B3240" s="5" t="s">
        <v>2762</v>
      </c>
      <c r="C3240" s="5" t="s">
        <v>5</v>
      </c>
      <c r="D3240" s="21">
        <v>1</v>
      </c>
      <c r="E3240" s="12">
        <v>79</v>
      </c>
      <c r="F3240" s="10" t="str">
        <f>_xlfn.XLOOKUP(C3240,menu!A:A,menu!B:B)</f>
        <v>Veg Sandwich</v>
      </c>
      <c r="G3240" s="10" t="str">
        <f>_xlfn.XLOOKUP(C3240,menu!A:A,menu!C:C)</f>
        <v>Sandwich</v>
      </c>
      <c r="H3240" s="10">
        <f>_xlfn.XLOOKUP(C3240,menu!A:A,menu!E:E)</f>
        <v>24</v>
      </c>
      <c r="I3240" s="10">
        <f t="shared" si="50"/>
        <v>24</v>
      </c>
      <c r="K3240" s="10"/>
      <c r="L3240" s="5"/>
    </row>
    <row r="3241" spans="1:12" x14ac:dyDescent="0.25">
      <c r="A3241" s="5" t="s">
        <v>2763</v>
      </c>
      <c r="B3241" s="5" t="s">
        <v>2762</v>
      </c>
      <c r="C3241" s="5" t="s">
        <v>35</v>
      </c>
      <c r="D3241" s="21">
        <v>3</v>
      </c>
      <c r="E3241" s="12">
        <v>357</v>
      </c>
      <c r="F3241" s="10" t="str">
        <f>_xlfn.XLOOKUP(C3241,menu!A:A,menu!B:B)</f>
        <v>Chicken Nuggets</v>
      </c>
      <c r="G3241" s="10" t="str">
        <f>_xlfn.XLOOKUP(C3241,menu!A:A,menu!C:C)</f>
        <v>Starters</v>
      </c>
      <c r="H3241" s="10">
        <f>_xlfn.XLOOKUP(C3241,menu!A:A,menu!E:E)</f>
        <v>36</v>
      </c>
      <c r="I3241" s="10">
        <f t="shared" si="50"/>
        <v>108</v>
      </c>
      <c r="K3241" s="10"/>
      <c r="L3241" s="5"/>
    </row>
    <row r="3242" spans="1:12" x14ac:dyDescent="0.25">
      <c r="A3242" s="5" t="s">
        <v>2761</v>
      </c>
      <c r="B3242" s="5" t="s">
        <v>2758</v>
      </c>
      <c r="C3242" s="5" t="s">
        <v>12</v>
      </c>
      <c r="D3242" s="21">
        <v>5</v>
      </c>
      <c r="E3242" s="12">
        <v>395</v>
      </c>
      <c r="F3242" s="10" t="str">
        <f>_xlfn.XLOOKUP(C3242,menu!A:A,menu!B:B)</f>
        <v>Veg Momos</v>
      </c>
      <c r="G3242" s="10" t="str">
        <f>_xlfn.XLOOKUP(C3242,menu!A:A,menu!C:C)</f>
        <v>Momos</v>
      </c>
      <c r="H3242" s="10">
        <f>_xlfn.XLOOKUP(C3242,menu!A:A,menu!E:E)</f>
        <v>24</v>
      </c>
      <c r="I3242" s="10">
        <f t="shared" si="50"/>
        <v>120</v>
      </c>
      <c r="K3242" s="10"/>
      <c r="L3242" s="5"/>
    </row>
    <row r="3243" spans="1:12" x14ac:dyDescent="0.25">
      <c r="A3243" s="5" t="s">
        <v>2760</v>
      </c>
      <c r="B3243" s="5" t="s">
        <v>2758</v>
      </c>
      <c r="C3243" s="5" t="s">
        <v>10</v>
      </c>
      <c r="D3243" s="21">
        <v>2</v>
      </c>
      <c r="E3243" s="12">
        <v>238</v>
      </c>
      <c r="F3243" s="10" t="str">
        <f>_xlfn.XLOOKUP(C3243,menu!A:A,menu!B:B)</f>
        <v>Chicken Sandwich</v>
      </c>
      <c r="G3243" s="10" t="str">
        <f>_xlfn.XLOOKUP(C3243,menu!A:A,menu!C:C)</f>
        <v>Sandwich</v>
      </c>
      <c r="H3243" s="10">
        <f>_xlfn.XLOOKUP(C3243,menu!A:A,menu!E:E)</f>
        <v>36</v>
      </c>
      <c r="I3243" s="10">
        <f t="shared" si="50"/>
        <v>72</v>
      </c>
      <c r="K3243" s="10"/>
      <c r="L3243" s="5"/>
    </row>
    <row r="3244" spans="1:12" x14ac:dyDescent="0.25">
      <c r="A3244" s="5" t="s">
        <v>2759</v>
      </c>
      <c r="B3244" s="5" t="s">
        <v>2758</v>
      </c>
      <c r="C3244" s="5" t="s">
        <v>26</v>
      </c>
      <c r="D3244" s="21">
        <v>3</v>
      </c>
      <c r="E3244" s="12">
        <v>177</v>
      </c>
      <c r="F3244" s="10" t="str">
        <f>_xlfn.XLOOKUP(C3244,menu!A:A,menu!B:B)</f>
        <v>Veg Roll</v>
      </c>
      <c r="G3244" s="10" t="str">
        <f>_xlfn.XLOOKUP(C3244,menu!A:A,menu!C:C)</f>
        <v>Rolls</v>
      </c>
      <c r="H3244" s="10">
        <f>_xlfn.XLOOKUP(C3244,menu!A:A,menu!E:E)</f>
        <v>18</v>
      </c>
      <c r="I3244" s="10">
        <f t="shared" si="50"/>
        <v>54</v>
      </c>
      <c r="K3244" s="10"/>
      <c r="L3244" s="5"/>
    </row>
    <row r="3245" spans="1:12" x14ac:dyDescent="0.25">
      <c r="A3245" s="5" t="s">
        <v>2757</v>
      </c>
      <c r="B3245" s="5" t="s">
        <v>2755</v>
      </c>
      <c r="C3245" s="5" t="s">
        <v>17</v>
      </c>
      <c r="D3245" s="21">
        <v>1</v>
      </c>
      <c r="E3245" s="12">
        <v>89</v>
      </c>
      <c r="F3245" s="10" t="str">
        <f>_xlfn.XLOOKUP(C3245,menu!A:A,menu!B:B)</f>
        <v>Paneer Momos</v>
      </c>
      <c r="G3245" s="10" t="str">
        <f>_xlfn.XLOOKUP(C3245,menu!A:A,menu!C:C)</f>
        <v>Momos</v>
      </c>
      <c r="H3245" s="10">
        <f>_xlfn.XLOOKUP(C3245,menu!A:A,menu!E:E)</f>
        <v>27</v>
      </c>
      <c r="I3245" s="10">
        <f t="shared" si="50"/>
        <v>27</v>
      </c>
      <c r="K3245" s="10"/>
      <c r="L3245" s="5"/>
    </row>
    <row r="3246" spans="1:12" x14ac:dyDescent="0.25">
      <c r="A3246" s="5" t="s">
        <v>2756</v>
      </c>
      <c r="B3246" s="5" t="s">
        <v>2755</v>
      </c>
      <c r="C3246" s="5" t="s">
        <v>15</v>
      </c>
      <c r="D3246" s="21">
        <v>3</v>
      </c>
      <c r="E3246" s="12">
        <v>297</v>
      </c>
      <c r="F3246" s="10" t="str">
        <f>_xlfn.XLOOKUP(C3246,menu!A:A,menu!B:B)</f>
        <v>Chicken Momos</v>
      </c>
      <c r="G3246" s="10" t="str">
        <f>_xlfn.XLOOKUP(C3246,menu!A:A,menu!C:C)</f>
        <v>Momos</v>
      </c>
      <c r="H3246" s="10">
        <f>_xlfn.XLOOKUP(C3246,menu!A:A,menu!E:E)</f>
        <v>30</v>
      </c>
      <c r="I3246" s="10">
        <f t="shared" si="50"/>
        <v>90</v>
      </c>
      <c r="K3246" s="10"/>
      <c r="L3246" s="5"/>
    </row>
    <row r="3247" spans="1:12" x14ac:dyDescent="0.25">
      <c r="A3247" s="5" t="s">
        <v>2754</v>
      </c>
      <c r="B3247" s="5" t="s">
        <v>2752</v>
      </c>
      <c r="C3247" s="5" t="s">
        <v>15</v>
      </c>
      <c r="D3247" s="21">
        <v>1</v>
      </c>
      <c r="E3247" s="12">
        <v>99</v>
      </c>
      <c r="F3247" s="10" t="str">
        <f>_xlfn.XLOOKUP(C3247,menu!A:A,menu!B:B)</f>
        <v>Chicken Momos</v>
      </c>
      <c r="G3247" s="10" t="str">
        <f>_xlfn.XLOOKUP(C3247,menu!A:A,menu!C:C)</f>
        <v>Momos</v>
      </c>
      <c r="H3247" s="10">
        <f>_xlfn.XLOOKUP(C3247,menu!A:A,menu!E:E)</f>
        <v>30</v>
      </c>
      <c r="I3247" s="10">
        <f t="shared" si="50"/>
        <v>30</v>
      </c>
      <c r="K3247" s="10"/>
      <c r="L3247" s="5"/>
    </row>
    <row r="3248" spans="1:12" x14ac:dyDescent="0.25">
      <c r="A3248" s="5" t="s">
        <v>2753</v>
      </c>
      <c r="B3248" s="5" t="s">
        <v>2752</v>
      </c>
      <c r="C3248" s="5" t="s">
        <v>33</v>
      </c>
      <c r="D3248" s="21">
        <v>4</v>
      </c>
      <c r="E3248" s="12">
        <v>276</v>
      </c>
      <c r="F3248" s="10" t="str">
        <f>_xlfn.XLOOKUP(C3248,menu!A:A,menu!B:B)</f>
        <v>Spring Roll</v>
      </c>
      <c r="G3248" s="10" t="str">
        <f>_xlfn.XLOOKUP(C3248,menu!A:A,menu!C:C)</f>
        <v>Rolls</v>
      </c>
      <c r="H3248" s="10">
        <f>_xlfn.XLOOKUP(C3248,menu!A:A,menu!E:E)</f>
        <v>21</v>
      </c>
      <c r="I3248" s="10">
        <f t="shared" si="50"/>
        <v>84</v>
      </c>
      <c r="K3248" s="10"/>
      <c r="L3248" s="5"/>
    </row>
    <row r="3249" spans="1:12" x14ac:dyDescent="0.25">
      <c r="A3249" s="5" t="s">
        <v>2751</v>
      </c>
      <c r="B3249" s="5" t="s">
        <v>2749</v>
      </c>
      <c r="C3249" s="5" t="s">
        <v>15</v>
      </c>
      <c r="D3249" s="21">
        <v>1</v>
      </c>
      <c r="E3249" s="12">
        <v>99</v>
      </c>
      <c r="F3249" s="10" t="str">
        <f>_xlfn.XLOOKUP(C3249,menu!A:A,menu!B:B)</f>
        <v>Chicken Momos</v>
      </c>
      <c r="G3249" s="10" t="str">
        <f>_xlfn.XLOOKUP(C3249,menu!A:A,menu!C:C)</f>
        <v>Momos</v>
      </c>
      <c r="H3249" s="10">
        <f>_xlfn.XLOOKUP(C3249,menu!A:A,menu!E:E)</f>
        <v>30</v>
      </c>
      <c r="I3249" s="10">
        <f t="shared" si="50"/>
        <v>30</v>
      </c>
      <c r="K3249" s="10"/>
      <c r="L3249" s="5"/>
    </row>
    <row r="3250" spans="1:12" x14ac:dyDescent="0.25">
      <c r="A3250" s="5" t="s">
        <v>2750</v>
      </c>
      <c r="B3250" s="5" t="s">
        <v>2749</v>
      </c>
      <c r="C3250" s="5" t="s">
        <v>42</v>
      </c>
      <c r="D3250" s="21">
        <v>2</v>
      </c>
      <c r="E3250" s="12">
        <v>298</v>
      </c>
      <c r="F3250" s="10" t="str">
        <f>_xlfn.XLOOKUP(C3250,menu!A:A,menu!B:B)</f>
        <v>Chicken Popcorn</v>
      </c>
      <c r="G3250" s="10" t="str">
        <f>_xlfn.XLOOKUP(C3250,menu!A:A,menu!C:C)</f>
        <v>Starters</v>
      </c>
      <c r="H3250" s="10">
        <f>_xlfn.XLOOKUP(C3250,menu!A:A,menu!E:E)</f>
        <v>45</v>
      </c>
      <c r="I3250" s="10">
        <f t="shared" si="50"/>
        <v>90</v>
      </c>
      <c r="K3250" s="10"/>
      <c r="L3250" s="5"/>
    </row>
    <row r="3251" spans="1:12" x14ac:dyDescent="0.25">
      <c r="A3251" s="5" t="s">
        <v>2748</v>
      </c>
      <c r="B3251" s="5" t="s">
        <v>2744</v>
      </c>
      <c r="C3251" s="5" t="s">
        <v>19</v>
      </c>
      <c r="D3251" s="21">
        <v>1</v>
      </c>
      <c r="E3251" s="12">
        <v>79</v>
      </c>
      <c r="F3251" s="10" t="str">
        <f>_xlfn.XLOOKUP(C3251,menu!A:A,menu!B:B)</f>
        <v>Veg Burger</v>
      </c>
      <c r="G3251" s="10" t="str">
        <f>_xlfn.XLOOKUP(C3251,menu!A:A,menu!C:C)</f>
        <v>Burger</v>
      </c>
      <c r="H3251" s="10">
        <f>_xlfn.XLOOKUP(C3251,menu!A:A,menu!E:E)</f>
        <v>24</v>
      </c>
      <c r="I3251" s="10">
        <f t="shared" si="50"/>
        <v>24</v>
      </c>
      <c r="K3251" s="10"/>
      <c r="L3251" s="5"/>
    </row>
    <row r="3252" spans="1:12" x14ac:dyDescent="0.25">
      <c r="A3252" s="5" t="s">
        <v>2747</v>
      </c>
      <c r="B3252" s="5" t="s">
        <v>2744</v>
      </c>
      <c r="C3252" s="5" t="s">
        <v>42</v>
      </c>
      <c r="D3252" s="21">
        <v>1</v>
      </c>
      <c r="E3252" s="12">
        <v>149</v>
      </c>
      <c r="F3252" s="10" t="str">
        <f>_xlfn.XLOOKUP(C3252,menu!A:A,menu!B:B)</f>
        <v>Chicken Popcorn</v>
      </c>
      <c r="G3252" s="10" t="str">
        <f>_xlfn.XLOOKUP(C3252,menu!A:A,menu!C:C)</f>
        <v>Starters</v>
      </c>
      <c r="H3252" s="10">
        <f>_xlfn.XLOOKUP(C3252,menu!A:A,menu!E:E)</f>
        <v>45</v>
      </c>
      <c r="I3252" s="10">
        <f t="shared" si="50"/>
        <v>45</v>
      </c>
      <c r="K3252" s="10"/>
      <c r="L3252" s="5"/>
    </row>
    <row r="3253" spans="1:12" x14ac:dyDescent="0.25">
      <c r="A3253" s="5" t="s">
        <v>2746</v>
      </c>
      <c r="B3253" s="5" t="s">
        <v>2744</v>
      </c>
      <c r="C3253" s="5" t="s">
        <v>8</v>
      </c>
      <c r="D3253" s="21">
        <v>1</v>
      </c>
      <c r="E3253" s="12">
        <v>99</v>
      </c>
      <c r="F3253" s="10" t="str">
        <f>_xlfn.XLOOKUP(C3253,menu!A:A,menu!B:B)</f>
        <v>Paneer Sandwich</v>
      </c>
      <c r="G3253" s="10" t="str">
        <f>_xlfn.XLOOKUP(C3253,menu!A:A,menu!C:C)</f>
        <v>Sandwich</v>
      </c>
      <c r="H3253" s="10">
        <f>_xlfn.XLOOKUP(C3253,menu!A:A,menu!E:E)</f>
        <v>30</v>
      </c>
      <c r="I3253" s="10">
        <f t="shared" si="50"/>
        <v>30</v>
      </c>
      <c r="K3253" s="10"/>
      <c r="L3253" s="5"/>
    </row>
    <row r="3254" spans="1:12" x14ac:dyDescent="0.25">
      <c r="A3254" s="5" t="s">
        <v>2745</v>
      </c>
      <c r="B3254" s="5" t="s">
        <v>2744</v>
      </c>
      <c r="C3254" s="5" t="s">
        <v>26</v>
      </c>
      <c r="D3254" s="21">
        <v>3</v>
      </c>
      <c r="E3254" s="12">
        <v>177</v>
      </c>
      <c r="F3254" s="10" t="str">
        <f>_xlfn.XLOOKUP(C3254,menu!A:A,menu!B:B)</f>
        <v>Veg Roll</v>
      </c>
      <c r="G3254" s="10" t="str">
        <f>_xlfn.XLOOKUP(C3254,menu!A:A,menu!C:C)</f>
        <v>Rolls</v>
      </c>
      <c r="H3254" s="10">
        <f>_xlfn.XLOOKUP(C3254,menu!A:A,menu!E:E)</f>
        <v>18</v>
      </c>
      <c r="I3254" s="10">
        <f t="shared" si="50"/>
        <v>54</v>
      </c>
      <c r="K3254" s="10"/>
      <c r="L3254" s="5"/>
    </row>
    <row r="3255" spans="1:12" x14ac:dyDescent="0.25">
      <c r="A3255" s="5" t="s">
        <v>2743</v>
      </c>
      <c r="B3255" s="5" t="s">
        <v>2740</v>
      </c>
      <c r="C3255" s="5" t="s">
        <v>63</v>
      </c>
      <c r="D3255" s="21">
        <v>1</v>
      </c>
      <c r="E3255" s="12">
        <v>79</v>
      </c>
      <c r="F3255" s="10" t="str">
        <f>_xlfn.XLOOKUP(C3255,menu!A:A,menu!B:B)</f>
        <v>Virgin Mojito</v>
      </c>
      <c r="G3255" s="10" t="str">
        <f>_xlfn.XLOOKUP(C3255,menu!A:A,menu!C:C)</f>
        <v>Beverages</v>
      </c>
      <c r="H3255" s="10">
        <f>_xlfn.XLOOKUP(C3255,menu!A:A,menu!E:E)</f>
        <v>24</v>
      </c>
      <c r="I3255" s="10">
        <f t="shared" si="50"/>
        <v>24</v>
      </c>
      <c r="K3255" s="10"/>
      <c r="L3255" s="5"/>
    </row>
    <row r="3256" spans="1:12" x14ac:dyDescent="0.25">
      <c r="A3256" s="5" t="s">
        <v>2742</v>
      </c>
      <c r="B3256" s="5" t="s">
        <v>2740</v>
      </c>
      <c r="C3256" s="5" t="s">
        <v>35</v>
      </c>
      <c r="D3256" s="21">
        <v>2</v>
      </c>
      <c r="E3256" s="12">
        <v>238</v>
      </c>
      <c r="F3256" s="10" t="str">
        <f>_xlfn.XLOOKUP(C3256,menu!A:A,menu!B:B)</f>
        <v>Chicken Nuggets</v>
      </c>
      <c r="G3256" s="10" t="str">
        <f>_xlfn.XLOOKUP(C3256,menu!A:A,menu!C:C)</f>
        <v>Starters</v>
      </c>
      <c r="H3256" s="10">
        <f>_xlfn.XLOOKUP(C3256,menu!A:A,menu!E:E)</f>
        <v>36</v>
      </c>
      <c r="I3256" s="10">
        <f t="shared" si="50"/>
        <v>72</v>
      </c>
      <c r="K3256" s="10"/>
      <c r="L3256" s="5"/>
    </row>
    <row r="3257" spans="1:12" x14ac:dyDescent="0.25">
      <c r="A3257" s="5" t="s">
        <v>2741</v>
      </c>
      <c r="B3257" s="5" t="s">
        <v>2740</v>
      </c>
      <c r="C3257" s="5" t="s">
        <v>50</v>
      </c>
      <c r="D3257" s="21">
        <v>3</v>
      </c>
      <c r="E3257" s="12">
        <v>447</v>
      </c>
      <c r="F3257" s="10" t="str">
        <f>_xlfn.XLOOKUP(C3257,menu!A:A,menu!B:B)</f>
        <v>Grab Lollipop</v>
      </c>
      <c r="G3257" s="10" t="str">
        <f>_xlfn.XLOOKUP(C3257,menu!A:A,menu!C:C)</f>
        <v>Starters</v>
      </c>
      <c r="H3257" s="10">
        <f>_xlfn.XLOOKUP(C3257,menu!A:A,menu!E:E)</f>
        <v>45</v>
      </c>
      <c r="I3257" s="10">
        <f t="shared" si="50"/>
        <v>135</v>
      </c>
      <c r="K3257" s="10"/>
      <c r="L3257" s="5"/>
    </row>
    <row r="3258" spans="1:12" x14ac:dyDescent="0.25">
      <c r="A3258" s="5" t="s">
        <v>2739</v>
      </c>
      <c r="B3258" s="5" t="s">
        <v>2737</v>
      </c>
      <c r="C3258" s="5" t="s">
        <v>10</v>
      </c>
      <c r="D3258" s="21">
        <v>2</v>
      </c>
      <c r="E3258" s="12">
        <v>238</v>
      </c>
      <c r="F3258" s="10" t="str">
        <f>_xlfn.XLOOKUP(C3258,menu!A:A,menu!B:B)</f>
        <v>Chicken Sandwich</v>
      </c>
      <c r="G3258" s="10" t="str">
        <f>_xlfn.XLOOKUP(C3258,menu!A:A,menu!C:C)</f>
        <v>Sandwich</v>
      </c>
      <c r="H3258" s="10">
        <f>_xlfn.XLOOKUP(C3258,menu!A:A,menu!E:E)</f>
        <v>36</v>
      </c>
      <c r="I3258" s="10">
        <f t="shared" si="50"/>
        <v>72</v>
      </c>
      <c r="K3258" s="10"/>
      <c r="L3258" s="5"/>
    </row>
    <row r="3259" spans="1:12" x14ac:dyDescent="0.25">
      <c r="A3259" s="5" t="s">
        <v>2738</v>
      </c>
      <c r="B3259" s="5" t="s">
        <v>2737</v>
      </c>
      <c r="C3259" s="5" t="s">
        <v>35</v>
      </c>
      <c r="D3259" s="21">
        <v>1</v>
      </c>
      <c r="E3259" s="12">
        <v>119</v>
      </c>
      <c r="F3259" s="10" t="str">
        <f>_xlfn.XLOOKUP(C3259,menu!A:A,menu!B:B)</f>
        <v>Chicken Nuggets</v>
      </c>
      <c r="G3259" s="10" t="str">
        <f>_xlfn.XLOOKUP(C3259,menu!A:A,menu!C:C)</f>
        <v>Starters</v>
      </c>
      <c r="H3259" s="10">
        <f>_xlfn.XLOOKUP(C3259,menu!A:A,menu!E:E)</f>
        <v>36</v>
      </c>
      <c r="I3259" s="10">
        <f t="shared" si="50"/>
        <v>36</v>
      </c>
      <c r="K3259" s="10"/>
      <c r="L3259" s="5"/>
    </row>
    <row r="3260" spans="1:12" x14ac:dyDescent="0.25">
      <c r="A3260" s="5" t="s">
        <v>2736</v>
      </c>
      <c r="B3260" s="5" t="s">
        <v>2734</v>
      </c>
      <c r="C3260" s="5" t="s">
        <v>17</v>
      </c>
      <c r="D3260" s="21">
        <v>2</v>
      </c>
      <c r="E3260" s="12">
        <v>178</v>
      </c>
      <c r="F3260" s="10" t="str">
        <f>_xlfn.XLOOKUP(C3260,menu!A:A,menu!B:B)</f>
        <v>Paneer Momos</v>
      </c>
      <c r="G3260" s="10" t="str">
        <f>_xlfn.XLOOKUP(C3260,menu!A:A,menu!C:C)</f>
        <v>Momos</v>
      </c>
      <c r="H3260" s="10">
        <f>_xlfn.XLOOKUP(C3260,menu!A:A,menu!E:E)</f>
        <v>27</v>
      </c>
      <c r="I3260" s="10">
        <f t="shared" si="50"/>
        <v>54</v>
      </c>
      <c r="K3260" s="10"/>
      <c r="L3260" s="5"/>
    </row>
    <row r="3261" spans="1:12" x14ac:dyDescent="0.25">
      <c r="A3261" s="5" t="s">
        <v>2735</v>
      </c>
      <c r="B3261" s="5" t="s">
        <v>2734</v>
      </c>
      <c r="C3261" s="5" t="s">
        <v>48</v>
      </c>
      <c r="D3261" s="21">
        <v>2</v>
      </c>
      <c r="E3261" s="12">
        <v>318</v>
      </c>
      <c r="F3261" s="10" t="str">
        <f>_xlfn.XLOOKUP(C3261,menu!A:A,menu!B:B)</f>
        <v>Chicken Lollipop</v>
      </c>
      <c r="G3261" s="10" t="str">
        <f>_xlfn.XLOOKUP(C3261,menu!A:A,menu!C:C)</f>
        <v>Starters</v>
      </c>
      <c r="H3261" s="10">
        <f>_xlfn.XLOOKUP(C3261,menu!A:A,menu!E:E)</f>
        <v>48</v>
      </c>
      <c r="I3261" s="10">
        <f t="shared" si="50"/>
        <v>96</v>
      </c>
      <c r="K3261" s="10"/>
      <c r="L3261" s="5"/>
    </row>
    <row r="3262" spans="1:12" x14ac:dyDescent="0.25">
      <c r="A3262" s="5" t="s">
        <v>2733</v>
      </c>
      <c r="B3262" s="5" t="s">
        <v>2732</v>
      </c>
      <c r="C3262" s="5" t="s">
        <v>15</v>
      </c>
      <c r="D3262" s="21">
        <v>3</v>
      </c>
      <c r="E3262" s="12">
        <v>297</v>
      </c>
      <c r="F3262" s="10" t="str">
        <f>_xlfn.XLOOKUP(C3262,menu!A:A,menu!B:B)</f>
        <v>Chicken Momos</v>
      </c>
      <c r="G3262" s="10" t="str">
        <f>_xlfn.XLOOKUP(C3262,menu!A:A,menu!C:C)</f>
        <v>Momos</v>
      </c>
      <c r="H3262" s="10">
        <f>_xlfn.XLOOKUP(C3262,menu!A:A,menu!E:E)</f>
        <v>30</v>
      </c>
      <c r="I3262" s="10">
        <f t="shared" si="50"/>
        <v>90</v>
      </c>
      <c r="K3262" s="10"/>
      <c r="L3262" s="5"/>
    </row>
    <row r="3263" spans="1:12" x14ac:dyDescent="0.25">
      <c r="A3263" s="5" t="s">
        <v>2731</v>
      </c>
      <c r="B3263" s="5" t="s">
        <v>2729</v>
      </c>
      <c r="C3263" s="5" t="s">
        <v>54</v>
      </c>
      <c r="D3263" s="21">
        <v>4</v>
      </c>
      <c r="E3263" s="12">
        <v>556</v>
      </c>
      <c r="F3263" s="10" t="str">
        <f>_xlfn.XLOOKUP(C3263,menu!A:A,menu!B:B)</f>
        <v>Chicken Strips</v>
      </c>
      <c r="G3263" s="10" t="str">
        <f>_xlfn.XLOOKUP(C3263,menu!A:A,menu!C:C)</f>
        <v>Starters</v>
      </c>
      <c r="H3263" s="10">
        <f>_xlfn.XLOOKUP(C3263,menu!A:A,menu!E:E)</f>
        <v>42</v>
      </c>
      <c r="I3263" s="10">
        <f t="shared" si="50"/>
        <v>168</v>
      </c>
      <c r="K3263" s="10"/>
      <c r="L3263" s="5"/>
    </row>
    <row r="3264" spans="1:12" x14ac:dyDescent="0.25">
      <c r="A3264" s="5" t="s">
        <v>2730</v>
      </c>
      <c r="B3264" s="5" t="s">
        <v>2729</v>
      </c>
      <c r="C3264" s="5" t="s">
        <v>61</v>
      </c>
      <c r="D3264" s="21">
        <v>1</v>
      </c>
      <c r="E3264" s="12">
        <v>79</v>
      </c>
      <c r="F3264" s="10" t="str">
        <f>_xlfn.XLOOKUP(C3264,menu!A:A,menu!B:B)</f>
        <v>Watermelon Mojito</v>
      </c>
      <c r="G3264" s="10" t="str">
        <f>_xlfn.XLOOKUP(C3264,menu!A:A,menu!C:C)</f>
        <v>Beverages</v>
      </c>
      <c r="H3264" s="10">
        <f>_xlfn.XLOOKUP(C3264,menu!A:A,menu!E:E)</f>
        <v>24</v>
      </c>
      <c r="I3264" s="10">
        <f t="shared" si="50"/>
        <v>24</v>
      </c>
      <c r="K3264" s="10"/>
      <c r="L3264" s="5"/>
    </row>
    <row r="3265" spans="1:12" x14ac:dyDescent="0.25">
      <c r="A3265" s="5" t="s">
        <v>2728</v>
      </c>
      <c r="B3265" s="5" t="s">
        <v>2724</v>
      </c>
      <c r="C3265" s="5" t="s">
        <v>17</v>
      </c>
      <c r="D3265" s="21">
        <v>1</v>
      </c>
      <c r="E3265" s="12">
        <v>89</v>
      </c>
      <c r="F3265" s="10" t="str">
        <f>_xlfn.XLOOKUP(C3265,menu!A:A,menu!B:B)</f>
        <v>Paneer Momos</v>
      </c>
      <c r="G3265" s="10" t="str">
        <f>_xlfn.XLOOKUP(C3265,menu!A:A,menu!C:C)</f>
        <v>Momos</v>
      </c>
      <c r="H3265" s="10">
        <f>_xlfn.XLOOKUP(C3265,menu!A:A,menu!E:E)</f>
        <v>27</v>
      </c>
      <c r="I3265" s="10">
        <f t="shared" si="50"/>
        <v>27</v>
      </c>
      <c r="K3265" s="10"/>
      <c r="L3265" s="5"/>
    </row>
    <row r="3266" spans="1:12" x14ac:dyDescent="0.25">
      <c r="A3266" s="5" t="s">
        <v>2727</v>
      </c>
      <c r="B3266" s="5" t="s">
        <v>2724</v>
      </c>
      <c r="C3266" s="5" t="s">
        <v>56</v>
      </c>
      <c r="D3266" s="21">
        <v>1</v>
      </c>
      <c r="E3266" s="12">
        <v>79</v>
      </c>
      <c r="F3266" s="10" t="str">
        <f>_xlfn.XLOOKUP(C3266,menu!A:A,menu!B:B)</f>
        <v>Mint Mojito</v>
      </c>
      <c r="G3266" s="10" t="str">
        <f>_xlfn.XLOOKUP(C3266,menu!A:A,menu!C:C)</f>
        <v>Beverages</v>
      </c>
      <c r="H3266" s="10">
        <f>_xlfn.XLOOKUP(C3266,menu!A:A,menu!E:E)</f>
        <v>24</v>
      </c>
      <c r="I3266" s="10">
        <f t="shared" si="50"/>
        <v>24</v>
      </c>
      <c r="K3266" s="10"/>
      <c r="L3266" s="5"/>
    </row>
    <row r="3267" spans="1:12" x14ac:dyDescent="0.25">
      <c r="A3267" s="5" t="s">
        <v>2726</v>
      </c>
      <c r="B3267" s="5" t="s">
        <v>2724</v>
      </c>
      <c r="C3267" s="5" t="s">
        <v>31</v>
      </c>
      <c r="D3267" s="21">
        <v>1</v>
      </c>
      <c r="E3267" s="12">
        <v>89</v>
      </c>
      <c r="F3267" s="10" t="str">
        <f>_xlfn.XLOOKUP(C3267,menu!A:A,menu!B:B)</f>
        <v>Chicken Roll</v>
      </c>
      <c r="G3267" s="10" t="str">
        <f>_xlfn.XLOOKUP(C3267,menu!A:A,menu!C:C)</f>
        <v>Rolls</v>
      </c>
      <c r="H3267" s="10">
        <f>_xlfn.XLOOKUP(C3267,menu!A:A,menu!E:E)</f>
        <v>27</v>
      </c>
      <c r="I3267" s="10">
        <f t="shared" ref="I3267:I3330" si="51">D3267*H3267</f>
        <v>27</v>
      </c>
      <c r="K3267" s="10"/>
      <c r="L3267" s="5"/>
    </row>
    <row r="3268" spans="1:12" x14ac:dyDescent="0.25">
      <c r="A3268" s="5" t="s">
        <v>2725</v>
      </c>
      <c r="B3268" s="5" t="s">
        <v>2724</v>
      </c>
      <c r="C3268" s="5" t="s">
        <v>38</v>
      </c>
      <c r="D3268" s="21">
        <v>1</v>
      </c>
      <c r="E3268" s="12">
        <v>149</v>
      </c>
      <c r="F3268" s="10" t="str">
        <f>_xlfn.XLOOKUP(C3268,menu!A:A,menu!B:B)</f>
        <v>Chicken Wings</v>
      </c>
      <c r="G3268" s="10" t="str">
        <f>_xlfn.XLOOKUP(C3268,menu!A:A,menu!C:C)</f>
        <v>Starters</v>
      </c>
      <c r="H3268" s="10">
        <f>_xlfn.XLOOKUP(C3268,menu!A:A,menu!E:E)</f>
        <v>45</v>
      </c>
      <c r="I3268" s="10">
        <f t="shared" si="51"/>
        <v>45</v>
      </c>
      <c r="K3268" s="10"/>
      <c r="L3268" s="5"/>
    </row>
    <row r="3269" spans="1:12" x14ac:dyDescent="0.25">
      <c r="A3269" s="5" t="s">
        <v>2723</v>
      </c>
      <c r="B3269" s="5" t="s">
        <v>2720</v>
      </c>
      <c r="C3269" s="5" t="s">
        <v>29</v>
      </c>
      <c r="D3269" s="21">
        <v>2</v>
      </c>
      <c r="E3269" s="12">
        <v>158</v>
      </c>
      <c r="F3269" s="10" t="str">
        <f>_xlfn.XLOOKUP(C3269,menu!A:A,menu!B:B)</f>
        <v>Paneer Roll</v>
      </c>
      <c r="G3269" s="10" t="str">
        <f>_xlfn.XLOOKUP(C3269,menu!A:A,menu!C:C)</f>
        <v>Rolls</v>
      </c>
      <c r="H3269" s="10">
        <f>_xlfn.XLOOKUP(C3269,menu!A:A,menu!E:E)</f>
        <v>24</v>
      </c>
      <c r="I3269" s="10">
        <f t="shared" si="51"/>
        <v>48</v>
      </c>
      <c r="K3269" s="10"/>
      <c r="L3269" s="5"/>
    </row>
    <row r="3270" spans="1:12" x14ac:dyDescent="0.25">
      <c r="A3270" s="5" t="s">
        <v>2722</v>
      </c>
      <c r="B3270" s="5" t="s">
        <v>2720</v>
      </c>
      <c r="C3270" s="5" t="s">
        <v>8</v>
      </c>
      <c r="D3270" s="21">
        <v>1</v>
      </c>
      <c r="E3270" s="12">
        <v>99</v>
      </c>
      <c r="F3270" s="10" t="str">
        <f>_xlfn.XLOOKUP(C3270,menu!A:A,menu!B:B)</f>
        <v>Paneer Sandwich</v>
      </c>
      <c r="G3270" s="10" t="str">
        <f>_xlfn.XLOOKUP(C3270,menu!A:A,menu!C:C)</f>
        <v>Sandwich</v>
      </c>
      <c r="H3270" s="10">
        <f>_xlfn.XLOOKUP(C3270,menu!A:A,menu!E:E)</f>
        <v>30</v>
      </c>
      <c r="I3270" s="10">
        <f t="shared" si="51"/>
        <v>30</v>
      </c>
      <c r="K3270" s="10"/>
      <c r="L3270" s="5"/>
    </row>
    <row r="3271" spans="1:12" x14ac:dyDescent="0.25">
      <c r="A3271" s="5" t="s">
        <v>2721</v>
      </c>
      <c r="B3271" s="5" t="s">
        <v>2720</v>
      </c>
      <c r="C3271" s="5" t="s">
        <v>5</v>
      </c>
      <c r="D3271" s="21">
        <v>1</v>
      </c>
      <c r="E3271" s="12">
        <v>79</v>
      </c>
      <c r="F3271" s="10" t="str">
        <f>_xlfn.XLOOKUP(C3271,menu!A:A,menu!B:B)</f>
        <v>Veg Sandwich</v>
      </c>
      <c r="G3271" s="10" t="str">
        <f>_xlfn.XLOOKUP(C3271,menu!A:A,menu!C:C)</f>
        <v>Sandwich</v>
      </c>
      <c r="H3271" s="10">
        <f>_xlfn.XLOOKUP(C3271,menu!A:A,menu!E:E)</f>
        <v>24</v>
      </c>
      <c r="I3271" s="10">
        <f t="shared" si="51"/>
        <v>24</v>
      </c>
      <c r="K3271" s="10"/>
      <c r="L3271" s="5"/>
    </row>
    <row r="3272" spans="1:12" x14ac:dyDescent="0.25">
      <c r="A3272" s="5" t="s">
        <v>2719</v>
      </c>
      <c r="B3272" s="5" t="s">
        <v>2716</v>
      </c>
      <c r="C3272" s="5" t="s">
        <v>35</v>
      </c>
      <c r="D3272" s="21">
        <v>2</v>
      </c>
      <c r="E3272" s="12">
        <v>238</v>
      </c>
      <c r="F3272" s="10" t="str">
        <f>_xlfn.XLOOKUP(C3272,menu!A:A,menu!B:B)</f>
        <v>Chicken Nuggets</v>
      </c>
      <c r="G3272" s="10" t="str">
        <f>_xlfn.XLOOKUP(C3272,menu!A:A,menu!C:C)</f>
        <v>Starters</v>
      </c>
      <c r="H3272" s="10">
        <f>_xlfn.XLOOKUP(C3272,menu!A:A,menu!E:E)</f>
        <v>36</v>
      </c>
      <c r="I3272" s="10">
        <f t="shared" si="51"/>
        <v>72</v>
      </c>
      <c r="K3272" s="10"/>
      <c r="L3272" s="5"/>
    </row>
    <row r="3273" spans="1:12" x14ac:dyDescent="0.25">
      <c r="A3273" s="5" t="s">
        <v>2718</v>
      </c>
      <c r="B3273" s="5" t="s">
        <v>2716</v>
      </c>
      <c r="C3273" s="5" t="s">
        <v>50</v>
      </c>
      <c r="D3273" s="21">
        <v>2</v>
      </c>
      <c r="E3273" s="12">
        <v>298</v>
      </c>
      <c r="F3273" s="10" t="str">
        <f>_xlfn.XLOOKUP(C3273,menu!A:A,menu!B:B)</f>
        <v>Grab Lollipop</v>
      </c>
      <c r="G3273" s="10" t="str">
        <f>_xlfn.XLOOKUP(C3273,menu!A:A,menu!C:C)</f>
        <v>Starters</v>
      </c>
      <c r="H3273" s="10">
        <f>_xlfn.XLOOKUP(C3273,menu!A:A,menu!E:E)</f>
        <v>45</v>
      </c>
      <c r="I3273" s="10">
        <f t="shared" si="51"/>
        <v>90</v>
      </c>
      <c r="K3273" s="10"/>
      <c r="L3273" s="5"/>
    </row>
    <row r="3274" spans="1:12" x14ac:dyDescent="0.25">
      <c r="A3274" s="5" t="s">
        <v>2717</v>
      </c>
      <c r="B3274" s="5" t="s">
        <v>2716</v>
      </c>
      <c r="C3274" s="5" t="s">
        <v>19</v>
      </c>
      <c r="D3274" s="21">
        <v>4</v>
      </c>
      <c r="E3274" s="12">
        <v>316</v>
      </c>
      <c r="F3274" s="10" t="str">
        <f>_xlfn.XLOOKUP(C3274,menu!A:A,menu!B:B)</f>
        <v>Veg Burger</v>
      </c>
      <c r="G3274" s="10" t="str">
        <f>_xlfn.XLOOKUP(C3274,menu!A:A,menu!C:C)</f>
        <v>Burger</v>
      </c>
      <c r="H3274" s="10">
        <f>_xlfn.XLOOKUP(C3274,menu!A:A,menu!E:E)</f>
        <v>24</v>
      </c>
      <c r="I3274" s="10">
        <f t="shared" si="51"/>
        <v>96</v>
      </c>
      <c r="K3274" s="10"/>
      <c r="L3274" s="5"/>
    </row>
    <row r="3275" spans="1:12" x14ac:dyDescent="0.25">
      <c r="A3275" s="5" t="s">
        <v>2715</v>
      </c>
      <c r="B3275" s="5" t="s">
        <v>2712</v>
      </c>
      <c r="C3275" s="5" t="s">
        <v>40</v>
      </c>
      <c r="D3275" s="21">
        <v>2</v>
      </c>
      <c r="E3275" s="12">
        <v>198</v>
      </c>
      <c r="F3275" s="10" t="str">
        <f>_xlfn.XLOOKUP(C3275,menu!A:A,menu!B:B)</f>
        <v>Veg Nuggets</v>
      </c>
      <c r="G3275" s="10" t="str">
        <f>_xlfn.XLOOKUP(C3275,menu!A:A,menu!C:C)</f>
        <v>Starters</v>
      </c>
      <c r="H3275" s="10">
        <f>_xlfn.XLOOKUP(C3275,menu!A:A,menu!E:E)</f>
        <v>30</v>
      </c>
      <c r="I3275" s="10">
        <f t="shared" si="51"/>
        <v>60</v>
      </c>
      <c r="K3275" s="10"/>
      <c r="L3275" s="5"/>
    </row>
    <row r="3276" spans="1:12" x14ac:dyDescent="0.25">
      <c r="A3276" s="5" t="s">
        <v>2714</v>
      </c>
      <c r="B3276" s="5" t="s">
        <v>2712</v>
      </c>
      <c r="C3276" s="5" t="s">
        <v>52</v>
      </c>
      <c r="D3276" s="21">
        <v>3</v>
      </c>
      <c r="E3276" s="12">
        <v>297</v>
      </c>
      <c r="F3276" s="10" t="str">
        <f>_xlfn.XLOOKUP(C3276,menu!A:A,menu!B:B)</f>
        <v>French Fries</v>
      </c>
      <c r="G3276" s="10" t="str">
        <f>_xlfn.XLOOKUP(C3276,menu!A:A,menu!C:C)</f>
        <v>Starters</v>
      </c>
      <c r="H3276" s="10">
        <f>_xlfn.XLOOKUP(C3276,menu!A:A,menu!E:E)</f>
        <v>30</v>
      </c>
      <c r="I3276" s="10">
        <f t="shared" si="51"/>
        <v>90</v>
      </c>
      <c r="K3276" s="10"/>
      <c r="L3276" s="5"/>
    </row>
    <row r="3277" spans="1:12" x14ac:dyDescent="0.25">
      <c r="A3277" s="5" t="s">
        <v>2713</v>
      </c>
      <c r="B3277" s="5" t="s">
        <v>2712</v>
      </c>
      <c r="C3277" s="5" t="s">
        <v>12</v>
      </c>
      <c r="D3277" s="21">
        <v>1</v>
      </c>
      <c r="E3277" s="12">
        <v>79</v>
      </c>
      <c r="F3277" s="10" t="str">
        <f>_xlfn.XLOOKUP(C3277,menu!A:A,menu!B:B)</f>
        <v>Veg Momos</v>
      </c>
      <c r="G3277" s="10" t="str">
        <f>_xlfn.XLOOKUP(C3277,menu!A:A,menu!C:C)</f>
        <v>Momos</v>
      </c>
      <c r="H3277" s="10">
        <f>_xlfn.XLOOKUP(C3277,menu!A:A,menu!E:E)</f>
        <v>24</v>
      </c>
      <c r="I3277" s="10">
        <f t="shared" si="51"/>
        <v>24</v>
      </c>
      <c r="K3277" s="10"/>
      <c r="L3277" s="5"/>
    </row>
    <row r="3278" spans="1:12" x14ac:dyDescent="0.25">
      <c r="A3278" s="5" t="s">
        <v>2711</v>
      </c>
      <c r="B3278" s="5" t="s">
        <v>2710</v>
      </c>
      <c r="C3278" s="5" t="s">
        <v>31</v>
      </c>
      <c r="D3278" s="21">
        <v>1</v>
      </c>
      <c r="E3278" s="12">
        <v>89</v>
      </c>
      <c r="F3278" s="10" t="str">
        <f>_xlfn.XLOOKUP(C3278,menu!A:A,menu!B:B)</f>
        <v>Chicken Roll</v>
      </c>
      <c r="G3278" s="10" t="str">
        <f>_xlfn.XLOOKUP(C3278,menu!A:A,menu!C:C)</f>
        <v>Rolls</v>
      </c>
      <c r="H3278" s="10">
        <f>_xlfn.XLOOKUP(C3278,menu!A:A,menu!E:E)</f>
        <v>27</v>
      </c>
      <c r="I3278" s="10">
        <f t="shared" si="51"/>
        <v>27</v>
      </c>
      <c r="K3278" s="10"/>
      <c r="L3278" s="5"/>
    </row>
    <row r="3279" spans="1:12" x14ac:dyDescent="0.25">
      <c r="A3279" s="5" t="s">
        <v>2709</v>
      </c>
      <c r="B3279" s="5" t="s">
        <v>2707</v>
      </c>
      <c r="C3279" s="5" t="s">
        <v>44</v>
      </c>
      <c r="D3279" s="21">
        <v>1</v>
      </c>
      <c r="E3279" s="12">
        <v>159</v>
      </c>
      <c r="F3279" s="10" t="str">
        <f>_xlfn.XLOOKUP(C3279,menu!A:A,menu!B:B)</f>
        <v>Fried Chicken</v>
      </c>
      <c r="G3279" s="10" t="str">
        <f>_xlfn.XLOOKUP(C3279,menu!A:A,menu!C:C)</f>
        <v>Starters</v>
      </c>
      <c r="H3279" s="10">
        <f>_xlfn.XLOOKUP(C3279,menu!A:A,menu!E:E)</f>
        <v>48</v>
      </c>
      <c r="I3279" s="10">
        <f t="shared" si="51"/>
        <v>48</v>
      </c>
      <c r="K3279" s="10"/>
      <c r="L3279" s="5"/>
    </row>
    <row r="3280" spans="1:12" x14ac:dyDescent="0.25">
      <c r="A3280" s="5" t="s">
        <v>2708</v>
      </c>
      <c r="B3280" s="5" t="s">
        <v>2707</v>
      </c>
      <c r="C3280" s="5" t="s">
        <v>15</v>
      </c>
      <c r="D3280" s="21">
        <v>1</v>
      </c>
      <c r="E3280" s="12">
        <v>99</v>
      </c>
      <c r="F3280" s="10" t="str">
        <f>_xlfn.XLOOKUP(C3280,menu!A:A,menu!B:B)</f>
        <v>Chicken Momos</v>
      </c>
      <c r="G3280" s="10" t="str">
        <f>_xlfn.XLOOKUP(C3280,menu!A:A,menu!C:C)</f>
        <v>Momos</v>
      </c>
      <c r="H3280" s="10">
        <f>_xlfn.XLOOKUP(C3280,menu!A:A,menu!E:E)</f>
        <v>30</v>
      </c>
      <c r="I3280" s="10">
        <f t="shared" si="51"/>
        <v>30</v>
      </c>
      <c r="K3280" s="10"/>
      <c r="L3280" s="5"/>
    </row>
    <row r="3281" spans="1:12" x14ac:dyDescent="0.25">
      <c r="A3281" s="5" t="s">
        <v>2706</v>
      </c>
      <c r="B3281" s="5" t="s">
        <v>2704</v>
      </c>
      <c r="C3281" s="5" t="s">
        <v>52</v>
      </c>
      <c r="D3281" s="21">
        <v>2</v>
      </c>
      <c r="E3281" s="12">
        <v>198</v>
      </c>
      <c r="F3281" s="10" t="str">
        <f>_xlfn.XLOOKUP(C3281,menu!A:A,menu!B:B)</f>
        <v>French Fries</v>
      </c>
      <c r="G3281" s="10" t="str">
        <f>_xlfn.XLOOKUP(C3281,menu!A:A,menu!C:C)</f>
        <v>Starters</v>
      </c>
      <c r="H3281" s="10">
        <f>_xlfn.XLOOKUP(C3281,menu!A:A,menu!E:E)</f>
        <v>30</v>
      </c>
      <c r="I3281" s="10">
        <f t="shared" si="51"/>
        <v>60</v>
      </c>
      <c r="K3281" s="10"/>
      <c r="L3281" s="5"/>
    </row>
    <row r="3282" spans="1:12" x14ac:dyDescent="0.25">
      <c r="A3282" s="5" t="s">
        <v>2705</v>
      </c>
      <c r="B3282" s="5" t="s">
        <v>2704</v>
      </c>
      <c r="C3282" s="5" t="s">
        <v>33</v>
      </c>
      <c r="D3282" s="21">
        <v>1</v>
      </c>
      <c r="E3282" s="12">
        <v>69</v>
      </c>
      <c r="F3282" s="10" t="str">
        <f>_xlfn.XLOOKUP(C3282,menu!A:A,menu!B:B)</f>
        <v>Spring Roll</v>
      </c>
      <c r="G3282" s="10" t="str">
        <f>_xlfn.XLOOKUP(C3282,menu!A:A,menu!C:C)</f>
        <v>Rolls</v>
      </c>
      <c r="H3282" s="10">
        <f>_xlfn.XLOOKUP(C3282,menu!A:A,menu!E:E)</f>
        <v>21</v>
      </c>
      <c r="I3282" s="10">
        <f t="shared" si="51"/>
        <v>21</v>
      </c>
      <c r="K3282" s="10"/>
      <c r="L3282" s="5"/>
    </row>
    <row r="3283" spans="1:12" x14ac:dyDescent="0.25">
      <c r="A3283" s="5" t="s">
        <v>2703</v>
      </c>
      <c r="B3283" s="5" t="s">
        <v>2699</v>
      </c>
      <c r="C3283" s="5" t="s">
        <v>50</v>
      </c>
      <c r="D3283" s="21">
        <v>4</v>
      </c>
      <c r="E3283" s="12">
        <v>596</v>
      </c>
      <c r="F3283" s="10" t="str">
        <f>_xlfn.XLOOKUP(C3283,menu!A:A,menu!B:B)</f>
        <v>Grab Lollipop</v>
      </c>
      <c r="G3283" s="10" t="str">
        <f>_xlfn.XLOOKUP(C3283,menu!A:A,menu!C:C)</f>
        <v>Starters</v>
      </c>
      <c r="H3283" s="10">
        <f>_xlfn.XLOOKUP(C3283,menu!A:A,menu!E:E)</f>
        <v>45</v>
      </c>
      <c r="I3283" s="10">
        <f t="shared" si="51"/>
        <v>180</v>
      </c>
      <c r="K3283" s="10"/>
      <c r="L3283" s="5"/>
    </row>
    <row r="3284" spans="1:12" x14ac:dyDescent="0.25">
      <c r="A3284" s="5" t="s">
        <v>2702</v>
      </c>
      <c r="B3284" s="5" t="s">
        <v>2699</v>
      </c>
      <c r="C3284" s="5" t="s">
        <v>54</v>
      </c>
      <c r="D3284" s="21">
        <v>3</v>
      </c>
      <c r="E3284" s="12">
        <v>417</v>
      </c>
      <c r="F3284" s="10" t="str">
        <f>_xlfn.XLOOKUP(C3284,menu!A:A,menu!B:B)</f>
        <v>Chicken Strips</v>
      </c>
      <c r="G3284" s="10" t="str">
        <f>_xlfn.XLOOKUP(C3284,menu!A:A,menu!C:C)</f>
        <v>Starters</v>
      </c>
      <c r="H3284" s="10">
        <f>_xlfn.XLOOKUP(C3284,menu!A:A,menu!E:E)</f>
        <v>42</v>
      </c>
      <c r="I3284" s="10">
        <f t="shared" si="51"/>
        <v>126</v>
      </c>
      <c r="K3284" s="10"/>
      <c r="L3284" s="5"/>
    </row>
    <row r="3285" spans="1:12" x14ac:dyDescent="0.25">
      <c r="A3285" s="5" t="s">
        <v>2701</v>
      </c>
      <c r="B3285" s="5" t="s">
        <v>2699</v>
      </c>
      <c r="C3285" s="5" t="s">
        <v>15</v>
      </c>
      <c r="D3285" s="21">
        <v>4</v>
      </c>
      <c r="E3285" s="12">
        <v>396</v>
      </c>
      <c r="F3285" s="10" t="str">
        <f>_xlfn.XLOOKUP(C3285,menu!A:A,menu!B:B)</f>
        <v>Chicken Momos</v>
      </c>
      <c r="G3285" s="10" t="str">
        <f>_xlfn.XLOOKUP(C3285,menu!A:A,menu!C:C)</f>
        <v>Momos</v>
      </c>
      <c r="H3285" s="10">
        <f>_xlfn.XLOOKUP(C3285,menu!A:A,menu!E:E)</f>
        <v>30</v>
      </c>
      <c r="I3285" s="10">
        <f t="shared" si="51"/>
        <v>120</v>
      </c>
      <c r="K3285" s="10"/>
      <c r="L3285" s="5"/>
    </row>
    <row r="3286" spans="1:12" x14ac:dyDescent="0.25">
      <c r="A3286" s="5" t="s">
        <v>2700</v>
      </c>
      <c r="B3286" s="5" t="s">
        <v>2699</v>
      </c>
      <c r="C3286" s="5" t="s">
        <v>42</v>
      </c>
      <c r="D3286" s="21">
        <v>4</v>
      </c>
      <c r="E3286" s="12">
        <v>596</v>
      </c>
      <c r="F3286" s="10" t="str">
        <f>_xlfn.XLOOKUP(C3286,menu!A:A,menu!B:B)</f>
        <v>Chicken Popcorn</v>
      </c>
      <c r="G3286" s="10" t="str">
        <f>_xlfn.XLOOKUP(C3286,menu!A:A,menu!C:C)</f>
        <v>Starters</v>
      </c>
      <c r="H3286" s="10">
        <f>_xlfn.XLOOKUP(C3286,menu!A:A,menu!E:E)</f>
        <v>45</v>
      </c>
      <c r="I3286" s="10">
        <f t="shared" si="51"/>
        <v>180</v>
      </c>
      <c r="K3286" s="10"/>
      <c r="L3286" s="5"/>
    </row>
    <row r="3287" spans="1:12" x14ac:dyDescent="0.25">
      <c r="A3287" s="5" t="s">
        <v>2698</v>
      </c>
      <c r="B3287" s="5" t="s">
        <v>2697</v>
      </c>
      <c r="C3287" s="5" t="s">
        <v>17</v>
      </c>
      <c r="D3287" s="21">
        <v>1</v>
      </c>
      <c r="E3287" s="12">
        <v>89</v>
      </c>
      <c r="F3287" s="10" t="str">
        <f>_xlfn.XLOOKUP(C3287,menu!A:A,menu!B:B)</f>
        <v>Paneer Momos</v>
      </c>
      <c r="G3287" s="10" t="str">
        <f>_xlfn.XLOOKUP(C3287,menu!A:A,menu!C:C)</f>
        <v>Momos</v>
      </c>
      <c r="H3287" s="10">
        <f>_xlfn.XLOOKUP(C3287,menu!A:A,menu!E:E)</f>
        <v>27</v>
      </c>
      <c r="I3287" s="10">
        <f t="shared" si="51"/>
        <v>27</v>
      </c>
      <c r="K3287" s="10"/>
      <c r="L3287" s="5"/>
    </row>
    <row r="3288" spans="1:12" x14ac:dyDescent="0.25">
      <c r="A3288" s="5" t="s">
        <v>2696</v>
      </c>
      <c r="B3288" s="5" t="s">
        <v>2695</v>
      </c>
      <c r="C3288" s="5" t="s">
        <v>56</v>
      </c>
      <c r="D3288" s="21">
        <v>1</v>
      </c>
      <c r="E3288" s="12">
        <v>79</v>
      </c>
      <c r="F3288" s="10" t="str">
        <f>_xlfn.XLOOKUP(C3288,menu!A:A,menu!B:B)</f>
        <v>Mint Mojito</v>
      </c>
      <c r="G3288" s="10" t="str">
        <f>_xlfn.XLOOKUP(C3288,menu!A:A,menu!C:C)</f>
        <v>Beverages</v>
      </c>
      <c r="H3288" s="10">
        <f>_xlfn.XLOOKUP(C3288,menu!A:A,menu!E:E)</f>
        <v>24</v>
      </c>
      <c r="I3288" s="10">
        <f t="shared" si="51"/>
        <v>24</v>
      </c>
      <c r="K3288" s="10"/>
      <c r="L3288" s="5"/>
    </row>
    <row r="3289" spans="1:12" x14ac:dyDescent="0.25">
      <c r="A3289" s="5" t="s">
        <v>2694</v>
      </c>
      <c r="B3289" s="5" t="s">
        <v>2691</v>
      </c>
      <c r="C3289" s="5" t="s">
        <v>50</v>
      </c>
      <c r="D3289" s="21">
        <v>1</v>
      </c>
      <c r="E3289" s="12">
        <v>149</v>
      </c>
      <c r="F3289" s="10" t="str">
        <f>_xlfn.XLOOKUP(C3289,menu!A:A,menu!B:B)</f>
        <v>Grab Lollipop</v>
      </c>
      <c r="G3289" s="10" t="str">
        <f>_xlfn.XLOOKUP(C3289,menu!A:A,menu!C:C)</f>
        <v>Starters</v>
      </c>
      <c r="H3289" s="10">
        <f>_xlfn.XLOOKUP(C3289,menu!A:A,menu!E:E)</f>
        <v>45</v>
      </c>
      <c r="I3289" s="10">
        <f t="shared" si="51"/>
        <v>45</v>
      </c>
      <c r="K3289" s="10"/>
      <c r="L3289" s="5"/>
    </row>
    <row r="3290" spans="1:12" x14ac:dyDescent="0.25">
      <c r="A3290" s="5" t="s">
        <v>2693</v>
      </c>
      <c r="B3290" s="5" t="s">
        <v>2691</v>
      </c>
      <c r="C3290" s="5" t="s">
        <v>44</v>
      </c>
      <c r="D3290" s="21">
        <v>3</v>
      </c>
      <c r="E3290" s="12">
        <v>477</v>
      </c>
      <c r="F3290" s="10" t="str">
        <f>_xlfn.XLOOKUP(C3290,menu!A:A,menu!B:B)</f>
        <v>Fried Chicken</v>
      </c>
      <c r="G3290" s="10" t="str">
        <f>_xlfn.XLOOKUP(C3290,menu!A:A,menu!C:C)</f>
        <v>Starters</v>
      </c>
      <c r="H3290" s="10">
        <f>_xlfn.XLOOKUP(C3290,menu!A:A,menu!E:E)</f>
        <v>48</v>
      </c>
      <c r="I3290" s="10">
        <f t="shared" si="51"/>
        <v>144</v>
      </c>
      <c r="K3290" s="10"/>
      <c r="L3290" s="5"/>
    </row>
    <row r="3291" spans="1:12" x14ac:dyDescent="0.25">
      <c r="A3291" s="5" t="s">
        <v>2692</v>
      </c>
      <c r="B3291" s="5" t="s">
        <v>2691</v>
      </c>
      <c r="C3291" s="5" t="s">
        <v>24</v>
      </c>
      <c r="D3291" s="21">
        <v>1</v>
      </c>
      <c r="E3291" s="12">
        <v>89</v>
      </c>
      <c r="F3291" s="10" t="str">
        <f>_xlfn.XLOOKUP(C3291,menu!A:A,menu!B:B)</f>
        <v>Paneer Burger</v>
      </c>
      <c r="G3291" s="10" t="str">
        <f>_xlfn.XLOOKUP(C3291,menu!A:A,menu!C:C)</f>
        <v>Burger</v>
      </c>
      <c r="H3291" s="10">
        <f>_xlfn.XLOOKUP(C3291,menu!A:A,menu!E:E)</f>
        <v>27</v>
      </c>
      <c r="I3291" s="10">
        <f t="shared" si="51"/>
        <v>27</v>
      </c>
      <c r="K3291" s="10"/>
      <c r="L3291" s="5"/>
    </row>
    <row r="3292" spans="1:12" x14ac:dyDescent="0.25">
      <c r="A3292" s="5" t="s">
        <v>2690</v>
      </c>
      <c r="B3292" s="5" t="s">
        <v>2687</v>
      </c>
      <c r="C3292" s="5" t="s">
        <v>40</v>
      </c>
      <c r="D3292" s="21">
        <v>3</v>
      </c>
      <c r="E3292" s="12">
        <v>297</v>
      </c>
      <c r="F3292" s="10" t="str">
        <f>_xlfn.XLOOKUP(C3292,menu!A:A,menu!B:B)</f>
        <v>Veg Nuggets</v>
      </c>
      <c r="G3292" s="10" t="str">
        <f>_xlfn.XLOOKUP(C3292,menu!A:A,menu!C:C)</f>
        <v>Starters</v>
      </c>
      <c r="H3292" s="10">
        <f>_xlfn.XLOOKUP(C3292,menu!A:A,menu!E:E)</f>
        <v>30</v>
      </c>
      <c r="I3292" s="10">
        <f t="shared" si="51"/>
        <v>90</v>
      </c>
      <c r="K3292" s="10"/>
      <c r="L3292" s="5"/>
    </row>
    <row r="3293" spans="1:12" x14ac:dyDescent="0.25">
      <c r="A3293" s="5" t="s">
        <v>2689</v>
      </c>
      <c r="B3293" s="5" t="s">
        <v>2687</v>
      </c>
      <c r="C3293" s="5" t="s">
        <v>44</v>
      </c>
      <c r="D3293" s="21">
        <v>3</v>
      </c>
      <c r="E3293" s="12">
        <v>477</v>
      </c>
      <c r="F3293" s="10" t="str">
        <f>_xlfn.XLOOKUP(C3293,menu!A:A,menu!B:B)</f>
        <v>Fried Chicken</v>
      </c>
      <c r="G3293" s="10" t="str">
        <f>_xlfn.XLOOKUP(C3293,menu!A:A,menu!C:C)</f>
        <v>Starters</v>
      </c>
      <c r="H3293" s="10">
        <f>_xlfn.XLOOKUP(C3293,menu!A:A,menu!E:E)</f>
        <v>48</v>
      </c>
      <c r="I3293" s="10">
        <f t="shared" si="51"/>
        <v>144</v>
      </c>
      <c r="K3293" s="10"/>
      <c r="L3293" s="5"/>
    </row>
    <row r="3294" spans="1:12" x14ac:dyDescent="0.25">
      <c r="A3294" s="5" t="s">
        <v>2688</v>
      </c>
      <c r="B3294" s="5" t="s">
        <v>2687</v>
      </c>
      <c r="C3294" s="5" t="s">
        <v>12</v>
      </c>
      <c r="D3294" s="21">
        <v>3</v>
      </c>
      <c r="E3294" s="12">
        <v>237</v>
      </c>
      <c r="F3294" s="10" t="str">
        <f>_xlfn.XLOOKUP(C3294,menu!A:A,menu!B:B)</f>
        <v>Veg Momos</v>
      </c>
      <c r="G3294" s="10" t="str">
        <f>_xlfn.XLOOKUP(C3294,menu!A:A,menu!C:C)</f>
        <v>Momos</v>
      </c>
      <c r="H3294" s="10">
        <f>_xlfn.XLOOKUP(C3294,menu!A:A,menu!E:E)</f>
        <v>24</v>
      </c>
      <c r="I3294" s="10">
        <f t="shared" si="51"/>
        <v>72</v>
      </c>
      <c r="K3294" s="10"/>
      <c r="L3294" s="5"/>
    </row>
    <row r="3295" spans="1:12" x14ac:dyDescent="0.25">
      <c r="A3295" s="5" t="s">
        <v>2686</v>
      </c>
      <c r="B3295" s="5" t="s">
        <v>2685</v>
      </c>
      <c r="C3295" s="5" t="s">
        <v>22</v>
      </c>
      <c r="D3295" s="21">
        <v>2</v>
      </c>
      <c r="E3295" s="12">
        <v>198</v>
      </c>
      <c r="F3295" s="10" t="str">
        <f>_xlfn.XLOOKUP(C3295,menu!A:A,menu!B:B)</f>
        <v>Chicken Burger</v>
      </c>
      <c r="G3295" s="10" t="str">
        <f>_xlfn.XLOOKUP(C3295,menu!A:A,menu!C:C)</f>
        <v>Burger</v>
      </c>
      <c r="H3295" s="10">
        <f>_xlfn.XLOOKUP(C3295,menu!A:A,menu!E:E)</f>
        <v>30</v>
      </c>
      <c r="I3295" s="10">
        <f t="shared" si="51"/>
        <v>60</v>
      </c>
      <c r="K3295" s="10"/>
      <c r="L3295" s="5"/>
    </row>
    <row r="3296" spans="1:12" x14ac:dyDescent="0.25">
      <c r="A3296" s="5" t="s">
        <v>2684</v>
      </c>
      <c r="B3296" s="5" t="s">
        <v>2682</v>
      </c>
      <c r="C3296" s="5" t="s">
        <v>50</v>
      </c>
      <c r="D3296" s="21">
        <v>1</v>
      </c>
      <c r="E3296" s="12">
        <v>149</v>
      </c>
      <c r="F3296" s="10" t="str">
        <f>_xlfn.XLOOKUP(C3296,menu!A:A,menu!B:B)</f>
        <v>Grab Lollipop</v>
      </c>
      <c r="G3296" s="10" t="str">
        <f>_xlfn.XLOOKUP(C3296,menu!A:A,menu!C:C)</f>
        <v>Starters</v>
      </c>
      <c r="H3296" s="10">
        <f>_xlfn.XLOOKUP(C3296,menu!A:A,menu!E:E)</f>
        <v>45</v>
      </c>
      <c r="I3296" s="10">
        <f t="shared" si="51"/>
        <v>45</v>
      </c>
      <c r="K3296" s="10"/>
      <c r="L3296" s="5"/>
    </row>
    <row r="3297" spans="1:12" x14ac:dyDescent="0.25">
      <c r="A3297" s="5" t="s">
        <v>2683</v>
      </c>
      <c r="B3297" s="5" t="s">
        <v>2682</v>
      </c>
      <c r="C3297" s="5" t="s">
        <v>22</v>
      </c>
      <c r="D3297" s="21">
        <v>1</v>
      </c>
      <c r="E3297" s="12">
        <v>99</v>
      </c>
      <c r="F3297" s="10" t="str">
        <f>_xlfn.XLOOKUP(C3297,menu!A:A,menu!B:B)</f>
        <v>Chicken Burger</v>
      </c>
      <c r="G3297" s="10" t="str">
        <f>_xlfn.XLOOKUP(C3297,menu!A:A,menu!C:C)</f>
        <v>Burger</v>
      </c>
      <c r="H3297" s="10">
        <f>_xlfn.XLOOKUP(C3297,menu!A:A,menu!E:E)</f>
        <v>30</v>
      </c>
      <c r="I3297" s="10">
        <f t="shared" si="51"/>
        <v>30</v>
      </c>
      <c r="K3297" s="10"/>
      <c r="L3297" s="5"/>
    </row>
    <row r="3298" spans="1:12" x14ac:dyDescent="0.25">
      <c r="A3298" s="5" t="s">
        <v>2681</v>
      </c>
      <c r="B3298" s="5" t="s">
        <v>2680</v>
      </c>
      <c r="C3298" s="5" t="s">
        <v>31</v>
      </c>
      <c r="D3298" s="21">
        <v>2</v>
      </c>
      <c r="E3298" s="12">
        <v>178</v>
      </c>
      <c r="F3298" s="10" t="str">
        <f>_xlfn.XLOOKUP(C3298,menu!A:A,menu!B:B)</f>
        <v>Chicken Roll</v>
      </c>
      <c r="G3298" s="10" t="str">
        <f>_xlfn.XLOOKUP(C3298,menu!A:A,menu!C:C)</f>
        <v>Rolls</v>
      </c>
      <c r="H3298" s="10">
        <f>_xlfn.XLOOKUP(C3298,menu!A:A,menu!E:E)</f>
        <v>27</v>
      </c>
      <c r="I3298" s="10">
        <f t="shared" si="51"/>
        <v>54</v>
      </c>
      <c r="K3298" s="10"/>
      <c r="L3298" s="5"/>
    </row>
    <row r="3299" spans="1:12" x14ac:dyDescent="0.25">
      <c r="A3299" s="5" t="s">
        <v>2679</v>
      </c>
      <c r="B3299" s="5" t="s">
        <v>2677</v>
      </c>
      <c r="C3299" s="5" t="s">
        <v>56</v>
      </c>
      <c r="D3299" s="21">
        <v>1</v>
      </c>
      <c r="E3299" s="12">
        <v>79</v>
      </c>
      <c r="F3299" s="10" t="str">
        <f>_xlfn.XLOOKUP(C3299,menu!A:A,menu!B:B)</f>
        <v>Mint Mojito</v>
      </c>
      <c r="G3299" s="10" t="str">
        <f>_xlfn.XLOOKUP(C3299,menu!A:A,menu!C:C)</f>
        <v>Beverages</v>
      </c>
      <c r="H3299" s="10">
        <f>_xlfn.XLOOKUP(C3299,menu!A:A,menu!E:E)</f>
        <v>24</v>
      </c>
      <c r="I3299" s="10">
        <f t="shared" si="51"/>
        <v>24</v>
      </c>
      <c r="K3299" s="10"/>
      <c r="L3299" s="5"/>
    </row>
    <row r="3300" spans="1:12" x14ac:dyDescent="0.25">
      <c r="A3300" s="5" t="s">
        <v>2678</v>
      </c>
      <c r="B3300" s="5" t="s">
        <v>2677</v>
      </c>
      <c r="C3300" s="5" t="s">
        <v>15</v>
      </c>
      <c r="D3300" s="21">
        <v>2</v>
      </c>
      <c r="E3300" s="12">
        <v>198</v>
      </c>
      <c r="F3300" s="10" t="str">
        <f>_xlfn.XLOOKUP(C3300,menu!A:A,menu!B:B)</f>
        <v>Chicken Momos</v>
      </c>
      <c r="G3300" s="10" t="str">
        <f>_xlfn.XLOOKUP(C3300,menu!A:A,menu!C:C)</f>
        <v>Momos</v>
      </c>
      <c r="H3300" s="10">
        <f>_xlfn.XLOOKUP(C3300,menu!A:A,menu!E:E)</f>
        <v>30</v>
      </c>
      <c r="I3300" s="10">
        <f t="shared" si="51"/>
        <v>60</v>
      </c>
      <c r="K3300" s="10"/>
      <c r="L3300" s="5"/>
    </row>
    <row r="3301" spans="1:12" x14ac:dyDescent="0.25">
      <c r="A3301" s="5" t="s">
        <v>2676</v>
      </c>
      <c r="B3301" s="5" t="s">
        <v>2672</v>
      </c>
      <c r="C3301" s="5" t="s">
        <v>17</v>
      </c>
      <c r="D3301" s="21">
        <v>2</v>
      </c>
      <c r="E3301" s="12">
        <v>178</v>
      </c>
      <c r="F3301" s="10" t="str">
        <f>_xlfn.XLOOKUP(C3301,menu!A:A,menu!B:B)</f>
        <v>Paneer Momos</v>
      </c>
      <c r="G3301" s="10" t="str">
        <f>_xlfn.XLOOKUP(C3301,menu!A:A,menu!C:C)</f>
        <v>Momos</v>
      </c>
      <c r="H3301" s="10">
        <f>_xlfn.XLOOKUP(C3301,menu!A:A,menu!E:E)</f>
        <v>27</v>
      </c>
      <c r="I3301" s="10">
        <f t="shared" si="51"/>
        <v>54</v>
      </c>
      <c r="K3301" s="10"/>
      <c r="L3301" s="5"/>
    </row>
    <row r="3302" spans="1:12" x14ac:dyDescent="0.25">
      <c r="A3302" s="5" t="s">
        <v>2675</v>
      </c>
      <c r="B3302" s="5" t="s">
        <v>2672</v>
      </c>
      <c r="C3302" s="5" t="s">
        <v>10</v>
      </c>
      <c r="D3302" s="21">
        <v>3</v>
      </c>
      <c r="E3302" s="12">
        <v>357</v>
      </c>
      <c r="F3302" s="10" t="str">
        <f>_xlfn.XLOOKUP(C3302,menu!A:A,menu!B:B)</f>
        <v>Chicken Sandwich</v>
      </c>
      <c r="G3302" s="10" t="str">
        <f>_xlfn.XLOOKUP(C3302,menu!A:A,menu!C:C)</f>
        <v>Sandwich</v>
      </c>
      <c r="H3302" s="10">
        <f>_xlfn.XLOOKUP(C3302,menu!A:A,menu!E:E)</f>
        <v>36</v>
      </c>
      <c r="I3302" s="10">
        <f t="shared" si="51"/>
        <v>108</v>
      </c>
      <c r="K3302" s="10"/>
      <c r="L3302" s="5"/>
    </row>
    <row r="3303" spans="1:12" x14ac:dyDescent="0.25">
      <c r="A3303" s="5" t="s">
        <v>2674</v>
      </c>
      <c r="B3303" s="5" t="s">
        <v>2672</v>
      </c>
      <c r="C3303" s="5" t="s">
        <v>22</v>
      </c>
      <c r="D3303" s="21">
        <v>1</v>
      </c>
      <c r="E3303" s="12">
        <v>99</v>
      </c>
      <c r="F3303" s="10" t="str">
        <f>_xlfn.XLOOKUP(C3303,menu!A:A,menu!B:B)</f>
        <v>Chicken Burger</v>
      </c>
      <c r="G3303" s="10" t="str">
        <f>_xlfn.XLOOKUP(C3303,menu!A:A,menu!C:C)</f>
        <v>Burger</v>
      </c>
      <c r="H3303" s="10">
        <f>_xlfn.XLOOKUP(C3303,menu!A:A,menu!E:E)</f>
        <v>30</v>
      </c>
      <c r="I3303" s="10">
        <f t="shared" si="51"/>
        <v>30</v>
      </c>
      <c r="K3303" s="10"/>
      <c r="L3303" s="5"/>
    </row>
    <row r="3304" spans="1:12" x14ac:dyDescent="0.25">
      <c r="A3304" s="5" t="s">
        <v>2673</v>
      </c>
      <c r="B3304" s="5" t="s">
        <v>2672</v>
      </c>
      <c r="C3304" s="5" t="s">
        <v>48</v>
      </c>
      <c r="D3304" s="21">
        <v>1</v>
      </c>
      <c r="E3304" s="12">
        <v>159</v>
      </c>
      <c r="F3304" s="10" t="str">
        <f>_xlfn.XLOOKUP(C3304,menu!A:A,menu!B:B)</f>
        <v>Chicken Lollipop</v>
      </c>
      <c r="G3304" s="10" t="str">
        <f>_xlfn.XLOOKUP(C3304,menu!A:A,menu!C:C)</f>
        <v>Starters</v>
      </c>
      <c r="H3304" s="10">
        <f>_xlfn.XLOOKUP(C3304,menu!A:A,menu!E:E)</f>
        <v>48</v>
      </c>
      <c r="I3304" s="10">
        <f t="shared" si="51"/>
        <v>48</v>
      </c>
      <c r="K3304" s="10"/>
      <c r="L3304" s="5"/>
    </row>
    <row r="3305" spans="1:12" x14ac:dyDescent="0.25">
      <c r="A3305" s="5" t="s">
        <v>2671</v>
      </c>
      <c r="B3305" s="5" t="s">
        <v>2667</v>
      </c>
      <c r="C3305" s="5" t="s">
        <v>44</v>
      </c>
      <c r="D3305" s="21">
        <v>2</v>
      </c>
      <c r="E3305" s="12">
        <v>318</v>
      </c>
      <c r="F3305" s="10" t="str">
        <f>_xlfn.XLOOKUP(C3305,menu!A:A,menu!B:B)</f>
        <v>Fried Chicken</v>
      </c>
      <c r="G3305" s="10" t="str">
        <f>_xlfn.XLOOKUP(C3305,menu!A:A,menu!C:C)</f>
        <v>Starters</v>
      </c>
      <c r="H3305" s="10">
        <f>_xlfn.XLOOKUP(C3305,menu!A:A,menu!E:E)</f>
        <v>48</v>
      </c>
      <c r="I3305" s="10">
        <f t="shared" si="51"/>
        <v>96</v>
      </c>
      <c r="K3305" s="10"/>
      <c r="L3305" s="5"/>
    </row>
    <row r="3306" spans="1:12" x14ac:dyDescent="0.25">
      <c r="A3306" s="5" t="s">
        <v>2670</v>
      </c>
      <c r="B3306" s="5" t="s">
        <v>2667</v>
      </c>
      <c r="C3306" s="5" t="s">
        <v>42</v>
      </c>
      <c r="D3306" s="21">
        <v>1</v>
      </c>
      <c r="E3306" s="12">
        <v>149</v>
      </c>
      <c r="F3306" s="10" t="str">
        <f>_xlfn.XLOOKUP(C3306,menu!A:A,menu!B:B)</f>
        <v>Chicken Popcorn</v>
      </c>
      <c r="G3306" s="10" t="str">
        <f>_xlfn.XLOOKUP(C3306,menu!A:A,menu!C:C)</f>
        <v>Starters</v>
      </c>
      <c r="H3306" s="10">
        <f>_xlfn.XLOOKUP(C3306,menu!A:A,menu!E:E)</f>
        <v>45</v>
      </c>
      <c r="I3306" s="10">
        <f t="shared" si="51"/>
        <v>45</v>
      </c>
      <c r="K3306" s="10"/>
      <c r="L3306" s="5"/>
    </row>
    <row r="3307" spans="1:12" x14ac:dyDescent="0.25">
      <c r="A3307" s="5" t="s">
        <v>2669</v>
      </c>
      <c r="B3307" s="5" t="s">
        <v>2667</v>
      </c>
      <c r="C3307" s="5" t="s">
        <v>22</v>
      </c>
      <c r="D3307" s="21">
        <v>2</v>
      </c>
      <c r="E3307" s="12">
        <v>198</v>
      </c>
      <c r="F3307" s="10" t="str">
        <f>_xlfn.XLOOKUP(C3307,menu!A:A,menu!B:B)</f>
        <v>Chicken Burger</v>
      </c>
      <c r="G3307" s="10" t="str">
        <f>_xlfn.XLOOKUP(C3307,menu!A:A,menu!C:C)</f>
        <v>Burger</v>
      </c>
      <c r="H3307" s="10">
        <f>_xlfn.XLOOKUP(C3307,menu!A:A,menu!E:E)</f>
        <v>30</v>
      </c>
      <c r="I3307" s="10">
        <f t="shared" si="51"/>
        <v>60</v>
      </c>
      <c r="K3307" s="10"/>
      <c r="L3307" s="5"/>
    </row>
    <row r="3308" spans="1:12" x14ac:dyDescent="0.25">
      <c r="A3308" s="5" t="s">
        <v>2668</v>
      </c>
      <c r="B3308" s="5" t="s">
        <v>2667</v>
      </c>
      <c r="C3308" s="5" t="s">
        <v>38</v>
      </c>
      <c r="D3308" s="21">
        <v>1</v>
      </c>
      <c r="E3308" s="12">
        <v>149</v>
      </c>
      <c r="F3308" s="10" t="str">
        <f>_xlfn.XLOOKUP(C3308,menu!A:A,menu!B:B)</f>
        <v>Chicken Wings</v>
      </c>
      <c r="G3308" s="10" t="str">
        <f>_xlfn.XLOOKUP(C3308,menu!A:A,menu!C:C)</f>
        <v>Starters</v>
      </c>
      <c r="H3308" s="10">
        <f>_xlfn.XLOOKUP(C3308,menu!A:A,menu!E:E)</f>
        <v>45</v>
      </c>
      <c r="I3308" s="10">
        <f t="shared" si="51"/>
        <v>45</v>
      </c>
      <c r="K3308" s="10"/>
      <c r="L3308" s="5"/>
    </row>
    <row r="3309" spans="1:12" x14ac:dyDescent="0.25">
      <c r="A3309" s="5" t="s">
        <v>2666</v>
      </c>
      <c r="B3309" s="5" t="s">
        <v>2664</v>
      </c>
      <c r="C3309" s="5" t="s">
        <v>5</v>
      </c>
      <c r="D3309" s="21">
        <v>3</v>
      </c>
      <c r="E3309" s="12">
        <v>237</v>
      </c>
      <c r="F3309" s="10" t="str">
        <f>_xlfn.XLOOKUP(C3309,menu!A:A,menu!B:B)</f>
        <v>Veg Sandwich</v>
      </c>
      <c r="G3309" s="10" t="str">
        <f>_xlfn.XLOOKUP(C3309,menu!A:A,menu!C:C)</f>
        <v>Sandwich</v>
      </c>
      <c r="H3309" s="10">
        <f>_xlfn.XLOOKUP(C3309,menu!A:A,menu!E:E)</f>
        <v>24</v>
      </c>
      <c r="I3309" s="10">
        <f t="shared" si="51"/>
        <v>72</v>
      </c>
      <c r="K3309" s="10"/>
      <c r="L3309" s="5"/>
    </row>
    <row r="3310" spans="1:12" x14ac:dyDescent="0.25">
      <c r="A3310" s="5" t="s">
        <v>2665</v>
      </c>
      <c r="B3310" s="5" t="s">
        <v>2664</v>
      </c>
      <c r="C3310" s="5" t="s">
        <v>61</v>
      </c>
      <c r="D3310" s="21">
        <v>2</v>
      </c>
      <c r="E3310" s="12">
        <v>158</v>
      </c>
      <c r="F3310" s="10" t="str">
        <f>_xlfn.XLOOKUP(C3310,menu!A:A,menu!B:B)</f>
        <v>Watermelon Mojito</v>
      </c>
      <c r="G3310" s="10" t="str">
        <f>_xlfn.XLOOKUP(C3310,menu!A:A,menu!C:C)</f>
        <v>Beverages</v>
      </c>
      <c r="H3310" s="10">
        <f>_xlfn.XLOOKUP(C3310,menu!A:A,menu!E:E)</f>
        <v>24</v>
      </c>
      <c r="I3310" s="10">
        <f t="shared" si="51"/>
        <v>48</v>
      </c>
      <c r="K3310" s="10"/>
      <c r="L3310" s="5"/>
    </row>
    <row r="3311" spans="1:12" x14ac:dyDescent="0.25">
      <c r="A3311" s="5" t="s">
        <v>2663</v>
      </c>
      <c r="B3311" s="5" t="s">
        <v>2661</v>
      </c>
      <c r="C3311" s="5" t="s">
        <v>40</v>
      </c>
      <c r="D3311" s="21">
        <v>2</v>
      </c>
      <c r="E3311" s="12">
        <v>198</v>
      </c>
      <c r="F3311" s="10" t="str">
        <f>_xlfn.XLOOKUP(C3311,menu!A:A,menu!B:B)</f>
        <v>Veg Nuggets</v>
      </c>
      <c r="G3311" s="10" t="str">
        <f>_xlfn.XLOOKUP(C3311,menu!A:A,menu!C:C)</f>
        <v>Starters</v>
      </c>
      <c r="H3311" s="10">
        <f>_xlfn.XLOOKUP(C3311,menu!A:A,menu!E:E)</f>
        <v>30</v>
      </c>
      <c r="I3311" s="10">
        <f t="shared" si="51"/>
        <v>60</v>
      </c>
      <c r="K3311" s="10"/>
      <c r="L3311" s="5"/>
    </row>
    <row r="3312" spans="1:12" x14ac:dyDescent="0.25">
      <c r="A3312" s="5" t="s">
        <v>2662</v>
      </c>
      <c r="B3312" s="5" t="s">
        <v>2661</v>
      </c>
      <c r="C3312" s="5" t="s">
        <v>29</v>
      </c>
      <c r="D3312" s="21">
        <v>1</v>
      </c>
      <c r="E3312" s="12">
        <v>79</v>
      </c>
      <c r="F3312" s="10" t="str">
        <f>_xlfn.XLOOKUP(C3312,menu!A:A,menu!B:B)</f>
        <v>Paneer Roll</v>
      </c>
      <c r="G3312" s="10" t="str">
        <f>_xlfn.XLOOKUP(C3312,menu!A:A,menu!C:C)</f>
        <v>Rolls</v>
      </c>
      <c r="H3312" s="10">
        <f>_xlfn.XLOOKUP(C3312,menu!A:A,menu!E:E)</f>
        <v>24</v>
      </c>
      <c r="I3312" s="10">
        <f t="shared" si="51"/>
        <v>24</v>
      </c>
      <c r="K3312" s="10"/>
      <c r="L3312" s="5"/>
    </row>
    <row r="3313" spans="1:12" x14ac:dyDescent="0.25">
      <c r="A3313" s="5" t="s">
        <v>2660</v>
      </c>
      <c r="B3313" s="5" t="s">
        <v>2657</v>
      </c>
      <c r="C3313" s="5" t="s">
        <v>29</v>
      </c>
      <c r="D3313" s="21">
        <v>3</v>
      </c>
      <c r="E3313" s="12">
        <v>237</v>
      </c>
      <c r="F3313" s="10" t="str">
        <f>_xlfn.XLOOKUP(C3313,menu!A:A,menu!B:B)</f>
        <v>Paneer Roll</v>
      </c>
      <c r="G3313" s="10" t="str">
        <f>_xlfn.XLOOKUP(C3313,menu!A:A,menu!C:C)</f>
        <v>Rolls</v>
      </c>
      <c r="H3313" s="10">
        <f>_xlfn.XLOOKUP(C3313,menu!A:A,menu!E:E)</f>
        <v>24</v>
      </c>
      <c r="I3313" s="10">
        <f t="shared" si="51"/>
        <v>72</v>
      </c>
      <c r="K3313" s="10"/>
      <c r="L3313" s="5"/>
    </row>
    <row r="3314" spans="1:12" x14ac:dyDescent="0.25">
      <c r="A3314" s="5" t="s">
        <v>2659</v>
      </c>
      <c r="B3314" s="5" t="s">
        <v>2657</v>
      </c>
      <c r="C3314" s="5" t="s">
        <v>40</v>
      </c>
      <c r="D3314" s="21">
        <v>1</v>
      </c>
      <c r="E3314" s="12">
        <v>99</v>
      </c>
      <c r="F3314" s="10" t="str">
        <f>_xlfn.XLOOKUP(C3314,menu!A:A,menu!B:B)</f>
        <v>Veg Nuggets</v>
      </c>
      <c r="G3314" s="10" t="str">
        <f>_xlfn.XLOOKUP(C3314,menu!A:A,menu!C:C)</f>
        <v>Starters</v>
      </c>
      <c r="H3314" s="10">
        <f>_xlfn.XLOOKUP(C3314,menu!A:A,menu!E:E)</f>
        <v>30</v>
      </c>
      <c r="I3314" s="10">
        <f t="shared" si="51"/>
        <v>30</v>
      </c>
      <c r="K3314" s="10"/>
      <c r="L3314" s="5"/>
    </row>
    <row r="3315" spans="1:12" x14ac:dyDescent="0.25">
      <c r="A3315" s="5" t="s">
        <v>2658</v>
      </c>
      <c r="B3315" s="5" t="s">
        <v>2657</v>
      </c>
      <c r="C3315" s="5" t="s">
        <v>17</v>
      </c>
      <c r="D3315" s="21">
        <v>3</v>
      </c>
      <c r="E3315" s="12">
        <v>267</v>
      </c>
      <c r="F3315" s="10" t="str">
        <f>_xlfn.XLOOKUP(C3315,menu!A:A,menu!B:B)</f>
        <v>Paneer Momos</v>
      </c>
      <c r="G3315" s="10" t="str">
        <f>_xlfn.XLOOKUP(C3315,menu!A:A,menu!C:C)</f>
        <v>Momos</v>
      </c>
      <c r="H3315" s="10">
        <f>_xlfn.XLOOKUP(C3315,menu!A:A,menu!E:E)</f>
        <v>27</v>
      </c>
      <c r="I3315" s="10">
        <f t="shared" si="51"/>
        <v>81</v>
      </c>
      <c r="K3315" s="10"/>
      <c r="L3315" s="5"/>
    </row>
    <row r="3316" spans="1:12" x14ac:dyDescent="0.25">
      <c r="A3316" s="5" t="s">
        <v>2656</v>
      </c>
      <c r="B3316" s="5" t="s">
        <v>2654</v>
      </c>
      <c r="C3316" s="5" t="s">
        <v>12</v>
      </c>
      <c r="D3316" s="21">
        <v>1</v>
      </c>
      <c r="E3316" s="12">
        <v>79</v>
      </c>
      <c r="F3316" s="10" t="str">
        <f>_xlfn.XLOOKUP(C3316,menu!A:A,menu!B:B)</f>
        <v>Veg Momos</v>
      </c>
      <c r="G3316" s="10" t="str">
        <f>_xlfn.XLOOKUP(C3316,menu!A:A,menu!C:C)</f>
        <v>Momos</v>
      </c>
      <c r="H3316" s="10">
        <f>_xlfn.XLOOKUP(C3316,menu!A:A,menu!E:E)</f>
        <v>24</v>
      </c>
      <c r="I3316" s="10">
        <f t="shared" si="51"/>
        <v>24</v>
      </c>
      <c r="K3316" s="10"/>
      <c r="L3316" s="5"/>
    </row>
    <row r="3317" spans="1:12" x14ac:dyDescent="0.25">
      <c r="A3317" s="5" t="s">
        <v>2655</v>
      </c>
      <c r="B3317" s="5" t="s">
        <v>2654</v>
      </c>
      <c r="C3317" s="5" t="s">
        <v>42</v>
      </c>
      <c r="D3317" s="21">
        <v>1</v>
      </c>
      <c r="E3317" s="12">
        <v>149</v>
      </c>
      <c r="F3317" s="10" t="str">
        <f>_xlfn.XLOOKUP(C3317,menu!A:A,menu!B:B)</f>
        <v>Chicken Popcorn</v>
      </c>
      <c r="G3317" s="10" t="str">
        <f>_xlfn.XLOOKUP(C3317,menu!A:A,menu!C:C)</f>
        <v>Starters</v>
      </c>
      <c r="H3317" s="10">
        <f>_xlfn.XLOOKUP(C3317,menu!A:A,menu!E:E)</f>
        <v>45</v>
      </c>
      <c r="I3317" s="10">
        <f t="shared" si="51"/>
        <v>45</v>
      </c>
      <c r="K3317" s="10"/>
      <c r="L3317" s="5"/>
    </row>
    <row r="3318" spans="1:12" x14ac:dyDescent="0.25">
      <c r="A3318" s="5" t="s">
        <v>2653</v>
      </c>
      <c r="B3318" s="5" t="s">
        <v>2651</v>
      </c>
      <c r="C3318" s="5" t="s">
        <v>17</v>
      </c>
      <c r="D3318" s="21">
        <v>3</v>
      </c>
      <c r="E3318" s="12">
        <v>267</v>
      </c>
      <c r="F3318" s="10" t="str">
        <f>_xlfn.XLOOKUP(C3318,menu!A:A,menu!B:B)</f>
        <v>Paneer Momos</v>
      </c>
      <c r="G3318" s="10" t="str">
        <f>_xlfn.XLOOKUP(C3318,menu!A:A,menu!C:C)</f>
        <v>Momos</v>
      </c>
      <c r="H3318" s="10">
        <f>_xlfn.XLOOKUP(C3318,menu!A:A,menu!E:E)</f>
        <v>27</v>
      </c>
      <c r="I3318" s="10">
        <f t="shared" si="51"/>
        <v>81</v>
      </c>
      <c r="K3318" s="10"/>
      <c r="L3318" s="5"/>
    </row>
    <row r="3319" spans="1:12" x14ac:dyDescent="0.25">
      <c r="A3319" s="5" t="s">
        <v>2652</v>
      </c>
      <c r="B3319" s="5" t="s">
        <v>2651</v>
      </c>
      <c r="C3319" s="5" t="s">
        <v>29</v>
      </c>
      <c r="D3319" s="21">
        <v>2</v>
      </c>
      <c r="E3319" s="12">
        <v>158</v>
      </c>
      <c r="F3319" s="10" t="str">
        <f>_xlfn.XLOOKUP(C3319,menu!A:A,menu!B:B)</f>
        <v>Paneer Roll</v>
      </c>
      <c r="G3319" s="10" t="str">
        <f>_xlfn.XLOOKUP(C3319,menu!A:A,menu!C:C)</f>
        <v>Rolls</v>
      </c>
      <c r="H3319" s="10">
        <f>_xlfn.XLOOKUP(C3319,menu!A:A,menu!E:E)</f>
        <v>24</v>
      </c>
      <c r="I3319" s="10">
        <f t="shared" si="51"/>
        <v>48</v>
      </c>
      <c r="K3319" s="10"/>
      <c r="L3319" s="5"/>
    </row>
    <row r="3320" spans="1:12" x14ac:dyDescent="0.25">
      <c r="A3320" s="5" t="s">
        <v>2650</v>
      </c>
      <c r="B3320" s="5" t="s">
        <v>2648</v>
      </c>
      <c r="C3320" s="5" t="s">
        <v>42</v>
      </c>
      <c r="D3320" s="21">
        <v>1</v>
      </c>
      <c r="E3320" s="12">
        <v>149</v>
      </c>
      <c r="F3320" s="10" t="str">
        <f>_xlfn.XLOOKUP(C3320,menu!A:A,menu!B:B)</f>
        <v>Chicken Popcorn</v>
      </c>
      <c r="G3320" s="10" t="str">
        <f>_xlfn.XLOOKUP(C3320,menu!A:A,menu!C:C)</f>
        <v>Starters</v>
      </c>
      <c r="H3320" s="10">
        <f>_xlfn.XLOOKUP(C3320,menu!A:A,menu!E:E)</f>
        <v>45</v>
      </c>
      <c r="I3320" s="10">
        <f t="shared" si="51"/>
        <v>45</v>
      </c>
      <c r="K3320" s="10"/>
      <c r="L3320" s="5"/>
    </row>
    <row r="3321" spans="1:12" x14ac:dyDescent="0.25">
      <c r="A3321" s="5" t="s">
        <v>2649</v>
      </c>
      <c r="B3321" s="5" t="s">
        <v>2648</v>
      </c>
      <c r="C3321" s="5" t="s">
        <v>33</v>
      </c>
      <c r="D3321" s="21">
        <v>1</v>
      </c>
      <c r="E3321" s="12">
        <v>69</v>
      </c>
      <c r="F3321" s="10" t="str">
        <f>_xlfn.XLOOKUP(C3321,menu!A:A,menu!B:B)</f>
        <v>Spring Roll</v>
      </c>
      <c r="G3321" s="10" t="str">
        <f>_xlfn.XLOOKUP(C3321,menu!A:A,menu!C:C)</f>
        <v>Rolls</v>
      </c>
      <c r="H3321" s="10">
        <f>_xlfn.XLOOKUP(C3321,menu!A:A,menu!E:E)</f>
        <v>21</v>
      </c>
      <c r="I3321" s="10">
        <f t="shared" si="51"/>
        <v>21</v>
      </c>
      <c r="K3321" s="10"/>
      <c r="L3321" s="5"/>
    </row>
    <row r="3322" spans="1:12" x14ac:dyDescent="0.25">
      <c r="A3322" s="5" t="s">
        <v>2647</v>
      </c>
      <c r="B3322" s="5" t="s">
        <v>2646</v>
      </c>
      <c r="C3322" s="5" t="s">
        <v>5</v>
      </c>
      <c r="D3322" s="21">
        <v>2</v>
      </c>
      <c r="E3322" s="12">
        <v>158</v>
      </c>
      <c r="F3322" s="10" t="str">
        <f>_xlfn.XLOOKUP(C3322,menu!A:A,menu!B:B)</f>
        <v>Veg Sandwich</v>
      </c>
      <c r="G3322" s="10" t="str">
        <f>_xlfn.XLOOKUP(C3322,menu!A:A,menu!C:C)</f>
        <v>Sandwich</v>
      </c>
      <c r="H3322" s="10">
        <f>_xlfn.XLOOKUP(C3322,menu!A:A,menu!E:E)</f>
        <v>24</v>
      </c>
      <c r="I3322" s="10">
        <f t="shared" si="51"/>
        <v>48</v>
      </c>
      <c r="K3322" s="10"/>
      <c r="L3322" s="5"/>
    </row>
    <row r="3323" spans="1:12" x14ac:dyDescent="0.25">
      <c r="A3323" s="5" t="s">
        <v>2645</v>
      </c>
      <c r="B3323" s="5" t="s">
        <v>2641</v>
      </c>
      <c r="C3323" s="5" t="s">
        <v>17</v>
      </c>
      <c r="D3323" s="21">
        <v>2</v>
      </c>
      <c r="E3323" s="12">
        <v>178</v>
      </c>
      <c r="F3323" s="10" t="str">
        <f>_xlfn.XLOOKUP(C3323,menu!A:A,menu!B:B)</f>
        <v>Paneer Momos</v>
      </c>
      <c r="G3323" s="10" t="str">
        <f>_xlfn.XLOOKUP(C3323,menu!A:A,menu!C:C)</f>
        <v>Momos</v>
      </c>
      <c r="H3323" s="10">
        <f>_xlfn.XLOOKUP(C3323,menu!A:A,menu!E:E)</f>
        <v>27</v>
      </c>
      <c r="I3323" s="10">
        <f t="shared" si="51"/>
        <v>54</v>
      </c>
      <c r="K3323" s="10"/>
      <c r="L3323" s="5"/>
    </row>
    <row r="3324" spans="1:12" x14ac:dyDescent="0.25">
      <c r="A3324" s="5" t="s">
        <v>2644</v>
      </c>
      <c r="B3324" s="5" t="s">
        <v>2641</v>
      </c>
      <c r="C3324" s="5" t="s">
        <v>42</v>
      </c>
      <c r="D3324" s="21">
        <v>1</v>
      </c>
      <c r="E3324" s="12">
        <v>149</v>
      </c>
      <c r="F3324" s="10" t="str">
        <f>_xlfn.XLOOKUP(C3324,menu!A:A,menu!B:B)</f>
        <v>Chicken Popcorn</v>
      </c>
      <c r="G3324" s="10" t="str">
        <f>_xlfn.XLOOKUP(C3324,menu!A:A,menu!C:C)</f>
        <v>Starters</v>
      </c>
      <c r="H3324" s="10">
        <f>_xlfn.XLOOKUP(C3324,menu!A:A,menu!E:E)</f>
        <v>45</v>
      </c>
      <c r="I3324" s="10">
        <f t="shared" si="51"/>
        <v>45</v>
      </c>
      <c r="K3324" s="10"/>
      <c r="L3324" s="5"/>
    </row>
    <row r="3325" spans="1:12" x14ac:dyDescent="0.25">
      <c r="A3325" s="5" t="s">
        <v>2643</v>
      </c>
      <c r="B3325" s="5" t="s">
        <v>2641</v>
      </c>
      <c r="C3325" s="5" t="s">
        <v>8</v>
      </c>
      <c r="D3325" s="21">
        <v>1</v>
      </c>
      <c r="E3325" s="12">
        <v>99</v>
      </c>
      <c r="F3325" s="10" t="str">
        <f>_xlfn.XLOOKUP(C3325,menu!A:A,menu!B:B)</f>
        <v>Paneer Sandwich</v>
      </c>
      <c r="G3325" s="10" t="str">
        <f>_xlfn.XLOOKUP(C3325,menu!A:A,menu!C:C)</f>
        <v>Sandwich</v>
      </c>
      <c r="H3325" s="10">
        <f>_xlfn.XLOOKUP(C3325,menu!A:A,menu!E:E)</f>
        <v>30</v>
      </c>
      <c r="I3325" s="10">
        <f t="shared" si="51"/>
        <v>30</v>
      </c>
      <c r="K3325" s="10"/>
      <c r="L3325" s="5"/>
    </row>
    <row r="3326" spans="1:12" x14ac:dyDescent="0.25">
      <c r="A3326" s="5" t="s">
        <v>2642</v>
      </c>
      <c r="B3326" s="5" t="s">
        <v>2641</v>
      </c>
      <c r="C3326" s="5" t="s">
        <v>33</v>
      </c>
      <c r="D3326" s="21">
        <v>2</v>
      </c>
      <c r="E3326" s="12">
        <v>138</v>
      </c>
      <c r="F3326" s="10" t="str">
        <f>_xlfn.XLOOKUP(C3326,menu!A:A,menu!B:B)</f>
        <v>Spring Roll</v>
      </c>
      <c r="G3326" s="10" t="str">
        <f>_xlfn.XLOOKUP(C3326,menu!A:A,menu!C:C)</f>
        <v>Rolls</v>
      </c>
      <c r="H3326" s="10">
        <f>_xlfn.XLOOKUP(C3326,menu!A:A,menu!E:E)</f>
        <v>21</v>
      </c>
      <c r="I3326" s="10">
        <f t="shared" si="51"/>
        <v>42</v>
      </c>
      <c r="K3326" s="10"/>
      <c r="L3326" s="5"/>
    </row>
    <row r="3327" spans="1:12" x14ac:dyDescent="0.25">
      <c r="A3327" s="5" t="s">
        <v>2640</v>
      </c>
      <c r="B3327" s="5" t="s">
        <v>2637</v>
      </c>
      <c r="C3327" s="5" t="s">
        <v>35</v>
      </c>
      <c r="D3327" s="21">
        <v>1</v>
      </c>
      <c r="E3327" s="12">
        <v>119</v>
      </c>
      <c r="F3327" s="10" t="str">
        <f>_xlfn.XLOOKUP(C3327,menu!A:A,menu!B:B)</f>
        <v>Chicken Nuggets</v>
      </c>
      <c r="G3327" s="10" t="str">
        <f>_xlfn.XLOOKUP(C3327,menu!A:A,menu!C:C)</f>
        <v>Starters</v>
      </c>
      <c r="H3327" s="10">
        <f>_xlfn.XLOOKUP(C3327,menu!A:A,menu!E:E)</f>
        <v>36</v>
      </c>
      <c r="I3327" s="10">
        <f t="shared" si="51"/>
        <v>36</v>
      </c>
      <c r="K3327" s="10"/>
      <c r="L3327" s="5"/>
    </row>
    <row r="3328" spans="1:12" x14ac:dyDescent="0.25">
      <c r="A3328" s="5" t="s">
        <v>2639</v>
      </c>
      <c r="B3328" s="5" t="s">
        <v>2637</v>
      </c>
      <c r="C3328" s="5" t="s">
        <v>15</v>
      </c>
      <c r="D3328" s="21">
        <v>2</v>
      </c>
      <c r="E3328" s="12">
        <v>198</v>
      </c>
      <c r="F3328" s="10" t="str">
        <f>_xlfn.XLOOKUP(C3328,menu!A:A,menu!B:B)</f>
        <v>Chicken Momos</v>
      </c>
      <c r="G3328" s="10" t="str">
        <f>_xlfn.XLOOKUP(C3328,menu!A:A,menu!C:C)</f>
        <v>Momos</v>
      </c>
      <c r="H3328" s="10">
        <f>_xlfn.XLOOKUP(C3328,menu!A:A,menu!E:E)</f>
        <v>30</v>
      </c>
      <c r="I3328" s="10">
        <f t="shared" si="51"/>
        <v>60</v>
      </c>
      <c r="K3328" s="10"/>
      <c r="L3328" s="5"/>
    </row>
    <row r="3329" spans="1:12" x14ac:dyDescent="0.25">
      <c r="A3329" s="5" t="s">
        <v>2638</v>
      </c>
      <c r="B3329" s="5" t="s">
        <v>2637</v>
      </c>
      <c r="C3329" s="5" t="s">
        <v>24</v>
      </c>
      <c r="D3329" s="21">
        <v>1</v>
      </c>
      <c r="E3329" s="12">
        <v>89</v>
      </c>
      <c r="F3329" s="10" t="str">
        <f>_xlfn.XLOOKUP(C3329,menu!A:A,menu!B:B)</f>
        <v>Paneer Burger</v>
      </c>
      <c r="G3329" s="10" t="str">
        <f>_xlfn.XLOOKUP(C3329,menu!A:A,menu!C:C)</f>
        <v>Burger</v>
      </c>
      <c r="H3329" s="10">
        <f>_xlfn.XLOOKUP(C3329,menu!A:A,menu!E:E)</f>
        <v>27</v>
      </c>
      <c r="I3329" s="10">
        <f t="shared" si="51"/>
        <v>27</v>
      </c>
      <c r="K3329" s="10"/>
      <c r="L3329" s="5"/>
    </row>
    <row r="3330" spans="1:12" x14ac:dyDescent="0.25">
      <c r="A3330" s="5" t="s">
        <v>2636</v>
      </c>
      <c r="B3330" s="5" t="s">
        <v>2634</v>
      </c>
      <c r="C3330" s="5" t="s">
        <v>59</v>
      </c>
      <c r="D3330" s="21">
        <v>3</v>
      </c>
      <c r="E3330" s="12">
        <v>237</v>
      </c>
      <c r="F3330" s="10" t="str">
        <f>_xlfn.XLOOKUP(C3330,menu!A:A,menu!B:B)</f>
        <v>Blue Curacao Mojito</v>
      </c>
      <c r="G3330" s="10" t="str">
        <f>_xlfn.XLOOKUP(C3330,menu!A:A,menu!C:C)</f>
        <v>Beverages</v>
      </c>
      <c r="H3330" s="10">
        <f>_xlfn.XLOOKUP(C3330,menu!A:A,menu!E:E)</f>
        <v>24</v>
      </c>
      <c r="I3330" s="10">
        <f t="shared" si="51"/>
        <v>72</v>
      </c>
      <c r="K3330" s="10"/>
      <c r="L3330" s="5"/>
    </row>
    <row r="3331" spans="1:12" x14ac:dyDescent="0.25">
      <c r="A3331" s="5" t="s">
        <v>2635</v>
      </c>
      <c r="B3331" s="5" t="s">
        <v>2634</v>
      </c>
      <c r="C3331" s="5" t="s">
        <v>31</v>
      </c>
      <c r="D3331" s="21">
        <v>3</v>
      </c>
      <c r="E3331" s="12">
        <v>267</v>
      </c>
      <c r="F3331" s="10" t="str">
        <f>_xlfn.XLOOKUP(C3331,menu!A:A,menu!B:B)</f>
        <v>Chicken Roll</v>
      </c>
      <c r="G3331" s="10" t="str">
        <f>_xlfn.XLOOKUP(C3331,menu!A:A,menu!C:C)</f>
        <v>Rolls</v>
      </c>
      <c r="H3331" s="10">
        <f>_xlfn.XLOOKUP(C3331,menu!A:A,menu!E:E)</f>
        <v>27</v>
      </c>
      <c r="I3331" s="10">
        <f t="shared" ref="I3331:I3394" si="52">D3331*H3331</f>
        <v>81</v>
      </c>
      <c r="K3331" s="10"/>
      <c r="L3331" s="5"/>
    </row>
    <row r="3332" spans="1:12" x14ac:dyDescent="0.25">
      <c r="A3332" s="5" t="s">
        <v>2633</v>
      </c>
      <c r="B3332" s="5" t="s">
        <v>2632</v>
      </c>
      <c r="C3332" s="5" t="s">
        <v>26</v>
      </c>
      <c r="D3332" s="21">
        <v>2</v>
      </c>
      <c r="E3332" s="12">
        <v>118</v>
      </c>
      <c r="F3332" s="10" t="str">
        <f>_xlfn.XLOOKUP(C3332,menu!A:A,menu!B:B)</f>
        <v>Veg Roll</v>
      </c>
      <c r="G3332" s="10" t="str">
        <f>_xlfn.XLOOKUP(C3332,menu!A:A,menu!C:C)</f>
        <v>Rolls</v>
      </c>
      <c r="H3332" s="10">
        <f>_xlfn.XLOOKUP(C3332,menu!A:A,menu!E:E)</f>
        <v>18</v>
      </c>
      <c r="I3332" s="10">
        <f t="shared" si="52"/>
        <v>36</v>
      </c>
      <c r="K3332" s="10"/>
      <c r="L3332" s="5"/>
    </row>
    <row r="3333" spans="1:12" x14ac:dyDescent="0.25">
      <c r="A3333" s="5" t="s">
        <v>2631</v>
      </c>
      <c r="B3333" s="5" t="s">
        <v>2627</v>
      </c>
      <c r="C3333" s="5" t="s">
        <v>12</v>
      </c>
      <c r="D3333" s="21">
        <v>3</v>
      </c>
      <c r="E3333" s="12">
        <v>237</v>
      </c>
      <c r="F3333" s="10" t="str">
        <f>_xlfn.XLOOKUP(C3333,menu!A:A,menu!B:B)</f>
        <v>Veg Momos</v>
      </c>
      <c r="G3333" s="10" t="str">
        <f>_xlfn.XLOOKUP(C3333,menu!A:A,menu!C:C)</f>
        <v>Momos</v>
      </c>
      <c r="H3333" s="10">
        <f>_xlfn.XLOOKUP(C3333,menu!A:A,menu!E:E)</f>
        <v>24</v>
      </c>
      <c r="I3333" s="10">
        <f t="shared" si="52"/>
        <v>72</v>
      </c>
      <c r="K3333" s="10"/>
      <c r="L3333" s="5"/>
    </row>
    <row r="3334" spans="1:12" x14ac:dyDescent="0.25">
      <c r="A3334" s="5" t="s">
        <v>2630</v>
      </c>
      <c r="B3334" s="5" t="s">
        <v>2627</v>
      </c>
      <c r="C3334" s="5" t="s">
        <v>56</v>
      </c>
      <c r="D3334" s="21">
        <v>1</v>
      </c>
      <c r="E3334" s="12">
        <v>79</v>
      </c>
      <c r="F3334" s="10" t="str">
        <f>_xlfn.XLOOKUP(C3334,menu!A:A,menu!B:B)</f>
        <v>Mint Mojito</v>
      </c>
      <c r="G3334" s="10" t="str">
        <f>_xlfn.XLOOKUP(C3334,menu!A:A,menu!C:C)</f>
        <v>Beverages</v>
      </c>
      <c r="H3334" s="10">
        <f>_xlfn.XLOOKUP(C3334,menu!A:A,menu!E:E)</f>
        <v>24</v>
      </c>
      <c r="I3334" s="10">
        <f t="shared" si="52"/>
        <v>24</v>
      </c>
      <c r="K3334" s="10"/>
      <c r="L3334" s="5"/>
    </row>
    <row r="3335" spans="1:12" x14ac:dyDescent="0.25">
      <c r="A3335" s="5" t="s">
        <v>2629</v>
      </c>
      <c r="B3335" s="5" t="s">
        <v>2627</v>
      </c>
      <c r="C3335" s="5" t="s">
        <v>50</v>
      </c>
      <c r="D3335" s="21">
        <v>2</v>
      </c>
      <c r="E3335" s="12">
        <v>298</v>
      </c>
      <c r="F3335" s="10" t="str">
        <f>_xlfn.XLOOKUP(C3335,menu!A:A,menu!B:B)</f>
        <v>Grab Lollipop</v>
      </c>
      <c r="G3335" s="10" t="str">
        <f>_xlfn.XLOOKUP(C3335,menu!A:A,menu!C:C)</f>
        <v>Starters</v>
      </c>
      <c r="H3335" s="10">
        <f>_xlfn.XLOOKUP(C3335,menu!A:A,menu!E:E)</f>
        <v>45</v>
      </c>
      <c r="I3335" s="10">
        <f t="shared" si="52"/>
        <v>90</v>
      </c>
      <c r="K3335" s="10"/>
      <c r="L3335" s="5"/>
    </row>
    <row r="3336" spans="1:12" x14ac:dyDescent="0.25">
      <c r="A3336" s="5" t="s">
        <v>2628</v>
      </c>
      <c r="B3336" s="5" t="s">
        <v>2627</v>
      </c>
      <c r="C3336" s="5" t="s">
        <v>44</v>
      </c>
      <c r="D3336" s="21">
        <v>5</v>
      </c>
      <c r="E3336" s="12">
        <v>795</v>
      </c>
      <c r="F3336" s="10" t="str">
        <f>_xlfn.XLOOKUP(C3336,menu!A:A,menu!B:B)</f>
        <v>Fried Chicken</v>
      </c>
      <c r="G3336" s="10" t="str">
        <f>_xlfn.XLOOKUP(C3336,menu!A:A,menu!C:C)</f>
        <v>Starters</v>
      </c>
      <c r="H3336" s="10">
        <f>_xlfn.XLOOKUP(C3336,menu!A:A,menu!E:E)</f>
        <v>48</v>
      </c>
      <c r="I3336" s="10">
        <f t="shared" si="52"/>
        <v>240</v>
      </c>
      <c r="K3336" s="10"/>
      <c r="L3336" s="5"/>
    </row>
    <row r="3337" spans="1:12" x14ac:dyDescent="0.25">
      <c r="A3337" s="5" t="s">
        <v>2626</v>
      </c>
      <c r="B3337" s="5" t="s">
        <v>2623</v>
      </c>
      <c r="C3337" s="5" t="s">
        <v>17</v>
      </c>
      <c r="D3337" s="21">
        <v>2</v>
      </c>
      <c r="E3337" s="12">
        <v>178</v>
      </c>
      <c r="F3337" s="10" t="str">
        <f>_xlfn.XLOOKUP(C3337,menu!A:A,menu!B:B)</f>
        <v>Paneer Momos</v>
      </c>
      <c r="G3337" s="10" t="str">
        <f>_xlfn.XLOOKUP(C3337,menu!A:A,menu!C:C)</f>
        <v>Momos</v>
      </c>
      <c r="H3337" s="10">
        <f>_xlfn.XLOOKUP(C3337,menu!A:A,menu!E:E)</f>
        <v>27</v>
      </c>
      <c r="I3337" s="10">
        <f t="shared" si="52"/>
        <v>54</v>
      </c>
      <c r="K3337" s="10"/>
      <c r="L3337" s="5"/>
    </row>
    <row r="3338" spans="1:12" x14ac:dyDescent="0.25">
      <c r="A3338" s="5" t="s">
        <v>2625</v>
      </c>
      <c r="B3338" s="5" t="s">
        <v>2623</v>
      </c>
      <c r="C3338" s="5" t="s">
        <v>56</v>
      </c>
      <c r="D3338" s="21">
        <v>2</v>
      </c>
      <c r="E3338" s="12">
        <v>158</v>
      </c>
      <c r="F3338" s="10" t="str">
        <f>_xlfn.XLOOKUP(C3338,menu!A:A,menu!B:B)</f>
        <v>Mint Mojito</v>
      </c>
      <c r="G3338" s="10" t="str">
        <f>_xlfn.XLOOKUP(C3338,menu!A:A,menu!C:C)</f>
        <v>Beverages</v>
      </c>
      <c r="H3338" s="10">
        <f>_xlfn.XLOOKUP(C3338,menu!A:A,menu!E:E)</f>
        <v>24</v>
      </c>
      <c r="I3338" s="10">
        <f t="shared" si="52"/>
        <v>48</v>
      </c>
      <c r="K3338" s="10"/>
      <c r="L3338" s="5"/>
    </row>
    <row r="3339" spans="1:12" x14ac:dyDescent="0.25">
      <c r="A3339" s="5" t="s">
        <v>2624</v>
      </c>
      <c r="B3339" s="5" t="s">
        <v>2623</v>
      </c>
      <c r="C3339" s="5" t="s">
        <v>35</v>
      </c>
      <c r="D3339" s="21">
        <v>1</v>
      </c>
      <c r="E3339" s="12">
        <v>119</v>
      </c>
      <c r="F3339" s="10" t="str">
        <f>_xlfn.XLOOKUP(C3339,menu!A:A,menu!B:B)</f>
        <v>Chicken Nuggets</v>
      </c>
      <c r="G3339" s="10" t="str">
        <f>_xlfn.XLOOKUP(C3339,menu!A:A,menu!C:C)</f>
        <v>Starters</v>
      </c>
      <c r="H3339" s="10">
        <f>_xlfn.XLOOKUP(C3339,menu!A:A,menu!E:E)</f>
        <v>36</v>
      </c>
      <c r="I3339" s="10">
        <f t="shared" si="52"/>
        <v>36</v>
      </c>
      <c r="K3339" s="10"/>
      <c r="L3339" s="5"/>
    </row>
    <row r="3340" spans="1:12" x14ac:dyDescent="0.25">
      <c r="A3340" s="5" t="s">
        <v>2622</v>
      </c>
      <c r="B3340" s="5" t="s">
        <v>2619</v>
      </c>
      <c r="C3340" s="5" t="s">
        <v>52</v>
      </c>
      <c r="D3340" s="21">
        <v>3</v>
      </c>
      <c r="E3340" s="12">
        <v>297</v>
      </c>
      <c r="F3340" s="10" t="str">
        <f>_xlfn.XLOOKUP(C3340,menu!A:A,menu!B:B)</f>
        <v>French Fries</v>
      </c>
      <c r="G3340" s="10" t="str">
        <f>_xlfn.XLOOKUP(C3340,menu!A:A,menu!C:C)</f>
        <v>Starters</v>
      </c>
      <c r="H3340" s="10">
        <f>_xlfn.XLOOKUP(C3340,menu!A:A,menu!E:E)</f>
        <v>30</v>
      </c>
      <c r="I3340" s="10">
        <f t="shared" si="52"/>
        <v>90</v>
      </c>
      <c r="K3340" s="10"/>
      <c r="L3340" s="5"/>
    </row>
    <row r="3341" spans="1:12" x14ac:dyDescent="0.25">
      <c r="A3341" s="5" t="s">
        <v>2621</v>
      </c>
      <c r="B3341" s="5" t="s">
        <v>2619</v>
      </c>
      <c r="C3341" s="5" t="s">
        <v>35</v>
      </c>
      <c r="D3341" s="21">
        <v>1</v>
      </c>
      <c r="E3341" s="12">
        <v>119</v>
      </c>
      <c r="F3341" s="10" t="str">
        <f>_xlfn.XLOOKUP(C3341,menu!A:A,menu!B:B)</f>
        <v>Chicken Nuggets</v>
      </c>
      <c r="G3341" s="10" t="str">
        <f>_xlfn.XLOOKUP(C3341,menu!A:A,menu!C:C)</f>
        <v>Starters</v>
      </c>
      <c r="H3341" s="10">
        <f>_xlfn.XLOOKUP(C3341,menu!A:A,menu!E:E)</f>
        <v>36</v>
      </c>
      <c r="I3341" s="10">
        <f t="shared" si="52"/>
        <v>36</v>
      </c>
      <c r="K3341" s="10"/>
      <c r="L3341" s="5"/>
    </row>
    <row r="3342" spans="1:12" x14ac:dyDescent="0.25">
      <c r="A3342" s="5" t="s">
        <v>2620</v>
      </c>
      <c r="B3342" s="5" t="s">
        <v>2619</v>
      </c>
      <c r="C3342" s="5" t="s">
        <v>56</v>
      </c>
      <c r="D3342" s="21">
        <v>2</v>
      </c>
      <c r="E3342" s="12">
        <v>158</v>
      </c>
      <c r="F3342" s="10" t="str">
        <f>_xlfn.XLOOKUP(C3342,menu!A:A,menu!B:B)</f>
        <v>Mint Mojito</v>
      </c>
      <c r="G3342" s="10" t="str">
        <f>_xlfn.XLOOKUP(C3342,menu!A:A,menu!C:C)</f>
        <v>Beverages</v>
      </c>
      <c r="H3342" s="10">
        <f>_xlfn.XLOOKUP(C3342,menu!A:A,menu!E:E)</f>
        <v>24</v>
      </c>
      <c r="I3342" s="10">
        <f t="shared" si="52"/>
        <v>48</v>
      </c>
      <c r="K3342" s="10"/>
      <c r="L3342" s="5"/>
    </row>
    <row r="3343" spans="1:12" x14ac:dyDescent="0.25">
      <c r="A3343" s="5" t="s">
        <v>2618</v>
      </c>
      <c r="B3343" s="5" t="s">
        <v>2615</v>
      </c>
      <c r="C3343" s="5" t="s">
        <v>19</v>
      </c>
      <c r="D3343" s="21">
        <v>1</v>
      </c>
      <c r="E3343" s="12">
        <v>79</v>
      </c>
      <c r="F3343" s="10" t="str">
        <f>_xlfn.XLOOKUP(C3343,menu!A:A,menu!B:B)</f>
        <v>Veg Burger</v>
      </c>
      <c r="G3343" s="10" t="str">
        <f>_xlfn.XLOOKUP(C3343,menu!A:A,menu!C:C)</f>
        <v>Burger</v>
      </c>
      <c r="H3343" s="10">
        <f>_xlfn.XLOOKUP(C3343,menu!A:A,menu!E:E)</f>
        <v>24</v>
      </c>
      <c r="I3343" s="10">
        <f t="shared" si="52"/>
        <v>24</v>
      </c>
      <c r="K3343" s="10"/>
      <c r="L3343" s="5"/>
    </row>
    <row r="3344" spans="1:12" x14ac:dyDescent="0.25">
      <c r="A3344" s="5" t="s">
        <v>2617</v>
      </c>
      <c r="B3344" s="5" t="s">
        <v>2615</v>
      </c>
      <c r="C3344" s="5" t="s">
        <v>50</v>
      </c>
      <c r="D3344" s="21">
        <v>2</v>
      </c>
      <c r="E3344" s="12">
        <v>298</v>
      </c>
      <c r="F3344" s="10" t="str">
        <f>_xlfn.XLOOKUP(C3344,menu!A:A,menu!B:B)</f>
        <v>Grab Lollipop</v>
      </c>
      <c r="G3344" s="10" t="str">
        <f>_xlfn.XLOOKUP(C3344,menu!A:A,menu!C:C)</f>
        <v>Starters</v>
      </c>
      <c r="H3344" s="10">
        <f>_xlfn.XLOOKUP(C3344,menu!A:A,menu!E:E)</f>
        <v>45</v>
      </c>
      <c r="I3344" s="10">
        <f t="shared" si="52"/>
        <v>90</v>
      </c>
      <c r="K3344" s="10"/>
      <c r="L3344" s="5"/>
    </row>
    <row r="3345" spans="1:12" x14ac:dyDescent="0.25">
      <c r="A3345" s="5" t="s">
        <v>2616</v>
      </c>
      <c r="B3345" s="5" t="s">
        <v>2615</v>
      </c>
      <c r="C3345" s="5" t="s">
        <v>24</v>
      </c>
      <c r="D3345" s="21">
        <v>1</v>
      </c>
      <c r="E3345" s="12">
        <v>89</v>
      </c>
      <c r="F3345" s="10" t="str">
        <f>_xlfn.XLOOKUP(C3345,menu!A:A,menu!B:B)</f>
        <v>Paneer Burger</v>
      </c>
      <c r="G3345" s="10" t="str">
        <f>_xlfn.XLOOKUP(C3345,menu!A:A,menu!C:C)</f>
        <v>Burger</v>
      </c>
      <c r="H3345" s="10">
        <f>_xlfn.XLOOKUP(C3345,menu!A:A,menu!E:E)</f>
        <v>27</v>
      </c>
      <c r="I3345" s="10">
        <f t="shared" si="52"/>
        <v>27</v>
      </c>
      <c r="K3345" s="10"/>
      <c r="L3345" s="5"/>
    </row>
    <row r="3346" spans="1:12" x14ac:dyDescent="0.25">
      <c r="A3346" s="5" t="s">
        <v>2614</v>
      </c>
      <c r="B3346" s="5" t="s">
        <v>2611</v>
      </c>
      <c r="C3346" s="5" t="s">
        <v>5</v>
      </c>
      <c r="D3346" s="21">
        <v>2</v>
      </c>
      <c r="E3346" s="12">
        <v>158</v>
      </c>
      <c r="F3346" s="10" t="str">
        <f>_xlfn.XLOOKUP(C3346,menu!A:A,menu!B:B)</f>
        <v>Veg Sandwich</v>
      </c>
      <c r="G3346" s="10" t="str">
        <f>_xlfn.XLOOKUP(C3346,menu!A:A,menu!C:C)</f>
        <v>Sandwich</v>
      </c>
      <c r="H3346" s="10">
        <f>_xlfn.XLOOKUP(C3346,menu!A:A,menu!E:E)</f>
        <v>24</v>
      </c>
      <c r="I3346" s="10">
        <f t="shared" si="52"/>
        <v>48</v>
      </c>
      <c r="K3346" s="10"/>
      <c r="L3346" s="5"/>
    </row>
    <row r="3347" spans="1:12" x14ac:dyDescent="0.25">
      <c r="A3347" s="5" t="s">
        <v>2613</v>
      </c>
      <c r="B3347" s="5" t="s">
        <v>2611</v>
      </c>
      <c r="C3347" s="5" t="s">
        <v>24</v>
      </c>
      <c r="D3347" s="21">
        <v>3</v>
      </c>
      <c r="E3347" s="12">
        <v>267</v>
      </c>
      <c r="F3347" s="10" t="str">
        <f>_xlfn.XLOOKUP(C3347,menu!A:A,menu!B:B)</f>
        <v>Paneer Burger</v>
      </c>
      <c r="G3347" s="10" t="str">
        <f>_xlfn.XLOOKUP(C3347,menu!A:A,menu!C:C)</f>
        <v>Burger</v>
      </c>
      <c r="H3347" s="10">
        <f>_xlfn.XLOOKUP(C3347,menu!A:A,menu!E:E)</f>
        <v>27</v>
      </c>
      <c r="I3347" s="10">
        <f t="shared" si="52"/>
        <v>81</v>
      </c>
      <c r="K3347" s="10"/>
      <c r="L3347" s="5"/>
    </row>
    <row r="3348" spans="1:12" x14ac:dyDescent="0.25">
      <c r="A3348" s="5" t="s">
        <v>2612</v>
      </c>
      <c r="B3348" s="5" t="s">
        <v>2611</v>
      </c>
      <c r="C3348" s="5" t="s">
        <v>29</v>
      </c>
      <c r="D3348" s="21">
        <v>1</v>
      </c>
      <c r="E3348" s="12">
        <v>79</v>
      </c>
      <c r="F3348" s="10" t="str">
        <f>_xlfn.XLOOKUP(C3348,menu!A:A,menu!B:B)</f>
        <v>Paneer Roll</v>
      </c>
      <c r="G3348" s="10" t="str">
        <f>_xlfn.XLOOKUP(C3348,menu!A:A,menu!C:C)</f>
        <v>Rolls</v>
      </c>
      <c r="H3348" s="10">
        <f>_xlfn.XLOOKUP(C3348,menu!A:A,menu!E:E)</f>
        <v>24</v>
      </c>
      <c r="I3348" s="10">
        <f t="shared" si="52"/>
        <v>24</v>
      </c>
      <c r="K3348" s="10"/>
      <c r="L3348" s="5"/>
    </row>
    <row r="3349" spans="1:12" x14ac:dyDescent="0.25">
      <c r="A3349" s="5" t="s">
        <v>2610</v>
      </c>
      <c r="B3349" s="5" t="s">
        <v>2607</v>
      </c>
      <c r="C3349" s="5" t="s">
        <v>44</v>
      </c>
      <c r="D3349" s="21">
        <v>1</v>
      </c>
      <c r="E3349" s="12">
        <v>159</v>
      </c>
      <c r="F3349" s="10" t="str">
        <f>_xlfn.XLOOKUP(C3349,menu!A:A,menu!B:B)</f>
        <v>Fried Chicken</v>
      </c>
      <c r="G3349" s="10" t="str">
        <f>_xlfn.XLOOKUP(C3349,menu!A:A,menu!C:C)</f>
        <v>Starters</v>
      </c>
      <c r="H3349" s="10">
        <f>_xlfn.XLOOKUP(C3349,menu!A:A,menu!E:E)</f>
        <v>48</v>
      </c>
      <c r="I3349" s="10">
        <f t="shared" si="52"/>
        <v>48</v>
      </c>
      <c r="K3349" s="10"/>
      <c r="L3349" s="5"/>
    </row>
    <row r="3350" spans="1:12" x14ac:dyDescent="0.25">
      <c r="A3350" s="5" t="s">
        <v>2609</v>
      </c>
      <c r="B3350" s="5" t="s">
        <v>2607</v>
      </c>
      <c r="C3350" s="5" t="s">
        <v>22</v>
      </c>
      <c r="D3350" s="21">
        <v>1</v>
      </c>
      <c r="E3350" s="12">
        <v>99</v>
      </c>
      <c r="F3350" s="10" t="str">
        <f>_xlfn.XLOOKUP(C3350,menu!A:A,menu!B:B)</f>
        <v>Chicken Burger</v>
      </c>
      <c r="G3350" s="10" t="str">
        <f>_xlfn.XLOOKUP(C3350,menu!A:A,menu!C:C)</f>
        <v>Burger</v>
      </c>
      <c r="H3350" s="10">
        <f>_xlfn.XLOOKUP(C3350,menu!A:A,menu!E:E)</f>
        <v>30</v>
      </c>
      <c r="I3350" s="10">
        <f t="shared" si="52"/>
        <v>30</v>
      </c>
      <c r="K3350" s="10"/>
      <c r="L3350" s="5"/>
    </row>
    <row r="3351" spans="1:12" x14ac:dyDescent="0.25">
      <c r="A3351" s="5" t="s">
        <v>2608</v>
      </c>
      <c r="B3351" s="5" t="s">
        <v>2607</v>
      </c>
      <c r="C3351" s="5" t="s">
        <v>65</v>
      </c>
      <c r="D3351" s="21">
        <v>2</v>
      </c>
      <c r="E3351" s="12">
        <v>98</v>
      </c>
      <c r="F3351" s="10" t="str">
        <f>_xlfn.XLOOKUP(C3351,menu!A:A,menu!B:B)</f>
        <v>Lemon Juice</v>
      </c>
      <c r="G3351" s="10" t="str">
        <f>_xlfn.XLOOKUP(C3351,menu!A:A,menu!C:C)</f>
        <v>Beverages</v>
      </c>
      <c r="H3351" s="10">
        <f>_xlfn.XLOOKUP(C3351,menu!A:A,menu!E:E)</f>
        <v>15</v>
      </c>
      <c r="I3351" s="10">
        <f t="shared" si="52"/>
        <v>30</v>
      </c>
      <c r="K3351" s="10"/>
      <c r="L3351" s="5"/>
    </row>
    <row r="3352" spans="1:12" x14ac:dyDescent="0.25">
      <c r="A3352" s="5" t="s">
        <v>2606</v>
      </c>
      <c r="B3352" s="5" t="s">
        <v>2604</v>
      </c>
      <c r="C3352" s="5" t="s">
        <v>5</v>
      </c>
      <c r="D3352" s="21">
        <v>3</v>
      </c>
      <c r="E3352" s="12">
        <v>237</v>
      </c>
      <c r="F3352" s="10" t="str">
        <f>_xlfn.XLOOKUP(C3352,menu!A:A,menu!B:B)</f>
        <v>Veg Sandwich</v>
      </c>
      <c r="G3352" s="10" t="str">
        <f>_xlfn.XLOOKUP(C3352,menu!A:A,menu!C:C)</f>
        <v>Sandwich</v>
      </c>
      <c r="H3352" s="10">
        <f>_xlfn.XLOOKUP(C3352,menu!A:A,menu!E:E)</f>
        <v>24</v>
      </c>
      <c r="I3352" s="10">
        <f t="shared" si="52"/>
        <v>72</v>
      </c>
      <c r="K3352" s="10"/>
      <c r="L3352" s="5"/>
    </row>
    <row r="3353" spans="1:12" x14ac:dyDescent="0.25">
      <c r="A3353" s="5" t="s">
        <v>2605</v>
      </c>
      <c r="B3353" s="5" t="s">
        <v>2604</v>
      </c>
      <c r="C3353" s="5" t="s">
        <v>42</v>
      </c>
      <c r="D3353" s="21">
        <v>2</v>
      </c>
      <c r="E3353" s="12">
        <v>298</v>
      </c>
      <c r="F3353" s="10" t="str">
        <f>_xlfn.XLOOKUP(C3353,menu!A:A,menu!B:B)</f>
        <v>Chicken Popcorn</v>
      </c>
      <c r="G3353" s="10" t="str">
        <f>_xlfn.XLOOKUP(C3353,menu!A:A,menu!C:C)</f>
        <v>Starters</v>
      </c>
      <c r="H3353" s="10">
        <f>_xlfn.XLOOKUP(C3353,menu!A:A,menu!E:E)</f>
        <v>45</v>
      </c>
      <c r="I3353" s="10">
        <f t="shared" si="52"/>
        <v>90</v>
      </c>
      <c r="K3353" s="10"/>
      <c r="L3353" s="5"/>
    </row>
    <row r="3354" spans="1:12" x14ac:dyDescent="0.25">
      <c r="A3354" s="5" t="s">
        <v>2603</v>
      </c>
      <c r="B3354" s="5" t="s">
        <v>2601</v>
      </c>
      <c r="C3354" s="5" t="s">
        <v>63</v>
      </c>
      <c r="D3354" s="21">
        <v>2</v>
      </c>
      <c r="E3354" s="12">
        <v>158</v>
      </c>
      <c r="F3354" s="10" t="str">
        <f>_xlfn.XLOOKUP(C3354,menu!A:A,menu!B:B)</f>
        <v>Virgin Mojito</v>
      </c>
      <c r="G3354" s="10" t="str">
        <f>_xlfn.XLOOKUP(C3354,menu!A:A,menu!C:C)</f>
        <v>Beverages</v>
      </c>
      <c r="H3354" s="10">
        <f>_xlfn.XLOOKUP(C3354,menu!A:A,menu!E:E)</f>
        <v>24</v>
      </c>
      <c r="I3354" s="10">
        <f t="shared" si="52"/>
        <v>48</v>
      </c>
      <c r="K3354" s="10"/>
      <c r="L3354" s="5"/>
    </row>
    <row r="3355" spans="1:12" x14ac:dyDescent="0.25">
      <c r="A3355" s="5" t="s">
        <v>2602</v>
      </c>
      <c r="B3355" s="5" t="s">
        <v>2601</v>
      </c>
      <c r="C3355" s="5" t="s">
        <v>35</v>
      </c>
      <c r="D3355" s="21">
        <v>1</v>
      </c>
      <c r="E3355" s="12">
        <v>119</v>
      </c>
      <c r="F3355" s="10" t="str">
        <f>_xlfn.XLOOKUP(C3355,menu!A:A,menu!B:B)</f>
        <v>Chicken Nuggets</v>
      </c>
      <c r="G3355" s="10" t="str">
        <f>_xlfn.XLOOKUP(C3355,menu!A:A,menu!C:C)</f>
        <v>Starters</v>
      </c>
      <c r="H3355" s="10">
        <f>_xlfn.XLOOKUP(C3355,menu!A:A,menu!E:E)</f>
        <v>36</v>
      </c>
      <c r="I3355" s="10">
        <f t="shared" si="52"/>
        <v>36</v>
      </c>
      <c r="K3355" s="10"/>
      <c r="L3355" s="5"/>
    </row>
    <row r="3356" spans="1:12" x14ac:dyDescent="0.25">
      <c r="A3356" s="5" t="s">
        <v>2600</v>
      </c>
      <c r="B3356" s="5" t="s">
        <v>2598</v>
      </c>
      <c r="C3356" s="5" t="s">
        <v>35</v>
      </c>
      <c r="D3356" s="21">
        <v>2</v>
      </c>
      <c r="E3356" s="12">
        <v>238</v>
      </c>
      <c r="F3356" s="10" t="str">
        <f>_xlfn.XLOOKUP(C3356,menu!A:A,menu!B:B)</f>
        <v>Chicken Nuggets</v>
      </c>
      <c r="G3356" s="10" t="str">
        <f>_xlfn.XLOOKUP(C3356,menu!A:A,menu!C:C)</f>
        <v>Starters</v>
      </c>
      <c r="H3356" s="10">
        <f>_xlfn.XLOOKUP(C3356,menu!A:A,menu!E:E)</f>
        <v>36</v>
      </c>
      <c r="I3356" s="10">
        <f t="shared" si="52"/>
        <v>72</v>
      </c>
      <c r="K3356" s="10"/>
      <c r="L3356" s="5"/>
    </row>
    <row r="3357" spans="1:12" x14ac:dyDescent="0.25">
      <c r="A3357" s="5" t="s">
        <v>2599</v>
      </c>
      <c r="B3357" s="5" t="s">
        <v>2598</v>
      </c>
      <c r="C3357" s="5" t="s">
        <v>33</v>
      </c>
      <c r="D3357" s="21">
        <v>1</v>
      </c>
      <c r="E3357" s="12">
        <v>69</v>
      </c>
      <c r="F3357" s="10" t="str">
        <f>_xlfn.XLOOKUP(C3357,menu!A:A,menu!B:B)</f>
        <v>Spring Roll</v>
      </c>
      <c r="G3357" s="10" t="str">
        <f>_xlfn.XLOOKUP(C3357,menu!A:A,menu!C:C)</f>
        <v>Rolls</v>
      </c>
      <c r="H3357" s="10">
        <f>_xlfn.XLOOKUP(C3357,menu!A:A,menu!E:E)</f>
        <v>21</v>
      </c>
      <c r="I3357" s="10">
        <f t="shared" si="52"/>
        <v>21</v>
      </c>
      <c r="K3357" s="10"/>
      <c r="L3357" s="5"/>
    </row>
    <row r="3358" spans="1:12" x14ac:dyDescent="0.25">
      <c r="A3358" s="5" t="s">
        <v>2597</v>
      </c>
      <c r="B3358" s="5" t="s">
        <v>2595</v>
      </c>
      <c r="C3358" s="5" t="s">
        <v>44</v>
      </c>
      <c r="D3358" s="21">
        <v>1</v>
      </c>
      <c r="E3358" s="12">
        <v>159</v>
      </c>
      <c r="F3358" s="10" t="str">
        <f>_xlfn.XLOOKUP(C3358,menu!A:A,menu!B:B)</f>
        <v>Fried Chicken</v>
      </c>
      <c r="G3358" s="10" t="str">
        <f>_xlfn.XLOOKUP(C3358,menu!A:A,menu!C:C)</f>
        <v>Starters</v>
      </c>
      <c r="H3358" s="10">
        <f>_xlfn.XLOOKUP(C3358,menu!A:A,menu!E:E)</f>
        <v>48</v>
      </c>
      <c r="I3358" s="10">
        <f t="shared" si="52"/>
        <v>48</v>
      </c>
      <c r="K3358" s="10"/>
      <c r="L3358" s="5"/>
    </row>
    <row r="3359" spans="1:12" x14ac:dyDescent="0.25">
      <c r="A3359" s="5" t="s">
        <v>2596</v>
      </c>
      <c r="B3359" s="5" t="s">
        <v>2595</v>
      </c>
      <c r="C3359" s="5" t="s">
        <v>38</v>
      </c>
      <c r="D3359" s="21">
        <v>1</v>
      </c>
      <c r="E3359" s="12">
        <v>149</v>
      </c>
      <c r="F3359" s="10" t="str">
        <f>_xlfn.XLOOKUP(C3359,menu!A:A,menu!B:B)</f>
        <v>Chicken Wings</v>
      </c>
      <c r="G3359" s="10" t="str">
        <f>_xlfn.XLOOKUP(C3359,menu!A:A,menu!C:C)</f>
        <v>Starters</v>
      </c>
      <c r="H3359" s="10">
        <f>_xlfn.XLOOKUP(C3359,menu!A:A,menu!E:E)</f>
        <v>45</v>
      </c>
      <c r="I3359" s="10">
        <f t="shared" si="52"/>
        <v>45</v>
      </c>
      <c r="K3359" s="10"/>
      <c r="L3359" s="5"/>
    </row>
    <row r="3360" spans="1:12" x14ac:dyDescent="0.25">
      <c r="A3360" s="5" t="s">
        <v>2594</v>
      </c>
      <c r="B3360" s="5" t="s">
        <v>2591</v>
      </c>
      <c r="C3360" s="5" t="s">
        <v>44</v>
      </c>
      <c r="D3360" s="21">
        <v>1</v>
      </c>
      <c r="E3360" s="12">
        <v>159</v>
      </c>
      <c r="F3360" s="10" t="str">
        <f>_xlfn.XLOOKUP(C3360,menu!A:A,menu!B:B)</f>
        <v>Fried Chicken</v>
      </c>
      <c r="G3360" s="10" t="str">
        <f>_xlfn.XLOOKUP(C3360,menu!A:A,menu!C:C)</f>
        <v>Starters</v>
      </c>
      <c r="H3360" s="10">
        <f>_xlfn.XLOOKUP(C3360,menu!A:A,menu!E:E)</f>
        <v>48</v>
      </c>
      <c r="I3360" s="10">
        <f t="shared" si="52"/>
        <v>48</v>
      </c>
      <c r="K3360" s="10"/>
      <c r="L3360" s="5"/>
    </row>
    <row r="3361" spans="1:12" x14ac:dyDescent="0.25">
      <c r="A3361" s="5" t="s">
        <v>2593</v>
      </c>
      <c r="B3361" s="5" t="s">
        <v>2591</v>
      </c>
      <c r="C3361" s="5" t="s">
        <v>31</v>
      </c>
      <c r="D3361" s="21">
        <v>1</v>
      </c>
      <c r="E3361" s="12">
        <v>89</v>
      </c>
      <c r="F3361" s="10" t="str">
        <f>_xlfn.XLOOKUP(C3361,menu!A:A,menu!B:B)</f>
        <v>Chicken Roll</v>
      </c>
      <c r="G3361" s="10" t="str">
        <f>_xlfn.XLOOKUP(C3361,menu!A:A,menu!C:C)</f>
        <v>Rolls</v>
      </c>
      <c r="H3361" s="10">
        <f>_xlfn.XLOOKUP(C3361,menu!A:A,menu!E:E)</f>
        <v>27</v>
      </c>
      <c r="I3361" s="10">
        <f t="shared" si="52"/>
        <v>27</v>
      </c>
      <c r="K3361" s="10"/>
      <c r="L3361" s="5"/>
    </row>
    <row r="3362" spans="1:12" x14ac:dyDescent="0.25">
      <c r="A3362" s="5" t="s">
        <v>2592</v>
      </c>
      <c r="B3362" s="5" t="s">
        <v>2591</v>
      </c>
      <c r="C3362" s="5" t="s">
        <v>54</v>
      </c>
      <c r="D3362" s="21">
        <v>1</v>
      </c>
      <c r="E3362" s="12">
        <v>139</v>
      </c>
      <c r="F3362" s="10" t="str">
        <f>_xlfn.XLOOKUP(C3362,menu!A:A,menu!B:B)</f>
        <v>Chicken Strips</v>
      </c>
      <c r="G3362" s="10" t="str">
        <f>_xlfn.XLOOKUP(C3362,menu!A:A,menu!C:C)</f>
        <v>Starters</v>
      </c>
      <c r="H3362" s="10">
        <f>_xlfn.XLOOKUP(C3362,menu!A:A,menu!E:E)</f>
        <v>42</v>
      </c>
      <c r="I3362" s="10">
        <f t="shared" si="52"/>
        <v>42</v>
      </c>
      <c r="K3362" s="10"/>
      <c r="L3362" s="5"/>
    </row>
    <row r="3363" spans="1:12" x14ac:dyDescent="0.25">
      <c r="A3363" s="5" t="s">
        <v>2590</v>
      </c>
      <c r="B3363" s="5" t="s">
        <v>2588</v>
      </c>
      <c r="C3363" s="5" t="s">
        <v>19</v>
      </c>
      <c r="D3363" s="21">
        <v>2</v>
      </c>
      <c r="E3363" s="12">
        <v>158</v>
      </c>
      <c r="F3363" s="10" t="str">
        <f>_xlfn.XLOOKUP(C3363,menu!A:A,menu!B:B)</f>
        <v>Veg Burger</v>
      </c>
      <c r="G3363" s="10" t="str">
        <f>_xlfn.XLOOKUP(C3363,menu!A:A,menu!C:C)</f>
        <v>Burger</v>
      </c>
      <c r="H3363" s="10">
        <f>_xlfn.XLOOKUP(C3363,menu!A:A,menu!E:E)</f>
        <v>24</v>
      </c>
      <c r="I3363" s="10">
        <f t="shared" si="52"/>
        <v>48</v>
      </c>
      <c r="K3363" s="10"/>
      <c r="L3363" s="5"/>
    </row>
    <row r="3364" spans="1:12" x14ac:dyDescent="0.25">
      <c r="A3364" s="5" t="s">
        <v>2589</v>
      </c>
      <c r="B3364" s="5" t="s">
        <v>2588</v>
      </c>
      <c r="C3364" s="5" t="s">
        <v>31</v>
      </c>
      <c r="D3364" s="21">
        <v>2</v>
      </c>
      <c r="E3364" s="12">
        <v>178</v>
      </c>
      <c r="F3364" s="10" t="str">
        <f>_xlfn.XLOOKUP(C3364,menu!A:A,menu!B:B)</f>
        <v>Chicken Roll</v>
      </c>
      <c r="G3364" s="10" t="str">
        <f>_xlfn.XLOOKUP(C3364,menu!A:A,menu!C:C)</f>
        <v>Rolls</v>
      </c>
      <c r="H3364" s="10">
        <f>_xlfn.XLOOKUP(C3364,menu!A:A,menu!E:E)</f>
        <v>27</v>
      </c>
      <c r="I3364" s="10">
        <f t="shared" si="52"/>
        <v>54</v>
      </c>
      <c r="K3364" s="10"/>
      <c r="L3364" s="5"/>
    </row>
    <row r="3365" spans="1:12" x14ac:dyDescent="0.25">
      <c r="A3365" s="5" t="s">
        <v>2587</v>
      </c>
      <c r="B3365" s="5" t="s">
        <v>2585</v>
      </c>
      <c r="C3365" s="5" t="s">
        <v>54</v>
      </c>
      <c r="D3365" s="21">
        <v>2</v>
      </c>
      <c r="E3365" s="12">
        <v>278</v>
      </c>
      <c r="F3365" s="10" t="str">
        <f>_xlfn.XLOOKUP(C3365,menu!A:A,menu!B:B)</f>
        <v>Chicken Strips</v>
      </c>
      <c r="G3365" s="10" t="str">
        <f>_xlfn.XLOOKUP(C3365,menu!A:A,menu!C:C)</f>
        <v>Starters</v>
      </c>
      <c r="H3365" s="10">
        <f>_xlfn.XLOOKUP(C3365,menu!A:A,menu!E:E)</f>
        <v>42</v>
      </c>
      <c r="I3365" s="10">
        <f t="shared" si="52"/>
        <v>84</v>
      </c>
      <c r="K3365" s="10"/>
      <c r="L3365" s="5"/>
    </row>
    <row r="3366" spans="1:12" x14ac:dyDescent="0.25">
      <c r="A3366" s="5" t="s">
        <v>2586</v>
      </c>
      <c r="B3366" s="5" t="s">
        <v>2585</v>
      </c>
      <c r="C3366" s="5" t="s">
        <v>59</v>
      </c>
      <c r="D3366" s="21">
        <v>3</v>
      </c>
      <c r="E3366" s="12">
        <v>237</v>
      </c>
      <c r="F3366" s="10" t="str">
        <f>_xlfn.XLOOKUP(C3366,menu!A:A,menu!B:B)</f>
        <v>Blue Curacao Mojito</v>
      </c>
      <c r="G3366" s="10" t="str">
        <f>_xlfn.XLOOKUP(C3366,menu!A:A,menu!C:C)</f>
        <v>Beverages</v>
      </c>
      <c r="H3366" s="10">
        <f>_xlfn.XLOOKUP(C3366,menu!A:A,menu!E:E)</f>
        <v>24</v>
      </c>
      <c r="I3366" s="10">
        <f t="shared" si="52"/>
        <v>72</v>
      </c>
      <c r="K3366" s="10"/>
      <c r="L3366" s="5"/>
    </row>
    <row r="3367" spans="1:12" x14ac:dyDescent="0.25">
      <c r="A3367" s="5" t="s">
        <v>2584</v>
      </c>
      <c r="B3367" s="5" t="s">
        <v>2581</v>
      </c>
      <c r="C3367" s="5" t="s">
        <v>52</v>
      </c>
      <c r="D3367" s="21">
        <v>1</v>
      </c>
      <c r="E3367" s="12">
        <v>99</v>
      </c>
      <c r="F3367" s="10" t="str">
        <f>_xlfn.XLOOKUP(C3367,menu!A:A,menu!B:B)</f>
        <v>French Fries</v>
      </c>
      <c r="G3367" s="10" t="str">
        <f>_xlfn.XLOOKUP(C3367,menu!A:A,menu!C:C)</f>
        <v>Starters</v>
      </c>
      <c r="H3367" s="10">
        <f>_xlfn.XLOOKUP(C3367,menu!A:A,menu!E:E)</f>
        <v>30</v>
      </c>
      <c r="I3367" s="10">
        <f t="shared" si="52"/>
        <v>30</v>
      </c>
      <c r="K3367" s="10"/>
      <c r="L3367" s="5"/>
    </row>
    <row r="3368" spans="1:12" x14ac:dyDescent="0.25">
      <c r="A3368" s="5" t="s">
        <v>2583</v>
      </c>
      <c r="B3368" s="5" t="s">
        <v>2581</v>
      </c>
      <c r="C3368" s="5" t="s">
        <v>35</v>
      </c>
      <c r="D3368" s="21">
        <v>1</v>
      </c>
      <c r="E3368" s="12">
        <v>119</v>
      </c>
      <c r="F3368" s="10" t="str">
        <f>_xlfn.XLOOKUP(C3368,menu!A:A,menu!B:B)</f>
        <v>Chicken Nuggets</v>
      </c>
      <c r="G3368" s="10" t="str">
        <f>_xlfn.XLOOKUP(C3368,menu!A:A,menu!C:C)</f>
        <v>Starters</v>
      </c>
      <c r="H3368" s="10">
        <f>_xlfn.XLOOKUP(C3368,menu!A:A,menu!E:E)</f>
        <v>36</v>
      </c>
      <c r="I3368" s="10">
        <f t="shared" si="52"/>
        <v>36</v>
      </c>
      <c r="K3368" s="10"/>
      <c r="L3368" s="5"/>
    </row>
    <row r="3369" spans="1:12" x14ac:dyDescent="0.25">
      <c r="A3369" s="5" t="s">
        <v>2582</v>
      </c>
      <c r="B3369" s="5" t="s">
        <v>2581</v>
      </c>
      <c r="C3369" s="5" t="s">
        <v>8</v>
      </c>
      <c r="D3369" s="21">
        <v>1</v>
      </c>
      <c r="E3369" s="12">
        <v>99</v>
      </c>
      <c r="F3369" s="10" t="str">
        <f>_xlfn.XLOOKUP(C3369,menu!A:A,menu!B:B)</f>
        <v>Paneer Sandwich</v>
      </c>
      <c r="G3369" s="10" t="str">
        <f>_xlfn.XLOOKUP(C3369,menu!A:A,menu!C:C)</f>
        <v>Sandwich</v>
      </c>
      <c r="H3369" s="10">
        <f>_xlfn.XLOOKUP(C3369,menu!A:A,menu!E:E)</f>
        <v>30</v>
      </c>
      <c r="I3369" s="10">
        <f t="shared" si="52"/>
        <v>30</v>
      </c>
      <c r="K3369" s="10"/>
      <c r="L3369" s="5"/>
    </row>
    <row r="3370" spans="1:12" x14ac:dyDescent="0.25">
      <c r="A3370" s="5" t="s">
        <v>2580</v>
      </c>
      <c r="B3370" s="5" t="s">
        <v>2578</v>
      </c>
      <c r="C3370" s="5" t="s">
        <v>44</v>
      </c>
      <c r="D3370" s="21">
        <v>2</v>
      </c>
      <c r="E3370" s="12">
        <v>318</v>
      </c>
      <c r="F3370" s="10" t="str">
        <f>_xlfn.XLOOKUP(C3370,menu!A:A,menu!B:B)</f>
        <v>Fried Chicken</v>
      </c>
      <c r="G3370" s="10" t="str">
        <f>_xlfn.XLOOKUP(C3370,menu!A:A,menu!C:C)</f>
        <v>Starters</v>
      </c>
      <c r="H3370" s="10">
        <f>_xlfn.XLOOKUP(C3370,menu!A:A,menu!E:E)</f>
        <v>48</v>
      </c>
      <c r="I3370" s="10">
        <f t="shared" si="52"/>
        <v>96</v>
      </c>
      <c r="K3370" s="10"/>
      <c r="L3370" s="5"/>
    </row>
    <row r="3371" spans="1:12" x14ac:dyDescent="0.25">
      <c r="A3371" s="5" t="s">
        <v>2579</v>
      </c>
      <c r="B3371" s="5" t="s">
        <v>2578</v>
      </c>
      <c r="C3371" s="5" t="s">
        <v>54</v>
      </c>
      <c r="D3371" s="21">
        <v>2</v>
      </c>
      <c r="E3371" s="12">
        <v>278</v>
      </c>
      <c r="F3371" s="10" t="str">
        <f>_xlfn.XLOOKUP(C3371,menu!A:A,menu!B:B)</f>
        <v>Chicken Strips</v>
      </c>
      <c r="G3371" s="10" t="str">
        <f>_xlfn.XLOOKUP(C3371,menu!A:A,menu!C:C)</f>
        <v>Starters</v>
      </c>
      <c r="H3371" s="10">
        <f>_xlfn.XLOOKUP(C3371,menu!A:A,menu!E:E)</f>
        <v>42</v>
      </c>
      <c r="I3371" s="10">
        <f t="shared" si="52"/>
        <v>84</v>
      </c>
      <c r="K3371" s="10"/>
      <c r="L3371" s="5"/>
    </row>
    <row r="3372" spans="1:12" x14ac:dyDescent="0.25">
      <c r="A3372" s="5" t="s">
        <v>2577</v>
      </c>
      <c r="B3372" s="5" t="s">
        <v>2573</v>
      </c>
      <c r="C3372" s="5" t="s">
        <v>17</v>
      </c>
      <c r="D3372" s="21">
        <v>3</v>
      </c>
      <c r="E3372" s="12">
        <v>267</v>
      </c>
      <c r="F3372" s="10" t="str">
        <f>_xlfn.XLOOKUP(C3372,menu!A:A,menu!B:B)</f>
        <v>Paneer Momos</v>
      </c>
      <c r="G3372" s="10" t="str">
        <f>_xlfn.XLOOKUP(C3372,menu!A:A,menu!C:C)</f>
        <v>Momos</v>
      </c>
      <c r="H3372" s="10">
        <f>_xlfn.XLOOKUP(C3372,menu!A:A,menu!E:E)</f>
        <v>27</v>
      </c>
      <c r="I3372" s="10">
        <f t="shared" si="52"/>
        <v>81</v>
      </c>
      <c r="K3372" s="10"/>
      <c r="L3372" s="5"/>
    </row>
    <row r="3373" spans="1:12" x14ac:dyDescent="0.25">
      <c r="A3373" s="5" t="s">
        <v>2576</v>
      </c>
      <c r="B3373" s="5" t="s">
        <v>2573</v>
      </c>
      <c r="C3373" s="5" t="s">
        <v>35</v>
      </c>
      <c r="D3373" s="21">
        <v>3</v>
      </c>
      <c r="E3373" s="12">
        <v>357</v>
      </c>
      <c r="F3373" s="10" t="str">
        <f>_xlfn.XLOOKUP(C3373,menu!A:A,menu!B:B)</f>
        <v>Chicken Nuggets</v>
      </c>
      <c r="G3373" s="10" t="str">
        <f>_xlfn.XLOOKUP(C3373,menu!A:A,menu!C:C)</f>
        <v>Starters</v>
      </c>
      <c r="H3373" s="10">
        <f>_xlfn.XLOOKUP(C3373,menu!A:A,menu!E:E)</f>
        <v>36</v>
      </c>
      <c r="I3373" s="10">
        <f t="shared" si="52"/>
        <v>108</v>
      </c>
      <c r="K3373" s="10"/>
      <c r="L3373" s="5"/>
    </row>
    <row r="3374" spans="1:12" x14ac:dyDescent="0.25">
      <c r="A3374" s="5" t="s">
        <v>2575</v>
      </c>
      <c r="B3374" s="5" t="s">
        <v>2573</v>
      </c>
      <c r="C3374" s="5" t="s">
        <v>46</v>
      </c>
      <c r="D3374" s="21">
        <v>1</v>
      </c>
      <c r="E3374" s="12">
        <v>149</v>
      </c>
      <c r="F3374" s="10" t="str">
        <f>_xlfn.XLOOKUP(C3374,menu!A:A,menu!B:B)</f>
        <v>Fish Finger</v>
      </c>
      <c r="G3374" s="10" t="str">
        <f>_xlfn.XLOOKUP(C3374,menu!A:A,menu!C:C)</f>
        <v>Starters</v>
      </c>
      <c r="H3374" s="10">
        <f>_xlfn.XLOOKUP(C3374,menu!A:A,menu!E:E)</f>
        <v>45</v>
      </c>
      <c r="I3374" s="10">
        <f t="shared" si="52"/>
        <v>45</v>
      </c>
      <c r="K3374" s="10"/>
      <c r="L3374" s="5"/>
    </row>
    <row r="3375" spans="1:12" x14ac:dyDescent="0.25">
      <c r="A3375" s="5" t="s">
        <v>2574</v>
      </c>
      <c r="B3375" s="5" t="s">
        <v>2573</v>
      </c>
      <c r="C3375" s="5" t="s">
        <v>33</v>
      </c>
      <c r="D3375" s="21">
        <v>1</v>
      </c>
      <c r="E3375" s="12">
        <v>69</v>
      </c>
      <c r="F3375" s="10" t="str">
        <f>_xlfn.XLOOKUP(C3375,menu!A:A,menu!B:B)</f>
        <v>Spring Roll</v>
      </c>
      <c r="G3375" s="10" t="str">
        <f>_xlfn.XLOOKUP(C3375,menu!A:A,menu!C:C)</f>
        <v>Rolls</v>
      </c>
      <c r="H3375" s="10">
        <f>_xlfn.XLOOKUP(C3375,menu!A:A,menu!E:E)</f>
        <v>21</v>
      </c>
      <c r="I3375" s="10">
        <f t="shared" si="52"/>
        <v>21</v>
      </c>
      <c r="K3375" s="10"/>
      <c r="L3375" s="5"/>
    </row>
    <row r="3376" spans="1:12" x14ac:dyDescent="0.25">
      <c r="A3376" s="5" t="s">
        <v>2572</v>
      </c>
      <c r="B3376" s="5" t="s">
        <v>2568</v>
      </c>
      <c r="C3376" s="5" t="s">
        <v>10</v>
      </c>
      <c r="D3376" s="21">
        <v>2</v>
      </c>
      <c r="E3376" s="12">
        <v>238</v>
      </c>
      <c r="F3376" s="10" t="str">
        <f>_xlfn.XLOOKUP(C3376,menu!A:A,menu!B:B)</f>
        <v>Chicken Sandwich</v>
      </c>
      <c r="G3376" s="10" t="str">
        <f>_xlfn.XLOOKUP(C3376,menu!A:A,menu!C:C)</f>
        <v>Sandwich</v>
      </c>
      <c r="H3376" s="10">
        <f>_xlfn.XLOOKUP(C3376,menu!A:A,menu!E:E)</f>
        <v>36</v>
      </c>
      <c r="I3376" s="10">
        <f t="shared" si="52"/>
        <v>72</v>
      </c>
      <c r="K3376" s="10"/>
      <c r="L3376" s="5"/>
    </row>
    <row r="3377" spans="1:12" x14ac:dyDescent="0.25">
      <c r="A3377" s="5" t="s">
        <v>2571</v>
      </c>
      <c r="B3377" s="5" t="s">
        <v>2568</v>
      </c>
      <c r="C3377" s="5" t="s">
        <v>52</v>
      </c>
      <c r="D3377" s="21">
        <v>2</v>
      </c>
      <c r="E3377" s="12">
        <v>198</v>
      </c>
      <c r="F3377" s="10" t="str">
        <f>_xlfn.XLOOKUP(C3377,menu!A:A,menu!B:B)</f>
        <v>French Fries</v>
      </c>
      <c r="G3377" s="10" t="str">
        <f>_xlfn.XLOOKUP(C3377,menu!A:A,menu!C:C)</f>
        <v>Starters</v>
      </c>
      <c r="H3377" s="10">
        <f>_xlfn.XLOOKUP(C3377,menu!A:A,menu!E:E)</f>
        <v>30</v>
      </c>
      <c r="I3377" s="10">
        <f t="shared" si="52"/>
        <v>60</v>
      </c>
      <c r="K3377" s="10"/>
      <c r="L3377" s="5"/>
    </row>
    <row r="3378" spans="1:12" x14ac:dyDescent="0.25">
      <c r="A3378" s="5" t="s">
        <v>2570</v>
      </c>
      <c r="B3378" s="5" t="s">
        <v>2568</v>
      </c>
      <c r="C3378" s="5" t="s">
        <v>65</v>
      </c>
      <c r="D3378" s="21">
        <v>1</v>
      </c>
      <c r="E3378" s="12">
        <v>49</v>
      </c>
      <c r="F3378" s="10" t="str">
        <f>_xlfn.XLOOKUP(C3378,menu!A:A,menu!B:B)</f>
        <v>Lemon Juice</v>
      </c>
      <c r="G3378" s="10" t="str">
        <f>_xlfn.XLOOKUP(C3378,menu!A:A,menu!C:C)</f>
        <v>Beverages</v>
      </c>
      <c r="H3378" s="10">
        <f>_xlfn.XLOOKUP(C3378,menu!A:A,menu!E:E)</f>
        <v>15</v>
      </c>
      <c r="I3378" s="10">
        <f t="shared" si="52"/>
        <v>15</v>
      </c>
      <c r="K3378" s="10"/>
      <c r="L3378" s="5"/>
    </row>
    <row r="3379" spans="1:12" x14ac:dyDescent="0.25">
      <c r="A3379" s="5" t="s">
        <v>2569</v>
      </c>
      <c r="B3379" s="5" t="s">
        <v>2568</v>
      </c>
      <c r="C3379" s="5" t="s">
        <v>61</v>
      </c>
      <c r="D3379" s="21">
        <v>1</v>
      </c>
      <c r="E3379" s="12">
        <v>79</v>
      </c>
      <c r="F3379" s="10" t="str">
        <f>_xlfn.XLOOKUP(C3379,menu!A:A,menu!B:B)</f>
        <v>Watermelon Mojito</v>
      </c>
      <c r="G3379" s="10" t="str">
        <f>_xlfn.XLOOKUP(C3379,menu!A:A,menu!C:C)</f>
        <v>Beverages</v>
      </c>
      <c r="H3379" s="10">
        <f>_xlfn.XLOOKUP(C3379,menu!A:A,menu!E:E)</f>
        <v>24</v>
      </c>
      <c r="I3379" s="10">
        <f t="shared" si="52"/>
        <v>24</v>
      </c>
      <c r="K3379" s="10"/>
      <c r="L3379" s="5"/>
    </row>
    <row r="3380" spans="1:12" x14ac:dyDescent="0.25">
      <c r="A3380" s="5" t="s">
        <v>2567</v>
      </c>
      <c r="B3380" s="5" t="s">
        <v>2565</v>
      </c>
      <c r="C3380" s="5" t="s">
        <v>52</v>
      </c>
      <c r="D3380" s="21">
        <v>1</v>
      </c>
      <c r="E3380" s="12">
        <v>99</v>
      </c>
      <c r="F3380" s="10" t="str">
        <f>_xlfn.XLOOKUP(C3380,menu!A:A,menu!B:B)</f>
        <v>French Fries</v>
      </c>
      <c r="G3380" s="10" t="str">
        <f>_xlfn.XLOOKUP(C3380,menu!A:A,menu!C:C)</f>
        <v>Starters</v>
      </c>
      <c r="H3380" s="10">
        <f>_xlfn.XLOOKUP(C3380,menu!A:A,menu!E:E)</f>
        <v>30</v>
      </c>
      <c r="I3380" s="10">
        <f t="shared" si="52"/>
        <v>30</v>
      </c>
      <c r="K3380" s="10"/>
      <c r="L3380" s="5"/>
    </row>
    <row r="3381" spans="1:12" x14ac:dyDescent="0.25">
      <c r="A3381" s="5" t="s">
        <v>2566</v>
      </c>
      <c r="B3381" s="5" t="s">
        <v>2565</v>
      </c>
      <c r="C3381" s="5" t="s">
        <v>44</v>
      </c>
      <c r="D3381" s="21">
        <v>2</v>
      </c>
      <c r="E3381" s="12">
        <v>318</v>
      </c>
      <c r="F3381" s="10" t="str">
        <f>_xlfn.XLOOKUP(C3381,menu!A:A,menu!B:B)</f>
        <v>Fried Chicken</v>
      </c>
      <c r="G3381" s="10" t="str">
        <f>_xlfn.XLOOKUP(C3381,menu!A:A,menu!C:C)</f>
        <v>Starters</v>
      </c>
      <c r="H3381" s="10">
        <f>_xlfn.XLOOKUP(C3381,menu!A:A,menu!E:E)</f>
        <v>48</v>
      </c>
      <c r="I3381" s="10">
        <f t="shared" si="52"/>
        <v>96</v>
      </c>
      <c r="K3381" s="10"/>
      <c r="L3381" s="5"/>
    </row>
    <row r="3382" spans="1:12" x14ac:dyDescent="0.25">
      <c r="A3382" s="5" t="s">
        <v>2564</v>
      </c>
      <c r="B3382" s="5" t="s">
        <v>2560</v>
      </c>
      <c r="C3382" s="5" t="s">
        <v>5</v>
      </c>
      <c r="D3382" s="21">
        <v>1</v>
      </c>
      <c r="E3382" s="12">
        <v>79</v>
      </c>
      <c r="F3382" s="10" t="str">
        <f>_xlfn.XLOOKUP(C3382,menu!A:A,menu!B:B)</f>
        <v>Veg Sandwich</v>
      </c>
      <c r="G3382" s="10" t="str">
        <f>_xlfn.XLOOKUP(C3382,menu!A:A,menu!C:C)</f>
        <v>Sandwich</v>
      </c>
      <c r="H3382" s="10">
        <f>_xlfn.XLOOKUP(C3382,menu!A:A,menu!E:E)</f>
        <v>24</v>
      </c>
      <c r="I3382" s="10">
        <f t="shared" si="52"/>
        <v>24</v>
      </c>
      <c r="K3382" s="10"/>
      <c r="L3382" s="5"/>
    </row>
    <row r="3383" spans="1:12" x14ac:dyDescent="0.25">
      <c r="A3383" s="5" t="s">
        <v>2563</v>
      </c>
      <c r="B3383" s="5" t="s">
        <v>2560</v>
      </c>
      <c r="C3383" s="5" t="s">
        <v>42</v>
      </c>
      <c r="D3383" s="21">
        <v>3</v>
      </c>
      <c r="E3383" s="12">
        <v>447</v>
      </c>
      <c r="F3383" s="10" t="str">
        <f>_xlfn.XLOOKUP(C3383,menu!A:A,menu!B:B)</f>
        <v>Chicken Popcorn</v>
      </c>
      <c r="G3383" s="10" t="str">
        <f>_xlfn.XLOOKUP(C3383,menu!A:A,menu!C:C)</f>
        <v>Starters</v>
      </c>
      <c r="H3383" s="10">
        <f>_xlfn.XLOOKUP(C3383,menu!A:A,menu!E:E)</f>
        <v>45</v>
      </c>
      <c r="I3383" s="10">
        <f t="shared" si="52"/>
        <v>135</v>
      </c>
      <c r="K3383" s="10"/>
      <c r="L3383" s="5"/>
    </row>
    <row r="3384" spans="1:12" x14ac:dyDescent="0.25">
      <c r="A3384" s="5" t="s">
        <v>2562</v>
      </c>
      <c r="B3384" s="5" t="s">
        <v>2560</v>
      </c>
      <c r="C3384" s="5" t="s">
        <v>65</v>
      </c>
      <c r="D3384" s="21">
        <v>2</v>
      </c>
      <c r="E3384" s="12">
        <v>98</v>
      </c>
      <c r="F3384" s="10" t="str">
        <f>_xlfn.XLOOKUP(C3384,menu!A:A,menu!B:B)</f>
        <v>Lemon Juice</v>
      </c>
      <c r="G3384" s="10" t="str">
        <f>_xlfn.XLOOKUP(C3384,menu!A:A,menu!C:C)</f>
        <v>Beverages</v>
      </c>
      <c r="H3384" s="10">
        <f>_xlfn.XLOOKUP(C3384,menu!A:A,menu!E:E)</f>
        <v>15</v>
      </c>
      <c r="I3384" s="10">
        <f t="shared" si="52"/>
        <v>30</v>
      </c>
      <c r="K3384" s="10"/>
      <c r="L3384" s="5"/>
    </row>
    <row r="3385" spans="1:12" x14ac:dyDescent="0.25">
      <c r="A3385" s="5" t="s">
        <v>2561</v>
      </c>
      <c r="B3385" s="5" t="s">
        <v>2560</v>
      </c>
      <c r="C3385" s="5" t="s">
        <v>24</v>
      </c>
      <c r="D3385" s="21">
        <v>1</v>
      </c>
      <c r="E3385" s="12">
        <v>89</v>
      </c>
      <c r="F3385" s="10" t="str">
        <f>_xlfn.XLOOKUP(C3385,menu!A:A,menu!B:B)</f>
        <v>Paneer Burger</v>
      </c>
      <c r="G3385" s="10" t="str">
        <f>_xlfn.XLOOKUP(C3385,menu!A:A,menu!C:C)</f>
        <v>Burger</v>
      </c>
      <c r="H3385" s="10">
        <f>_xlfn.XLOOKUP(C3385,menu!A:A,menu!E:E)</f>
        <v>27</v>
      </c>
      <c r="I3385" s="10">
        <f t="shared" si="52"/>
        <v>27</v>
      </c>
      <c r="K3385" s="10"/>
      <c r="L3385" s="5"/>
    </row>
    <row r="3386" spans="1:12" x14ac:dyDescent="0.25">
      <c r="A3386" s="5" t="s">
        <v>2559</v>
      </c>
      <c r="B3386" s="5" t="s">
        <v>2557</v>
      </c>
      <c r="C3386" s="5" t="s">
        <v>15</v>
      </c>
      <c r="D3386" s="21">
        <v>5</v>
      </c>
      <c r="E3386" s="12">
        <v>495</v>
      </c>
      <c r="F3386" s="10" t="str">
        <f>_xlfn.XLOOKUP(C3386,menu!A:A,menu!B:B)</f>
        <v>Chicken Momos</v>
      </c>
      <c r="G3386" s="10" t="str">
        <f>_xlfn.XLOOKUP(C3386,menu!A:A,menu!C:C)</f>
        <v>Momos</v>
      </c>
      <c r="H3386" s="10">
        <f>_xlfn.XLOOKUP(C3386,menu!A:A,menu!E:E)</f>
        <v>30</v>
      </c>
      <c r="I3386" s="10">
        <f t="shared" si="52"/>
        <v>150</v>
      </c>
      <c r="K3386" s="10"/>
      <c r="L3386" s="5"/>
    </row>
    <row r="3387" spans="1:12" x14ac:dyDescent="0.25">
      <c r="A3387" s="5" t="s">
        <v>2558</v>
      </c>
      <c r="B3387" s="5" t="s">
        <v>2557</v>
      </c>
      <c r="C3387" s="5" t="s">
        <v>42</v>
      </c>
      <c r="D3387" s="21">
        <v>1</v>
      </c>
      <c r="E3387" s="12">
        <v>149</v>
      </c>
      <c r="F3387" s="10" t="str">
        <f>_xlfn.XLOOKUP(C3387,menu!A:A,menu!B:B)</f>
        <v>Chicken Popcorn</v>
      </c>
      <c r="G3387" s="10" t="str">
        <f>_xlfn.XLOOKUP(C3387,menu!A:A,menu!C:C)</f>
        <v>Starters</v>
      </c>
      <c r="H3387" s="10">
        <f>_xlfn.XLOOKUP(C3387,menu!A:A,menu!E:E)</f>
        <v>45</v>
      </c>
      <c r="I3387" s="10">
        <f t="shared" si="52"/>
        <v>45</v>
      </c>
      <c r="K3387" s="10"/>
      <c r="L3387" s="5"/>
    </row>
    <row r="3388" spans="1:12" x14ac:dyDescent="0.25">
      <c r="A3388" s="5" t="s">
        <v>2556</v>
      </c>
      <c r="B3388" s="5" t="s">
        <v>2553</v>
      </c>
      <c r="C3388" s="5" t="s">
        <v>12</v>
      </c>
      <c r="D3388" s="21">
        <v>1</v>
      </c>
      <c r="E3388" s="12">
        <v>79</v>
      </c>
      <c r="F3388" s="10" t="str">
        <f>_xlfn.XLOOKUP(C3388,menu!A:A,menu!B:B)</f>
        <v>Veg Momos</v>
      </c>
      <c r="G3388" s="10" t="str">
        <f>_xlfn.XLOOKUP(C3388,menu!A:A,menu!C:C)</f>
        <v>Momos</v>
      </c>
      <c r="H3388" s="10">
        <f>_xlfn.XLOOKUP(C3388,menu!A:A,menu!E:E)</f>
        <v>24</v>
      </c>
      <c r="I3388" s="10">
        <f t="shared" si="52"/>
        <v>24</v>
      </c>
      <c r="K3388" s="10"/>
      <c r="L3388" s="5"/>
    </row>
    <row r="3389" spans="1:12" x14ac:dyDescent="0.25">
      <c r="A3389" s="5" t="s">
        <v>2555</v>
      </c>
      <c r="B3389" s="5" t="s">
        <v>2553</v>
      </c>
      <c r="C3389" s="5" t="s">
        <v>35</v>
      </c>
      <c r="D3389" s="21">
        <v>2</v>
      </c>
      <c r="E3389" s="12">
        <v>238</v>
      </c>
      <c r="F3389" s="10" t="str">
        <f>_xlfn.XLOOKUP(C3389,menu!A:A,menu!B:B)</f>
        <v>Chicken Nuggets</v>
      </c>
      <c r="G3389" s="10" t="str">
        <f>_xlfn.XLOOKUP(C3389,menu!A:A,menu!C:C)</f>
        <v>Starters</v>
      </c>
      <c r="H3389" s="10">
        <f>_xlfn.XLOOKUP(C3389,menu!A:A,menu!E:E)</f>
        <v>36</v>
      </c>
      <c r="I3389" s="10">
        <f t="shared" si="52"/>
        <v>72</v>
      </c>
      <c r="K3389" s="10"/>
      <c r="L3389" s="5"/>
    </row>
    <row r="3390" spans="1:12" x14ac:dyDescent="0.25">
      <c r="A3390" s="5" t="s">
        <v>2554</v>
      </c>
      <c r="B3390" s="5" t="s">
        <v>2553</v>
      </c>
      <c r="C3390" s="5" t="s">
        <v>54</v>
      </c>
      <c r="D3390" s="21">
        <v>4</v>
      </c>
      <c r="E3390" s="12">
        <v>556</v>
      </c>
      <c r="F3390" s="10" t="str">
        <f>_xlfn.XLOOKUP(C3390,menu!A:A,menu!B:B)</f>
        <v>Chicken Strips</v>
      </c>
      <c r="G3390" s="10" t="str">
        <f>_xlfn.XLOOKUP(C3390,menu!A:A,menu!C:C)</f>
        <v>Starters</v>
      </c>
      <c r="H3390" s="10">
        <f>_xlfn.XLOOKUP(C3390,menu!A:A,menu!E:E)</f>
        <v>42</v>
      </c>
      <c r="I3390" s="10">
        <f t="shared" si="52"/>
        <v>168</v>
      </c>
      <c r="K3390" s="10"/>
      <c r="L3390" s="5"/>
    </row>
    <row r="3391" spans="1:12" x14ac:dyDescent="0.25">
      <c r="A3391" s="5" t="s">
        <v>2552</v>
      </c>
      <c r="B3391" s="5" t="s">
        <v>2550</v>
      </c>
      <c r="C3391" s="5" t="s">
        <v>56</v>
      </c>
      <c r="D3391" s="21">
        <v>2</v>
      </c>
      <c r="E3391" s="12">
        <v>158</v>
      </c>
      <c r="F3391" s="10" t="str">
        <f>_xlfn.XLOOKUP(C3391,menu!A:A,menu!B:B)</f>
        <v>Mint Mojito</v>
      </c>
      <c r="G3391" s="10" t="str">
        <f>_xlfn.XLOOKUP(C3391,menu!A:A,menu!C:C)</f>
        <v>Beverages</v>
      </c>
      <c r="H3391" s="10">
        <f>_xlfn.XLOOKUP(C3391,menu!A:A,menu!E:E)</f>
        <v>24</v>
      </c>
      <c r="I3391" s="10">
        <f t="shared" si="52"/>
        <v>48</v>
      </c>
      <c r="K3391" s="10"/>
      <c r="L3391" s="5"/>
    </row>
    <row r="3392" spans="1:12" x14ac:dyDescent="0.25">
      <c r="A3392" s="5" t="s">
        <v>2551</v>
      </c>
      <c r="B3392" s="5" t="s">
        <v>2550</v>
      </c>
      <c r="C3392" s="5" t="s">
        <v>54</v>
      </c>
      <c r="D3392" s="21">
        <v>2</v>
      </c>
      <c r="E3392" s="12">
        <v>278</v>
      </c>
      <c r="F3392" s="10" t="str">
        <f>_xlfn.XLOOKUP(C3392,menu!A:A,menu!B:B)</f>
        <v>Chicken Strips</v>
      </c>
      <c r="G3392" s="10" t="str">
        <f>_xlfn.XLOOKUP(C3392,menu!A:A,menu!C:C)</f>
        <v>Starters</v>
      </c>
      <c r="H3392" s="10">
        <f>_xlfn.XLOOKUP(C3392,menu!A:A,menu!E:E)</f>
        <v>42</v>
      </c>
      <c r="I3392" s="10">
        <f t="shared" si="52"/>
        <v>84</v>
      </c>
      <c r="K3392" s="10"/>
      <c r="L3392" s="5"/>
    </row>
    <row r="3393" spans="1:12" x14ac:dyDescent="0.25">
      <c r="A3393" s="5" t="s">
        <v>2549</v>
      </c>
      <c r="B3393" s="5" t="s">
        <v>2545</v>
      </c>
      <c r="C3393" s="5" t="s">
        <v>24</v>
      </c>
      <c r="D3393" s="21">
        <v>1</v>
      </c>
      <c r="E3393" s="12">
        <v>89</v>
      </c>
      <c r="F3393" s="10" t="str">
        <f>_xlfn.XLOOKUP(C3393,menu!A:A,menu!B:B)</f>
        <v>Paneer Burger</v>
      </c>
      <c r="G3393" s="10" t="str">
        <f>_xlfn.XLOOKUP(C3393,menu!A:A,menu!C:C)</f>
        <v>Burger</v>
      </c>
      <c r="H3393" s="10">
        <f>_xlfn.XLOOKUP(C3393,menu!A:A,menu!E:E)</f>
        <v>27</v>
      </c>
      <c r="I3393" s="10">
        <f t="shared" si="52"/>
        <v>27</v>
      </c>
      <c r="K3393" s="10"/>
      <c r="L3393" s="5"/>
    </row>
    <row r="3394" spans="1:12" x14ac:dyDescent="0.25">
      <c r="A3394" s="5" t="s">
        <v>2548</v>
      </c>
      <c r="B3394" s="5" t="s">
        <v>2545</v>
      </c>
      <c r="C3394" s="5" t="s">
        <v>35</v>
      </c>
      <c r="D3394" s="21">
        <v>1</v>
      </c>
      <c r="E3394" s="12">
        <v>119</v>
      </c>
      <c r="F3394" s="10" t="str">
        <f>_xlfn.XLOOKUP(C3394,menu!A:A,menu!B:B)</f>
        <v>Chicken Nuggets</v>
      </c>
      <c r="G3394" s="10" t="str">
        <f>_xlfn.XLOOKUP(C3394,menu!A:A,menu!C:C)</f>
        <v>Starters</v>
      </c>
      <c r="H3394" s="10">
        <f>_xlfn.XLOOKUP(C3394,menu!A:A,menu!E:E)</f>
        <v>36</v>
      </c>
      <c r="I3394" s="10">
        <f t="shared" si="52"/>
        <v>36</v>
      </c>
      <c r="K3394" s="10"/>
      <c r="L3394" s="5"/>
    </row>
    <row r="3395" spans="1:12" x14ac:dyDescent="0.25">
      <c r="A3395" s="5" t="s">
        <v>2547</v>
      </c>
      <c r="B3395" s="5" t="s">
        <v>2545</v>
      </c>
      <c r="C3395" s="5" t="s">
        <v>65</v>
      </c>
      <c r="D3395" s="21">
        <v>2</v>
      </c>
      <c r="E3395" s="12">
        <v>98</v>
      </c>
      <c r="F3395" s="10" t="str">
        <f>_xlfn.XLOOKUP(C3395,menu!A:A,menu!B:B)</f>
        <v>Lemon Juice</v>
      </c>
      <c r="G3395" s="10" t="str">
        <f>_xlfn.XLOOKUP(C3395,menu!A:A,menu!C:C)</f>
        <v>Beverages</v>
      </c>
      <c r="H3395" s="10">
        <f>_xlfn.XLOOKUP(C3395,menu!A:A,menu!E:E)</f>
        <v>15</v>
      </c>
      <c r="I3395" s="10">
        <f t="shared" ref="I3395:I3458" si="53">D3395*H3395</f>
        <v>30</v>
      </c>
      <c r="K3395" s="10"/>
      <c r="L3395" s="5"/>
    </row>
    <row r="3396" spans="1:12" x14ac:dyDescent="0.25">
      <c r="A3396" s="5" t="s">
        <v>2546</v>
      </c>
      <c r="B3396" s="5" t="s">
        <v>2545</v>
      </c>
      <c r="C3396" s="5" t="s">
        <v>33</v>
      </c>
      <c r="D3396" s="21">
        <v>1</v>
      </c>
      <c r="E3396" s="12">
        <v>69</v>
      </c>
      <c r="F3396" s="10" t="str">
        <f>_xlfn.XLOOKUP(C3396,menu!A:A,menu!B:B)</f>
        <v>Spring Roll</v>
      </c>
      <c r="G3396" s="10" t="str">
        <f>_xlfn.XLOOKUP(C3396,menu!A:A,menu!C:C)</f>
        <v>Rolls</v>
      </c>
      <c r="H3396" s="10">
        <f>_xlfn.XLOOKUP(C3396,menu!A:A,menu!E:E)</f>
        <v>21</v>
      </c>
      <c r="I3396" s="10">
        <f t="shared" si="53"/>
        <v>21</v>
      </c>
      <c r="K3396" s="10"/>
      <c r="L3396" s="5"/>
    </row>
    <row r="3397" spans="1:12" x14ac:dyDescent="0.25">
      <c r="A3397" s="5" t="s">
        <v>2544</v>
      </c>
      <c r="B3397" s="5" t="s">
        <v>2540</v>
      </c>
      <c r="C3397" s="5" t="s">
        <v>54</v>
      </c>
      <c r="D3397" s="21">
        <v>1</v>
      </c>
      <c r="E3397" s="12">
        <v>139</v>
      </c>
      <c r="F3397" s="10" t="str">
        <f>_xlfn.XLOOKUP(C3397,menu!A:A,menu!B:B)</f>
        <v>Chicken Strips</v>
      </c>
      <c r="G3397" s="10" t="str">
        <f>_xlfn.XLOOKUP(C3397,menu!A:A,menu!C:C)</f>
        <v>Starters</v>
      </c>
      <c r="H3397" s="10">
        <f>_xlfn.XLOOKUP(C3397,menu!A:A,menu!E:E)</f>
        <v>42</v>
      </c>
      <c r="I3397" s="10">
        <f t="shared" si="53"/>
        <v>42</v>
      </c>
      <c r="K3397" s="10"/>
      <c r="L3397" s="5"/>
    </row>
    <row r="3398" spans="1:12" x14ac:dyDescent="0.25">
      <c r="A3398" s="5" t="s">
        <v>2543</v>
      </c>
      <c r="B3398" s="5" t="s">
        <v>2540</v>
      </c>
      <c r="C3398" s="5" t="s">
        <v>46</v>
      </c>
      <c r="D3398" s="21">
        <v>1</v>
      </c>
      <c r="E3398" s="12">
        <v>149</v>
      </c>
      <c r="F3398" s="10" t="str">
        <f>_xlfn.XLOOKUP(C3398,menu!A:A,menu!B:B)</f>
        <v>Fish Finger</v>
      </c>
      <c r="G3398" s="10" t="str">
        <f>_xlfn.XLOOKUP(C3398,menu!A:A,menu!C:C)</f>
        <v>Starters</v>
      </c>
      <c r="H3398" s="10">
        <f>_xlfn.XLOOKUP(C3398,menu!A:A,menu!E:E)</f>
        <v>45</v>
      </c>
      <c r="I3398" s="10">
        <f t="shared" si="53"/>
        <v>45</v>
      </c>
      <c r="K3398" s="10"/>
      <c r="L3398" s="5"/>
    </row>
    <row r="3399" spans="1:12" x14ac:dyDescent="0.25">
      <c r="A3399" s="5" t="s">
        <v>2542</v>
      </c>
      <c r="B3399" s="5" t="s">
        <v>2540</v>
      </c>
      <c r="C3399" s="5" t="s">
        <v>26</v>
      </c>
      <c r="D3399" s="21">
        <v>2</v>
      </c>
      <c r="E3399" s="12">
        <v>118</v>
      </c>
      <c r="F3399" s="10" t="str">
        <f>_xlfn.XLOOKUP(C3399,menu!A:A,menu!B:B)</f>
        <v>Veg Roll</v>
      </c>
      <c r="G3399" s="10" t="str">
        <f>_xlfn.XLOOKUP(C3399,menu!A:A,menu!C:C)</f>
        <v>Rolls</v>
      </c>
      <c r="H3399" s="10">
        <f>_xlfn.XLOOKUP(C3399,menu!A:A,menu!E:E)</f>
        <v>18</v>
      </c>
      <c r="I3399" s="10">
        <f t="shared" si="53"/>
        <v>36</v>
      </c>
      <c r="K3399" s="10"/>
      <c r="L3399" s="5"/>
    </row>
    <row r="3400" spans="1:12" x14ac:dyDescent="0.25">
      <c r="A3400" s="5" t="s">
        <v>2541</v>
      </c>
      <c r="B3400" s="5" t="s">
        <v>2540</v>
      </c>
      <c r="C3400" s="5" t="s">
        <v>61</v>
      </c>
      <c r="D3400" s="21">
        <v>2</v>
      </c>
      <c r="E3400" s="12">
        <v>158</v>
      </c>
      <c r="F3400" s="10" t="str">
        <f>_xlfn.XLOOKUP(C3400,menu!A:A,menu!B:B)</f>
        <v>Watermelon Mojito</v>
      </c>
      <c r="G3400" s="10" t="str">
        <f>_xlfn.XLOOKUP(C3400,menu!A:A,menu!C:C)</f>
        <v>Beverages</v>
      </c>
      <c r="H3400" s="10">
        <f>_xlfn.XLOOKUP(C3400,menu!A:A,menu!E:E)</f>
        <v>24</v>
      </c>
      <c r="I3400" s="10">
        <f t="shared" si="53"/>
        <v>48</v>
      </c>
      <c r="K3400" s="10"/>
      <c r="L3400" s="5"/>
    </row>
    <row r="3401" spans="1:12" x14ac:dyDescent="0.25">
      <c r="A3401" s="5" t="s">
        <v>2539</v>
      </c>
      <c r="B3401" s="5" t="s">
        <v>2538</v>
      </c>
      <c r="C3401" s="5" t="s">
        <v>61</v>
      </c>
      <c r="D3401" s="21">
        <v>2</v>
      </c>
      <c r="E3401" s="12">
        <v>158</v>
      </c>
      <c r="F3401" s="10" t="str">
        <f>_xlfn.XLOOKUP(C3401,menu!A:A,menu!B:B)</f>
        <v>Watermelon Mojito</v>
      </c>
      <c r="G3401" s="10" t="str">
        <f>_xlfn.XLOOKUP(C3401,menu!A:A,menu!C:C)</f>
        <v>Beverages</v>
      </c>
      <c r="H3401" s="10">
        <f>_xlfn.XLOOKUP(C3401,menu!A:A,menu!E:E)</f>
        <v>24</v>
      </c>
      <c r="I3401" s="10">
        <f t="shared" si="53"/>
        <v>48</v>
      </c>
      <c r="K3401" s="10"/>
      <c r="L3401" s="5"/>
    </row>
    <row r="3402" spans="1:12" x14ac:dyDescent="0.25">
      <c r="A3402" s="5" t="s">
        <v>2537</v>
      </c>
      <c r="B3402" s="5" t="s">
        <v>2536</v>
      </c>
      <c r="C3402" s="5" t="s">
        <v>8</v>
      </c>
      <c r="D3402" s="21">
        <v>1</v>
      </c>
      <c r="E3402" s="12">
        <v>99</v>
      </c>
      <c r="F3402" s="10" t="str">
        <f>_xlfn.XLOOKUP(C3402,menu!A:A,menu!B:B)</f>
        <v>Paneer Sandwich</v>
      </c>
      <c r="G3402" s="10" t="str">
        <f>_xlfn.XLOOKUP(C3402,menu!A:A,menu!C:C)</f>
        <v>Sandwich</v>
      </c>
      <c r="H3402" s="10">
        <f>_xlfn.XLOOKUP(C3402,menu!A:A,menu!E:E)</f>
        <v>30</v>
      </c>
      <c r="I3402" s="10">
        <f t="shared" si="53"/>
        <v>30</v>
      </c>
      <c r="K3402" s="10"/>
      <c r="L3402" s="5"/>
    </row>
    <row r="3403" spans="1:12" x14ac:dyDescent="0.25">
      <c r="A3403" s="5" t="s">
        <v>2535</v>
      </c>
      <c r="B3403" s="5" t="s">
        <v>2533</v>
      </c>
      <c r="C3403" s="5" t="s">
        <v>42</v>
      </c>
      <c r="D3403" s="21">
        <v>2</v>
      </c>
      <c r="E3403" s="12">
        <v>298</v>
      </c>
      <c r="F3403" s="10" t="str">
        <f>_xlfn.XLOOKUP(C3403,menu!A:A,menu!B:B)</f>
        <v>Chicken Popcorn</v>
      </c>
      <c r="G3403" s="10" t="str">
        <f>_xlfn.XLOOKUP(C3403,menu!A:A,menu!C:C)</f>
        <v>Starters</v>
      </c>
      <c r="H3403" s="10">
        <f>_xlfn.XLOOKUP(C3403,menu!A:A,menu!E:E)</f>
        <v>45</v>
      </c>
      <c r="I3403" s="10">
        <f t="shared" si="53"/>
        <v>90</v>
      </c>
      <c r="K3403" s="10"/>
      <c r="L3403" s="5"/>
    </row>
    <row r="3404" spans="1:12" x14ac:dyDescent="0.25">
      <c r="A3404" s="5" t="s">
        <v>2534</v>
      </c>
      <c r="B3404" s="5" t="s">
        <v>2533</v>
      </c>
      <c r="C3404" s="5" t="s">
        <v>26</v>
      </c>
      <c r="D3404" s="21">
        <v>1</v>
      </c>
      <c r="E3404" s="12">
        <v>59</v>
      </c>
      <c r="F3404" s="10" t="str">
        <f>_xlfn.XLOOKUP(C3404,menu!A:A,menu!B:B)</f>
        <v>Veg Roll</v>
      </c>
      <c r="G3404" s="10" t="str">
        <f>_xlfn.XLOOKUP(C3404,menu!A:A,menu!C:C)</f>
        <v>Rolls</v>
      </c>
      <c r="H3404" s="10">
        <f>_xlfn.XLOOKUP(C3404,menu!A:A,menu!E:E)</f>
        <v>18</v>
      </c>
      <c r="I3404" s="10">
        <f t="shared" si="53"/>
        <v>18</v>
      </c>
      <c r="K3404" s="10"/>
      <c r="L3404" s="5"/>
    </row>
    <row r="3405" spans="1:12" x14ac:dyDescent="0.25">
      <c r="A3405" s="5" t="s">
        <v>2532</v>
      </c>
      <c r="B3405" s="5" t="s">
        <v>2529</v>
      </c>
      <c r="C3405" s="5" t="s">
        <v>56</v>
      </c>
      <c r="D3405" s="21">
        <v>1</v>
      </c>
      <c r="E3405" s="12">
        <v>79</v>
      </c>
      <c r="F3405" s="10" t="str">
        <f>_xlfn.XLOOKUP(C3405,menu!A:A,menu!B:B)</f>
        <v>Mint Mojito</v>
      </c>
      <c r="G3405" s="10" t="str">
        <f>_xlfn.XLOOKUP(C3405,menu!A:A,menu!C:C)</f>
        <v>Beverages</v>
      </c>
      <c r="H3405" s="10">
        <f>_xlfn.XLOOKUP(C3405,menu!A:A,menu!E:E)</f>
        <v>24</v>
      </c>
      <c r="I3405" s="10">
        <f t="shared" si="53"/>
        <v>24</v>
      </c>
      <c r="K3405" s="10"/>
      <c r="L3405" s="5"/>
    </row>
    <row r="3406" spans="1:12" x14ac:dyDescent="0.25">
      <c r="A3406" s="5" t="s">
        <v>2531</v>
      </c>
      <c r="B3406" s="5" t="s">
        <v>2529</v>
      </c>
      <c r="C3406" s="5" t="s">
        <v>15</v>
      </c>
      <c r="D3406" s="21">
        <v>2</v>
      </c>
      <c r="E3406" s="12">
        <v>198</v>
      </c>
      <c r="F3406" s="10" t="str">
        <f>_xlfn.XLOOKUP(C3406,menu!A:A,menu!B:B)</f>
        <v>Chicken Momos</v>
      </c>
      <c r="G3406" s="10" t="str">
        <f>_xlfn.XLOOKUP(C3406,menu!A:A,menu!C:C)</f>
        <v>Momos</v>
      </c>
      <c r="H3406" s="10">
        <f>_xlfn.XLOOKUP(C3406,menu!A:A,menu!E:E)</f>
        <v>30</v>
      </c>
      <c r="I3406" s="10">
        <f t="shared" si="53"/>
        <v>60</v>
      </c>
      <c r="K3406" s="10"/>
      <c r="L3406" s="5"/>
    </row>
    <row r="3407" spans="1:12" x14ac:dyDescent="0.25">
      <c r="A3407" s="5" t="s">
        <v>2530</v>
      </c>
      <c r="B3407" s="5" t="s">
        <v>2529</v>
      </c>
      <c r="C3407" s="5" t="s">
        <v>61</v>
      </c>
      <c r="D3407" s="21">
        <v>2</v>
      </c>
      <c r="E3407" s="12">
        <v>158</v>
      </c>
      <c r="F3407" s="10" t="str">
        <f>_xlfn.XLOOKUP(C3407,menu!A:A,menu!B:B)</f>
        <v>Watermelon Mojito</v>
      </c>
      <c r="G3407" s="10" t="str">
        <f>_xlfn.XLOOKUP(C3407,menu!A:A,menu!C:C)</f>
        <v>Beverages</v>
      </c>
      <c r="H3407" s="10">
        <f>_xlfn.XLOOKUP(C3407,menu!A:A,menu!E:E)</f>
        <v>24</v>
      </c>
      <c r="I3407" s="10">
        <f t="shared" si="53"/>
        <v>48</v>
      </c>
      <c r="K3407" s="10"/>
      <c r="L3407" s="5"/>
    </row>
    <row r="3408" spans="1:12" x14ac:dyDescent="0.25">
      <c r="A3408" s="5" t="s">
        <v>2528</v>
      </c>
      <c r="B3408" s="5" t="s">
        <v>2526</v>
      </c>
      <c r="C3408" s="5" t="s">
        <v>52</v>
      </c>
      <c r="D3408" s="21">
        <v>1</v>
      </c>
      <c r="E3408" s="12">
        <v>99</v>
      </c>
      <c r="F3408" s="10" t="str">
        <f>_xlfn.XLOOKUP(C3408,menu!A:A,menu!B:B)</f>
        <v>French Fries</v>
      </c>
      <c r="G3408" s="10" t="str">
        <f>_xlfn.XLOOKUP(C3408,menu!A:A,menu!C:C)</f>
        <v>Starters</v>
      </c>
      <c r="H3408" s="10">
        <f>_xlfn.XLOOKUP(C3408,menu!A:A,menu!E:E)</f>
        <v>30</v>
      </c>
      <c r="I3408" s="10">
        <f t="shared" si="53"/>
        <v>30</v>
      </c>
      <c r="K3408" s="10"/>
      <c r="L3408" s="5"/>
    </row>
    <row r="3409" spans="1:12" x14ac:dyDescent="0.25">
      <c r="A3409" s="5" t="s">
        <v>2527</v>
      </c>
      <c r="B3409" s="5" t="s">
        <v>2526</v>
      </c>
      <c r="C3409" s="5" t="s">
        <v>61</v>
      </c>
      <c r="D3409" s="21">
        <v>2</v>
      </c>
      <c r="E3409" s="12">
        <v>158</v>
      </c>
      <c r="F3409" s="10" t="str">
        <f>_xlfn.XLOOKUP(C3409,menu!A:A,menu!B:B)</f>
        <v>Watermelon Mojito</v>
      </c>
      <c r="G3409" s="10" t="str">
        <f>_xlfn.XLOOKUP(C3409,menu!A:A,menu!C:C)</f>
        <v>Beverages</v>
      </c>
      <c r="H3409" s="10">
        <f>_xlfn.XLOOKUP(C3409,menu!A:A,menu!E:E)</f>
        <v>24</v>
      </c>
      <c r="I3409" s="10">
        <f t="shared" si="53"/>
        <v>48</v>
      </c>
      <c r="K3409" s="10"/>
      <c r="L3409" s="5"/>
    </row>
    <row r="3410" spans="1:12" x14ac:dyDescent="0.25">
      <c r="A3410" s="5" t="s">
        <v>2525</v>
      </c>
      <c r="B3410" s="5" t="s">
        <v>2523</v>
      </c>
      <c r="C3410" s="5" t="s">
        <v>19</v>
      </c>
      <c r="D3410" s="21">
        <v>1</v>
      </c>
      <c r="E3410" s="12">
        <v>79</v>
      </c>
      <c r="F3410" s="10" t="str">
        <f>_xlfn.XLOOKUP(C3410,menu!A:A,menu!B:B)</f>
        <v>Veg Burger</v>
      </c>
      <c r="G3410" s="10" t="str">
        <f>_xlfn.XLOOKUP(C3410,menu!A:A,menu!C:C)</f>
        <v>Burger</v>
      </c>
      <c r="H3410" s="10">
        <f>_xlfn.XLOOKUP(C3410,menu!A:A,menu!E:E)</f>
        <v>24</v>
      </c>
      <c r="I3410" s="10">
        <f t="shared" si="53"/>
        <v>24</v>
      </c>
      <c r="K3410" s="10"/>
      <c r="L3410" s="5"/>
    </row>
    <row r="3411" spans="1:12" x14ac:dyDescent="0.25">
      <c r="A3411" s="5" t="s">
        <v>2524</v>
      </c>
      <c r="B3411" s="5" t="s">
        <v>2523</v>
      </c>
      <c r="C3411" s="5" t="s">
        <v>50</v>
      </c>
      <c r="D3411" s="21">
        <v>3</v>
      </c>
      <c r="E3411" s="12">
        <v>447</v>
      </c>
      <c r="F3411" s="10" t="str">
        <f>_xlfn.XLOOKUP(C3411,menu!A:A,menu!B:B)</f>
        <v>Grab Lollipop</v>
      </c>
      <c r="G3411" s="10" t="str">
        <f>_xlfn.XLOOKUP(C3411,menu!A:A,menu!C:C)</f>
        <v>Starters</v>
      </c>
      <c r="H3411" s="10">
        <f>_xlfn.XLOOKUP(C3411,menu!A:A,menu!E:E)</f>
        <v>45</v>
      </c>
      <c r="I3411" s="10">
        <f t="shared" si="53"/>
        <v>135</v>
      </c>
      <c r="K3411" s="10"/>
      <c r="L3411" s="5"/>
    </row>
    <row r="3412" spans="1:12" x14ac:dyDescent="0.25">
      <c r="A3412" s="5" t="s">
        <v>2522</v>
      </c>
      <c r="B3412" s="5" t="s">
        <v>2518</v>
      </c>
      <c r="C3412" s="5" t="s">
        <v>40</v>
      </c>
      <c r="D3412" s="21">
        <v>2</v>
      </c>
      <c r="E3412" s="12">
        <v>198</v>
      </c>
      <c r="F3412" s="10" t="str">
        <f>_xlfn.XLOOKUP(C3412,menu!A:A,menu!B:B)</f>
        <v>Veg Nuggets</v>
      </c>
      <c r="G3412" s="10" t="str">
        <f>_xlfn.XLOOKUP(C3412,menu!A:A,menu!C:C)</f>
        <v>Starters</v>
      </c>
      <c r="H3412" s="10">
        <f>_xlfn.XLOOKUP(C3412,menu!A:A,menu!E:E)</f>
        <v>30</v>
      </c>
      <c r="I3412" s="10">
        <f t="shared" si="53"/>
        <v>60</v>
      </c>
      <c r="K3412" s="10"/>
      <c r="L3412" s="5"/>
    </row>
    <row r="3413" spans="1:12" x14ac:dyDescent="0.25">
      <c r="A3413" s="5" t="s">
        <v>2521</v>
      </c>
      <c r="B3413" s="5" t="s">
        <v>2518</v>
      </c>
      <c r="C3413" s="5" t="s">
        <v>56</v>
      </c>
      <c r="D3413" s="21">
        <v>5</v>
      </c>
      <c r="E3413" s="12">
        <v>395</v>
      </c>
      <c r="F3413" s="10" t="str">
        <f>_xlfn.XLOOKUP(C3413,menu!A:A,menu!B:B)</f>
        <v>Mint Mojito</v>
      </c>
      <c r="G3413" s="10" t="str">
        <f>_xlfn.XLOOKUP(C3413,menu!A:A,menu!C:C)</f>
        <v>Beverages</v>
      </c>
      <c r="H3413" s="10">
        <f>_xlfn.XLOOKUP(C3413,menu!A:A,menu!E:E)</f>
        <v>24</v>
      </c>
      <c r="I3413" s="10">
        <f t="shared" si="53"/>
        <v>120</v>
      </c>
      <c r="K3413" s="10"/>
      <c r="L3413" s="5"/>
    </row>
    <row r="3414" spans="1:12" x14ac:dyDescent="0.25">
      <c r="A3414" s="5" t="s">
        <v>2520</v>
      </c>
      <c r="B3414" s="5" t="s">
        <v>2518</v>
      </c>
      <c r="C3414" s="5" t="s">
        <v>54</v>
      </c>
      <c r="D3414" s="21">
        <v>1</v>
      </c>
      <c r="E3414" s="12">
        <v>139</v>
      </c>
      <c r="F3414" s="10" t="str">
        <f>_xlfn.XLOOKUP(C3414,menu!A:A,menu!B:B)</f>
        <v>Chicken Strips</v>
      </c>
      <c r="G3414" s="10" t="str">
        <f>_xlfn.XLOOKUP(C3414,menu!A:A,menu!C:C)</f>
        <v>Starters</v>
      </c>
      <c r="H3414" s="10">
        <f>_xlfn.XLOOKUP(C3414,menu!A:A,menu!E:E)</f>
        <v>42</v>
      </c>
      <c r="I3414" s="10">
        <f t="shared" si="53"/>
        <v>42</v>
      </c>
      <c r="K3414" s="10"/>
      <c r="L3414" s="5"/>
    </row>
    <row r="3415" spans="1:12" x14ac:dyDescent="0.25">
      <c r="A3415" s="5" t="s">
        <v>2519</v>
      </c>
      <c r="B3415" s="5" t="s">
        <v>2518</v>
      </c>
      <c r="C3415" s="5" t="s">
        <v>12</v>
      </c>
      <c r="D3415" s="21">
        <v>1</v>
      </c>
      <c r="E3415" s="12">
        <v>79</v>
      </c>
      <c r="F3415" s="10" t="str">
        <f>_xlfn.XLOOKUP(C3415,menu!A:A,menu!B:B)</f>
        <v>Veg Momos</v>
      </c>
      <c r="G3415" s="10" t="str">
        <f>_xlfn.XLOOKUP(C3415,menu!A:A,menu!C:C)</f>
        <v>Momos</v>
      </c>
      <c r="H3415" s="10">
        <f>_xlfn.XLOOKUP(C3415,menu!A:A,menu!E:E)</f>
        <v>24</v>
      </c>
      <c r="I3415" s="10">
        <f t="shared" si="53"/>
        <v>24</v>
      </c>
      <c r="K3415" s="10"/>
      <c r="L3415" s="5"/>
    </row>
    <row r="3416" spans="1:12" x14ac:dyDescent="0.25">
      <c r="A3416" s="5" t="s">
        <v>2517</v>
      </c>
      <c r="B3416" s="5" t="s">
        <v>2513</v>
      </c>
      <c r="C3416" s="5" t="s">
        <v>40</v>
      </c>
      <c r="D3416" s="21">
        <v>1</v>
      </c>
      <c r="E3416" s="12">
        <v>99</v>
      </c>
      <c r="F3416" s="10" t="str">
        <f>_xlfn.XLOOKUP(C3416,menu!A:A,menu!B:B)</f>
        <v>Veg Nuggets</v>
      </c>
      <c r="G3416" s="10" t="str">
        <f>_xlfn.XLOOKUP(C3416,menu!A:A,menu!C:C)</f>
        <v>Starters</v>
      </c>
      <c r="H3416" s="10">
        <f>_xlfn.XLOOKUP(C3416,menu!A:A,menu!E:E)</f>
        <v>30</v>
      </c>
      <c r="I3416" s="10">
        <f t="shared" si="53"/>
        <v>30</v>
      </c>
      <c r="K3416" s="10"/>
      <c r="L3416" s="5"/>
    </row>
    <row r="3417" spans="1:12" x14ac:dyDescent="0.25">
      <c r="A3417" s="5" t="s">
        <v>2516</v>
      </c>
      <c r="B3417" s="5" t="s">
        <v>2513</v>
      </c>
      <c r="C3417" s="5" t="s">
        <v>44</v>
      </c>
      <c r="D3417" s="21">
        <v>1</v>
      </c>
      <c r="E3417" s="12">
        <v>159</v>
      </c>
      <c r="F3417" s="10" t="str">
        <f>_xlfn.XLOOKUP(C3417,menu!A:A,menu!B:B)</f>
        <v>Fried Chicken</v>
      </c>
      <c r="G3417" s="10" t="str">
        <f>_xlfn.XLOOKUP(C3417,menu!A:A,menu!C:C)</f>
        <v>Starters</v>
      </c>
      <c r="H3417" s="10">
        <f>_xlfn.XLOOKUP(C3417,menu!A:A,menu!E:E)</f>
        <v>48</v>
      </c>
      <c r="I3417" s="10">
        <f t="shared" si="53"/>
        <v>48</v>
      </c>
      <c r="K3417" s="10"/>
      <c r="L3417" s="5"/>
    </row>
    <row r="3418" spans="1:12" x14ac:dyDescent="0.25">
      <c r="A3418" s="5" t="s">
        <v>2515</v>
      </c>
      <c r="B3418" s="5" t="s">
        <v>2513</v>
      </c>
      <c r="C3418" s="5" t="s">
        <v>42</v>
      </c>
      <c r="D3418" s="21">
        <v>1</v>
      </c>
      <c r="E3418" s="12">
        <v>149</v>
      </c>
      <c r="F3418" s="10" t="str">
        <f>_xlfn.XLOOKUP(C3418,menu!A:A,menu!B:B)</f>
        <v>Chicken Popcorn</v>
      </c>
      <c r="G3418" s="10" t="str">
        <f>_xlfn.XLOOKUP(C3418,menu!A:A,menu!C:C)</f>
        <v>Starters</v>
      </c>
      <c r="H3418" s="10">
        <f>_xlfn.XLOOKUP(C3418,menu!A:A,menu!E:E)</f>
        <v>45</v>
      </c>
      <c r="I3418" s="10">
        <f t="shared" si="53"/>
        <v>45</v>
      </c>
      <c r="K3418" s="10"/>
      <c r="L3418" s="5"/>
    </row>
    <row r="3419" spans="1:12" x14ac:dyDescent="0.25">
      <c r="A3419" s="5" t="s">
        <v>2514</v>
      </c>
      <c r="B3419" s="5" t="s">
        <v>2513</v>
      </c>
      <c r="C3419" s="5" t="s">
        <v>24</v>
      </c>
      <c r="D3419" s="21">
        <v>3</v>
      </c>
      <c r="E3419" s="12">
        <v>267</v>
      </c>
      <c r="F3419" s="10" t="str">
        <f>_xlfn.XLOOKUP(C3419,menu!A:A,menu!B:B)</f>
        <v>Paneer Burger</v>
      </c>
      <c r="G3419" s="10" t="str">
        <f>_xlfn.XLOOKUP(C3419,menu!A:A,menu!C:C)</f>
        <v>Burger</v>
      </c>
      <c r="H3419" s="10">
        <f>_xlfn.XLOOKUP(C3419,menu!A:A,menu!E:E)</f>
        <v>27</v>
      </c>
      <c r="I3419" s="10">
        <f t="shared" si="53"/>
        <v>81</v>
      </c>
      <c r="K3419" s="10"/>
      <c r="L3419" s="5"/>
    </row>
    <row r="3420" spans="1:12" x14ac:dyDescent="0.25">
      <c r="A3420" s="5" t="s">
        <v>2512</v>
      </c>
      <c r="B3420" s="5" t="s">
        <v>2509</v>
      </c>
      <c r="C3420" s="5" t="s">
        <v>15</v>
      </c>
      <c r="D3420" s="21">
        <v>2</v>
      </c>
      <c r="E3420" s="12">
        <v>198</v>
      </c>
      <c r="F3420" s="10" t="str">
        <f>_xlfn.XLOOKUP(C3420,menu!A:A,menu!B:B)</f>
        <v>Chicken Momos</v>
      </c>
      <c r="G3420" s="10" t="str">
        <f>_xlfn.XLOOKUP(C3420,menu!A:A,menu!C:C)</f>
        <v>Momos</v>
      </c>
      <c r="H3420" s="10">
        <f>_xlfn.XLOOKUP(C3420,menu!A:A,menu!E:E)</f>
        <v>30</v>
      </c>
      <c r="I3420" s="10">
        <f t="shared" si="53"/>
        <v>60</v>
      </c>
      <c r="K3420" s="10"/>
      <c r="L3420" s="5"/>
    </row>
    <row r="3421" spans="1:12" x14ac:dyDescent="0.25">
      <c r="A3421" s="5" t="s">
        <v>2511</v>
      </c>
      <c r="B3421" s="5" t="s">
        <v>2509</v>
      </c>
      <c r="C3421" s="5" t="s">
        <v>33</v>
      </c>
      <c r="D3421" s="21">
        <v>1</v>
      </c>
      <c r="E3421" s="12">
        <v>69</v>
      </c>
      <c r="F3421" s="10" t="str">
        <f>_xlfn.XLOOKUP(C3421,menu!A:A,menu!B:B)</f>
        <v>Spring Roll</v>
      </c>
      <c r="G3421" s="10" t="str">
        <f>_xlfn.XLOOKUP(C3421,menu!A:A,menu!C:C)</f>
        <v>Rolls</v>
      </c>
      <c r="H3421" s="10">
        <f>_xlfn.XLOOKUP(C3421,menu!A:A,menu!E:E)</f>
        <v>21</v>
      </c>
      <c r="I3421" s="10">
        <f t="shared" si="53"/>
        <v>21</v>
      </c>
      <c r="K3421" s="10"/>
      <c r="L3421" s="5"/>
    </row>
    <row r="3422" spans="1:12" x14ac:dyDescent="0.25">
      <c r="A3422" s="5" t="s">
        <v>2510</v>
      </c>
      <c r="B3422" s="5" t="s">
        <v>2509</v>
      </c>
      <c r="C3422" s="5" t="s">
        <v>31</v>
      </c>
      <c r="D3422" s="21">
        <v>1</v>
      </c>
      <c r="E3422" s="12">
        <v>89</v>
      </c>
      <c r="F3422" s="10" t="str">
        <f>_xlfn.XLOOKUP(C3422,menu!A:A,menu!B:B)</f>
        <v>Chicken Roll</v>
      </c>
      <c r="G3422" s="10" t="str">
        <f>_xlfn.XLOOKUP(C3422,menu!A:A,menu!C:C)</f>
        <v>Rolls</v>
      </c>
      <c r="H3422" s="10">
        <f>_xlfn.XLOOKUP(C3422,menu!A:A,menu!E:E)</f>
        <v>27</v>
      </c>
      <c r="I3422" s="10">
        <f t="shared" si="53"/>
        <v>27</v>
      </c>
      <c r="K3422" s="10"/>
      <c r="L3422" s="5"/>
    </row>
    <row r="3423" spans="1:12" x14ac:dyDescent="0.25">
      <c r="A3423" s="5" t="s">
        <v>2508</v>
      </c>
      <c r="B3423" s="5" t="s">
        <v>2504</v>
      </c>
      <c r="C3423" s="5" t="s">
        <v>15</v>
      </c>
      <c r="D3423" s="21">
        <v>4</v>
      </c>
      <c r="E3423" s="12">
        <v>396</v>
      </c>
      <c r="F3423" s="10" t="str">
        <f>_xlfn.XLOOKUP(C3423,menu!A:A,menu!B:B)</f>
        <v>Chicken Momos</v>
      </c>
      <c r="G3423" s="10" t="str">
        <f>_xlfn.XLOOKUP(C3423,menu!A:A,menu!C:C)</f>
        <v>Momos</v>
      </c>
      <c r="H3423" s="10">
        <f>_xlfn.XLOOKUP(C3423,menu!A:A,menu!E:E)</f>
        <v>30</v>
      </c>
      <c r="I3423" s="10">
        <f t="shared" si="53"/>
        <v>120</v>
      </c>
      <c r="K3423" s="10"/>
      <c r="L3423" s="5"/>
    </row>
    <row r="3424" spans="1:12" x14ac:dyDescent="0.25">
      <c r="A3424" s="5" t="s">
        <v>2507</v>
      </c>
      <c r="B3424" s="5" t="s">
        <v>2504</v>
      </c>
      <c r="C3424" s="5" t="s">
        <v>46</v>
      </c>
      <c r="D3424" s="21">
        <v>2</v>
      </c>
      <c r="E3424" s="12">
        <v>298</v>
      </c>
      <c r="F3424" s="10" t="str">
        <f>_xlfn.XLOOKUP(C3424,menu!A:A,menu!B:B)</f>
        <v>Fish Finger</v>
      </c>
      <c r="G3424" s="10" t="str">
        <f>_xlfn.XLOOKUP(C3424,menu!A:A,menu!C:C)</f>
        <v>Starters</v>
      </c>
      <c r="H3424" s="10">
        <f>_xlfn.XLOOKUP(C3424,menu!A:A,menu!E:E)</f>
        <v>45</v>
      </c>
      <c r="I3424" s="10">
        <f t="shared" si="53"/>
        <v>90</v>
      </c>
      <c r="K3424" s="10"/>
      <c r="L3424" s="5"/>
    </row>
    <row r="3425" spans="1:12" x14ac:dyDescent="0.25">
      <c r="A3425" s="5" t="s">
        <v>2506</v>
      </c>
      <c r="B3425" s="5" t="s">
        <v>2504</v>
      </c>
      <c r="C3425" s="5" t="s">
        <v>59</v>
      </c>
      <c r="D3425" s="21">
        <v>4</v>
      </c>
      <c r="E3425" s="12">
        <v>316</v>
      </c>
      <c r="F3425" s="10" t="str">
        <f>_xlfn.XLOOKUP(C3425,menu!A:A,menu!B:B)</f>
        <v>Blue Curacao Mojito</v>
      </c>
      <c r="G3425" s="10" t="str">
        <f>_xlfn.XLOOKUP(C3425,menu!A:A,menu!C:C)</f>
        <v>Beverages</v>
      </c>
      <c r="H3425" s="10">
        <f>_xlfn.XLOOKUP(C3425,menu!A:A,menu!E:E)</f>
        <v>24</v>
      </c>
      <c r="I3425" s="10">
        <f t="shared" si="53"/>
        <v>96</v>
      </c>
      <c r="K3425" s="10"/>
      <c r="L3425" s="5"/>
    </row>
    <row r="3426" spans="1:12" x14ac:dyDescent="0.25">
      <c r="A3426" s="5" t="s">
        <v>2505</v>
      </c>
      <c r="B3426" s="5" t="s">
        <v>2504</v>
      </c>
      <c r="C3426" s="5" t="s">
        <v>61</v>
      </c>
      <c r="D3426" s="21">
        <v>2</v>
      </c>
      <c r="E3426" s="12">
        <v>158</v>
      </c>
      <c r="F3426" s="10" t="str">
        <f>_xlfn.XLOOKUP(C3426,menu!A:A,menu!B:B)</f>
        <v>Watermelon Mojito</v>
      </c>
      <c r="G3426" s="10" t="str">
        <f>_xlfn.XLOOKUP(C3426,menu!A:A,menu!C:C)</f>
        <v>Beverages</v>
      </c>
      <c r="H3426" s="10">
        <f>_xlfn.XLOOKUP(C3426,menu!A:A,menu!E:E)</f>
        <v>24</v>
      </c>
      <c r="I3426" s="10">
        <f t="shared" si="53"/>
        <v>48</v>
      </c>
      <c r="K3426" s="10"/>
      <c r="L3426" s="5"/>
    </row>
    <row r="3427" spans="1:12" x14ac:dyDescent="0.25">
      <c r="A3427" s="5" t="s">
        <v>2503</v>
      </c>
      <c r="B3427" s="5" t="s">
        <v>2500</v>
      </c>
      <c r="C3427" s="5" t="s">
        <v>5</v>
      </c>
      <c r="D3427" s="21">
        <v>1</v>
      </c>
      <c r="E3427" s="12">
        <v>79</v>
      </c>
      <c r="F3427" s="10" t="str">
        <f>_xlfn.XLOOKUP(C3427,menu!A:A,menu!B:B)</f>
        <v>Veg Sandwich</v>
      </c>
      <c r="G3427" s="10" t="str">
        <f>_xlfn.XLOOKUP(C3427,menu!A:A,menu!C:C)</f>
        <v>Sandwich</v>
      </c>
      <c r="H3427" s="10">
        <f>_xlfn.XLOOKUP(C3427,menu!A:A,menu!E:E)</f>
        <v>24</v>
      </c>
      <c r="I3427" s="10">
        <f t="shared" si="53"/>
        <v>24</v>
      </c>
      <c r="K3427" s="10"/>
      <c r="L3427" s="5"/>
    </row>
    <row r="3428" spans="1:12" x14ac:dyDescent="0.25">
      <c r="A3428" s="5" t="s">
        <v>2502</v>
      </c>
      <c r="B3428" s="5" t="s">
        <v>2500</v>
      </c>
      <c r="C3428" s="5" t="s">
        <v>50</v>
      </c>
      <c r="D3428" s="21">
        <v>1</v>
      </c>
      <c r="E3428" s="12">
        <v>149</v>
      </c>
      <c r="F3428" s="10" t="str">
        <f>_xlfn.XLOOKUP(C3428,menu!A:A,menu!B:B)</f>
        <v>Grab Lollipop</v>
      </c>
      <c r="G3428" s="10" t="str">
        <f>_xlfn.XLOOKUP(C3428,menu!A:A,menu!C:C)</f>
        <v>Starters</v>
      </c>
      <c r="H3428" s="10">
        <f>_xlfn.XLOOKUP(C3428,menu!A:A,menu!E:E)</f>
        <v>45</v>
      </c>
      <c r="I3428" s="10">
        <f t="shared" si="53"/>
        <v>45</v>
      </c>
      <c r="K3428" s="10"/>
      <c r="L3428" s="5"/>
    </row>
    <row r="3429" spans="1:12" x14ac:dyDescent="0.25">
      <c r="A3429" s="5" t="s">
        <v>2501</v>
      </c>
      <c r="B3429" s="5" t="s">
        <v>2500</v>
      </c>
      <c r="C3429" s="5" t="s">
        <v>31</v>
      </c>
      <c r="D3429" s="21">
        <v>1</v>
      </c>
      <c r="E3429" s="12">
        <v>89</v>
      </c>
      <c r="F3429" s="10" t="str">
        <f>_xlfn.XLOOKUP(C3429,menu!A:A,menu!B:B)</f>
        <v>Chicken Roll</v>
      </c>
      <c r="G3429" s="10" t="str">
        <f>_xlfn.XLOOKUP(C3429,menu!A:A,menu!C:C)</f>
        <v>Rolls</v>
      </c>
      <c r="H3429" s="10">
        <f>_xlfn.XLOOKUP(C3429,menu!A:A,menu!E:E)</f>
        <v>27</v>
      </c>
      <c r="I3429" s="10">
        <f t="shared" si="53"/>
        <v>27</v>
      </c>
      <c r="K3429" s="10"/>
      <c r="L3429" s="5"/>
    </row>
    <row r="3430" spans="1:12" x14ac:dyDescent="0.25">
      <c r="A3430" s="5" t="s">
        <v>2499</v>
      </c>
      <c r="B3430" s="5" t="s">
        <v>2496</v>
      </c>
      <c r="C3430" s="5" t="s">
        <v>17</v>
      </c>
      <c r="D3430" s="21">
        <v>5</v>
      </c>
      <c r="E3430" s="12">
        <v>445</v>
      </c>
      <c r="F3430" s="10" t="str">
        <f>_xlfn.XLOOKUP(C3430,menu!A:A,menu!B:B)</f>
        <v>Paneer Momos</v>
      </c>
      <c r="G3430" s="10" t="str">
        <f>_xlfn.XLOOKUP(C3430,menu!A:A,menu!C:C)</f>
        <v>Momos</v>
      </c>
      <c r="H3430" s="10">
        <f>_xlfn.XLOOKUP(C3430,menu!A:A,menu!E:E)</f>
        <v>27</v>
      </c>
      <c r="I3430" s="10">
        <f t="shared" si="53"/>
        <v>135</v>
      </c>
      <c r="K3430" s="10"/>
      <c r="L3430" s="5"/>
    </row>
    <row r="3431" spans="1:12" x14ac:dyDescent="0.25">
      <c r="A3431" s="5" t="s">
        <v>2498</v>
      </c>
      <c r="B3431" s="5" t="s">
        <v>2496</v>
      </c>
      <c r="C3431" s="5" t="s">
        <v>10</v>
      </c>
      <c r="D3431" s="21">
        <v>1</v>
      </c>
      <c r="E3431" s="12">
        <v>119</v>
      </c>
      <c r="F3431" s="10" t="str">
        <f>_xlfn.XLOOKUP(C3431,menu!A:A,menu!B:B)</f>
        <v>Chicken Sandwich</v>
      </c>
      <c r="G3431" s="10" t="str">
        <f>_xlfn.XLOOKUP(C3431,menu!A:A,menu!C:C)</f>
        <v>Sandwich</v>
      </c>
      <c r="H3431" s="10">
        <f>_xlfn.XLOOKUP(C3431,menu!A:A,menu!E:E)</f>
        <v>36</v>
      </c>
      <c r="I3431" s="10">
        <f t="shared" si="53"/>
        <v>36</v>
      </c>
      <c r="K3431" s="10"/>
      <c r="L3431" s="5"/>
    </row>
    <row r="3432" spans="1:12" x14ac:dyDescent="0.25">
      <c r="A3432" s="5" t="s">
        <v>2497</v>
      </c>
      <c r="B3432" s="5" t="s">
        <v>2496</v>
      </c>
      <c r="C3432" s="5" t="s">
        <v>50</v>
      </c>
      <c r="D3432" s="21">
        <v>1</v>
      </c>
      <c r="E3432" s="12">
        <v>149</v>
      </c>
      <c r="F3432" s="10" t="str">
        <f>_xlfn.XLOOKUP(C3432,menu!A:A,menu!B:B)</f>
        <v>Grab Lollipop</v>
      </c>
      <c r="G3432" s="10" t="str">
        <f>_xlfn.XLOOKUP(C3432,menu!A:A,menu!C:C)</f>
        <v>Starters</v>
      </c>
      <c r="H3432" s="10">
        <f>_xlfn.XLOOKUP(C3432,menu!A:A,menu!E:E)</f>
        <v>45</v>
      </c>
      <c r="I3432" s="10">
        <f t="shared" si="53"/>
        <v>45</v>
      </c>
      <c r="K3432" s="10"/>
      <c r="L3432" s="5"/>
    </row>
    <row r="3433" spans="1:12" x14ac:dyDescent="0.25">
      <c r="A3433" s="5" t="s">
        <v>2495</v>
      </c>
      <c r="B3433" s="5" t="s">
        <v>2492</v>
      </c>
      <c r="C3433" s="5" t="s">
        <v>63</v>
      </c>
      <c r="D3433" s="21">
        <v>2</v>
      </c>
      <c r="E3433" s="12">
        <v>158</v>
      </c>
      <c r="F3433" s="10" t="str">
        <f>_xlfn.XLOOKUP(C3433,menu!A:A,menu!B:B)</f>
        <v>Virgin Mojito</v>
      </c>
      <c r="G3433" s="10" t="str">
        <f>_xlfn.XLOOKUP(C3433,menu!A:A,menu!C:C)</f>
        <v>Beverages</v>
      </c>
      <c r="H3433" s="10">
        <f>_xlfn.XLOOKUP(C3433,menu!A:A,menu!E:E)</f>
        <v>24</v>
      </c>
      <c r="I3433" s="10">
        <f t="shared" si="53"/>
        <v>48</v>
      </c>
      <c r="K3433" s="10"/>
      <c r="L3433" s="5"/>
    </row>
    <row r="3434" spans="1:12" x14ac:dyDescent="0.25">
      <c r="A3434" s="5" t="s">
        <v>2494</v>
      </c>
      <c r="B3434" s="5" t="s">
        <v>2492</v>
      </c>
      <c r="C3434" s="5" t="s">
        <v>24</v>
      </c>
      <c r="D3434" s="21">
        <v>1</v>
      </c>
      <c r="E3434" s="12">
        <v>89</v>
      </c>
      <c r="F3434" s="10" t="str">
        <f>_xlfn.XLOOKUP(C3434,menu!A:A,menu!B:B)</f>
        <v>Paneer Burger</v>
      </c>
      <c r="G3434" s="10" t="str">
        <f>_xlfn.XLOOKUP(C3434,menu!A:A,menu!C:C)</f>
        <v>Burger</v>
      </c>
      <c r="H3434" s="10">
        <f>_xlfn.XLOOKUP(C3434,menu!A:A,menu!E:E)</f>
        <v>27</v>
      </c>
      <c r="I3434" s="10">
        <f t="shared" si="53"/>
        <v>27</v>
      </c>
      <c r="K3434" s="10"/>
      <c r="L3434" s="5"/>
    </row>
    <row r="3435" spans="1:12" x14ac:dyDescent="0.25">
      <c r="A3435" s="5" t="s">
        <v>2493</v>
      </c>
      <c r="B3435" s="5" t="s">
        <v>2492</v>
      </c>
      <c r="C3435" s="5" t="s">
        <v>61</v>
      </c>
      <c r="D3435" s="21">
        <v>1</v>
      </c>
      <c r="E3435" s="12">
        <v>79</v>
      </c>
      <c r="F3435" s="10" t="str">
        <f>_xlfn.XLOOKUP(C3435,menu!A:A,menu!B:B)</f>
        <v>Watermelon Mojito</v>
      </c>
      <c r="G3435" s="10" t="str">
        <f>_xlfn.XLOOKUP(C3435,menu!A:A,menu!C:C)</f>
        <v>Beverages</v>
      </c>
      <c r="H3435" s="10">
        <f>_xlfn.XLOOKUP(C3435,menu!A:A,menu!E:E)</f>
        <v>24</v>
      </c>
      <c r="I3435" s="10">
        <f t="shared" si="53"/>
        <v>24</v>
      </c>
      <c r="K3435" s="10"/>
      <c r="L3435" s="5"/>
    </row>
    <row r="3436" spans="1:12" x14ac:dyDescent="0.25">
      <c r="A3436" s="5" t="s">
        <v>2491</v>
      </c>
      <c r="B3436" s="5" t="s">
        <v>2489</v>
      </c>
      <c r="C3436" s="5" t="s">
        <v>40</v>
      </c>
      <c r="D3436" s="21">
        <v>1</v>
      </c>
      <c r="E3436" s="12">
        <v>99</v>
      </c>
      <c r="F3436" s="10" t="str">
        <f>_xlfn.XLOOKUP(C3436,menu!A:A,menu!B:B)</f>
        <v>Veg Nuggets</v>
      </c>
      <c r="G3436" s="10" t="str">
        <f>_xlfn.XLOOKUP(C3436,menu!A:A,menu!C:C)</f>
        <v>Starters</v>
      </c>
      <c r="H3436" s="10">
        <f>_xlfn.XLOOKUP(C3436,menu!A:A,menu!E:E)</f>
        <v>30</v>
      </c>
      <c r="I3436" s="10">
        <f t="shared" si="53"/>
        <v>30</v>
      </c>
      <c r="K3436" s="10"/>
      <c r="L3436" s="5"/>
    </row>
    <row r="3437" spans="1:12" x14ac:dyDescent="0.25">
      <c r="A3437" s="5" t="s">
        <v>2490</v>
      </c>
      <c r="B3437" s="5" t="s">
        <v>2489</v>
      </c>
      <c r="C3437" s="5" t="s">
        <v>44</v>
      </c>
      <c r="D3437" s="21">
        <v>2</v>
      </c>
      <c r="E3437" s="12">
        <v>318</v>
      </c>
      <c r="F3437" s="10" t="str">
        <f>_xlfn.XLOOKUP(C3437,menu!A:A,menu!B:B)</f>
        <v>Fried Chicken</v>
      </c>
      <c r="G3437" s="10" t="str">
        <f>_xlfn.XLOOKUP(C3437,menu!A:A,menu!C:C)</f>
        <v>Starters</v>
      </c>
      <c r="H3437" s="10">
        <f>_xlfn.XLOOKUP(C3437,menu!A:A,menu!E:E)</f>
        <v>48</v>
      </c>
      <c r="I3437" s="10">
        <f t="shared" si="53"/>
        <v>96</v>
      </c>
      <c r="K3437" s="10"/>
      <c r="L3437" s="5"/>
    </row>
    <row r="3438" spans="1:12" x14ac:dyDescent="0.25">
      <c r="A3438" s="5" t="s">
        <v>2488</v>
      </c>
      <c r="B3438" s="5" t="s">
        <v>2484</v>
      </c>
      <c r="C3438" s="5" t="s">
        <v>63</v>
      </c>
      <c r="D3438" s="21">
        <v>1</v>
      </c>
      <c r="E3438" s="12">
        <v>79</v>
      </c>
      <c r="F3438" s="10" t="str">
        <f>_xlfn.XLOOKUP(C3438,menu!A:A,menu!B:B)</f>
        <v>Virgin Mojito</v>
      </c>
      <c r="G3438" s="10" t="str">
        <f>_xlfn.XLOOKUP(C3438,menu!A:A,menu!C:C)</f>
        <v>Beverages</v>
      </c>
      <c r="H3438" s="10">
        <f>_xlfn.XLOOKUP(C3438,menu!A:A,menu!E:E)</f>
        <v>24</v>
      </c>
      <c r="I3438" s="10">
        <f t="shared" si="53"/>
        <v>24</v>
      </c>
      <c r="K3438" s="10"/>
      <c r="L3438" s="5"/>
    </row>
    <row r="3439" spans="1:12" x14ac:dyDescent="0.25">
      <c r="A3439" s="5" t="s">
        <v>2487</v>
      </c>
      <c r="B3439" s="5" t="s">
        <v>2484</v>
      </c>
      <c r="C3439" s="5" t="s">
        <v>44</v>
      </c>
      <c r="D3439" s="21">
        <v>1</v>
      </c>
      <c r="E3439" s="12">
        <v>159</v>
      </c>
      <c r="F3439" s="10" t="str">
        <f>_xlfn.XLOOKUP(C3439,menu!A:A,menu!B:B)</f>
        <v>Fried Chicken</v>
      </c>
      <c r="G3439" s="10" t="str">
        <f>_xlfn.XLOOKUP(C3439,menu!A:A,menu!C:C)</f>
        <v>Starters</v>
      </c>
      <c r="H3439" s="10">
        <f>_xlfn.XLOOKUP(C3439,menu!A:A,menu!E:E)</f>
        <v>48</v>
      </c>
      <c r="I3439" s="10">
        <f t="shared" si="53"/>
        <v>48</v>
      </c>
      <c r="K3439" s="10"/>
      <c r="L3439" s="5"/>
    </row>
    <row r="3440" spans="1:12" x14ac:dyDescent="0.25">
      <c r="A3440" s="5" t="s">
        <v>2486</v>
      </c>
      <c r="B3440" s="5" t="s">
        <v>2484</v>
      </c>
      <c r="C3440" s="5" t="s">
        <v>8</v>
      </c>
      <c r="D3440" s="21">
        <v>1</v>
      </c>
      <c r="E3440" s="12">
        <v>99</v>
      </c>
      <c r="F3440" s="10" t="str">
        <f>_xlfn.XLOOKUP(C3440,menu!A:A,menu!B:B)</f>
        <v>Paneer Sandwich</v>
      </c>
      <c r="G3440" s="10" t="str">
        <f>_xlfn.XLOOKUP(C3440,menu!A:A,menu!C:C)</f>
        <v>Sandwich</v>
      </c>
      <c r="H3440" s="10">
        <f>_xlfn.XLOOKUP(C3440,menu!A:A,menu!E:E)</f>
        <v>30</v>
      </c>
      <c r="I3440" s="10">
        <f t="shared" si="53"/>
        <v>30</v>
      </c>
      <c r="K3440" s="10"/>
      <c r="L3440" s="5"/>
    </row>
    <row r="3441" spans="1:12" x14ac:dyDescent="0.25">
      <c r="A3441" s="5" t="s">
        <v>2485</v>
      </c>
      <c r="B3441" s="5" t="s">
        <v>2484</v>
      </c>
      <c r="C3441" s="5" t="s">
        <v>26</v>
      </c>
      <c r="D3441" s="21">
        <v>2</v>
      </c>
      <c r="E3441" s="12">
        <v>118</v>
      </c>
      <c r="F3441" s="10" t="str">
        <f>_xlfn.XLOOKUP(C3441,menu!A:A,menu!B:B)</f>
        <v>Veg Roll</v>
      </c>
      <c r="G3441" s="10" t="str">
        <f>_xlfn.XLOOKUP(C3441,menu!A:A,menu!C:C)</f>
        <v>Rolls</v>
      </c>
      <c r="H3441" s="10">
        <f>_xlfn.XLOOKUP(C3441,menu!A:A,menu!E:E)</f>
        <v>18</v>
      </c>
      <c r="I3441" s="10">
        <f t="shared" si="53"/>
        <v>36</v>
      </c>
      <c r="K3441" s="10"/>
      <c r="L3441" s="5"/>
    </row>
    <row r="3442" spans="1:12" x14ac:dyDescent="0.25">
      <c r="A3442" s="5" t="s">
        <v>2483</v>
      </c>
      <c r="B3442" s="5" t="s">
        <v>2479</v>
      </c>
      <c r="C3442" s="5" t="s">
        <v>50</v>
      </c>
      <c r="D3442" s="21">
        <v>5</v>
      </c>
      <c r="E3442" s="12">
        <v>745</v>
      </c>
      <c r="F3442" s="10" t="str">
        <f>_xlfn.XLOOKUP(C3442,menu!A:A,menu!B:B)</f>
        <v>Grab Lollipop</v>
      </c>
      <c r="G3442" s="10" t="str">
        <f>_xlfn.XLOOKUP(C3442,menu!A:A,menu!C:C)</f>
        <v>Starters</v>
      </c>
      <c r="H3442" s="10">
        <f>_xlfn.XLOOKUP(C3442,menu!A:A,menu!E:E)</f>
        <v>45</v>
      </c>
      <c r="I3442" s="10">
        <f t="shared" si="53"/>
        <v>225</v>
      </c>
      <c r="K3442" s="10"/>
      <c r="L3442" s="5"/>
    </row>
    <row r="3443" spans="1:12" x14ac:dyDescent="0.25">
      <c r="A3443" s="5" t="s">
        <v>2482</v>
      </c>
      <c r="B3443" s="5" t="s">
        <v>2479</v>
      </c>
      <c r="C3443" s="5" t="s">
        <v>42</v>
      </c>
      <c r="D3443" s="21">
        <v>1</v>
      </c>
      <c r="E3443" s="12">
        <v>149</v>
      </c>
      <c r="F3443" s="10" t="str">
        <f>_xlfn.XLOOKUP(C3443,menu!A:A,menu!B:B)</f>
        <v>Chicken Popcorn</v>
      </c>
      <c r="G3443" s="10" t="str">
        <f>_xlfn.XLOOKUP(C3443,menu!A:A,menu!C:C)</f>
        <v>Starters</v>
      </c>
      <c r="H3443" s="10">
        <f>_xlfn.XLOOKUP(C3443,menu!A:A,menu!E:E)</f>
        <v>45</v>
      </c>
      <c r="I3443" s="10">
        <f t="shared" si="53"/>
        <v>45</v>
      </c>
      <c r="K3443" s="10"/>
      <c r="L3443" s="5"/>
    </row>
    <row r="3444" spans="1:12" x14ac:dyDescent="0.25">
      <c r="A3444" s="5" t="s">
        <v>2481</v>
      </c>
      <c r="B3444" s="5" t="s">
        <v>2479</v>
      </c>
      <c r="C3444" s="5" t="s">
        <v>65</v>
      </c>
      <c r="D3444" s="21">
        <v>5</v>
      </c>
      <c r="E3444" s="12">
        <v>245</v>
      </c>
      <c r="F3444" s="10" t="str">
        <f>_xlfn.XLOOKUP(C3444,menu!A:A,menu!B:B)</f>
        <v>Lemon Juice</v>
      </c>
      <c r="G3444" s="10" t="str">
        <f>_xlfn.XLOOKUP(C3444,menu!A:A,menu!C:C)</f>
        <v>Beverages</v>
      </c>
      <c r="H3444" s="10">
        <f>_xlfn.XLOOKUP(C3444,menu!A:A,menu!E:E)</f>
        <v>15</v>
      </c>
      <c r="I3444" s="10">
        <f t="shared" si="53"/>
        <v>75</v>
      </c>
      <c r="K3444" s="10"/>
      <c r="L3444" s="5"/>
    </row>
    <row r="3445" spans="1:12" x14ac:dyDescent="0.25">
      <c r="A3445" s="5" t="s">
        <v>2480</v>
      </c>
      <c r="B3445" s="5" t="s">
        <v>2479</v>
      </c>
      <c r="C3445" s="5" t="s">
        <v>59</v>
      </c>
      <c r="D3445" s="21">
        <v>1</v>
      </c>
      <c r="E3445" s="12">
        <v>79</v>
      </c>
      <c r="F3445" s="10" t="str">
        <f>_xlfn.XLOOKUP(C3445,menu!A:A,menu!B:B)</f>
        <v>Blue Curacao Mojito</v>
      </c>
      <c r="G3445" s="10" t="str">
        <f>_xlfn.XLOOKUP(C3445,menu!A:A,menu!C:C)</f>
        <v>Beverages</v>
      </c>
      <c r="H3445" s="10">
        <f>_xlfn.XLOOKUP(C3445,menu!A:A,menu!E:E)</f>
        <v>24</v>
      </c>
      <c r="I3445" s="10">
        <f t="shared" si="53"/>
        <v>24</v>
      </c>
      <c r="K3445" s="10"/>
      <c r="L3445" s="5"/>
    </row>
    <row r="3446" spans="1:12" x14ac:dyDescent="0.25">
      <c r="A3446" s="5" t="s">
        <v>2478</v>
      </c>
      <c r="B3446" s="5" t="s">
        <v>2476</v>
      </c>
      <c r="C3446" s="5" t="s">
        <v>33</v>
      </c>
      <c r="D3446" s="21">
        <v>1</v>
      </c>
      <c r="E3446" s="12">
        <v>69</v>
      </c>
      <c r="F3446" s="10" t="str">
        <f>_xlfn.XLOOKUP(C3446,menu!A:A,menu!B:B)</f>
        <v>Spring Roll</v>
      </c>
      <c r="G3446" s="10" t="str">
        <f>_xlfn.XLOOKUP(C3446,menu!A:A,menu!C:C)</f>
        <v>Rolls</v>
      </c>
      <c r="H3446" s="10">
        <f>_xlfn.XLOOKUP(C3446,menu!A:A,menu!E:E)</f>
        <v>21</v>
      </c>
      <c r="I3446" s="10">
        <f t="shared" si="53"/>
        <v>21</v>
      </c>
      <c r="K3446" s="10"/>
      <c r="L3446" s="5"/>
    </row>
    <row r="3447" spans="1:12" x14ac:dyDescent="0.25">
      <c r="A3447" s="5" t="s">
        <v>2477</v>
      </c>
      <c r="B3447" s="5" t="s">
        <v>2476</v>
      </c>
      <c r="C3447" s="5" t="s">
        <v>61</v>
      </c>
      <c r="D3447" s="21">
        <v>2</v>
      </c>
      <c r="E3447" s="12">
        <v>158</v>
      </c>
      <c r="F3447" s="10" t="str">
        <f>_xlfn.XLOOKUP(C3447,menu!A:A,menu!B:B)</f>
        <v>Watermelon Mojito</v>
      </c>
      <c r="G3447" s="10" t="str">
        <f>_xlfn.XLOOKUP(C3447,menu!A:A,menu!C:C)</f>
        <v>Beverages</v>
      </c>
      <c r="H3447" s="10">
        <f>_xlfn.XLOOKUP(C3447,menu!A:A,menu!E:E)</f>
        <v>24</v>
      </c>
      <c r="I3447" s="10">
        <f t="shared" si="53"/>
        <v>48</v>
      </c>
      <c r="K3447" s="10"/>
      <c r="L3447" s="5"/>
    </row>
    <row r="3448" spans="1:12" x14ac:dyDescent="0.25">
      <c r="A3448" s="5" t="s">
        <v>2475</v>
      </c>
      <c r="B3448" s="5" t="s">
        <v>2473</v>
      </c>
      <c r="C3448" s="5" t="s">
        <v>12</v>
      </c>
      <c r="D3448" s="21">
        <v>1</v>
      </c>
      <c r="E3448" s="12">
        <v>79</v>
      </c>
      <c r="F3448" s="10" t="str">
        <f>_xlfn.XLOOKUP(C3448,menu!A:A,menu!B:B)</f>
        <v>Veg Momos</v>
      </c>
      <c r="G3448" s="10" t="str">
        <f>_xlfn.XLOOKUP(C3448,menu!A:A,menu!C:C)</f>
        <v>Momos</v>
      </c>
      <c r="H3448" s="10">
        <f>_xlfn.XLOOKUP(C3448,menu!A:A,menu!E:E)</f>
        <v>24</v>
      </c>
      <c r="I3448" s="10">
        <f t="shared" si="53"/>
        <v>24</v>
      </c>
      <c r="K3448" s="10"/>
      <c r="L3448" s="5"/>
    </row>
    <row r="3449" spans="1:12" x14ac:dyDescent="0.25">
      <c r="A3449" s="5" t="s">
        <v>2474</v>
      </c>
      <c r="B3449" s="5" t="s">
        <v>2473</v>
      </c>
      <c r="C3449" s="5" t="s">
        <v>15</v>
      </c>
      <c r="D3449" s="21">
        <v>1</v>
      </c>
      <c r="E3449" s="12">
        <v>99</v>
      </c>
      <c r="F3449" s="10" t="str">
        <f>_xlfn.XLOOKUP(C3449,menu!A:A,menu!B:B)</f>
        <v>Chicken Momos</v>
      </c>
      <c r="G3449" s="10" t="str">
        <f>_xlfn.XLOOKUP(C3449,menu!A:A,menu!C:C)</f>
        <v>Momos</v>
      </c>
      <c r="H3449" s="10">
        <f>_xlfn.XLOOKUP(C3449,menu!A:A,menu!E:E)</f>
        <v>30</v>
      </c>
      <c r="I3449" s="10">
        <f t="shared" si="53"/>
        <v>30</v>
      </c>
      <c r="K3449" s="10"/>
      <c r="L3449" s="5"/>
    </row>
    <row r="3450" spans="1:12" x14ac:dyDescent="0.25">
      <c r="A3450" s="5" t="s">
        <v>2472</v>
      </c>
      <c r="B3450" s="5" t="s">
        <v>2470</v>
      </c>
      <c r="C3450" s="5" t="s">
        <v>17</v>
      </c>
      <c r="D3450" s="21">
        <v>5</v>
      </c>
      <c r="E3450" s="12">
        <v>445</v>
      </c>
      <c r="F3450" s="10" t="str">
        <f>_xlfn.XLOOKUP(C3450,menu!A:A,menu!B:B)</f>
        <v>Paneer Momos</v>
      </c>
      <c r="G3450" s="10" t="str">
        <f>_xlfn.XLOOKUP(C3450,menu!A:A,menu!C:C)</f>
        <v>Momos</v>
      </c>
      <c r="H3450" s="10">
        <f>_xlfn.XLOOKUP(C3450,menu!A:A,menu!E:E)</f>
        <v>27</v>
      </c>
      <c r="I3450" s="10">
        <f t="shared" si="53"/>
        <v>135</v>
      </c>
      <c r="K3450" s="10"/>
      <c r="L3450" s="5"/>
    </row>
    <row r="3451" spans="1:12" x14ac:dyDescent="0.25">
      <c r="A3451" s="5" t="s">
        <v>2471</v>
      </c>
      <c r="B3451" s="5" t="s">
        <v>2470</v>
      </c>
      <c r="C3451" s="5" t="s">
        <v>38</v>
      </c>
      <c r="D3451" s="21">
        <v>1</v>
      </c>
      <c r="E3451" s="12">
        <v>149</v>
      </c>
      <c r="F3451" s="10" t="str">
        <f>_xlfn.XLOOKUP(C3451,menu!A:A,menu!B:B)</f>
        <v>Chicken Wings</v>
      </c>
      <c r="G3451" s="10" t="str">
        <f>_xlfn.XLOOKUP(C3451,menu!A:A,menu!C:C)</f>
        <v>Starters</v>
      </c>
      <c r="H3451" s="10">
        <f>_xlfn.XLOOKUP(C3451,menu!A:A,menu!E:E)</f>
        <v>45</v>
      </c>
      <c r="I3451" s="10">
        <f t="shared" si="53"/>
        <v>45</v>
      </c>
      <c r="K3451" s="10"/>
      <c r="L3451" s="5"/>
    </row>
    <row r="3452" spans="1:12" x14ac:dyDescent="0.25">
      <c r="A3452" s="5" t="s">
        <v>2469</v>
      </c>
      <c r="B3452" s="5" t="s">
        <v>2467</v>
      </c>
      <c r="C3452" s="5" t="s">
        <v>19</v>
      </c>
      <c r="D3452" s="21">
        <v>1</v>
      </c>
      <c r="E3452" s="12">
        <v>79</v>
      </c>
      <c r="F3452" s="10" t="str">
        <f>_xlfn.XLOOKUP(C3452,menu!A:A,menu!B:B)</f>
        <v>Veg Burger</v>
      </c>
      <c r="G3452" s="10" t="str">
        <f>_xlfn.XLOOKUP(C3452,menu!A:A,menu!C:C)</f>
        <v>Burger</v>
      </c>
      <c r="H3452" s="10">
        <f>_xlfn.XLOOKUP(C3452,menu!A:A,menu!E:E)</f>
        <v>24</v>
      </c>
      <c r="I3452" s="10">
        <f t="shared" si="53"/>
        <v>24</v>
      </c>
      <c r="K3452" s="10"/>
      <c r="L3452" s="5"/>
    </row>
    <row r="3453" spans="1:12" x14ac:dyDescent="0.25">
      <c r="A3453" s="5" t="s">
        <v>2468</v>
      </c>
      <c r="B3453" s="5" t="s">
        <v>2467</v>
      </c>
      <c r="C3453" s="5" t="s">
        <v>38</v>
      </c>
      <c r="D3453" s="21">
        <v>1</v>
      </c>
      <c r="E3453" s="12">
        <v>149</v>
      </c>
      <c r="F3453" s="10" t="str">
        <f>_xlfn.XLOOKUP(C3453,menu!A:A,menu!B:B)</f>
        <v>Chicken Wings</v>
      </c>
      <c r="G3453" s="10" t="str">
        <f>_xlfn.XLOOKUP(C3453,menu!A:A,menu!C:C)</f>
        <v>Starters</v>
      </c>
      <c r="H3453" s="10">
        <f>_xlfn.XLOOKUP(C3453,menu!A:A,menu!E:E)</f>
        <v>45</v>
      </c>
      <c r="I3453" s="10">
        <f t="shared" si="53"/>
        <v>45</v>
      </c>
      <c r="K3453" s="10"/>
      <c r="L3453" s="5"/>
    </row>
    <row r="3454" spans="1:12" x14ac:dyDescent="0.25">
      <c r="A3454" s="5" t="s">
        <v>2466</v>
      </c>
      <c r="B3454" s="5" t="s">
        <v>2464</v>
      </c>
      <c r="C3454" s="5" t="s">
        <v>5</v>
      </c>
      <c r="D3454" s="21">
        <v>2</v>
      </c>
      <c r="E3454" s="12">
        <v>158</v>
      </c>
      <c r="F3454" s="10" t="str">
        <f>_xlfn.XLOOKUP(C3454,menu!A:A,menu!B:B)</f>
        <v>Veg Sandwich</v>
      </c>
      <c r="G3454" s="10" t="str">
        <f>_xlfn.XLOOKUP(C3454,menu!A:A,menu!C:C)</f>
        <v>Sandwich</v>
      </c>
      <c r="H3454" s="10">
        <f>_xlfn.XLOOKUP(C3454,menu!A:A,menu!E:E)</f>
        <v>24</v>
      </c>
      <c r="I3454" s="10">
        <f t="shared" si="53"/>
        <v>48</v>
      </c>
      <c r="K3454" s="10"/>
      <c r="L3454" s="5"/>
    </row>
    <row r="3455" spans="1:12" x14ac:dyDescent="0.25">
      <c r="A3455" s="5" t="s">
        <v>2465</v>
      </c>
      <c r="B3455" s="5" t="s">
        <v>2464</v>
      </c>
      <c r="C3455" s="5" t="s">
        <v>50</v>
      </c>
      <c r="D3455" s="21">
        <v>3</v>
      </c>
      <c r="E3455" s="12">
        <v>447</v>
      </c>
      <c r="F3455" s="10" t="str">
        <f>_xlfn.XLOOKUP(C3455,menu!A:A,menu!B:B)</f>
        <v>Grab Lollipop</v>
      </c>
      <c r="G3455" s="10" t="str">
        <f>_xlfn.XLOOKUP(C3455,menu!A:A,menu!C:C)</f>
        <v>Starters</v>
      </c>
      <c r="H3455" s="10">
        <f>_xlfn.XLOOKUP(C3455,menu!A:A,menu!E:E)</f>
        <v>45</v>
      </c>
      <c r="I3455" s="10">
        <f t="shared" si="53"/>
        <v>135</v>
      </c>
      <c r="K3455" s="10"/>
      <c r="L3455" s="5"/>
    </row>
    <row r="3456" spans="1:12" x14ac:dyDescent="0.25">
      <c r="A3456" s="5" t="s">
        <v>2463</v>
      </c>
      <c r="B3456" s="5" t="s">
        <v>2460</v>
      </c>
      <c r="C3456" s="5" t="s">
        <v>44</v>
      </c>
      <c r="D3456" s="21">
        <v>5</v>
      </c>
      <c r="E3456" s="12">
        <v>795</v>
      </c>
      <c r="F3456" s="10" t="str">
        <f>_xlfn.XLOOKUP(C3456,menu!A:A,menu!B:B)</f>
        <v>Fried Chicken</v>
      </c>
      <c r="G3456" s="10" t="str">
        <f>_xlfn.XLOOKUP(C3456,menu!A:A,menu!C:C)</f>
        <v>Starters</v>
      </c>
      <c r="H3456" s="10">
        <f>_xlfn.XLOOKUP(C3456,menu!A:A,menu!E:E)</f>
        <v>48</v>
      </c>
      <c r="I3456" s="10">
        <f t="shared" si="53"/>
        <v>240</v>
      </c>
      <c r="K3456" s="10"/>
      <c r="L3456" s="5"/>
    </row>
    <row r="3457" spans="1:12" x14ac:dyDescent="0.25">
      <c r="A3457" s="5" t="s">
        <v>2462</v>
      </c>
      <c r="B3457" s="5" t="s">
        <v>2460</v>
      </c>
      <c r="C3457" s="5" t="s">
        <v>50</v>
      </c>
      <c r="D3457" s="21">
        <v>2</v>
      </c>
      <c r="E3457" s="12">
        <v>298</v>
      </c>
      <c r="F3457" s="10" t="str">
        <f>_xlfn.XLOOKUP(C3457,menu!A:A,menu!B:B)</f>
        <v>Grab Lollipop</v>
      </c>
      <c r="G3457" s="10" t="str">
        <f>_xlfn.XLOOKUP(C3457,menu!A:A,menu!C:C)</f>
        <v>Starters</v>
      </c>
      <c r="H3457" s="10">
        <f>_xlfn.XLOOKUP(C3457,menu!A:A,menu!E:E)</f>
        <v>45</v>
      </c>
      <c r="I3457" s="10">
        <f t="shared" si="53"/>
        <v>90</v>
      </c>
      <c r="K3457" s="10"/>
      <c r="L3457" s="5"/>
    </row>
    <row r="3458" spans="1:12" x14ac:dyDescent="0.25">
      <c r="A3458" s="5" t="s">
        <v>2461</v>
      </c>
      <c r="B3458" s="5" t="s">
        <v>2460</v>
      </c>
      <c r="C3458" s="5" t="s">
        <v>42</v>
      </c>
      <c r="D3458" s="21">
        <v>3</v>
      </c>
      <c r="E3458" s="12">
        <v>447</v>
      </c>
      <c r="F3458" s="10" t="str">
        <f>_xlfn.XLOOKUP(C3458,menu!A:A,menu!B:B)</f>
        <v>Chicken Popcorn</v>
      </c>
      <c r="G3458" s="10" t="str">
        <f>_xlfn.XLOOKUP(C3458,menu!A:A,menu!C:C)</f>
        <v>Starters</v>
      </c>
      <c r="H3458" s="10">
        <f>_xlfn.XLOOKUP(C3458,menu!A:A,menu!E:E)</f>
        <v>45</v>
      </c>
      <c r="I3458" s="10">
        <f t="shared" si="53"/>
        <v>135</v>
      </c>
      <c r="K3458" s="10"/>
      <c r="L3458" s="5"/>
    </row>
    <row r="3459" spans="1:12" x14ac:dyDescent="0.25">
      <c r="A3459" s="5" t="s">
        <v>2459</v>
      </c>
      <c r="B3459" s="5" t="s">
        <v>2457</v>
      </c>
      <c r="C3459" s="5" t="s">
        <v>63</v>
      </c>
      <c r="D3459" s="21">
        <v>1</v>
      </c>
      <c r="E3459" s="12">
        <v>79</v>
      </c>
      <c r="F3459" s="10" t="str">
        <f>_xlfn.XLOOKUP(C3459,menu!A:A,menu!B:B)</f>
        <v>Virgin Mojito</v>
      </c>
      <c r="G3459" s="10" t="str">
        <f>_xlfn.XLOOKUP(C3459,menu!A:A,menu!C:C)</f>
        <v>Beverages</v>
      </c>
      <c r="H3459" s="10">
        <f>_xlfn.XLOOKUP(C3459,menu!A:A,menu!E:E)</f>
        <v>24</v>
      </c>
      <c r="I3459" s="10">
        <f t="shared" ref="I3459:I3522" si="54">D3459*H3459</f>
        <v>24</v>
      </c>
      <c r="K3459" s="10"/>
      <c r="L3459" s="5"/>
    </row>
    <row r="3460" spans="1:12" x14ac:dyDescent="0.25">
      <c r="A3460" s="5" t="s">
        <v>2458</v>
      </c>
      <c r="B3460" s="5" t="s">
        <v>2457</v>
      </c>
      <c r="C3460" s="5" t="s">
        <v>31</v>
      </c>
      <c r="D3460" s="21">
        <v>3</v>
      </c>
      <c r="E3460" s="12">
        <v>267</v>
      </c>
      <c r="F3460" s="10" t="str">
        <f>_xlfn.XLOOKUP(C3460,menu!A:A,menu!B:B)</f>
        <v>Chicken Roll</v>
      </c>
      <c r="G3460" s="10" t="str">
        <f>_xlfn.XLOOKUP(C3460,menu!A:A,menu!C:C)</f>
        <v>Rolls</v>
      </c>
      <c r="H3460" s="10">
        <f>_xlfn.XLOOKUP(C3460,menu!A:A,menu!E:E)</f>
        <v>27</v>
      </c>
      <c r="I3460" s="10">
        <f t="shared" si="54"/>
        <v>81</v>
      </c>
      <c r="K3460" s="10"/>
      <c r="L3460" s="5"/>
    </row>
    <row r="3461" spans="1:12" x14ac:dyDescent="0.25">
      <c r="A3461" s="5" t="s">
        <v>2456</v>
      </c>
      <c r="B3461" s="5" t="s">
        <v>2452</v>
      </c>
      <c r="C3461" s="5" t="s">
        <v>52</v>
      </c>
      <c r="D3461" s="21">
        <v>1</v>
      </c>
      <c r="E3461" s="12">
        <v>99</v>
      </c>
      <c r="F3461" s="10" t="str">
        <f>_xlfn.XLOOKUP(C3461,menu!A:A,menu!B:B)</f>
        <v>French Fries</v>
      </c>
      <c r="G3461" s="10" t="str">
        <f>_xlfn.XLOOKUP(C3461,menu!A:A,menu!C:C)</f>
        <v>Starters</v>
      </c>
      <c r="H3461" s="10">
        <f>_xlfn.XLOOKUP(C3461,menu!A:A,menu!E:E)</f>
        <v>30</v>
      </c>
      <c r="I3461" s="10">
        <f t="shared" si="54"/>
        <v>30</v>
      </c>
      <c r="K3461" s="10"/>
      <c r="L3461" s="5"/>
    </row>
    <row r="3462" spans="1:12" x14ac:dyDescent="0.25">
      <c r="A3462" s="5" t="s">
        <v>2455</v>
      </c>
      <c r="B3462" s="5" t="s">
        <v>2452</v>
      </c>
      <c r="C3462" s="5" t="s">
        <v>35</v>
      </c>
      <c r="D3462" s="21">
        <v>2</v>
      </c>
      <c r="E3462" s="12">
        <v>238</v>
      </c>
      <c r="F3462" s="10" t="str">
        <f>_xlfn.XLOOKUP(C3462,menu!A:A,menu!B:B)</f>
        <v>Chicken Nuggets</v>
      </c>
      <c r="G3462" s="10" t="str">
        <f>_xlfn.XLOOKUP(C3462,menu!A:A,menu!C:C)</f>
        <v>Starters</v>
      </c>
      <c r="H3462" s="10">
        <f>_xlfn.XLOOKUP(C3462,menu!A:A,menu!E:E)</f>
        <v>36</v>
      </c>
      <c r="I3462" s="10">
        <f t="shared" si="54"/>
        <v>72</v>
      </c>
      <c r="K3462" s="10"/>
      <c r="L3462" s="5"/>
    </row>
    <row r="3463" spans="1:12" x14ac:dyDescent="0.25">
      <c r="A3463" s="5" t="s">
        <v>2454</v>
      </c>
      <c r="B3463" s="5" t="s">
        <v>2452</v>
      </c>
      <c r="C3463" s="5" t="s">
        <v>22</v>
      </c>
      <c r="D3463" s="21">
        <v>1</v>
      </c>
      <c r="E3463" s="12">
        <v>99</v>
      </c>
      <c r="F3463" s="10" t="str">
        <f>_xlfn.XLOOKUP(C3463,menu!A:A,menu!B:B)</f>
        <v>Chicken Burger</v>
      </c>
      <c r="G3463" s="10" t="str">
        <f>_xlfn.XLOOKUP(C3463,menu!A:A,menu!C:C)</f>
        <v>Burger</v>
      </c>
      <c r="H3463" s="10">
        <f>_xlfn.XLOOKUP(C3463,menu!A:A,menu!E:E)</f>
        <v>30</v>
      </c>
      <c r="I3463" s="10">
        <f t="shared" si="54"/>
        <v>30</v>
      </c>
      <c r="K3463" s="10"/>
      <c r="L3463" s="5"/>
    </row>
    <row r="3464" spans="1:12" x14ac:dyDescent="0.25">
      <c r="A3464" s="5" t="s">
        <v>2453</v>
      </c>
      <c r="B3464" s="5" t="s">
        <v>2452</v>
      </c>
      <c r="C3464" s="5" t="s">
        <v>31</v>
      </c>
      <c r="D3464" s="21">
        <v>1</v>
      </c>
      <c r="E3464" s="12">
        <v>89</v>
      </c>
      <c r="F3464" s="10" t="str">
        <f>_xlfn.XLOOKUP(C3464,menu!A:A,menu!B:B)</f>
        <v>Chicken Roll</v>
      </c>
      <c r="G3464" s="10" t="str">
        <f>_xlfn.XLOOKUP(C3464,menu!A:A,menu!C:C)</f>
        <v>Rolls</v>
      </c>
      <c r="H3464" s="10">
        <f>_xlfn.XLOOKUP(C3464,menu!A:A,menu!E:E)</f>
        <v>27</v>
      </c>
      <c r="I3464" s="10">
        <f t="shared" si="54"/>
        <v>27</v>
      </c>
      <c r="K3464" s="10"/>
      <c r="L3464" s="5"/>
    </row>
    <row r="3465" spans="1:12" x14ac:dyDescent="0.25">
      <c r="A3465" s="5" t="s">
        <v>2451</v>
      </c>
      <c r="B3465" s="5" t="s">
        <v>2449</v>
      </c>
      <c r="C3465" s="5" t="s">
        <v>40</v>
      </c>
      <c r="D3465" s="21">
        <v>5</v>
      </c>
      <c r="E3465" s="12">
        <v>495</v>
      </c>
      <c r="F3465" s="10" t="str">
        <f>_xlfn.XLOOKUP(C3465,menu!A:A,menu!B:B)</f>
        <v>Veg Nuggets</v>
      </c>
      <c r="G3465" s="10" t="str">
        <f>_xlfn.XLOOKUP(C3465,menu!A:A,menu!C:C)</f>
        <v>Starters</v>
      </c>
      <c r="H3465" s="10">
        <f>_xlfn.XLOOKUP(C3465,menu!A:A,menu!E:E)</f>
        <v>30</v>
      </c>
      <c r="I3465" s="10">
        <f t="shared" si="54"/>
        <v>150</v>
      </c>
      <c r="K3465" s="10"/>
      <c r="L3465" s="5"/>
    </row>
    <row r="3466" spans="1:12" x14ac:dyDescent="0.25">
      <c r="A3466" s="5" t="s">
        <v>2450</v>
      </c>
      <c r="B3466" s="5" t="s">
        <v>2449</v>
      </c>
      <c r="C3466" s="5" t="s">
        <v>24</v>
      </c>
      <c r="D3466" s="21">
        <v>5</v>
      </c>
      <c r="E3466" s="12">
        <v>445</v>
      </c>
      <c r="F3466" s="10" t="str">
        <f>_xlfn.XLOOKUP(C3466,menu!A:A,menu!B:B)</f>
        <v>Paneer Burger</v>
      </c>
      <c r="G3466" s="10" t="str">
        <f>_xlfn.XLOOKUP(C3466,menu!A:A,menu!C:C)</f>
        <v>Burger</v>
      </c>
      <c r="H3466" s="10">
        <f>_xlfn.XLOOKUP(C3466,menu!A:A,menu!E:E)</f>
        <v>27</v>
      </c>
      <c r="I3466" s="10">
        <f t="shared" si="54"/>
        <v>135</v>
      </c>
      <c r="K3466" s="10"/>
      <c r="L3466" s="5"/>
    </row>
    <row r="3467" spans="1:12" x14ac:dyDescent="0.25">
      <c r="A3467" s="5" t="s">
        <v>2448</v>
      </c>
      <c r="B3467" s="5" t="s">
        <v>2445</v>
      </c>
      <c r="C3467" s="5" t="s">
        <v>15</v>
      </c>
      <c r="D3467" s="21">
        <v>3</v>
      </c>
      <c r="E3467" s="12">
        <v>297</v>
      </c>
      <c r="F3467" s="10" t="str">
        <f>_xlfn.XLOOKUP(C3467,menu!A:A,menu!B:B)</f>
        <v>Chicken Momos</v>
      </c>
      <c r="G3467" s="10" t="str">
        <f>_xlfn.XLOOKUP(C3467,menu!A:A,menu!C:C)</f>
        <v>Momos</v>
      </c>
      <c r="H3467" s="10">
        <f>_xlfn.XLOOKUP(C3467,menu!A:A,menu!E:E)</f>
        <v>30</v>
      </c>
      <c r="I3467" s="10">
        <f t="shared" si="54"/>
        <v>90</v>
      </c>
      <c r="K3467" s="10"/>
      <c r="L3467" s="5"/>
    </row>
    <row r="3468" spans="1:12" x14ac:dyDescent="0.25">
      <c r="A3468" s="5" t="s">
        <v>2447</v>
      </c>
      <c r="B3468" s="5" t="s">
        <v>2445</v>
      </c>
      <c r="C3468" s="5" t="s">
        <v>31</v>
      </c>
      <c r="D3468" s="21">
        <v>1</v>
      </c>
      <c r="E3468" s="12">
        <v>89</v>
      </c>
      <c r="F3468" s="10" t="str">
        <f>_xlfn.XLOOKUP(C3468,menu!A:A,menu!B:B)</f>
        <v>Chicken Roll</v>
      </c>
      <c r="G3468" s="10" t="str">
        <f>_xlfn.XLOOKUP(C3468,menu!A:A,menu!C:C)</f>
        <v>Rolls</v>
      </c>
      <c r="H3468" s="10">
        <f>_xlfn.XLOOKUP(C3468,menu!A:A,menu!E:E)</f>
        <v>27</v>
      </c>
      <c r="I3468" s="10">
        <f t="shared" si="54"/>
        <v>27</v>
      </c>
      <c r="K3468" s="10"/>
      <c r="L3468" s="5"/>
    </row>
    <row r="3469" spans="1:12" x14ac:dyDescent="0.25">
      <c r="A3469" s="5" t="s">
        <v>2446</v>
      </c>
      <c r="B3469" s="5" t="s">
        <v>2445</v>
      </c>
      <c r="C3469" s="5" t="s">
        <v>61</v>
      </c>
      <c r="D3469" s="21">
        <v>1</v>
      </c>
      <c r="E3469" s="12">
        <v>79</v>
      </c>
      <c r="F3469" s="10" t="str">
        <f>_xlfn.XLOOKUP(C3469,menu!A:A,menu!B:B)</f>
        <v>Watermelon Mojito</v>
      </c>
      <c r="G3469" s="10" t="str">
        <f>_xlfn.XLOOKUP(C3469,menu!A:A,menu!C:C)</f>
        <v>Beverages</v>
      </c>
      <c r="H3469" s="10">
        <f>_xlfn.XLOOKUP(C3469,menu!A:A,menu!E:E)</f>
        <v>24</v>
      </c>
      <c r="I3469" s="10">
        <f t="shared" si="54"/>
        <v>24</v>
      </c>
      <c r="K3469" s="10"/>
      <c r="L3469" s="5"/>
    </row>
    <row r="3470" spans="1:12" x14ac:dyDescent="0.25">
      <c r="A3470" s="5" t="s">
        <v>2444</v>
      </c>
      <c r="B3470" s="5" t="s">
        <v>2441</v>
      </c>
      <c r="C3470" s="5" t="s">
        <v>15</v>
      </c>
      <c r="D3470" s="21">
        <v>1</v>
      </c>
      <c r="E3470" s="12">
        <v>99</v>
      </c>
      <c r="F3470" s="10" t="str">
        <f>_xlfn.XLOOKUP(C3470,menu!A:A,menu!B:B)</f>
        <v>Chicken Momos</v>
      </c>
      <c r="G3470" s="10" t="str">
        <f>_xlfn.XLOOKUP(C3470,menu!A:A,menu!C:C)</f>
        <v>Momos</v>
      </c>
      <c r="H3470" s="10">
        <f>_xlfn.XLOOKUP(C3470,menu!A:A,menu!E:E)</f>
        <v>30</v>
      </c>
      <c r="I3470" s="10">
        <f t="shared" si="54"/>
        <v>30</v>
      </c>
      <c r="K3470" s="10"/>
      <c r="L3470" s="5"/>
    </row>
    <row r="3471" spans="1:12" x14ac:dyDescent="0.25">
      <c r="A3471" s="5" t="s">
        <v>2443</v>
      </c>
      <c r="B3471" s="5" t="s">
        <v>2441</v>
      </c>
      <c r="C3471" s="5" t="s">
        <v>42</v>
      </c>
      <c r="D3471" s="21">
        <v>5</v>
      </c>
      <c r="E3471" s="12">
        <v>745</v>
      </c>
      <c r="F3471" s="10" t="str">
        <f>_xlfn.XLOOKUP(C3471,menu!A:A,menu!B:B)</f>
        <v>Chicken Popcorn</v>
      </c>
      <c r="G3471" s="10" t="str">
        <f>_xlfn.XLOOKUP(C3471,menu!A:A,menu!C:C)</f>
        <v>Starters</v>
      </c>
      <c r="H3471" s="10">
        <f>_xlfn.XLOOKUP(C3471,menu!A:A,menu!E:E)</f>
        <v>45</v>
      </c>
      <c r="I3471" s="10">
        <f t="shared" si="54"/>
        <v>225</v>
      </c>
      <c r="K3471" s="10"/>
      <c r="L3471" s="5"/>
    </row>
    <row r="3472" spans="1:12" x14ac:dyDescent="0.25">
      <c r="A3472" s="5" t="s">
        <v>2442</v>
      </c>
      <c r="B3472" s="5" t="s">
        <v>2441</v>
      </c>
      <c r="C3472" s="5" t="s">
        <v>26</v>
      </c>
      <c r="D3472" s="21">
        <v>1</v>
      </c>
      <c r="E3472" s="12">
        <v>59</v>
      </c>
      <c r="F3472" s="10" t="str">
        <f>_xlfn.XLOOKUP(C3472,menu!A:A,menu!B:B)</f>
        <v>Veg Roll</v>
      </c>
      <c r="G3472" s="10" t="str">
        <f>_xlfn.XLOOKUP(C3472,menu!A:A,menu!C:C)</f>
        <v>Rolls</v>
      </c>
      <c r="H3472" s="10">
        <f>_xlfn.XLOOKUP(C3472,menu!A:A,menu!E:E)</f>
        <v>18</v>
      </c>
      <c r="I3472" s="10">
        <f t="shared" si="54"/>
        <v>18</v>
      </c>
      <c r="K3472" s="10"/>
      <c r="L3472" s="5"/>
    </row>
    <row r="3473" spans="1:12" x14ac:dyDescent="0.25">
      <c r="A3473" s="5" t="s">
        <v>2440</v>
      </c>
      <c r="B3473" s="5" t="s">
        <v>2438</v>
      </c>
      <c r="C3473" s="5" t="s">
        <v>42</v>
      </c>
      <c r="D3473" s="21">
        <v>2</v>
      </c>
      <c r="E3473" s="12">
        <v>298</v>
      </c>
      <c r="F3473" s="10" t="str">
        <f>_xlfn.XLOOKUP(C3473,menu!A:A,menu!B:B)</f>
        <v>Chicken Popcorn</v>
      </c>
      <c r="G3473" s="10" t="str">
        <f>_xlfn.XLOOKUP(C3473,menu!A:A,menu!C:C)</f>
        <v>Starters</v>
      </c>
      <c r="H3473" s="10">
        <f>_xlfn.XLOOKUP(C3473,menu!A:A,menu!E:E)</f>
        <v>45</v>
      </c>
      <c r="I3473" s="10">
        <f t="shared" si="54"/>
        <v>90</v>
      </c>
      <c r="K3473" s="10"/>
      <c r="L3473" s="5"/>
    </row>
    <row r="3474" spans="1:12" x14ac:dyDescent="0.25">
      <c r="A3474" s="5" t="s">
        <v>2439</v>
      </c>
      <c r="B3474" s="5" t="s">
        <v>2438</v>
      </c>
      <c r="C3474" s="5" t="s">
        <v>61</v>
      </c>
      <c r="D3474" s="21">
        <v>1</v>
      </c>
      <c r="E3474" s="12">
        <v>79</v>
      </c>
      <c r="F3474" s="10" t="str">
        <f>_xlfn.XLOOKUP(C3474,menu!A:A,menu!B:B)</f>
        <v>Watermelon Mojito</v>
      </c>
      <c r="G3474" s="10" t="str">
        <f>_xlfn.XLOOKUP(C3474,menu!A:A,menu!C:C)</f>
        <v>Beverages</v>
      </c>
      <c r="H3474" s="10">
        <f>_xlfn.XLOOKUP(C3474,menu!A:A,menu!E:E)</f>
        <v>24</v>
      </c>
      <c r="I3474" s="10">
        <f t="shared" si="54"/>
        <v>24</v>
      </c>
      <c r="K3474" s="10"/>
      <c r="L3474" s="5"/>
    </row>
    <row r="3475" spans="1:12" x14ac:dyDescent="0.25">
      <c r="A3475" s="5" t="s">
        <v>2437</v>
      </c>
      <c r="B3475" s="5" t="s">
        <v>2434</v>
      </c>
      <c r="C3475" s="5" t="s">
        <v>12</v>
      </c>
      <c r="D3475" s="21">
        <v>2</v>
      </c>
      <c r="E3475" s="12">
        <v>158</v>
      </c>
      <c r="F3475" s="10" t="str">
        <f>_xlfn.XLOOKUP(C3475,menu!A:A,menu!B:B)</f>
        <v>Veg Momos</v>
      </c>
      <c r="G3475" s="10" t="str">
        <f>_xlfn.XLOOKUP(C3475,menu!A:A,menu!C:C)</f>
        <v>Momos</v>
      </c>
      <c r="H3475" s="10">
        <f>_xlfn.XLOOKUP(C3475,menu!A:A,menu!E:E)</f>
        <v>24</v>
      </c>
      <c r="I3475" s="10">
        <f t="shared" si="54"/>
        <v>48</v>
      </c>
      <c r="K3475" s="10"/>
      <c r="L3475" s="5"/>
    </row>
    <row r="3476" spans="1:12" x14ac:dyDescent="0.25">
      <c r="A3476" s="5" t="s">
        <v>2436</v>
      </c>
      <c r="B3476" s="5" t="s">
        <v>2434</v>
      </c>
      <c r="C3476" s="5" t="s">
        <v>46</v>
      </c>
      <c r="D3476" s="21">
        <v>1</v>
      </c>
      <c r="E3476" s="12">
        <v>149</v>
      </c>
      <c r="F3476" s="10" t="str">
        <f>_xlfn.XLOOKUP(C3476,menu!A:A,menu!B:B)</f>
        <v>Fish Finger</v>
      </c>
      <c r="G3476" s="10" t="str">
        <f>_xlfn.XLOOKUP(C3476,menu!A:A,menu!C:C)</f>
        <v>Starters</v>
      </c>
      <c r="H3476" s="10">
        <f>_xlfn.XLOOKUP(C3476,menu!A:A,menu!E:E)</f>
        <v>45</v>
      </c>
      <c r="I3476" s="10">
        <f t="shared" si="54"/>
        <v>45</v>
      </c>
      <c r="K3476" s="10"/>
      <c r="L3476" s="5"/>
    </row>
    <row r="3477" spans="1:12" x14ac:dyDescent="0.25">
      <c r="A3477" s="5" t="s">
        <v>2435</v>
      </c>
      <c r="B3477" s="5" t="s">
        <v>2434</v>
      </c>
      <c r="C3477" s="5" t="s">
        <v>8</v>
      </c>
      <c r="D3477" s="21">
        <v>3</v>
      </c>
      <c r="E3477" s="12">
        <v>297</v>
      </c>
      <c r="F3477" s="10" t="str">
        <f>_xlfn.XLOOKUP(C3477,menu!A:A,menu!B:B)</f>
        <v>Paneer Sandwich</v>
      </c>
      <c r="G3477" s="10" t="str">
        <f>_xlfn.XLOOKUP(C3477,menu!A:A,menu!C:C)</f>
        <v>Sandwich</v>
      </c>
      <c r="H3477" s="10">
        <f>_xlfn.XLOOKUP(C3477,menu!A:A,menu!E:E)</f>
        <v>30</v>
      </c>
      <c r="I3477" s="10">
        <f t="shared" si="54"/>
        <v>90</v>
      </c>
      <c r="K3477" s="10"/>
      <c r="L3477" s="5"/>
    </row>
    <row r="3478" spans="1:12" x14ac:dyDescent="0.25">
      <c r="A3478" s="5" t="s">
        <v>2433</v>
      </c>
      <c r="B3478" s="5" t="s">
        <v>2431</v>
      </c>
      <c r="C3478" s="5" t="s">
        <v>12</v>
      </c>
      <c r="D3478" s="21">
        <v>2</v>
      </c>
      <c r="E3478" s="12">
        <v>158</v>
      </c>
      <c r="F3478" s="10" t="str">
        <f>_xlfn.XLOOKUP(C3478,menu!A:A,menu!B:B)</f>
        <v>Veg Momos</v>
      </c>
      <c r="G3478" s="10" t="str">
        <f>_xlfn.XLOOKUP(C3478,menu!A:A,menu!C:C)</f>
        <v>Momos</v>
      </c>
      <c r="H3478" s="10">
        <f>_xlfn.XLOOKUP(C3478,menu!A:A,menu!E:E)</f>
        <v>24</v>
      </c>
      <c r="I3478" s="10">
        <f t="shared" si="54"/>
        <v>48</v>
      </c>
      <c r="K3478" s="10"/>
      <c r="L3478" s="5"/>
    </row>
    <row r="3479" spans="1:12" x14ac:dyDescent="0.25">
      <c r="A3479" s="5" t="s">
        <v>2432</v>
      </c>
      <c r="B3479" s="5" t="s">
        <v>2431</v>
      </c>
      <c r="C3479" s="5" t="s">
        <v>40</v>
      </c>
      <c r="D3479" s="21">
        <v>2</v>
      </c>
      <c r="E3479" s="12">
        <v>198</v>
      </c>
      <c r="F3479" s="10" t="str">
        <f>_xlfn.XLOOKUP(C3479,menu!A:A,menu!B:B)</f>
        <v>Veg Nuggets</v>
      </c>
      <c r="G3479" s="10" t="str">
        <f>_xlfn.XLOOKUP(C3479,menu!A:A,menu!C:C)</f>
        <v>Starters</v>
      </c>
      <c r="H3479" s="10">
        <f>_xlfn.XLOOKUP(C3479,menu!A:A,menu!E:E)</f>
        <v>30</v>
      </c>
      <c r="I3479" s="10">
        <f t="shared" si="54"/>
        <v>60</v>
      </c>
      <c r="K3479" s="10"/>
      <c r="L3479" s="5"/>
    </row>
    <row r="3480" spans="1:12" x14ac:dyDescent="0.25">
      <c r="A3480" s="5" t="s">
        <v>2430</v>
      </c>
      <c r="B3480" s="5" t="s">
        <v>2428</v>
      </c>
      <c r="C3480" s="5" t="s">
        <v>35</v>
      </c>
      <c r="D3480" s="21">
        <v>5</v>
      </c>
      <c r="E3480" s="12">
        <v>595</v>
      </c>
      <c r="F3480" s="10" t="str">
        <f>_xlfn.XLOOKUP(C3480,menu!A:A,menu!B:B)</f>
        <v>Chicken Nuggets</v>
      </c>
      <c r="G3480" s="10" t="str">
        <f>_xlfn.XLOOKUP(C3480,menu!A:A,menu!C:C)</f>
        <v>Starters</v>
      </c>
      <c r="H3480" s="10">
        <f>_xlfn.XLOOKUP(C3480,menu!A:A,menu!E:E)</f>
        <v>36</v>
      </c>
      <c r="I3480" s="10">
        <f t="shared" si="54"/>
        <v>180</v>
      </c>
      <c r="K3480" s="10"/>
      <c r="L3480" s="5"/>
    </row>
    <row r="3481" spans="1:12" x14ac:dyDescent="0.25">
      <c r="A3481" s="5" t="s">
        <v>2429</v>
      </c>
      <c r="B3481" s="5" t="s">
        <v>2428</v>
      </c>
      <c r="C3481" s="5" t="s">
        <v>46</v>
      </c>
      <c r="D3481" s="21">
        <v>1</v>
      </c>
      <c r="E3481" s="12">
        <v>149</v>
      </c>
      <c r="F3481" s="10" t="str">
        <f>_xlfn.XLOOKUP(C3481,menu!A:A,menu!B:B)</f>
        <v>Fish Finger</v>
      </c>
      <c r="G3481" s="10" t="str">
        <f>_xlfn.XLOOKUP(C3481,menu!A:A,menu!C:C)</f>
        <v>Starters</v>
      </c>
      <c r="H3481" s="10">
        <f>_xlfn.XLOOKUP(C3481,menu!A:A,menu!E:E)</f>
        <v>45</v>
      </c>
      <c r="I3481" s="10">
        <f t="shared" si="54"/>
        <v>45</v>
      </c>
      <c r="K3481" s="10"/>
      <c r="L3481" s="5"/>
    </row>
    <row r="3482" spans="1:12" x14ac:dyDescent="0.25">
      <c r="A3482" s="5" t="s">
        <v>2427</v>
      </c>
      <c r="B3482" s="5" t="s">
        <v>2424</v>
      </c>
      <c r="C3482" s="5" t="s">
        <v>48</v>
      </c>
      <c r="D3482" s="21">
        <v>1</v>
      </c>
      <c r="E3482" s="12">
        <v>159</v>
      </c>
      <c r="F3482" s="10" t="str">
        <f>_xlfn.XLOOKUP(C3482,menu!A:A,menu!B:B)</f>
        <v>Chicken Lollipop</v>
      </c>
      <c r="G3482" s="10" t="str">
        <f>_xlfn.XLOOKUP(C3482,menu!A:A,menu!C:C)</f>
        <v>Starters</v>
      </c>
      <c r="H3482" s="10">
        <f>_xlfn.XLOOKUP(C3482,menu!A:A,menu!E:E)</f>
        <v>48</v>
      </c>
      <c r="I3482" s="10">
        <f t="shared" si="54"/>
        <v>48</v>
      </c>
      <c r="K3482" s="10"/>
      <c r="L3482" s="5"/>
    </row>
    <row r="3483" spans="1:12" x14ac:dyDescent="0.25">
      <c r="A3483" s="5" t="s">
        <v>2426</v>
      </c>
      <c r="B3483" s="5" t="s">
        <v>2424</v>
      </c>
      <c r="C3483" s="5" t="s">
        <v>63</v>
      </c>
      <c r="D3483" s="21">
        <v>2</v>
      </c>
      <c r="E3483" s="12">
        <v>158</v>
      </c>
      <c r="F3483" s="10" t="str">
        <f>_xlfn.XLOOKUP(C3483,menu!A:A,menu!B:B)</f>
        <v>Virgin Mojito</v>
      </c>
      <c r="G3483" s="10" t="str">
        <f>_xlfn.XLOOKUP(C3483,menu!A:A,menu!C:C)</f>
        <v>Beverages</v>
      </c>
      <c r="H3483" s="10">
        <f>_xlfn.XLOOKUP(C3483,menu!A:A,menu!E:E)</f>
        <v>24</v>
      </c>
      <c r="I3483" s="10">
        <f t="shared" si="54"/>
        <v>48</v>
      </c>
      <c r="K3483" s="10"/>
      <c r="L3483" s="5"/>
    </row>
    <row r="3484" spans="1:12" x14ac:dyDescent="0.25">
      <c r="A3484" s="5" t="s">
        <v>2425</v>
      </c>
      <c r="B3484" s="5" t="s">
        <v>2424</v>
      </c>
      <c r="C3484" s="5" t="s">
        <v>24</v>
      </c>
      <c r="D3484" s="21">
        <v>4</v>
      </c>
      <c r="E3484" s="12">
        <v>356</v>
      </c>
      <c r="F3484" s="10" t="str">
        <f>_xlfn.XLOOKUP(C3484,menu!A:A,menu!B:B)</f>
        <v>Paneer Burger</v>
      </c>
      <c r="G3484" s="10" t="str">
        <f>_xlfn.XLOOKUP(C3484,menu!A:A,menu!C:C)</f>
        <v>Burger</v>
      </c>
      <c r="H3484" s="10">
        <f>_xlfn.XLOOKUP(C3484,menu!A:A,menu!E:E)</f>
        <v>27</v>
      </c>
      <c r="I3484" s="10">
        <f t="shared" si="54"/>
        <v>108</v>
      </c>
      <c r="K3484" s="10"/>
      <c r="L3484" s="5"/>
    </row>
    <row r="3485" spans="1:12" x14ac:dyDescent="0.25">
      <c r="A3485" s="5" t="s">
        <v>2423</v>
      </c>
      <c r="B3485" s="5" t="s">
        <v>2420</v>
      </c>
      <c r="C3485" s="5" t="s">
        <v>42</v>
      </c>
      <c r="D3485" s="21">
        <v>3</v>
      </c>
      <c r="E3485" s="12">
        <v>447</v>
      </c>
      <c r="F3485" s="10" t="str">
        <f>_xlfn.XLOOKUP(C3485,menu!A:A,menu!B:B)</f>
        <v>Chicken Popcorn</v>
      </c>
      <c r="G3485" s="10" t="str">
        <f>_xlfn.XLOOKUP(C3485,menu!A:A,menu!C:C)</f>
        <v>Starters</v>
      </c>
      <c r="H3485" s="10">
        <f>_xlfn.XLOOKUP(C3485,menu!A:A,menu!E:E)</f>
        <v>45</v>
      </c>
      <c r="I3485" s="10">
        <f t="shared" si="54"/>
        <v>135</v>
      </c>
      <c r="K3485" s="10"/>
      <c r="L3485" s="5"/>
    </row>
    <row r="3486" spans="1:12" x14ac:dyDescent="0.25">
      <c r="A3486" s="5" t="s">
        <v>2422</v>
      </c>
      <c r="B3486" s="5" t="s">
        <v>2420</v>
      </c>
      <c r="C3486" s="5" t="s">
        <v>33</v>
      </c>
      <c r="D3486" s="21">
        <v>3</v>
      </c>
      <c r="E3486" s="12">
        <v>207</v>
      </c>
      <c r="F3486" s="10" t="str">
        <f>_xlfn.XLOOKUP(C3486,menu!A:A,menu!B:B)</f>
        <v>Spring Roll</v>
      </c>
      <c r="G3486" s="10" t="str">
        <f>_xlfn.XLOOKUP(C3486,menu!A:A,menu!C:C)</f>
        <v>Rolls</v>
      </c>
      <c r="H3486" s="10">
        <f>_xlfn.XLOOKUP(C3486,menu!A:A,menu!E:E)</f>
        <v>21</v>
      </c>
      <c r="I3486" s="10">
        <f t="shared" si="54"/>
        <v>63</v>
      </c>
      <c r="K3486" s="10"/>
      <c r="L3486" s="5"/>
    </row>
    <row r="3487" spans="1:12" x14ac:dyDescent="0.25">
      <c r="A3487" s="5" t="s">
        <v>2421</v>
      </c>
      <c r="B3487" s="5" t="s">
        <v>2420</v>
      </c>
      <c r="C3487" s="5" t="s">
        <v>48</v>
      </c>
      <c r="D3487" s="21">
        <v>5</v>
      </c>
      <c r="E3487" s="12">
        <v>795</v>
      </c>
      <c r="F3487" s="10" t="str">
        <f>_xlfn.XLOOKUP(C3487,menu!A:A,menu!B:B)</f>
        <v>Chicken Lollipop</v>
      </c>
      <c r="G3487" s="10" t="str">
        <f>_xlfn.XLOOKUP(C3487,menu!A:A,menu!C:C)</f>
        <v>Starters</v>
      </c>
      <c r="H3487" s="10">
        <f>_xlfn.XLOOKUP(C3487,menu!A:A,menu!E:E)</f>
        <v>48</v>
      </c>
      <c r="I3487" s="10">
        <f t="shared" si="54"/>
        <v>240</v>
      </c>
      <c r="K3487" s="10"/>
      <c r="L3487" s="5"/>
    </row>
    <row r="3488" spans="1:12" x14ac:dyDescent="0.25">
      <c r="A3488" s="5" t="s">
        <v>2419</v>
      </c>
      <c r="B3488" s="5" t="s">
        <v>2417</v>
      </c>
      <c r="C3488" s="5" t="s">
        <v>31</v>
      </c>
      <c r="D3488" s="21">
        <v>1</v>
      </c>
      <c r="E3488" s="12">
        <v>89</v>
      </c>
      <c r="F3488" s="10" t="str">
        <f>_xlfn.XLOOKUP(C3488,menu!A:A,menu!B:B)</f>
        <v>Chicken Roll</v>
      </c>
      <c r="G3488" s="10" t="str">
        <f>_xlfn.XLOOKUP(C3488,menu!A:A,menu!C:C)</f>
        <v>Rolls</v>
      </c>
      <c r="H3488" s="10">
        <f>_xlfn.XLOOKUP(C3488,menu!A:A,menu!E:E)</f>
        <v>27</v>
      </c>
      <c r="I3488" s="10">
        <f t="shared" si="54"/>
        <v>27</v>
      </c>
      <c r="K3488" s="10"/>
      <c r="L3488" s="5"/>
    </row>
    <row r="3489" spans="1:12" x14ac:dyDescent="0.25">
      <c r="A3489" s="5" t="s">
        <v>2418</v>
      </c>
      <c r="B3489" s="5" t="s">
        <v>2417</v>
      </c>
      <c r="C3489" s="5" t="s">
        <v>48</v>
      </c>
      <c r="D3489" s="21">
        <v>1</v>
      </c>
      <c r="E3489" s="12">
        <v>159</v>
      </c>
      <c r="F3489" s="10" t="str">
        <f>_xlfn.XLOOKUP(C3489,menu!A:A,menu!B:B)</f>
        <v>Chicken Lollipop</v>
      </c>
      <c r="G3489" s="10" t="str">
        <f>_xlfn.XLOOKUP(C3489,menu!A:A,menu!C:C)</f>
        <v>Starters</v>
      </c>
      <c r="H3489" s="10">
        <f>_xlfn.XLOOKUP(C3489,menu!A:A,menu!E:E)</f>
        <v>48</v>
      </c>
      <c r="I3489" s="10">
        <f t="shared" si="54"/>
        <v>48</v>
      </c>
      <c r="K3489" s="10"/>
      <c r="L3489" s="5"/>
    </row>
    <row r="3490" spans="1:12" x14ac:dyDescent="0.25">
      <c r="A3490" s="5" t="s">
        <v>2416</v>
      </c>
      <c r="B3490" s="5" t="s">
        <v>2413</v>
      </c>
      <c r="C3490" s="5" t="s">
        <v>19</v>
      </c>
      <c r="D3490" s="21">
        <v>3</v>
      </c>
      <c r="E3490" s="12">
        <v>237</v>
      </c>
      <c r="F3490" s="10" t="str">
        <f>_xlfn.XLOOKUP(C3490,menu!A:A,menu!B:B)</f>
        <v>Veg Burger</v>
      </c>
      <c r="G3490" s="10" t="str">
        <f>_xlfn.XLOOKUP(C3490,menu!A:A,menu!C:C)</f>
        <v>Burger</v>
      </c>
      <c r="H3490" s="10">
        <f>_xlfn.XLOOKUP(C3490,menu!A:A,menu!E:E)</f>
        <v>24</v>
      </c>
      <c r="I3490" s="10">
        <f t="shared" si="54"/>
        <v>72</v>
      </c>
      <c r="K3490" s="10"/>
      <c r="L3490" s="5"/>
    </row>
    <row r="3491" spans="1:12" x14ac:dyDescent="0.25">
      <c r="A3491" s="5" t="s">
        <v>2415</v>
      </c>
      <c r="B3491" s="5" t="s">
        <v>2413</v>
      </c>
      <c r="C3491" s="5" t="s">
        <v>8</v>
      </c>
      <c r="D3491" s="21">
        <v>1</v>
      </c>
      <c r="E3491" s="12">
        <v>99</v>
      </c>
      <c r="F3491" s="10" t="str">
        <f>_xlfn.XLOOKUP(C3491,menu!A:A,menu!B:B)</f>
        <v>Paneer Sandwich</v>
      </c>
      <c r="G3491" s="10" t="str">
        <f>_xlfn.XLOOKUP(C3491,menu!A:A,menu!C:C)</f>
        <v>Sandwich</v>
      </c>
      <c r="H3491" s="10">
        <f>_xlfn.XLOOKUP(C3491,menu!A:A,menu!E:E)</f>
        <v>30</v>
      </c>
      <c r="I3491" s="10">
        <f t="shared" si="54"/>
        <v>30</v>
      </c>
      <c r="K3491" s="10"/>
      <c r="L3491" s="5"/>
    </row>
    <row r="3492" spans="1:12" x14ac:dyDescent="0.25">
      <c r="A3492" s="5" t="s">
        <v>2414</v>
      </c>
      <c r="B3492" s="5" t="s">
        <v>2413</v>
      </c>
      <c r="C3492" s="5" t="s">
        <v>31</v>
      </c>
      <c r="D3492" s="21">
        <v>1</v>
      </c>
      <c r="E3492" s="12">
        <v>89</v>
      </c>
      <c r="F3492" s="10" t="str">
        <f>_xlfn.XLOOKUP(C3492,menu!A:A,menu!B:B)</f>
        <v>Chicken Roll</v>
      </c>
      <c r="G3492" s="10" t="str">
        <f>_xlfn.XLOOKUP(C3492,menu!A:A,menu!C:C)</f>
        <v>Rolls</v>
      </c>
      <c r="H3492" s="10">
        <f>_xlfn.XLOOKUP(C3492,menu!A:A,menu!E:E)</f>
        <v>27</v>
      </c>
      <c r="I3492" s="10">
        <f t="shared" si="54"/>
        <v>27</v>
      </c>
      <c r="K3492" s="10"/>
      <c r="L3492" s="5"/>
    </row>
    <row r="3493" spans="1:12" x14ac:dyDescent="0.25">
      <c r="A3493" s="5" t="s">
        <v>2412</v>
      </c>
      <c r="B3493" s="5" t="s">
        <v>2409</v>
      </c>
      <c r="C3493" s="5" t="s">
        <v>8</v>
      </c>
      <c r="D3493" s="21">
        <v>3</v>
      </c>
      <c r="E3493" s="12">
        <v>297</v>
      </c>
      <c r="F3493" s="10" t="str">
        <f>_xlfn.XLOOKUP(C3493,menu!A:A,menu!B:B)</f>
        <v>Paneer Sandwich</v>
      </c>
      <c r="G3493" s="10" t="str">
        <f>_xlfn.XLOOKUP(C3493,menu!A:A,menu!C:C)</f>
        <v>Sandwich</v>
      </c>
      <c r="H3493" s="10">
        <f>_xlfn.XLOOKUP(C3493,menu!A:A,menu!E:E)</f>
        <v>30</v>
      </c>
      <c r="I3493" s="10">
        <f t="shared" si="54"/>
        <v>90</v>
      </c>
      <c r="K3493" s="10"/>
      <c r="L3493" s="5"/>
    </row>
    <row r="3494" spans="1:12" x14ac:dyDescent="0.25">
      <c r="A3494" s="5" t="s">
        <v>2411</v>
      </c>
      <c r="B3494" s="5" t="s">
        <v>2409</v>
      </c>
      <c r="C3494" s="5" t="s">
        <v>42</v>
      </c>
      <c r="D3494" s="21">
        <v>2</v>
      </c>
      <c r="E3494" s="12">
        <v>298</v>
      </c>
      <c r="F3494" s="10" t="str">
        <f>_xlfn.XLOOKUP(C3494,menu!A:A,menu!B:B)</f>
        <v>Chicken Popcorn</v>
      </c>
      <c r="G3494" s="10" t="str">
        <f>_xlfn.XLOOKUP(C3494,menu!A:A,menu!C:C)</f>
        <v>Starters</v>
      </c>
      <c r="H3494" s="10">
        <f>_xlfn.XLOOKUP(C3494,menu!A:A,menu!E:E)</f>
        <v>45</v>
      </c>
      <c r="I3494" s="10">
        <f t="shared" si="54"/>
        <v>90</v>
      </c>
      <c r="K3494" s="10"/>
      <c r="L3494" s="5"/>
    </row>
    <row r="3495" spans="1:12" x14ac:dyDescent="0.25">
      <c r="A3495" s="5" t="s">
        <v>2410</v>
      </c>
      <c r="B3495" s="5" t="s">
        <v>2409</v>
      </c>
      <c r="C3495" s="5" t="s">
        <v>65</v>
      </c>
      <c r="D3495" s="21">
        <v>1</v>
      </c>
      <c r="E3495" s="12">
        <v>49</v>
      </c>
      <c r="F3495" s="10" t="str">
        <f>_xlfn.XLOOKUP(C3495,menu!A:A,menu!B:B)</f>
        <v>Lemon Juice</v>
      </c>
      <c r="G3495" s="10" t="str">
        <f>_xlfn.XLOOKUP(C3495,menu!A:A,menu!C:C)</f>
        <v>Beverages</v>
      </c>
      <c r="H3495" s="10">
        <f>_xlfn.XLOOKUP(C3495,menu!A:A,menu!E:E)</f>
        <v>15</v>
      </c>
      <c r="I3495" s="10">
        <f t="shared" si="54"/>
        <v>15</v>
      </c>
      <c r="K3495" s="10"/>
      <c r="L3495" s="5"/>
    </row>
    <row r="3496" spans="1:12" x14ac:dyDescent="0.25">
      <c r="A3496" s="5" t="s">
        <v>2408</v>
      </c>
      <c r="B3496" s="5" t="s">
        <v>2406</v>
      </c>
      <c r="C3496" s="5" t="s">
        <v>19</v>
      </c>
      <c r="D3496" s="21">
        <v>1</v>
      </c>
      <c r="E3496" s="12">
        <v>79</v>
      </c>
      <c r="F3496" s="10" t="str">
        <f>_xlfn.XLOOKUP(C3496,menu!A:A,menu!B:B)</f>
        <v>Veg Burger</v>
      </c>
      <c r="G3496" s="10" t="str">
        <f>_xlfn.XLOOKUP(C3496,menu!A:A,menu!C:C)</f>
        <v>Burger</v>
      </c>
      <c r="H3496" s="10">
        <f>_xlfn.XLOOKUP(C3496,menu!A:A,menu!E:E)</f>
        <v>24</v>
      </c>
      <c r="I3496" s="10">
        <f t="shared" si="54"/>
        <v>24</v>
      </c>
      <c r="K3496" s="10"/>
      <c r="L3496" s="5"/>
    </row>
    <row r="3497" spans="1:12" x14ac:dyDescent="0.25">
      <c r="A3497" s="5" t="s">
        <v>2407</v>
      </c>
      <c r="B3497" s="5" t="s">
        <v>2406</v>
      </c>
      <c r="C3497" s="5" t="s">
        <v>42</v>
      </c>
      <c r="D3497" s="21">
        <v>2</v>
      </c>
      <c r="E3497" s="12">
        <v>298</v>
      </c>
      <c r="F3497" s="10" t="str">
        <f>_xlfn.XLOOKUP(C3497,menu!A:A,menu!B:B)</f>
        <v>Chicken Popcorn</v>
      </c>
      <c r="G3497" s="10" t="str">
        <f>_xlfn.XLOOKUP(C3497,menu!A:A,menu!C:C)</f>
        <v>Starters</v>
      </c>
      <c r="H3497" s="10">
        <f>_xlfn.XLOOKUP(C3497,menu!A:A,menu!E:E)</f>
        <v>45</v>
      </c>
      <c r="I3497" s="10">
        <f t="shared" si="54"/>
        <v>90</v>
      </c>
      <c r="K3497" s="10"/>
      <c r="L3497" s="5"/>
    </row>
    <row r="3498" spans="1:12" x14ac:dyDescent="0.25">
      <c r="A3498" s="5" t="s">
        <v>2405</v>
      </c>
      <c r="B3498" s="5" t="s">
        <v>2402</v>
      </c>
      <c r="C3498" s="5" t="s">
        <v>46</v>
      </c>
      <c r="D3498" s="21">
        <v>1</v>
      </c>
      <c r="E3498" s="12">
        <v>149</v>
      </c>
      <c r="F3498" s="10" t="str">
        <f>_xlfn.XLOOKUP(C3498,menu!A:A,menu!B:B)</f>
        <v>Fish Finger</v>
      </c>
      <c r="G3498" s="10" t="str">
        <f>_xlfn.XLOOKUP(C3498,menu!A:A,menu!C:C)</f>
        <v>Starters</v>
      </c>
      <c r="H3498" s="10">
        <f>_xlfn.XLOOKUP(C3498,menu!A:A,menu!E:E)</f>
        <v>45</v>
      </c>
      <c r="I3498" s="10">
        <f t="shared" si="54"/>
        <v>45</v>
      </c>
      <c r="K3498" s="10"/>
      <c r="L3498" s="5"/>
    </row>
    <row r="3499" spans="1:12" x14ac:dyDescent="0.25">
      <c r="A3499" s="5" t="s">
        <v>2404</v>
      </c>
      <c r="B3499" s="5" t="s">
        <v>2402</v>
      </c>
      <c r="C3499" s="5" t="s">
        <v>22</v>
      </c>
      <c r="D3499" s="21">
        <v>2</v>
      </c>
      <c r="E3499" s="12">
        <v>198</v>
      </c>
      <c r="F3499" s="10" t="str">
        <f>_xlfn.XLOOKUP(C3499,menu!A:A,menu!B:B)</f>
        <v>Chicken Burger</v>
      </c>
      <c r="G3499" s="10" t="str">
        <f>_xlfn.XLOOKUP(C3499,menu!A:A,menu!C:C)</f>
        <v>Burger</v>
      </c>
      <c r="H3499" s="10">
        <f>_xlfn.XLOOKUP(C3499,menu!A:A,menu!E:E)</f>
        <v>30</v>
      </c>
      <c r="I3499" s="10">
        <f t="shared" si="54"/>
        <v>60</v>
      </c>
      <c r="K3499" s="10"/>
      <c r="L3499" s="5"/>
    </row>
    <row r="3500" spans="1:12" x14ac:dyDescent="0.25">
      <c r="A3500" s="5" t="s">
        <v>2403</v>
      </c>
      <c r="B3500" s="5" t="s">
        <v>2402</v>
      </c>
      <c r="C3500" s="5" t="s">
        <v>61</v>
      </c>
      <c r="D3500" s="21">
        <v>4</v>
      </c>
      <c r="E3500" s="12">
        <v>316</v>
      </c>
      <c r="F3500" s="10" t="str">
        <f>_xlfn.XLOOKUP(C3500,menu!A:A,menu!B:B)</f>
        <v>Watermelon Mojito</v>
      </c>
      <c r="G3500" s="10" t="str">
        <f>_xlfn.XLOOKUP(C3500,menu!A:A,menu!C:C)</f>
        <v>Beverages</v>
      </c>
      <c r="H3500" s="10">
        <f>_xlfn.XLOOKUP(C3500,menu!A:A,menu!E:E)</f>
        <v>24</v>
      </c>
      <c r="I3500" s="10">
        <f t="shared" si="54"/>
        <v>96</v>
      </c>
      <c r="K3500" s="10"/>
      <c r="L3500" s="5"/>
    </row>
    <row r="3501" spans="1:12" x14ac:dyDescent="0.25">
      <c r="A3501" s="5" t="s">
        <v>2401</v>
      </c>
      <c r="B3501" s="5" t="s">
        <v>2400</v>
      </c>
      <c r="C3501" s="5" t="s">
        <v>40</v>
      </c>
      <c r="D3501" s="21">
        <v>2</v>
      </c>
      <c r="E3501" s="12">
        <v>198</v>
      </c>
      <c r="F3501" s="10" t="str">
        <f>_xlfn.XLOOKUP(C3501,menu!A:A,menu!B:B)</f>
        <v>Veg Nuggets</v>
      </c>
      <c r="G3501" s="10" t="str">
        <f>_xlfn.XLOOKUP(C3501,menu!A:A,menu!C:C)</f>
        <v>Starters</v>
      </c>
      <c r="H3501" s="10">
        <f>_xlfn.XLOOKUP(C3501,menu!A:A,menu!E:E)</f>
        <v>30</v>
      </c>
      <c r="I3501" s="10">
        <f t="shared" si="54"/>
        <v>60</v>
      </c>
      <c r="K3501" s="10"/>
      <c r="L3501" s="5"/>
    </row>
    <row r="3502" spans="1:12" x14ac:dyDescent="0.25">
      <c r="A3502" s="5" t="s">
        <v>2399</v>
      </c>
      <c r="B3502" s="5" t="s">
        <v>2397</v>
      </c>
      <c r="C3502" s="5" t="s">
        <v>54</v>
      </c>
      <c r="D3502" s="21">
        <v>2</v>
      </c>
      <c r="E3502" s="12">
        <v>278</v>
      </c>
      <c r="F3502" s="10" t="str">
        <f>_xlfn.XLOOKUP(C3502,menu!A:A,menu!B:B)</f>
        <v>Chicken Strips</v>
      </c>
      <c r="G3502" s="10" t="str">
        <f>_xlfn.XLOOKUP(C3502,menu!A:A,menu!C:C)</f>
        <v>Starters</v>
      </c>
      <c r="H3502" s="10">
        <f>_xlfn.XLOOKUP(C3502,menu!A:A,menu!E:E)</f>
        <v>42</v>
      </c>
      <c r="I3502" s="10">
        <f t="shared" si="54"/>
        <v>84</v>
      </c>
      <c r="K3502" s="10"/>
      <c r="L3502" s="5"/>
    </row>
    <row r="3503" spans="1:12" x14ac:dyDescent="0.25">
      <c r="A3503" s="5" t="s">
        <v>2398</v>
      </c>
      <c r="B3503" s="5" t="s">
        <v>2397</v>
      </c>
      <c r="C3503" s="5" t="s">
        <v>33</v>
      </c>
      <c r="D3503" s="21">
        <v>2</v>
      </c>
      <c r="E3503" s="12">
        <v>138</v>
      </c>
      <c r="F3503" s="10" t="str">
        <f>_xlfn.XLOOKUP(C3503,menu!A:A,menu!B:B)</f>
        <v>Spring Roll</v>
      </c>
      <c r="G3503" s="10" t="str">
        <f>_xlfn.XLOOKUP(C3503,menu!A:A,menu!C:C)</f>
        <v>Rolls</v>
      </c>
      <c r="H3503" s="10">
        <f>_xlfn.XLOOKUP(C3503,menu!A:A,menu!E:E)</f>
        <v>21</v>
      </c>
      <c r="I3503" s="10">
        <f t="shared" si="54"/>
        <v>42</v>
      </c>
      <c r="K3503" s="10"/>
      <c r="L3503" s="5"/>
    </row>
    <row r="3504" spans="1:12" x14ac:dyDescent="0.25">
      <c r="A3504" s="5" t="s">
        <v>2396</v>
      </c>
      <c r="B3504" s="5" t="s">
        <v>2392</v>
      </c>
      <c r="C3504" s="5" t="s">
        <v>52</v>
      </c>
      <c r="D3504" s="21">
        <v>1</v>
      </c>
      <c r="E3504" s="12">
        <v>99</v>
      </c>
      <c r="F3504" s="10" t="str">
        <f>_xlfn.XLOOKUP(C3504,menu!A:A,menu!B:B)</f>
        <v>French Fries</v>
      </c>
      <c r="G3504" s="10" t="str">
        <f>_xlfn.XLOOKUP(C3504,menu!A:A,menu!C:C)</f>
        <v>Starters</v>
      </c>
      <c r="H3504" s="10">
        <f>_xlfn.XLOOKUP(C3504,menu!A:A,menu!E:E)</f>
        <v>30</v>
      </c>
      <c r="I3504" s="10">
        <f t="shared" si="54"/>
        <v>30</v>
      </c>
      <c r="K3504" s="10"/>
      <c r="L3504" s="5"/>
    </row>
    <row r="3505" spans="1:12" x14ac:dyDescent="0.25">
      <c r="A3505" s="5" t="s">
        <v>2395</v>
      </c>
      <c r="B3505" s="5" t="s">
        <v>2392</v>
      </c>
      <c r="C3505" s="5" t="s">
        <v>54</v>
      </c>
      <c r="D3505" s="21">
        <v>1</v>
      </c>
      <c r="E3505" s="12">
        <v>139</v>
      </c>
      <c r="F3505" s="10" t="str">
        <f>_xlfn.XLOOKUP(C3505,menu!A:A,menu!B:B)</f>
        <v>Chicken Strips</v>
      </c>
      <c r="G3505" s="10" t="str">
        <f>_xlfn.XLOOKUP(C3505,menu!A:A,menu!C:C)</f>
        <v>Starters</v>
      </c>
      <c r="H3505" s="10">
        <f>_xlfn.XLOOKUP(C3505,menu!A:A,menu!E:E)</f>
        <v>42</v>
      </c>
      <c r="I3505" s="10">
        <f t="shared" si="54"/>
        <v>42</v>
      </c>
      <c r="K3505" s="10"/>
      <c r="L3505" s="5"/>
    </row>
    <row r="3506" spans="1:12" x14ac:dyDescent="0.25">
      <c r="A3506" s="5" t="s">
        <v>2394</v>
      </c>
      <c r="B3506" s="5" t="s">
        <v>2392</v>
      </c>
      <c r="C3506" s="5" t="s">
        <v>33</v>
      </c>
      <c r="D3506" s="21">
        <v>1</v>
      </c>
      <c r="E3506" s="12">
        <v>69</v>
      </c>
      <c r="F3506" s="10" t="str">
        <f>_xlfn.XLOOKUP(C3506,menu!A:A,menu!B:B)</f>
        <v>Spring Roll</v>
      </c>
      <c r="G3506" s="10" t="str">
        <f>_xlfn.XLOOKUP(C3506,menu!A:A,menu!C:C)</f>
        <v>Rolls</v>
      </c>
      <c r="H3506" s="10">
        <f>_xlfn.XLOOKUP(C3506,menu!A:A,menu!E:E)</f>
        <v>21</v>
      </c>
      <c r="I3506" s="10">
        <f t="shared" si="54"/>
        <v>21</v>
      </c>
      <c r="K3506" s="10"/>
      <c r="L3506" s="5"/>
    </row>
    <row r="3507" spans="1:12" x14ac:dyDescent="0.25">
      <c r="A3507" s="5" t="s">
        <v>2393</v>
      </c>
      <c r="B3507" s="5" t="s">
        <v>2392</v>
      </c>
      <c r="C3507" s="5" t="s">
        <v>24</v>
      </c>
      <c r="D3507" s="21">
        <v>3</v>
      </c>
      <c r="E3507" s="12">
        <v>267</v>
      </c>
      <c r="F3507" s="10" t="str">
        <f>_xlfn.XLOOKUP(C3507,menu!A:A,menu!B:B)</f>
        <v>Paneer Burger</v>
      </c>
      <c r="G3507" s="10" t="str">
        <f>_xlfn.XLOOKUP(C3507,menu!A:A,menu!C:C)</f>
        <v>Burger</v>
      </c>
      <c r="H3507" s="10">
        <f>_xlfn.XLOOKUP(C3507,menu!A:A,menu!E:E)</f>
        <v>27</v>
      </c>
      <c r="I3507" s="10">
        <f t="shared" si="54"/>
        <v>81</v>
      </c>
      <c r="K3507" s="10"/>
      <c r="L3507" s="5"/>
    </row>
    <row r="3508" spans="1:12" x14ac:dyDescent="0.25">
      <c r="A3508" s="5" t="s">
        <v>2391</v>
      </c>
      <c r="B3508" s="5" t="s">
        <v>2389</v>
      </c>
      <c r="C3508" s="5" t="s">
        <v>5</v>
      </c>
      <c r="D3508" s="21">
        <v>1</v>
      </c>
      <c r="E3508" s="12">
        <v>79</v>
      </c>
      <c r="F3508" s="10" t="str">
        <f>_xlfn.XLOOKUP(C3508,menu!A:A,menu!B:B)</f>
        <v>Veg Sandwich</v>
      </c>
      <c r="G3508" s="10" t="str">
        <f>_xlfn.XLOOKUP(C3508,menu!A:A,menu!C:C)</f>
        <v>Sandwich</v>
      </c>
      <c r="H3508" s="10">
        <f>_xlfn.XLOOKUP(C3508,menu!A:A,menu!E:E)</f>
        <v>24</v>
      </c>
      <c r="I3508" s="10">
        <f t="shared" si="54"/>
        <v>24</v>
      </c>
      <c r="K3508" s="10"/>
      <c r="L3508" s="5"/>
    </row>
    <row r="3509" spans="1:12" x14ac:dyDescent="0.25">
      <c r="A3509" s="5" t="s">
        <v>2390</v>
      </c>
      <c r="B3509" s="5" t="s">
        <v>2389</v>
      </c>
      <c r="C3509" s="5" t="s">
        <v>31</v>
      </c>
      <c r="D3509" s="21">
        <v>1</v>
      </c>
      <c r="E3509" s="12">
        <v>89</v>
      </c>
      <c r="F3509" s="10" t="str">
        <f>_xlfn.XLOOKUP(C3509,menu!A:A,menu!B:B)</f>
        <v>Chicken Roll</v>
      </c>
      <c r="G3509" s="10" t="str">
        <f>_xlfn.XLOOKUP(C3509,menu!A:A,menu!C:C)</f>
        <v>Rolls</v>
      </c>
      <c r="H3509" s="10">
        <f>_xlfn.XLOOKUP(C3509,menu!A:A,menu!E:E)</f>
        <v>27</v>
      </c>
      <c r="I3509" s="10">
        <f t="shared" si="54"/>
        <v>27</v>
      </c>
      <c r="K3509" s="10"/>
      <c r="L3509" s="5"/>
    </row>
    <row r="3510" spans="1:12" x14ac:dyDescent="0.25">
      <c r="A3510" s="5" t="s">
        <v>2388</v>
      </c>
      <c r="B3510" s="5" t="s">
        <v>2387</v>
      </c>
      <c r="C3510" s="5" t="s">
        <v>40</v>
      </c>
      <c r="D3510" s="21">
        <v>2</v>
      </c>
      <c r="E3510" s="12">
        <v>198</v>
      </c>
      <c r="F3510" s="10" t="str">
        <f>_xlfn.XLOOKUP(C3510,menu!A:A,menu!B:B)</f>
        <v>Veg Nuggets</v>
      </c>
      <c r="G3510" s="10" t="str">
        <f>_xlfn.XLOOKUP(C3510,menu!A:A,menu!C:C)</f>
        <v>Starters</v>
      </c>
      <c r="H3510" s="10">
        <f>_xlfn.XLOOKUP(C3510,menu!A:A,menu!E:E)</f>
        <v>30</v>
      </c>
      <c r="I3510" s="10">
        <f t="shared" si="54"/>
        <v>60</v>
      </c>
      <c r="K3510" s="10"/>
      <c r="L3510" s="5"/>
    </row>
    <row r="3511" spans="1:12" x14ac:dyDescent="0.25">
      <c r="A3511" s="5" t="s">
        <v>2386</v>
      </c>
      <c r="B3511" s="5" t="s">
        <v>2384</v>
      </c>
      <c r="C3511" s="5" t="s">
        <v>63</v>
      </c>
      <c r="D3511" s="21">
        <v>3</v>
      </c>
      <c r="E3511" s="12">
        <v>237</v>
      </c>
      <c r="F3511" s="10" t="str">
        <f>_xlfn.XLOOKUP(C3511,menu!A:A,menu!B:B)</f>
        <v>Virgin Mojito</v>
      </c>
      <c r="G3511" s="10" t="str">
        <f>_xlfn.XLOOKUP(C3511,menu!A:A,menu!C:C)</f>
        <v>Beverages</v>
      </c>
      <c r="H3511" s="10">
        <f>_xlfn.XLOOKUP(C3511,menu!A:A,menu!E:E)</f>
        <v>24</v>
      </c>
      <c r="I3511" s="10">
        <f t="shared" si="54"/>
        <v>72</v>
      </c>
      <c r="K3511" s="10"/>
      <c r="L3511" s="5"/>
    </row>
    <row r="3512" spans="1:12" x14ac:dyDescent="0.25">
      <c r="A3512" s="5" t="s">
        <v>2385</v>
      </c>
      <c r="B3512" s="5" t="s">
        <v>2384</v>
      </c>
      <c r="C3512" s="5" t="s">
        <v>48</v>
      </c>
      <c r="D3512" s="21">
        <v>1</v>
      </c>
      <c r="E3512" s="12">
        <v>159</v>
      </c>
      <c r="F3512" s="10" t="str">
        <f>_xlfn.XLOOKUP(C3512,menu!A:A,menu!B:B)</f>
        <v>Chicken Lollipop</v>
      </c>
      <c r="G3512" s="10" t="str">
        <f>_xlfn.XLOOKUP(C3512,menu!A:A,menu!C:C)</f>
        <v>Starters</v>
      </c>
      <c r="H3512" s="10">
        <f>_xlfn.XLOOKUP(C3512,menu!A:A,menu!E:E)</f>
        <v>48</v>
      </c>
      <c r="I3512" s="10">
        <f t="shared" si="54"/>
        <v>48</v>
      </c>
      <c r="K3512" s="10"/>
      <c r="L3512" s="5"/>
    </row>
    <row r="3513" spans="1:12" x14ac:dyDescent="0.25">
      <c r="A3513" s="5" t="s">
        <v>2383</v>
      </c>
      <c r="B3513" s="5" t="s">
        <v>2380</v>
      </c>
      <c r="C3513" s="5" t="s">
        <v>50</v>
      </c>
      <c r="D3513" s="21">
        <v>2</v>
      </c>
      <c r="E3513" s="12">
        <v>298</v>
      </c>
      <c r="F3513" s="10" t="str">
        <f>_xlfn.XLOOKUP(C3513,menu!A:A,menu!B:B)</f>
        <v>Grab Lollipop</v>
      </c>
      <c r="G3513" s="10" t="str">
        <f>_xlfn.XLOOKUP(C3513,menu!A:A,menu!C:C)</f>
        <v>Starters</v>
      </c>
      <c r="H3513" s="10">
        <f>_xlfn.XLOOKUP(C3513,menu!A:A,menu!E:E)</f>
        <v>45</v>
      </c>
      <c r="I3513" s="10">
        <f t="shared" si="54"/>
        <v>90</v>
      </c>
      <c r="K3513" s="10"/>
      <c r="L3513" s="5"/>
    </row>
    <row r="3514" spans="1:12" x14ac:dyDescent="0.25">
      <c r="A3514" s="5" t="s">
        <v>2382</v>
      </c>
      <c r="B3514" s="5" t="s">
        <v>2380</v>
      </c>
      <c r="C3514" s="5" t="s">
        <v>61</v>
      </c>
      <c r="D3514" s="21">
        <v>2</v>
      </c>
      <c r="E3514" s="12">
        <v>158</v>
      </c>
      <c r="F3514" s="10" t="str">
        <f>_xlfn.XLOOKUP(C3514,menu!A:A,menu!B:B)</f>
        <v>Watermelon Mojito</v>
      </c>
      <c r="G3514" s="10" t="str">
        <f>_xlfn.XLOOKUP(C3514,menu!A:A,menu!C:C)</f>
        <v>Beverages</v>
      </c>
      <c r="H3514" s="10">
        <f>_xlfn.XLOOKUP(C3514,menu!A:A,menu!E:E)</f>
        <v>24</v>
      </c>
      <c r="I3514" s="10">
        <f t="shared" si="54"/>
        <v>48</v>
      </c>
      <c r="K3514" s="10"/>
      <c r="L3514" s="5"/>
    </row>
    <row r="3515" spans="1:12" x14ac:dyDescent="0.25">
      <c r="A3515" s="5" t="s">
        <v>2381</v>
      </c>
      <c r="B3515" s="5" t="s">
        <v>2380</v>
      </c>
      <c r="C3515" s="5" t="s">
        <v>48</v>
      </c>
      <c r="D3515" s="21">
        <v>1</v>
      </c>
      <c r="E3515" s="12">
        <v>159</v>
      </c>
      <c r="F3515" s="10" t="str">
        <f>_xlfn.XLOOKUP(C3515,menu!A:A,menu!B:B)</f>
        <v>Chicken Lollipop</v>
      </c>
      <c r="G3515" s="10" t="str">
        <f>_xlfn.XLOOKUP(C3515,menu!A:A,menu!C:C)</f>
        <v>Starters</v>
      </c>
      <c r="H3515" s="10">
        <f>_xlfn.XLOOKUP(C3515,menu!A:A,menu!E:E)</f>
        <v>48</v>
      </c>
      <c r="I3515" s="10">
        <f t="shared" si="54"/>
        <v>48</v>
      </c>
      <c r="K3515" s="10"/>
      <c r="L3515" s="5"/>
    </row>
    <row r="3516" spans="1:12" x14ac:dyDescent="0.25">
      <c r="A3516" s="5" t="s">
        <v>2379</v>
      </c>
      <c r="B3516" s="5" t="s">
        <v>2377</v>
      </c>
      <c r="C3516" s="5" t="s">
        <v>56</v>
      </c>
      <c r="D3516" s="21">
        <v>2</v>
      </c>
      <c r="E3516" s="12">
        <v>158</v>
      </c>
      <c r="F3516" s="10" t="str">
        <f>_xlfn.XLOOKUP(C3516,menu!A:A,menu!B:B)</f>
        <v>Mint Mojito</v>
      </c>
      <c r="G3516" s="10" t="str">
        <f>_xlfn.XLOOKUP(C3516,menu!A:A,menu!C:C)</f>
        <v>Beverages</v>
      </c>
      <c r="H3516" s="10">
        <f>_xlfn.XLOOKUP(C3516,menu!A:A,menu!E:E)</f>
        <v>24</v>
      </c>
      <c r="I3516" s="10">
        <f t="shared" si="54"/>
        <v>48</v>
      </c>
      <c r="K3516" s="10"/>
      <c r="L3516" s="5"/>
    </row>
    <row r="3517" spans="1:12" x14ac:dyDescent="0.25">
      <c r="A3517" s="5" t="s">
        <v>2378</v>
      </c>
      <c r="B3517" s="5" t="s">
        <v>2377</v>
      </c>
      <c r="C3517" s="5" t="s">
        <v>48</v>
      </c>
      <c r="D3517" s="21">
        <v>2</v>
      </c>
      <c r="E3517" s="12">
        <v>318</v>
      </c>
      <c r="F3517" s="10" t="str">
        <f>_xlfn.XLOOKUP(C3517,menu!A:A,menu!B:B)</f>
        <v>Chicken Lollipop</v>
      </c>
      <c r="G3517" s="10" t="str">
        <f>_xlfn.XLOOKUP(C3517,menu!A:A,menu!C:C)</f>
        <v>Starters</v>
      </c>
      <c r="H3517" s="10">
        <f>_xlfn.XLOOKUP(C3517,menu!A:A,menu!E:E)</f>
        <v>48</v>
      </c>
      <c r="I3517" s="10">
        <f t="shared" si="54"/>
        <v>96</v>
      </c>
      <c r="K3517" s="10"/>
      <c r="L3517" s="5"/>
    </row>
    <row r="3518" spans="1:12" x14ac:dyDescent="0.25">
      <c r="A3518" s="5" t="s">
        <v>2376</v>
      </c>
      <c r="B3518" s="5" t="s">
        <v>2372</v>
      </c>
      <c r="C3518" s="5" t="s">
        <v>52</v>
      </c>
      <c r="D3518" s="21">
        <v>1</v>
      </c>
      <c r="E3518" s="12">
        <v>99</v>
      </c>
      <c r="F3518" s="10" t="str">
        <f>_xlfn.XLOOKUP(C3518,menu!A:A,menu!B:B)</f>
        <v>French Fries</v>
      </c>
      <c r="G3518" s="10" t="str">
        <f>_xlfn.XLOOKUP(C3518,menu!A:A,menu!C:C)</f>
        <v>Starters</v>
      </c>
      <c r="H3518" s="10">
        <f>_xlfn.XLOOKUP(C3518,menu!A:A,menu!E:E)</f>
        <v>30</v>
      </c>
      <c r="I3518" s="10">
        <f t="shared" si="54"/>
        <v>30</v>
      </c>
      <c r="K3518" s="10"/>
      <c r="L3518" s="5"/>
    </row>
    <row r="3519" spans="1:12" x14ac:dyDescent="0.25">
      <c r="A3519" s="5" t="s">
        <v>2375</v>
      </c>
      <c r="B3519" s="5" t="s">
        <v>2372</v>
      </c>
      <c r="C3519" s="5" t="s">
        <v>54</v>
      </c>
      <c r="D3519" s="21">
        <v>3</v>
      </c>
      <c r="E3519" s="12">
        <v>417</v>
      </c>
      <c r="F3519" s="10" t="str">
        <f>_xlfn.XLOOKUP(C3519,menu!A:A,menu!B:B)</f>
        <v>Chicken Strips</v>
      </c>
      <c r="G3519" s="10" t="str">
        <f>_xlfn.XLOOKUP(C3519,menu!A:A,menu!C:C)</f>
        <v>Starters</v>
      </c>
      <c r="H3519" s="10">
        <f>_xlfn.XLOOKUP(C3519,menu!A:A,menu!E:E)</f>
        <v>42</v>
      </c>
      <c r="I3519" s="10">
        <f t="shared" si="54"/>
        <v>126</v>
      </c>
      <c r="K3519" s="10"/>
      <c r="L3519" s="5"/>
    </row>
    <row r="3520" spans="1:12" x14ac:dyDescent="0.25">
      <c r="A3520" s="5" t="s">
        <v>2374</v>
      </c>
      <c r="B3520" s="5" t="s">
        <v>2372</v>
      </c>
      <c r="C3520" s="5" t="s">
        <v>46</v>
      </c>
      <c r="D3520" s="21">
        <v>3</v>
      </c>
      <c r="E3520" s="12">
        <v>447</v>
      </c>
      <c r="F3520" s="10" t="str">
        <f>_xlfn.XLOOKUP(C3520,menu!A:A,menu!B:B)</f>
        <v>Fish Finger</v>
      </c>
      <c r="G3520" s="10" t="str">
        <f>_xlfn.XLOOKUP(C3520,menu!A:A,menu!C:C)</f>
        <v>Starters</v>
      </c>
      <c r="H3520" s="10">
        <f>_xlfn.XLOOKUP(C3520,menu!A:A,menu!E:E)</f>
        <v>45</v>
      </c>
      <c r="I3520" s="10">
        <f t="shared" si="54"/>
        <v>135</v>
      </c>
      <c r="K3520" s="10"/>
      <c r="L3520" s="5"/>
    </row>
    <row r="3521" spans="1:12" x14ac:dyDescent="0.25">
      <c r="A3521" s="5" t="s">
        <v>2373</v>
      </c>
      <c r="B3521" s="5" t="s">
        <v>2372</v>
      </c>
      <c r="C3521" s="5" t="s">
        <v>10</v>
      </c>
      <c r="D3521" s="21">
        <v>1</v>
      </c>
      <c r="E3521" s="12">
        <v>119</v>
      </c>
      <c r="F3521" s="10" t="str">
        <f>_xlfn.XLOOKUP(C3521,menu!A:A,menu!B:B)</f>
        <v>Chicken Sandwich</v>
      </c>
      <c r="G3521" s="10" t="str">
        <f>_xlfn.XLOOKUP(C3521,menu!A:A,menu!C:C)</f>
        <v>Sandwich</v>
      </c>
      <c r="H3521" s="10">
        <f>_xlfn.XLOOKUP(C3521,menu!A:A,menu!E:E)</f>
        <v>36</v>
      </c>
      <c r="I3521" s="10">
        <f t="shared" si="54"/>
        <v>36</v>
      </c>
      <c r="K3521" s="10"/>
      <c r="L3521" s="5"/>
    </row>
    <row r="3522" spans="1:12" x14ac:dyDescent="0.25">
      <c r="A3522" s="5" t="s">
        <v>2371</v>
      </c>
      <c r="B3522" s="5" t="s">
        <v>2369</v>
      </c>
      <c r="C3522" s="5" t="s">
        <v>19</v>
      </c>
      <c r="D3522" s="21">
        <v>5</v>
      </c>
      <c r="E3522" s="12">
        <v>395</v>
      </c>
      <c r="F3522" s="10" t="str">
        <f>_xlfn.XLOOKUP(C3522,menu!A:A,menu!B:B)</f>
        <v>Veg Burger</v>
      </c>
      <c r="G3522" s="10" t="str">
        <f>_xlfn.XLOOKUP(C3522,menu!A:A,menu!C:C)</f>
        <v>Burger</v>
      </c>
      <c r="H3522" s="10">
        <f>_xlfn.XLOOKUP(C3522,menu!A:A,menu!E:E)</f>
        <v>24</v>
      </c>
      <c r="I3522" s="10">
        <f t="shared" si="54"/>
        <v>120</v>
      </c>
      <c r="K3522" s="10"/>
      <c r="L3522" s="5"/>
    </row>
    <row r="3523" spans="1:12" x14ac:dyDescent="0.25">
      <c r="A3523" s="5" t="s">
        <v>2370</v>
      </c>
      <c r="B3523" s="5" t="s">
        <v>2369</v>
      </c>
      <c r="C3523" s="5" t="s">
        <v>46</v>
      </c>
      <c r="D3523" s="21">
        <v>1</v>
      </c>
      <c r="E3523" s="12">
        <v>149</v>
      </c>
      <c r="F3523" s="10" t="str">
        <f>_xlfn.XLOOKUP(C3523,menu!A:A,menu!B:B)</f>
        <v>Fish Finger</v>
      </c>
      <c r="G3523" s="10" t="str">
        <f>_xlfn.XLOOKUP(C3523,menu!A:A,menu!C:C)</f>
        <v>Starters</v>
      </c>
      <c r="H3523" s="10">
        <f>_xlfn.XLOOKUP(C3523,menu!A:A,menu!E:E)</f>
        <v>45</v>
      </c>
      <c r="I3523" s="10">
        <f t="shared" ref="I3523:I3586" si="55">D3523*H3523</f>
        <v>45</v>
      </c>
      <c r="K3523" s="10"/>
      <c r="L3523" s="5"/>
    </row>
    <row r="3524" spans="1:12" x14ac:dyDescent="0.25">
      <c r="A3524" s="5" t="s">
        <v>2368</v>
      </c>
      <c r="B3524" s="5" t="s">
        <v>2366</v>
      </c>
      <c r="C3524" s="5" t="s">
        <v>54</v>
      </c>
      <c r="D3524" s="21">
        <v>1</v>
      </c>
      <c r="E3524" s="12">
        <v>139</v>
      </c>
      <c r="F3524" s="10" t="str">
        <f>_xlfn.XLOOKUP(C3524,menu!A:A,menu!B:B)</f>
        <v>Chicken Strips</v>
      </c>
      <c r="G3524" s="10" t="str">
        <f>_xlfn.XLOOKUP(C3524,menu!A:A,menu!C:C)</f>
        <v>Starters</v>
      </c>
      <c r="H3524" s="10">
        <f>_xlfn.XLOOKUP(C3524,menu!A:A,menu!E:E)</f>
        <v>42</v>
      </c>
      <c r="I3524" s="10">
        <f t="shared" si="55"/>
        <v>42</v>
      </c>
      <c r="K3524" s="10"/>
      <c r="L3524" s="5"/>
    </row>
    <row r="3525" spans="1:12" x14ac:dyDescent="0.25">
      <c r="A3525" s="5" t="s">
        <v>2367</v>
      </c>
      <c r="B3525" s="5" t="s">
        <v>2366</v>
      </c>
      <c r="C3525" s="5" t="s">
        <v>44</v>
      </c>
      <c r="D3525" s="21">
        <v>1</v>
      </c>
      <c r="E3525" s="12">
        <v>159</v>
      </c>
      <c r="F3525" s="10" t="str">
        <f>_xlfn.XLOOKUP(C3525,menu!A:A,menu!B:B)</f>
        <v>Fried Chicken</v>
      </c>
      <c r="G3525" s="10" t="str">
        <f>_xlfn.XLOOKUP(C3525,menu!A:A,menu!C:C)</f>
        <v>Starters</v>
      </c>
      <c r="H3525" s="10">
        <f>_xlfn.XLOOKUP(C3525,menu!A:A,menu!E:E)</f>
        <v>48</v>
      </c>
      <c r="I3525" s="10">
        <f t="shared" si="55"/>
        <v>48</v>
      </c>
      <c r="K3525" s="10"/>
      <c r="L3525" s="5"/>
    </row>
    <row r="3526" spans="1:12" x14ac:dyDescent="0.25">
      <c r="A3526" s="5" t="s">
        <v>2365</v>
      </c>
      <c r="B3526" s="5" t="s">
        <v>2363</v>
      </c>
      <c r="C3526" s="5" t="s">
        <v>5</v>
      </c>
      <c r="D3526" s="21">
        <v>1</v>
      </c>
      <c r="E3526" s="12">
        <v>79</v>
      </c>
      <c r="F3526" s="10" t="str">
        <f>_xlfn.XLOOKUP(C3526,menu!A:A,menu!B:B)</f>
        <v>Veg Sandwich</v>
      </c>
      <c r="G3526" s="10" t="str">
        <f>_xlfn.XLOOKUP(C3526,menu!A:A,menu!C:C)</f>
        <v>Sandwich</v>
      </c>
      <c r="H3526" s="10">
        <f>_xlfn.XLOOKUP(C3526,menu!A:A,menu!E:E)</f>
        <v>24</v>
      </c>
      <c r="I3526" s="10">
        <f t="shared" si="55"/>
        <v>24</v>
      </c>
      <c r="K3526" s="10"/>
      <c r="L3526" s="5"/>
    </row>
    <row r="3527" spans="1:12" x14ac:dyDescent="0.25">
      <c r="A3527" s="5" t="s">
        <v>2364</v>
      </c>
      <c r="B3527" s="5" t="s">
        <v>2363</v>
      </c>
      <c r="C3527" s="5" t="s">
        <v>46</v>
      </c>
      <c r="D3527" s="21">
        <v>2</v>
      </c>
      <c r="E3527" s="12">
        <v>298</v>
      </c>
      <c r="F3527" s="10" t="str">
        <f>_xlfn.XLOOKUP(C3527,menu!A:A,menu!B:B)</f>
        <v>Fish Finger</v>
      </c>
      <c r="G3527" s="10" t="str">
        <f>_xlfn.XLOOKUP(C3527,menu!A:A,menu!C:C)</f>
        <v>Starters</v>
      </c>
      <c r="H3527" s="10">
        <f>_xlfn.XLOOKUP(C3527,menu!A:A,menu!E:E)</f>
        <v>45</v>
      </c>
      <c r="I3527" s="10">
        <f t="shared" si="55"/>
        <v>90</v>
      </c>
      <c r="K3527" s="10"/>
      <c r="L3527" s="5"/>
    </row>
    <row r="3528" spans="1:12" x14ac:dyDescent="0.25">
      <c r="A3528" s="5" t="s">
        <v>2362</v>
      </c>
      <c r="B3528" s="5" t="s">
        <v>2360</v>
      </c>
      <c r="C3528" s="5" t="s">
        <v>10</v>
      </c>
      <c r="D3528" s="21">
        <v>1</v>
      </c>
      <c r="E3528" s="12">
        <v>119</v>
      </c>
      <c r="F3528" s="10" t="str">
        <f>_xlfn.XLOOKUP(C3528,menu!A:A,menu!B:B)</f>
        <v>Chicken Sandwich</v>
      </c>
      <c r="G3528" s="10" t="str">
        <f>_xlfn.XLOOKUP(C3528,menu!A:A,menu!C:C)</f>
        <v>Sandwich</v>
      </c>
      <c r="H3528" s="10">
        <f>_xlfn.XLOOKUP(C3528,menu!A:A,menu!E:E)</f>
        <v>36</v>
      </c>
      <c r="I3528" s="10">
        <f t="shared" si="55"/>
        <v>36</v>
      </c>
      <c r="K3528" s="10"/>
      <c r="L3528" s="5"/>
    </row>
    <row r="3529" spans="1:12" x14ac:dyDescent="0.25">
      <c r="A3529" s="5" t="s">
        <v>2361</v>
      </c>
      <c r="B3529" s="5" t="s">
        <v>2360</v>
      </c>
      <c r="C3529" s="5" t="s">
        <v>42</v>
      </c>
      <c r="D3529" s="21">
        <v>2</v>
      </c>
      <c r="E3529" s="12">
        <v>298</v>
      </c>
      <c r="F3529" s="10" t="str">
        <f>_xlfn.XLOOKUP(C3529,menu!A:A,menu!B:B)</f>
        <v>Chicken Popcorn</v>
      </c>
      <c r="G3529" s="10" t="str">
        <f>_xlfn.XLOOKUP(C3529,menu!A:A,menu!C:C)</f>
        <v>Starters</v>
      </c>
      <c r="H3529" s="10">
        <f>_xlfn.XLOOKUP(C3529,menu!A:A,menu!E:E)</f>
        <v>45</v>
      </c>
      <c r="I3529" s="10">
        <f t="shared" si="55"/>
        <v>90</v>
      </c>
      <c r="K3529" s="10"/>
      <c r="L3529" s="5"/>
    </row>
    <row r="3530" spans="1:12" x14ac:dyDescent="0.25">
      <c r="A3530" s="5" t="s">
        <v>2359</v>
      </c>
      <c r="B3530" s="5" t="s">
        <v>2355</v>
      </c>
      <c r="C3530" s="5" t="s">
        <v>42</v>
      </c>
      <c r="D3530" s="21">
        <v>2</v>
      </c>
      <c r="E3530" s="12">
        <v>298</v>
      </c>
      <c r="F3530" s="10" t="str">
        <f>_xlfn.XLOOKUP(C3530,menu!A:A,menu!B:B)</f>
        <v>Chicken Popcorn</v>
      </c>
      <c r="G3530" s="10" t="str">
        <f>_xlfn.XLOOKUP(C3530,menu!A:A,menu!C:C)</f>
        <v>Starters</v>
      </c>
      <c r="H3530" s="10">
        <f>_xlfn.XLOOKUP(C3530,menu!A:A,menu!E:E)</f>
        <v>45</v>
      </c>
      <c r="I3530" s="10">
        <f t="shared" si="55"/>
        <v>90</v>
      </c>
      <c r="K3530" s="10"/>
      <c r="L3530" s="5"/>
    </row>
    <row r="3531" spans="1:12" x14ac:dyDescent="0.25">
      <c r="A3531" s="5" t="s">
        <v>2358</v>
      </c>
      <c r="B3531" s="5" t="s">
        <v>2355</v>
      </c>
      <c r="C3531" s="5" t="s">
        <v>8</v>
      </c>
      <c r="D3531" s="21">
        <v>1</v>
      </c>
      <c r="E3531" s="12">
        <v>99</v>
      </c>
      <c r="F3531" s="10" t="str">
        <f>_xlfn.XLOOKUP(C3531,menu!A:A,menu!B:B)</f>
        <v>Paneer Sandwich</v>
      </c>
      <c r="G3531" s="10" t="str">
        <f>_xlfn.XLOOKUP(C3531,menu!A:A,menu!C:C)</f>
        <v>Sandwich</v>
      </c>
      <c r="H3531" s="10">
        <f>_xlfn.XLOOKUP(C3531,menu!A:A,menu!E:E)</f>
        <v>30</v>
      </c>
      <c r="I3531" s="10">
        <f t="shared" si="55"/>
        <v>30</v>
      </c>
      <c r="K3531" s="10"/>
      <c r="L3531" s="5"/>
    </row>
    <row r="3532" spans="1:12" x14ac:dyDescent="0.25">
      <c r="A3532" s="5" t="s">
        <v>2357</v>
      </c>
      <c r="B3532" s="5" t="s">
        <v>2355</v>
      </c>
      <c r="C3532" s="5" t="s">
        <v>26</v>
      </c>
      <c r="D3532" s="21">
        <v>2</v>
      </c>
      <c r="E3532" s="12">
        <v>118</v>
      </c>
      <c r="F3532" s="10" t="str">
        <f>_xlfn.XLOOKUP(C3532,menu!A:A,menu!B:B)</f>
        <v>Veg Roll</v>
      </c>
      <c r="G3532" s="10" t="str">
        <f>_xlfn.XLOOKUP(C3532,menu!A:A,menu!C:C)</f>
        <v>Rolls</v>
      </c>
      <c r="H3532" s="10">
        <f>_xlfn.XLOOKUP(C3532,menu!A:A,menu!E:E)</f>
        <v>18</v>
      </c>
      <c r="I3532" s="10">
        <f t="shared" si="55"/>
        <v>36</v>
      </c>
      <c r="K3532" s="10"/>
      <c r="L3532" s="5"/>
    </row>
    <row r="3533" spans="1:12" x14ac:dyDescent="0.25">
      <c r="A3533" s="5" t="s">
        <v>2356</v>
      </c>
      <c r="B3533" s="5" t="s">
        <v>2355</v>
      </c>
      <c r="C3533" s="5" t="s">
        <v>61</v>
      </c>
      <c r="D3533" s="21">
        <v>1</v>
      </c>
      <c r="E3533" s="12">
        <v>79</v>
      </c>
      <c r="F3533" s="10" t="str">
        <f>_xlfn.XLOOKUP(C3533,menu!A:A,menu!B:B)</f>
        <v>Watermelon Mojito</v>
      </c>
      <c r="G3533" s="10" t="str">
        <f>_xlfn.XLOOKUP(C3533,menu!A:A,menu!C:C)</f>
        <v>Beverages</v>
      </c>
      <c r="H3533" s="10">
        <f>_xlfn.XLOOKUP(C3533,menu!A:A,menu!E:E)</f>
        <v>24</v>
      </c>
      <c r="I3533" s="10">
        <f t="shared" si="55"/>
        <v>24</v>
      </c>
      <c r="K3533" s="10"/>
      <c r="L3533" s="5"/>
    </row>
    <row r="3534" spans="1:12" x14ac:dyDescent="0.25">
      <c r="A3534" s="5" t="s">
        <v>2354</v>
      </c>
      <c r="B3534" s="5" t="s">
        <v>2350</v>
      </c>
      <c r="C3534" s="5" t="s">
        <v>19</v>
      </c>
      <c r="D3534" s="21">
        <v>1</v>
      </c>
      <c r="E3534" s="12">
        <v>79</v>
      </c>
      <c r="F3534" s="10" t="str">
        <f>_xlfn.XLOOKUP(C3534,menu!A:A,menu!B:B)</f>
        <v>Veg Burger</v>
      </c>
      <c r="G3534" s="10" t="str">
        <f>_xlfn.XLOOKUP(C3534,menu!A:A,menu!C:C)</f>
        <v>Burger</v>
      </c>
      <c r="H3534" s="10">
        <f>_xlfn.XLOOKUP(C3534,menu!A:A,menu!E:E)</f>
        <v>24</v>
      </c>
      <c r="I3534" s="10">
        <f t="shared" si="55"/>
        <v>24</v>
      </c>
      <c r="K3534" s="10"/>
      <c r="L3534" s="5"/>
    </row>
    <row r="3535" spans="1:12" x14ac:dyDescent="0.25">
      <c r="A3535" s="5" t="s">
        <v>2353</v>
      </c>
      <c r="B3535" s="5" t="s">
        <v>2350</v>
      </c>
      <c r="C3535" s="5" t="s">
        <v>35</v>
      </c>
      <c r="D3535" s="21">
        <v>2</v>
      </c>
      <c r="E3535" s="12">
        <v>238</v>
      </c>
      <c r="F3535" s="10" t="str">
        <f>_xlfn.XLOOKUP(C3535,menu!A:A,menu!B:B)</f>
        <v>Chicken Nuggets</v>
      </c>
      <c r="G3535" s="10" t="str">
        <f>_xlfn.XLOOKUP(C3535,menu!A:A,menu!C:C)</f>
        <v>Starters</v>
      </c>
      <c r="H3535" s="10">
        <f>_xlfn.XLOOKUP(C3535,menu!A:A,menu!E:E)</f>
        <v>36</v>
      </c>
      <c r="I3535" s="10">
        <f t="shared" si="55"/>
        <v>72</v>
      </c>
      <c r="K3535" s="10"/>
      <c r="L3535" s="5"/>
    </row>
    <row r="3536" spans="1:12" x14ac:dyDescent="0.25">
      <c r="A3536" s="5" t="s">
        <v>2352</v>
      </c>
      <c r="B3536" s="5" t="s">
        <v>2350</v>
      </c>
      <c r="C3536" s="5" t="s">
        <v>61</v>
      </c>
      <c r="D3536" s="21">
        <v>2</v>
      </c>
      <c r="E3536" s="12">
        <v>158</v>
      </c>
      <c r="F3536" s="10" t="str">
        <f>_xlfn.XLOOKUP(C3536,menu!A:A,menu!B:B)</f>
        <v>Watermelon Mojito</v>
      </c>
      <c r="G3536" s="10" t="str">
        <f>_xlfn.XLOOKUP(C3536,menu!A:A,menu!C:C)</f>
        <v>Beverages</v>
      </c>
      <c r="H3536" s="10">
        <f>_xlfn.XLOOKUP(C3536,menu!A:A,menu!E:E)</f>
        <v>24</v>
      </c>
      <c r="I3536" s="10">
        <f t="shared" si="55"/>
        <v>48</v>
      </c>
      <c r="K3536" s="10"/>
      <c r="L3536" s="5"/>
    </row>
    <row r="3537" spans="1:12" x14ac:dyDescent="0.25">
      <c r="A3537" s="5" t="s">
        <v>2351</v>
      </c>
      <c r="B3537" s="5" t="s">
        <v>2350</v>
      </c>
      <c r="C3537" s="5" t="s">
        <v>38</v>
      </c>
      <c r="D3537" s="21">
        <v>1</v>
      </c>
      <c r="E3537" s="12">
        <v>149</v>
      </c>
      <c r="F3537" s="10" t="str">
        <f>_xlfn.XLOOKUP(C3537,menu!A:A,menu!B:B)</f>
        <v>Chicken Wings</v>
      </c>
      <c r="G3537" s="10" t="str">
        <f>_xlfn.XLOOKUP(C3537,menu!A:A,menu!C:C)</f>
        <v>Starters</v>
      </c>
      <c r="H3537" s="10">
        <f>_xlfn.XLOOKUP(C3537,menu!A:A,menu!E:E)</f>
        <v>45</v>
      </c>
      <c r="I3537" s="10">
        <f t="shared" si="55"/>
        <v>45</v>
      </c>
      <c r="K3537" s="10"/>
      <c r="L3537" s="5"/>
    </row>
    <row r="3538" spans="1:12" x14ac:dyDescent="0.25">
      <c r="A3538" s="5" t="s">
        <v>2349</v>
      </c>
      <c r="B3538" s="5" t="s">
        <v>2347</v>
      </c>
      <c r="C3538" s="5" t="s">
        <v>19</v>
      </c>
      <c r="D3538" s="21">
        <v>1</v>
      </c>
      <c r="E3538" s="12">
        <v>79</v>
      </c>
      <c r="F3538" s="10" t="str">
        <f>_xlfn.XLOOKUP(C3538,menu!A:A,menu!B:B)</f>
        <v>Veg Burger</v>
      </c>
      <c r="G3538" s="10" t="str">
        <f>_xlfn.XLOOKUP(C3538,menu!A:A,menu!C:C)</f>
        <v>Burger</v>
      </c>
      <c r="H3538" s="10">
        <f>_xlfn.XLOOKUP(C3538,menu!A:A,menu!E:E)</f>
        <v>24</v>
      </c>
      <c r="I3538" s="10">
        <f t="shared" si="55"/>
        <v>24</v>
      </c>
      <c r="K3538" s="10"/>
      <c r="L3538" s="5"/>
    </row>
    <row r="3539" spans="1:12" x14ac:dyDescent="0.25">
      <c r="A3539" s="5" t="s">
        <v>2348</v>
      </c>
      <c r="B3539" s="5" t="s">
        <v>2347</v>
      </c>
      <c r="C3539" s="5" t="s">
        <v>52</v>
      </c>
      <c r="D3539" s="21">
        <v>1</v>
      </c>
      <c r="E3539" s="12">
        <v>99</v>
      </c>
      <c r="F3539" s="10" t="str">
        <f>_xlfn.XLOOKUP(C3539,menu!A:A,menu!B:B)</f>
        <v>French Fries</v>
      </c>
      <c r="G3539" s="10" t="str">
        <f>_xlfn.XLOOKUP(C3539,menu!A:A,menu!C:C)</f>
        <v>Starters</v>
      </c>
      <c r="H3539" s="10">
        <f>_xlfn.XLOOKUP(C3539,menu!A:A,menu!E:E)</f>
        <v>30</v>
      </c>
      <c r="I3539" s="10">
        <f t="shared" si="55"/>
        <v>30</v>
      </c>
      <c r="K3539" s="10"/>
      <c r="L3539" s="5"/>
    </row>
    <row r="3540" spans="1:12" x14ac:dyDescent="0.25">
      <c r="A3540" s="5" t="s">
        <v>2346</v>
      </c>
      <c r="B3540" s="5" t="s">
        <v>2343</v>
      </c>
      <c r="C3540" s="5" t="s">
        <v>5</v>
      </c>
      <c r="D3540" s="21">
        <v>2</v>
      </c>
      <c r="E3540" s="12">
        <v>158</v>
      </c>
      <c r="F3540" s="10" t="str">
        <f>_xlfn.XLOOKUP(C3540,menu!A:A,menu!B:B)</f>
        <v>Veg Sandwich</v>
      </c>
      <c r="G3540" s="10" t="str">
        <f>_xlfn.XLOOKUP(C3540,menu!A:A,menu!C:C)</f>
        <v>Sandwich</v>
      </c>
      <c r="H3540" s="10">
        <f>_xlfn.XLOOKUP(C3540,menu!A:A,menu!E:E)</f>
        <v>24</v>
      </c>
      <c r="I3540" s="10">
        <f t="shared" si="55"/>
        <v>48</v>
      </c>
      <c r="K3540" s="10"/>
      <c r="L3540" s="5"/>
    </row>
    <row r="3541" spans="1:12" x14ac:dyDescent="0.25">
      <c r="A3541" s="5" t="s">
        <v>2345</v>
      </c>
      <c r="B3541" s="5" t="s">
        <v>2343</v>
      </c>
      <c r="C3541" s="5" t="s">
        <v>15</v>
      </c>
      <c r="D3541" s="21">
        <v>1</v>
      </c>
      <c r="E3541" s="12">
        <v>99</v>
      </c>
      <c r="F3541" s="10" t="str">
        <f>_xlfn.XLOOKUP(C3541,menu!A:A,menu!B:B)</f>
        <v>Chicken Momos</v>
      </c>
      <c r="G3541" s="10" t="str">
        <f>_xlfn.XLOOKUP(C3541,menu!A:A,menu!C:C)</f>
        <v>Momos</v>
      </c>
      <c r="H3541" s="10">
        <f>_xlfn.XLOOKUP(C3541,menu!A:A,menu!E:E)</f>
        <v>30</v>
      </c>
      <c r="I3541" s="10">
        <f t="shared" si="55"/>
        <v>30</v>
      </c>
      <c r="K3541" s="10"/>
      <c r="L3541" s="5"/>
    </row>
    <row r="3542" spans="1:12" x14ac:dyDescent="0.25">
      <c r="A3542" s="5" t="s">
        <v>2344</v>
      </c>
      <c r="B3542" s="5" t="s">
        <v>2343</v>
      </c>
      <c r="C3542" s="5" t="s">
        <v>38</v>
      </c>
      <c r="D3542" s="21">
        <v>3</v>
      </c>
      <c r="E3542" s="12">
        <v>447</v>
      </c>
      <c r="F3542" s="10" t="str">
        <f>_xlfn.XLOOKUP(C3542,menu!A:A,menu!B:B)</f>
        <v>Chicken Wings</v>
      </c>
      <c r="G3542" s="10" t="str">
        <f>_xlfn.XLOOKUP(C3542,menu!A:A,menu!C:C)</f>
        <v>Starters</v>
      </c>
      <c r="H3542" s="10">
        <f>_xlfn.XLOOKUP(C3542,menu!A:A,menu!E:E)</f>
        <v>45</v>
      </c>
      <c r="I3542" s="10">
        <f t="shared" si="55"/>
        <v>135</v>
      </c>
      <c r="K3542" s="10"/>
      <c r="L3542" s="5"/>
    </row>
    <row r="3543" spans="1:12" x14ac:dyDescent="0.25">
      <c r="A3543" s="5" t="s">
        <v>2342</v>
      </c>
      <c r="B3543" s="5" t="s">
        <v>2341</v>
      </c>
      <c r="C3543" s="5" t="s">
        <v>8</v>
      </c>
      <c r="D3543" s="21">
        <v>2</v>
      </c>
      <c r="E3543" s="12">
        <v>198</v>
      </c>
      <c r="F3543" s="10" t="str">
        <f>_xlfn.XLOOKUP(C3543,menu!A:A,menu!B:B)</f>
        <v>Paneer Sandwich</v>
      </c>
      <c r="G3543" s="10" t="str">
        <f>_xlfn.XLOOKUP(C3543,menu!A:A,menu!C:C)</f>
        <v>Sandwich</v>
      </c>
      <c r="H3543" s="10">
        <f>_xlfn.XLOOKUP(C3543,menu!A:A,menu!E:E)</f>
        <v>30</v>
      </c>
      <c r="I3543" s="10">
        <f t="shared" si="55"/>
        <v>60</v>
      </c>
      <c r="K3543" s="10"/>
      <c r="L3543" s="5"/>
    </row>
    <row r="3544" spans="1:12" x14ac:dyDescent="0.25">
      <c r="A3544" s="5" t="s">
        <v>2340</v>
      </c>
      <c r="B3544" s="5" t="s">
        <v>2336</v>
      </c>
      <c r="C3544" s="5" t="s">
        <v>24</v>
      </c>
      <c r="D3544" s="21">
        <v>2</v>
      </c>
      <c r="E3544" s="12">
        <v>178</v>
      </c>
      <c r="F3544" s="10" t="str">
        <f>_xlfn.XLOOKUP(C3544,menu!A:A,menu!B:B)</f>
        <v>Paneer Burger</v>
      </c>
      <c r="G3544" s="10" t="str">
        <f>_xlfn.XLOOKUP(C3544,menu!A:A,menu!C:C)</f>
        <v>Burger</v>
      </c>
      <c r="H3544" s="10">
        <f>_xlfn.XLOOKUP(C3544,menu!A:A,menu!E:E)</f>
        <v>27</v>
      </c>
      <c r="I3544" s="10">
        <f t="shared" si="55"/>
        <v>54</v>
      </c>
      <c r="K3544" s="10"/>
      <c r="L3544" s="5"/>
    </row>
    <row r="3545" spans="1:12" x14ac:dyDescent="0.25">
      <c r="A3545" s="5" t="s">
        <v>2339</v>
      </c>
      <c r="B3545" s="5" t="s">
        <v>2336</v>
      </c>
      <c r="C3545" s="5" t="s">
        <v>35</v>
      </c>
      <c r="D3545" s="21">
        <v>2</v>
      </c>
      <c r="E3545" s="12">
        <v>238</v>
      </c>
      <c r="F3545" s="10" t="str">
        <f>_xlfn.XLOOKUP(C3545,menu!A:A,menu!B:B)</f>
        <v>Chicken Nuggets</v>
      </c>
      <c r="G3545" s="10" t="str">
        <f>_xlfn.XLOOKUP(C3545,menu!A:A,menu!C:C)</f>
        <v>Starters</v>
      </c>
      <c r="H3545" s="10">
        <f>_xlfn.XLOOKUP(C3545,menu!A:A,menu!E:E)</f>
        <v>36</v>
      </c>
      <c r="I3545" s="10">
        <f t="shared" si="55"/>
        <v>72</v>
      </c>
      <c r="K3545" s="10"/>
      <c r="L3545" s="5"/>
    </row>
    <row r="3546" spans="1:12" x14ac:dyDescent="0.25">
      <c r="A3546" s="5" t="s">
        <v>2338</v>
      </c>
      <c r="B3546" s="5" t="s">
        <v>2336</v>
      </c>
      <c r="C3546" s="5" t="s">
        <v>26</v>
      </c>
      <c r="D3546" s="21">
        <v>1</v>
      </c>
      <c r="E3546" s="12">
        <v>59</v>
      </c>
      <c r="F3546" s="10" t="str">
        <f>_xlfn.XLOOKUP(C3546,menu!A:A,menu!B:B)</f>
        <v>Veg Roll</v>
      </c>
      <c r="G3546" s="10" t="str">
        <f>_xlfn.XLOOKUP(C3546,menu!A:A,menu!C:C)</f>
        <v>Rolls</v>
      </c>
      <c r="H3546" s="10">
        <f>_xlfn.XLOOKUP(C3546,menu!A:A,menu!E:E)</f>
        <v>18</v>
      </c>
      <c r="I3546" s="10">
        <f t="shared" si="55"/>
        <v>18</v>
      </c>
      <c r="K3546" s="10"/>
      <c r="L3546" s="5"/>
    </row>
    <row r="3547" spans="1:12" x14ac:dyDescent="0.25">
      <c r="A3547" s="5" t="s">
        <v>2337</v>
      </c>
      <c r="B3547" s="5" t="s">
        <v>2336</v>
      </c>
      <c r="C3547" s="5" t="s">
        <v>48</v>
      </c>
      <c r="D3547" s="21">
        <v>4</v>
      </c>
      <c r="E3547" s="12">
        <v>636</v>
      </c>
      <c r="F3547" s="10" t="str">
        <f>_xlfn.XLOOKUP(C3547,menu!A:A,menu!B:B)</f>
        <v>Chicken Lollipop</v>
      </c>
      <c r="G3547" s="10" t="str">
        <f>_xlfn.XLOOKUP(C3547,menu!A:A,menu!C:C)</f>
        <v>Starters</v>
      </c>
      <c r="H3547" s="10">
        <f>_xlfn.XLOOKUP(C3547,menu!A:A,menu!E:E)</f>
        <v>48</v>
      </c>
      <c r="I3547" s="10">
        <f t="shared" si="55"/>
        <v>192</v>
      </c>
      <c r="K3547" s="10"/>
      <c r="L3547" s="5"/>
    </row>
    <row r="3548" spans="1:12" x14ac:dyDescent="0.25">
      <c r="A3548" s="5" t="s">
        <v>2335</v>
      </c>
      <c r="B3548" s="5" t="s">
        <v>2332</v>
      </c>
      <c r="C3548" s="5" t="s">
        <v>22</v>
      </c>
      <c r="D3548" s="21">
        <v>1</v>
      </c>
      <c r="E3548" s="12">
        <v>99</v>
      </c>
      <c r="F3548" s="10" t="str">
        <f>_xlfn.XLOOKUP(C3548,menu!A:A,menu!B:B)</f>
        <v>Chicken Burger</v>
      </c>
      <c r="G3548" s="10" t="str">
        <f>_xlfn.XLOOKUP(C3548,menu!A:A,menu!C:C)</f>
        <v>Burger</v>
      </c>
      <c r="H3548" s="10">
        <f>_xlfn.XLOOKUP(C3548,menu!A:A,menu!E:E)</f>
        <v>30</v>
      </c>
      <c r="I3548" s="10">
        <f t="shared" si="55"/>
        <v>30</v>
      </c>
      <c r="K3548" s="10"/>
      <c r="L3548" s="5"/>
    </row>
    <row r="3549" spans="1:12" x14ac:dyDescent="0.25">
      <c r="A3549" s="5" t="s">
        <v>2334</v>
      </c>
      <c r="B3549" s="5" t="s">
        <v>2332</v>
      </c>
      <c r="C3549" s="5" t="s">
        <v>59</v>
      </c>
      <c r="D3549" s="21">
        <v>3</v>
      </c>
      <c r="E3549" s="12">
        <v>237</v>
      </c>
      <c r="F3549" s="10" t="str">
        <f>_xlfn.XLOOKUP(C3549,menu!A:A,menu!B:B)</f>
        <v>Blue Curacao Mojito</v>
      </c>
      <c r="G3549" s="10" t="str">
        <f>_xlfn.XLOOKUP(C3549,menu!A:A,menu!C:C)</f>
        <v>Beverages</v>
      </c>
      <c r="H3549" s="10">
        <f>_xlfn.XLOOKUP(C3549,menu!A:A,menu!E:E)</f>
        <v>24</v>
      </c>
      <c r="I3549" s="10">
        <f t="shared" si="55"/>
        <v>72</v>
      </c>
      <c r="K3549" s="10"/>
      <c r="L3549" s="5"/>
    </row>
    <row r="3550" spans="1:12" x14ac:dyDescent="0.25">
      <c r="A3550" s="5" t="s">
        <v>2333</v>
      </c>
      <c r="B3550" s="5" t="s">
        <v>2332</v>
      </c>
      <c r="C3550" s="5" t="s">
        <v>38</v>
      </c>
      <c r="D3550" s="21">
        <v>4</v>
      </c>
      <c r="E3550" s="12">
        <v>596</v>
      </c>
      <c r="F3550" s="10" t="str">
        <f>_xlfn.XLOOKUP(C3550,menu!A:A,menu!B:B)</f>
        <v>Chicken Wings</v>
      </c>
      <c r="G3550" s="10" t="str">
        <f>_xlfn.XLOOKUP(C3550,menu!A:A,menu!C:C)</f>
        <v>Starters</v>
      </c>
      <c r="H3550" s="10">
        <f>_xlfn.XLOOKUP(C3550,menu!A:A,menu!E:E)</f>
        <v>45</v>
      </c>
      <c r="I3550" s="10">
        <f t="shared" si="55"/>
        <v>180</v>
      </c>
      <c r="K3550" s="10"/>
      <c r="L3550" s="5"/>
    </row>
    <row r="3551" spans="1:12" x14ac:dyDescent="0.25">
      <c r="A3551" s="5" t="s">
        <v>2331</v>
      </c>
      <c r="B3551" s="5" t="s">
        <v>2329</v>
      </c>
      <c r="C3551" s="5" t="s">
        <v>12</v>
      </c>
      <c r="D3551" s="21">
        <v>5</v>
      </c>
      <c r="E3551" s="12">
        <v>395</v>
      </c>
      <c r="F3551" s="10" t="str">
        <f>_xlfn.XLOOKUP(C3551,menu!A:A,menu!B:B)</f>
        <v>Veg Momos</v>
      </c>
      <c r="G3551" s="10" t="str">
        <f>_xlfn.XLOOKUP(C3551,menu!A:A,menu!C:C)</f>
        <v>Momos</v>
      </c>
      <c r="H3551" s="10">
        <f>_xlfn.XLOOKUP(C3551,menu!A:A,menu!E:E)</f>
        <v>24</v>
      </c>
      <c r="I3551" s="10">
        <f t="shared" si="55"/>
        <v>120</v>
      </c>
      <c r="K3551" s="10"/>
      <c r="L3551" s="5"/>
    </row>
    <row r="3552" spans="1:12" x14ac:dyDescent="0.25">
      <c r="A3552" s="5" t="s">
        <v>2330</v>
      </c>
      <c r="B3552" s="5" t="s">
        <v>2329</v>
      </c>
      <c r="C3552" s="5" t="s">
        <v>50</v>
      </c>
      <c r="D3552" s="21">
        <v>1</v>
      </c>
      <c r="E3552" s="12">
        <v>149</v>
      </c>
      <c r="F3552" s="10" t="str">
        <f>_xlfn.XLOOKUP(C3552,menu!A:A,menu!B:B)</f>
        <v>Grab Lollipop</v>
      </c>
      <c r="G3552" s="10" t="str">
        <f>_xlfn.XLOOKUP(C3552,menu!A:A,menu!C:C)</f>
        <v>Starters</v>
      </c>
      <c r="H3552" s="10">
        <f>_xlfn.XLOOKUP(C3552,menu!A:A,menu!E:E)</f>
        <v>45</v>
      </c>
      <c r="I3552" s="10">
        <f t="shared" si="55"/>
        <v>45</v>
      </c>
      <c r="K3552" s="10"/>
      <c r="L3552" s="5"/>
    </row>
    <row r="3553" spans="1:12" x14ac:dyDescent="0.25">
      <c r="A3553" s="5" t="s">
        <v>2328</v>
      </c>
      <c r="B3553" s="5" t="s">
        <v>2325</v>
      </c>
      <c r="C3553" s="5" t="s">
        <v>26</v>
      </c>
      <c r="D3553" s="21">
        <v>4</v>
      </c>
      <c r="E3553" s="12">
        <v>236</v>
      </c>
      <c r="F3553" s="10" t="str">
        <f>_xlfn.XLOOKUP(C3553,menu!A:A,menu!B:B)</f>
        <v>Veg Roll</v>
      </c>
      <c r="G3553" s="10" t="str">
        <f>_xlfn.XLOOKUP(C3553,menu!A:A,menu!C:C)</f>
        <v>Rolls</v>
      </c>
      <c r="H3553" s="10">
        <f>_xlfn.XLOOKUP(C3553,menu!A:A,menu!E:E)</f>
        <v>18</v>
      </c>
      <c r="I3553" s="10">
        <f t="shared" si="55"/>
        <v>72</v>
      </c>
      <c r="K3553" s="10"/>
      <c r="L3553" s="5"/>
    </row>
    <row r="3554" spans="1:12" x14ac:dyDescent="0.25">
      <c r="A3554" s="5" t="s">
        <v>2327</v>
      </c>
      <c r="B3554" s="5" t="s">
        <v>2325</v>
      </c>
      <c r="C3554" s="5" t="s">
        <v>59</v>
      </c>
      <c r="D3554" s="21">
        <v>1</v>
      </c>
      <c r="E3554" s="12">
        <v>79</v>
      </c>
      <c r="F3554" s="10" t="str">
        <f>_xlfn.XLOOKUP(C3554,menu!A:A,menu!B:B)</f>
        <v>Blue Curacao Mojito</v>
      </c>
      <c r="G3554" s="10" t="str">
        <f>_xlfn.XLOOKUP(C3554,menu!A:A,menu!C:C)</f>
        <v>Beverages</v>
      </c>
      <c r="H3554" s="10">
        <f>_xlfn.XLOOKUP(C3554,menu!A:A,menu!E:E)</f>
        <v>24</v>
      </c>
      <c r="I3554" s="10">
        <f t="shared" si="55"/>
        <v>24</v>
      </c>
      <c r="K3554" s="10"/>
      <c r="L3554" s="5"/>
    </row>
    <row r="3555" spans="1:12" x14ac:dyDescent="0.25">
      <c r="A3555" s="5" t="s">
        <v>2326</v>
      </c>
      <c r="B3555" s="5" t="s">
        <v>2325</v>
      </c>
      <c r="C3555" s="5" t="s">
        <v>24</v>
      </c>
      <c r="D3555" s="21">
        <v>1</v>
      </c>
      <c r="E3555" s="12">
        <v>89</v>
      </c>
      <c r="F3555" s="10" t="str">
        <f>_xlfn.XLOOKUP(C3555,menu!A:A,menu!B:B)</f>
        <v>Paneer Burger</v>
      </c>
      <c r="G3555" s="10" t="str">
        <f>_xlfn.XLOOKUP(C3555,menu!A:A,menu!C:C)</f>
        <v>Burger</v>
      </c>
      <c r="H3555" s="10">
        <f>_xlfn.XLOOKUP(C3555,menu!A:A,menu!E:E)</f>
        <v>27</v>
      </c>
      <c r="I3555" s="10">
        <f t="shared" si="55"/>
        <v>27</v>
      </c>
      <c r="K3555" s="10"/>
      <c r="L3555" s="5"/>
    </row>
    <row r="3556" spans="1:12" x14ac:dyDescent="0.25">
      <c r="A3556" s="5" t="s">
        <v>2324</v>
      </c>
      <c r="B3556" s="5" t="s">
        <v>2320</v>
      </c>
      <c r="C3556" s="5" t="s">
        <v>63</v>
      </c>
      <c r="D3556" s="21">
        <v>1</v>
      </c>
      <c r="E3556" s="12">
        <v>79</v>
      </c>
      <c r="F3556" s="10" t="str">
        <f>_xlfn.XLOOKUP(C3556,menu!A:A,menu!B:B)</f>
        <v>Virgin Mojito</v>
      </c>
      <c r="G3556" s="10" t="str">
        <f>_xlfn.XLOOKUP(C3556,menu!A:A,menu!C:C)</f>
        <v>Beverages</v>
      </c>
      <c r="H3556" s="10">
        <f>_xlfn.XLOOKUP(C3556,menu!A:A,menu!E:E)</f>
        <v>24</v>
      </c>
      <c r="I3556" s="10">
        <f t="shared" si="55"/>
        <v>24</v>
      </c>
      <c r="K3556" s="10"/>
      <c r="L3556" s="5"/>
    </row>
    <row r="3557" spans="1:12" x14ac:dyDescent="0.25">
      <c r="A3557" s="5" t="s">
        <v>2323</v>
      </c>
      <c r="B3557" s="5" t="s">
        <v>2320</v>
      </c>
      <c r="C3557" s="5" t="s">
        <v>38</v>
      </c>
      <c r="D3557" s="21">
        <v>4</v>
      </c>
      <c r="E3557" s="12">
        <v>596</v>
      </c>
      <c r="F3557" s="10" t="str">
        <f>_xlfn.XLOOKUP(C3557,menu!A:A,menu!B:B)</f>
        <v>Chicken Wings</v>
      </c>
      <c r="G3557" s="10" t="str">
        <f>_xlfn.XLOOKUP(C3557,menu!A:A,menu!C:C)</f>
        <v>Starters</v>
      </c>
      <c r="H3557" s="10">
        <f>_xlfn.XLOOKUP(C3557,menu!A:A,menu!E:E)</f>
        <v>45</v>
      </c>
      <c r="I3557" s="10">
        <f t="shared" si="55"/>
        <v>180</v>
      </c>
      <c r="K3557" s="10"/>
      <c r="L3557" s="5"/>
    </row>
    <row r="3558" spans="1:12" x14ac:dyDescent="0.25">
      <c r="A3558" s="5" t="s">
        <v>2322</v>
      </c>
      <c r="B3558" s="5" t="s">
        <v>2320</v>
      </c>
      <c r="C3558" s="5" t="s">
        <v>24</v>
      </c>
      <c r="D3558" s="21">
        <v>2</v>
      </c>
      <c r="E3558" s="12">
        <v>178</v>
      </c>
      <c r="F3558" s="10" t="str">
        <f>_xlfn.XLOOKUP(C3558,menu!A:A,menu!B:B)</f>
        <v>Paneer Burger</v>
      </c>
      <c r="G3558" s="10" t="str">
        <f>_xlfn.XLOOKUP(C3558,menu!A:A,menu!C:C)</f>
        <v>Burger</v>
      </c>
      <c r="H3558" s="10">
        <f>_xlfn.XLOOKUP(C3558,menu!A:A,menu!E:E)</f>
        <v>27</v>
      </c>
      <c r="I3558" s="10">
        <f t="shared" si="55"/>
        <v>54</v>
      </c>
      <c r="K3558" s="10"/>
      <c r="L3558" s="5"/>
    </row>
    <row r="3559" spans="1:12" x14ac:dyDescent="0.25">
      <c r="A3559" s="5" t="s">
        <v>2321</v>
      </c>
      <c r="B3559" s="5" t="s">
        <v>2320</v>
      </c>
      <c r="C3559" s="5" t="s">
        <v>48</v>
      </c>
      <c r="D3559" s="21">
        <v>1</v>
      </c>
      <c r="E3559" s="12">
        <v>159</v>
      </c>
      <c r="F3559" s="10" t="str">
        <f>_xlfn.XLOOKUP(C3559,menu!A:A,menu!B:B)</f>
        <v>Chicken Lollipop</v>
      </c>
      <c r="G3559" s="10" t="str">
        <f>_xlfn.XLOOKUP(C3559,menu!A:A,menu!C:C)</f>
        <v>Starters</v>
      </c>
      <c r="H3559" s="10">
        <f>_xlfn.XLOOKUP(C3559,menu!A:A,menu!E:E)</f>
        <v>48</v>
      </c>
      <c r="I3559" s="10">
        <f t="shared" si="55"/>
        <v>48</v>
      </c>
      <c r="K3559" s="10"/>
      <c r="L3559" s="5"/>
    </row>
    <row r="3560" spans="1:12" x14ac:dyDescent="0.25">
      <c r="A3560" s="5" t="s">
        <v>2319</v>
      </c>
      <c r="B3560" s="5" t="s">
        <v>2316</v>
      </c>
      <c r="C3560" s="5" t="s">
        <v>35</v>
      </c>
      <c r="D3560" s="21">
        <v>1</v>
      </c>
      <c r="E3560" s="12">
        <v>119</v>
      </c>
      <c r="F3560" s="10" t="str">
        <f>_xlfn.XLOOKUP(C3560,menu!A:A,menu!B:B)</f>
        <v>Chicken Nuggets</v>
      </c>
      <c r="G3560" s="10" t="str">
        <f>_xlfn.XLOOKUP(C3560,menu!A:A,menu!C:C)</f>
        <v>Starters</v>
      </c>
      <c r="H3560" s="10">
        <f>_xlfn.XLOOKUP(C3560,menu!A:A,menu!E:E)</f>
        <v>36</v>
      </c>
      <c r="I3560" s="10">
        <f t="shared" si="55"/>
        <v>36</v>
      </c>
      <c r="K3560" s="10"/>
      <c r="L3560" s="5"/>
    </row>
    <row r="3561" spans="1:12" x14ac:dyDescent="0.25">
      <c r="A3561" s="5" t="s">
        <v>2318</v>
      </c>
      <c r="B3561" s="5" t="s">
        <v>2316</v>
      </c>
      <c r="C3561" s="5" t="s">
        <v>15</v>
      </c>
      <c r="D3561" s="21">
        <v>2</v>
      </c>
      <c r="E3561" s="12">
        <v>198</v>
      </c>
      <c r="F3561" s="10" t="str">
        <f>_xlfn.XLOOKUP(C3561,menu!A:A,menu!B:B)</f>
        <v>Chicken Momos</v>
      </c>
      <c r="G3561" s="10" t="str">
        <f>_xlfn.XLOOKUP(C3561,menu!A:A,menu!C:C)</f>
        <v>Momos</v>
      </c>
      <c r="H3561" s="10">
        <f>_xlfn.XLOOKUP(C3561,menu!A:A,menu!E:E)</f>
        <v>30</v>
      </c>
      <c r="I3561" s="10">
        <f t="shared" si="55"/>
        <v>60</v>
      </c>
      <c r="K3561" s="10"/>
      <c r="L3561" s="5"/>
    </row>
    <row r="3562" spans="1:12" x14ac:dyDescent="0.25">
      <c r="A3562" s="5" t="s">
        <v>2317</v>
      </c>
      <c r="B3562" s="5" t="s">
        <v>2316</v>
      </c>
      <c r="C3562" s="5" t="s">
        <v>44</v>
      </c>
      <c r="D3562" s="21">
        <v>5</v>
      </c>
      <c r="E3562" s="12">
        <v>795</v>
      </c>
      <c r="F3562" s="10" t="str">
        <f>_xlfn.XLOOKUP(C3562,menu!A:A,menu!B:B)</f>
        <v>Fried Chicken</v>
      </c>
      <c r="G3562" s="10" t="str">
        <f>_xlfn.XLOOKUP(C3562,menu!A:A,menu!C:C)</f>
        <v>Starters</v>
      </c>
      <c r="H3562" s="10">
        <f>_xlfn.XLOOKUP(C3562,menu!A:A,menu!E:E)</f>
        <v>48</v>
      </c>
      <c r="I3562" s="10">
        <f t="shared" si="55"/>
        <v>240</v>
      </c>
      <c r="K3562" s="10"/>
      <c r="L3562" s="5"/>
    </row>
    <row r="3563" spans="1:12" x14ac:dyDescent="0.25">
      <c r="A3563" s="5" t="s">
        <v>2315</v>
      </c>
      <c r="B3563" s="5" t="s">
        <v>2312</v>
      </c>
      <c r="C3563" s="5" t="s">
        <v>35</v>
      </c>
      <c r="D3563" s="21">
        <v>2</v>
      </c>
      <c r="E3563" s="12">
        <v>238</v>
      </c>
      <c r="F3563" s="10" t="str">
        <f>_xlfn.XLOOKUP(C3563,menu!A:A,menu!B:B)</f>
        <v>Chicken Nuggets</v>
      </c>
      <c r="G3563" s="10" t="str">
        <f>_xlfn.XLOOKUP(C3563,menu!A:A,menu!C:C)</f>
        <v>Starters</v>
      </c>
      <c r="H3563" s="10">
        <f>_xlfn.XLOOKUP(C3563,menu!A:A,menu!E:E)</f>
        <v>36</v>
      </c>
      <c r="I3563" s="10">
        <f t="shared" si="55"/>
        <v>72</v>
      </c>
      <c r="K3563" s="10"/>
      <c r="L3563" s="5"/>
    </row>
    <row r="3564" spans="1:12" x14ac:dyDescent="0.25">
      <c r="A3564" s="5" t="s">
        <v>2314</v>
      </c>
      <c r="B3564" s="5" t="s">
        <v>2312</v>
      </c>
      <c r="C3564" s="5" t="s">
        <v>65</v>
      </c>
      <c r="D3564" s="21">
        <v>5</v>
      </c>
      <c r="E3564" s="12">
        <v>245</v>
      </c>
      <c r="F3564" s="10" t="str">
        <f>_xlfn.XLOOKUP(C3564,menu!A:A,menu!B:B)</f>
        <v>Lemon Juice</v>
      </c>
      <c r="G3564" s="10" t="str">
        <f>_xlfn.XLOOKUP(C3564,menu!A:A,menu!C:C)</f>
        <v>Beverages</v>
      </c>
      <c r="H3564" s="10">
        <f>_xlfn.XLOOKUP(C3564,menu!A:A,menu!E:E)</f>
        <v>15</v>
      </c>
      <c r="I3564" s="10">
        <f t="shared" si="55"/>
        <v>75</v>
      </c>
      <c r="K3564" s="10"/>
      <c r="L3564" s="5"/>
    </row>
    <row r="3565" spans="1:12" x14ac:dyDescent="0.25">
      <c r="A3565" s="5" t="s">
        <v>2313</v>
      </c>
      <c r="B3565" s="5" t="s">
        <v>2312</v>
      </c>
      <c r="C3565" s="5" t="s">
        <v>31</v>
      </c>
      <c r="D3565" s="21">
        <v>5</v>
      </c>
      <c r="E3565" s="12">
        <v>445</v>
      </c>
      <c r="F3565" s="10" t="str">
        <f>_xlfn.XLOOKUP(C3565,menu!A:A,menu!B:B)</f>
        <v>Chicken Roll</v>
      </c>
      <c r="G3565" s="10" t="str">
        <f>_xlfn.XLOOKUP(C3565,menu!A:A,menu!C:C)</f>
        <v>Rolls</v>
      </c>
      <c r="H3565" s="10">
        <f>_xlfn.XLOOKUP(C3565,menu!A:A,menu!E:E)</f>
        <v>27</v>
      </c>
      <c r="I3565" s="10">
        <f t="shared" si="55"/>
        <v>135</v>
      </c>
      <c r="K3565" s="10"/>
      <c r="L3565" s="5"/>
    </row>
    <row r="3566" spans="1:12" x14ac:dyDescent="0.25">
      <c r="A3566" s="5" t="s">
        <v>2311</v>
      </c>
      <c r="B3566" s="5" t="s">
        <v>2308</v>
      </c>
      <c r="C3566" s="5" t="s">
        <v>40</v>
      </c>
      <c r="D3566" s="21">
        <v>5</v>
      </c>
      <c r="E3566" s="12">
        <v>495</v>
      </c>
      <c r="F3566" s="10" t="str">
        <f>_xlfn.XLOOKUP(C3566,menu!A:A,menu!B:B)</f>
        <v>Veg Nuggets</v>
      </c>
      <c r="G3566" s="10" t="str">
        <f>_xlfn.XLOOKUP(C3566,menu!A:A,menu!C:C)</f>
        <v>Starters</v>
      </c>
      <c r="H3566" s="10">
        <f>_xlfn.XLOOKUP(C3566,menu!A:A,menu!E:E)</f>
        <v>30</v>
      </c>
      <c r="I3566" s="10">
        <f t="shared" si="55"/>
        <v>150</v>
      </c>
      <c r="K3566" s="10"/>
      <c r="L3566" s="5"/>
    </row>
    <row r="3567" spans="1:12" x14ac:dyDescent="0.25">
      <c r="A3567" s="5" t="s">
        <v>2310</v>
      </c>
      <c r="B3567" s="5" t="s">
        <v>2308</v>
      </c>
      <c r="C3567" s="5" t="s">
        <v>56</v>
      </c>
      <c r="D3567" s="21">
        <v>3</v>
      </c>
      <c r="E3567" s="12">
        <v>237</v>
      </c>
      <c r="F3567" s="10" t="str">
        <f>_xlfn.XLOOKUP(C3567,menu!A:A,menu!B:B)</f>
        <v>Mint Mojito</v>
      </c>
      <c r="G3567" s="10" t="str">
        <f>_xlfn.XLOOKUP(C3567,menu!A:A,menu!C:C)</f>
        <v>Beverages</v>
      </c>
      <c r="H3567" s="10">
        <f>_xlfn.XLOOKUP(C3567,menu!A:A,menu!E:E)</f>
        <v>24</v>
      </c>
      <c r="I3567" s="10">
        <f t="shared" si="55"/>
        <v>72</v>
      </c>
      <c r="K3567" s="10"/>
      <c r="L3567" s="5"/>
    </row>
    <row r="3568" spans="1:12" x14ac:dyDescent="0.25">
      <c r="A3568" s="5" t="s">
        <v>2309</v>
      </c>
      <c r="B3568" s="5" t="s">
        <v>2308</v>
      </c>
      <c r="C3568" s="5" t="s">
        <v>31</v>
      </c>
      <c r="D3568" s="21">
        <v>3</v>
      </c>
      <c r="E3568" s="12">
        <v>267</v>
      </c>
      <c r="F3568" s="10" t="str">
        <f>_xlfn.XLOOKUP(C3568,menu!A:A,menu!B:B)</f>
        <v>Chicken Roll</v>
      </c>
      <c r="G3568" s="10" t="str">
        <f>_xlfn.XLOOKUP(C3568,menu!A:A,menu!C:C)</f>
        <v>Rolls</v>
      </c>
      <c r="H3568" s="10">
        <f>_xlfn.XLOOKUP(C3568,menu!A:A,menu!E:E)</f>
        <v>27</v>
      </c>
      <c r="I3568" s="10">
        <f t="shared" si="55"/>
        <v>81</v>
      </c>
      <c r="K3568" s="10"/>
      <c r="L3568" s="5"/>
    </row>
    <row r="3569" spans="1:12" x14ac:dyDescent="0.25">
      <c r="A3569" s="5" t="s">
        <v>2307</v>
      </c>
      <c r="B3569" s="5" t="s">
        <v>2306</v>
      </c>
      <c r="C3569" s="5" t="s">
        <v>31</v>
      </c>
      <c r="D3569" s="21">
        <v>1</v>
      </c>
      <c r="E3569" s="12">
        <v>89</v>
      </c>
      <c r="F3569" s="10" t="str">
        <f>_xlfn.XLOOKUP(C3569,menu!A:A,menu!B:B)</f>
        <v>Chicken Roll</v>
      </c>
      <c r="G3569" s="10" t="str">
        <f>_xlfn.XLOOKUP(C3569,menu!A:A,menu!C:C)</f>
        <v>Rolls</v>
      </c>
      <c r="H3569" s="10">
        <f>_xlfn.XLOOKUP(C3569,menu!A:A,menu!E:E)</f>
        <v>27</v>
      </c>
      <c r="I3569" s="10">
        <f t="shared" si="55"/>
        <v>27</v>
      </c>
      <c r="K3569" s="10"/>
      <c r="L3569" s="5"/>
    </row>
    <row r="3570" spans="1:12" x14ac:dyDescent="0.25">
      <c r="A3570" s="5" t="s">
        <v>2305</v>
      </c>
      <c r="B3570" s="5" t="s">
        <v>2304</v>
      </c>
      <c r="C3570" s="5" t="s">
        <v>61</v>
      </c>
      <c r="D3570" s="21">
        <v>1</v>
      </c>
      <c r="E3570" s="12">
        <v>79</v>
      </c>
      <c r="F3570" s="10" t="str">
        <f>_xlfn.XLOOKUP(C3570,menu!A:A,menu!B:B)</f>
        <v>Watermelon Mojito</v>
      </c>
      <c r="G3570" s="10" t="str">
        <f>_xlfn.XLOOKUP(C3570,menu!A:A,menu!C:C)</f>
        <v>Beverages</v>
      </c>
      <c r="H3570" s="10">
        <f>_xlfn.XLOOKUP(C3570,menu!A:A,menu!E:E)</f>
        <v>24</v>
      </c>
      <c r="I3570" s="10">
        <f t="shared" si="55"/>
        <v>24</v>
      </c>
      <c r="K3570" s="10"/>
      <c r="L3570" s="5"/>
    </row>
    <row r="3571" spans="1:12" x14ac:dyDescent="0.25">
      <c r="A3571" s="5" t="s">
        <v>2303</v>
      </c>
      <c r="B3571" s="5" t="s">
        <v>2302</v>
      </c>
      <c r="C3571" s="5" t="s">
        <v>31</v>
      </c>
      <c r="D3571" s="21">
        <v>1</v>
      </c>
      <c r="E3571" s="12">
        <v>89</v>
      </c>
      <c r="F3571" s="10" t="str">
        <f>_xlfn.XLOOKUP(C3571,menu!A:A,menu!B:B)</f>
        <v>Chicken Roll</v>
      </c>
      <c r="G3571" s="10" t="str">
        <f>_xlfn.XLOOKUP(C3571,menu!A:A,menu!C:C)</f>
        <v>Rolls</v>
      </c>
      <c r="H3571" s="10">
        <f>_xlfn.XLOOKUP(C3571,menu!A:A,menu!E:E)</f>
        <v>27</v>
      </c>
      <c r="I3571" s="10">
        <f t="shared" si="55"/>
        <v>27</v>
      </c>
      <c r="K3571" s="10"/>
      <c r="L3571" s="5"/>
    </row>
    <row r="3572" spans="1:12" x14ac:dyDescent="0.25">
      <c r="A3572" s="5" t="s">
        <v>2301</v>
      </c>
      <c r="B3572" s="5" t="s">
        <v>2299</v>
      </c>
      <c r="C3572" s="5" t="s">
        <v>12</v>
      </c>
      <c r="D3572" s="21">
        <v>1</v>
      </c>
      <c r="E3572" s="12">
        <v>79</v>
      </c>
      <c r="F3572" s="10" t="str">
        <f>_xlfn.XLOOKUP(C3572,menu!A:A,menu!B:B)</f>
        <v>Veg Momos</v>
      </c>
      <c r="G3572" s="10" t="str">
        <f>_xlfn.XLOOKUP(C3572,menu!A:A,menu!C:C)</f>
        <v>Momos</v>
      </c>
      <c r="H3572" s="10">
        <f>_xlfn.XLOOKUP(C3572,menu!A:A,menu!E:E)</f>
        <v>24</v>
      </c>
      <c r="I3572" s="10">
        <f t="shared" si="55"/>
        <v>24</v>
      </c>
      <c r="K3572" s="10"/>
      <c r="L3572" s="5"/>
    </row>
    <row r="3573" spans="1:12" x14ac:dyDescent="0.25">
      <c r="A3573" s="5" t="s">
        <v>2300</v>
      </c>
      <c r="B3573" s="5" t="s">
        <v>2299</v>
      </c>
      <c r="C3573" s="5" t="s">
        <v>22</v>
      </c>
      <c r="D3573" s="21">
        <v>1</v>
      </c>
      <c r="E3573" s="12">
        <v>99</v>
      </c>
      <c r="F3573" s="10" t="str">
        <f>_xlfn.XLOOKUP(C3573,menu!A:A,menu!B:B)</f>
        <v>Chicken Burger</v>
      </c>
      <c r="G3573" s="10" t="str">
        <f>_xlfn.XLOOKUP(C3573,menu!A:A,menu!C:C)</f>
        <v>Burger</v>
      </c>
      <c r="H3573" s="10">
        <f>_xlfn.XLOOKUP(C3573,menu!A:A,menu!E:E)</f>
        <v>30</v>
      </c>
      <c r="I3573" s="10">
        <f t="shared" si="55"/>
        <v>30</v>
      </c>
      <c r="K3573" s="10"/>
      <c r="L3573" s="5"/>
    </row>
    <row r="3574" spans="1:12" x14ac:dyDescent="0.25">
      <c r="A3574" s="5" t="s">
        <v>2298</v>
      </c>
      <c r="B3574" s="5" t="s">
        <v>2294</v>
      </c>
      <c r="C3574" s="5" t="s">
        <v>17</v>
      </c>
      <c r="D3574" s="21">
        <v>1</v>
      </c>
      <c r="E3574" s="12">
        <v>89</v>
      </c>
      <c r="F3574" s="10" t="str">
        <f>_xlfn.XLOOKUP(C3574,menu!A:A,menu!B:B)</f>
        <v>Paneer Momos</v>
      </c>
      <c r="G3574" s="10" t="str">
        <f>_xlfn.XLOOKUP(C3574,menu!A:A,menu!C:C)</f>
        <v>Momos</v>
      </c>
      <c r="H3574" s="10">
        <f>_xlfn.XLOOKUP(C3574,menu!A:A,menu!E:E)</f>
        <v>27</v>
      </c>
      <c r="I3574" s="10">
        <f t="shared" si="55"/>
        <v>27</v>
      </c>
      <c r="K3574" s="10"/>
      <c r="L3574" s="5"/>
    </row>
    <row r="3575" spans="1:12" x14ac:dyDescent="0.25">
      <c r="A3575" s="5" t="s">
        <v>2297</v>
      </c>
      <c r="B3575" s="5" t="s">
        <v>2294</v>
      </c>
      <c r="C3575" s="5" t="s">
        <v>54</v>
      </c>
      <c r="D3575" s="21">
        <v>2</v>
      </c>
      <c r="E3575" s="12">
        <v>278</v>
      </c>
      <c r="F3575" s="10" t="str">
        <f>_xlfn.XLOOKUP(C3575,menu!A:A,menu!B:B)</f>
        <v>Chicken Strips</v>
      </c>
      <c r="G3575" s="10" t="str">
        <f>_xlfn.XLOOKUP(C3575,menu!A:A,menu!C:C)</f>
        <v>Starters</v>
      </c>
      <c r="H3575" s="10">
        <f>_xlfn.XLOOKUP(C3575,menu!A:A,menu!E:E)</f>
        <v>42</v>
      </c>
      <c r="I3575" s="10">
        <f t="shared" si="55"/>
        <v>84</v>
      </c>
      <c r="K3575" s="10"/>
      <c r="L3575" s="5"/>
    </row>
    <row r="3576" spans="1:12" x14ac:dyDescent="0.25">
      <c r="A3576" s="5" t="s">
        <v>2296</v>
      </c>
      <c r="B3576" s="5" t="s">
        <v>2294</v>
      </c>
      <c r="C3576" s="5" t="s">
        <v>33</v>
      </c>
      <c r="D3576" s="21">
        <v>1</v>
      </c>
      <c r="E3576" s="12">
        <v>69</v>
      </c>
      <c r="F3576" s="10" t="str">
        <f>_xlfn.XLOOKUP(C3576,menu!A:A,menu!B:B)</f>
        <v>Spring Roll</v>
      </c>
      <c r="G3576" s="10" t="str">
        <f>_xlfn.XLOOKUP(C3576,menu!A:A,menu!C:C)</f>
        <v>Rolls</v>
      </c>
      <c r="H3576" s="10">
        <f>_xlfn.XLOOKUP(C3576,menu!A:A,menu!E:E)</f>
        <v>21</v>
      </c>
      <c r="I3576" s="10">
        <f t="shared" si="55"/>
        <v>21</v>
      </c>
      <c r="K3576" s="10"/>
      <c r="L3576" s="5"/>
    </row>
    <row r="3577" spans="1:12" x14ac:dyDescent="0.25">
      <c r="A3577" s="5" t="s">
        <v>2295</v>
      </c>
      <c r="B3577" s="5" t="s">
        <v>2294</v>
      </c>
      <c r="C3577" s="5" t="s">
        <v>40</v>
      </c>
      <c r="D3577" s="21">
        <v>1</v>
      </c>
      <c r="E3577" s="12">
        <v>99</v>
      </c>
      <c r="F3577" s="10" t="str">
        <f>_xlfn.XLOOKUP(C3577,menu!A:A,menu!B:B)</f>
        <v>Veg Nuggets</v>
      </c>
      <c r="G3577" s="10" t="str">
        <f>_xlfn.XLOOKUP(C3577,menu!A:A,menu!C:C)</f>
        <v>Starters</v>
      </c>
      <c r="H3577" s="10">
        <f>_xlfn.XLOOKUP(C3577,menu!A:A,menu!E:E)</f>
        <v>30</v>
      </c>
      <c r="I3577" s="10">
        <f t="shared" si="55"/>
        <v>30</v>
      </c>
      <c r="K3577" s="10"/>
      <c r="L3577" s="5"/>
    </row>
    <row r="3578" spans="1:12" x14ac:dyDescent="0.25">
      <c r="A3578" s="5" t="s">
        <v>2293</v>
      </c>
      <c r="B3578" s="5" t="s">
        <v>2291</v>
      </c>
      <c r="C3578" s="5" t="s">
        <v>15</v>
      </c>
      <c r="D3578" s="21">
        <v>1</v>
      </c>
      <c r="E3578" s="12">
        <v>99</v>
      </c>
      <c r="F3578" s="10" t="str">
        <f>_xlfn.XLOOKUP(C3578,menu!A:A,menu!B:B)</f>
        <v>Chicken Momos</v>
      </c>
      <c r="G3578" s="10" t="str">
        <f>_xlfn.XLOOKUP(C3578,menu!A:A,menu!C:C)</f>
        <v>Momos</v>
      </c>
      <c r="H3578" s="10">
        <f>_xlfn.XLOOKUP(C3578,menu!A:A,menu!E:E)</f>
        <v>30</v>
      </c>
      <c r="I3578" s="10">
        <f t="shared" si="55"/>
        <v>30</v>
      </c>
      <c r="K3578" s="10"/>
      <c r="L3578" s="5"/>
    </row>
    <row r="3579" spans="1:12" x14ac:dyDescent="0.25">
      <c r="A3579" s="5" t="s">
        <v>2292</v>
      </c>
      <c r="B3579" s="5" t="s">
        <v>2291</v>
      </c>
      <c r="C3579" s="5" t="s">
        <v>61</v>
      </c>
      <c r="D3579" s="21">
        <v>2</v>
      </c>
      <c r="E3579" s="12">
        <v>158</v>
      </c>
      <c r="F3579" s="10" t="str">
        <f>_xlfn.XLOOKUP(C3579,menu!A:A,menu!B:B)</f>
        <v>Watermelon Mojito</v>
      </c>
      <c r="G3579" s="10" t="str">
        <f>_xlfn.XLOOKUP(C3579,menu!A:A,menu!C:C)</f>
        <v>Beverages</v>
      </c>
      <c r="H3579" s="10">
        <f>_xlfn.XLOOKUP(C3579,menu!A:A,menu!E:E)</f>
        <v>24</v>
      </c>
      <c r="I3579" s="10">
        <f t="shared" si="55"/>
        <v>48</v>
      </c>
      <c r="K3579" s="10"/>
      <c r="L3579" s="5"/>
    </row>
    <row r="3580" spans="1:12" x14ac:dyDescent="0.25">
      <c r="A3580" s="5" t="s">
        <v>2290</v>
      </c>
      <c r="B3580" s="5" t="s">
        <v>2286</v>
      </c>
      <c r="C3580" s="5" t="s">
        <v>10</v>
      </c>
      <c r="D3580" s="21">
        <v>2</v>
      </c>
      <c r="E3580" s="12">
        <v>238</v>
      </c>
      <c r="F3580" s="10" t="str">
        <f>_xlfn.XLOOKUP(C3580,menu!A:A,menu!B:B)</f>
        <v>Chicken Sandwich</v>
      </c>
      <c r="G3580" s="10" t="str">
        <f>_xlfn.XLOOKUP(C3580,menu!A:A,menu!C:C)</f>
        <v>Sandwich</v>
      </c>
      <c r="H3580" s="10">
        <f>_xlfn.XLOOKUP(C3580,menu!A:A,menu!E:E)</f>
        <v>36</v>
      </c>
      <c r="I3580" s="10">
        <f t="shared" si="55"/>
        <v>72</v>
      </c>
      <c r="K3580" s="10"/>
      <c r="L3580" s="5"/>
    </row>
    <row r="3581" spans="1:12" x14ac:dyDescent="0.25">
      <c r="A3581" s="5" t="s">
        <v>2289</v>
      </c>
      <c r="B3581" s="5" t="s">
        <v>2286</v>
      </c>
      <c r="C3581" s="5" t="s">
        <v>50</v>
      </c>
      <c r="D3581" s="21">
        <v>2</v>
      </c>
      <c r="E3581" s="12">
        <v>298</v>
      </c>
      <c r="F3581" s="10" t="str">
        <f>_xlfn.XLOOKUP(C3581,menu!A:A,menu!B:B)</f>
        <v>Grab Lollipop</v>
      </c>
      <c r="G3581" s="10" t="str">
        <f>_xlfn.XLOOKUP(C3581,menu!A:A,menu!C:C)</f>
        <v>Starters</v>
      </c>
      <c r="H3581" s="10">
        <f>_xlfn.XLOOKUP(C3581,menu!A:A,menu!E:E)</f>
        <v>45</v>
      </c>
      <c r="I3581" s="10">
        <f t="shared" si="55"/>
        <v>90</v>
      </c>
      <c r="K3581" s="10"/>
      <c r="L3581" s="5"/>
    </row>
    <row r="3582" spans="1:12" x14ac:dyDescent="0.25">
      <c r="A3582" s="5" t="s">
        <v>2288</v>
      </c>
      <c r="B3582" s="5" t="s">
        <v>2286</v>
      </c>
      <c r="C3582" s="5" t="s">
        <v>22</v>
      </c>
      <c r="D3582" s="21">
        <v>1</v>
      </c>
      <c r="E3582" s="12">
        <v>99</v>
      </c>
      <c r="F3582" s="10" t="str">
        <f>_xlfn.XLOOKUP(C3582,menu!A:A,menu!B:B)</f>
        <v>Chicken Burger</v>
      </c>
      <c r="G3582" s="10" t="str">
        <f>_xlfn.XLOOKUP(C3582,menu!A:A,menu!C:C)</f>
        <v>Burger</v>
      </c>
      <c r="H3582" s="10">
        <f>_xlfn.XLOOKUP(C3582,menu!A:A,menu!E:E)</f>
        <v>30</v>
      </c>
      <c r="I3582" s="10">
        <f t="shared" si="55"/>
        <v>30</v>
      </c>
      <c r="K3582" s="10"/>
      <c r="L3582" s="5"/>
    </row>
    <row r="3583" spans="1:12" x14ac:dyDescent="0.25">
      <c r="A3583" s="5" t="s">
        <v>2287</v>
      </c>
      <c r="B3583" s="5" t="s">
        <v>2286</v>
      </c>
      <c r="C3583" s="5" t="s">
        <v>24</v>
      </c>
      <c r="D3583" s="21">
        <v>1</v>
      </c>
      <c r="E3583" s="12">
        <v>89</v>
      </c>
      <c r="F3583" s="10" t="str">
        <f>_xlfn.XLOOKUP(C3583,menu!A:A,menu!B:B)</f>
        <v>Paneer Burger</v>
      </c>
      <c r="G3583" s="10" t="str">
        <f>_xlfn.XLOOKUP(C3583,menu!A:A,menu!C:C)</f>
        <v>Burger</v>
      </c>
      <c r="H3583" s="10">
        <f>_xlfn.XLOOKUP(C3583,menu!A:A,menu!E:E)</f>
        <v>27</v>
      </c>
      <c r="I3583" s="10">
        <f t="shared" si="55"/>
        <v>27</v>
      </c>
      <c r="K3583" s="10"/>
      <c r="L3583" s="5"/>
    </row>
    <row r="3584" spans="1:12" x14ac:dyDescent="0.25">
      <c r="A3584" s="5" t="s">
        <v>2285</v>
      </c>
      <c r="B3584" s="5" t="s">
        <v>2281</v>
      </c>
      <c r="C3584" s="5" t="s">
        <v>40</v>
      </c>
      <c r="D3584" s="21">
        <v>2</v>
      </c>
      <c r="E3584" s="12">
        <v>198</v>
      </c>
      <c r="F3584" s="10" t="str">
        <f>_xlfn.XLOOKUP(C3584,menu!A:A,menu!B:B)</f>
        <v>Veg Nuggets</v>
      </c>
      <c r="G3584" s="10" t="str">
        <f>_xlfn.XLOOKUP(C3584,menu!A:A,menu!C:C)</f>
        <v>Starters</v>
      </c>
      <c r="H3584" s="10">
        <f>_xlfn.XLOOKUP(C3584,menu!A:A,menu!E:E)</f>
        <v>30</v>
      </c>
      <c r="I3584" s="10">
        <f t="shared" si="55"/>
        <v>60</v>
      </c>
      <c r="K3584" s="10"/>
      <c r="L3584" s="5"/>
    </row>
    <row r="3585" spans="1:12" x14ac:dyDescent="0.25">
      <c r="A3585" s="5" t="s">
        <v>2284</v>
      </c>
      <c r="B3585" s="5" t="s">
        <v>2281</v>
      </c>
      <c r="C3585" s="5" t="s">
        <v>44</v>
      </c>
      <c r="D3585" s="21">
        <v>1</v>
      </c>
      <c r="E3585" s="12">
        <v>159</v>
      </c>
      <c r="F3585" s="10" t="str">
        <f>_xlfn.XLOOKUP(C3585,menu!A:A,menu!B:B)</f>
        <v>Fried Chicken</v>
      </c>
      <c r="G3585" s="10" t="str">
        <f>_xlfn.XLOOKUP(C3585,menu!A:A,menu!C:C)</f>
        <v>Starters</v>
      </c>
      <c r="H3585" s="10">
        <f>_xlfn.XLOOKUP(C3585,menu!A:A,menu!E:E)</f>
        <v>48</v>
      </c>
      <c r="I3585" s="10">
        <f t="shared" si="55"/>
        <v>48</v>
      </c>
      <c r="K3585" s="10"/>
      <c r="L3585" s="5"/>
    </row>
    <row r="3586" spans="1:12" x14ac:dyDescent="0.25">
      <c r="A3586" s="5" t="s">
        <v>2283</v>
      </c>
      <c r="B3586" s="5" t="s">
        <v>2281</v>
      </c>
      <c r="C3586" s="5" t="s">
        <v>29</v>
      </c>
      <c r="D3586" s="21">
        <v>4</v>
      </c>
      <c r="E3586" s="12">
        <v>316</v>
      </c>
      <c r="F3586" s="10" t="str">
        <f>_xlfn.XLOOKUP(C3586,menu!A:A,menu!B:B)</f>
        <v>Paneer Roll</v>
      </c>
      <c r="G3586" s="10" t="str">
        <f>_xlfn.XLOOKUP(C3586,menu!A:A,menu!C:C)</f>
        <v>Rolls</v>
      </c>
      <c r="H3586" s="10">
        <f>_xlfn.XLOOKUP(C3586,menu!A:A,menu!E:E)</f>
        <v>24</v>
      </c>
      <c r="I3586" s="10">
        <f t="shared" si="55"/>
        <v>96</v>
      </c>
      <c r="K3586" s="10"/>
      <c r="L3586" s="5"/>
    </row>
    <row r="3587" spans="1:12" x14ac:dyDescent="0.25">
      <c r="A3587" s="5" t="s">
        <v>2282</v>
      </c>
      <c r="B3587" s="5" t="s">
        <v>2281</v>
      </c>
      <c r="C3587" s="5" t="s">
        <v>12</v>
      </c>
      <c r="D3587" s="21">
        <v>2</v>
      </c>
      <c r="E3587" s="12">
        <v>158</v>
      </c>
      <c r="F3587" s="10" t="str">
        <f>_xlfn.XLOOKUP(C3587,menu!A:A,menu!B:B)</f>
        <v>Veg Momos</v>
      </c>
      <c r="G3587" s="10" t="str">
        <f>_xlfn.XLOOKUP(C3587,menu!A:A,menu!C:C)</f>
        <v>Momos</v>
      </c>
      <c r="H3587" s="10">
        <f>_xlfn.XLOOKUP(C3587,menu!A:A,menu!E:E)</f>
        <v>24</v>
      </c>
      <c r="I3587" s="10">
        <f t="shared" ref="I3587:I3650" si="56">D3587*H3587</f>
        <v>48</v>
      </c>
      <c r="K3587" s="10"/>
      <c r="L3587" s="5"/>
    </row>
    <row r="3588" spans="1:12" x14ac:dyDescent="0.25">
      <c r="A3588" s="5" t="s">
        <v>2280</v>
      </c>
      <c r="B3588" s="5" t="s">
        <v>2278</v>
      </c>
      <c r="C3588" s="5" t="s">
        <v>63</v>
      </c>
      <c r="D3588" s="21">
        <v>2</v>
      </c>
      <c r="E3588" s="12">
        <v>158</v>
      </c>
      <c r="F3588" s="10" t="str">
        <f>_xlfn.XLOOKUP(C3588,menu!A:A,menu!B:B)</f>
        <v>Virgin Mojito</v>
      </c>
      <c r="G3588" s="10" t="str">
        <f>_xlfn.XLOOKUP(C3588,menu!A:A,menu!C:C)</f>
        <v>Beverages</v>
      </c>
      <c r="H3588" s="10">
        <f>_xlfn.XLOOKUP(C3588,menu!A:A,menu!E:E)</f>
        <v>24</v>
      </c>
      <c r="I3588" s="10">
        <f t="shared" si="56"/>
        <v>48</v>
      </c>
      <c r="K3588" s="10"/>
      <c r="L3588" s="5"/>
    </row>
    <row r="3589" spans="1:12" x14ac:dyDescent="0.25">
      <c r="A3589" s="5" t="s">
        <v>2279</v>
      </c>
      <c r="B3589" s="5" t="s">
        <v>2278</v>
      </c>
      <c r="C3589" s="5" t="s">
        <v>44</v>
      </c>
      <c r="D3589" s="21">
        <v>2</v>
      </c>
      <c r="E3589" s="12">
        <v>318</v>
      </c>
      <c r="F3589" s="10" t="str">
        <f>_xlfn.XLOOKUP(C3589,menu!A:A,menu!B:B)</f>
        <v>Fried Chicken</v>
      </c>
      <c r="G3589" s="10" t="str">
        <f>_xlfn.XLOOKUP(C3589,menu!A:A,menu!C:C)</f>
        <v>Starters</v>
      </c>
      <c r="H3589" s="10">
        <f>_xlfn.XLOOKUP(C3589,menu!A:A,menu!E:E)</f>
        <v>48</v>
      </c>
      <c r="I3589" s="10">
        <f t="shared" si="56"/>
        <v>96</v>
      </c>
      <c r="K3589" s="10"/>
      <c r="L3589" s="5"/>
    </row>
    <row r="3590" spans="1:12" x14ac:dyDescent="0.25">
      <c r="A3590" s="5" t="s">
        <v>2277</v>
      </c>
      <c r="B3590" s="5" t="s">
        <v>2275</v>
      </c>
      <c r="C3590" s="5" t="s">
        <v>44</v>
      </c>
      <c r="D3590" s="21">
        <v>2</v>
      </c>
      <c r="E3590" s="12">
        <v>318</v>
      </c>
      <c r="F3590" s="10" t="str">
        <f>_xlfn.XLOOKUP(C3590,menu!A:A,menu!B:B)</f>
        <v>Fried Chicken</v>
      </c>
      <c r="G3590" s="10" t="str">
        <f>_xlfn.XLOOKUP(C3590,menu!A:A,menu!C:C)</f>
        <v>Starters</v>
      </c>
      <c r="H3590" s="10">
        <f>_xlfn.XLOOKUP(C3590,menu!A:A,menu!E:E)</f>
        <v>48</v>
      </c>
      <c r="I3590" s="10">
        <f t="shared" si="56"/>
        <v>96</v>
      </c>
      <c r="K3590" s="10"/>
      <c r="L3590" s="5"/>
    </row>
    <row r="3591" spans="1:12" x14ac:dyDescent="0.25">
      <c r="A3591" s="5" t="s">
        <v>2276</v>
      </c>
      <c r="B3591" s="5" t="s">
        <v>2275</v>
      </c>
      <c r="C3591" s="5" t="s">
        <v>22</v>
      </c>
      <c r="D3591" s="21">
        <v>3</v>
      </c>
      <c r="E3591" s="12">
        <v>297</v>
      </c>
      <c r="F3591" s="10" t="str">
        <f>_xlfn.XLOOKUP(C3591,menu!A:A,menu!B:B)</f>
        <v>Chicken Burger</v>
      </c>
      <c r="G3591" s="10" t="str">
        <f>_xlfn.XLOOKUP(C3591,menu!A:A,menu!C:C)</f>
        <v>Burger</v>
      </c>
      <c r="H3591" s="10">
        <f>_xlfn.XLOOKUP(C3591,menu!A:A,menu!E:E)</f>
        <v>30</v>
      </c>
      <c r="I3591" s="10">
        <f t="shared" si="56"/>
        <v>90</v>
      </c>
      <c r="K3591" s="10"/>
      <c r="L3591" s="5"/>
    </row>
    <row r="3592" spans="1:12" x14ac:dyDescent="0.25">
      <c r="A3592" s="5" t="s">
        <v>2274</v>
      </c>
      <c r="B3592" s="5" t="s">
        <v>2272</v>
      </c>
      <c r="C3592" s="5" t="s">
        <v>35</v>
      </c>
      <c r="D3592" s="21">
        <v>1</v>
      </c>
      <c r="E3592" s="12">
        <v>119</v>
      </c>
      <c r="F3592" s="10" t="str">
        <f>_xlfn.XLOOKUP(C3592,menu!A:A,menu!B:B)</f>
        <v>Chicken Nuggets</v>
      </c>
      <c r="G3592" s="10" t="str">
        <f>_xlfn.XLOOKUP(C3592,menu!A:A,menu!C:C)</f>
        <v>Starters</v>
      </c>
      <c r="H3592" s="10">
        <f>_xlfn.XLOOKUP(C3592,menu!A:A,menu!E:E)</f>
        <v>36</v>
      </c>
      <c r="I3592" s="10">
        <f t="shared" si="56"/>
        <v>36</v>
      </c>
      <c r="K3592" s="10"/>
      <c r="L3592" s="5"/>
    </row>
    <row r="3593" spans="1:12" x14ac:dyDescent="0.25">
      <c r="A3593" s="5" t="s">
        <v>2273</v>
      </c>
      <c r="B3593" s="5" t="s">
        <v>2272</v>
      </c>
      <c r="C3593" s="5" t="s">
        <v>54</v>
      </c>
      <c r="D3593" s="21">
        <v>1</v>
      </c>
      <c r="E3593" s="12">
        <v>139</v>
      </c>
      <c r="F3593" s="10" t="str">
        <f>_xlfn.XLOOKUP(C3593,menu!A:A,menu!B:B)</f>
        <v>Chicken Strips</v>
      </c>
      <c r="G3593" s="10" t="str">
        <f>_xlfn.XLOOKUP(C3593,menu!A:A,menu!C:C)</f>
        <v>Starters</v>
      </c>
      <c r="H3593" s="10">
        <f>_xlfn.XLOOKUP(C3593,menu!A:A,menu!E:E)</f>
        <v>42</v>
      </c>
      <c r="I3593" s="10">
        <f t="shared" si="56"/>
        <v>42</v>
      </c>
      <c r="K3593" s="10"/>
      <c r="L3593" s="5"/>
    </row>
    <row r="3594" spans="1:12" x14ac:dyDescent="0.25">
      <c r="A3594" s="5" t="s">
        <v>2271</v>
      </c>
      <c r="B3594" s="5" t="s">
        <v>2268</v>
      </c>
      <c r="C3594" s="5" t="s">
        <v>10</v>
      </c>
      <c r="D3594" s="21">
        <v>5</v>
      </c>
      <c r="E3594" s="12">
        <v>595</v>
      </c>
      <c r="F3594" s="10" t="str">
        <f>_xlfn.XLOOKUP(C3594,menu!A:A,menu!B:B)</f>
        <v>Chicken Sandwich</v>
      </c>
      <c r="G3594" s="10" t="str">
        <f>_xlfn.XLOOKUP(C3594,menu!A:A,menu!C:C)</f>
        <v>Sandwich</v>
      </c>
      <c r="H3594" s="10">
        <f>_xlfn.XLOOKUP(C3594,menu!A:A,menu!E:E)</f>
        <v>36</v>
      </c>
      <c r="I3594" s="10">
        <f t="shared" si="56"/>
        <v>180</v>
      </c>
      <c r="K3594" s="10"/>
      <c r="L3594" s="5"/>
    </row>
    <row r="3595" spans="1:12" x14ac:dyDescent="0.25">
      <c r="A3595" s="5" t="s">
        <v>2270</v>
      </c>
      <c r="B3595" s="5" t="s">
        <v>2268</v>
      </c>
      <c r="C3595" s="5" t="s">
        <v>56</v>
      </c>
      <c r="D3595" s="21">
        <v>2</v>
      </c>
      <c r="E3595" s="12">
        <v>158</v>
      </c>
      <c r="F3595" s="10" t="str">
        <f>_xlfn.XLOOKUP(C3595,menu!A:A,menu!B:B)</f>
        <v>Mint Mojito</v>
      </c>
      <c r="G3595" s="10" t="str">
        <f>_xlfn.XLOOKUP(C3595,menu!A:A,menu!C:C)</f>
        <v>Beverages</v>
      </c>
      <c r="H3595" s="10">
        <f>_xlfn.XLOOKUP(C3595,menu!A:A,menu!E:E)</f>
        <v>24</v>
      </c>
      <c r="I3595" s="10">
        <f t="shared" si="56"/>
        <v>48</v>
      </c>
      <c r="K3595" s="10"/>
      <c r="L3595" s="5"/>
    </row>
    <row r="3596" spans="1:12" x14ac:dyDescent="0.25">
      <c r="A3596" s="5" t="s">
        <v>2269</v>
      </c>
      <c r="B3596" s="5" t="s">
        <v>2268</v>
      </c>
      <c r="C3596" s="5" t="s">
        <v>48</v>
      </c>
      <c r="D3596" s="21">
        <v>2</v>
      </c>
      <c r="E3596" s="12">
        <v>318</v>
      </c>
      <c r="F3596" s="10" t="str">
        <f>_xlfn.XLOOKUP(C3596,menu!A:A,menu!B:B)</f>
        <v>Chicken Lollipop</v>
      </c>
      <c r="G3596" s="10" t="str">
        <f>_xlfn.XLOOKUP(C3596,menu!A:A,menu!C:C)</f>
        <v>Starters</v>
      </c>
      <c r="H3596" s="10">
        <f>_xlfn.XLOOKUP(C3596,menu!A:A,menu!E:E)</f>
        <v>48</v>
      </c>
      <c r="I3596" s="10">
        <f t="shared" si="56"/>
        <v>96</v>
      </c>
      <c r="K3596" s="10"/>
      <c r="L3596" s="5"/>
    </row>
    <row r="3597" spans="1:12" x14ac:dyDescent="0.25">
      <c r="A3597" s="5" t="s">
        <v>2267</v>
      </c>
      <c r="B3597" s="5" t="s">
        <v>2264</v>
      </c>
      <c r="C3597" s="5" t="s">
        <v>52</v>
      </c>
      <c r="D3597" s="21">
        <v>1</v>
      </c>
      <c r="E3597" s="12">
        <v>99</v>
      </c>
      <c r="F3597" s="10" t="str">
        <f>_xlfn.XLOOKUP(C3597,menu!A:A,menu!B:B)</f>
        <v>French Fries</v>
      </c>
      <c r="G3597" s="10" t="str">
        <f>_xlfn.XLOOKUP(C3597,menu!A:A,menu!C:C)</f>
        <v>Starters</v>
      </c>
      <c r="H3597" s="10">
        <f>_xlfn.XLOOKUP(C3597,menu!A:A,menu!E:E)</f>
        <v>30</v>
      </c>
      <c r="I3597" s="10">
        <f t="shared" si="56"/>
        <v>30</v>
      </c>
      <c r="K3597" s="10"/>
      <c r="L3597" s="5"/>
    </row>
    <row r="3598" spans="1:12" x14ac:dyDescent="0.25">
      <c r="A3598" s="5" t="s">
        <v>2266</v>
      </c>
      <c r="B3598" s="5" t="s">
        <v>2264</v>
      </c>
      <c r="C3598" s="5" t="s">
        <v>42</v>
      </c>
      <c r="D3598" s="21">
        <v>2</v>
      </c>
      <c r="E3598" s="12">
        <v>298</v>
      </c>
      <c r="F3598" s="10" t="str">
        <f>_xlfn.XLOOKUP(C3598,menu!A:A,menu!B:B)</f>
        <v>Chicken Popcorn</v>
      </c>
      <c r="G3598" s="10" t="str">
        <f>_xlfn.XLOOKUP(C3598,menu!A:A,menu!C:C)</f>
        <v>Starters</v>
      </c>
      <c r="H3598" s="10">
        <f>_xlfn.XLOOKUP(C3598,menu!A:A,menu!E:E)</f>
        <v>45</v>
      </c>
      <c r="I3598" s="10">
        <f t="shared" si="56"/>
        <v>90</v>
      </c>
      <c r="K3598" s="10"/>
      <c r="L3598" s="5"/>
    </row>
    <row r="3599" spans="1:12" x14ac:dyDescent="0.25">
      <c r="A3599" s="5" t="s">
        <v>2265</v>
      </c>
      <c r="B3599" s="5" t="s">
        <v>2264</v>
      </c>
      <c r="C3599" s="5" t="s">
        <v>22</v>
      </c>
      <c r="D3599" s="21">
        <v>1</v>
      </c>
      <c r="E3599" s="12">
        <v>99</v>
      </c>
      <c r="F3599" s="10" t="str">
        <f>_xlfn.XLOOKUP(C3599,menu!A:A,menu!B:B)</f>
        <v>Chicken Burger</v>
      </c>
      <c r="G3599" s="10" t="str">
        <f>_xlfn.XLOOKUP(C3599,menu!A:A,menu!C:C)</f>
        <v>Burger</v>
      </c>
      <c r="H3599" s="10">
        <f>_xlfn.XLOOKUP(C3599,menu!A:A,menu!E:E)</f>
        <v>30</v>
      </c>
      <c r="I3599" s="10">
        <f t="shared" si="56"/>
        <v>30</v>
      </c>
      <c r="K3599" s="10"/>
      <c r="L3599" s="5"/>
    </row>
    <row r="3600" spans="1:12" x14ac:dyDescent="0.25">
      <c r="A3600" s="5" t="s">
        <v>2263</v>
      </c>
      <c r="B3600" s="5" t="s">
        <v>2261</v>
      </c>
      <c r="C3600" s="5" t="s">
        <v>54</v>
      </c>
      <c r="D3600" s="21">
        <v>2</v>
      </c>
      <c r="E3600" s="12">
        <v>278</v>
      </c>
      <c r="F3600" s="10" t="str">
        <f>_xlfn.XLOOKUP(C3600,menu!A:A,menu!B:B)</f>
        <v>Chicken Strips</v>
      </c>
      <c r="G3600" s="10" t="str">
        <f>_xlfn.XLOOKUP(C3600,menu!A:A,menu!C:C)</f>
        <v>Starters</v>
      </c>
      <c r="H3600" s="10">
        <f>_xlfn.XLOOKUP(C3600,menu!A:A,menu!E:E)</f>
        <v>42</v>
      </c>
      <c r="I3600" s="10">
        <f t="shared" si="56"/>
        <v>84</v>
      </c>
      <c r="K3600" s="10"/>
      <c r="L3600" s="5"/>
    </row>
    <row r="3601" spans="1:12" x14ac:dyDescent="0.25">
      <c r="A3601" s="5" t="s">
        <v>2262</v>
      </c>
      <c r="B3601" s="5" t="s">
        <v>2261</v>
      </c>
      <c r="C3601" s="5" t="s">
        <v>24</v>
      </c>
      <c r="D3601" s="21">
        <v>1</v>
      </c>
      <c r="E3601" s="12">
        <v>89</v>
      </c>
      <c r="F3601" s="10" t="str">
        <f>_xlfn.XLOOKUP(C3601,menu!A:A,menu!B:B)</f>
        <v>Paneer Burger</v>
      </c>
      <c r="G3601" s="10" t="str">
        <f>_xlfn.XLOOKUP(C3601,menu!A:A,menu!C:C)</f>
        <v>Burger</v>
      </c>
      <c r="H3601" s="10">
        <f>_xlfn.XLOOKUP(C3601,menu!A:A,menu!E:E)</f>
        <v>27</v>
      </c>
      <c r="I3601" s="10">
        <f t="shared" si="56"/>
        <v>27</v>
      </c>
      <c r="K3601" s="10"/>
      <c r="L3601" s="5"/>
    </row>
    <row r="3602" spans="1:12" x14ac:dyDescent="0.25">
      <c r="A3602" s="5" t="s">
        <v>2260</v>
      </c>
      <c r="B3602" s="5" t="s">
        <v>2259</v>
      </c>
      <c r="C3602" s="5" t="s">
        <v>52</v>
      </c>
      <c r="D3602" s="21">
        <v>4</v>
      </c>
      <c r="E3602" s="12">
        <v>396</v>
      </c>
      <c r="F3602" s="10" t="str">
        <f>_xlfn.XLOOKUP(C3602,menu!A:A,menu!B:B)</f>
        <v>French Fries</v>
      </c>
      <c r="G3602" s="10" t="str">
        <f>_xlfn.XLOOKUP(C3602,menu!A:A,menu!C:C)</f>
        <v>Starters</v>
      </c>
      <c r="H3602" s="10">
        <f>_xlfn.XLOOKUP(C3602,menu!A:A,menu!E:E)</f>
        <v>30</v>
      </c>
      <c r="I3602" s="10">
        <f t="shared" si="56"/>
        <v>120</v>
      </c>
      <c r="K3602" s="10"/>
      <c r="L3602" s="5"/>
    </row>
    <row r="3603" spans="1:12" x14ac:dyDescent="0.25">
      <c r="A3603" s="5" t="s">
        <v>2258</v>
      </c>
      <c r="B3603" s="5" t="s">
        <v>2255</v>
      </c>
      <c r="C3603" s="5" t="s">
        <v>40</v>
      </c>
      <c r="D3603" s="21">
        <v>4</v>
      </c>
      <c r="E3603" s="12">
        <v>396</v>
      </c>
      <c r="F3603" s="10" t="str">
        <f>_xlfn.XLOOKUP(C3603,menu!A:A,menu!B:B)</f>
        <v>Veg Nuggets</v>
      </c>
      <c r="G3603" s="10" t="str">
        <f>_xlfn.XLOOKUP(C3603,menu!A:A,menu!C:C)</f>
        <v>Starters</v>
      </c>
      <c r="H3603" s="10">
        <f>_xlfn.XLOOKUP(C3603,menu!A:A,menu!E:E)</f>
        <v>30</v>
      </c>
      <c r="I3603" s="10">
        <f t="shared" si="56"/>
        <v>120</v>
      </c>
      <c r="K3603" s="10"/>
      <c r="L3603" s="5"/>
    </row>
    <row r="3604" spans="1:12" x14ac:dyDescent="0.25">
      <c r="A3604" s="5" t="s">
        <v>2257</v>
      </c>
      <c r="B3604" s="5" t="s">
        <v>2255</v>
      </c>
      <c r="C3604" s="5" t="s">
        <v>54</v>
      </c>
      <c r="D3604" s="21">
        <v>4</v>
      </c>
      <c r="E3604" s="12">
        <v>556</v>
      </c>
      <c r="F3604" s="10" t="str">
        <f>_xlfn.XLOOKUP(C3604,menu!A:A,menu!B:B)</f>
        <v>Chicken Strips</v>
      </c>
      <c r="G3604" s="10" t="str">
        <f>_xlfn.XLOOKUP(C3604,menu!A:A,menu!C:C)</f>
        <v>Starters</v>
      </c>
      <c r="H3604" s="10">
        <f>_xlfn.XLOOKUP(C3604,menu!A:A,menu!E:E)</f>
        <v>42</v>
      </c>
      <c r="I3604" s="10">
        <f t="shared" si="56"/>
        <v>168</v>
      </c>
      <c r="K3604" s="10"/>
      <c r="L3604" s="5"/>
    </row>
    <row r="3605" spans="1:12" x14ac:dyDescent="0.25">
      <c r="A3605" s="5" t="s">
        <v>2256</v>
      </c>
      <c r="B3605" s="5" t="s">
        <v>2255</v>
      </c>
      <c r="C3605" s="5" t="s">
        <v>33</v>
      </c>
      <c r="D3605" s="21">
        <v>1</v>
      </c>
      <c r="E3605" s="12">
        <v>69</v>
      </c>
      <c r="F3605" s="10" t="str">
        <f>_xlfn.XLOOKUP(C3605,menu!A:A,menu!B:B)</f>
        <v>Spring Roll</v>
      </c>
      <c r="G3605" s="10" t="str">
        <f>_xlfn.XLOOKUP(C3605,menu!A:A,menu!C:C)</f>
        <v>Rolls</v>
      </c>
      <c r="H3605" s="10">
        <f>_xlfn.XLOOKUP(C3605,menu!A:A,menu!E:E)</f>
        <v>21</v>
      </c>
      <c r="I3605" s="10">
        <f t="shared" si="56"/>
        <v>21</v>
      </c>
      <c r="K3605" s="10"/>
      <c r="L3605" s="5"/>
    </row>
    <row r="3606" spans="1:12" x14ac:dyDescent="0.25">
      <c r="A3606" s="5" t="s">
        <v>2254</v>
      </c>
      <c r="B3606" s="5" t="s">
        <v>2250</v>
      </c>
      <c r="C3606" s="5" t="s">
        <v>19</v>
      </c>
      <c r="D3606" s="21">
        <v>3</v>
      </c>
      <c r="E3606" s="12">
        <v>237</v>
      </c>
      <c r="F3606" s="10" t="str">
        <f>_xlfn.XLOOKUP(C3606,menu!A:A,menu!B:B)</f>
        <v>Veg Burger</v>
      </c>
      <c r="G3606" s="10" t="str">
        <f>_xlfn.XLOOKUP(C3606,menu!A:A,menu!C:C)</f>
        <v>Burger</v>
      </c>
      <c r="H3606" s="10">
        <f>_xlfn.XLOOKUP(C3606,menu!A:A,menu!E:E)</f>
        <v>24</v>
      </c>
      <c r="I3606" s="10">
        <f t="shared" si="56"/>
        <v>72</v>
      </c>
      <c r="K3606" s="10"/>
      <c r="L3606" s="5"/>
    </row>
    <row r="3607" spans="1:12" x14ac:dyDescent="0.25">
      <c r="A3607" s="5" t="s">
        <v>2253</v>
      </c>
      <c r="B3607" s="5" t="s">
        <v>2250</v>
      </c>
      <c r="C3607" s="5" t="s">
        <v>46</v>
      </c>
      <c r="D3607" s="21">
        <v>3</v>
      </c>
      <c r="E3607" s="12">
        <v>447</v>
      </c>
      <c r="F3607" s="10" t="str">
        <f>_xlfn.XLOOKUP(C3607,menu!A:A,menu!B:B)</f>
        <v>Fish Finger</v>
      </c>
      <c r="G3607" s="10" t="str">
        <f>_xlfn.XLOOKUP(C3607,menu!A:A,menu!C:C)</f>
        <v>Starters</v>
      </c>
      <c r="H3607" s="10">
        <f>_xlfn.XLOOKUP(C3607,menu!A:A,menu!E:E)</f>
        <v>45</v>
      </c>
      <c r="I3607" s="10">
        <f t="shared" si="56"/>
        <v>135</v>
      </c>
      <c r="K3607" s="10"/>
      <c r="L3607" s="5"/>
    </row>
    <row r="3608" spans="1:12" x14ac:dyDescent="0.25">
      <c r="A3608" s="5" t="s">
        <v>2252</v>
      </c>
      <c r="B3608" s="5" t="s">
        <v>2250</v>
      </c>
      <c r="C3608" s="5" t="s">
        <v>42</v>
      </c>
      <c r="D3608" s="21">
        <v>1</v>
      </c>
      <c r="E3608" s="12">
        <v>149</v>
      </c>
      <c r="F3608" s="10" t="str">
        <f>_xlfn.XLOOKUP(C3608,menu!A:A,menu!B:B)</f>
        <v>Chicken Popcorn</v>
      </c>
      <c r="G3608" s="10" t="str">
        <f>_xlfn.XLOOKUP(C3608,menu!A:A,menu!C:C)</f>
        <v>Starters</v>
      </c>
      <c r="H3608" s="10">
        <f>_xlfn.XLOOKUP(C3608,menu!A:A,menu!E:E)</f>
        <v>45</v>
      </c>
      <c r="I3608" s="10">
        <f t="shared" si="56"/>
        <v>45</v>
      </c>
      <c r="K3608" s="10"/>
      <c r="L3608" s="5"/>
    </row>
    <row r="3609" spans="1:12" x14ac:dyDescent="0.25">
      <c r="A3609" s="5" t="s">
        <v>2251</v>
      </c>
      <c r="B3609" s="5" t="s">
        <v>2250</v>
      </c>
      <c r="C3609" s="5" t="s">
        <v>8</v>
      </c>
      <c r="D3609" s="21">
        <v>3</v>
      </c>
      <c r="E3609" s="12">
        <v>297</v>
      </c>
      <c r="F3609" s="10" t="str">
        <f>_xlfn.XLOOKUP(C3609,menu!A:A,menu!B:B)</f>
        <v>Paneer Sandwich</v>
      </c>
      <c r="G3609" s="10" t="str">
        <f>_xlfn.XLOOKUP(C3609,menu!A:A,menu!C:C)</f>
        <v>Sandwich</v>
      </c>
      <c r="H3609" s="10">
        <f>_xlfn.XLOOKUP(C3609,menu!A:A,menu!E:E)</f>
        <v>30</v>
      </c>
      <c r="I3609" s="10">
        <f t="shared" si="56"/>
        <v>90</v>
      </c>
      <c r="K3609" s="10"/>
      <c r="L3609" s="5"/>
    </row>
    <row r="3610" spans="1:12" x14ac:dyDescent="0.25">
      <c r="A3610" s="5" t="s">
        <v>2249</v>
      </c>
      <c r="B3610" s="5" t="s">
        <v>2245</v>
      </c>
      <c r="C3610" s="5" t="s">
        <v>10</v>
      </c>
      <c r="D3610" s="21">
        <v>1</v>
      </c>
      <c r="E3610" s="12">
        <v>119</v>
      </c>
      <c r="F3610" s="10" t="str">
        <f>_xlfn.XLOOKUP(C3610,menu!A:A,menu!B:B)</f>
        <v>Chicken Sandwich</v>
      </c>
      <c r="G3610" s="10" t="str">
        <f>_xlfn.XLOOKUP(C3610,menu!A:A,menu!C:C)</f>
        <v>Sandwich</v>
      </c>
      <c r="H3610" s="10">
        <f>_xlfn.XLOOKUP(C3610,menu!A:A,menu!E:E)</f>
        <v>36</v>
      </c>
      <c r="I3610" s="10">
        <f t="shared" si="56"/>
        <v>36</v>
      </c>
      <c r="K3610" s="10"/>
      <c r="L3610" s="5"/>
    </row>
    <row r="3611" spans="1:12" x14ac:dyDescent="0.25">
      <c r="A3611" s="5" t="s">
        <v>2248</v>
      </c>
      <c r="B3611" s="5" t="s">
        <v>2245</v>
      </c>
      <c r="C3611" s="5" t="s">
        <v>42</v>
      </c>
      <c r="D3611" s="21">
        <v>1</v>
      </c>
      <c r="E3611" s="12">
        <v>149</v>
      </c>
      <c r="F3611" s="10" t="str">
        <f>_xlfn.XLOOKUP(C3611,menu!A:A,menu!B:B)</f>
        <v>Chicken Popcorn</v>
      </c>
      <c r="G3611" s="10" t="str">
        <f>_xlfn.XLOOKUP(C3611,menu!A:A,menu!C:C)</f>
        <v>Starters</v>
      </c>
      <c r="H3611" s="10">
        <f>_xlfn.XLOOKUP(C3611,menu!A:A,menu!E:E)</f>
        <v>45</v>
      </c>
      <c r="I3611" s="10">
        <f t="shared" si="56"/>
        <v>45</v>
      </c>
      <c r="K3611" s="10"/>
      <c r="L3611" s="5"/>
    </row>
    <row r="3612" spans="1:12" x14ac:dyDescent="0.25">
      <c r="A3612" s="5" t="s">
        <v>2247</v>
      </c>
      <c r="B3612" s="5" t="s">
        <v>2245</v>
      </c>
      <c r="C3612" s="5" t="s">
        <v>52</v>
      </c>
      <c r="D3612" s="21">
        <v>1</v>
      </c>
      <c r="E3612" s="12">
        <v>99</v>
      </c>
      <c r="F3612" s="10" t="str">
        <f>_xlfn.XLOOKUP(C3612,menu!A:A,menu!B:B)</f>
        <v>French Fries</v>
      </c>
      <c r="G3612" s="10" t="str">
        <f>_xlfn.XLOOKUP(C3612,menu!A:A,menu!C:C)</f>
        <v>Starters</v>
      </c>
      <c r="H3612" s="10">
        <f>_xlfn.XLOOKUP(C3612,menu!A:A,menu!E:E)</f>
        <v>30</v>
      </c>
      <c r="I3612" s="10">
        <f t="shared" si="56"/>
        <v>30</v>
      </c>
      <c r="K3612" s="10"/>
      <c r="L3612" s="5"/>
    </row>
    <row r="3613" spans="1:12" x14ac:dyDescent="0.25">
      <c r="A3613" s="5" t="s">
        <v>2246</v>
      </c>
      <c r="B3613" s="5" t="s">
        <v>2245</v>
      </c>
      <c r="C3613" s="5" t="s">
        <v>48</v>
      </c>
      <c r="D3613" s="21">
        <v>2</v>
      </c>
      <c r="E3613" s="12">
        <v>318</v>
      </c>
      <c r="F3613" s="10" t="str">
        <f>_xlfn.XLOOKUP(C3613,menu!A:A,menu!B:B)</f>
        <v>Chicken Lollipop</v>
      </c>
      <c r="G3613" s="10" t="str">
        <f>_xlfn.XLOOKUP(C3613,menu!A:A,menu!C:C)</f>
        <v>Starters</v>
      </c>
      <c r="H3613" s="10">
        <f>_xlfn.XLOOKUP(C3613,menu!A:A,menu!E:E)</f>
        <v>48</v>
      </c>
      <c r="I3613" s="10">
        <f t="shared" si="56"/>
        <v>96</v>
      </c>
      <c r="K3613" s="10"/>
      <c r="L3613" s="5"/>
    </row>
    <row r="3614" spans="1:12" x14ac:dyDescent="0.25">
      <c r="A3614" s="5" t="s">
        <v>2244</v>
      </c>
      <c r="B3614" s="5" t="s">
        <v>2242</v>
      </c>
      <c r="C3614" s="5" t="s">
        <v>29</v>
      </c>
      <c r="D3614" s="21">
        <v>2</v>
      </c>
      <c r="E3614" s="12">
        <v>158</v>
      </c>
      <c r="F3614" s="10" t="str">
        <f>_xlfn.XLOOKUP(C3614,menu!A:A,menu!B:B)</f>
        <v>Paneer Roll</v>
      </c>
      <c r="G3614" s="10" t="str">
        <f>_xlfn.XLOOKUP(C3614,menu!A:A,menu!C:C)</f>
        <v>Rolls</v>
      </c>
      <c r="H3614" s="10">
        <f>_xlfn.XLOOKUP(C3614,menu!A:A,menu!E:E)</f>
        <v>24</v>
      </c>
      <c r="I3614" s="10">
        <f t="shared" si="56"/>
        <v>48</v>
      </c>
      <c r="K3614" s="10"/>
      <c r="L3614" s="5"/>
    </row>
    <row r="3615" spans="1:12" x14ac:dyDescent="0.25">
      <c r="A3615" s="5" t="s">
        <v>2243</v>
      </c>
      <c r="B3615" s="5" t="s">
        <v>2242</v>
      </c>
      <c r="C3615" s="5" t="s">
        <v>10</v>
      </c>
      <c r="D3615" s="21">
        <v>1</v>
      </c>
      <c r="E3615" s="12">
        <v>119</v>
      </c>
      <c r="F3615" s="10" t="str">
        <f>_xlfn.XLOOKUP(C3615,menu!A:A,menu!B:B)</f>
        <v>Chicken Sandwich</v>
      </c>
      <c r="G3615" s="10" t="str">
        <f>_xlfn.XLOOKUP(C3615,menu!A:A,menu!C:C)</f>
        <v>Sandwich</v>
      </c>
      <c r="H3615" s="10">
        <f>_xlfn.XLOOKUP(C3615,menu!A:A,menu!E:E)</f>
        <v>36</v>
      </c>
      <c r="I3615" s="10">
        <f t="shared" si="56"/>
        <v>36</v>
      </c>
      <c r="K3615" s="10"/>
      <c r="L3615" s="5"/>
    </row>
    <row r="3616" spans="1:12" x14ac:dyDescent="0.25">
      <c r="A3616" s="5" t="s">
        <v>2241</v>
      </c>
      <c r="B3616" s="5" t="s">
        <v>2239</v>
      </c>
      <c r="C3616" s="5" t="s">
        <v>33</v>
      </c>
      <c r="D3616" s="21">
        <v>2</v>
      </c>
      <c r="E3616" s="12">
        <v>138</v>
      </c>
      <c r="F3616" s="10" t="str">
        <f>_xlfn.XLOOKUP(C3616,menu!A:A,menu!B:B)</f>
        <v>Spring Roll</v>
      </c>
      <c r="G3616" s="10" t="str">
        <f>_xlfn.XLOOKUP(C3616,menu!A:A,menu!C:C)</f>
        <v>Rolls</v>
      </c>
      <c r="H3616" s="10">
        <f>_xlfn.XLOOKUP(C3616,menu!A:A,menu!E:E)</f>
        <v>21</v>
      </c>
      <c r="I3616" s="10">
        <f t="shared" si="56"/>
        <v>42</v>
      </c>
      <c r="K3616" s="10"/>
      <c r="L3616" s="5"/>
    </row>
    <row r="3617" spans="1:12" x14ac:dyDescent="0.25">
      <c r="A3617" s="5" t="s">
        <v>2240</v>
      </c>
      <c r="B3617" s="5" t="s">
        <v>2239</v>
      </c>
      <c r="C3617" s="5" t="s">
        <v>38</v>
      </c>
      <c r="D3617" s="21">
        <v>3</v>
      </c>
      <c r="E3617" s="12">
        <v>447</v>
      </c>
      <c r="F3617" s="10" t="str">
        <f>_xlfn.XLOOKUP(C3617,menu!A:A,menu!B:B)</f>
        <v>Chicken Wings</v>
      </c>
      <c r="G3617" s="10" t="str">
        <f>_xlfn.XLOOKUP(C3617,menu!A:A,menu!C:C)</f>
        <v>Starters</v>
      </c>
      <c r="H3617" s="10">
        <f>_xlfn.XLOOKUP(C3617,menu!A:A,menu!E:E)</f>
        <v>45</v>
      </c>
      <c r="I3617" s="10">
        <f t="shared" si="56"/>
        <v>135</v>
      </c>
      <c r="K3617" s="10"/>
      <c r="L3617" s="5"/>
    </row>
    <row r="3618" spans="1:12" x14ac:dyDescent="0.25">
      <c r="A3618" s="5" t="s">
        <v>2238</v>
      </c>
      <c r="B3618" s="5" t="s">
        <v>2237</v>
      </c>
      <c r="C3618" s="5" t="s">
        <v>44</v>
      </c>
      <c r="D3618" s="21">
        <v>2</v>
      </c>
      <c r="E3618" s="12">
        <v>318</v>
      </c>
      <c r="F3618" s="10" t="str">
        <f>_xlfn.XLOOKUP(C3618,menu!A:A,menu!B:B)</f>
        <v>Fried Chicken</v>
      </c>
      <c r="G3618" s="10" t="str">
        <f>_xlfn.XLOOKUP(C3618,menu!A:A,menu!C:C)</f>
        <v>Starters</v>
      </c>
      <c r="H3618" s="10">
        <f>_xlfn.XLOOKUP(C3618,menu!A:A,menu!E:E)</f>
        <v>48</v>
      </c>
      <c r="I3618" s="10">
        <f t="shared" si="56"/>
        <v>96</v>
      </c>
      <c r="K3618" s="10"/>
      <c r="L3618" s="5"/>
    </row>
    <row r="3619" spans="1:12" x14ac:dyDescent="0.25">
      <c r="A3619" s="5" t="s">
        <v>2236</v>
      </c>
      <c r="B3619" s="5" t="s">
        <v>2233</v>
      </c>
      <c r="C3619" s="5" t="s">
        <v>12</v>
      </c>
      <c r="D3619" s="21">
        <v>1</v>
      </c>
      <c r="E3619" s="12">
        <v>79</v>
      </c>
      <c r="F3619" s="10" t="str">
        <f>_xlfn.XLOOKUP(C3619,menu!A:A,menu!B:B)</f>
        <v>Veg Momos</v>
      </c>
      <c r="G3619" s="10" t="str">
        <f>_xlfn.XLOOKUP(C3619,menu!A:A,menu!C:C)</f>
        <v>Momos</v>
      </c>
      <c r="H3619" s="10">
        <f>_xlfn.XLOOKUP(C3619,menu!A:A,menu!E:E)</f>
        <v>24</v>
      </c>
      <c r="I3619" s="10">
        <f t="shared" si="56"/>
        <v>24</v>
      </c>
      <c r="K3619" s="10"/>
      <c r="L3619" s="5"/>
    </row>
    <row r="3620" spans="1:12" x14ac:dyDescent="0.25">
      <c r="A3620" s="5" t="s">
        <v>2235</v>
      </c>
      <c r="B3620" s="5" t="s">
        <v>2233</v>
      </c>
      <c r="C3620" s="5" t="s">
        <v>52</v>
      </c>
      <c r="D3620" s="21">
        <v>3</v>
      </c>
      <c r="E3620" s="12">
        <v>297</v>
      </c>
      <c r="F3620" s="10" t="str">
        <f>_xlfn.XLOOKUP(C3620,menu!A:A,menu!B:B)</f>
        <v>French Fries</v>
      </c>
      <c r="G3620" s="10" t="str">
        <f>_xlfn.XLOOKUP(C3620,menu!A:A,menu!C:C)</f>
        <v>Starters</v>
      </c>
      <c r="H3620" s="10">
        <f>_xlfn.XLOOKUP(C3620,menu!A:A,menu!E:E)</f>
        <v>30</v>
      </c>
      <c r="I3620" s="10">
        <f t="shared" si="56"/>
        <v>90</v>
      </c>
      <c r="K3620" s="10"/>
      <c r="L3620" s="5"/>
    </row>
    <row r="3621" spans="1:12" x14ac:dyDescent="0.25">
      <c r="A3621" s="5" t="s">
        <v>2234</v>
      </c>
      <c r="B3621" s="5" t="s">
        <v>2233</v>
      </c>
      <c r="C3621" s="5" t="s">
        <v>50</v>
      </c>
      <c r="D3621" s="21">
        <v>1</v>
      </c>
      <c r="E3621" s="12">
        <v>149</v>
      </c>
      <c r="F3621" s="10" t="str">
        <f>_xlfn.XLOOKUP(C3621,menu!A:A,menu!B:B)</f>
        <v>Grab Lollipop</v>
      </c>
      <c r="G3621" s="10" t="str">
        <f>_xlfn.XLOOKUP(C3621,menu!A:A,menu!C:C)</f>
        <v>Starters</v>
      </c>
      <c r="H3621" s="10">
        <f>_xlfn.XLOOKUP(C3621,menu!A:A,menu!E:E)</f>
        <v>45</v>
      </c>
      <c r="I3621" s="10">
        <f t="shared" si="56"/>
        <v>45</v>
      </c>
      <c r="K3621" s="10"/>
      <c r="L3621" s="5"/>
    </row>
    <row r="3622" spans="1:12" x14ac:dyDescent="0.25">
      <c r="A3622" s="5" t="s">
        <v>2232</v>
      </c>
      <c r="B3622" s="5" t="s">
        <v>2230</v>
      </c>
      <c r="C3622" s="5" t="s">
        <v>15</v>
      </c>
      <c r="D3622" s="21">
        <v>2</v>
      </c>
      <c r="E3622" s="12">
        <v>198</v>
      </c>
      <c r="F3622" s="10" t="str">
        <f>_xlfn.XLOOKUP(C3622,menu!A:A,menu!B:B)</f>
        <v>Chicken Momos</v>
      </c>
      <c r="G3622" s="10" t="str">
        <f>_xlfn.XLOOKUP(C3622,menu!A:A,menu!C:C)</f>
        <v>Momos</v>
      </c>
      <c r="H3622" s="10">
        <f>_xlfn.XLOOKUP(C3622,menu!A:A,menu!E:E)</f>
        <v>30</v>
      </c>
      <c r="I3622" s="10">
        <f t="shared" si="56"/>
        <v>60</v>
      </c>
      <c r="K3622" s="10"/>
      <c r="L3622" s="5"/>
    </row>
    <row r="3623" spans="1:12" x14ac:dyDescent="0.25">
      <c r="A3623" s="5" t="s">
        <v>2231</v>
      </c>
      <c r="B3623" s="5" t="s">
        <v>2230</v>
      </c>
      <c r="C3623" s="5" t="s">
        <v>38</v>
      </c>
      <c r="D3623" s="21">
        <v>1</v>
      </c>
      <c r="E3623" s="12">
        <v>149</v>
      </c>
      <c r="F3623" s="10" t="str">
        <f>_xlfn.XLOOKUP(C3623,menu!A:A,menu!B:B)</f>
        <v>Chicken Wings</v>
      </c>
      <c r="G3623" s="10" t="str">
        <f>_xlfn.XLOOKUP(C3623,menu!A:A,menu!C:C)</f>
        <v>Starters</v>
      </c>
      <c r="H3623" s="10">
        <f>_xlfn.XLOOKUP(C3623,menu!A:A,menu!E:E)</f>
        <v>45</v>
      </c>
      <c r="I3623" s="10">
        <f t="shared" si="56"/>
        <v>45</v>
      </c>
      <c r="K3623" s="10"/>
      <c r="L3623" s="5"/>
    </row>
    <row r="3624" spans="1:12" x14ac:dyDescent="0.25">
      <c r="A3624" s="5" t="s">
        <v>2229</v>
      </c>
      <c r="B3624" s="5" t="s">
        <v>2226</v>
      </c>
      <c r="C3624" s="5" t="s">
        <v>35</v>
      </c>
      <c r="D3624" s="21">
        <v>1</v>
      </c>
      <c r="E3624" s="12">
        <v>119</v>
      </c>
      <c r="F3624" s="10" t="str">
        <f>_xlfn.XLOOKUP(C3624,menu!A:A,menu!B:B)</f>
        <v>Chicken Nuggets</v>
      </c>
      <c r="G3624" s="10" t="str">
        <f>_xlfn.XLOOKUP(C3624,menu!A:A,menu!C:C)</f>
        <v>Starters</v>
      </c>
      <c r="H3624" s="10">
        <f>_xlfn.XLOOKUP(C3624,menu!A:A,menu!E:E)</f>
        <v>36</v>
      </c>
      <c r="I3624" s="10">
        <f t="shared" si="56"/>
        <v>36</v>
      </c>
      <c r="K3624" s="10"/>
      <c r="L3624" s="5"/>
    </row>
    <row r="3625" spans="1:12" x14ac:dyDescent="0.25">
      <c r="A3625" s="5" t="s">
        <v>2228</v>
      </c>
      <c r="B3625" s="5" t="s">
        <v>2226</v>
      </c>
      <c r="C3625" s="5" t="s">
        <v>8</v>
      </c>
      <c r="D3625" s="21">
        <v>2</v>
      </c>
      <c r="E3625" s="12">
        <v>198</v>
      </c>
      <c r="F3625" s="10" t="str">
        <f>_xlfn.XLOOKUP(C3625,menu!A:A,menu!B:B)</f>
        <v>Paneer Sandwich</v>
      </c>
      <c r="G3625" s="10" t="str">
        <f>_xlfn.XLOOKUP(C3625,menu!A:A,menu!C:C)</f>
        <v>Sandwich</v>
      </c>
      <c r="H3625" s="10">
        <f>_xlfn.XLOOKUP(C3625,menu!A:A,menu!E:E)</f>
        <v>30</v>
      </c>
      <c r="I3625" s="10">
        <f t="shared" si="56"/>
        <v>60</v>
      </c>
      <c r="K3625" s="10"/>
      <c r="L3625" s="5"/>
    </row>
    <row r="3626" spans="1:12" x14ac:dyDescent="0.25">
      <c r="A3626" s="5" t="s">
        <v>2227</v>
      </c>
      <c r="B3626" s="5" t="s">
        <v>2226</v>
      </c>
      <c r="C3626" s="5" t="s">
        <v>48</v>
      </c>
      <c r="D3626" s="21">
        <v>2</v>
      </c>
      <c r="E3626" s="12">
        <v>318</v>
      </c>
      <c r="F3626" s="10" t="str">
        <f>_xlfn.XLOOKUP(C3626,menu!A:A,menu!B:B)</f>
        <v>Chicken Lollipop</v>
      </c>
      <c r="G3626" s="10" t="str">
        <f>_xlfn.XLOOKUP(C3626,menu!A:A,menu!C:C)</f>
        <v>Starters</v>
      </c>
      <c r="H3626" s="10">
        <f>_xlfn.XLOOKUP(C3626,menu!A:A,menu!E:E)</f>
        <v>48</v>
      </c>
      <c r="I3626" s="10">
        <f t="shared" si="56"/>
        <v>96</v>
      </c>
      <c r="K3626" s="10"/>
      <c r="L3626" s="5"/>
    </row>
    <row r="3627" spans="1:12" x14ac:dyDescent="0.25">
      <c r="A3627" s="5" t="s">
        <v>2225</v>
      </c>
      <c r="B3627" s="5" t="s">
        <v>2221</v>
      </c>
      <c r="C3627" s="5" t="s">
        <v>50</v>
      </c>
      <c r="D3627" s="21">
        <v>2</v>
      </c>
      <c r="E3627" s="12">
        <v>298</v>
      </c>
      <c r="F3627" s="10" t="str">
        <f>_xlfn.XLOOKUP(C3627,menu!A:A,menu!B:B)</f>
        <v>Grab Lollipop</v>
      </c>
      <c r="G3627" s="10" t="str">
        <f>_xlfn.XLOOKUP(C3627,menu!A:A,menu!C:C)</f>
        <v>Starters</v>
      </c>
      <c r="H3627" s="10">
        <f>_xlfn.XLOOKUP(C3627,menu!A:A,menu!E:E)</f>
        <v>45</v>
      </c>
      <c r="I3627" s="10">
        <f t="shared" si="56"/>
        <v>90</v>
      </c>
      <c r="K3627" s="10"/>
      <c r="L3627" s="5"/>
    </row>
    <row r="3628" spans="1:12" x14ac:dyDescent="0.25">
      <c r="A3628" s="5" t="s">
        <v>2224</v>
      </c>
      <c r="B3628" s="5" t="s">
        <v>2221</v>
      </c>
      <c r="C3628" s="5" t="s">
        <v>35</v>
      </c>
      <c r="D3628" s="21">
        <v>3</v>
      </c>
      <c r="E3628" s="12">
        <v>357</v>
      </c>
      <c r="F3628" s="10" t="str">
        <f>_xlfn.XLOOKUP(C3628,menu!A:A,menu!B:B)</f>
        <v>Chicken Nuggets</v>
      </c>
      <c r="G3628" s="10" t="str">
        <f>_xlfn.XLOOKUP(C3628,menu!A:A,menu!C:C)</f>
        <v>Starters</v>
      </c>
      <c r="H3628" s="10">
        <f>_xlfn.XLOOKUP(C3628,menu!A:A,menu!E:E)</f>
        <v>36</v>
      </c>
      <c r="I3628" s="10">
        <f t="shared" si="56"/>
        <v>108</v>
      </c>
      <c r="K3628" s="10"/>
      <c r="L3628" s="5"/>
    </row>
    <row r="3629" spans="1:12" x14ac:dyDescent="0.25">
      <c r="A3629" s="5" t="s">
        <v>2223</v>
      </c>
      <c r="B3629" s="5" t="s">
        <v>2221</v>
      </c>
      <c r="C3629" s="5" t="s">
        <v>54</v>
      </c>
      <c r="D3629" s="21">
        <v>1</v>
      </c>
      <c r="E3629" s="12">
        <v>139</v>
      </c>
      <c r="F3629" s="10" t="str">
        <f>_xlfn.XLOOKUP(C3629,menu!A:A,menu!B:B)</f>
        <v>Chicken Strips</v>
      </c>
      <c r="G3629" s="10" t="str">
        <f>_xlfn.XLOOKUP(C3629,menu!A:A,menu!C:C)</f>
        <v>Starters</v>
      </c>
      <c r="H3629" s="10">
        <f>_xlfn.XLOOKUP(C3629,menu!A:A,menu!E:E)</f>
        <v>42</v>
      </c>
      <c r="I3629" s="10">
        <f t="shared" si="56"/>
        <v>42</v>
      </c>
      <c r="K3629" s="10"/>
      <c r="L3629" s="5"/>
    </row>
    <row r="3630" spans="1:12" x14ac:dyDescent="0.25">
      <c r="A3630" s="5" t="s">
        <v>2222</v>
      </c>
      <c r="B3630" s="5" t="s">
        <v>2221</v>
      </c>
      <c r="C3630" s="5" t="s">
        <v>48</v>
      </c>
      <c r="D3630" s="21">
        <v>1</v>
      </c>
      <c r="E3630" s="12">
        <v>159</v>
      </c>
      <c r="F3630" s="10" t="str">
        <f>_xlfn.XLOOKUP(C3630,menu!A:A,menu!B:B)</f>
        <v>Chicken Lollipop</v>
      </c>
      <c r="G3630" s="10" t="str">
        <f>_xlfn.XLOOKUP(C3630,menu!A:A,menu!C:C)</f>
        <v>Starters</v>
      </c>
      <c r="H3630" s="10">
        <f>_xlfn.XLOOKUP(C3630,menu!A:A,menu!E:E)</f>
        <v>48</v>
      </c>
      <c r="I3630" s="10">
        <f t="shared" si="56"/>
        <v>48</v>
      </c>
      <c r="K3630" s="10"/>
      <c r="L3630" s="5"/>
    </row>
    <row r="3631" spans="1:12" x14ac:dyDescent="0.25">
      <c r="A3631" s="5" t="s">
        <v>2220</v>
      </c>
      <c r="B3631" s="5" t="s">
        <v>2217</v>
      </c>
      <c r="C3631" s="5" t="s">
        <v>44</v>
      </c>
      <c r="D3631" s="21">
        <v>2</v>
      </c>
      <c r="E3631" s="12">
        <v>318</v>
      </c>
      <c r="F3631" s="10" t="str">
        <f>_xlfn.XLOOKUP(C3631,menu!A:A,menu!B:B)</f>
        <v>Fried Chicken</v>
      </c>
      <c r="G3631" s="10" t="str">
        <f>_xlfn.XLOOKUP(C3631,menu!A:A,menu!C:C)</f>
        <v>Starters</v>
      </c>
      <c r="H3631" s="10">
        <f>_xlfn.XLOOKUP(C3631,menu!A:A,menu!E:E)</f>
        <v>48</v>
      </c>
      <c r="I3631" s="10">
        <f t="shared" si="56"/>
        <v>96</v>
      </c>
      <c r="K3631" s="10"/>
      <c r="L3631" s="5"/>
    </row>
    <row r="3632" spans="1:12" x14ac:dyDescent="0.25">
      <c r="A3632" s="5" t="s">
        <v>2219</v>
      </c>
      <c r="B3632" s="5" t="s">
        <v>2217</v>
      </c>
      <c r="C3632" s="5" t="s">
        <v>46</v>
      </c>
      <c r="D3632" s="21">
        <v>2</v>
      </c>
      <c r="E3632" s="12">
        <v>298</v>
      </c>
      <c r="F3632" s="10" t="str">
        <f>_xlfn.XLOOKUP(C3632,menu!A:A,menu!B:B)</f>
        <v>Fish Finger</v>
      </c>
      <c r="G3632" s="10" t="str">
        <f>_xlfn.XLOOKUP(C3632,menu!A:A,menu!C:C)</f>
        <v>Starters</v>
      </c>
      <c r="H3632" s="10">
        <f>_xlfn.XLOOKUP(C3632,menu!A:A,menu!E:E)</f>
        <v>45</v>
      </c>
      <c r="I3632" s="10">
        <f t="shared" si="56"/>
        <v>90</v>
      </c>
      <c r="K3632" s="10"/>
      <c r="L3632" s="5"/>
    </row>
    <row r="3633" spans="1:12" x14ac:dyDescent="0.25">
      <c r="A3633" s="5" t="s">
        <v>2218</v>
      </c>
      <c r="B3633" s="5" t="s">
        <v>2217</v>
      </c>
      <c r="C3633" s="5" t="s">
        <v>48</v>
      </c>
      <c r="D3633" s="21">
        <v>1</v>
      </c>
      <c r="E3633" s="12">
        <v>159</v>
      </c>
      <c r="F3633" s="10" t="str">
        <f>_xlfn.XLOOKUP(C3633,menu!A:A,menu!B:B)</f>
        <v>Chicken Lollipop</v>
      </c>
      <c r="G3633" s="10" t="str">
        <f>_xlfn.XLOOKUP(C3633,menu!A:A,menu!C:C)</f>
        <v>Starters</v>
      </c>
      <c r="H3633" s="10">
        <f>_xlfn.XLOOKUP(C3633,menu!A:A,menu!E:E)</f>
        <v>48</v>
      </c>
      <c r="I3633" s="10">
        <f t="shared" si="56"/>
        <v>48</v>
      </c>
      <c r="K3633" s="10"/>
      <c r="L3633" s="5"/>
    </row>
    <row r="3634" spans="1:12" x14ac:dyDescent="0.25">
      <c r="A3634" s="5" t="s">
        <v>2216</v>
      </c>
      <c r="B3634" s="5" t="s">
        <v>2213</v>
      </c>
      <c r="C3634" s="5" t="s">
        <v>50</v>
      </c>
      <c r="D3634" s="21">
        <v>5</v>
      </c>
      <c r="E3634" s="12">
        <v>745</v>
      </c>
      <c r="F3634" s="10" t="str">
        <f>_xlfn.XLOOKUP(C3634,menu!A:A,menu!B:B)</f>
        <v>Grab Lollipop</v>
      </c>
      <c r="G3634" s="10" t="str">
        <f>_xlfn.XLOOKUP(C3634,menu!A:A,menu!C:C)</f>
        <v>Starters</v>
      </c>
      <c r="H3634" s="10">
        <f>_xlfn.XLOOKUP(C3634,menu!A:A,menu!E:E)</f>
        <v>45</v>
      </c>
      <c r="I3634" s="10">
        <f t="shared" si="56"/>
        <v>225</v>
      </c>
      <c r="K3634" s="10"/>
      <c r="L3634" s="5"/>
    </row>
    <row r="3635" spans="1:12" x14ac:dyDescent="0.25">
      <c r="A3635" s="5" t="s">
        <v>2215</v>
      </c>
      <c r="B3635" s="5" t="s">
        <v>2213</v>
      </c>
      <c r="C3635" s="5" t="s">
        <v>61</v>
      </c>
      <c r="D3635" s="21">
        <v>3</v>
      </c>
      <c r="E3635" s="12">
        <v>237</v>
      </c>
      <c r="F3635" s="10" t="str">
        <f>_xlfn.XLOOKUP(C3635,menu!A:A,menu!B:B)</f>
        <v>Watermelon Mojito</v>
      </c>
      <c r="G3635" s="10" t="str">
        <f>_xlfn.XLOOKUP(C3635,menu!A:A,menu!C:C)</f>
        <v>Beverages</v>
      </c>
      <c r="H3635" s="10">
        <f>_xlfn.XLOOKUP(C3635,menu!A:A,menu!E:E)</f>
        <v>24</v>
      </c>
      <c r="I3635" s="10">
        <f t="shared" si="56"/>
        <v>72</v>
      </c>
      <c r="K3635" s="10"/>
      <c r="L3635" s="5"/>
    </row>
    <row r="3636" spans="1:12" x14ac:dyDescent="0.25">
      <c r="A3636" s="5" t="s">
        <v>2214</v>
      </c>
      <c r="B3636" s="5" t="s">
        <v>2213</v>
      </c>
      <c r="C3636" s="5" t="s">
        <v>48</v>
      </c>
      <c r="D3636" s="21">
        <v>3</v>
      </c>
      <c r="E3636" s="12">
        <v>477</v>
      </c>
      <c r="F3636" s="10" t="str">
        <f>_xlfn.XLOOKUP(C3636,menu!A:A,menu!B:B)</f>
        <v>Chicken Lollipop</v>
      </c>
      <c r="G3636" s="10" t="str">
        <f>_xlfn.XLOOKUP(C3636,menu!A:A,menu!C:C)</f>
        <v>Starters</v>
      </c>
      <c r="H3636" s="10">
        <f>_xlfn.XLOOKUP(C3636,menu!A:A,menu!E:E)</f>
        <v>48</v>
      </c>
      <c r="I3636" s="10">
        <f t="shared" si="56"/>
        <v>144</v>
      </c>
      <c r="K3636" s="10"/>
      <c r="L3636" s="5"/>
    </row>
    <row r="3637" spans="1:12" x14ac:dyDescent="0.25">
      <c r="A3637" s="5" t="s">
        <v>2212</v>
      </c>
      <c r="B3637" s="5" t="s">
        <v>2211</v>
      </c>
      <c r="C3637" s="5" t="s">
        <v>8</v>
      </c>
      <c r="D3637" s="21">
        <v>2</v>
      </c>
      <c r="E3637" s="12">
        <v>198</v>
      </c>
      <c r="F3637" s="10" t="str">
        <f>_xlfn.XLOOKUP(C3637,menu!A:A,menu!B:B)</f>
        <v>Paneer Sandwich</v>
      </c>
      <c r="G3637" s="10" t="str">
        <f>_xlfn.XLOOKUP(C3637,menu!A:A,menu!C:C)</f>
        <v>Sandwich</v>
      </c>
      <c r="H3637" s="10">
        <f>_xlfn.XLOOKUP(C3637,menu!A:A,menu!E:E)</f>
        <v>30</v>
      </c>
      <c r="I3637" s="10">
        <f t="shared" si="56"/>
        <v>60</v>
      </c>
      <c r="K3637" s="10"/>
      <c r="L3637" s="5"/>
    </row>
    <row r="3638" spans="1:12" x14ac:dyDescent="0.25">
      <c r="A3638" s="5" t="s">
        <v>2210</v>
      </c>
      <c r="B3638" s="5" t="s">
        <v>2208</v>
      </c>
      <c r="C3638" s="5" t="s">
        <v>22</v>
      </c>
      <c r="D3638" s="21">
        <v>5</v>
      </c>
      <c r="E3638" s="12">
        <v>495</v>
      </c>
      <c r="F3638" s="10" t="str">
        <f>_xlfn.XLOOKUP(C3638,menu!A:A,menu!B:B)</f>
        <v>Chicken Burger</v>
      </c>
      <c r="G3638" s="10" t="str">
        <f>_xlfn.XLOOKUP(C3638,menu!A:A,menu!C:C)</f>
        <v>Burger</v>
      </c>
      <c r="H3638" s="10">
        <f>_xlfn.XLOOKUP(C3638,menu!A:A,menu!E:E)</f>
        <v>30</v>
      </c>
      <c r="I3638" s="10">
        <f t="shared" si="56"/>
        <v>150</v>
      </c>
      <c r="K3638" s="10"/>
      <c r="L3638" s="5"/>
    </row>
    <row r="3639" spans="1:12" x14ac:dyDescent="0.25">
      <c r="A3639" s="5" t="s">
        <v>2209</v>
      </c>
      <c r="B3639" s="5" t="s">
        <v>2208</v>
      </c>
      <c r="C3639" s="5" t="s">
        <v>38</v>
      </c>
      <c r="D3639" s="21">
        <v>2</v>
      </c>
      <c r="E3639" s="12">
        <v>298</v>
      </c>
      <c r="F3639" s="10" t="str">
        <f>_xlfn.XLOOKUP(C3639,menu!A:A,menu!B:B)</f>
        <v>Chicken Wings</v>
      </c>
      <c r="G3639" s="10" t="str">
        <f>_xlfn.XLOOKUP(C3639,menu!A:A,menu!C:C)</f>
        <v>Starters</v>
      </c>
      <c r="H3639" s="10">
        <f>_xlfn.XLOOKUP(C3639,menu!A:A,menu!E:E)</f>
        <v>45</v>
      </c>
      <c r="I3639" s="10">
        <f t="shared" si="56"/>
        <v>90</v>
      </c>
      <c r="K3639" s="10"/>
      <c r="L3639" s="5"/>
    </row>
    <row r="3640" spans="1:12" x14ac:dyDescent="0.25">
      <c r="A3640" s="5" t="s">
        <v>2207</v>
      </c>
      <c r="B3640" s="5" t="s">
        <v>2206</v>
      </c>
      <c r="C3640" s="5" t="s">
        <v>19</v>
      </c>
      <c r="D3640" s="21">
        <v>1</v>
      </c>
      <c r="E3640" s="12">
        <v>79</v>
      </c>
      <c r="F3640" s="10" t="str">
        <f>_xlfn.XLOOKUP(C3640,menu!A:A,menu!B:B)</f>
        <v>Veg Burger</v>
      </c>
      <c r="G3640" s="10" t="str">
        <f>_xlfn.XLOOKUP(C3640,menu!A:A,menu!C:C)</f>
        <v>Burger</v>
      </c>
      <c r="H3640" s="10">
        <f>_xlfn.XLOOKUP(C3640,menu!A:A,menu!E:E)</f>
        <v>24</v>
      </c>
      <c r="I3640" s="10">
        <f t="shared" si="56"/>
        <v>24</v>
      </c>
      <c r="K3640" s="10"/>
      <c r="L3640" s="5"/>
    </row>
    <row r="3641" spans="1:12" x14ac:dyDescent="0.25">
      <c r="A3641" s="5" t="s">
        <v>2205</v>
      </c>
      <c r="B3641" s="5" t="s">
        <v>2203</v>
      </c>
      <c r="C3641" s="5" t="s">
        <v>42</v>
      </c>
      <c r="D3641" s="21">
        <v>2</v>
      </c>
      <c r="E3641" s="12">
        <v>298</v>
      </c>
      <c r="F3641" s="10" t="str">
        <f>_xlfn.XLOOKUP(C3641,menu!A:A,menu!B:B)</f>
        <v>Chicken Popcorn</v>
      </c>
      <c r="G3641" s="10" t="str">
        <f>_xlfn.XLOOKUP(C3641,menu!A:A,menu!C:C)</f>
        <v>Starters</v>
      </c>
      <c r="H3641" s="10">
        <f>_xlfn.XLOOKUP(C3641,menu!A:A,menu!E:E)</f>
        <v>45</v>
      </c>
      <c r="I3641" s="10">
        <f t="shared" si="56"/>
        <v>90</v>
      </c>
      <c r="K3641" s="10"/>
      <c r="L3641" s="5"/>
    </row>
    <row r="3642" spans="1:12" x14ac:dyDescent="0.25">
      <c r="A3642" s="5" t="s">
        <v>2204</v>
      </c>
      <c r="B3642" s="5" t="s">
        <v>2203</v>
      </c>
      <c r="C3642" s="5" t="s">
        <v>59</v>
      </c>
      <c r="D3642" s="21">
        <v>1</v>
      </c>
      <c r="E3642" s="12">
        <v>79</v>
      </c>
      <c r="F3642" s="10" t="str">
        <f>_xlfn.XLOOKUP(C3642,menu!A:A,menu!B:B)</f>
        <v>Blue Curacao Mojito</v>
      </c>
      <c r="G3642" s="10" t="str">
        <f>_xlfn.XLOOKUP(C3642,menu!A:A,menu!C:C)</f>
        <v>Beverages</v>
      </c>
      <c r="H3642" s="10">
        <f>_xlfn.XLOOKUP(C3642,menu!A:A,menu!E:E)</f>
        <v>24</v>
      </c>
      <c r="I3642" s="10">
        <f t="shared" si="56"/>
        <v>24</v>
      </c>
      <c r="K3642" s="10"/>
      <c r="L3642" s="5"/>
    </row>
    <row r="3643" spans="1:12" x14ac:dyDescent="0.25">
      <c r="A3643" s="5" t="s">
        <v>2202</v>
      </c>
      <c r="B3643" s="5" t="s">
        <v>2199</v>
      </c>
      <c r="C3643" s="5" t="s">
        <v>40</v>
      </c>
      <c r="D3643" s="21">
        <v>2</v>
      </c>
      <c r="E3643" s="12">
        <v>198</v>
      </c>
      <c r="F3643" s="10" t="str">
        <f>_xlfn.XLOOKUP(C3643,menu!A:A,menu!B:B)</f>
        <v>Veg Nuggets</v>
      </c>
      <c r="G3643" s="10" t="str">
        <f>_xlfn.XLOOKUP(C3643,menu!A:A,menu!C:C)</f>
        <v>Starters</v>
      </c>
      <c r="H3643" s="10">
        <f>_xlfn.XLOOKUP(C3643,menu!A:A,menu!E:E)</f>
        <v>30</v>
      </c>
      <c r="I3643" s="10">
        <f t="shared" si="56"/>
        <v>60</v>
      </c>
      <c r="K3643" s="10"/>
      <c r="L3643" s="5"/>
    </row>
    <row r="3644" spans="1:12" x14ac:dyDescent="0.25">
      <c r="A3644" s="5" t="s">
        <v>2201</v>
      </c>
      <c r="B3644" s="5" t="s">
        <v>2199</v>
      </c>
      <c r="C3644" s="5" t="s">
        <v>10</v>
      </c>
      <c r="D3644" s="21">
        <v>2</v>
      </c>
      <c r="E3644" s="12">
        <v>238</v>
      </c>
      <c r="F3644" s="10" t="str">
        <f>_xlfn.XLOOKUP(C3644,menu!A:A,menu!B:B)</f>
        <v>Chicken Sandwich</v>
      </c>
      <c r="G3644" s="10" t="str">
        <f>_xlfn.XLOOKUP(C3644,menu!A:A,menu!C:C)</f>
        <v>Sandwich</v>
      </c>
      <c r="H3644" s="10">
        <f>_xlfn.XLOOKUP(C3644,menu!A:A,menu!E:E)</f>
        <v>36</v>
      </c>
      <c r="I3644" s="10">
        <f t="shared" si="56"/>
        <v>72</v>
      </c>
      <c r="K3644" s="10"/>
      <c r="L3644" s="5"/>
    </row>
    <row r="3645" spans="1:12" x14ac:dyDescent="0.25">
      <c r="A3645" s="5" t="s">
        <v>2200</v>
      </c>
      <c r="B3645" s="5" t="s">
        <v>2199</v>
      </c>
      <c r="C3645" s="5" t="s">
        <v>59</v>
      </c>
      <c r="D3645" s="21">
        <v>5</v>
      </c>
      <c r="E3645" s="12">
        <v>395</v>
      </c>
      <c r="F3645" s="10" t="str">
        <f>_xlfn.XLOOKUP(C3645,menu!A:A,menu!B:B)</f>
        <v>Blue Curacao Mojito</v>
      </c>
      <c r="G3645" s="10" t="str">
        <f>_xlfn.XLOOKUP(C3645,menu!A:A,menu!C:C)</f>
        <v>Beverages</v>
      </c>
      <c r="H3645" s="10">
        <f>_xlfn.XLOOKUP(C3645,menu!A:A,menu!E:E)</f>
        <v>24</v>
      </c>
      <c r="I3645" s="10">
        <f t="shared" si="56"/>
        <v>120</v>
      </c>
      <c r="K3645" s="10"/>
      <c r="L3645" s="5"/>
    </row>
    <row r="3646" spans="1:12" x14ac:dyDescent="0.25">
      <c r="A3646" s="5" t="s">
        <v>2198</v>
      </c>
      <c r="B3646" s="5" t="s">
        <v>2196</v>
      </c>
      <c r="C3646" s="5" t="s">
        <v>35</v>
      </c>
      <c r="D3646" s="21">
        <v>4</v>
      </c>
      <c r="E3646" s="12">
        <v>476</v>
      </c>
      <c r="F3646" s="10" t="str">
        <f>_xlfn.XLOOKUP(C3646,menu!A:A,menu!B:B)</f>
        <v>Chicken Nuggets</v>
      </c>
      <c r="G3646" s="10" t="str">
        <f>_xlfn.XLOOKUP(C3646,menu!A:A,menu!C:C)</f>
        <v>Starters</v>
      </c>
      <c r="H3646" s="10">
        <f>_xlfn.XLOOKUP(C3646,menu!A:A,menu!E:E)</f>
        <v>36</v>
      </c>
      <c r="I3646" s="10">
        <f t="shared" si="56"/>
        <v>144</v>
      </c>
      <c r="K3646" s="10"/>
      <c r="L3646" s="5"/>
    </row>
    <row r="3647" spans="1:12" x14ac:dyDescent="0.25">
      <c r="A3647" s="5" t="s">
        <v>2197</v>
      </c>
      <c r="B3647" s="5" t="s">
        <v>2196</v>
      </c>
      <c r="C3647" s="5" t="s">
        <v>31</v>
      </c>
      <c r="D3647" s="21">
        <v>4</v>
      </c>
      <c r="E3647" s="12">
        <v>356</v>
      </c>
      <c r="F3647" s="10" t="str">
        <f>_xlfn.XLOOKUP(C3647,menu!A:A,menu!B:B)</f>
        <v>Chicken Roll</v>
      </c>
      <c r="G3647" s="10" t="str">
        <f>_xlfn.XLOOKUP(C3647,menu!A:A,menu!C:C)</f>
        <v>Rolls</v>
      </c>
      <c r="H3647" s="10">
        <f>_xlfn.XLOOKUP(C3647,menu!A:A,menu!E:E)</f>
        <v>27</v>
      </c>
      <c r="I3647" s="10">
        <f t="shared" si="56"/>
        <v>108</v>
      </c>
      <c r="K3647" s="10"/>
      <c r="L3647" s="5"/>
    </row>
    <row r="3648" spans="1:12" x14ac:dyDescent="0.25">
      <c r="A3648" s="5" t="s">
        <v>2195</v>
      </c>
      <c r="B3648" s="5" t="s">
        <v>2193</v>
      </c>
      <c r="C3648" s="5" t="s">
        <v>10</v>
      </c>
      <c r="D3648" s="21">
        <v>2</v>
      </c>
      <c r="E3648" s="12">
        <v>238</v>
      </c>
      <c r="F3648" s="10" t="str">
        <f>_xlfn.XLOOKUP(C3648,menu!A:A,menu!B:B)</f>
        <v>Chicken Sandwich</v>
      </c>
      <c r="G3648" s="10" t="str">
        <f>_xlfn.XLOOKUP(C3648,menu!A:A,menu!C:C)</f>
        <v>Sandwich</v>
      </c>
      <c r="H3648" s="10">
        <f>_xlfn.XLOOKUP(C3648,menu!A:A,menu!E:E)</f>
        <v>36</v>
      </c>
      <c r="I3648" s="10">
        <f t="shared" si="56"/>
        <v>72</v>
      </c>
      <c r="K3648" s="10"/>
      <c r="L3648" s="5"/>
    </row>
    <row r="3649" spans="1:12" x14ac:dyDescent="0.25">
      <c r="A3649" s="5" t="s">
        <v>2194</v>
      </c>
      <c r="B3649" s="5" t="s">
        <v>2193</v>
      </c>
      <c r="C3649" s="5" t="s">
        <v>24</v>
      </c>
      <c r="D3649" s="21">
        <v>1</v>
      </c>
      <c r="E3649" s="12">
        <v>89</v>
      </c>
      <c r="F3649" s="10" t="str">
        <f>_xlfn.XLOOKUP(C3649,menu!A:A,menu!B:B)</f>
        <v>Paneer Burger</v>
      </c>
      <c r="G3649" s="10" t="str">
        <f>_xlfn.XLOOKUP(C3649,menu!A:A,menu!C:C)</f>
        <v>Burger</v>
      </c>
      <c r="H3649" s="10">
        <f>_xlfn.XLOOKUP(C3649,menu!A:A,menu!E:E)</f>
        <v>27</v>
      </c>
      <c r="I3649" s="10">
        <f t="shared" si="56"/>
        <v>27</v>
      </c>
      <c r="K3649" s="10"/>
      <c r="L3649" s="5"/>
    </row>
    <row r="3650" spans="1:12" x14ac:dyDescent="0.25">
      <c r="A3650" s="5" t="s">
        <v>2192</v>
      </c>
      <c r="B3650" s="5" t="s">
        <v>2191</v>
      </c>
      <c r="C3650" s="5" t="s">
        <v>46</v>
      </c>
      <c r="D3650" s="21">
        <v>1</v>
      </c>
      <c r="E3650" s="12">
        <v>149</v>
      </c>
      <c r="F3650" s="10" t="str">
        <f>_xlfn.XLOOKUP(C3650,menu!A:A,menu!B:B)</f>
        <v>Fish Finger</v>
      </c>
      <c r="G3650" s="10" t="str">
        <f>_xlfn.XLOOKUP(C3650,menu!A:A,menu!C:C)</f>
        <v>Starters</v>
      </c>
      <c r="H3650" s="10">
        <f>_xlfn.XLOOKUP(C3650,menu!A:A,menu!E:E)</f>
        <v>45</v>
      </c>
      <c r="I3650" s="10">
        <f t="shared" si="56"/>
        <v>45</v>
      </c>
      <c r="K3650" s="10"/>
      <c r="L3650" s="5"/>
    </row>
    <row r="3651" spans="1:12" x14ac:dyDescent="0.25">
      <c r="A3651" s="5" t="s">
        <v>2190</v>
      </c>
      <c r="B3651" s="5" t="s">
        <v>2188</v>
      </c>
      <c r="C3651" s="5" t="s">
        <v>56</v>
      </c>
      <c r="D3651" s="21">
        <v>1</v>
      </c>
      <c r="E3651" s="12">
        <v>79</v>
      </c>
      <c r="F3651" s="10" t="str">
        <f>_xlfn.XLOOKUP(C3651,menu!A:A,menu!B:B)</f>
        <v>Mint Mojito</v>
      </c>
      <c r="G3651" s="10" t="str">
        <f>_xlfn.XLOOKUP(C3651,menu!A:A,menu!C:C)</f>
        <v>Beverages</v>
      </c>
      <c r="H3651" s="10">
        <f>_xlfn.XLOOKUP(C3651,menu!A:A,menu!E:E)</f>
        <v>24</v>
      </c>
      <c r="I3651" s="10">
        <f t="shared" ref="I3651:I3714" si="57">D3651*H3651</f>
        <v>24</v>
      </c>
      <c r="K3651" s="10"/>
      <c r="L3651" s="5"/>
    </row>
    <row r="3652" spans="1:12" x14ac:dyDescent="0.25">
      <c r="A3652" s="5" t="s">
        <v>2189</v>
      </c>
      <c r="B3652" s="5" t="s">
        <v>2188</v>
      </c>
      <c r="C3652" s="5" t="s">
        <v>48</v>
      </c>
      <c r="D3652" s="21">
        <v>2</v>
      </c>
      <c r="E3652" s="12">
        <v>318</v>
      </c>
      <c r="F3652" s="10" t="str">
        <f>_xlfn.XLOOKUP(C3652,menu!A:A,menu!B:B)</f>
        <v>Chicken Lollipop</v>
      </c>
      <c r="G3652" s="10" t="str">
        <f>_xlfn.XLOOKUP(C3652,menu!A:A,menu!C:C)</f>
        <v>Starters</v>
      </c>
      <c r="H3652" s="10">
        <f>_xlfn.XLOOKUP(C3652,menu!A:A,menu!E:E)</f>
        <v>48</v>
      </c>
      <c r="I3652" s="10">
        <f t="shared" si="57"/>
        <v>96</v>
      </c>
      <c r="K3652" s="10"/>
      <c r="L3652" s="5"/>
    </row>
    <row r="3653" spans="1:12" x14ac:dyDescent="0.25">
      <c r="A3653" s="5" t="s">
        <v>2187</v>
      </c>
      <c r="B3653" s="5" t="s">
        <v>2185</v>
      </c>
      <c r="C3653" s="5" t="s">
        <v>46</v>
      </c>
      <c r="D3653" s="21">
        <v>5</v>
      </c>
      <c r="E3653" s="12">
        <v>745</v>
      </c>
      <c r="F3653" s="10" t="str">
        <f>_xlfn.XLOOKUP(C3653,menu!A:A,menu!B:B)</f>
        <v>Fish Finger</v>
      </c>
      <c r="G3653" s="10" t="str">
        <f>_xlfn.XLOOKUP(C3653,menu!A:A,menu!C:C)</f>
        <v>Starters</v>
      </c>
      <c r="H3653" s="10">
        <f>_xlfn.XLOOKUP(C3653,menu!A:A,menu!E:E)</f>
        <v>45</v>
      </c>
      <c r="I3653" s="10">
        <f t="shared" si="57"/>
        <v>225</v>
      </c>
      <c r="K3653" s="10"/>
      <c r="L3653" s="5"/>
    </row>
    <row r="3654" spans="1:12" x14ac:dyDescent="0.25">
      <c r="A3654" s="5" t="s">
        <v>2186</v>
      </c>
      <c r="B3654" s="5" t="s">
        <v>2185</v>
      </c>
      <c r="C3654" s="5" t="s">
        <v>65</v>
      </c>
      <c r="D3654" s="21">
        <v>3</v>
      </c>
      <c r="E3654" s="12">
        <v>147</v>
      </c>
      <c r="F3654" s="10" t="str">
        <f>_xlfn.XLOOKUP(C3654,menu!A:A,menu!B:B)</f>
        <v>Lemon Juice</v>
      </c>
      <c r="G3654" s="10" t="str">
        <f>_xlfn.XLOOKUP(C3654,menu!A:A,menu!C:C)</f>
        <v>Beverages</v>
      </c>
      <c r="H3654" s="10">
        <f>_xlfn.XLOOKUP(C3654,menu!A:A,menu!E:E)</f>
        <v>15</v>
      </c>
      <c r="I3654" s="10">
        <f t="shared" si="57"/>
        <v>45</v>
      </c>
      <c r="K3654" s="10"/>
      <c r="L3654" s="5"/>
    </row>
    <row r="3655" spans="1:12" x14ac:dyDescent="0.25">
      <c r="A3655" s="5" t="s">
        <v>2184</v>
      </c>
      <c r="B3655" s="5" t="s">
        <v>2183</v>
      </c>
      <c r="C3655" s="5" t="s">
        <v>56</v>
      </c>
      <c r="D3655" s="21">
        <v>1</v>
      </c>
      <c r="E3655" s="12">
        <v>79</v>
      </c>
      <c r="F3655" s="10" t="str">
        <f>_xlfn.XLOOKUP(C3655,menu!A:A,menu!B:B)</f>
        <v>Mint Mojito</v>
      </c>
      <c r="G3655" s="10" t="str">
        <f>_xlfn.XLOOKUP(C3655,menu!A:A,menu!C:C)</f>
        <v>Beverages</v>
      </c>
      <c r="H3655" s="10">
        <f>_xlfn.XLOOKUP(C3655,menu!A:A,menu!E:E)</f>
        <v>24</v>
      </c>
      <c r="I3655" s="10">
        <f t="shared" si="57"/>
        <v>24</v>
      </c>
      <c r="K3655" s="10"/>
      <c r="L3655" s="5"/>
    </row>
    <row r="3656" spans="1:12" x14ac:dyDescent="0.25">
      <c r="A3656" s="5" t="s">
        <v>2182</v>
      </c>
      <c r="B3656" s="5" t="s">
        <v>2178</v>
      </c>
      <c r="C3656" s="5" t="s">
        <v>52</v>
      </c>
      <c r="D3656" s="21">
        <v>4</v>
      </c>
      <c r="E3656" s="12">
        <v>396</v>
      </c>
      <c r="F3656" s="10" t="str">
        <f>_xlfn.XLOOKUP(C3656,menu!A:A,menu!B:B)</f>
        <v>French Fries</v>
      </c>
      <c r="G3656" s="10" t="str">
        <f>_xlfn.XLOOKUP(C3656,menu!A:A,menu!C:C)</f>
        <v>Starters</v>
      </c>
      <c r="H3656" s="10">
        <f>_xlfn.XLOOKUP(C3656,menu!A:A,menu!E:E)</f>
        <v>30</v>
      </c>
      <c r="I3656" s="10">
        <f t="shared" si="57"/>
        <v>120</v>
      </c>
      <c r="K3656" s="10"/>
      <c r="L3656" s="5"/>
    </row>
    <row r="3657" spans="1:12" x14ac:dyDescent="0.25">
      <c r="A3657" s="5" t="s">
        <v>2181</v>
      </c>
      <c r="B3657" s="5" t="s">
        <v>2178</v>
      </c>
      <c r="C3657" s="5" t="s">
        <v>50</v>
      </c>
      <c r="D3657" s="21">
        <v>1</v>
      </c>
      <c r="E3657" s="12">
        <v>149</v>
      </c>
      <c r="F3657" s="10" t="str">
        <f>_xlfn.XLOOKUP(C3657,menu!A:A,menu!B:B)</f>
        <v>Grab Lollipop</v>
      </c>
      <c r="G3657" s="10" t="str">
        <f>_xlfn.XLOOKUP(C3657,menu!A:A,menu!C:C)</f>
        <v>Starters</v>
      </c>
      <c r="H3657" s="10">
        <f>_xlfn.XLOOKUP(C3657,menu!A:A,menu!E:E)</f>
        <v>45</v>
      </c>
      <c r="I3657" s="10">
        <f t="shared" si="57"/>
        <v>45</v>
      </c>
      <c r="K3657" s="10"/>
      <c r="L3657" s="5"/>
    </row>
    <row r="3658" spans="1:12" x14ac:dyDescent="0.25">
      <c r="A3658" s="5" t="s">
        <v>2180</v>
      </c>
      <c r="B3658" s="5" t="s">
        <v>2178</v>
      </c>
      <c r="C3658" s="5" t="s">
        <v>59</v>
      </c>
      <c r="D3658" s="21">
        <v>3</v>
      </c>
      <c r="E3658" s="12">
        <v>237</v>
      </c>
      <c r="F3658" s="10" t="str">
        <f>_xlfn.XLOOKUP(C3658,menu!A:A,menu!B:B)</f>
        <v>Blue Curacao Mojito</v>
      </c>
      <c r="G3658" s="10" t="str">
        <f>_xlfn.XLOOKUP(C3658,menu!A:A,menu!C:C)</f>
        <v>Beverages</v>
      </c>
      <c r="H3658" s="10">
        <f>_xlfn.XLOOKUP(C3658,menu!A:A,menu!E:E)</f>
        <v>24</v>
      </c>
      <c r="I3658" s="10">
        <f t="shared" si="57"/>
        <v>72</v>
      </c>
      <c r="K3658" s="10"/>
      <c r="L3658" s="5"/>
    </row>
    <row r="3659" spans="1:12" x14ac:dyDescent="0.25">
      <c r="A3659" s="5" t="s">
        <v>2179</v>
      </c>
      <c r="B3659" s="5" t="s">
        <v>2178</v>
      </c>
      <c r="C3659" s="5" t="s">
        <v>24</v>
      </c>
      <c r="D3659" s="21">
        <v>1</v>
      </c>
      <c r="E3659" s="12">
        <v>89</v>
      </c>
      <c r="F3659" s="10" t="str">
        <f>_xlfn.XLOOKUP(C3659,menu!A:A,menu!B:B)</f>
        <v>Paneer Burger</v>
      </c>
      <c r="G3659" s="10" t="str">
        <f>_xlfn.XLOOKUP(C3659,menu!A:A,menu!C:C)</f>
        <v>Burger</v>
      </c>
      <c r="H3659" s="10">
        <f>_xlfn.XLOOKUP(C3659,menu!A:A,menu!E:E)</f>
        <v>27</v>
      </c>
      <c r="I3659" s="10">
        <f t="shared" si="57"/>
        <v>27</v>
      </c>
      <c r="K3659" s="10"/>
      <c r="L3659" s="5"/>
    </row>
    <row r="3660" spans="1:12" x14ac:dyDescent="0.25">
      <c r="A3660" s="5" t="s">
        <v>2177</v>
      </c>
      <c r="B3660" s="5" t="s">
        <v>2173</v>
      </c>
      <c r="C3660" s="5" t="s">
        <v>40</v>
      </c>
      <c r="D3660" s="21">
        <v>1</v>
      </c>
      <c r="E3660" s="12">
        <v>99</v>
      </c>
      <c r="F3660" s="10" t="str">
        <f>_xlfn.XLOOKUP(C3660,menu!A:A,menu!B:B)</f>
        <v>Veg Nuggets</v>
      </c>
      <c r="G3660" s="10" t="str">
        <f>_xlfn.XLOOKUP(C3660,menu!A:A,menu!C:C)</f>
        <v>Starters</v>
      </c>
      <c r="H3660" s="10">
        <f>_xlfn.XLOOKUP(C3660,menu!A:A,menu!E:E)</f>
        <v>30</v>
      </c>
      <c r="I3660" s="10">
        <f t="shared" si="57"/>
        <v>30</v>
      </c>
      <c r="K3660" s="10"/>
      <c r="L3660" s="5"/>
    </row>
    <row r="3661" spans="1:12" x14ac:dyDescent="0.25">
      <c r="A3661" s="5" t="s">
        <v>2176</v>
      </c>
      <c r="B3661" s="5" t="s">
        <v>2173</v>
      </c>
      <c r="C3661" s="5" t="s">
        <v>56</v>
      </c>
      <c r="D3661" s="21">
        <v>2</v>
      </c>
      <c r="E3661" s="12">
        <v>158</v>
      </c>
      <c r="F3661" s="10" t="str">
        <f>_xlfn.XLOOKUP(C3661,menu!A:A,menu!B:B)</f>
        <v>Mint Mojito</v>
      </c>
      <c r="G3661" s="10" t="str">
        <f>_xlfn.XLOOKUP(C3661,menu!A:A,menu!C:C)</f>
        <v>Beverages</v>
      </c>
      <c r="H3661" s="10">
        <f>_xlfn.XLOOKUP(C3661,menu!A:A,menu!E:E)</f>
        <v>24</v>
      </c>
      <c r="I3661" s="10">
        <f t="shared" si="57"/>
        <v>48</v>
      </c>
      <c r="K3661" s="10"/>
      <c r="L3661" s="5"/>
    </row>
    <row r="3662" spans="1:12" x14ac:dyDescent="0.25">
      <c r="A3662" s="5" t="s">
        <v>2175</v>
      </c>
      <c r="B3662" s="5" t="s">
        <v>2173</v>
      </c>
      <c r="C3662" s="5" t="s">
        <v>44</v>
      </c>
      <c r="D3662" s="21">
        <v>2</v>
      </c>
      <c r="E3662" s="12">
        <v>318</v>
      </c>
      <c r="F3662" s="10" t="str">
        <f>_xlfn.XLOOKUP(C3662,menu!A:A,menu!B:B)</f>
        <v>Fried Chicken</v>
      </c>
      <c r="G3662" s="10" t="str">
        <f>_xlfn.XLOOKUP(C3662,menu!A:A,menu!C:C)</f>
        <v>Starters</v>
      </c>
      <c r="H3662" s="10">
        <f>_xlfn.XLOOKUP(C3662,menu!A:A,menu!E:E)</f>
        <v>48</v>
      </c>
      <c r="I3662" s="10">
        <f t="shared" si="57"/>
        <v>96</v>
      </c>
      <c r="K3662" s="10"/>
      <c r="L3662" s="5"/>
    </row>
    <row r="3663" spans="1:12" x14ac:dyDescent="0.25">
      <c r="A3663" s="5" t="s">
        <v>2174</v>
      </c>
      <c r="B3663" s="5" t="s">
        <v>2173</v>
      </c>
      <c r="C3663" s="5" t="s">
        <v>38</v>
      </c>
      <c r="D3663" s="21">
        <v>1</v>
      </c>
      <c r="E3663" s="12">
        <v>149</v>
      </c>
      <c r="F3663" s="10" t="str">
        <f>_xlfn.XLOOKUP(C3663,menu!A:A,menu!B:B)</f>
        <v>Chicken Wings</v>
      </c>
      <c r="G3663" s="10" t="str">
        <f>_xlfn.XLOOKUP(C3663,menu!A:A,menu!C:C)</f>
        <v>Starters</v>
      </c>
      <c r="H3663" s="10">
        <f>_xlfn.XLOOKUP(C3663,menu!A:A,menu!E:E)</f>
        <v>45</v>
      </c>
      <c r="I3663" s="10">
        <f t="shared" si="57"/>
        <v>45</v>
      </c>
      <c r="K3663" s="10"/>
      <c r="L3663" s="5"/>
    </row>
    <row r="3664" spans="1:12" x14ac:dyDescent="0.25">
      <c r="A3664" s="5" t="s">
        <v>2172</v>
      </c>
      <c r="B3664" s="5" t="s">
        <v>2169</v>
      </c>
      <c r="C3664" s="5" t="s">
        <v>29</v>
      </c>
      <c r="D3664" s="21">
        <v>4</v>
      </c>
      <c r="E3664" s="12">
        <v>316</v>
      </c>
      <c r="F3664" s="10" t="str">
        <f>_xlfn.XLOOKUP(C3664,menu!A:A,menu!B:B)</f>
        <v>Paneer Roll</v>
      </c>
      <c r="G3664" s="10" t="str">
        <f>_xlfn.XLOOKUP(C3664,menu!A:A,menu!C:C)</f>
        <v>Rolls</v>
      </c>
      <c r="H3664" s="10">
        <f>_xlfn.XLOOKUP(C3664,menu!A:A,menu!E:E)</f>
        <v>24</v>
      </c>
      <c r="I3664" s="10">
        <f t="shared" si="57"/>
        <v>96</v>
      </c>
      <c r="K3664" s="10"/>
      <c r="L3664" s="5"/>
    </row>
    <row r="3665" spans="1:12" x14ac:dyDescent="0.25">
      <c r="A3665" s="5" t="s">
        <v>2171</v>
      </c>
      <c r="B3665" s="5" t="s">
        <v>2169</v>
      </c>
      <c r="C3665" s="5" t="s">
        <v>35</v>
      </c>
      <c r="D3665" s="21">
        <v>1</v>
      </c>
      <c r="E3665" s="12">
        <v>119</v>
      </c>
      <c r="F3665" s="10" t="str">
        <f>_xlfn.XLOOKUP(C3665,menu!A:A,menu!B:B)</f>
        <v>Chicken Nuggets</v>
      </c>
      <c r="G3665" s="10" t="str">
        <f>_xlfn.XLOOKUP(C3665,menu!A:A,menu!C:C)</f>
        <v>Starters</v>
      </c>
      <c r="H3665" s="10">
        <f>_xlfn.XLOOKUP(C3665,menu!A:A,menu!E:E)</f>
        <v>36</v>
      </c>
      <c r="I3665" s="10">
        <f t="shared" si="57"/>
        <v>36</v>
      </c>
      <c r="K3665" s="10"/>
      <c r="L3665" s="5"/>
    </row>
    <row r="3666" spans="1:12" x14ac:dyDescent="0.25">
      <c r="A3666" s="5" t="s">
        <v>2170</v>
      </c>
      <c r="B3666" s="5" t="s">
        <v>2169</v>
      </c>
      <c r="C3666" s="5" t="s">
        <v>54</v>
      </c>
      <c r="D3666" s="21">
        <v>1</v>
      </c>
      <c r="E3666" s="12">
        <v>139</v>
      </c>
      <c r="F3666" s="10" t="str">
        <f>_xlfn.XLOOKUP(C3666,menu!A:A,menu!B:B)</f>
        <v>Chicken Strips</v>
      </c>
      <c r="G3666" s="10" t="str">
        <f>_xlfn.XLOOKUP(C3666,menu!A:A,menu!C:C)</f>
        <v>Starters</v>
      </c>
      <c r="H3666" s="10">
        <f>_xlfn.XLOOKUP(C3666,menu!A:A,menu!E:E)</f>
        <v>42</v>
      </c>
      <c r="I3666" s="10">
        <f t="shared" si="57"/>
        <v>42</v>
      </c>
      <c r="K3666" s="10"/>
      <c r="L3666" s="5"/>
    </row>
    <row r="3667" spans="1:12" x14ac:dyDescent="0.25">
      <c r="A3667" s="5" t="s">
        <v>2168</v>
      </c>
      <c r="B3667" s="5" t="s">
        <v>2166</v>
      </c>
      <c r="C3667" s="5" t="s">
        <v>50</v>
      </c>
      <c r="D3667" s="21">
        <v>1</v>
      </c>
      <c r="E3667" s="12">
        <v>149</v>
      </c>
      <c r="F3667" s="10" t="str">
        <f>_xlfn.XLOOKUP(C3667,menu!A:A,menu!B:B)</f>
        <v>Grab Lollipop</v>
      </c>
      <c r="G3667" s="10" t="str">
        <f>_xlfn.XLOOKUP(C3667,menu!A:A,menu!C:C)</f>
        <v>Starters</v>
      </c>
      <c r="H3667" s="10">
        <f>_xlfn.XLOOKUP(C3667,menu!A:A,menu!E:E)</f>
        <v>45</v>
      </c>
      <c r="I3667" s="10">
        <f t="shared" si="57"/>
        <v>45</v>
      </c>
      <c r="K3667" s="10"/>
      <c r="L3667" s="5"/>
    </row>
    <row r="3668" spans="1:12" x14ac:dyDescent="0.25">
      <c r="A3668" s="5" t="s">
        <v>2167</v>
      </c>
      <c r="B3668" s="5" t="s">
        <v>2166</v>
      </c>
      <c r="C3668" s="5" t="s">
        <v>42</v>
      </c>
      <c r="D3668" s="21">
        <v>4</v>
      </c>
      <c r="E3668" s="12">
        <v>596</v>
      </c>
      <c r="F3668" s="10" t="str">
        <f>_xlfn.XLOOKUP(C3668,menu!A:A,menu!B:B)</f>
        <v>Chicken Popcorn</v>
      </c>
      <c r="G3668" s="10" t="str">
        <f>_xlfn.XLOOKUP(C3668,menu!A:A,menu!C:C)</f>
        <v>Starters</v>
      </c>
      <c r="H3668" s="10">
        <f>_xlfn.XLOOKUP(C3668,menu!A:A,menu!E:E)</f>
        <v>45</v>
      </c>
      <c r="I3668" s="10">
        <f t="shared" si="57"/>
        <v>180</v>
      </c>
      <c r="K3668" s="10"/>
      <c r="L3668" s="5"/>
    </row>
    <row r="3669" spans="1:12" x14ac:dyDescent="0.25">
      <c r="A3669" s="5" t="s">
        <v>2165</v>
      </c>
      <c r="B3669" s="5" t="s">
        <v>2163</v>
      </c>
      <c r="C3669" s="5" t="s">
        <v>56</v>
      </c>
      <c r="D3669" s="21">
        <v>1</v>
      </c>
      <c r="E3669" s="12">
        <v>79</v>
      </c>
      <c r="F3669" s="10" t="str">
        <f>_xlfn.XLOOKUP(C3669,menu!A:A,menu!B:B)</f>
        <v>Mint Mojito</v>
      </c>
      <c r="G3669" s="10" t="str">
        <f>_xlfn.XLOOKUP(C3669,menu!A:A,menu!C:C)</f>
        <v>Beverages</v>
      </c>
      <c r="H3669" s="10">
        <f>_xlfn.XLOOKUP(C3669,menu!A:A,menu!E:E)</f>
        <v>24</v>
      </c>
      <c r="I3669" s="10">
        <f t="shared" si="57"/>
        <v>24</v>
      </c>
      <c r="K3669" s="10"/>
      <c r="L3669" s="5"/>
    </row>
    <row r="3670" spans="1:12" x14ac:dyDescent="0.25">
      <c r="A3670" s="5" t="s">
        <v>2164</v>
      </c>
      <c r="B3670" s="5" t="s">
        <v>2163</v>
      </c>
      <c r="C3670" s="5" t="s">
        <v>52</v>
      </c>
      <c r="D3670" s="21">
        <v>1</v>
      </c>
      <c r="E3670" s="12">
        <v>99</v>
      </c>
      <c r="F3670" s="10" t="str">
        <f>_xlfn.XLOOKUP(C3670,menu!A:A,menu!B:B)</f>
        <v>French Fries</v>
      </c>
      <c r="G3670" s="10" t="str">
        <f>_xlfn.XLOOKUP(C3670,menu!A:A,menu!C:C)</f>
        <v>Starters</v>
      </c>
      <c r="H3670" s="10">
        <f>_xlfn.XLOOKUP(C3670,menu!A:A,menu!E:E)</f>
        <v>30</v>
      </c>
      <c r="I3670" s="10">
        <f t="shared" si="57"/>
        <v>30</v>
      </c>
      <c r="K3670" s="10"/>
      <c r="L3670" s="5"/>
    </row>
    <row r="3671" spans="1:12" x14ac:dyDescent="0.25">
      <c r="A3671" s="5" t="s">
        <v>2162</v>
      </c>
      <c r="B3671" s="5" t="s">
        <v>2161</v>
      </c>
      <c r="C3671" s="5" t="s">
        <v>48</v>
      </c>
      <c r="D3671" s="21">
        <v>1</v>
      </c>
      <c r="E3671" s="12">
        <v>159</v>
      </c>
      <c r="F3671" s="10" t="str">
        <f>_xlfn.XLOOKUP(C3671,menu!A:A,menu!B:B)</f>
        <v>Chicken Lollipop</v>
      </c>
      <c r="G3671" s="10" t="str">
        <f>_xlfn.XLOOKUP(C3671,menu!A:A,menu!C:C)</f>
        <v>Starters</v>
      </c>
      <c r="H3671" s="10">
        <f>_xlfn.XLOOKUP(C3671,menu!A:A,menu!E:E)</f>
        <v>48</v>
      </c>
      <c r="I3671" s="10">
        <f t="shared" si="57"/>
        <v>48</v>
      </c>
      <c r="K3671" s="10"/>
      <c r="L3671" s="5"/>
    </row>
    <row r="3672" spans="1:12" x14ac:dyDescent="0.25">
      <c r="A3672" s="5" t="s">
        <v>2160</v>
      </c>
      <c r="B3672" s="5" t="s">
        <v>2158</v>
      </c>
      <c r="C3672" s="5" t="s">
        <v>19</v>
      </c>
      <c r="D3672" s="21">
        <v>1</v>
      </c>
      <c r="E3672" s="12">
        <v>79</v>
      </c>
      <c r="F3672" s="10" t="str">
        <f>_xlfn.XLOOKUP(C3672,menu!A:A,menu!B:B)</f>
        <v>Veg Burger</v>
      </c>
      <c r="G3672" s="10" t="str">
        <f>_xlfn.XLOOKUP(C3672,menu!A:A,menu!C:C)</f>
        <v>Burger</v>
      </c>
      <c r="H3672" s="10">
        <f>_xlfn.XLOOKUP(C3672,menu!A:A,menu!E:E)</f>
        <v>24</v>
      </c>
      <c r="I3672" s="10">
        <f t="shared" si="57"/>
        <v>24</v>
      </c>
      <c r="K3672" s="10"/>
      <c r="L3672" s="5"/>
    </row>
    <row r="3673" spans="1:12" x14ac:dyDescent="0.25">
      <c r="A3673" s="5" t="s">
        <v>2159</v>
      </c>
      <c r="B3673" s="5" t="s">
        <v>2158</v>
      </c>
      <c r="C3673" s="5" t="s">
        <v>59</v>
      </c>
      <c r="D3673" s="21">
        <v>2</v>
      </c>
      <c r="E3673" s="12">
        <v>158</v>
      </c>
      <c r="F3673" s="10" t="str">
        <f>_xlfn.XLOOKUP(C3673,menu!A:A,menu!B:B)</f>
        <v>Blue Curacao Mojito</v>
      </c>
      <c r="G3673" s="10" t="str">
        <f>_xlfn.XLOOKUP(C3673,menu!A:A,menu!C:C)</f>
        <v>Beverages</v>
      </c>
      <c r="H3673" s="10">
        <f>_xlfn.XLOOKUP(C3673,menu!A:A,menu!E:E)</f>
        <v>24</v>
      </c>
      <c r="I3673" s="10">
        <f t="shared" si="57"/>
        <v>48</v>
      </c>
      <c r="K3673" s="10"/>
      <c r="L3673" s="5"/>
    </row>
    <row r="3674" spans="1:12" x14ac:dyDescent="0.25">
      <c r="A3674" s="5" t="s">
        <v>2157</v>
      </c>
      <c r="B3674" s="5" t="s">
        <v>2154</v>
      </c>
      <c r="C3674" s="5" t="s">
        <v>52</v>
      </c>
      <c r="D3674" s="21">
        <v>1</v>
      </c>
      <c r="E3674" s="12">
        <v>99</v>
      </c>
      <c r="F3674" s="10" t="str">
        <f>_xlfn.XLOOKUP(C3674,menu!A:A,menu!B:B)</f>
        <v>French Fries</v>
      </c>
      <c r="G3674" s="10" t="str">
        <f>_xlfn.XLOOKUP(C3674,menu!A:A,menu!C:C)</f>
        <v>Starters</v>
      </c>
      <c r="H3674" s="10">
        <f>_xlfn.XLOOKUP(C3674,menu!A:A,menu!E:E)</f>
        <v>30</v>
      </c>
      <c r="I3674" s="10">
        <f t="shared" si="57"/>
        <v>30</v>
      </c>
      <c r="K3674" s="10"/>
      <c r="L3674" s="5"/>
    </row>
    <row r="3675" spans="1:12" x14ac:dyDescent="0.25">
      <c r="A3675" s="5" t="s">
        <v>2156</v>
      </c>
      <c r="B3675" s="5" t="s">
        <v>2154</v>
      </c>
      <c r="C3675" s="5" t="s">
        <v>15</v>
      </c>
      <c r="D3675" s="21">
        <v>1</v>
      </c>
      <c r="E3675" s="12">
        <v>99</v>
      </c>
      <c r="F3675" s="10" t="str">
        <f>_xlfn.XLOOKUP(C3675,menu!A:A,menu!B:B)</f>
        <v>Chicken Momos</v>
      </c>
      <c r="G3675" s="10" t="str">
        <f>_xlfn.XLOOKUP(C3675,menu!A:A,menu!C:C)</f>
        <v>Momos</v>
      </c>
      <c r="H3675" s="10">
        <f>_xlfn.XLOOKUP(C3675,menu!A:A,menu!E:E)</f>
        <v>30</v>
      </c>
      <c r="I3675" s="10">
        <f t="shared" si="57"/>
        <v>30</v>
      </c>
      <c r="K3675" s="10"/>
      <c r="L3675" s="5"/>
    </row>
    <row r="3676" spans="1:12" x14ac:dyDescent="0.25">
      <c r="A3676" s="5" t="s">
        <v>2155</v>
      </c>
      <c r="B3676" s="5" t="s">
        <v>2154</v>
      </c>
      <c r="C3676" s="5" t="s">
        <v>24</v>
      </c>
      <c r="D3676" s="21">
        <v>3</v>
      </c>
      <c r="E3676" s="12">
        <v>267</v>
      </c>
      <c r="F3676" s="10" t="str">
        <f>_xlfn.XLOOKUP(C3676,menu!A:A,menu!B:B)</f>
        <v>Paneer Burger</v>
      </c>
      <c r="G3676" s="10" t="str">
        <f>_xlfn.XLOOKUP(C3676,menu!A:A,menu!C:C)</f>
        <v>Burger</v>
      </c>
      <c r="H3676" s="10">
        <f>_xlfn.XLOOKUP(C3676,menu!A:A,menu!E:E)</f>
        <v>27</v>
      </c>
      <c r="I3676" s="10">
        <f t="shared" si="57"/>
        <v>81</v>
      </c>
      <c r="K3676" s="10"/>
      <c r="L3676" s="5"/>
    </row>
    <row r="3677" spans="1:12" x14ac:dyDescent="0.25">
      <c r="A3677" s="5" t="s">
        <v>2153</v>
      </c>
      <c r="B3677" s="5" t="s">
        <v>2152</v>
      </c>
      <c r="C3677" s="5" t="s">
        <v>26</v>
      </c>
      <c r="D3677" s="21">
        <v>1</v>
      </c>
      <c r="E3677" s="12">
        <v>59</v>
      </c>
      <c r="F3677" s="10" t="str">
        <f>_xlfn.XLOOKUP(C3677,menu!A:A,menu!B:B)</f>
        <v>Veg Roll</v>
      </c>
      <c r="G3677" s="10" t="str">
        <f>_xlfn.XLOOKUP(C3677,menu!A:A,menu!C:C)</f>
        <v>Rolls</v>
      </c>
      <c r="H3677" s="10">
        <f>_xlfn.XLOOKUP(C3677,menu!A:A,menu!E:E)</f>
        <v>18</v>
      </c>
      <c r="I3677" s="10">
        <f t="shared" si="57"/>
        <v>18</v>
      </c>
      <c r="K3677" s="10"/>
      <c r="L3677" s="5"/>
    </row>
    <row r="3678" spans="1:12" x14ac:dyDescent="0.25">
      <c r="A3678" s="5" t="s">
        <v>2151</v>
      </c>
      <c r="B3678" s="5" t="s">
        <v>2150</v>
      </c>
      <c r="C3678" s="5" t="s">
        <v>12</v>
      </c>
      <c r="D3678" s="21">
        <v>2</v>
      </c>
      <c r="E3678" s="12">
        <v>158</v>
      </c>
      <c r="F3678" s="10" t="str">
        <f>_xlfn.XLOOKUP(C3678,menu!A:A,menu!B:B)</f>
        <v>Veg Momos</v>
      </c>
      <c r="G3678" s="10" t="str">
        <f>_xlfn.XLOOKUP(C3678,menu!A:A,menu!C:C)</f>
        <v>Momos</v>
      </c>
      <c r="H3678" s="10">
        <f>_xlfn.XLOOKUP(C3678,menu!A:A,menu!E:E)</f>
        <v>24</v>
      </c>
      <c r="I3678" s="10">
        <f t="shared" si="57"/>
        <v>48</v>
      </c>
      <c r="K3678" s="10"/>
      <c r="L3678" s="5"/>
    </row>
    <row r="3679" spans="1:12" x14ac:dyDescent="0.25">
      <c r="A3679" s="5" t="s">
        <v>2149</v>
      </c>
      <c r="B3679" s="5" t="s">
        <v>2147</v>
      </c>
      <c r="C3679" s="5" t="s">
        <v>33</v>
      </c>
      <c r="D3679" s="21">
        <v>2</v>
      </c>
      <c r="E3679" s="12">
        <v>138</v>
      </c>
      <c r="F3679" s="10" t="str">
        <f>_xlfn.XLOOKUP(C3679,menu!A:A,menu!B:B)</f>
        <v>Spring Roll</v>
      </c>
      <c r="G3679" s="10" t="str">
        <f>_xlfn.XLOOKUP(C3679,menu!A:A,menu!C:C)</f>
        <v>Rolls</v>
      </c>
      <c r="H3679" s="10">
        <f>_xlfn.XLOOKUP(C3679,menu!A:A,menu!E:E)</f>
        <v>21</v>
      </c>
      <c r="I3679" s="10">
        <f t="shared" si="57"/>
        <v>42</v>
      </c>
      <c r="K3679" s="10"/>
      <c r="L3679" s="5"/>
    </row>
    <row r="3680" spans="1:12" x14ac:dyDescent="0.25">
      <c r="A3680" s="5" t="s">
        <v>2148</v>
      </c>
      <c r="B3680" s="5" t="s">
        <v>2147</v>
      </c>
      <c r="C3680" s="5" t="s">
        <v>38</v>
      </c>
      <c r="D3680" s="21">
        <v>4</v>
      </c>
      <c r="E3680" s="12">
        <v>596</v>
      </c>
      <c r="F3680" s="10" t="str">
        <f>_xlfn.XLOOKUP(C3680,menu!A:A,menu!B:B)</f>
        <v>Chicken Wings</v>
      </c>
      <c r="G3680" s="10" t="str">
        <f>_xlfn.XLOOKUP(C3680,menu!A:A,menu!C:C)</f>
        <v>Starters</v>
      </c>
      <c r="H3680" s="10">
        <f>_xlfn.XLOOKUP(C3680,menu!A:A,menu!E:E)</f>
        <v>45</v>
      </c>
      <c r="I3680" s="10">
        <f t="shared" si="57"/>
        <v>180</v>
      </c>
      <c r="K3680" s="10"/>
      <c r="L3680" s="5"/>
    </row>
    <row r="3681" spans="1:12" x14ac:dyDescent="0.25">
      <c r="A3681" s="5" t="s">
        <v>2146</v>
      </c>
      <c r="B3681" s="5" t="s">
        <v>2144</v>
      </c>
      <c r="C3681" s="5" t="s">
        <v>50</v>
      </c>
      <c r="D3681" s="21">
        <v>3</v>
      </c>
      <c r="E3681" s="12">
        <v>447</v>
      </c>
      <c r="F3681" s="10" t="str">
        <f>_xlfn.XLOOKUP(C3681,menu!A:A,menu!B:B)</f>
        <v>Grab Lollipop</v>
      </c>
      <c r="G3681" s="10" t="str">
        <f>_xlfn.XLOOKUP(C3681,menu!A:A,menu!C:C)</f>
        <v>Starters</v>
      </c>
      <c r="H3681" s="10">
        <f>_xlfn.XLOOKUP(C3681,menu!A:A,menu!E:E)</f>
        <v>45</v>
      </c>
      <c r="I3681" s="10">
        <f t="shared" si="57"/>
        <v>135</v>
      </c>
      <c r="K3681" s="10"/>
      <c r="L3681" s="5"/>
    </row>
    <row r="3682" spans="1:12" x14ac:dyDescent="0.25">
      <c r="A3682" s="5" t="s">
        <v>2145</v>
      </c>
      <c r="B3682" s="5" t="s">
        <v>2144</v>
      </c>
      <c r="C3682" s="5" t="s">
        <v>15</v>
      </c>
      <c r="D3682" s="21">
        <v>1</v>
      </c>
      <c r="E3682" s="12">
        <v>99</v>
      </c>
      <c r="F3682" s="10" t="str">
        <f>_xlfn.XLOOKUP(C3682,menu!A:A,menu!B:B)</f>
        <v>Chicken Momos</v>
      </c>
      <c r="G3682" s="10" t="str">
        <f>_xlfn.XLOOKUP(C3682,menu!A:A,menu!C:C)</f>
        <v>Momos</v>
      </c>
      <c r="H3682" s="10">
        <f>_xlfn.XLOOKUP(C3682,menu!A:A,menu!E:E)</f>
        <v>30</v>
      </c>
      <c r="I3682" s="10">
        <f t="shared" si="57"/>
        <v>30</v>
      </c>
      <c r="K3682" s="10"/>
      <c r="L3682" s="5"/>
    </row>
    <row r="3683" spans="1:12" x14ac:dyDescent="0.25">
      <c r="A3683" s="5" t="s">
        <v>2143</v>
      </c>
      <c r="B3683" s="5" t="s">
        <v>2141</v>
      </c>
      <c r="C3683" s="5" t="s">
        <v>22</v>
      </c>
      <c r="D3683" s="21">
        <v>1</v>
      </c>
      <c r="E3683" s="12">
        <v>99</v>
      </c>
      <c r="F3683" s="10" t="str">
        <f>_xlfn.XLOOKUP(C3683,menu!A:A,menu!B:B)</f>
        <v>Chicken Burger</v>
      </c>
      <c r="G3683" s="10" t="str">
        <f>_xlfn.XLOOKUP(C3683,menu!A:A,menu!C:C)</f>
        <v>Burger</v>
      </c>
      <c r="H3683" s="10">
        <f>_xlfn.XLOOKUP(C3683,menu!A:A,menu!E:E)</f>
        <v>30</v>
      </c>
      <c r="I3683" s="10">
        <f t="shared" si="57"/>
        <v>30</v>
      </c>
      <c r="K3683" s="10"/>
      <c r="L3683" s="5"/>
    </row>
    <row r="3684" spans="1:12" x14ac:dyDescent="0.25">
      <c r="A3684" s="5" t="s">
        <v>2142</v>
      </c>
      <c r="B3684" s="5" t="s">
        <v>2141</v>
      </c>
      <c r="C3684" s="5" t="s">
        <v>48</v>
      </c>
      <c r="D3684" s="21">
        <v>1</v>
      </c>
      <c r="E3684" s="12">
        <v>159</v>
      </c>
      <c r="F3684" s="10" t="str">
        <f>_xlfn.XLOOKUP(C3684,menu!A:A,menu!B:B)</f>
        <v>Chicken Lollipop</v>
      </c>
      <c r="G3684" s="10" t="str">
        <f>_xlfn.XLOOKUP(C3684,menu!A:A,menu!C:C)</f>
        <v>Starters</v>
      </c>
      <c r="H3684" s="10">
        <f>_xlfn.XLOOKUP(C3684,menu!A:A,menu!E:E)</f>
        <v>48</v>
      </c>
      <c r="I3684" s="10">
        <f t="shared" si="57"/>
        <v>48</v>
      </c>
      <c r="K3684" s="10"/>
      <c r="L3684" s="5"/>
    </row>
    <row r="3685" spans="1:12" x14ac:dyDescent="0.25">
      <c r="A3685" s="5" t="s">
        <v>2140</v>
      </c>
      <c r="B3685" s="5" t="s">
        <v>2137</v>
      </c>
      <c r="C3685" s="5" t="s">
        <v>15</v>
      </c>
      <c r="D3685" s="21">
        <v>1</v>
      </c>
      <c r="E3685" s="12">
        <v>99</v>
      </c>
      <c r="F3685" s="10" t="str">
        <f>_xlfn.XLOOKUP(C3685,menu!A:A,menu!B:B)</f>
        <v>Chicken Momos</v>
      </c>
      <c r="G3685" s="10" t="str">
        <f>_xlfn.XLOOKUP(C3685,menu!A:A,menu!C:C)</f>
        <v>Momos</v>
      </c>
      <c r="H3685" s="10">
        <f>_xlfn.XLOOKUP(C3685,menu!A:A,menu!E:E)</f>
        <v>30</v>
      </c>
      <c r="I3685" s="10">
        <f t="shared" si="57"/>
        <v>30</v>
      </c>
      <c r="K3685" s="10"/>
      <c r="L3685" s="5"/>
    </row>
    <row r="3686" spans="1:12" x14ac:dyDescent="0.25">
      <c r="A3686" s="5" t="s">
        <v>2139</v>
      </c>
      <c r="B3686" s="5" t="s">
        <v>2137</v>
      </c>
      <c r="C3686" s="5" t="s">
        <v>59</v>
      </c>
      <c r="D3686" s="21">
        <v>1</v>
      </c>
      <c r="E3686" s="12">
        <v>79</v>
      </c>
      <c r="F3686" s="10" t="str">
        <f>_xlfn.XLOOKUP(C3686,menu!A:A,menu!B:B)</f>
        <v>Blue Curacao Mojito</v>
      </c>
      <c r="G3686" s="10" t="str">
        <f>_xlfn.XLOOKUP(C3686,menu!A:A,menu!C:C)</f>
        <v>Beverages</v>
      </c>
      <c r="H3686" s="10">
        <f>_xlfn.XLOOKUP(C3686,menu!A:A,menu!E:E)</f>
        <v>24</v>
      </c>
      <c r="I3686" s="10">
        <f t="shared" si="57"/>
        <v>24</v>
      </c>
      <c r="K3686" s="10"/>
      <c r="L3686" s="5"/>
    </row>
    <row r="3687" spans="1:12" x14ac:dyDescent="0.25">
      <c r="A3687" s="5" t="s">
        <v>2138</v>
      </c>
      <c r="B3687" s="5" t="s">
        <v>2137</v>
      </c>
      <c r="C3687" s="5" t="s">
        <v>24</v>
      </c>
      <c r="D3687" s="21">
        <v>1</v>
      </c>
      <c r="E3687" s="12">
        <v>89</v>
      </c>
      <c r="F3687" s="10" t="str">
        <f>_xlfn.XLOOKUP(C3687,menu!A:A,menu!B:B)</f>
        <v>Paneer Burger</v>
      </c>
      <c r="G3687" s="10" t="str">
        <f>_xlfn.XLOOKUP(C3687,menu!A:A,menu!C:C)</f>
        <v>Burger</v>
      </c>
      <c r="H3687" s="10">
        <f>_xlfn.XLOOKUP(C3687,menu!A:A,menu!E:E)</f>
        <v>27</v>
      </c>
      <c r="I3687" s="10">
        <f t="shared" si="57"/>
        <v>27</v>
      </c>
      <c r="K3687" s="10"/>
      <c r="L3687" s="5"/>
    </row>
    <row r="3688" spans="1:12" x14ac:dyDescent="0.25">
      <c r="A3688" s="5" t="s">
        <v>2136</v>
      </c>
      <c r="B3688" s="5" t="s">
        <v>2135</v>
      </c>
      <c r="C3688" s="5" t="s">
        <v>54</v>
      </c>
      <c r="D3688" s="21">
        <v>1</v>
      </c>
      <c r="E3688" s="12">
        <v>139</v>
      </c>
      <c r="F3688" s="10" t="str">
        <f>_xlfn.XLOOKUP(C3688,menu!A:A,menu!B:B)</f>
        <v>Chicken Strips</v>
      </c>
      <c r="G3688" s="10" t="str">
        <f>_xlfn.XLOOKUP(C3688,menu!A:A,menu!C:C)</f>
        <v>Starters</v>
      </c>
      <c r="H3688" s="10">
        <f>_xlfn.XLOOKUP(C3688,menu!A:A,menu!E:E)</f>
        <v>42</v>
      </c>
      <c r="I3688" s="10">
        <f t="shared" si="57"/>
        <v>42</v>
      </c>
      <c r="K3688" s="10"/>
      <c r="L3688" s="5"/>
    </row>
    <row r="3689" spans="1:12" x14ac:dyDescent="0.25">
      <c r="A3689" s="5" t="s">
        <v>2134</v>
      </c>
      <c r="B3689" s="5" t="s">
        <v>2133</v>
      </c>
      <c r="C3689" s="5" t="s">
        <v>26</v>
      </c>
      <c r="D3689" s="21">
        <v>3</v>
      </c>
      <c r="E3689" s="12">
        <v>177</v>
      </c>
      <c r="F3689" s="10" t="str">
        <f>_xlfn.XLOOKUP(C3689,menu!A:A,menu!B:B)</f>
        <v>Veg Roll</v>
      </c>
      <c r="G3689" s="10" t="str">
        <f>_xlfn.XLOOKUP(C3689,menu!A:A,menu!C:C)</f>
        <v>Rolls</v>
      </c>
      <c r="H3689" s="10">
        <f>_xlfn.XLOOKUP(C3689,menu!A:A,menu!E:E)</f>
        <v>18</v>
      </c>
      <c r="I3689" s="10">
        <f t="shared" si="57"/>
        <v>54</v>
      </c>
      <c r="K3689" s="10"/>
      <c r="L3689" s="5"/>
    </row>
    <row r="3690" spans="1:12" x14ac:dyDescent="0.25">
      <c r="A3690" s="5" t="s">
        <v>2132</v>
      </c>
      <c r="B3690" s="5" t="s">
        <v>2129</v>
      </c>
      <c r="C3690" s="5" t="s">
        <v>12</v>
      </c>
      <c r="D3690" s="21">
        <v>2</v>
      </c>
      <c r="E3690" s="12">
        <v>158</v>
      </c>
      <c r="F3690" s="10" t="str">
        <f>_xlfn.XLOOKUP(C3690,menu!A:A,menu!B:B)</f>
        <v>Veg Momos</v>
      </c>
      <c r="G3690" s="10" t="str">
        <f>_xlfn.XLOOKUP(C3690,menu!A:A,menu!C:C)</f>
        <v>Momos</v>
      </c>
      <c r="H3690" s="10">
        <f>_xlfn.XLOOKUP(C3690,menu!A:A,menu!E:E)</f>
        <v>24</v>
      </c>
      <c r="I3690" s="10">
        <f t="shared" si="57"/>
        <v>48</v>
      </c>
      <c r="K3690" s="10"/>
      <c r="L3690" s="5"/>
    </row>
    <row r="3691" spans="1:12" x14ac:dyDescent="0.25">
      <c r="A3691" s="5" t="s">
        <v>2131</v>
      </c>
      <c r="B3691" s="5" t="s">
        <v>2129</v>
      </c>
      <c r="C3691" s="5" t="s">
        <v>54</v>
      </c>
      <c r="D3691" s="21">
        <v>1</v>
      </c>
      <c r="E3691" s="12">
        <v>139</v>
      </c>
      <c r="F3691" s="10" t="str">
        <f>_xlfn.XLOOKUP(C3691,menu!A:A,menu!B:B)</f>
        <v>Chicken Strips</v>
      </c>
      <c r="G3691" s="10" t="str">
        <f>_xlfn.XLOOKUP(C3691,menu!A:A,menu!C:C)</f>
        <v>Starters</v>
      </c>
      <c r="H3691" s="10">
        <f>_xlfn.XLOOKUP(C3691,menu!A:A,menu!E:E)</f>
        <v>42</v>
      </c>
      <c r="I3691" s="10">
        <f t="shared" si="57"/>
        <v>42</v>
      </c>
      <c r="K3691" s="10"/>
      <c r="L3691" s="5"/>
    </row>
    <row r="3692" spans="1:12" x14ac:dyDescent="0.25">
      <c r="A3692" s="5" t="s">
        <v>2130</v>
      </c>
      <c r="B3692" s="5" t="s">
        <v>2129</v>
      </c>
      <c r="C3692" s="5" t="s">
        <v>17</v>
      </c>
      <c r="D3692" s="21">
        <v>2</v>
      </c>
      <c r="E3692" s="12">
        <v>178</v>
      </c>
      <c r="F3692" s="10" t="str">
        <f>_xlfn.XLOOKUP(C3692,menu!A:A,menu!B:B)</f>
        <v>Paneer Momos</v>
      </c>
      <c r="G3692" s="10" t="str">
        <f>_xlfn.XLOOKUP(C3692,menu!A:A,menu!C:C)</f>
        <v>Momos</v>
      </c>
      <c r="H3692" s="10">
        <f>_xlfn.XLOOKUP(C3692,menu!A:A,menu!E:E)</f>
        <v>27</v>
      </c>
      <c r="I3692" s="10">
        <f t="shared" si="57"/>
        <v>54</v>
      </c>
      <c r="K3692" s="10"/>
      <c r="L3692" s="5"/>
    </row>
    <row r="3693" spans="1:12" x14ac:dyDescent="0.25">
      <c r="A3693" s="5" t="s">
        <v>2128</v>
      </c>
      <c r="B3693" s="5" t="s">
        <v>2125</v>
      </c>
      <c r="C3693" s="5" t="s">
        <v>54</v>
      </c>
      <c r="D3693" s="21">
        <v>1</v>
      </c>
      <c r="E3693" s="12">
        <v>139</v>
      </c>
      <c r="F3693" s="10" t="str">
        <f>_xlfn.XLOOKUP(C3693,menu!A:A,menu!B:B)</f>
        <v>Chicken Strips</v>
      </c>
      <c r="G3693" s="10" t="str">
        <f>_xlfn.XLOOKUP(C3693,menu!A:A,menu!C:C)</f>
        <v>Starters</v>
      </c>
      <c r="H3693" s="10">
        <f>_xlfn.XLOOKUP(C3693,menu!A:A,menu!E:E)</f>
        <v>42</v>
      </c>
      <c r="I3693" s="10">
        <f t="shared" si="57"/>
        <v>42</v>
      </c>
      <c r="K3693" s="10"/>
      <c r="L3693" s="5"/>
    </row>
    <row r="3694" spans="1:12" x14ac:dyDescent="0.25">
      <c r="A3694" s="5" t="s">
        <v>2127</v>
      </c>
      <c r="B3694" s="5" t="s">
        <v>2125</v>
      </c>
      <c r="C3694" s="5" t="s">
        <v>22</v>
      </c>
      <c r="D3694" s="21">
        <v>1</v>
      </c>
      <c r="E3694" s="12">
        <v>99</v>
      </c>
      <c r="F3694" s="10" t="str">
        <f>_xlfn.XLOOKUP(C3694,menu!A:A,menu!B:B)</f>
        <v>Chicken Burger</v>
      </c>
      <c r="G3694" s="10" t="str">
        <f>_xlfn.XLOOKUP(C3694,menu!A:A,menu!C:C)</f>
        <v>Burger</v>
      </c>
      <c r="H3694" s="10">
        <f>_xlfn.XLOOKUP(C3694,menu!A:A,menu!E:E)</f>
        <v>30</v>
      </c>
      <c r="I3694" s="10">
        <f t="shared" si="57"/>
        <v>30</v>
      </c>
      <c r="K3694" s="10"/>
      <c r="L3694" s="5"/>
    </row>
    <row r="3695" spans="1:12" x14ac:dyDescent="0.25">
      <c r="A3695" s="5" t="s">
        <v>2126</v>
      </c>
      <c r="B3695" s="5" t="s">
        <v>2125</v>
      </c>
      <c r="C3695" s="5" t="s">
        <v>33</v>
      </c>
      <c r="D3695" s="21">
        <v>1</v>
      </c>
      <c r="E3695" s="12">
        <v>69</v>
      </c>
      <c r="F3695" s="10" t="str">
        <f>_xlfn.XLOOKUP(C3695,menu!A:A,menu!B:B)</f>
        <v>Spring Roll</v>
      </c>
      <c r="G3695" s="10" t="str">
        <f>_xlfn.XLOOKUP(C3695,menu!A:A,menu!C:C)</f>
        <v>Rolls</v>
      </c>
      <c r="H3695" s="10">
        <f>_xlfn.XLOOKUP(C3695,menu!A:A,menu!E:E)</f>
        <v>21</v>
      </c>
      <c r="I3695" s="10">
        <f t="shared" si="57"/>
        <v>21</v>
      </c>
      <c r="K3695" s="10"/>
      <c r="L3695" s="5"/>
    </row>
    <row r="3696" spans="1:12" x14ac:dyDescent="0.25">
      <c r="A3696" s="5" t="s">
        <v>2124</v>
      </c>
      <c r="B3696" s="5" t="s">
        <v>2122</v>
      </c>
      <c r="C3696" s="5" t="s">
        <v>17</v>
      </c>
      <c r="D3696" s="21">
        <v>1</v>
      </c>
      <c r="E3696" s="12">
        <v>89</v>
      </c>
      <c r="F3696" s="10" t="str">
        <f>_xlfn.XLOOKUP(C3696,menu!A:A,menu!B:B)</f>
        <v>Paneer Momos</v>
      </c>
      <c r="G3696" s="10" t="str">
        <f>_xlfn.XLOOKUP(C3696,menu!A:A,menu!C:C)</f>
        <v>Momos</v>
      </c>
      <c r="H3696" s="10">
        <f>_xlfn.XLOOKUP(C3696,menu!A:A,menu!E:E)</f>
        <v>27</v>
      </c>
      <c r="I3696" s="10">
        <f t="shared" si="57"/>
        <v>27</v>
      </c>
      <c r="K3696" s="10"/>
      <c r="L3696" s="5"/>
    </row>
    <row r="3697" spans="1:12" x14ac:dyDescent="0.25">
      <c r="A3697" s="5" t="s">
        <v>2123</v>
      </c>
      <c r="B3697" s="5" t="s">
        <v>2122</v>
      </c>
      <c r="C3697" s="5" t="s">
        <v>33</v>
      </c>
      <c r="D3697" s="21">
        <v>3</v>
      </c>
      <c r="E3697" s="12">
        <v>207</v>
      </c>
      <c r="F3697" s="10" t="str">
        <f>_xlfn.XLOOKUP(C3697,menu!A:A,menu!B:B)</f>
        <v>Spring Roll</v>
      </c>
      <c r="G3697" s="10" t="str">
        <f>_xlfn.XLOOKUP(C3697,menu!A:A,menu!C:C)</f>
        <v>Rolls</v>
      </c>
      <c r="H3697" s="10">
        <f>_xlfn.XLOOKUP(C3697,menu!A:A,menu!E:E)</f>
        <v>21</v>
      </c>
      <c r="I3697" s="10">
        <f t="shared" si="57"/>
        <v>63</v>
      </c>
      <c r="K3697" s="10"/>
      <c r="L3697" s="5"/>
    </row>
    <row r="3698" spans="1:12" x14ac:dyDescent="0.25">
      <c r="A3698" s="5" t="s">
        <v>2121</v>
      </c>
      <c r="B3698" s="5" t="s">
        <v>2118</v>
      </c>
      <c r="C3698" s="5" t="s">
        <v>40</v>
      </c>
      <c r="D3698" s="21">
        <v>2</v>
      </c>
      <c r="E3698" s="12">
        <v>198</v>
      </c>
      <c r="F3698" s="10" t="str">
        <f>_xlfn.XLOOKUP(C3698,menu!A:A,menu!B:B)</f>
        <v>Veg Nuggets</v>
      </c>
      <c r="G3698" s="10" t="str">
        <f>_xlfn.XLOOKUP(C3698,menu!A:A,menu!C:C)</f>
        <v>Starters</v>
      </c>
      <c r="H3698" s="10">
        <f>_xlfn.XLOOKUP(C3698,menu!A:A,menu!E:E)</f>
        <v>30</v>
      </c>
      <c r="I3698" s="10">
        <f t="shared" si="57"/>
        <v>60</v>
      </c>
      <c r="K3698" s="10"/>
      <c r="L3698" s="5"/>
    </row>
    <row r="3699" spans="1:12" x14ac:dyDescent="0.25">
      <c r="A3699" s="5" t="s">
        <v>2120</v>
      </c>
      <c r="B3699" s="5" t="s">
        <v>2118</v>
      </c>
      <c r="C3699" s="5" t="s">
        <v>44</v>
      </c>
      <c r="D3699" s="21">
        <v>1</v>
      </c>
      <c r="E3699" s="12">
        <v>159</v>
      </c>
      <c r="F3699" s="10" t="str">
        <f>_xlfn.XLOOKUP(C3699,menu!A:A,menu!B:B)</f>
        <v>Fried Chicken</v>
      </c>
      <c r="G3699" s="10" t="str">
        <f>_xlfn.XLOOKUP(C3699,menu!A:A,menu!C:C)</f>
        <v>Starters</v>
      </c>
      <c r="H3699" s="10">
        <f>_xlfn.XLOOKUP(C3699,menu!A:A,menu!E:E)</f>
        <v>48</v>
      </c>
      <c r="I3699" s="10">
        <f t="shared" si="57"/>
        <v>48</v>
      </c>
      <c r="K3699" s="10"/>
      <c r="L3699" s="5"/>
    </row>
    <row r="3700" spans="1:12" x14ac:dyDescent="0.25">
      <c r="A3700" s="5" t="s">
        <v>2119</v>
      </c>
      <c r="B3700" s="5" t="s">
        <v>2118</v>
      </c>
      <c r="C3700" s="5" t="s">
        <v>17</v>
      </c>
      <c r="D3700" s="21">
        <v>1</v>
      </c>
      <c r="E3700" s="12">
        <v>89</v>
      </c>
      <c r="F3700" s="10" t="str">
        <f>_xlfn.XLOOKUP(C3700,menu!A:A,menu!B:B)</f>
        <v>Paneer Momos</v>
      </c>
      <c r="G3700" s="10" t="str">
        <f>_xlfn.XLOOKUP(C3700,menu!A:A,menu!C:C)</f>
        <v>Momos</v>
      </c>
      <c r="H3700" s="10">
        <f>_xlfn.XLOOKUP(C3700,menu!A:A,menu!E:E)</f>
        <v>27</v>
      </c>
      <c r="I3700" s="10">
        <f t="shared" si="57"/>
        <v>27</v>
      </c>
      <c r="K3700" s="10"/>
      <c r="L3700" s="5"/>
    </row>
    <row r="3701" spans="1:12" x14ac:dyDescent="0.25">
      <c r="A3701" s="5" t="s">
        <v>2117</v>
      </c>
      <c r="B3701" s="5" t="s">
        <v>2115</v>
      </c>
      <c r="C3701" s="5" t="s">
        <v>56</v>
      </c>
      <c r="D3701" s="21">
        <v>1</v>
      </c>
      <c r="E3701" s="12">
        <v>79</v>
      </c>
      <c r="F3701" s="10" t="str">
        <f>_xlfn.XLOOKUP(C3701,menu!A:A,menu!B:B)</f>
        <v>Mint Mojito</v>
      </c>
      <c r="G3701" s="10" t="str">
        <f>_xlfn.XLOOKUP(C3701,menu!A:A,menu!C:C)</f>
        <v>Beverages</v>
      </c>
      <c r="H3701" s="10">
        <f>_xlfn.XLOOKUP(C3701,menu!A:A,menu!E:E)</f>
        <v>24</v>
      </c>
      <c r="I3701" s="10">
        <f t="shared" si="57"/>
        <v>24</v>
      </c>
      <c r="K3701" s="10"/>
      <c r="L3701" s="5"/>
    </row>
    <row r="3702" spans="1:12" x14ac:dyDescent="0.25">
      <c r="A3702" s="5" t="s">
        <v>2116</v>
      </c>
      <c r="B3702" s="5" t="s">
        <v>2115</v>
      </c>
      <c r="C3702" s="5" t="s">
        <v>63</v>
      </c>
      <c r="D3702" s="21">
        <v>1</v>
      </c>
      <c r="E3702" s="12">
        <v>79</v>
      </c>
      <c r="F3702" s="10" t="str">
        <f>_xlfn.XLOOKUP(C3702,menu!A:A,menu!B:B)</f>
        <v>Virgin Mojito</v>
      </c>
      <c r="G3702" s="10" t="str">
        <f>_xlfn.XLOOKUP(C3702,menu!A:A,menu!C:C)</f>
        <v>Beverages</v>
      </c>
      <c r="H3702" s="10">
        <f>_xlfn.XLOOKUP(C3702,menu!A:A,menu!E:E)</f>
        <v>24</v>
      </c>
      <c r="I3702" s="10">
        <f t="shared" si="57"/>
        <v>24</v>
      </c>
      <c r="K3702" s="10"/>
      <c r="L3702" s="5"/>
    </row>
    <row r="3703" spans="1:12" x14ac:dyDescent="0.25">
      <c r="A3703" s="5" t="s">
        <v>2114</v>
      </c>
      <c r="B3703" s="5" t="s">
        <v>2112</v>
      </c>
      <c r="C3703" s="5" t="s">
        <v>54</v>
      </c>
      <c r="D3703" s="21">
        <v>1</v>
      </c>
      <c r="E3703" s="12">
        <v>139</v>
      </c>
      <c r="F3703" s="10" t="str">
        <f>_xlfn.XLOOKUP(C3703,menu!A:A,menu!B:B)</f>
        <v>Chicken Strips</v>
      </c>
      <c r="G3703" s="10" t="str">
        <f>_xlfn.XLOOKUP(C3703,menu!A:A,menu!C:C)</f>
        <v>Starters</v>
      </c>
      <c r="H3703" s="10">
        <f>_xlfn.XLOOKUP(C3703,menu!A:A,menu!E:E)</f>
        <v>42</v>
      </c>
      <c r="I3703" s="10">
        <f t="shared" si="57"/>
        <v>42</v>
      </c>
      <c r="K3703" s="10"/>
      <c r="L3703" s="5"/>
    </row>
    <row r="3704" spans="1:12" x14ac:dyDescent="0.25">
      <c r="A3704" s="5" t="s">
        <v>2113</v>
      </c>
      <c r="B3704" s="5" t="s">
        <v>2112</v>
      </c>
      <c r="C3704" s="5" t="s">
        <v>46</v>
      </c>
      <c r="D3704" s="21">
        <v>3</v>
      </c>
      <c r="E3704" s="12">
        <v>447</v>
      </c>
      <c r="F3704" s="10" t="str">
        <f>_xlfn.XLOOKUP(C3704,menu!A:A,menu!B:B)</f>
        <v>Fish Finger</v>
      </c>
      <c r="G3704" s="10" t="str">
        <f>_xlfn.XLOOKUP(C3704,menu!A:A,menu!C:C)</f>
        <v>Starters</v>
      </c>
      <c r="H3704" s="10">
        <f>_xlfn.XLOOKUP(C3704,menu!A:A,menu!E:E)</f>
        <v>45</v>
      </c>
      <c r="I3704" s="10">
        <f t="shared" si="57"/>
        <v>135</v>
      </c>
      <c r="K3704" s="10"/>
      <c r="L3704" s="5"/>
    </row>
    <row r="3705" spans="1:12" x14ac:dyDescent="0.25">
      <c r="A3705" s="5" t="s">
        <v>2111</v>
      </c>
      <c r="B3705" s="5" t="s">
        <v>2109</v>
      </c>
      <c r="C3705" s="5" t="s">
        <v>46</v>
      </c>
      <c r="D3705" s="21">
        <v>4</v>
      </c>
      <c r="E3705" s="12">
        <v>596</v>
      </c>
      <c r="F3705" s="10" t="str">
        <f>_xlfn.XLOOKUP(C3705,menu!A:A,menu!B:B)</f>
        <v>Fish Finger</v>
      </c>
      <c r="G3705" s="10" t="str">
        <f>_xlfn.XLOOKUP(C3705,menu!A:A,menu!C:C)</f>
        <v>Starters</v>
      </c>
      <c r="H3705" s="10">
        <f>_xlfn.XLOOKUP(C3705,menu!A:A,menu!E:E)</f>
        <v>45</v>
      </c>
      <c r="I3705" s="10">
        <f t="shared" si="57"/>
        <v>180</v>
      </c>
      <c r="K3705" s="10"/>
      <c r="L3705" s="5"/>
    </row>
    <row r="3706" spans="1:12" x14ac:dyDescent="0.25">
      <c r="A3706" s="5" t="s">
        <v>2110</v>
      </c>
      <c r="B3706" s="5" t="s">
        <v>2109</v>
      </c>
      <c r="C3706" s="5" t="s">
        <v>42</v>
      </c>
      <c r="D3706" s="21">
        <v>1</v>
      </c>
      <c r="E3706" s="12">
        <v>149</v>
      </c>
      <c r="F3706" s="10" t="str">
        <f>_xlfn.XLOOKUP(C3706,menu!A:A,menu!B:B)</f>
        <v>Chicken Popcorn</v>
      </c>
      <c r="G3706" s="10" t="str">
        <f>_xlfn.XLOOKUP(C3706,menu!A:A,menu!C:C)</f>
        <v>Starters</v>
      </c>
      <c r="H3706" s="10">
        <f>_xlfn.XLOOKUP(C3706,menu!A:A,menu!E:E)</f>
        <v>45</v>
      </c>
      <c r="I3706" s="10">
        <f t="shared" si="57"/>
        <v>45</v>
      </c>
      <c r="K3706" s="10"/>
      <c r="L3706" s="5"/>
    </row>
    <row r="3707" spans="1:12" x14ac:dyDescent="0.25">
      <c r="A3707" s="5" t="s">
        <v>2108</v>
      </c>
      <c r="B3707" s="5" t="s">
        <v>2106</v>
      </c>
      <c r="C3707" s="5" t="s">
        <v>42</v>
      </c>
      <c r="D3707" s="21">
        <v>1</v>
      </c>
      <c r="E3707" s="12">
        <v>149</v>
      </c>
      <c r="F3707" s="10" t="str">
        <f>_xlfn.XLOOKUP(C3707,menu!A:A,menu!B:B)</f>
        <v>Chicken Popcorn</v>
      </c>
      <c r="G3707" s="10" t="str">
        <f>_xlfn.XLOOKUP(C3707,menu!A:A,menu!C:C)</f>
        <v>Starters</v>
      </c>
      <c r="H3707" s="10">
        <f>_xlfn.XLOOKUP(C3707,menu!A:A,menu!E:E)</f>
        <v>45</v>
      </c>
      <c r="I3707" s="10">
        <f t="shared" si="57"/>
        <v>45</v>
      </c>
      <c r="K3707" s="10"/>
      <c r="L3707" s="5"/>
    </row>
    <row r="3708" spans="1:12" x14ac:dyDescent="0.25">
      <c r="A3708" s="5" t="s">
        <v>2107</v>
      </c>
      <c r="B3708" s="5" t="s">
        <v>2106</v>
      </c>
      <c r="C3708" s="5" t="s">
        <v>24</v>
      </c>
      <c r="D3708" s="21">
        <v>1</v>
      </c>
      <c r="E3708" s="12">
        <v>89</v>
      </c>
      <c r="F3708" s="10" t="str">
        <f>_xlfn.XLOOKUP(C3708,menu!A:A,menu!B:B)</f>
        <v>Paneer Burger</v>
      </c>
      <c r="G3708" s="10" t="str">
        <f>_xlfn.XLOOKUP(C3708,menu!A:A,menu!C:C)</f>
        <v>Burger</v>
      </c>
      <c r="H3708" s="10">
        <f>_xlfn.XLOOKUP(C3708,menu!A:A,menu!E:E)</f>
        <v>27</v>
      </c>
      <c r="I3708" s="10">
        <f t="shared" si="57"/>
        <v>27</v>
      </c>
      <c r="K3708" s="10"/>
      <c r="L3708" s="5"/>
    </row>
    <row r="3709" spans="1:12" x14ac:dyDescent="0.25">
      <c r="A3709" s="5" t="s">
        <v>2105</v>
      </c>
      <c r="B3709" s="5" t="s">
        <v>2103</v>
      </c>
      <c r="C3709" s="5" t="s">
        <v>24</v>
      </c>
      <c r="D3709" s="21">
        <v>2</v>
      </c>
      <c r="E3709" s="12">
        <v>178</v>
      </c>
      <c r="F3709" s="10" t="str">
        <f>_xlfn.XLOOKUP(C3709,menu!A:A,menu!B:B)</f>
        <v>Paneer Burger</v>
      </c>
      <c r="G3709" s="10" t="str">
        <f>_xlfn.XLOOKUP(C3709,menu!A:A,menu!C:C)</f>
        <v>Burger</v>
      </c>
      <c r="H3709" s="10">
        <f>_xlfn.XLOOKUP(C3709,menu!A:A,menu!E:E)</f>
        <v>27</v>
      </c>
      <c r="I3709" s="10">
        <f t="shared" si="57"/>
        <v>54</v>
      </c>
      <c r="K3709" s="10"/>
      <c r="L3709" s="5"/>
    </row>
    <row r="3710" spans="1:12" x14ac:dyDescent="0.25">
      <c r="A3710" s="5" t="s">
        <v>2104</v>
      </c>
      <c r="B3710" s="5" t="s">
        <v>2103</v>
      </c>
      <c r="C3710" s="5" t="s">
        <v>61</v>
      </c>
      <c r="D3710" s="21">
        <v>2</v>
      </c>
      <c r="E3710" s="12">
        <v>158</v>
      </c>
      <c r="F3710" s="10" t="str">
        <f>_xlfn.XLOOKUP(C3710,menu!A:A,menu!B:B)</f>
        <v>Watermelon Mojito</v>
      </c>
      <c r="G3710" s="10" t="str">
        <f>_xlfn.XLOOKUP(C3710,menu!A:A,menu!C:C)</f>
        <v>Beverages</v>
      </c>
      <c r="H3710" s="10">
        <f>_xlfn.XLOOKUP(C3710,menu!A:A,menu!E:E)</f>
        <v>24</v>
      </c>
      <c r="I3710" s="10">
        <f t="shared" si="57"/>
        <v>48</v>
      </c>
      <c r="K3710" s="10"/>
      <c r="L3710" s="5"/>
    </row>
    <row r="3711" spans="1:12" x14ac:dyDescent="0.25">
      <c r="A3711" s="5" t="s">
        <v>2102</v>
      </c>
      <c r="B3711" s="5" t="s">
        <v>2101</v>
      </c>
      <c r="C3711" s="5" t="s">
        <v>44</v>
      </c>
      <c r="D3711" s="21">
        <v>3</v>
      </c>
      <c r="E3711" s="12">
        <v>477</v>
      </c>
      <c r="F3711" s="10" t="str">
        <f>_xlfn.XLOOKUP(C3711,menu!A:A,menu!B:B)</f>
        <v>Fried Chicken</v>
      </c>
      <c r="G3711" s="10" t="str">
        <f>_xlfn.XLOOKUP(C3711,menu!A:A,menu!C:C)</f>
        <v>Starters</v>
      </c>
      <c r="H3711" s="10">
        <f>_xlfn.XLOOKUP(C3711,menu!A:A,menu!E:E)</f>
        <v>48</v>
      </c>
      <c r="I3711" s="10">
        <f t="shared" si="57"/>
        <v>144</v>
      </c>
      <c r="K3711" s="10"/>
      <c r="L3711" s="5"/>
    </row>
    <row r="3712" spans="1:12" x14ac:dyDescent="0.25">
      <c r="A3712" s="5" t="s">
        <v>2100</v>
      </c>
      <c r="B3712" s="5" t="s">
        <v>2096</v>
      </c>
      <c r="C3712" s="5" t="s">
        <v>17</v>
      </c>
      <c r="D3712" s="21">
        <v>1</v>
      </c>
      <c r="E3712" s="12">
        <v>89</v>
      </c>
      <c r="F3712" s="10" t="str">
        <f>_xlfn.XLOOKUP(C3712,menu!A:A,menu!B:B)</f>
        <v>Paneer Momos</v>
      </c>
      <c r="G3712" s="10" t="str">
        <f>_xlfn.XLOOKUP(C3712,menu!A:A,menu!C:C)</f>
        <v>Momos</v>
      </c>
      <c r="H3712" s="10">
        <f>_xlfn.XLOOKUP(C3712,menu!A:A,menu!E:E)</f>
        <v>27</v>
      </c>
      <c r="I3712" s="10">
        <f t="shared" si="57"/>
        <v>27</v>
      </c>
      <c r="K3712" s="10"/>
      <c r="L3712" s="5"/>
    </row>
    <row r="3713" spans="1:12" x14ac:dyDescent="0.25">
      <c r="A3713" s="5" t="s">
        <v>2099</v>
      </c>
      <c r="B3713" s="5" t="s">
        <v>2096</v>
      </c>
      <c r="C3713" s="5" t="s">
        <v>35</v>
      </c>
      <c r="D3713" s="21">
        <v>3</v>
      </c>
      <c r="E3713" s="12">
        <v>357</v>
      </c>
      <c r="F3713" s="10" t="str">
        <f>_xlfn.XLOOKUP(C3713,menu!A:A,menu!B:B)</f>
        <v>Chicken Nuggets</v>
      </c>
      <c r="G3713" s="10" t="str">
        <f>_xlfn.XLOOKUP(C3713,menu!A:A,menu!C:C)</f>
        <v>Starters</v>
      </c>
      <c r="H3713" s="10">
        <f>_xlfn.XLOOKUP(C3713,menu!A:A,menu!E:E)</f>
        <v>36</v>
      </c>
      <c r="I3713" s="10">
        <f t="shared" si="57"/>
        <v>108</v>
      </c>
      <c r="K3713" s="10"/>
      <c r="L3713" s="5"/>
    </row>
    <row r="3714" spans="1:12" x14ac:dyDescent="0.25">
      <c r="A3714" s="5" t="s">
        <v>2098</v>
      </c>
      <c r="B3714" s="5" t="s">
        <v>2096</v>
      </c>
      <c r="C3714" s="5" t="s">
        <v>5</v>
      </c>
      <c r="D3714" s="21">
        <v>2</v>
      </c>
      <c r="E3714" s="12">
        <v>158</v>
      </c>
      <c r="F3714" s="10" t="str">
        <f>_xlfn.XLOOKUP(C3714,menu!A:A,menu!B:B)</f>
        <v>Veg Sandwich</v>
      </c>
      <c r="G3714" s="10" t="str">
        <f>_xlfn.XLOOKUP(C3714,menu!A:A,menu!C:C)</f>
        <v>Sandwich</v>
      </c>
      <c r="H3714" s="10">
        <f>_xlfn.XLOOKUP(C3714,menu!A:A,menu!E:E)</f>
        <v>24</v>
      </c>
      <c r="I3714" s="10">
        <f t="shared" si="57"/>
        <v>48</v>
      </c>
      <c r="K3714" s="10"/>
      <c r="L3714" s="5"/>
    </row>
    <row r="3715" spans="1:12" x14ac:dyDescent="0.25">
      <c r="A3715" s="5" t="s">
        <v>2097</v>
      </c>
      <c r="B3715" s="5" t="s">
        <v>2096</v>
      </c>
      <c r="C3715" s="5" t="s">
        <v>38</v>
      </c>
      <c r="D3715" s="21">
        <v>1</v>
      </c>
      <c r="E3715" s="12">
        <v>149</v>
      </c>
      <c r="F3715" s="10" t="str">
        <f>_xlfn.XLOOKUP(C3715,menu!A:A,menu!B:B)</f>
        <v>Chicken Wings</v>
      </c>
      <c r="G3715" s="10" t="str">
        <f>_xlfn.XLOOKUP(C3715,menu!A:A,menu!C:C)</f>
        <v>Starters</v>
      </c>
      <c r="H3715" s="10">
        <f>_xlfn.XLOOKUP(C3715,menu!A:A,menu!E:E)</f>
        <v>45</v>
      </c>
      <c r="I3715" s="10">
        <f t="shared" ref="I3715:I3778" si="58">D3715*H3715</f>
        <v>45</v>
      </c>
      <c r="K3715" s="10"/>
      <c r="L3715" s="5"/>
    </row>
    <row r="3716" spans="1:12" x14ac:dyDescent="0.25">
      <c r="A3716" s="5" t="s">
        <v>2095</v>
      </c>
      <c r="B3716" s="5" t="s">
        <v>2091</v>
      </c>
      <c r="C3716" s="5" t="s">
        <v>5</v>
      </c>
      <c r="D3716" s="21">
        <v>1</v>
      </c>
      <c r="E3716" s="12">
        <v>79</v>
      </c>
      <c r="F3716" s="10" t="str">
        <f>_xlfn.XLOOKUP(C3716,menu!A:A,menu!B:B)</f>
        <v>Veg Sandwich</v>
      </c>
      <c r="G3716" s="10" t="str">
        <f>_xlfn.XLOOKUP(C3716,menu!A:A,menu!C:C)</f>
        <v>Sandwich</v>
      </c>
      <c r="H3716" s="10">
        <f>_xlfn.XLOOKUP(C3716,menu!A:A,menu!E:E)</f>
        <v>24</v>
      </c>
      <c r="I3716" s="10">
        <f t="shared" si="58"/>
        <v>24</v>
      </c>
      <c r="K3716" s="10"/>
      <c r="L3716" s="5"/>
    </row>
    <row r="3717" spans="1:12" x14ac:dyDescent="0.25">
      <c r="A3717" s="5" t="s">
        <v>2094</v>
      </c>
      <c r="B3717" s="5" t="s">
        <v>2091</v>
      </c>
      <c r="C3717" s="5" t="s">
        <v>56</v>
      </c>
      <c r="D3717" s="21">
        <v>1</v>
      </c>
      <c r="E3717" s="12">
        <v>79</v>
      </c>
      <c r="F3717" s="10" t="str">
        <f>_xlfn.XLOOKUP(C3717,menu!A:A,menu!B:B)</f>
        <v>Mint Mojito</v>
      </c>
      <c r="G3717" s="10" t="str">
        <f>_xlfn.XLOOKUP(C3717,menu!A:A,menu!C:C)</f>
        <v>Beverages</v>
      </c>
      <c r="H3717" s="10">
        <f>_xlfn.XLOOKUP(C3717,menu!A:A,menu!E:E)</f>
        <v>24</v>
      </c>
      <c r="I3717" s="10">
        <f t="shared" si="58"/>
        <v>24</v>
      </c>
      <c r="K3717" s="10"/>
      <c r="L3717" s="5"/>
    </row>
    <row r="3718" spans="1:12" x14ac:dyDescent="0.25">
      <c r="A3718" s="5" t="s">
        <v>2093</v>
      </c>
      <c r="B3718" s="5" t="s">
        <v>2091</v>
      </c>
      <c r="C3718" s="5" t="s">
        <v>59</v>
      </c>
      <c r="D3718" s="21">
        <v>1</v>
      </c>
      <c r="E3718" s="12">
        <v>79</v>
      </c>
      <c r="F3718" s="10" t="str">
        <f>_xlfn.XLOOKUP(C3718,menu!A:A,menu!B:B)</f>
        <v>Blue Curacao Mojito</v>
      </c>
      <c r="G3718" s="10" t="str">
        <f>_xlfn.XLOOKUP(C3718,menu!A:A,menu!C:C)</f>
        <v>Beverages</v>
      </c>
      <c r="H3718" s="10">
        <f>_xlfn.XLOOKUP(C3718,menu!A:A,menu!E:E)</f>
        <v>24</v>
      </c>
      <c r="I3718" s="10">
        <f t="shared" si="58"/>
        <v>24</v>
      </c>
      <c r="K3718" s="10"/>
      <c r="L3718" s="5"/>
    </row>
    <row r="3719" spans="1:12" x14ac:dyDescent="0.25">
      <c r="A3719" s="5" t="s">
        <v>2092</v>
      </c>
      <c r="B3719" s="5" t="s">
        <v>2091</v>
      </c>
      <c r="C3719" s="5" t="s">
        <v>31</v>
      </c>
      <c r="D3719" s="21">
        <v>1</v>
      </c>
      <c r="E3719" s="12">
        <v>89</v>
      </c>
      <c r="F3719" s="10" t="str">
        <f>_xlfn.XLOOKUP(C3719,menu!A:A,menu!B:B)</f>
        <v>Chicken Roll</v>
      </c>
      <c r="G3719" s="10" t="str">
        <f>_xlfn.XLOOKUP(C3719,menu!A:A,menu!C:C)</f>
        <v>Rolls</v>
      </c>
      <c r="H3719" s="10">
        <f>_xlfn.XLOOKUP(C3719,menu!A:A,menu!E:E)</f>
        <v>27</v>
      </c>
      <c r="I3719" s="10">
        <f t="shared" si="58"/>
        <v>27</v>
      </c>
      <c r="K3719" s="10"/>
      <c r="L3719" s="5"/>
    </row>
    <row r="3720" spans="1:12" x14ac:dyDescent="0.25">
      <c r="A3720" s="5" t="s">
        <v>2090</v>
      </c>
      <c r="B3720" s="5" t="s">
        <v>2087</v>
      </c>
      <c r="C3720" s="5" t="s">
        <v>50</v>
      </c>
      <c r="D3720" s="21">
        <v>2</v>
      </c>
      <c r="E3720" s="12">
        <v>298</v>
      </c>
      <c r="F3720" s="10" t="str">
        <f>_xlfn.XLOOKUP(C3720,menu!A:A,menu!B:B)</f>
        <v>Grab Lollipop</v>
      </c>
      <c r="G3720" s="10" t="str">
        <f>_xlfn.XLOOKUP(C3720,menu!A:A,menu!C:C)</f>
        <v>Starters</v>
      </c>
      <c r="H3720" s="10">
        <f>_xlfn.XLOOKUP(C3720,menu!A:A,menu!E:E)</f>
        <v>45</v>
      </c>
      <c r="I3720" s="10">
        <f t="shared" si="58"/>
        <v>90</v>
      </c>
      <c r="K3720" s="10"/>
      <c r="L3720" s="5"/>
    </row>
    <row r="3721" spans="1:12" x14ac:dyDescent="0.25">
      <c r="A3721" s="5" t="s">
        <v>2089</v>
      </c>
      <c r="B3721" s="5" t="s">
        <v>2087</v>
      </c>
      <c r="C3721" s="5" t="s">
        <v>54</v>
      </c>
      <c r="D3721" s="21">
        <v>1</v>
      </c>
      <c r="E3721" s="12">
        <v>139</v>
      </c>
      <c r="F3721" s="10" t="str">
        <f>_xlfn.XLOOKUP(C3721,menu!A:A,menu!B:B)</f>
        <v>Chicken Strips</v>
      </c>
      <c r="G3721" s="10" t="str">
        <f>_xlfn.XLOOKUP(C3721,menu!A:A,menu!C:C)</f>
        <v>Starters</v>
      </c>
      <c r="H3721" s="10">
        <f>_xlfn.XLOOKUP(C3721,menu!A:A,menu!E:E)</f>
        <v>42</v>
      </c>
      <c r="I3721" s="10">
        <f t="shared" si="58"/>
        <v>42</v>
      </c>
      <c r="K3721" s="10"/>
      <c r="L3721" s="5"/>
    </row>
    <row r="3722" spans="1:12" x14ac:dyDescent="0.25">
      <c r="A3722" s="5" t="s">
        <v>2088</v>
      </c>
      <c r="B3722" s="5" t="s">
        <v>2087</v>
      </c>
      <c r="C3722" s="5" t="s">
        <v>65</v>
      </c>
      <c r="D3722" s="21">
        <v>2</v>
      </c>
      <c r="E3722" s="12">
        <v>98</v>
      </c>
      <c r="F3722" s="10" t="str">
        <f>_xlfn.XLOOKUP(C3722,menu!A:A,menu!B:B)</f>
        <v>Lemon Juice</v>
      </c>
      <c r="G3722" s="10" t="str">
        <f>_xlfn.XLOOKUP(C3722,menu!A:A,menu!C:C)</f>
        <v>Beverages</v>
      </c>
      <c r="H3722" s="10">
        <f>_xlfn.XLOOKUP(C3722,menu!A:A,menu!E:E)</f>
        <v>15</v>
      </c>
      <c r="I3722" s="10">
        <f t="shared" si="58"/>
        <v>30</v>
      </c>
      <c r="K3722" s="10"/>
      <c r="L3722" s="5"/>
    </row>
    <row r="3723" spans="1:12" x14ac:dyDescent="0.25">
      <c r="A3723" s="5" t="s">
        <v>2086</v>
      </c>
      <c r="B3723" s="5" t="s">
        <v>2084</v>
      </c>
      <c r="C3723" s="5" t="s">
        <v>52</v>
      </c>
      <c r="D3723" s="21">
        <v>3</v>
      </c>
      <c r="E3723" s="12">
        <v>297</v>
      </c>
      <c r="F3723" s="10" t="str">
        <f>_xlfn.XLOOKUP(C3723,menu!A:A,menu!B:B)</f>
        <v>French Fries</v>
      </c>
      <c r="G3723" s="10" t="str">
        <f>_xlfn.XLOOKUP(C3723,menu!A:A,menu!C:C)</f>
        <v>Starters</v>
      </c>
      <c r="H3723" s="10">
        <f>_xlfn.XLOOKUP(C3723,menu!A:A,menu!E:E)</f>
        <v>30</v>
      </c>
      <c r="I3723" s="10">
        <f t="shared" si="58"/>
        <v>90</v>
      </c>
      <c r="K3723" s="10"/>
      <c r="L3723" s="5"/>
    </row>
    <row r="3724" spans="1:12" x14ac:dyDescent="0.25">
      <c r="A3724" s="5" t="s">
        <v>2085</v>
      </c>
      <c r="B3724" s="5" t="s">
        <v>2084</v>
      </c>
      <c r="C3724" s="5" t="s">
        <v>22</v>
      </c>
      <c r="D3724" s="21">
        <v>1</v>
      </c>
      <c r="E3724" s="12">
        <v>99</v>
      </c>
      <c r="F3724" s="10" t="str">
        <f>_xlfn.XLOOKUP(C3724,menu!A:A,menu!B:B)</f>
        <v>Chicken Burger</v>
      </c>
      <c r="G3724" s="10" t="str">
        <f>_xlfn.XLOOKUP(C3724,menu!A:A,menu!C:C)</f>
        <v>Burger</v>
      </c>
      <c r="H3724" s="10">
        <f>_xlfn.XLOOKUP(C3724,menu!A:A,menu!E:E)</f>
        <v>30</v>
      </c>
      <c r="I3724" s="10">
        <f t="shared" si="58"/>
        <v>30</v>
      </c>
      <c r="K3724" s="10"/>
      <c r="L3724" s="5"/>
    </row>
    <row r="3725" spans="1:12" x14ac:dyDescent="0.25">
      <c r="A3725" s="5" t="s">
        <v>2083</v>
      </c>
      <c r="B3725" s="5" t="s">
        <v>2081</v>
      </c>
      <c r="C3725" s="5" t="s">
        <v>5</v>
      </c>
      <c r="D3725" s="21">
        <v>2</v>
      </c>
      <c r="E3725" s="12">
        <v>158</v>
      </c>
      <c r="F3725" s="10" t="str">
        <f>_xlfn.XLOOKUP(C3725,menu!A:A,menu!B:B)</f>
        <v>Veg Sandwich</v>
      </c>
      <c r="G3725" s="10" t="str">
        <f>_xlfn.XLOOKUP(C3725,menu!A:A,menu!C:C)</f>
        <v>Sandwich</v>
      </c>
      <c r="H3725" s="10">
        <f>_xlfn.XLOOKUP(C3725,menu!A:A,menu!E:E)</f>
        <v>24</v>
      </c>
      <c r="I3725" s="10">
        <f t="shared" si="58"/>
        <v>48</v>
      </c>
      <c r="K3725" s="10"/>
      <c r="L3725" s="5"/>
    </row>
    <row r="3726" spans="1:12" x14ac:dyDescent="0.25">
      <c r="A3726" s="5" t="s">
        <v>2082</v>
      </c>
      <c r="B3726" s="5" t="s">
        <v>2081</v>
      </c>
      <c r="C3726" s="5" t="s">
        <v>65</v>
      </c>
      <c r="D3726" s="21">
        <v>2</v>
      </c>
      <c r="E3726" s="12">
        <v>98</v>
      </c>
      <c r="F3726" s="10" t="str">
        <f>_xlfn.XLOOKUP(C3726,menu!A:A,menu!B:B)</f>
        <v>Lemon Juice</v>
      </c>
      <c r="G3726" s="10" t="str">
        <f>_xlfn.XLOOKUP(C3726,menu!A:A,menu!C:C)</f>
        <v>Beverages</v>
      </c>
      <c r="H3726" s="10">
        <f>_xlfn.XLOOKUP(C3726,menu!A:A,menu!E:E)</f>
        <v>15</v>
      </c>
      <c r="I3726" s="10">
        <f t="shared" si="58"/>
        <v>30</v>
      </c>
      <c r="K3726" s="10"/>
      <c r="L3726" s="5"/>
    </row>
    <row r="3727" spans="1:12" x14ac:dyDescent="0.25">
      <c r="A3727" s="5" t="s">
        <v>2080</v>
      </c>
      <c r="B3727" s="5" t="s">
        <v>2078</v>
      </c>
      <c r="C3727" s="5" t="s">
        <v>42</v>
      </c>
      <c r="D3727" s="21">
        <v>1</v>
      </c>
      <c r="E3727" s="12">
        <v>149</v>
      </c>
      <c r="F3727" s="10" t="str">
        <f>_xlfn.XLOOKUP(C3727,menu!A:A,menu!B:B)</f>
        <v>Chicken Popcorn</v>
      </c>
      <c r="G3727" s="10" t="str">
        <f>_xlfn.XLOOKUP(C3727,menu!A:A,menu!C:C)</f>
        <v>Starters</v>
      </c>
      <c r="H3727" s="10">
        <f>_xlfn.XLOOKUP(C3727,menu!A:A,menu!E:E)</f>
        <v>45</v>
      </c>
      <c r="I3727" s="10">
        <f t="shared" si="58"/>
        <v>45</v>
      </c>
      <c r="K3727" s="10"/>
      <c r="L3727" s="5"/>
    </row>
    <row r="3728" spans="1:12" x14ac:dyDescent="0.25">
      <c r="A3728" s="5" t="s">
        <v>2079</v>
      </c>
      <c r="B3728" s="5" t="s">
        <v>2078</v>
      </c>
      <c r="C3728" s="5" t="s">
        <v>48</v>
      </c>
      <c r="D3728" s="21">
        <v>2</v>
      </c>
      <c r="E3728" s="12">
        <v>318</v>
      </c>
      <c r="F3728" s="10" t="str">
        <f>_xlfn.XLOOKUP(C3728,menu!A:A,menu!B:B)</f>
        <v>Chicken Lollipop</v>
      </c>
      <c r="G3728" s="10" t="str">
        <f>_xlfn.XLOOKUP(C3728,menu!A:A,menu!C:C)</f>
        <v>Starters</v>
      </c>
      <c r="H3728" s="10">
        <f>_xlfn.XLOOKUP(C3728,menu!A:A,menu!E:E)</f>
        <v>48</v>
      </c>
      <c r="I3728" s="10">
        <f t="shared" si="58"/>
        <v>96</v>
      </c>
      <c r="K3728" s="10"/>
      <c r="L3728" s="5"/>
    </row>
    <row r="3729" spans="1:12" x14ac:dyDescent="0.25">
      <c r="A3729" s="5" t="s">
        <v>2077</v>
      </c>
      <c r="B3729" s="5" t="s">
        <v>2074</v>
      </c>
      <c r="C3729" s="5" t="s">
        <v>17</v>
      </c>
      <c r="D3729" s="21">
        <v>1</v>
      </c>
      <c r="E3729" s="12">
        <v>89</v>
      </c>
      <c r="F3729" s="10" t="str">
        <f>_xlfn.XLOOKUP(C3729,menu!A:A,menu!B:B)</f>
        <v>Paneer Momos</v>
      </c>
      <c r="G3729" s="10" t="str">
        <f>_xlfn.XLOOKUP(C3729,menu!A:A,menu!C:C)</f>
        <v>Momos</v>
      </c>
      <c r="H3729" s="10">
        <f>_xlfn.XLOOKUP(C3729,menu!A:A,menu!E:E)</f>
        <v>27</v>
      </c>
      <c r="I3729" s="10">
        <f t="shared" si="58"/>
        <v>27</v>
      </c>
      <c r="K3729" s="10"/>
      <c r="L3729" s="5"/>
    </row>
    <row r="3730" spans="1:12" x14ac:dyDescent="0.25">
      <c r="A3730" s="5" t="s">
        <v>2076</v>
      </c>
      <c r="B3730" s="5" t="s">
        <v>2074</v>
      </c>
      <c r="C3730" s="5" t="s">
        <v>46</v>
      </c>
      <c r="D3730" s="21">
        <v>1</v>
      </c>
      <c r="E3730" s="12">
        <v>149</v>
      </c>
      <c r="F3730" s="10" t="str">
        <f>_xlfn.XLOOKUP(C3730,menu!A:A,menu!B:B)</f>
        <v>Fish Finger</v>
      </c>
      <c r="G3730" s="10" t="str">
        <f>_xlfn.XLOOKUP(C3730,menu!A:A,menu!C:C)</f>
        <v>Starters</v>
      </c>
      <c r="H3730" s="10">
        <f>_xlfn.XLOOKUP(C3730,menu!A:A,menu!E:E)</f>
        <v>45</v>
      </c>
      <c r="I3730" s="10">
        <f t="shared" si="58"/>
        <v>45</v>
      </c>
      <c r="K3730" s="10"/>
      <c r="L3730" s="5"/>
    </row>
    <row r="3731" spans="1:12" x14ac:dyDescent="0.25">
      <c r="A3731" s="5" t="s">
        <v>2075</v>
      </c>
      <c r="B3731" s="5" t="s">
        <v>2074</v>
      </c>
      <c r="C3731" s="5" t="s">
        <v>40</v>
      </c>
      <c r="D3731" s="21">
        <v>2</v>
      </c>
      <c r="E3731" s="12">
        <v>198</v>
      </c>
      <c r="F3731" s="10" t="str">
        <f>_xlfn.XLOOKUP(C3731,menu!A:A,menu!B:B)</f>
        <v>Veg Nuggets</v>
      </c>
      <c r="G3731" s="10" t="str">
        <f>_xlfn.XLOOKUP(C3731,menu!A:A,menu!C:C)</f>
        <v>Starters</v>
      </c>
      <c r="H3731" s="10">
        <f>_xlfn.XLOOKUP(C3731,menu!A:A,menu!E:E)</f>
        <v>30</v>
      </c>
      <c r="I3731" s="10">
        <f t="shared" si="58"/>
        <v>60</v>
      </c>
      <c r="K3731" s="10"/>
      <c r="L3731" s="5"/>
    </row>
    <row r="3732" spans="1:12" x14ac:dyDescent="0.25">
      <c r="A3732" s="5" t="s">
        <v>2073</v>
      </c>
      <c r="B3732" s="5" t="s">
        <v>2072</v>
      </c>
      <c r="C3732" s="5" t="s">
        <v>22</v>
      </c>
      <c r="D3732" s="21">
        <v>2</v>
      </c>
      <c r="E3732" s="12">
        <v>198</v>
      </c>
      <c r="F3732" s="10" t="str">
        <f>_xlfn.XLOOKUP(C3732,menu!A:A,menu!B:B)</f>
        <v>Chicken Burger</v>
      </c>
      <c r="G3732" s="10" t="str">
        <f>_xlfn.XLOOKUP(C3732,menu!A:A,menu!C:C)</f>
        <v>Burger</v>
      </c>
      <c r="H3732" s="10">
        <f>_xlfn.XLOOKUP(C3732,menu!A:A,menu!E:E)</f>
        <v>30</v>
      </c>
      <c r="I3732" s="10">
        <f t="shared" si="58"/>
        <v>60</v>
      </c>
      <c r="K3732" s="10"/>
      <c r="L3732" s="5"/>
    </row>
    <row r="3733" spans="1:12" x14ac:dyDescent="0.25">
      <c r="A3733" s="5" t="s">
        <v>2071</v>
      </c>
      <c r="B3733" s="5" t="s">
        <v>2067</v>
      </c>
      <c r="C3733" s="5" t="s">
        <v>56</v>
      </c>
      <c r="D3733" s="21">
        <v>2</v>
      </c>
      <c r="E3733" s="12">
        <v>158</v>
      </c>
      <c r="F3733" s="10" t="str">
        <f>_xlfn.XLOOKUP(C3733,menu!A:A,menu!B:B)</f>
        <v>Mint Mojito</v>
      </c>
      <c r="G3733" s="10" t="str">
        <f>_xlfn.XLOOKUP(C3733,menu!A:A,menu!C:C)</f>
        <v>Beverages</v>
      </c>
      <c r="H3733" s="10">
        <f>_xlfn.XLOOKUP(C3733,menu!A:A,menu!E:E)</f>
        <v>24</v>
      </c>
      <c r="I3733" s="10">
        <f t="shared" si="58"/>
        <v>48</v>
      </c>
      <c r="K3733" s="10"/>
      <c r="L3733" s="5"/>
    </row>
    <row r="3734" spans="1:12" x14ac:dyDescent="0.25">
      <c r="A3734" s="5" t="s">
        <v>2070</v>
      </c>
      <c r="B3734" s="5" t="s">
        <v>2067</v>
      </c>
      <c r="C3734" s="5" t="s">
        <v>46</v>
      </c>
      <c r="D3734" s="21">
        <v>3</v>
      </c>
      <c r="E3734" s="12">
        <v>447</v>
      </c>
      <c r="F3734" s="10" t="str">
        <f>_xlfn.XLOOKUP(C3734,menu!A:A,menu!B:B)</f>
        <v>Fish Finger</v>
      </c>
      <c r="G3734" s="10" t="str">
        <f>_xlfn.XLOOKUP(C3734,menu!A:A,menu!C:C)</f>
        <v>Starters</v>
      </c>
      <c r="H3734" s="10">
        <f>_xlfn.XLOOKUP(C3734,menu!A:A,menu!E:E)</f>
        <v>45</v>
      </c>
      <c r="I3734" s="10">
        <f t="shared" si="58"/>
        <v>135</v>
      </c>
      <c r="K3734" s="10"/>
      <c r="L3734" s="5"/>
    </row>
    <row r="3735" spans="1:12" x14ac:dyDescent="0.25">
      <c r="A3735" s="5" t="s">
        <v>2069</v>
      </c>
      <c r="B3735" s="5" t="s">
        <v>2067</v>
      </c>
      <c r="C3735" s="5" t="s">
        <v>8</v>
      </c>
      <c r="D3735" s="21">
        <v>1</v>
      </c>
      <c r="E3735" s="12">
        <v>99</v>
      </c>
      <c r="F3735" s="10" t="str">
        <f>_xlfn.XLOOKUP(C3735,menu!A:A,menu!B:B)</f>
        <v>Paneer Sandwich</v>
      </c>
      <c r="G3735" s="10" t="str">
        <f>_xlfn.XLOOKUP(C3735,menu!A:A,menu!C:C)</f>
        <v>Sandwich</v>
      </c>
      <c r="H3735" s="10">
        <f>_xlfn.XLOOKUP(C3735,menu!A:A,menu!E:E)</f>
        <v>30</v>
      </c>
      <c r="I3735" s="10">
        <f t="shared" si="58"/>
        <v>30</v>
      </c>
      <c r="K3735" s="10"/>
      <c r="L3735" s="5"/>
    </row>
    <row r="3736" spans="1:12" x14ac:dyDescent="0.25">
      <c r="A3736" s="5" t="s">
        <v>2068</v>
      </c>
      <c r="B3736" s="5" t="s">
        <v>2067</v>
      </c>
      <c r="C3736" s="5" t="s">
        <v>59</v>
      </c>
      <c r="D3736" s="21">
        <v>1</v>
      </c>
      <c r="E3736" s="12">
        <v>79</v>
      </c>
      <c r="F3736" s="10" t="str">
        <f>_xlfn.XLOOKUP(C3736,menu!A:A,menu!B:B)</f>
        <v>Blue Curacao Mojito</v>
      </c>
      <c r="G3736" s="10" t="str">
        <f>_xlfn.XLOOKUP(C3736,menu!A:A,menu!C:C)</f>
        <v>Beverages</v>
      </c>
      <c r="H3736" s="10">
        <f>_xlfn.XLOOKUP(C3736,menu!A:A,menu!E:E)</f>
        <v>24</v>
      </c>
      <c r="I3736" s="10">
        <f t="shared" si="58"/>
        <v>24</v>
      </c>
      <c r="K3736" s="10"/>
      <c r="L3736" s="5"/>
    </row>
    <row r="3737" spans="1:12" x14ac:dyDescent="0.25">
      <c r="A3737" s="5" t="s">
        <v>2066</v>
      </c>
      <c r="B3737" s="5" t="s">
        <v>2064</v>
      </c>
      <c r="C3737" s="5" t="s">
        <v>63</v>
      </c>
      <c r="D3737" s="21">
        <v>1</v>
      </c>
      <c r="E3737" s="12">
        <v>79</v>
      </c>
      <c r="F3737" s="10" t="str">
        <f>_xlfn.XLOOKUP(C3737,menu!A:A,menu!B:B)</f>
        <v>Virgin Mojito</v>
      </c>
      <c r="G3737" s="10" t="str">
        <f>_xlfn.XLOOKUP(C3737,menu!A:A,menu!C:C)</f>
        <v>Beverages</v>
      </c>
      <c r="H3737" s="10">
        <f>_xlfn.XLOOKUP(C3737,menu!A:A,menu!E:E)</f>
        <v>24</v>
      </c>
      <c r="I3737" s="10">
        <f t="shared" si="58"/>
        <v>24</v>
      </c>
      <c r="K3737" s="10"/>
      <c r="L3737" s="5"/>
    </row>
    <row r="3738" spans="1:12" x14ac:dyDescent="0.25">
      <c r="A3738" s="5" t="s">
        <v>2065</v>
      </c>
      <c r="B3738" s="5" t="s">
        <v>2064</v>
      </c>
      <c r="C3738" s="5" t="s">
        <v>50</v>
      </c>
      <c r="D3738" s="21">
        <v>4</v>
      </c>
      <c r="E3738" s="12">
        <v>596</v>
      </c>
      <c r="F3738" s="10" t="str">
        <f>_xlfn.XLOOKUP(C3738,menu!A:A,menu!B:B)</f>
        <v>Grab Lollipop</v>
      </c>
      <c r="G3738" s="10" t="str">
        <f>_xlfn.XLOOKUP(C3738,menu!A:A,menu!C:C)</f>
        <v>Starters</v>
      </c>
      <c r="H3738" s="10">
        <f>_xlfn.XLOOKUP(C3738,menu!A:A,menu!E:E)</f>
        <v>45</v>
      </c>
      <c r="I3738" s="10">
        <f t="shared" si="58"/>
        <v>180</v>
      </c>
      <c r="K3738" s="10"/>
      <c r="L3738" s="5"/>
    </row>
    <row r="3739" spans="1:12" x14ac:dyDescent="0.25">
      <c r="A3739" s="5" t="s">
        <v>2063</v>
      </c>
      <c r="B3739" s="5" t="s">
        <v>2062</v>
      </c>
      <c r="C3739" s="5" t="s">
        <v>38</v>
      </c>
      <c r="D3739" s="21">
        <v>5</v>
      </c>
      <c r="E3739" s="12">
        <v>745</v>
      </c>
      <c r="F3739" s="10" t="str">
        <f>_xlfn.XLOOKUP(C3739,menu!A:A,menu!B:B)</f>
        <v>Chicken Wings</v>
      </c>
      <c r="G3739" s="10" t="str">
        <f>_xlfn.XLOOKUP(C3739,menu!A:A,menu!C:C)</f>
        <v>Starters</v>
      </c>
      <c r="H3739" s="10">
        <f>_xlfn.XLOOKUP(C3739,menu!A:A,menu!E:E)</f>
        <v>45</v>
      </c>
      <c r="I3739" s="10">
        <f t="shared" si="58"/>
        <v>225</v>
      </c>
      <c r="K3739" s="10"/>
      <c r="L3739" s="5"/>
    </row>
    <row r="3740" spans="1:12" x14ac:dyDescent="0.25">
      <c r="A3740" s="5" t="s">
        <v>2061</v>
      </c>
      <c r="B3740" s="5" t="s">
        <v>2058</v>
      </c>
      <c r="C3740" s="5" t="s">
        <v>12</v>
      </c>
      <c r="D3740" s="21">
        <v>3</v>
      </c>
      <c r="E3740" s="12">
        <v>237</v>
      </c>
      <c r="F3740" s="10" t="str">
        <f>_xlfn.XLOOKUP(C3740,menu!A:A,menu!B:B)</f>
        <v>Veg Momos</v>
      </c>
      <c r="G3740" s="10" t="str">
        <f>_xlfn.XLOOKUP(C3740,menu!A:A,menu!C:C)</f>
        <v>Momos</v>
      </c>
      <c r="H3740" s="10">
        <f>_xlfn.XLOOKUP(C3740,menu!A:A,menu!E:E)</f>
        <v>24</v>
      </c>
      <c r="I3740" s="10">
        <f t="shared" si="58"/>
        <v>72</v>
      </c>
      <c r="K3740" s="10"/>
      <c r="L3740" s="5"/>
    </row>
    <row r="3741" spans="1:12" x14ac:dyDescent="0.25">
      <c r="A3741" s="5" t="s">
        <v>2060</v>
      </c>
      <c r="B3741" s="5" t="s">
        <v>2058</v>
      </c>
      <c r="C3741" s="5" t="s">
        <v>56</v>
      </c>
      <c r="D3741" s="21">
        <v>1</v>
      </c>
      <c r="E3741" s="12">
        <v>79</v>
      </c>
      <c r="F3741" s="10" t="str">
        <f>_xlfn.XLOOKUP(C3741,menu!A:A,menu!B:B)</f>
        <v>Mint Mojito</v>
      </c>
      <c r="G3741" s="10" t="str">
        <f>_xlfn.XLOOKUP(C3741,menu!A:A,menu!C:C)</f>
        <v>Beverages</v>
      </c>
      <c r="H3741" s="10">
        <f>_xlfn.XLOOKUP(C3741,menu!A:A,menu!E:E)</f>
        <v>24</v>
      </c>
      <c r="I3741" s="10">
        <f t="shared" si="58"/>
        <v>24</v>
      </c>
      <c r="K3741" s="10"/>
      <c r="L3741" s="5"/>
    </row>
    <row r="3742" spans="1:12" x14ac:dyDescent="0.25">
      <c r="A3742" s="5" t="s">
        <v>2059</v>
      </c>
      <c r="B3742" s="5" t="s">
        <v>2058</v>
      </c>
      <c r="C3742" s="5" t="s">
        <v>52</v>
      </c>
      <c r="D3742" s="21">
        <v>2</v>
      </c>
      <c r="E3742" s="12">
        <v>198</v>
      </c>
      <c r="F3742" s="10" t="str">
        <f>_xlfn.XLOOKUP(C3742,menu!A:A,menu!B:B)</f>
        <v>French Fries</v>
      </c>
      <c r="G3742" s="10" t="str">
        <f>_xlfn.XLOOKUP(C3742,menu!A:A,menu!C:C)</f>
        <v>Starters</v>
      </c>
      <c r="H3742" s="10">
        <f>_xlfn.XLOOKUP(C3742,menu!A:A,menu!E:E)</f>
        <v>30</v>
      </c>
      <c r="I3742" s="10">
        <f t="shared" si="58"/>
        <v>60</v>
      </c>
      <c r="K3742" s="10"/>
      <c r="L3742" s="5"/>
    </row>
    <row r="3743" spans="1:12" x14ac:dyDescent="0.25">
      <c r="A3743" s="5" t="s">
        <v>2057</v>
      </c>
      <c r="B3743" s="5" t="s">
        <v>2053</v>
      </c>
      <c r="C3743" s="5" t="s">
        <v>40</v>
      </c>
      <c r="D3743" s="21">
        <v>1</v>
      </c>
      <c r="E3743" s="12">
        <v>99</v>
      </c>
      <c r="F3743" s="10" t="str">
        <f>_xlfn.XLOOKUP(C3743,menu!A:A,menu!B:B)</f>
        <v>Veg Nuggets</v>
      </c>
      <c r="G3743" s="10" t="str">
        <f>_xlfn.XLOOKUP(C3743,menu!A:A,menu!C:C)</f>
        <v>Starters</v>
      </c>
      <c r="H3743" s="10">
        <f>_xlfn.XLOOKUP(C3743,menu!A:A,menu!E:E)</f>
        <v>30</v>
      </c>
      <c r="I3743" s="10">
        <f t="shared" si="58"/>
        <v>30</v>
      </c>
      <c r="K3743" s="10"/>
      <c r="L3743" s="5"/>
    </row>
    <row r="3744" spans="1:12" x14ac:dyDescent="0.25">
      <c r="A3744" s="5" t="s">
        <v>2056</v>
      </c>
      <c r="B3744" s="5" t="s">
        <v>2053</v>
      </c>
      <c r="C3744" s="5" t="s">
        <v>52</v>
      </c>
      <c r="D3744" s="21">
        <v>2</v>
      </c>
      <c r="E3744" s="12">
        <v>198</v>
      </c>
      <c r="F3744" s="10" t="str">
        <f>_xlfn.XLOOKUP(C3744,menu!A:A,menu!B:B)</f>
        <v>French Fries</v>
      </c>
      <c r="G3744" s="10" t="str">
        <f>_xlfn.XLOOKUP(C3744,menu!A:A,menu!C:C)</f>
        <v>Starters</v>
      </c>
      <c r="H3744" s="10">
        <f>_xlfn.XLOOKUP(C3744,menu!A:A,menu!E:E)</f>
        <v>30</v>
      </c>
      <c r="I3744" s="10">
        <f t="shared" si="58"/>
        <v>60</v>
      </c>
      <c r="K3744" s="10"/>
      <c r="L3744" s="5"/>
    </row>
    <row r="3745" spans="1:12" x14ac:dyDescent="0.25">
      <c r="A3745" s="5" t="s">
        <v>2055</v>
      </c>
      <c r="B3745" s="5" t="s">
        <v>2053</v>
      </c>
      <c r="C3745" s="5" t="s">
        <v>10</v>
      </c>
      <c r="D3745" s="21">
        <v>3</v>
      </c>
      <c r="E3745" s="12">
        <v>357</v>
      </c>
      <c r="F3745" s="10" t="str">
        <f>_xlfn.XLOOKUP(C3745,menu!A:A,menu!B:B)</f>
        <v>Chicken Sandwich</v>
      </c>
      <c r="G3745" s="10" t="str">
        <f>_xlfn.XLOOKUP(C3745,menu!A:A,menu!C:C)</f>
        <v>Sandwich</v>
      </c>
      <c r="H3745" s="10">
        <f>_xlfn.XLOOKUP(C3745,menu!A:A,menu!E:E)</f>
        <v>36</v>
      </c>
      <c r="I3745" s="10">
        <f t="shared" si="58"/>
        <v>108</v>
      </c>
      <c r="K3745" s="10"/>
      <c r="L3745" s="5"/>
    </row>
    <row r="3746" spans="1:12" x14ac:dyDescent="0.25">
      <c r="A3746" s="5" t="s">
        <v>2054</v>
      </c>
      <c r="B3746" s="5" t="s">
        <v>2053</v>
      </c>
      <c r="C3746" s="5" t="s">
        <v>12</v>
      </c>
      <c r="D3746" s="21">
        <v>1</v>
      </c>
      <c r="E3746" s="12">
        <v>79</v>
      </c>
      <c r="F3746" s="10" t="str">
        <f>_xlfn.XLOOKUP(C3746,menu!A:A,menu!B:B)</f>
        <v>Veg Momos</v>
      </c>
      <c r="G3746" s="10" t="str">
        <f>_xlfn.XLOOKUP(C3746,menu!A:A,menu!C:C)</f>
        <v>Momos</v>
      </c>
      <c r="H3746" s="10">
        <f>_xlfn.XLOOKUP(C3746,menu!A:A,menu!E:E)</f>
        <v>24</v>
      </c>
      <c r="I3746" s="10">
        <f t="shared" si="58"/>
        <v>24</v>
      </c>
      <c r="K3746" s="10"/>
      <c r="L3746" s="5"/>
    </row>
    <row r="3747" spans="1:12" x14ac:dyDescent="0.25">
      <c r="A3747" s="5" t="s">
        <v>2052</v>
      </c>
      <c r="B3747" s="5" t="s">
        <v>2050</v>
      </c>
      <c r="C3747" s="5" t="s">
        <v>33</v>
      </c>
      <c r="D3747" s="21">
        <v>2</v>
      </c>
      <c r="E3747" s="12">
        <v>138</v>
      </c>
      <c r="F3747" s="10" t="str">
        <f>_xlfn.XLOOKUP(C3747,menu!A:A,menu!B:B)</f>
        <v>Spring Roll</v>
      </c>
      <c r="G3747" s="10" t="str">
        <f>_xlfn.XLOOKUP(C3747,menu!A:A,menu!C:C)</f>
        <v>Rolls</v>
      </c>
      <c r="H3747" s="10">
        <f>_xlfn.XLOOKUP(C3747,menu!A:A,menu!E:E)</f>
        <v>21</v>
      </c>
      <c r="I3747" s="10">
        <f t="shared" si="58"/>
        <v>42</v>
      </c>
      <c r="K3747" s="10"/>
      <c r="L3747" s="5"/>
    </row>
    <row r="3748" spans="1:12" x14ac:dyDescent="0.25">
      <c r="A3748" s="5" t="s">
        <v>2051</v>
      </c>
      <c r="B3748" s="5" t="s">
        <v>2050</v>
      </c>
      <c r="C3748" s="5" t="s">
        <v>24</v>
      </c>
      <c r="D3748" s="21">
        <v>1</v>
      </c>
      <c r="E3748" s="12">
        <v>89</v>
      </c>
      <c r="F3748" s="10" t="str">
        <f>_xlfn.XLOOKUP(C3748,menu!A:A,menu!B:B)</f>
        <v>Paneer Burger</v>
      </c>
      <c r="G3748" s="10" t="str">
        <f>_xlfn.XLOOKUP(C3748,menu!A:A,menu!C:C)</f>
        <v>Burger</v>
      </c>
      <c r="H3748" s="10">
        <f>_xlfn.XLOOKUP(C3748,menu!A:A,menu!E:E)</f>
        <v>27</v>
      </c>
      <c r="I3748" s="10">
        <f t="shared" si="58"/>
        <v>27</v>
      </c>
      <c r="K3748" s="10"/>
      <c r="L3748" s="5"/>
    </row>
    <row r="3749" spans="1:12" x14ac:dyDescent="0.25">
      <c r="A3749" s="5" t="s">
        <v>2049</v>
      </c>
      <c r="B3749" s="5" t="s">
        <v>2046</v>
      </c>
      <c r="C3749" s="5" t="s">
        <v>17</v>
      </c>
      <c r="D3749" s="21">
        <v>1</v>
      </c>
      <c r="E3749" s="12">
        <v>89</v>
      </c>
      <c r="F3749" s="10" t="str">
        <f>_xlfn.XLOOKUP(C3749,menu!A:A,menu!B:B)</f>
        <v>Paneer Momos</v>
      </c>
      <c r="G3749" s="10" t="str">
        <f>_xlfn.XLOOKUP(C3749,menu!A:A,menu!C:C)</f>
        <v>Momos</v>
      </c>
      <c r="H3749" s="10">
        <f>_xlfn.XLOOKUP(C3749,menu!A:A,menu!E:E)</f>
        <v>27</v>
      </c>
      <c r="I3749" s="10">
        <f t="shared" si="58"/>
        <v>27</v>
      </c>
      <c r="K3749" s="10"/>
      <c r="L3749" s="5"/>
    </row>
    <row r="3750" spans="1:12" x14ac:dyDescent="0.25">
      <c r="A3750" s="5" t="s">
        <v>2048</v>
      </c>
      <c r="B3750" s="5" t="s">
        <v>2046</v>
      </c>
      <c r="C3750" s="5" t="s">
        <v>44</v>
      </c>
      <c r="D3750" s="21">
        <v>1</v>
      </c>
      <c r="E3750" s="12">
        <v>159</v>
      </c>
      <c r="F3750" s="10" t="str">
        <f>_xlfn.XLOOKUP(C3750,menu!A:A,menu!B:B)</f>
        <v>Fried Chicken</v>
      </c>
      <c r="G3750" s="10" t="str">
        <f>_xlfn.XLOOKUP(C3750,menu!A:A,menu!C:C)</f>
        <v>Starters</v>
      </c>
      <c r="H3750" s="10">
        <f>_xlfn.XLOOKUP(C3750,menu!A:A,menu!E:E)</f>
        <v>48</v>
      </c>
      <c r="I3750" s="10">
        <f t="shared" si="58"/>
        <v>48</v>
      </c>
      <c r="K3750" s="10"/>
      <c r="L3750" s="5"/>
    </row>
    <row r="3751" spans="1:12" x14ac:dyDescent="0.25">
      <c r="A3751" s="5" t="s">
        <v>2047</v>
      </c>
      <c r="B3751" s="5" t="s">
        <v>2046</v>
      </c>
      <c r="C3751" s="5" t="s">
        <v>65</v>
      </c>
      <c r="D3751" s="21">
        <v>1</v>
      </c>
      <c r="E3751" s="12">
        <v>49</v>
      </c>
      <c r="F3751" s="10" t="str">
        <f>_xlfn.XLOOKUP(C3751,menu!A:A,menu!B:B)</f>
        <v>Lemon Juice</v>
      </c>
      <c r="G3751" s="10" t="str">
        <f>_xlfn.XLOOKUP(C3751,menu!A:A,menu!C:C)</f>
        <v>Beverages</v>
      </c>
      <c r="H3751" s="10">
        <f>_xlfn.XLOOKUP(C3751,menu!A:A,menu!E:E)</f>
        <v>15</v>
      </c>
      <c r="I3751" s="10">
        <f t="shared" si="58"/>
        <v>15</v>
      </c>
      <c r="K3751" s="10"/>
      <c r="L3751" s="5"/>
    </row>
    <row r="3752" spans="1:12" x14ac:dyDescent="0.25">
      <c r="A3752" s="5" t="s">
        <v>2045</v>
      </c>
      <c r="B3752" s="5" t="s">
        <v>2043</v>
      </c>
      <c r="C3752" s="5" t="s">
        <v>22</v>
      </c>
      <c r="D3752" s="21">
        <v>1</v>
      </c>
      <c r="E3752" s="12">
        <v>99</v>
      </c>
      <c r="F3752" s="10" t="str">
        <f>_xlfn.XLOOKUP(C3752,menu!A:A,menu!B:B)</f>
        <v>Chicken Burger</v>
      </c>
      <c r="G3752" s="10" t="str">
        <f>_xlfn.XLOOKUP(C3752,menu!A:A,menu!C:C)</f>
        <v>Burger</v>
      </c>
      <c r="H3752" s="10">
        <f>_xlfn.XLOOKUP(C3752,menu!A:A,menu!E:E)</f>
        <v>30</v>
      </c>
      <c r="I3752" s="10">
        <f t="shared" si="58"/>
        <v>30</v>
      </c>
      <c r="K3752" s="10"/>
      <c r="L3752" s="5"/>
    </row>
    <row r="3753" spans="1:12" x14ac:dyDescent="0.25">
      <c r="A3753" s="5" t="s">
        <v>2044</v>
      </c>
      <c r="B3753" s="5" t="s">
        <v>2043</v>
      </c>
      <c r="C3753" s="5" t="s">
        <v>33</v>
      </c>
      <c r="D3753" s="21">
        <v>1</v>
      </c>
      <c r="E3753" s="12">
        <v>69</v>
      </c>
      <c r="F3753" s="10" t="str">
        <f>_xlfn.XLOOKUP(C3753,menu!A:A,menu!B:B)</f>
        <v>Spring Roll</v>
      </c>
      <c r="G3753" s="10" t="str">
        <f>_xlfn.XLOOKUP(C3753,menu!A:A,menu!C:C)</f>
        <v>Rolls</v>
      </c>
      <c r="H3753" s="10">
        <f>_xlfn.XLOOKUP(C3753,menu!A:A,menu!E:E)</f>
        <v>21</v>
      </c>
      <c r="I3753" s="10">
        <f t="shared" si="58"/>
        <v>21</v>
      </c>
      <c r="K3753" s="10"/>
      <c r="L3753" s="5"/>
    </row>
    <row r="3754" spans="1:12" x14ac:dyDescent="0.25">
      <c r="A3754" s="5" t="s">
        <v>2042</v>
      </c>
      <c r="B3754" s="5" t="s">
        <v>2040</v>
      </c>
      <c r="C3754" s="5" t="s">
        <v>52</v>
      </c>
      <c r="D3754" s="21">
        <v>2</v>
      </c>
      <c r="E3754" s="12">
        <v>198</v>
      </c>
      <c r="F3754" s="10" t="str">
        <f>_xlfn.XLOOKUP(C3754,menu!A:A,menu!B:B)</f>
        <v>French Fries</v>
      </c>
      <c r="G3754" s="10" t="str">
        <f>_xlfn.XLOOKUP(C3754,menu!A:A,menu!C:C)</f>
        <v>Starters</v>
      </c>
      <c r="H3754" s="10">
        <f>_xlfn.XLOOKUP(C3754,menu!A:A,menu!E:E)</f>
        <v>30</v>
      </c>
      <c r="I3754" s="10">
        <f t="shared" si="58"/>
        <v>60</v>
      </c>
      <c r="K3754" s="10"/>
      <c r="L3754" s="5"/>
    </row>
    <row r="3755" spans="1:12" x14ac:dyDescent="0.25">
      <c r="A3755" s="5" t="s">
        <v>2041</v>
      </c>
      <c r="B3755" s="5" t="s">
        <v>2040</v>
      </c>
      <c r="C3755" s="5" t="s">
        <v>61</v>
      </c>
      <c r="D3755" s="21">
        <v>2</v>
      </c>
      <c r="E3755" s="12">
        <v>158</v>
      </c>
      <c r="F3755" s="10" t="str">
        <f>_xlfn.XLOOKUP(C3755,menu!A:A,menu!B:B)</f>
        <v>Watermelon Mojito</v>
      </c>
      <c r="G3755" s="10" t="str">
        <f>_xlfn.XLOOKUP(C3755,menu!A:A,menu!C:C)</f>
        <v>Beverages</v>
      </c>
      <c r="H3755" s="10">
        <f>_xlfn.XLOOKUP(C3755,menu!A:A,menu!E:E)</f>
        <v>24</v>
      </c>
      <c r="I3755" s="10">
        <f t="shared" si="58"/>
        <v>48</v>
      </c>
      <c r="K3755" s="10"/>
      <c r="L3755" s="5"/>
    </row>
    <row r="3756" spans="1:12" x14ac:dyDescent="0.25">
      <c r="A3756" s="5" t="s">
        <v>2039</v>
      </c>
      <c r="B3756" s="5" t="s">
        <v>2035</v>
      </c>
      <c r="C3756" s="5" t="s">
        <v>12</v>
      </c>
      <c r="D3756" s="21">
        <v>5</v>
      </c>
      <c r="E3756" s="12">
        <v>395</v>
      </c>
      <c r="F3756" s="10" t="str">
        <f>_xlfn.XLOOKUP(C3756,menu!A:A,menu!B:B)</f>
        <v>Veg Momos</v>
      </c>
      <c r="G3756" s="10" t="str">
        <f>_xlfn.XLOOKUP(C3756,menu!A:A,menu!C:C)</f>
        <v>Momos</v>
      </c>
      <c r="H3756" s="10">
        <f>_xlfn.XLOOKUP(C3756,menu!A:A,menu!E:E)</f>
        <v>24</v>
      </c>
      <c r="I3756" s="10">
        <f t="shared" si="58"/>
        <v>120</v>
      </c>
      <c r="K3756" s="10"/>
      <c r="L3756" s="5"/>
    </row>
    <row r="3757" spans="1:12" x14ac:dyDescent="0.25">
      <c r="A3757" s="5" t="s">
        <v>2038</v>
      </c>
      <c r="B3757" s="5" t="s">
        <v>2035</v>
      </c>
      <c r="C3757" s="5" t="s">
        <v>8</v>
      </c>
      <c r="D3757" s="21">
        <v>2</v>
      </c>
      <c r="E3757" s="12">
        <v>198</v>
      </c>
      <c r="F3757" s="10" t="str">
        <f>_xlfn.XLOOKUP(C3757,menu!A:A,menu!B:B)</f>
        <v>Paneer Sandwich</v>
      </c>
      <c r="G3757" s="10" t="str">
        <f>_xlfn.XLOOKUP(C3757,menu!A:A,menu!C:C)</f>
        <v>Sandwich</v>
      </c>
      <c r="H3757" s="10">
        <f>_xlfn.XLOOKUP(C3757,menu!A:A,menu!E:E)</f>
        <v>30</v>
      </c>
      <c r="I3757" s="10">
        <f t="shared" si="58"/>
        <v>60</v>
      </c>
      <c r="K3757" s="10"/>
      <c r="L3757" s="5"/>
    </row>
    <row r="3758" spans="1:12" x14ac:dyDescent="0.25">
      <c r="A3758" s="5" t="s">
        <v>2037</v>
      </c>
      <c r="B3758" s="5" t="s">
        <v>2035</v>
      </c>
      <c r="C3758" s="5" t="s">
        <v>42</v>
      </c>
      <c r="D3758" s="21">
        <v>1</v>
      </c>
      <c r="E3758" s="12">
        <v>149</v>
      </c>
      <c r="F3758" s="10" t="str">
        <f>_xlfn.XLOOKUP(C3758,menu!A:A,menu!B:B)</f>
        <v>Chicken Popcorn</v>
      </c>
      <c r="G3758" s="10" t="str">
        <f>_xlfn.XLOOKUP(C3758,menu!A:A,menu!C:C)</f>
        <v>Starters</v>
      </c>
      <c r="H3758" s="10">
        <f>_xlfn.XLOOKUP(C3758,menu!A:A,menu!E:E)</f>
        <v>45</v>
      </c>
      <c r="I3758" s="10">
        <f t="shared" si="58"/>
        <v>45</v>
      </c>
      <c r="K3758" s="10"/>
      <c r="L3758" s="5"/>
    </row>
    <row r="3759" spans="1:12" x14ac:dyDescent="0.25">
      <c r="A3759" s="5" t="s">
        <v>2036</v>
      </c>
      <c r="B3759" s="5" t="s">
        <v>2035</v>
      </c>
      <c r="C3759" s="5" t="s">
        <v>65</v>
      </c>
      <c r="D3759" s="21">
        <v>2</v>
      </c>
      <c r="E3759" s="12">
        <v>98</v>
      </c>
      <c r="F3759" s="10" t="str">
        <f>_xlfn.XLOOKUP(C3759,menu!A:A,menu!B:B)</f>
        <v>Lemon Juice</v>
      </c>
      <c r="G3759" s="10" t="str">
        <f>_xlfn.XLOOKUP(C3759,menu!A:A,menu!C:C)</f>
        <v>Beverages</v>
      </c>
      <c r="H3759" s="10">
        <f>_xlfn.XLOOKUP(C3759,menu!A:A,menu!E:E)</f>
        <v>15</v>
      </c>
      <c r="I3759" s="10">
        <f t="shared" si="58"/>
        <v>30</v>
      </c>
      <c r="K3759" s="10"/>
      <c r="L3759" s="5"/>
    </row>
    <row r="3760" spans="1:12" x14ac:dyDescent="0.25">
      <c r="A3760" s="5" t="s">
        <v>2034</v>
      </c>
      <c r="B3760" s="5" t="s">
        <v>2032</v>
      </c>
      <c r="C3760" s="5" t="s">
        <v>35</v>
      </c>
      <c r="D3760" s="21">
        <v>1</v>
      </c>
      <c r="E3760" s="12">
        <v>119</v>
      </c>
      <c r="F3760" s="10" t="str">
        <f>_xlfn.XLOOKUP(C3760,menu!A:A,menu!B:B)</f>
        <v>Chicken Nuggets</v>
      </c>
      <c r="G3760" s="10" t="str">
        <f>_xlfn.XLOOKUP(C3760,menu!A:A,menu!C:C)</f>
        <v>Starters</v>
      </c>
      <c r="H3760" s="10">
        <f>_xlfn.XLOOKUP(C3760,menu!A:A,menu!E:E)</f>
        <v>36</v>
      </c>
      <c r="I3760" s="10">
        <f t="shared" si="58"/>
        <v>36</v>
      </c>
      <c r="K3760" s="10"/>
      <c r="L3760" s="5"/>
    </row>
    <row r="3761" spans="1:12" x14ac:dyDescent="0.25">
      <c r="A3761" s="5" t="s">
        <v>2033</v>
      </c>
      <c r="B3761" s="5" t="s">
        <v>2032</v>
      </c>
      <c r="C3761" s="5" t="s">
        <v>48</v>
      </c>
      <c r="D3761" s="21">
        <v>1</v>
      </c>
      <c r="E3761" s="12">
        <v>159</v>
      </c>
      <c r="F3761" s="10" t="str">
        <f>_xlfn.XLOOKUP(C3761,menu!A:A,menu!B:B)</f>
        <v>Chicken Lollipop</v>
      </c>
      <c r="G3761" s="10" t="str">
        <f>_xlfn.XLOOKUP(C3761,menu!A:A,menu!C:C)</f>
        <v>Starters</v>
      </c>
      <c r="H3761" s="10">
        <f>_xlfn.XLOOKUP(C3761,menu!A:A,menu!E:E)</f>
        <v>48</v>
      </c>
      <c r="I3761" s="10">
        <f t="shared" si="58"/>
        <v>48</v>
      </c>
      <c r="K3761" s="10"/>
      <c r="L3761" s="5"/>
    </row>
    <row r="3762" spans="1:12" x14ac:dyDescent="0.25">
      <c r="A3762" s="5" t="s">
        <v>2031</v>
      </c>
      <c r="B3762" s="5" t="s">
        <v>2029</v>
      </c>
      <c r="C3762" s="5" t="s">
        <v>65</v>
      </c>
      <c r="D3762" s="21">
        <v>1</v>
      </c>
      <c r="E3762" s="12">
        <v>49</v>
      </c>
      <c r="F3762" s="10" t="str">
        <f>_xlfn.XLOOKUP(C3762,menu!A:A,menu!B:B)</f>
        <v>Lemon Juice</v>
      </c>
      <c r="G3762" s="10" t="str">
        <f>_xlfn.XLOOKUP(C3762,menu!A:A,menu!C:C)</f>
        <v>Beverages</v>
      </c>
      <c r="H3762" s="10">
        <f>_xlfn.XLOOKUP(C3762,menu!A:A,menu!E:E)</f>
        <v>15</v>
      </c>
      <c r="I3762" s="10">
        <f t="shared" si="58"/>
        <v>15</v>
      </c>
      <c r="K3762" s="10"/>
      <c r="L3762" s="5"/>
    </row>
    <row r="3763" spans="1:12" x14ac:dyDescent="0.25">
      <c r="A3763" s="5" t="s">
        <v>2030</v>
      </c>
      <c r="B3763" s="5" t="s">
        <v>2029</v>
      </c>
      <c r="C3763" s="5" t="s">
        <v>59</v>
      </c>
      <c r="D3763" s="21">
        <v>1</v>
      </c>
      <c r="E3763" s="12">
        <v>79</v>
      </c>
      <c r="F3763" s="10" t="str">
        <f>_xlfn.XLOOKUP(C3763,menu!A:A,menu!B:B)</f>
        <v>Blue Curacao Mojito</v>
      </c>
      <c r="G3763" s="10" t="str">
        <f>_xlfn.XLOOKUP(C3763,menu!A:A,menu!C:C)</f>
        <v>Beverages</v>
      </c>
      <c r="H3763" s="10">
        <f>_xlfn.XLOOKUP(C3763,menu!A:A,menu!E:E)</f>
        <v>24</v>
      </c>
      <c r="I3763" s="10">
        <f t="shared" si="58"/>
        <v>24</v>
      </c>
      <c r="K3763" s="10"/>
      <c r="L3763" s="5"/>
    </row>
    <row r="3764" spans="1:12" x14ac:dyDescent="0.25">
      <c r="A3764" s="5" t="s">
        <v>2028</v>
      </c>
      <c r="B3764" s="5" t="s">
        <v>2025</v>
      </c>
      <c r="C3764" s="5" t="s">
        <v>12</v>
      </c>
      <c r="D3764" s="21">
        <v>5</v>
      </c>
      <c r="E3764" s="12">
        <v>395</v>
      </c>
      <c r="F3764" s="10" t="str">
        <f>_xlfn.XLOOKUP(C3764,menu!A:A,menu!B:B)</f>
        <v>Veg Momos</v>
      </c>
      <c r="G3764" s="10" t="str">
        <f>_xlfn.XLOOKUP(C3764,menu!A:A,menu!C:C)</f>
        <v>Momos</v>
      </c>
      <c r="H3764" s="10">
        <f>_xlfn.XLOOKUP(C3764,menu!A:A,menu!E:E)</f>
        <v>24</v>
      </c>
      <c r="I3764" s="10">
        <f t="shared" si="58"/>
        <v>120</v>
      </c>
      <c r="K3764" s="10"/>
      <c r="L3764" s="5"/>
    </row>
    <row r="3765" spans="1:12" x14ac:dyDescent="0.25">
      <c r="A3765" s="5" t="s">
        <v>2027</v>
      </c>
      <c r="B3765" s="5" t="s">
        <v>2025</v>
      </c>
      <c r="C3765" s="5" t="s">
        <v>63</v>
      </c>
      <c r="D3765" s="21">
        <v>1</v>
      </c>
      <c r="E3765" s="12">
        <v>79</v>
      </c>
      <c r="F3765" s="10" t="str">
        <f>_xlfn.XLOOKUP(C3765,menu!A:A,menu!B:B)</f>
        <v>Virgin Mojito</v>
      </c>
      <c r="G3765" s="10" t="str">
        <f>_xlfn.XLOOKUP(C3765,menu!A:A,menu!C:C)</f>
        <v>Beverages</v>
      </c>
      <c r="H3765" s="10">
        <f>_xlfn.XLOOKUP(C3765,menu!A:A,menu!E:E)</f>
        <v>24</v>
      </c>
      <c r="I3765" s="10">
        <f t="shared" si="58"/>
        <v>24</v>
      </c>
      <c r="K3765" s="10"/>
      <c r="L3765" s="5"/>
    </row>
    <row r="3766" spans="1:12" x14ac:dyDescent="0.25">
      <c r="A3766" s="5" t="s">
        <v>2026</v>
      </c>
      <c r="B3766" s="5" t="s">
        <v>2025</v>
      </c>
      <c r="C3766" s="5" t="s">
        <v>5</v>
      </c>
      <c r="D3766" s="21">
        <v>2</v>
      </c>
      <c r="E3766" s="12">
        <v>158</v>
      </c>
      <c r="F3766" s="10" t="str">
        <f>_xlfn.XLOOKUP(C3766,menu!A:A,menu!B:B)</f>
        <v>Veg Sandwich</v>
      </c>
      <c r="G3766" s="10" t="str">
        <f>_xlfn.XLOOKUP(C3766,menu!A:A,menu!C:C)</f>
        <v>Sandwich</v>
      </c>
      <c r="H3766" s="10">
        <f>_xlfn.XLOOKUP(C3766,menu!A:A,menu!E:E)</f>
        <v>24</v>
      </c>
      <c r="I3766" s="10">
        <f t="shared" si="58"/>
        <v>48</v>
      </c>
      <c r="K3766" s="10"/>
      <c r="L3766" s="5"/>
    </row>
    <row r="3767" spans="1:12" x14ac:dyDescent="0.25">
      <c r="A3767" s="5" t="s">
        <v>2024</v>
      </c>
      <c r="B3767" s="5" t="s">
        <v>2022</v>
      </c>
      <c r="C3767" s="5" t="s">
        <v>17</v>
      </c>
      <c r="D3767" s="21">
        <v>1</v>
      </c>
      <c r="E3767" s="12">
        <v>89</v>
      </c>
      <c r="F3767" s="10" t="str">
        <f>_xlfn.XLOOKUP(C3767,menu!A:A,menu!B:B)</f>
        <v>Paneer Momos</v>
      </c>
      <c r="G3767" s="10" t="str">
        <f>_xlfn.XLOOKUP(C3767,menu!A:A,menu!C:C)</f>
        <v>Momos</v>
      </c>
      <c r="H3767" s="10">
        <f>_xlfn.XLOOKUP(C3767,menu!A:A,menu!E:E)</f>
        <v>27</v>
      </c>
      <c r="I3767" s="10">
        <f t="shared" si="58"/>
        <v>27</v>
      </c>
      <c r="K3767" s="10"/>
      <c r="L3767" s="5"/>
    </row>
    <row r="3768" spans="1:12" x14ac:dyDescent="0.25">
      <c r="A3768" s="5" t="s">
        <v>2023</v>
      </c>
      <c r="B3768" s="5" t="s">
        <v>2022</v>
      </c>
      <c r="C3768" s="5" t="s">
        <v>48</v>
      </c>
      <c r="D3768" s="21">
        <v>3</v>
      </c>
      <c r="E3768" s="12">
        <v>477</v>
      </c>
      <c r="F3768" s="10" t="str">
        <f>_xlfn.XLOOKUP(C3768,menu!A:A,menu!B:B)</f>
        <v>Chicken Lollipop</v>
      </c>
      <c r="G3768" s="10" t="str">
        <f>_xlfn.XLOOKUP(C3768,menu!A:A,menu!C:C)</f>
        <v>Starters</v>
      </c>
      <c r="H3768" s="10">
        <f>_xlfn.XLOOKUP(C3768,menu!A:A,menu!E:E)</f>
        <v>48</v>
      </c>
      <c r="I3768" s="10">
        <f t="shared" si="58"/>
        <v>144</v>
      </c>
      <c r="K3768" s="10"/>
      <c r="L3768" s="5"/>
    </row>
    <row r="3769" spans="1:12" x14ac:dyDescent="0.25">
      <c r="A3769" s="5" t="s">
        <v>2021</v>
      </c>
      <c r="B3769" s="5" t="s">
        <v>2018</v>
      </c>
      <c r="C3769" s="5" t="s">
        <v>40</v>
      </c>
      <c r="D3769" s="21">
        <v>1</v>
      </c>
      <c r="E3769" s="12">
        <v>99</v>
      </c>
      <c r="F3769" s="10" t="str">
        <f>_xlfn.XLOOKUP(C3769,menu!A:A,menu!B:B)</f>
        <v>Veg Nuggets</v>
      </c>
      <c r="G3769" s="10" t="str">
        <f>_xlfn.XLOOKUP(C3769,menu!A:A,menu!C:C)</f>
        <v>Starters</v>
      </c>
      <c r="H3769" s="10">
        <f>_xlfn.XLOOKUP(C3769,menu!A:A,menu!E:E)</f>
        <v>30</v>
      </c>
      <c r="I3769" s="10">
        <f t="shared" si="58"/>
        <v>30</v>
      </c>
      <c r="K3769" s="10"/>
      <c r="L3769" s="5"/>
    </row>
    <row r="3770" spans="1:12" x14ac:dyDescent="0.25">
      <c r="A3770" s="5" t="s">
        <v>2020</v>
      </c>
      <c r="B3770" s="5" t="s">
        <v>2018</v>
      </c>
      <c r="C3770" s="5" t="s">
        <v>35</v>
      </c>
      <c r="D3770" s="21">
        <v>2</v>
      </c>
      <c r="E3770" s="12">
        <v>238</v>
      </c>
      <c r="F3770" s="10" t="str">
        <f>_xlfn.XLOOKUP(C3770,menu!A:A,menu!B:B)</f>
        <v>Chicken Nuggets</v>
      </c>
      <c r="G3770" s="10" t="str">
        <f>_xlfn.XLOOKUP(C3770,menu!A:A,menu!C:C)</f>
        <v>Starters</v>
      </c>
      <c r="H3770" s="10">
        <f>_xlfn.XLOOKUP(C3770,menu!A:A,menu!E:E)</f>
        <v>36</v>
      </c>
      <c r="I3770" s="10">
        <f t="shared" si="58"/>
        <v>72</v>
      </c>
      <c r="K3770" s="10"/>
      <c r="L3770" s="5"/>
    </row>
    <row r="3771" spans="1:12" x14ac:dyDescent="0.25">
      <c r="A3771" s="5" t="s">
        <v>2019</v>
      </c>
      <c r="B3771" s="5" t="s">
        <v>2018</v>
      </c>
      <c r="C3771" s="5" t="s">
        <v>54</v>
      </c>
      <c r="D3771" s="21">
        <v>2</v>
      </c>
      <c r="E3771" s="12">
        <v>278</v>
      </c>
      <c r="F3771" s="10" t="str">
        <f>_xlfn.XLOOKUP(C3771,menu!A:A,menu!B:B)</f>
        <v>Chicken Strips</v>
      </c>
      <c r="G3771" s="10" t="str">
        <f>_xlfn.XLOOKUP(C3771,menu!A:A,menu!C:C)</f>
        <v>Starters</v>
      </c>
      <c r="H3771" s="10">
        <f>_xlfn.XLOOKUP(C3771,menu!A:A,menu!E:E)</f>
        <v>42</v>
      </c>
      <c r="I3771" s="10">
        <f t="shared" si="58"/>
        <v>84</v>
      </c>
      <c r="K3771" s="10"/>
      <c r="L3771" s="5"/>
    </row>
    <row r="3772" spans="1:12" x14ac:dyDescent="0.25">
      <c r="A3772" s="5" t="s">
        <v>2017</v>
      </c>
      <c r="B3772" s="5" t="s">
        <v>2015</v>
      </c>
      <c r="C3772" s="5" t="s">
        <v>50</v>
      </c>
      <c r="D3772" s="21">
        <v>4</v>
      </c>
      <c r="E3772" s="12">
        <v>596</v>
      </c>
      <c r="F3772" s="10" t="str">
        <f>_xlfn.XLOOKUP(C3772,menu!A:A,menu!B:B)</f>
        <v>Grab Lollipop</v>
      </c>
      <c r="G3772" s="10" t="str">
        <f>_xlfn.XLOOKUP(C3772,menu!A:A,menu!C:C)</f>
        <v>Starters</v>
      </c>
      <c r="H3772" s="10">
        <f>_xlfn.XLOOKUP(C3772,menu!A:A,menu!E:E)</f>
        <v>45</v>
      </c>
      <c r="I3772" s="10">
        <f t="shared" si="58"/>
        <v>180</v>
      </c>
      <c r="K3772" s="10"/>
      <c r="L3772" s="5"/>
    </row>
    <row r="3773" spans="1:12" x14ac:dyDescent="0.25">
      <c r="A3773" s="5" t="s">
        <v>2016</v>
      </c>
      <c r="B3773" s="5" t="s">
        <v>2015</v>
      </c>
      <c r="C3773" s="5" t="s">
        <v>48</v>
      </c>
      <c r="D3773" s="21">
        <v>1</v>
      </c>
      <c r="E3773" s="12">
        <v>159</v>
      </c>
      <c r="F3773" s="10" t="str">
        <f>_xlfn.XLOOKUP(C3773,menu!A:A,menu!B:B)</f>
        <v>Chicken Lollipop</v>
      </c>
      <c r="G3773" s="10" t="str">
        <f>_xlfn.XLOOKUP(C3773,menu!A:A,menu!C:C)</f>
        <v>Starters</v>
      </c>
      <c r="H3773" s="10">
        <f>_xlfn.XLOOKUP(C3773,menu!A:A,menu!E:E)</f>
        <v>48</v>
      </c>
      <c r="I3773" s="10">
        <f t="shared" si="58"/>
        <v>48</v>
      </c>
      <c r="K3773" s="10"/>
      <c r="L3773" s="5"/>
    </row>
    <row r="3774" spans="1:12" x14ac:dyDescent="0.25">
      <c r="A3774" s="5" t="s">
        <v>2014</v>
      </c>
      <c r="B3774" s="5" t="s">
        <v>2012</v>
      </c>
      <c r="C3774" s="5" t="s">
        <v>44</v>
      </c>
      <c r="D3774" s="21">
        <v>4</v>
      </c>
      <c r="E3774" s="12">
        <v>636</v>
      </c>
      <c r="F3774" s="10" t="str">
        <f>_xlfn.XLOOKUP(C3774,menu!A:A,menu!B:B)</f>
        <v>Fried Chicken</v>
      </c>
      <c r="G3774" s="10" t="str">
        <f>_xlfn.XLOOKUP(C3774,menu!A:A,menu!C:C)</f>
        <v>Starters</v>
      </c>
      <c r="H3774" s="10">
        <f>_xlfn.XLOOKUP(C3774,menu!A:A,menu!E:E)</f>
        <v>48</v>
      </c>
      <c r="I3774" s="10">
        <f t="shared" si="58"/>
        <v>192</v>
      </c>
      <c r="K3774" s="10"/>
      <c r="L3774" s="5"/>
    </row>
    <row r="3775" spans="1:12" x14ac:dyDescent="0.25">
      <c r="A3775" s="5" t="s">
        <v>2013</v>
      </c>
      <c r="B3775" s="5" t="s">
        <v>2012</v>
      </c>
      <c r="C3775" s="5" t="s">
        <v>42</v>
      </c>
      <c r="D3775" s="21">
        <v>1</v>
      </c>
      <c r="E3775" s="12">
        <v>149</v>
      </c>
      <c r="F3775" s="10" t="str">
        <f>_xlfn.XLOOKUP(C3775,menu!A:A,menu!B:B)</f>
        <v>Chicken Popcorn</v>
      </c>
      <c r="G3775" s="10" t="str">
        <f>_xlfn.XLOOKUP(C3775,menu!A:A,menu!C:C)</f>
        <v>Starters</v>
      </c>
      <c r="H3775" s="10">
        <f>_xlfn.XLOOKUP(C3775,menu!A:A,menu!E:E)</f>
        <v>45</v>
      </c>
      <c r="I3775" s="10">
        <f t="shared" si="58"/>
        <v>45</v>
      </c>
      <c r="K3775" s="10"/>
      <c r="L3775" s="5"/>
    </row>
    <row r="3776" spans="1:12" x14ac:dyDescent="0.25">
      <c r="A3776" s="5" t="s">
        <v>2011</v>
      </c>
      <c r="B3776" s="5" t="s">
        <v>2008</v>
      </c>
      <c r="C3776" s="5" t="s">
        <v>40</v>
      </c>
      <c r="D3776" s="21">
        <v>1</v>
      </c>
      <c r="E3776" s="12">
        <v>99</v>
      </c>
      <c r="F3776" s="10" t="str">
        <f>_xlfn.XLOOKUP(C3776,menu!A:A,menu!B:B)</f>
        <v>Veg Nuggets</v>
      </c>
      <c r="G3776" s="10" t="str">
        <f>_xlfn.XLOOKUP(C3776,menu!A:A,menu!C:C)</f>
        <v>Starters</v>
      </c>
      <c r="H3776" s="10">
        <f>_xlfn.XLOOKUP(C3776,menu!A:A,menu!E:E)</f>
        <v>30</v>
      </c>
      <c r="I3776" s="10">
        <f t="shared" si="58"/>
        <v>30</v>
      </c>
      <c r="K3776" s="10"/>
      <c r="L3776" s="5"/>
    </row>
    <row r="3777" spans="1:12" x14ac:dyDescent="0.25">
      <c r="A3777" s="5" t="s">
        <v>2010</v>
      </c>
      <c r="B3777" s="5" t="s">
        <v>2008</v>
      </c>
      <c r="C3777" s="5" t="s">
        <v>61</v>
      </c>
      <c r="D3777" s="21">
        <v>1</v>
      </c>
      <c r="E3777" s="12">
        <v>79</v>
      </c>
      <c r="F3777" s="10" t="str">
        <f>_xlfn.XLOOKUP(C3777,menu!A:A,menu!B:B)</f>
        <v>Watermelon Mojito</v>
      </c>
      <c r="G3777" s="10" t="str">
        <f>_xlfn.XLOOKUP(C3777,menu!A:A,menu!C:C)</f>
        <v>Beverages</v>
      </c>
      <c r="H3777" s="10">
        <f>_xlfn.XLOOKUP(C3777,menu!A:A,menu!E:E)</f>
        <v>24</v>
      </c>
      <c r="I3777" s="10">
        <f t="shared" si="58"/>
        <v>24</v>
      </c>
      <c r="K3777" s="10"/>
      <c r="L3777" s="5"/>
    </row>
    <row r="3778" spans="1:12" x14ac:dyDescent="0.25">
      <c r="A3778" s="5" t="s">
        <v>2009</v>
      </c>
      <c r="B3778" s="5" t="s">
        <v>2008</v>
      </c>
      <c r="C3778" s="5" t="s">
        <v>5</v>
      </c>
      <c r="D3778" s="21">
        <v>4</v>
      </c>
      <c r="E3778" s="12">
        <v>316</v>
      </c>
      <c r="F3778" s="10" t="str">
        <f>_xlfn.XLOOKUP(C3778,menu!A:A,menu!B:B)</f>
        <v>Veg Sandwich</v>
      </c>
      <c r="G3778" s="10" t="str">
        <f>_xlfn.XLOOKUP(C3778,menu!A:A,menu!C:C)</f>
        <v>Sandwich</v>
      </c>
      <c r="H3778" s="10">
        <f>_xlfn.XLOOKUP(C3778,menu!A:A,menu!E:E)</f>
        <v>24</v>
      </c>
      <c r="I3778" s="10">
        <f t="shared" si="58"/>
        <v>96</v>
      </c>
      <c r="K3778" s="10"/>
      <c r="L3778" s="5"/>
    </row>
    <row r="3779" spans="1:12" x14ac:dyDescent="0.25">
      <c r="A3779" s="5" t="s">
        <v>2007</v>
      </c>
      <c r="B3779" s="5" t="s">
        <v>2004</v>
      </c>
      <c r="C3779" s="5" t="s">
        <v>61</v>
      </c>
      <c r="D3779" s="21">
        <v>1</v>
      </c>
      <c r="E3779" s="12">
        <v>79</v>
      </c>
      <c r="F3779" s="10" t="str">
        <f>_xlfn.XLOOKUP(C3779,menu!A:A,menu!B:B)</f>
        <v>Watermelon Mojito</v>
      </c>
      <c r="G3779" s="10" t="str">
        <f>_xlfn.XLOOKUP(C3779,menu!A:A,menu!C:C)</f>
        <v>Beverages</v>
      </c>
      <c r="H3779" s="10">
        <f>_xlfn.XLOOKUP(C3779,menu!A:A,menu!E:E)</f>
        <v>24</v>
      </c>
      <c r="I3779" s="10">
        <f t="shared" ref="I3779:I3842" si="59">D3779*H3779</f>
        <v>24</v>
      </c>
      <c r="K3779" s="10"/>
      <c r="L3779" s="5"/>
    </row>
    <row r="3780" spans="1:12" x14ac:dyDescent="0.25">
      <c r="A3780" s="5" t="s">
        <v>2006</v>
      </c>
      <c r="B3780" s="5" t="s">
        <v>2004</v>
      </c>
      <c r="C3780" s="5" t="s">
        <v>59</v>
      </c>
      <c r="D3780" s="21">
        <v>2</v>
      </c>
      <c r="E3780" s="12">
        <v>158</v>
      </c>
      <c r="F3780" s="10" t="str">
        <f>_xlfn.XLOOKUP(C3780,menu!A:A,menu!B:B)</f>
        <v>Blue Curacao Mojito</v>
      </c>
      <c r="G3780" s="10" t="str">
        <f>_xlfn.XLOOKUP(C3780,menu!A:A,menu!C:C)</f>
        <v>Beverages</v>
      </c>
      <c r="H3780" s="10">
        <f>_xlfn.XLOOKUP(C3780,menu!A:A,menu!E:E)</f>
        <v>24</v>
      </c>
      <c r="I3780" s="10">
        <f t="shared" si="59"/>
        <v>48</v>
      </c>
      <c r="K3780" s="10"/>
      <c r="L3780" s="5"/>
    </row>
    <row r="3781" spans="1:12" x14ac:dyDescent="0.25">
      <c r="A3781" s="5" t="s">
        <v>2005</v>
      </c>
      <c r="B3781" s="5" t="s">
        <v>2004</v>
      </c>
      <c r="C3781" s="5" t="s">
        <v>38</v>
      </c>
      <c r="D3781" s="21">
        <v>1</v>
      </c>
      <c r="E3781" s="12">
        <v>149</v>
      </c>
      <c r="F3781" s="10" t="str">
        <f>_xlfn.XLOOKUP(C3781,menu!A:A,menu!B:B)</f>
        <v>Chicken Wings</v>
      </c>
      <c r="G3781" s="10" t="str">
        <f>_xlfn.XLOOKUP(C3781,menu!A:A,menu!C:C)</f>
        <v>Starters</v>
      </c>
      <c r="H3781" s="10">
        <f>_xlfn.XLOOKUP(C3781,menu!A:A,menu!E:E)</f>
        <v>45</v>
      </c>
      <c r="I3781" s="10">
        <f t="shared" si="59"/>
        <v>45</v>
      </c>
      <c r="K3781" s="10"/>
      <c r="L3781" s="5"/>
    </row>
    <row r="3782" spans="1:12" x14ac:dyDescent="0.25">
      <c r="A3782" s="5" t="s">
        <v>2003</v>
      </c>
      <c r="B3782" s="5" t="s">
        <v>1999</v>
      </c>
      <c r="C3782" s="5" t="s">
        <v>19</v>
      </c>
      <c r="D3782" s="21">
        <v>4</v>
      </c>
      <c r="E3782" s="12">
        <v>316</v>
      </c>
      <c r="F3782" s="10" t="str">
        <f>_xlfn.XLOOKUP(C3782,menu!A:A,menu!B:B)</f>
        <v>Veg Burger</v>
      </c>
      <c r="G3782" s="10" t="str">
        <f>_xlfn.XLOOKUP(C3782,menu!A:A,menu!C:C)</f>
        <v>Burger</v>
      </c>
      <c r="H3782" s="10">
        <f>_xlfn.XLOOKUP(C3782,menu!A:A,menu!E:E)</f>
        <v>24</v>
      </c>
      <c r="I3782" s="10">
        <f t="shared" si="59"/>
        <v>96</v>
      </c>
      <c r="K3782" s="10"/>
      <c r="L3782" s="5"/>
    </row>
    <row r="3783" spans="1:12" x14ac:dyDescent="0.25">
      <c r="A3783" s="5" t="s">
        <v>2002</v>
      </c>
      <c r="B3783" s="5" t="s">
        <v>1999</v>
      </c>
      <c r="C3783" s="5" t="s">
        <v>50</v>
      </c>
      <c r="D3783" s="21">
        <v>2</v>
      </c>
      <c r="E3783" s="12">
        <v>298</v>
      </c>
      <c r="F3783" s="10" t="str">
        <f>_xlfn.XLOOKUP(C3783,menu!A:A,menu!B:B)</f>
        <v>Grab Lollipop</v>
      </c>
      <c r="G3783" s="10" t="str">
        <f>_xlfn.XLOOKUP(C3783,menu!A:A,menu!C:C)</f>
        <v>Starters</v>
      </c>
      <c r="H3783" s="10">
        <f>_xlfn.XLOOKUP(C3783,menu!A:A,menu!E:E)</f>
        <v>45</v>
      </c>
      <c r="I3783" s="10">
        <f t="shared" si="59"/>
        <v>90</v>
      </c>
      <c r="K3783" s="10"/>
      <c r="L3783" s="5"/>
    </row>
    <row r="3784" spans="1:12" x14ac:dyDescent="0.25">
      <c r="A3784" s="5" t="s">
        <v>2001</v>
      </c>
      <c r="B3784" s="5" t="s">
        <v>1999</v>
      </c>
      <c r="C3784" s="5" t="s">
        <v>31</v>
      </c>
      <c r="D3784" s="21">
        <v>5</v>
      </c>
      <c r="E3784" s="12">
        <v>445</v>
      </c>
      <c r="F3784" s="10" t="str">
        <f>_xlfn.XLOOKUP(C3784,menu!A:A,menu!B:B)</f>
        <v>Chicken Roll</v>
      </c>
      <c r="G3784" s="10" t="str">
        <f>_xlfn.XLOOKUP(C3784,menu!A:A,menu!C:C)</f>
        <v>Rolls</v>
      </c>
      <c r="H3784" s="10">
        <f>_xlfn.XLOOKUP(C3784,menu!A:A,menu!E:E)</f>
        <v>27</v>
      </c>
      <c r="I3784" s="10">
        <f t="shared" si="59"/>
        <v>135</v>
      </c>
      <c r="K3784" s="10"/>
      <c r="L3784" s="5"/>
    </row>
    <row r="3785" spans="1:12" x14ac:dyDescent="0.25">
      <c r="A3785" s="5" t="s">
        <v>2000</v>
      </c>
      <c r="B3785" s="5" t="s">
        <v>1999</v>
      </c>
      <c r="C3785" s="5" t="s">
        <v>38</v>
      </c>
      <c r="D3785" s="21">
        <v>2</v>
      </c>
      <c r="E3785" s="12">
        <v>298</v>
      </c>
      <c r="F3785" s="10" t="str">
        <f>_xlfn.XLOOKUP(C3785,menu!A:A,menu!B:B)</f>
        <v>Chicken Wings</v>
      </c>
      <c r="G3785" s="10" t="str">
        <f>_xlfn.XLOOKUP(C3785,menu!A:A,menu!C:C)</f>
        <v>Starters</v>
      </c>
      <c r="H3785" s="10">
        <f>_xlfn.XLOOKUP(C3785,menu!A:A,menu!E:E)</f>
        <v>45</v>
      </c>
      <c r="I3785" s="10">
        <f t="shared" si="59"/>
        <v>90</v>
      </c>
      <c r="K3785" s="10"/>
      <c r="L3785" s="5"/>
    </row>
    <row r="3786" spans="1:12" x14ac:dyDescent="0.25">
      <c r="A3786" s="5" t="s">
        <v>1998</v>
      </c>
      <c r="B3786" s="5" t="s">
        <v>1994</v>
      </c>
      <c r="C3786" s="5" t="s">
        <v>52</v>
      </c>
      <c r="D3786" s="21">
        <v>1</v>
      </c>
      <c r="E3786" s="12">
        <v>99</v>
      </c>
      <c r="F3786" s="10" t="str">
        <f>_xlfn.XLOOKUP(C3786,menu!A:A,menu!B:B)</f>
        <v>French Fries</v>
      </c>
      <c r="G3786" s="10" t="str">
        <f>_xlfn.XLOOKUP(C3786,menu!A:A,menu!C:C)</f>
        <v>Starters</v>
      </c>
      <c r="H3786" s="10">
        <f>_xlfn.XLOOKUP(C3786,menu!A:A,menu!E:E)</f>
        <v>30</v>
      </c>
      <c r="I3786" s="10">
        <f t="shared" si="59"/>
        <v>30</v>
      </c>
      <c r="K3786" s="10"/>
      <c r="L3786" s="5"/>
    </row>
    <row r="3787" spans="1:12" x14ac:dyDescent="0.25">
      <c r="A3787" s="5" t="s">
        <v>1997</v>
      </c>
      <c r="B3787" s="5" t="s">
        <v>1994</v>
      </c>
      <c r="C3787" s="5" t="s">
        <v>42</v>
      </c>
      <c r="D3787" s="21">
        <v>1</v>
      </c>
      <c r="E3787" s="12">
        <v>149</v>
      </c>
      <c r="F3787" s="10" t="str">
        <f>_xlfn.XLOOKUP(C3787,menu!A:A,menu!B:B)</f>
        <v>Chicken Popcorn</v>
      </c>
      <c r="G3787" s="10" t="str">
        <f>_xlfn.XLOOKUP(C3787,menu!A:A,menu!C:C)</f>
        <v>Starters</v>
      </c>
      <c r="H3787" s="10">
        <f>_xlfn.XLOOKUP(C3787,menu!A:A,menu!E:E)</f>
        <v>45</v>
      </c>
      <c r="I3787" s="10">
        <f t="shared" si="59"/>
        <v>45</v>
      </c>
      <c r="K3787" s="10"/>
      <c r="L3787" s="5"/>
    </row>
    <row r="3788" spans="1:12" x14ac:dyDescent="0.25">
      <c r="A3788" s="5" t="s">
        <v>1996</v>
      </c>
      <c r="B3788" s="5" t="s">
        <v>1994</v>
      </c>
      <c r="C3788" s="5" t="s">
        <v>33</v>
      </c>
      <c r="D3788" s="21">
        <v>1</v>
      </c>
      <c r="E3788" s="12">
        <v>69</v>
      </c>
      <c r="F3788" s="10" t="str">
        <f>_xlfn.XLOOKUP(C3788,menu!A:A,menu!B:B)</f>
        <v>Spring Roll</v>
      </c>
      <c r="G3788" s="10" t="str">
        <f>_xlfn.XLOOKUP(C3788,menu!A:A,menu!C:C)</f>
        <v>Rolls</v>
      </c>
      <c r="H3788" s="10">
        <f>_xlfn.XLOOKUP(C3788,menu!A:A,menu!E:E)</f>
        <v>21</v>
      </c>
      <c r="I3788" s="10">
        <f t="shared" si="59"/>
        <v>21</v>
      </c>
      <c r="K3788" s="10"/>
      <c r="L3788" s="5"/>
    </row>
    <row r="3789" spans="1:12" x14ac:dyDescent="0.25">
      <c r="A3789" s="5" t="s">
        <v>1995</v>
      </c>
      <c r="B3789" s="5" t="s">
        <v>1994</v>
      </c>
      <c r="C3789" s="5" t="s">
        <v>59</v>
      </c>
      <c r="D3789" s="21">
        <v>1</v>
      </c>
      <c r="E3789" s="12">
        <v>79</v>
      </c>
      <c r="F3789" s="10" t="str">
        <f>_xlfn.XLOOKUP(C3789,menu!A:A,menu!B:B)</f>
        <v>Blue Curacao Mojito</v>
      </c>
      <c r="G3789" s="10" t="str">
        <f>_xlfn.XLOOKUP(C3789,menu!A:A,menu!C:C)</f>
        <v>Beverages</v>
      </c>
      <c r="H3789" s="10">
        <f>_xlfn.XLOOKUP(C3789,menu!A:A,menu!E:E)</f>
        <v>24</v>
      </c>
      <c r="I3789" s="10">
        <f t="shared" si="59"/>
        <v>24</v>
      </c>
      <c r="K3789" s="10"/>
      <c r="L3789" s="5"/>
    </row>
    <row r="3790" spans="1:12" x14ac:dyDescent="0.25">
      <c r="A3790" s="5" t="s">
        <v>1993</v>
      </c>
      <c r="B3790" s="5" t="s">
        <v>1990</v>
      </c>
      <c r="C3790" s="5" t="s">
        <v>54</v>
      </c>
      <c r="D3790" s="21">
        <v>1</v>
      </c>
      <c r="E3790" s="12">
        <v>139</v>
      </c>
      <c r="F3790" s="10" t="str">
        <f>_xlfn.XLOOKUP(C3790,menu!A:A,menu!B:B)</f>
        <v>Chicken Strips</v>
      </c>
      <c r="G3790" s="10" t="str">
        <f>_xlfn.XLOOKUP(C3790,menu!A:A,menu!C:C)</f>
        <v>Starters</v>
      </c>
      <c r="H3790" s="10">
        <f>_xlfn.XLOOKUP(C3790,menu!A:A,menu!E:E)</f>
        <v>42</v>
      </c>
      <c r="I3790" s="10">
        <f t="shared" si="59"/>
        <v>42</v>
      </c>
      <c r="K3790" s="10"/>
      <c r="L3790" s="5"/>
    </row>
    <row r="3791" spans="1:12" x14ac:dyDescent="0.25">
      <c r="A3791" s="5" t="s">
        <v>1992</v>
      </c>
      <c r="B3791" s="5" t="s">
        <v>1990</v>
      </c>
      <c r="C3791" s="5" t="s">
        <v>42</v>
      </c>
      <c r="D3791" s="21">
        <v>2</v>
      </c>
      <c r="E3791" s="12">
        <v>298</v>
      </c>
      <c r="F3791" s="10" t="str">
        <f>_xlfn.XLOOKUP(C3791,menu!A:A,menu!B:B)</f>
        <v>Chicken Popcorn</v>
      </c>
      <c r="G3791" s="10" t="str">
        <f>_xlfn.XLOOKUP(C3791,menu!A:A,menu!C:C)</f>
        <v>Starters</v>
      </c>
      <c r="H3791" s="10">
        <f>_xlfn.XLOOKUP(C3791,menu!A:A,menu!E:E)</f>
        <v>45</v>
      </c>
      <c r="I3791" s="10">
        <f t="shared" si="59"/>
        <v>90</v>
      </c>
      <c r="K3791" s="10"/>
      <c r="L3791" s="5"/>
    </row>
    <row r="3792" spans="1:12" x14ac:dyDescent="0.25">
      <c r="A3792" s="5" t="s">
        <v>1991</v>
      </c>
      <c r="B3792" s="5" t="s">
        <v>1990</v>
      </c>
      <c r="C3792" s="5" t="s">
        <v>48</v>
      </c>
      <c r="D3792" s="21">
        <v>2</v>
      </c>
      <c r="E3792" s="12">
        <v>318</v>
      </c>
      <c r="F3792" s="10" t="str">
        <f>_xlfn.XLOOKUP(C3792,menu!A:A,menu!B:B)</f>
        <v>Chicken Lollipop</v>
      </c>
      <c r="G3792" s="10" t="str">
        <f>_xlfn.XLOOKUP(C3792,menu!A:A,menu!C:C)</f>
        <v>Starters</v>
      </c>
      <c r="H3792" s="10">
        <f>_xlfn.XLOOKUP(C3792,menu!A:A,menu!E:E)</f>
        <v>48</v>
      </c>
      <c r="I3792" s="10">
        <f t="shared" si="59"/>
        <v>96</v>
      </c>
      <c r="K3792" s="10"/>
      <c r="L3792" s="5"/>
    </row>
    <row r="3793" spans="1:12" x14ac:dyDescent="0.25">
      <c r="A3793" s="5" t="s">
        <v>1989</v>
      </c>
      <c r="B3793" s="5" t="s">
        <v>1987</v>
      </c>
      <c r="C3793" s="5" t="s">
        <v>19</v>
      </c>
      <c r="D3793" s="21">
        <v>3</v>
      </c>
      <c r="E3793" s="12">
        <v>237</v>
      </c>
      <c r="F3793" s="10" t="str">
        <f>_xlfn.XLOOKUP(C3793,menu!A:A,menu!B:B)</f>
        <v>Veg Burger</v>
      </c>
      <c r="G3793" s="10" t="str">
        <f>_xlfn.XLOOKUP(C3793,menu!A:A,menu!C:C)</f>
        <v>Burger</v>
      </c>
      <c r="H3793" s="10">
        <f>_xlfn.XLOOKUP(C3793,menu!A:A,menu!E:E)</f>
        <v>24</v>
      </c>
      <c r="I3793" s="10">
        <f t="shared" si="59"/>
        <v>72</v>
      </c>
      <c r="K3793" s="10"/>
      <c r="L3793" s="5"/>
    </row>
    <row r="3794" spans="1:12" x14ac:dyDescent="0.25">
      <c r="A3794" s="5" t="s">
        <v>1988</v>
      </c>
      <c r="B3794" s="5" t="s">
        <v>1987</v>
      </c>
      <c r="C3794" s="5" t="s">
        <v>35</v>
      </c>
      <c r="D3794" s="21">
        <v>1</v>
      </c>
      <c r="E3794" s="12">
        <v>119</v>
      </c>
      <c r="F3794" s="10" t="str">
        <f>_xlfn.XLOOKUP(C3794,menu!A:A,menu!B:B)</f>
        <v>Chicken Nuggets</v>
      </c>
      <c r="G3794" s="10" t="str">
        <f>_xlfn.XLOOKUP(C3794,menu!A:A,menu!C:C)</f>
        <v>Starters</v>
      </c>
      <c r="H3794" s="10">
        <f>_xlfn.XLOOKUP(C3794,menu!A:A,menu!E:E)</f>
        <v>36</v>
      </c>
      <c r="I3794" s="10">
        <f t="shared" si="59"/>
        <v>36</v>
      </c>
      <c r="K3794" s="10"/>
      <c r="L3794" s="5"/>
    </row>
    <row r="3795" spans="1:12" x14ac:dyDescent="0.25">
      <c r="A3795" s="5" t="s">
        <v>1986</v>
      </c>
      <c r="B3795" s="5" t="s">
        <v>1985</v>
      </c>
      <c r="C3795" s="5" t="s">
        <v>42</v>
      </c>
      <c r="D3795" s="21">
        <v>2</v>
      </c>
      <c r="E3795" s="12">
        <v>298</v>
      </c>
      <c r="F3795" s="10" t="str">
        <f>_xlfn.XLOOKUP(C3795,menu!A:A,menu!B:B)</f>
        <v>Chicken Popcorn</v>
      </c>
      <c r="G3795" s="10" t="str">
        <f>_xlfn.XLOOKUP(C3795,menu!A:A,menu!C:C)</f>
        <v>Starters</v>
      </c>
      <c r="H3795" s="10">
        <f>_xlfn.XLOOKUP(C3795,menu!A:A,menu!E:E)</f>
        <v>45</v>
      </c>
      <c r="I3795" s="10">
        <f t="shared" si="59"/>
        <v>90</v>
      </c>
      <c r="K3795" s="10"/>
      <c r="L3795" s="5"/>
    </row>
    <row r="3796" spans="1:12" x14ac:dyDescent="0.25">
      <c r="A3796" s="5" t="s">
        <v>1984</v>
      </c>
      <c r="B3796" s="5" t="s">
        <v>1981</v>
      </c>
      <c r="C3796" s="5" t="s">
        <v>50</v>
      </c>
      <c r="D3796" s="21">
        <v>4</v>
      </c>
      <c r="E3796" s="12">
        <v>596</v>
      </c>
      <c r="F3796" s="10" t="str">
        <f>_xlfn.XLOOKUP(C3796,menu!A:A,menu!B:B)</f>
        <v>Grab Lollipop</v>
      </c>
      <c r="G3796" s="10" t="str">
        <f>_xlfn.XLOOKUP(C3796,menu!A:A,menu!C:C)</f>
        <v>Starters</v>
      </c>
      <c r="H3796" s="10">
        <f>_xlfn.XLOOKUP(C3796,menu!A:A,menu!E:E)</f>
        <v>45</v>
      </c>
      <c r="I3796" s="10">
        <f t="shared" si="59"/>
        <v>180</v>
      </c>
      <c r="K3796" s="10"/>
      <c r="L3796" s="5"/>
    </row>
    <row r="3797" spans="1:12" x14ac:dyDescent="0.25">
      <c r="A3797" s="5" t="s">
        <v>1983</v>
      </c>
      <c r="B3797" s="5" t="s">
        <v>1981</v>
      </c>
      <c r="C3797" s="5" t="s">
        <v>38</v>
      </c>
      <c r="D3797" s="21">
        <v>1</v>
      </c>
      <c r="E3797" s="12">
        <v>149</v>
      </c>
      <c r="F3797" s="10" t="str">
        <f>_xlfn.XLOOKUP(C3797,menu!A:A,menu!B:B)</f>
        <v>Chicken Wings</v>
      </c>
      <c r="G3797" s="10" t="str">
        <f>_xlfn.XLOOKUP(C3797,menu!A:A,menu!C:C)</f>
        <v>Starters</v>
      </c>
      <c r="H3797" s="10">
        <f>_xlfn.XLOOKUP(C3797,menu!A:A,menu!E:E)</f>
        <v>45</v>
      </c>
      <c r="I3797" s="10">
        <f t="shared" si="59"/>
        <v>45</v>
      </c>
      <c r="K3797" s="10"/>
      <c r="L3797" s="5"/>
    </row>
    <row r="3798" spans="1:12" x14ac:dyDescent="0.25">
      <c r="A3798" s="5" t="s">
        <v>1982</v>
      </c>
      <c r="B3798" s="5" t="s">
        <v>1981</v>
      </c>
      <c r="C3798" s="5" t="s">
        <v>24</v>
      </c>
      <c r="D3798" s="21">
        <v>3</v>
      </c>
      <c r="E3798" s="12">
        <v>267</v>
      </c>
      <c r="F3798" s="10" t="str">
        <f>_xlfn.XLOOKUP(C3798,menu!A:A,menu!B:B)</f>
        <v>Paneer Burger</v>
      </c>
      <c r="G3798" s="10" t="str">
        <f>_xlfn.XLOOKUP(C3798,menu!A:A,menu!C:C)</f>
        <v>Burger</v>
      </c>
      <c r="H3798" s="10">
        <f>_xlfn.XLOOKUP(C3798,menu!A:A,menu!E:E)</f>
        <v>27</v>
      </c>
      <c r="I3798" s="10">
        <f t="shared" si="59"/>
        <v>81</v>
      </c>
      <c r="K3798" s="10"/>
      <c r="L3798" s="5"/>
    </row>
    <row r="3799" spans="1:12" x14ac:dyDescent="0.25">
      <c r="A3799" s="5" t="s">
        <v>1980</v>
      </c>
      <c r="B3799" s="5" t="s">
        <v>1978</v>
      </c>
      <c r="C3799" s="5" t="s">
        <v>5</v>
      </c>
      <c r="D3799" s="21">
        <v>1</v>
      </c>
      <c r="E3799" s="12">
        <v>79</v>
      </c>
      <c r="F3799" s="10" t="str">
        <f>_xlfn.XLOOKUP(C3799,menu!A:A,menu!B:B)</f>
        <v>Veg Sandwich</v>
      </c>
      <c r="G3799" s="10" t="str">
        <f>_xlfn.XLOOKUP(C3799,menu!A:A,menu!C:C)</f>
        <v>Sandwich</v>
      </c>
      <c r="H3799" s="10">
        <f>_xlfn.XLOOKUP(C3799,menu!A:A,menu!E:E)</f>
        <v>24</v>
      </c>
      <c r="I3799" s="10">
        <f t="shared" si="59"/>
        <v>24</v>
      </c>
      <c r="K3799" s="10"/>
      <c r="L3799" s="5"/>
    </row>
    <row r="3800" spans="1:12" x14ac:dyDescent="0.25">
      <c r="A3800" s="5" t="s">
        <v>1979</v>
      </c>
      <c r="B3800" s="5" t="s">
        <v>1978</v>
      </c>
      <c r="C3800" s="5" t="s">
        <v>8</v>
      </c>
      <c r="D3800" s="21">
        <v>2</v>
      </c>
      <c r="E3800" s="12">
        <v>198</v>
      </c>
      <c r="F3800" s="10" t="str">
        <f>_xlfn.XLOOKUP(C3800,menu!A:A,menu!B:B)</f>
        <v>Paneer Sandwich</v>
      </c>
      <c r="G3800" s="10" t="str">
        <f>_xlfn.XLOOKUP(C3800,menu!A:A,menu!C:C)</f>
        <v>Sandwich</v>
      </c>
      <c r="H3800" s="10">
        <f>_xlfn.XLOOKUP(C3800,menu!A:A,menu!E:E)</f>
        <v>30</v>
      </c>
      <c r="I3800" s="10">
        <f t="shared" si="59"/>
        <v>60</v>
      </c>
      <c r="K3800" s="10"/>
      <c r="L3800" s="5"/>
    </row>
    <row r="3801" spans="1:12" x14ac:dyDescent="0.25">
      <c r="A3801" s="5" t="s">
        <v>1977</v>
      </c>
      <c r="B3801" s="5" t="s">
        <v>1975</v>
      </c>
      <c r="C3801" s="5" t="s">
        <v>54</v>
      </c>
      <c r="D3801" s="21">
        <v>1</v>
      </c>
      <c r="E3801" s="12">
        <v>139</v>
      </c>
      <c r="F3801" s="10" t="str">
        <f>_xlfn.XLOOKUP(C3801,menu!A:A,menu!B:B)</f>
        <v>Chicken Strips</v>
      </c>
      <c r="G3801" s="10" t="str">
        <f>_xlfn.XLOOKUP(C3801,menu!A:A,menu!C:C)</f>
        <v>Starters</v>
      </c>
      <c r="H3801" s="10">
        <f>_xlfn.XLOOKUP(C3801,menu!A:A,menu!E:E)</f>
        <v>42</v>
      </c>
      <c r="I3801" s="10">
        <f t="shared" si="59"/>
        <v>42</v>
      </c>
      <c r="K3801" s="10"/>
      <c r="L3801" s="5"/>
    </row>
    <row r="3802" spans="1:12" x14ac:dyDescent="0.25">
      <c r="A3802" s="5" t="s">
        <v>1976</v>
      </c>
      <c r="B3802" s="5" t="s">
        <v>1975</v>
      </c>
      <c r="C3802" s="5" t="s">
        <v>42</v>
      </c>
      <c r="D3802" s="21">
        <v>1</v>
      </c>
      <c r="E3802" s="12">
        <v>149</v>
      </c>
      <c r="F3802" s="10" t="str">
        <f>_xlfn.XLOOKUP(C3802,menu!A:A,menu!B:B)</f>
        <v>Chicken Popcorn</v>
      </c>
      <c r="G3802" s="10" t="str">
        <f>_xlfn.XLOOKUP(C3802,menu!A:A,menu!C:C)</f>
        <v>Starters</v>
      </c>
      <c r="H3802" s="10">
        <f>_xlfn.XLOOKUP(C3802,menu!A:A,menu!E:E)</f>
        <v>45</v>
      </c>
      <c r="I3802" s="10">
        <f t="shared" si="59"/>
        <v>45</v>
      </c>
      <c r="K3802" s="10"/>
      <c r="L3802" s="5"/>
    </row>
    <row r="3803" spans="1:12" x14ac:dyDescent="0.25">
      <c r="A3803" s="5" t="s">
        <v>1974</v>
      </c>
      <c r="B3803" s="5" t="s">
        <v>1972</v>
      </c>
      <c r="C3803" s="5" t="s">
        <v>52</v>
      </c>
      <c r="D3803" s="21">
        <v>2</v>
      </c>
      <c r="E3803" s="12">
        <v>198</v>
      </c>
      <c r="F3803" s="10" t="str">
        <f>_xlfn.XLOOKUP(C3803,menu!A:A,menu!B:B)</f>
        <v>French Fries</v>
      </c>
      <c r="G3803" s="10" t="str">
        <f>_xlfn.XLOOKUP(C3803,menu!A:A,menu!C:C)</f>
        <v>Starters</v>
      </c>
      <c r="H3803" s="10">
        <f>_xlfn.XLOOKUP(C3803,menu!A:A,menu!E:E)</f>
        <v>30</v>
      </c>
      <c r="I3803" s="10">
        <f t="shared" si="59"/>
        <v>60</v>
      </c>
      <c r="K3803" s="10"/>
      <c r="L3803" s="5"/>
    </row>
    <row r="3804" spans="1:12" x14ac:dyDescent="0.25">
      <c r="A3804" s="5" t="s">
        <v>1973</v>
      </c>
      <c r="B3804" s="5" t="s">
        <v>1972</v>
      </c>
      <c r="C3804" s="5" t="s">
        <v>15</v>
      </c>
      <c r="D3804" s="21">
        <v>1</v>
      </c>
      <c r="E3804" s="12">
        <v>99</v>
      </c>
      <c r="F3804" s="10" t="str">
        <f>_xlfn.XLOOKUP(C3804,menu!A:A,menu!B:B)</f>
        <v>Chicken Momos</v>
      </c>
      <c r="G3804" s="10" t="str">
        <f>_xlfn.XLOOKUP(C3804,menu!A:A,menu!C:C)</f>
        <v>Momos</v>
      </c>
      <c r="H3804" s="10">
        <f>_xlfn.XLOOKUP(C3804,menu!A:A,menu!E:E)</f>
        <v>30</v>
      </c>
      <c r="I3804" s="10">
        <f t="shared" si="59"/>
        <v>30</v>
      </c>
      <c r="K3804" s="10"/>
      <c r="L3804" s="5"/>
    </row>
    <row r="3805" spans="1:12" x14ac:dyDescent="0.25">
      <c r="A3805" s="5" t="s">
        <v>1971</v>
      </c>
      <c r="B3805" s="5" t="s">
        <v>1969</v>
      </c>
      <c r="C3805" s="5" t="s">
        <v>59</v>
      </c>
      <c r="D3805" s="21">
        <v>1</v>
      </c>
      <c r="E3805" s="12">
        <v>79</v>
      </c>
      <c r="F3805" s="10" t="str">
        <f>_xlfn.XLOOKUP(C3805,menu!A:A,menu!B:B)</f>
        <v>Blue Curacao Mojito</v>
      </c>
      <c r="G3805" s="10" t="str">
        <f>_xlfn.XLOOKUP(C3805,menu!A:A,menu!C:C)</f>
        <v>Beverages</v>
      </c>
      <c r="H3805" s="10">
        <f>_xlfn.XLOOKUP(C3805,menu!A:A,menu!E:E)</f>
        <v>24</v>
      </c>
      <c r="I3805" s="10">
        <f t="shared" si="59"/>
        <v>24</v>
      </c>
      <c r="K3805" s="10"/>
      <c r="L3805" s="5"/>
    </row>
    <row r="3806" spans="1:12" x14ac:dyDescent="0.25">
      <c r="A3806" s="5" t="s">
        <v>1970</v>
      </c>
      <c r="B3806" s="5" t="s">
        <v>1969</v>
      </c>
      <c r="C3806" s="5" t="s">
        <v>24</v>
      </c>
      <c r="D3806" s="21">
        <v>1</v>
      </c>
      <c r="E3806" s="12">
        <v>89</v>
      </c>
      <c r="F3806" s="10" t="str">
        <f>_xlfn.XLOOKUP(C3806,menu!A:A,menu!B:B)</f>
        <v>Paneer Burger</v>
      </c>
      <c r="G3806" s="10" t="str">
        <f>_xlfn.XLOOKUP(C3806,menu!A:A,menu!C:C)</f>
        <v>Burger</v>
      </c>
      <c r="H3806" s="10">
        <f>_xlfn.XLOOKUP(C3806,menu!A:A,menu!E:E)</f>
        <v>27</v>
      </c>
      <c r="I3806" s="10">
        <f t="shared" si="59"/>
        <v>27</v>
      </c>
      <c r="K3806" s="10"/>
      <c r="L3806" s="5"/>
    </row>
    <row r="3807" spans="1:12" x14ac:dyDescent="0.25">
      <c r="A3807" s="5" t="s">
        <v>1968</v>
      </c>
      <c r="B3807" s="5" t="s">
        <v>1965</v>
      </c>
      <c r="C3807" s="5" t="s">
        <v>5</v>
      </c>
      <c r="D3807" s="21">
        <v>2</v>
      </c>
      <c r="E3807" s="12">
        <v>158</v>
      </c>
      <c r="F3807" s="10" t="str">
        <f>_xlfn.XLOOKUP(C3807,menu!A:A,menu!B:B)</f>
        <v>Veg Sandwich</v>
      </c>
      <c r="G3807" s="10" t="str">
        <f>_xlfn.XLOOKUP(C3807,menu!A:A,menu!C:C)</f>
        <v>Sandwich</v>
      </c>
      <c r="H3807" s="10">
        <f>_xlfn.XLOOKUP(C3807,menu!A:A,menu!E:E)</f>
        <v>24</v>
      </c>
      <c r="I3807" s="10">
        <f t="shared" si="59"/>
        <v>48</v>
      </c>
      <c r="K3807" s="10"/>
      <c r="L3807" s="5"/>
    </row>
    <row r="3808" spans="1:12" x14ac:dyDescent="0.25">
      <c r="A3808" s="5" t="s">
        <v>1967</v>
      </c>
      <c r="B3808" s="5" t="s">
        <v>1965</v>
      </c>
      <c r="C3808" s="5" t="s">
        <v>52</v>
      </c>
      <c r="D3808" s="21">
        <v>4</v>
      </c>
      <c r="E3808" s="12">
        <v>396</v>
      </c>
      <c r="F3808" s="10" t="str">
        <f>_xlfn.XLOOKUP(C3808,menu!A:A,menu!B:B)</f>
        <v>French Fries</v>
      </c>
      <c r="G3808" s="10" t="str">
        <f>_xlfn.XLOOKUP(C3808,menu!A:A,menu!C:C)</f>
        <v>Starters</v>
      </c>
      <c r="H3808" s="10">
        <f>_xlfn.XLOOKUP(C3808,menu!A:A,menu!E:E)</f>
        <v>30</v>
      </c>
      <c r="I3808" s="10">
        <f t="shared" si="59"/>
        <v>120</v>
      </c>
      <c r="K3808" s="10"/>
      <c r="L3808" s="5"/>
    </row>
    <row r="3809" spans="1:12" x14ac:dyDescent="0.25">
      <c r="A3809" s="5" t="s">
        <v>1966</v>
      </c>
      <c r="B3809" s="5" t="s">
        <v>1965</v>
      </c>
      <c r="C3809" s="5" t="s">
        <v>10</v>
      </c>
      <c r="D3809" s="21">
        <v>1</v>
      </c>
      <c r="E3809" s="12">
        <v>119</v>
      </c>
      <c r="F3809" s="10" t="str">
        <f>_xlfn.XLOOKUP(C3809,menu!A:A,menu!B:B)</f>
        <v>Chicken Sandwich</v>
      </c>
      <c r="G3809" s="10" t="str">
        <f>_xlfn.XLOOKUP(C3809,menu!A:A,menu!C:C)</f>
        <v>Sandwich</v>
      </c>
      <c r="H3809" s="10">
        <f>_xlfn.XLOOKUP(C3809,menu!A:A,menu!E:E)</f>
        <v>36</v>
      </c>
      <c r="I3809" s="10">
        <f t="shared" si="59"/>
        <v>36</v>
      </c>
      <c r="K3809" s="10"/>
      <c r="L3809" s="5"/>
    </row>
    <row r="3810" spans="1:12" x14ac:dyDescent="0.25">
      <c r="A3810" s="5" t="s">
        <v>1964</v>
      </c>
      <c r="B3810" s="5" t="s">
        <v>1962</v>
      </c>
      <c r="C3810" s="5" t="s">
        <v>12</v>
      </c>
      <c r="D3810" s="21">
        <v>1</v>
      </c>
      <c r="E3810" s="12">
        <v>79</v>
      </c>
      <c r="F3810" s="10" t="str">
        <f>_xlfn.XLOOKUP(C3810,menu!A:A,menu!B:B)</f>
        <v>Veg Momos</v>
      </c>
      <c r="G3810" s="10" t="str">
        <f>_xlfn.XLOOKUP(C3810,menu!A:A,menu!C:C)</f>
        <v>Momos</v>
      </c>
      <c r="H3810" s="10">
        <f>_xlfn.XLOOKUP(C3810,menu!A:A,menu!E:E)</f>
        <v>24</v>
      </c>
      <c r="I3810" s="10">
        <f t="shared" si="59"/>
        <v>24</v>
      </c>
      <c r="K3810" s="10"/>
      <c r="L3810" s="5"/>
    </row>
    <row r="3811" spans="1:12" x14ac:dyDescent="0.25">
      <c r="A3811" s="5" t="s">
        <v>1963</v>
      </c>
      <c r="B3811" s="5" t="s">
        <v>1962</v>
      </c>
      <c r="C3811" s="5" t="s">
        <v>29</v>
      </c>
      <c r="D3811" s="21">
        <v>1</v>
      </c>
      <c r="E3811" s="12">
        <v>79</v>
      </c>
      <c r="F3811" s="10" t="str">
        <f>_xlfn.XLOOKUP(C3811,menu!A:A,menu!B:B)</f>
        <v>Paneer Roll</v>
      </c>
      <c r="G3811" s="10" t="str">
        <f>_xlfn.XLOOKUP(C3811,menu!A:A,menu!C:C)</f>
        <v>Rolls</v>
      </c>
      <c r="H3811" s="10">
        <f>_xlfn.XLOOKUP(C3811,menu!A:A,menu!E:E)</f>
        <v>24</v>
      </c>
      <c r="I3811" s="10">
        <f t="shared" si="59"/>
        <v>24</v>
      </c>
      <c r="K3811" s="10"/>
      <c r="L3811" s="5"/>
    </row>
    <row r="3812" spans="1:12" x14ac:dyDescent="0.25">
      <c r="A3812" s="5" t="s">
        <v>1961</v>
      </c>
      <c r="B3812" s="5" t="s">
        <v>1959</v>
      </c>
      <c r="C3812" s="5" t="s">
        <v>12</v>
      </c>
      <c r="D3812" s="21">
        <v>2</v>
      </c>
      <c r="E3812" s="12">
        <v>158</v>
      </c>
      <c r="F3812" s="10" t="str">
        <f>_xlfn.XLOOKUP(C3812,menu!A:A,menu!B:B)</f>
        <v>Veg Momos</v>
      </c>
      <c r="G3812" s="10" t="str">
        <f>_xlfn.XLOOKUP(C3812,menu!A:A,menu!C:C)</f>
        <v>Momos</v>
      </c>
      <c r="H3812" s="10">
        <f>_xlfn.XLOOKUP(C3812,menu!A:A,menu!E:E)</f>
        <v>24</v>
      </c>
      <c r="I3812" s="10">
        <f t="shared" si="59"/>
        <v>48</v>
      </c>
      <c r="K3812" s="10"/>
      <c r="L3812" s="5"/>
    </row>
    <row r="3813" spans="1:12" x14ac:dyDescent="0.25">
      <c r="A3813" s="5" t="s">
        <v>1960</v>
      </c>
      <c r="B3813" s="5" t="s">
        <v>1959</v>
      </c>
      <c r="C3813" s="5" t="s">
        <v>8</v>
      </c>
      <c r="D3813" s="21">
        <v>1</v>
      </c>
      <c r="E3813" s="12">
        <v>99</v>
      </c>
      <c r="F3813" s="10" t="str">
        <f>_xlfn.XLOOKUP(C3813,menu!A:A,menu!B:B)</f>
        <v>Paneer Sandwich</v>
      </c>
      <c r="G3813" s="10" t="str">
        <f>_xlfn.XLOOKUP(C3813,menu!A:A,menu!C:C)</f>
        <v>Sandwich</v>
      </c>
      <c r="H3813" s="10">
        <f>_xlfn.XLOOKUP(C3813,menu!A:A,menu!E:E)</f>
        <v>30</v>
      </c>
      <c r="I3813" s="10">
        <f t="shared" si="59"/>
        <v>30</v>
      </c>
      <c r="K3813" s="10"/>
      <c r="L3813" s="5"/>
    </row>
    <row r="3814" spans="1:12" x14ac:dyDescent="0.25">
      <c r="A3814" s="5" t="s">
        <v>1958</v>
      </c>
      <c r="B3814" s="5" t="s">
        <v>1957</v>
      </c>
      <c r="C3814" s="5" t="s">
        <v>5</v>
      </c>
      <c r="D3814" s="21">
        <v>2</v>
      </c>
      <c r="E3814" s="12">
        <v>158</v>
      </c>
      <c r="F3814" s="10" t="str">
        <f>_xlfn.XLOOKUP(C3814,menu!A:A,menu!B:B)</f>
        <v>Veg Sandwich</v>
      </c>
      <c r="G3814" s="10" t="str">
        <f>_xlfn.XLOOKUP(C3814,menu!A:A,menu!C:C)</f>
        <v>Sandwich</v>
      </c>
      <c r="H3814" s="10">
        <f>_xlfn.XLOOKUP(C3814,menu!A:A,menu!E:E)</f>
        <v>24</v>
      </c>
      <c r="I3814" s="10">
        <f t="shared" si="59"/>
        <v>48</v>
      </c>
      <c r="K3814" s="10"/>
      <c r="L3814" s="5"/>
    </row>
    <row r="3815" spans="1:12" x14ac:dyDescent="0.25">
      <c r="A3815" s="5" t="s">
        <v>1956</v>
      </c>
      <c r="B3815" s="5" t="s">
        <v>1955</v>
      </c>
      <c r="C3815" s="5" t="s">
        <v>48</v>
      </c>
      <c r="D3815" s="21">
        <v>1</v>
      </c>
      <c r="E3815" s="12">
        <v>159</v>
      </c>
      <c r="F3815" s="10" t="str">
        <f>_xlfn.XLOOKUP(C3815,menu!A:A,menu!B:B)</f>
        <v>Chicken Lollipop</v>
      </c>
      <c r="G3815" s="10" t="str">
        <f>_xlfn.XLOOKUP(C3815,menu!A:A,menu!C:C)</f>
        <v>Starters</v>
      </c>
      <c r="H3815" s="10">
        <f>_xlfn.XLOOKUP(C3815,menu!A:A,menu!E:E)</f>
        <v>48</v>
      </c>
      <c r="I3815" s="10">
        <f t="shared" si="59"/>
        <v>48</v>
      </c>
      <c r="K3815" s="10"/>
      <c r="L3815" s="5"/>
    </row>
    <row r="3816" spans="1:12" x14ac:dyDescent="0.25">
      <c r="A3816" s="5" t="s">
        <v>1954</v>
      </c>
      <c r="B3816" s="5" t="s">
        <v>1951</v>
      </c>
      <c r="C3816" s="5" t="s">
        <v>29</v>
      </c>
      <c r="D3816" s="21">
        <v>3</v>
      </c>
      <c r="E3816" s="12">
        <v>237</v>
      </c>
      <c r="F3816" s="10" t="str">
        <f>_xlfn.XLOOKUP(C3816,menu!A:A,menu!B:B)</f>
        <v>Paneer Roll</v>
      </c>
      <c r="G3816" s="10" t="str">
        <f>_xlfn.XLOOKUP(C3816,menu!A:A,menu!C:C)</f>
        <v>Rolls</v>
      </c>
      <c r="H3816" s="10">
        <f>_xlfn.XLOOKUP(C3816,menu!A:A,menu!E:E)</f>
        <v>24</v>
      </c>
      <c r="I3816" s="10">
        <f t="shared" si="59"/>
        <v>72</v>
      </c>
      <c r="K3816" s="10"/>
      <c r="L3816" s="5"/>
    </row>
    <row r="3817" spans="1:12" x14ac:dyDescent="0.25">
      <c r="A3817" s="5" t="s">
        <v>1953</v>
      </c>
      <c r="B3817" s="5" t="s">
        <v>1951</v>
      </c>
      <c r="C3817" s="5" t="s">
        <v>52</v>
      </c>
      <c r="D3817" s="21">
        <v>1</v>
      </c>
      <c r="E3817" s="12">
        <v>99</v>
      </c>
      <c r="F3817" s="10" t="str">
        <f>_xlfn.XLOOKUP(C3817,menu!A:A,menu!B:B)</f>
        <v>French Fries</v>
      </c>
      <c r="G3817" s="10" t="str">
        <f>_xlfn.XLOOKUP(C3817,menu!A:A,menu!C:C)</f>
        <v>Starters</v>
      </c>
      <c r="H3817" s="10">
        <f>_xlfn.XLOOKUP(C3817,menu!A:A,menu!E:E)</f>
        <v>30</v>
      </c>
      <c r="I3817" s="10">
        <f t="shared" si="59"/>
        <v>30</v>
      </c>
      <c r="K3817" s="10"/>
      <c r="L3817" s="5"/>
    </row>
    <row r="3818" spans="1:12" x14ac:dyDescent="0.25">
      <c r="A3818" s="5" t="s">
        <v>1952</v>
      </c>
      <c r="B3818" s="5" t="s">
        <v>1951</v>
      </c>
      <c r="C3818" s="5" t="s">
        <v>19</v>
      </c>
      <c r="D3818" s="21">
        <v>1</v>
      </c>
      <c r="E3818" s="12">
        <v>79</v>
      </c>
      <c r="F3818" s="10" t="str">
        <f>_xlfn.XLOOKUP(C3818,menu!A:A,menu!B:B)</f>
        <v>Veg Burger</v>
      </c>
      <c r="G3818" s="10" t="str">
        <f>_xlfn.XLOOKUP(C3818,menu!A:A,menu!C:C)</f>
        <v>Burger</v>
      </c>
      <c r="H3818" s="10">
        <f>_xlfn.XLOOKUP(C3818,menu!A:A,menu!E:E)</f>
        <v>24</v>
      </c>
      <c r="I3818" s="10">
        <f t="shared" si="59"/>
        <v>24</v>
      </c>
      <c r="K3818" s="10"/>
      <c r="L3818" s="5"/>
    </row>
    <row r="3819" spans="1:12" x14ac:dyDescent="0.25">
      <c r="A3819" s="5" t="s">
        <v>1950</v>
      </c>
      <c r="B3819" s="5" t="s">
        <v>1946</v>
      </c>
      <c r="C3819" s="5" t="s">
        <v>12</v>
      </c>
      <c r="D3819" s="21">
        <v>3</v>
      </c>
      <c r="E3819" s="12">
        <v>237</v>
      </c>
      <c r="F3819" s="10" t="str">
        <f>_xlfn.XLOOKUP(C3819,menu!A:A,menu!B:B)</f>
        <v>Veg Momos</v>
      </c>
      <c r="G3819" s="10" t="str">
        <f>_xlfn.XLOOKUP(C3819,menu!A:A,menu!C:C)</f>
        <v>Momos</v>
      </c>
      <c r="H3819" s="10">
        <f>_xlfn.XLOOKUP(C3819,menu!A:A,menu!E:E)</f>
        <v>24</v>
      </c>
      <c r="I3819" s="10">
        <f t="shared" si="59"/>
        <v>72</v>
      </c>
      <c r="K3819" s="10"/>
      <c r="L3819" s="5"/>
    </row>
    <row r="3820" spans="1:12" x14ac:dyDescent="0.25">
      <c r="A3820" s="5" t="s">
        <v>1949</v>
      </c>
      <c r="B3820" s="5" t="s">
        <v>1946</v>
      </c>
      <c r="C3820" s="5" t="s">
        <v>50</v>
      </c>
      <c r="D3820" s="21">
        <v>1</v>
      </c>
      <c r="E3820" s="12">
        <v>149</v>
      </c>
      <c r="F3820" s="10" t="str">
        <f>_xlfn.XLOOKUP(C3820,menu!A:A,menu!B:B)</f>
        <v>Grab Lollipop</v>
      </c>
      <c r="G3820" s="10" t="str">
        <f>_xlfn.XLOOKUP(C3820,menu!A:A,menu!C:C)</f>
        <v>Starters</v>
      </c>
      <c r="H3820" s="10">
        <f>_xlfn.XLOOKUP(C3820,menu!A:A,menu!E:E)</f>
        <v>45</v>
      </c>
      <c r="I3820" s="10">
        <f t="shared" si="59"/>
        <v>45</v>
      </c>
      <c r="K3820" s="10"/>
      <c r="L3820" s="5"/>
    </row>
    <row r="3821" spans="1:12" x14ac:dyDescent="0.25">
      <c r="A3821" s="5" t="s">
        <v>1948</v>
      </c>
      <c r="B3821" s="5" t="s">
        <v>1946</v>
      </c>
      <c r="C3821" s="5" t="s">
        <v>35</v>
      </c>
      <c r="D3821" s="21">
        <v>2</v>
      </c>
      <c r="E3821" s="12">
        <v>238</v>
      </c>
      <c r="F3821" s="10" t="str">
        <f>_xlfn.XLOOKUP(C3821,menu!A:A,menu!B:B)</f>
        <v>Chicken Nuggets</v>
      </c>
      <c r="G3821" s="10" t="str">
        <f>_xlfn.XLOOKUP(C3821,menu!A:A,menu!C:C)</f>
        <v>Starters</v>
      </c>
      <c r="H3821" s="10">
        <f>_xlfn.XLOOKUP(C3821,menu!A:A,menu!E:E)</f>
        <v>36</v>
      </c>
      <c r="I3821" s="10">
        <f t="shared" si="59"/>
        <v>72</v>
      </c>
      <c r="K3821" s="10"/>
      <c r="L3821" s="5"/>
    </row>
    <row r="3822" spans="1:12" x14ac:dyDescent="0.25">
      <c r="A3822" s="5" t="s">
        <v>1947</v>
      </c>
      <c r="B3822" s="5" t="s">
        <v>1946</v>
      </c>
      <c r="C3822" s="5" t="s">
        <v>24</v>
      </c>
      <c r="D3822" s="21">
        <v>4</v>
      </c>
      <c r="E3822" s="12">
        <v>356</v>
      </c>
      <c r="F3822" s="10" t="str">
        <f>_xlfn.XLOOKUP(C3822,menu!A:A,menu!B:B)</f>
        <v>Paneer Burger</v>
      </c>
      <c r="G3822" s="10" t="str">
        <f>_xlfn.XLOOKUP(C3822,menu!A:A,menu!C:C)</f>
        <v>Burger</v>
      </c>
      <c r="H3822" s="10">
        <f>_xlfn.XLOOKUP(C3822,menu!A:A,menu!E:E)</f>
        <v>27</v>
      </c>
      <c r="I3822" s="10">
        <f t="shared" si="59"/>
        <v>108</v>
      </c>
      <c r="K3822" s="10"/>
      <c r="L3822" s="5"/>
    </row>
    <row r="3823" spans="1:12" x14ac:dyDescent="0.25">
      <c r="A3823" s="5" t="s">
        <v>1945</v>
      </c>
      <c r="B3823" s="5" t="s">
        <v>1943</v>
      </c>
      <c r="C3823" s="5" t="s">
        <v>56</v>
      </c>
      <c r="D3823" s="21">
        <v>1</v>
      </c>
      <c r="E3823" s="12">
        <v>79</v>
      </c>
      <c r="F3823" s="10" t="str">
        <f>_xlfn.XLOOKUP(C3823,menu!A:A,menu!B:B)</f>
        <v>Mint Mojito</v>
      </c>
      <c r="G3823" s="10" t="str">
        <f>_xlfn.XLOOKUP(C3823,menu!A:A,menu!C:C)</f>
        <v>Beverages</v>
      </c>
      <c r="H3823" s="10">
        <f>_xlfn.XLOOKUP(C3823,menu!A:A,menu!E:E)</f>
        <v>24</v>
      </c>
      <c r="I3823" s="10">
        <f t="shared" si="59"/>
        <v>24</v>
      </c>
      <c r="K3823" s="10"/>
      <c r="L3823" s="5"/>
    </row>
    <row r="3824" spans="1:12" x14ac:dyDescent="0.25">
      <c r="A3824" s="5" t="s">
        <v>1944</v>
      </c>
      <c r="B3824" s="5" t="s">
        <v>1943</v>
      </c>
      <c r="C3824" s="5" t="s">
        <v>35</v>
      </c>
      <c r="D3824" s="21">
        <v>1</v>
      </c>
      <c r="E3824" s="12">
        <v>119</v>
      </c>
      <c r="F3824" s="10" t="str">
        <f>_xlfn.XLOOKUP(C3824,menu!A:A,menu!B:B)</f>
        <v>Chicken Nuggets</v>
      </c>
      <c r="G3824" s="10" t="str">
        <f>_xlfn.XLOOKUP(C3824,menu!A:A,menu!C:C)</f>
        <v>Starters</v>
      </c>
      <c r="H3824" s="10">
        <f>_xlfn.XLOOKUP(C3824,menu!A:A,menu!E:E)</f>
        <v>36</v>
      </c>
      <c r="I3824" s="10">
        <f t="shared" si="59"/>
        <v>36</v>
      </c>
      <c r="K3824" s="10"/>
      <c r="L3824" s="5"/>
    </row>
    <row r="3825" spans="1:12" x14ac:dyDescent="0.25">
      <c r="A3825" s="5" t="s">
        <v>1942</v>
      </c>
      <c r="B3825" s="5" t="s">
        <v>1939</v>
      </c>
      <c r="C3825" s="5" t="s">
        <v>52</v>
      </c>
      <c r="D3825" s="21">
        <v>1</v>
      </c>
      <c r="E3825" s="12">
        <v>99</v>
      </c>
      <c r="F3825" s="10" t="str">
        <f>_xlfn.XLOOKUP(C3825,menu!A:A,menu!B:B)</f>
        <v>French Fries</v>
      </c>
      <c r="G3825" s="10" t="str">
        <f>_xlfn.XLOOKUP(C3825,menu!A:A,menu!C:C)</f>
        <v>Starters</v>
      </c>
      <c r="H3825" s="10">
        <f>_xlfn.XLOOKUP(C3825,menu!A:A,menu!E:E)</f>
        <v>30</v>
      </c>
      <c r="I3825" s="10">
        <f t="shared" si="59"/>
        <v>30</v>
      </c>
      <c r="K3825" s="10"/>
      <c r="L3825" s="5"/>
    </row>
    <row r="3826" spans="1:12" x14ac:dyDescent="0.25">
      <c r="A3826" s="5" t="s">
        <v>1941</v>
      </c>
      <c r="B3826" s="5" t="s">
        <v>1939</v>
      </c>
      <c r="C3826" s="5" t="s">
        <v>44</v>
      </c>
      <c r="D3826" s="21">
        <v>2</v>
      </c>
      <c r="E3826" s="12">
        <v>318</v>
      </c>
      <c r="F3826" s="10" t="str">
        <f>_xlfn.XLOOKUP(C3826,menu!A:A,menu!B:B)</f>
        <v>Fried Chicken</v>
      </c>
      <c r="G3826" s="10" t="str">
        <f>_xlfn.XLOOKUP(C3826,menu!A:A,menu!C:C)</f>
        <v>Starters</v>
      </c>
      <c r="H3826" s="10">
        <f>_xlfn.XLOOKUP(C3826,menu!A:A,menu!E:E)</f>
        <v>48</v>
      </c>
      <c r="I3826" s="10">
        <f t="shared" si="59"/>
        <v>96</v>
      </c>
      <c r="K3826" s="10"/>
      <c r="L3826" s="5"/>
    </row>
    <row r="3827" spans="1:12" x14ac:dyDescent="0.25">
      <c r="A3827" s="5" t="s">
        <v>1940</v>
      </c>
      <c r="B3827" s="5" t="s">
        <v>1939</v>
      </c>
      <c r="C3827" s="5" t="s">
        <v>15</v>
      </c>
      <c r="D3827" s="21">
        <v>1</v>
      </c>
      <c r="E3827" s="12">
        <v>99</v>
      </c>
      <c r="F3827" s="10" t="str">
        <f>_xlfn.XLOOKUP(C3827,menu!A:A,menu!B:B)</f>
        <v>Chicken Momos</v>
      </c>
      <c r="G3827" s="10" t="str">
        <f>_xlfn.XLOOKUP(C3827,menu!A:A,menu!C:C)</f>
        <v>Momos</v>
      </c>
      <c r="H3827" s="10">
        <f>_xlfn.XLOOKUP(C3827,menu!A:A,menu!E:E)</f>
        <v>30</v>
      </c>
      <c r="I3827" s="10">
        <f t="shared" si="59"/>
        <v>30</v>
      </c>
      <c r="K3827" s="10"/>
      <c r="L3827" s="5"/>
    </row>
    <row r="3828" spans="1:12" x14ac:dyDescent="0.25">
      <c r="A3828" s="5" t="s">
        <v>1938</v>
      </c>
      <c r="B3828" s="5" t="s">
        <v>1936</v>
      </c>
      <c r="C3828" s="5" t="s">
        <v>12</v>
      </c>
      <c r="D3828" s="21">
        <v>1</v>
      </c>
      <c r="E3828" s="12">
        <v>79</v>
      </c>
      <c r="F3828" s="10" t="str">
        <f>_xlfn.XLOOKUP(C3828,menu!A:A,menu!B:B)</f>
        <v>Veg Momos</v>
      </c>
      <c r="G3828" s="10" t="str">
        <f>_xlfn.XLOOKUP(C3828,menu!A:A,menu!C:C)</f>
        <v>Momos</v>
      </c>
      <c r="H3828" s="10">
        <f>_xlfn.XLOOKUP(C3828,menu!A:A,menu!E:E)</f>
        <v>24</v>
      </c>
      <c r="I3828" s="10">
        <f t="shared" si="59"/>
        <v>24</v>
      </c>
      <c r="K3828" s="10"/>
      <c r="L3828" s="5"/>
    </row>
    <row r="3829" spans="1:12" x14ac:dyDescent="0.25">
      <c r="A3829" s="5" t="s">
        <v>1937</v>
      </c>
      <c r="B3829" s="5" t="s">
        <v>1936</v>
      </c>
      <c r="C3829" s="5" t="s">
        <v>46</v>
      </c>
      <c r="D3829" s="21">
        <v>1</v>
      </c>
      <c r="E3829" s="12">
        <v>149</v>
      </c>
      <c r="F3829" s="10" t="str">
        <f>_xlfn.XLOOKUP(C3829,menu!A:A,menu!B:B)</f>
        <v>Fish Finger</v>
      </c>
      <c r="G3829" s="10" t="str">
        <f>_xlfn.XLOOKUP(C3829,menu!A:A,menu!C:C)</f>
        <v>Starters</v>
      </c>
      <c r="H3829" s="10">
        <f>_xlfn.XLOOKUP(C3829,menu!A:A,menu!E:E)</f>
        <v>45</v>
      </c>
      <c r="I3829" s="10">
        <f t="shared" si="59"/>
        <v>45</v>
      </c>
      <c r="K3829" s="10"/>
      <c r="L3829" s="5"/>
    </row>
    <row r="3830" spans="1:12" x14ac:dyDescent="0.25">
      <c r="A3830" s="5" t="s">
        <v>1935</v>
      </c>
      <c r="B3830" s="5" t="s">
        <v>1932</v>
      </c>
      <c r="C3830" s="5" t="s">
        <v>10</v>
      </c>
      <c r="D3830" s="21">
        <v>1</v>
      </c>
      <c r="E3830" s="12">
        <v>119</v>
      </c>
      <c r="F3830" s="10" t="str">
        <f>_xlfn.XLOOKUP(C3830,menu!A:A,menu!B:B)</f>
        <v>Chicken Sandwich</v>
      </c>
      <c r="G3830" s="10" t="str">
        <f>_xlfn.XLOOKUP(C3830,menu!A:A,menu!C:C)</f>
        <v>Sandwich</v>
      </c>
      <c r="H3830" s="10">
        <f>_xlfn.XLOOKUP(C3830,menu!A:A,menu!E:E)</f>
        <v>36</v>
      </c>
      <c r="I3830" s="10">
        <f t="shared" si="59"/>
        <v>36</v>
      </c>
      <c r="K3830" s="10"/>
      <c r="L3830" s="5"/>
    </row>
    <row r="3831" spans="1:12" x14ac:dyDescent="0.25">
      <c r="A3831" s="5" t="s">
        <v>1934</v>
      </c>
      <c r="B3831" s="5" t="s">
        <v>1932</v>
      </c>
      <c r="C3831" s="5" t="s">
        <v>15</v>
      </c>
      <c r="D3831" s="21">
        <v>1</v>
      </c>
      <c r="E3831" s="12">
        <v>99</v>
      </c>
      <c r="F3831" s="10" t="str">
        <f>_xlfn.XLOOKUP(C3831,menu!A:A,menu!B:B)</f>
        <v>Chicken Momos</v>
      </c>
      <c r="G3831" s="10" t="str">
        <f>_xlfn.XLOOKUP(C3831,menu!A:A,menu!C:C)</f>
        <v>Momos</v>
      </c>
      <c r="H3831" s="10">
        <f>_xlfn.XLOOKUP(C3831,menu!A:A,menu!E:E)</f>
        <v>30</v>
      </c>
      <c r="I3831" s="10">
        <f t="shared" si="59"/>
        <v>30</v>
      </c>
      <c r="K3831" s="10"/>
      <c r="L3831" s="5"/>
    </row>
    <row r="3832" spans="1:12" x14ac:dyDescent="0.25">
      <c r="A3832" s="5" t="s">
        <v>1933</v>
      </c>
      <c r="B3832" s="5" t="s">
        <v>1932</v>
      </c>
      <c r="C3832" s="5" t="s">
        <v>24</v>
      </c>
      <c r="D3832" s="21">
        <v>3</v>
      </c>
      <c r="E3832" s="12">
        <v>267</v>
      </c>
      <c r="F3832" s="10" t="str">
        <f>_xlfn.XLOOKUP(C3832,menu!A:A,menu!B:B)</f>
        <v>Paneer Burger</v>
      </c>
      <c r="G3832" s="10" t="str">
        <f>_xlfn.XLOOKUP(C3832,menu!A:A,menu!C:C)</f>
        <v>Burger</v>
      </c>
      <c r="H3832" s="10">
        <f>_xlfn.XLOOKUP(C3832,menu!A:A,menu!E:E)</f>
        <v>27</v>
      </c>
      <c r="I3832" s="10">
        <f t="shared" si="59"/>
        <v>81</v>
      </c>
      <c r="K3832" s="10"/>
      <c r="L3832" s="5"/>
    </row>
    <row r="3833" spans="1:12" x14ac:dyDescent="0.25">
      <c r="A3833" s="5" t="s">
        <v>1931</v>
      </c>
      <c r="B3833" s="5" t="s">
        <v>1928</v>
      </c>
      <c r="C3833" s="5" t="s">
        <v>10</v>
      </c>
      <c r="D3833" s="21">
        <v>2</v>
      </c>
      <c r="E3833" s="12">
        <v>238</v>
      </c>
      <c r="F3833" s="10" t="str">
        <f>_xlfn.XLOOKUP(C3833,menu!A:A,menu!B:B)</f>
        <v>Chicken Sandwich</v>
      </c>
      <c r="G3833" s="10" t="str">
        <f>_xlfn.XLOOKUP(C3833,menu!A:A,menu!C:C)</f>
        <v>Sandwich</v>
      </c>
      <c r="H3833" s="10">
        <f>_xlfn.XLOOKUP(C3833,menu!A:A,menu!E:E)</f>
        <v>36</v>
      </c>
      <c r="I3833" s="10">
        <f t="shared" si="59"/>
        <v>72</v>
      </c>
      <c r="K3833" s="10"/>
      <c r="L3833" s="5"/>
    </row>
    <row r="3834" spans="1:12" x14ac:dyDescent="0.25">
      <c r="A3834" s="5" t="s">
        <v>1930</v>
      </c>
      <c r="B3834" s="5" t="s">
        <v>1928</v>
      </c>
      <c r="C3834" s="5" t="s">
        <v>35</v>
      </c>
      <c r="D3834" s="21">
        <v>2</v>
      </c>
      <c r="E3834" s="12">
        <v>238</v>
      </c>
      <c r="F3834" s="10" t="str">
        <f>_xlfn.XLOOKUP(C3834,menu!A:A,menu!B:B)</f>
        <v>Chicken Nuggets</v>
      </c>
      <c r="G3834" s="10" t="str">
        <f>_xlfn.XLOOKUP(C3834,menu!A:A,menu!C:C)</f>
        <v>Starters</v>
      </c>
      <c r="H3834" s="10">
        <f>_xlfn.XLOOKUP(C3834,menu!A:A,menu!E:E)</f>
        <v>36</v>
      </c>
      <c r="I3834" s="10">
        <f t="shared" si="59"/>
        <v>72</v>
      </c>
      <c r="K3834" s="10"/>
      <c r="L3834" s="5"/>
    </row>
    <row r="3835" spans="1:12" x14ac:dyDescent="0.25">
      <c r="A3835" s="5" t="s">
        <v>1929</v>
      </c>
      <c r="B3835" s="5" t="s">
        <v>1928</v>
      </c>
      <c r="C3835" s="5" t="s">
        <v>15</v>
      </c>
      <c r="D3835" s="21">
        <v>3</v>
      </c>
      <c r="E3835" s="12">
        <v>297</v>
      </c>
      <c r="F3835" s="10" t="str">
        <f>_xlfn.XLOOKUP(C3835,menu!A:A,menu!B:B)</f>
        <v>Chicken Momos</v>
      </c>
      <c r="G3835" s="10" t="str">
        <f>_xlfn.XLOOKUP(C3835,menu!A:A,menu!C:C)</f>
        <v>Momos</v>
      </c>
      <c r="H3835" s="10">
        <f>_xlfn.XLOOKUP(C3835,menu!A:A,menu!E:E)</f>
        <v>30</v>
      </c>
      <c r="I3835" s="10">
        <f t="shared" si="59"/>
        <v>90</v>
      </c>
      <c r="K3835" s="10"/>
      <c r="L3835" s="5"/>
    </row>
    <row r="3836" spans="1:12" x14ac:dyDescent="0.25">
      <c r="A3836" s="5" t="s">
        <v>1927</v>
      </c>
      <c r="B3836" s="5" t="s">
        <v>1924</v>
      </c>
      <c r="C3836" s="5" t="s">
        <v>17</v>
      </c>
      <c r="D3836" s="21">
        <v>2</v>
      </c>
      <c r="E3836" s="12">
        <v>178</v>
      </c>
      <c r="F3836" s="10" t="str">
        <f>_xlfn.XLOOKUP(C3836,menu!A:A,menu!B:B)</f>
        <v>Paneer Momos</v>
      </c>
      <c r="G3836" s="10" t="str">
        <f>_xlfn.XLOOKUP(C3836,menu!A:A,menu!C:C)</f>
        <v>Momos</v>
      </c>
      <c r="H3836" s="10">
        <f>_xlfn.XLOOKUP(C3836,menu!A:A,menu!E:E)</f>
        <v>27</v>
      </c>
      <c r="I3836" s="10">
        <f t="shared" si="59"/>
        <v>54</v>
      </c>
      <c r="K3836" s="10"/>
      <c r="L3836" s="5"/>
    </row>
    <row r="3837" spans="1:12" x14ac:dyDescent="0.25">
      <c r="A3837" s="5" t="s">
        <v>1926</v>
      </c>
      <c r="B3837" s="5" t="s">
        <v>1924</v>
      </c>
      <c r="C3837" s="5" t="s">
        <v>46</v>
      </c>
      <c r="D3837" s="21">
        <v>4</v>
      </c>
      <c r="E3837" s="12">
        <v>596</v>
      </c>
      <c r="F3837" s="10" t="str">
        <f>_xlfn.XLOOKUP(C3837,menu!A:A,menu!B:B)</f>
        <v>Fish Finger</v>
      </c>
      <c r="G3837" s="10" t="str">
        <f>_xlfn.XLOOKUP(C3837,menu!A:A,menu!C:C)</f>
        <v>Starters</v>
      </c>
      <c r="H3837" s="10">
        <f>_xlfn.XLOOKUP(C3837,menu!A:A,menu!E:E)</f>
        <v>45</v>
      </c>
      <c r="I3837" s="10">
        <f t="shared" si="59"/>
        <v>180</v>
      </c>
      <c r="K3837" s="10"/>
      <c r="L3837" s="5"/>
    </row>
    <row r="3838" spans="1:12" x14ac:dyDescent="0.25">
      <c r="A3838" s="5" t="s">
        <v>1925</v>
      </c>
      <c r="B3838" s="5" t="s">
        <v>1924</v>
      </c>
      <c r="C3838" s="5" t="s">
        <v>33</v>
      </c>
      <c r="D3838" s="21">
        <v>1</v>
      </c>
      <c r="E3838" s="12">
        <v>69</v>
      </c>
      <c r="F3838" s="10" t="str">
        <f>_xlfn.XLOOKUP(C3838,menu!A:A,menu!B:B)</f>
        <v>Spring Roll</v>
      </c>
      <c r="G3838" s="10" t="str">
        <f>_xlfn.XLOOKUP(C3838,menu!A:A,menu!C:C)</f>
        <v>Rolls</v>
      </c>
      <c r="H3838" s="10">
        <f>_xlfn.XLOOKUP(C3838,menu!A:A,menu!E:E)</f>
        <v>21</v>
      </c>
      <c r="I3838" s="10">
        <f t="shared" si="59"/>
        <v>21</v>
      </c>
      <c r="K3838" s="10"/>
      <c r="L3838" s="5"/>
    </row>
    <row r="3839" spans="1:12" x14ac:dyDescent="0.25">
      <c r="A3839" s="5" t="s">
        <v>1923</v>
      </c>
      <c r="B3839" s="5" t="s">
        <v>1919</v>
      </c>
      <c r="C3839" s="5" t="s">
        <v>35</v>
      </c>
      <c r="D3839" s="21">
        <v>3</v>
      </c>
      <c r="E3839" s="12">
        <v>357</v>
      </c>
      <c r="F3839" s="10" t="str">
        <f>_xlfn.XLOOKUP(C3839,menu!A:A,menu!B:B)</f>
        <v>Chicken Nuggets</v>
      </c>
      <c r="G3839" s="10" t="str">
        <f>_xlfn.XLOOKUP(C3839,menu!A:A,menu!C:C)</f>
        <v>Starters</v>
      </c>
      <c r="H3839" s="10">
        <f>_xlfn.XLOOKUP(C3839,menu!A:A,menu!E:E)</f>
        <v>36</v>
      </c>
      <c r="I3839" s="10">
        <f t="shared" si="59"/>
        <v>108</v>
      </c>
      <c r="K3839" s="10"/>
      <c r="L3839" s="5"/>
    </row>
    <row r="3840" spans="1:12" x14ac:dyDescent="0.25">
      <c r="A3840" s="5" t="s">
        <v>1922</v>
      </c>
      <c r="B3840" s="5" t="s">
        <v>1919</v>
      </c>
      <c r="C3840" s="5" t="s">
        <v>15</v>
      </c>
      <c r="D3840" s="21">
        <v>3</v>
      </c>
      <c r="E3840" s="12">
        <v>297</v>
      </c>
      <c r="F3840" s="10" t="str">
        <f>_xlfn.XLOOKUP(C3840,menu!A:A,menu!B:B)</f>
        <v>Chicken Momos</v>
      </c>
      <c r="G3840" s="10" t="str">
        <f>_xlfn.XLOOKUP(C3840,menu!A:A,menu!C:C)</f>
        <v>Momos</v>
      </c>
      <c r="H3840" s="10">
        <f>_xlfn.XLOOKUP(C3840,menu!A:A,menu!E:E)</f>
        <v>30</v>
      </c>
      <c r="I3840" s="10">
        <f t="shared" si="59"/>
        <v>90</v>
      </c>
      <c r="K3840" s="10"/>
      <c r="L3840" s="5"/>
    </row>
    <row r="3841" spans="1:12" x14ac:dyDescent="0.25">
      <c r="A3841" s="5" t="s">
        <v>1921</v>
      </c>
      <c r="B3841" s="5" t="s">
        <v>1919</v>
      </c>
      <c r="C3841" s="5" t="s">
        <v>33</v>
      </c>
      <c r="D3841" s="21">
        <v>3</v>
      </c>
      <c r="E3841" s="12">
        <v>207</v>
      </c>
      <c r="F3841" s="10" t="str">
        <f>_xlfn.XLOOKUP(C3841,menu!A:A,menu!B:B)</f>
        <v>Spring Roll</v>
      </c>
      <c r="G3841" s="10" t="str">
        <f>_xlfn.XLOOKUP(C3841,menu!A:A,menu!C:C)</f>
        <v>Rolls</v>
      </c>
      <c r="H3841" s="10">
        <f>_xlfn.XLOOKUP(C3841,menu!A:A,menu!E:E)</f>
        <v>21</v>
      </c>
      <c r="I3841" s="10">
        <f t="shared" si="59"/>
        <v>63</v>
      </c>
      <c r="K3841" s="10"/>
      <c r="L3841" s="5"/>
    </row>
    <row r="3842" spans="1:12" x14ac:dyDescent="0.25">
      <c r="A3842" s="5" t="s">
        <v>1920</v>
      </c>
      <c r="B3842" s="5" t="s">
        <v>1919</v>
      </c>
      <c r="C3842" s="5" t="s">
        <v>24</v>
      </c>
      <c r="D3842" s="21">
        <v>1</v>
      </c>
      <c r="E3842" s="12">
        <v>89</v>
      </c>
      <c r="F3842" s="10" t="str">
        <f>_xlfn.XLOOKUP(C3842,menu!A:A,menu!B:B)</f>
        <v>Paneer Burger</v>
      </c>
      <c r="G3842" s="10" t="str">
        <f>_xlfn.XLOOKUP(C3842,menu!A:A,menu!C:C)</f>
        <v>Burger</v>
      </c>
      <c r="H3842" s="10">
        <f>_xlfn.XLOOKUP(C3842,menu!A:A,menu!E:E)</f>
        <v>27</v>
      </c>
      <c r="I3842" s="10">
        <f t="shared" si="59"/>
        <v>27</v>
      </c>
      <c r="K3842" s="10"/>
      <c r="L3842" s="5"/>
    </row>
    <row r="3843" spans="1:12" x14ac:dyDescent="0.25">
      <c r="A3843" s="5" t="s">
        <v>1918</v>
      </c>
      <c r="B3843" s="5" t="s">
        <v>1915</v>
      </c>
      <c r="C3843" s="5" t="s">
        <v>29</v>
      </c>
      <c r="D3843" s="21">
        <v>2</v>
      </c>
      <c r="E3843" s="12">
        <v>158</v>
      </c>
      <c r="F3843" s="10" t="str">
        <f>_xlfn.XLOOKUP(C3843,menu!A:A,menu!B:B)</f>
        <v>Paneer Roll</v>
      </c>
      <c r="G3843" s="10" t="str">
        <f>_xlfn.XLOOKUP(C3843,menu!A:A,menu!C:C)</f>
        <v>Rolls</v>
      </c>
      <c r="H3843" s="10">
        <f>_xlfn.XLOOKUP(C3843,menu!A:A,menu!E:E)</f>
        <v>24</v>
      </c>
      <c r="I3843" s="10">
        <f t="shared" ref="I3843:I3906" si="60">D3843*H3843</f>
        <v>48</v>
      </c>
      <c r="K3843" s="10"/>
      <c r="L3843" s="5"/>
    </row>
    <row r="3844" spans="1:12" x14ac:dyDescent="0.25">
      <c r="A3844" s="5" t="s">
        <v>1917</v>
      </c>
      <c r="B3844" s="5" t="s">
        <v>1915</v>
      </c>
      <c r="C3844" s="5" t="s">
        <v>31</v>
      </c>
      <c r="D3844" s="21">
        <v>1</v>
      </c>
      <c r="E3844" s="12">
        <v>89</v>
      </c>
      <c r="F3844" s="10" t="str">
        <f>_xlfn.XLOOKUP(C3844,menu!A:A,menu!B:B)</f>
        <v>Chicken Roll</v>
      </c>
      <c r="G3844" s="10" t="str">
        <f>_xlfn.XLOOKUP(C3844,menu!A:A,menu!C:C)</f>
        <v>Rolls</v>
      </c>
      <c r="H3844" s="10">
        <f>_xlfn.XLOOKUP(C3844,menu!A:A,menu!E:E)</f>
        <v>27</v>
      </c>
      <c r="I3844" s="10">
        <f t="shared" si="60"/>
        <v>27</v>
      </c>
      <c r="K3844" s="10"/>
      <c r="L3844" s="5"/>
    </row>
    <row r="3845" spans="1:12" x14ac:dyDescent="0.25">
      <c r="A3845" s="5" t="s">
        <v>1916</v>
      </c>
      <c r="B3845" s="5" t="s">
        <v>1915</v>
      </c>
      <c r="C3845" s="5" t="s">
        <v>61</v>
      </c>
      <c r="D3845" s="21">
        <v>2</v>
      </c>
      <c r="E3845" s="12">
        <v>158</v>
      </c>
      <c r="F3845" s="10" t="str">
        <f>_xlfn.XLOOKUP(C3845,menu!A:A,menu!B:B)</f>
        <v>Watermelon Mojito</v>
      </c>
      <c r="G3845" s="10" t="str">
        <f>_xlfn.XLOOKUP(C3845,menu!A:A,menu!C:C)</f>
        <v>Beverages</v>
      </c>
      <c r="H3845" s="10">
        <f>_xlfn.XLOOKUP(C3845,menu!A:A,menu!E:E)</f>
        <v>24</v>
      </c>
      <c r="I3845" s="10">
        <f t="shared" si="60"/>
        <v>48</v>
      </c>
      <c r="K3845" s="10"/>
      <c r="L3845" s="5"/>
    </row>
    <row r="3846" spans="1:12" x14ac:dyDescent="0.25">
      <c r="A3846" s="5" t="s">
        <v>1914</v>
      </c>
      <c r="B3846" s="5" t="s">
        <v>1913</v>
      </c>
      <c r="C3846" s="5" t="s">
        <v>33</v>
      </c>
      <c r="D3846" s="21">
        <v>1</v>
      </c>
      <c r="E3846" s="12">
        <v>69</v>
      </c>
      <c r="F3846" s="10" t="str">
        <f>_xlfn.XLOOKUP(C3846,menu!A:A,menu!B:B)</f>
        <v>Spring Roll</v>
      </c>
      <c r="G3846" s="10" t="str">
        <f>_xlfn.XLOOKUP(C3846,menu!A:A,menu!C:C)</f>
        <v>Rolls</v>
      </c>
      <c r="H3846" s="10">
        <f>_xlfn.XLOOKUP(C3846,menu!A:A,menu!E:E)</f>
        <v>21</v>
      </c>
      <c r="I3846" s="10">
        <f t="shared" si="60"/>
        <v>21</v>
      </c>
      <c r="K3846" s="10"/>
      <c r="L3846" s="5"/>
    </row>
    <row r="3847" spans="1:12" x14ac:dyDescent="0.25">
      <c r="A3847" s="5" t="s">
        <v>1912</v>
      </c>
      <c r="B3847" s="5" t="s">
        <v>1910</v>
      </c>
      <c r="C3847" s="5" t="s">
        <v>54</v>
      </c>
      <c r="D3847" s="21">
        <v>3</v>
      </c>
      <c r="E3847" s="12">
        <v>417</v>
      </c>
      <c r="F3847" s="10" t="str">
        <f>_xlfn.XLOOKUP(C3847,menu!A:A,menu!B:B)</f>
        <v>Chicken Strips</v>
      </c>
      <c r="G3847" s="10" t="str">
        <f>_xlfn.XLOOKUP(C3847,menu!A:A,menu!C:C)</f>
        <v>Starters</v>
      </c>
      <c r="H3847" s="10">
        <f>_xlfn.XLOOKUP(C3847,menu!A:A,menu!E:E)</f>
        <v>42</v>
      </c>
      <c r="I3847" s="10">
        <f t="shared" si="60"/>
        <v>126</v>
      </c>
      <c r="K3847" s="10"/>
      <c r="L3847" s="5"/>
    </row>
    <row r="3848" spans="1:12" x14ac:dyDescent="0.25">
      <c r="A3848" s="5" t="s">
        <v>1911</v>
      </c>
      <c r="B3848" s="5" t="s">
        <v>1910</v>
      </c>
      <c r="C3848" s="5" t="s">
        <v>46</v>
      </c>
      <c r="D3848" s="21">
        <v>3</v>
      </c>
      <c r="E3848" s="12">
        <v>447</v>
      </c>
      <c r="F3848" s="10" t="str">
        <f>_xlfn.XLOOKUP(C3848,menu!A:A,menu!B:B)</f>
        <v>Fish Finger</v>
      </c>
      <c r="G3848" s="10" t="str">
        <f>_xlfn.XLOOKUP(C3848,menu!A:A,menu!C:C)</f>
        <v>Starters</v>
      </c>
      <c r="H3848" s="10">
        <f>_xlfn.XLOOKUP(C3848,menu!A:A,menu!E:E)</f>
        <v>45</v>
      </c>
      <c r="I3848" s="10">
        <f t="shared" si="60"/>
        <v>135</v>
      </c>
      <c r="K3848" s="10"/>
      <c r="L3848" s="5"/>
    </row>
    <row r="3849" spans="1:12" x14ac:dyDescent="0.25">
      <c r="A3849" s="5" t="s">
        <v>1909</v>
      </c>
      <c r="B3849" s="5" t="s">
        <v>1906</v>
      </c>
      <c r="C3849" s="5" t="s">
        <v>56</v>
      </c>
      <c r="D3849" s="21">
        <v>1</v>
      </c>
      <c r="E3849" s="12">
        <v>79</v>
      </c>
      <c r="F3849" s="10" t="str">
        <f>_xlfn.XLOOKUP(C3849,menu!A:A,menu!B:B)</f>
        <v>Mint Mojito</v>
      </c>
      <c r="G3849" s="10" t="str">
        <f>_xlfn.XLOOKUP(C3849,menu!A:A,menu!C:C)</f>
        <v>Beverages</v>
      </c>
      <c r="H3849" s="10">
        <f>_xlfn.XLOOKUP(C3849,menu!A:A,menu!E:E)</f>
        <v>24</v>
      </c>
      <c r="I3849" s="10">
        <f t="shared" si="60"/>
        <v>24</v>
      </c>
      <c r="K3849" s="10"/>
      <c r="L3849" s="5"/>
    </row>
    <row r="3850" spans="1:12" x14ac:dyDescent="0.25">
      <c r="A3850" s="5" t="s">
        <v>1908</v>
      </c>
      <c r="B3850" s="5" t="s">
        <v>1906</v>
      </c>
      <c r="C3850" s="5" t="s">
        <v>54</v>
      </c>
      <c r="D3850" s="21">
        <v>2</v>
      </c>
      <c r="E3850" s="12">
        <v>278</v>
      </c>
      <c r="F3850" s="10" t="str">
        <f>_xlfn.XLOOKUP(C3850,menu!A:A,menu!B:B)</f>
        <v>Chicken Strips</v>
      </c>
      <c r="G3850" s="10" t="str">
        <f>_xlfn.XLOOKUP(C3850,menu!A:A,menu!C:C)</f>
        <v>Starters</v>
      </c>
      <c r="H3850" s="10">
        <f>_xlfn.XLOOKUP(C3850,menu!A:A,menu!E:E)</f>
        <v>42</v>
      </c>
      <c r="I3850" s="10">
        <f t="shared" si="60"/>
        <v>84</v>
      </c>
      <c r="K3850" s="10"/>
      <c r="L3850" s="5"/>
    </row>
    <row r="3851" spans="1:12" x14ac:dyDescent="0.25">
      <c r="A3851" s="5" t="s">
        <v>1907</v>
      </c>
      <c r="B3851" s="5" t="s">
        <v>1906</v>
      </c>
      <c r="C3851" s="5" t="s">
        <v>22</v>
      </c>
      <c r="D3851" s="21">
        <v>1</v>
      </c>
      <c r="E3851" s="12">
        <v>99</v>
      </c>
      <c r="F3851" s="10" t="str">
        <f>_xlfn.XLOOKUP(C3851,menu!A:A,menu!B:B)</f>
        <v>Chicken Burger</v>
      </c>
      <c r="G3851" s="10" t="str">
        <f>_xlfn.XLOOKUP(C3851,menu!A:A,menu!C:C)</f>
        <v>Burger</v>
      </c>
      <c r="H3851" s="10">
        <f>_xlfn.XLOOKUP(C3851,menu!A:A,menu!E:E)</f>
        <v>30</v>
      </c>
      <c r="I3851" s="10">
        <f t="shared" si="60"/>
        <v>30</v>
      </c>
      <c r="K3851" s="10"/>
      <c r="L3851" s="5"/>
    </row>
    <row r="3852" spans="1:12" x14ac:dyDescent="0.25">
      <c r="A3852" s="5" t="s">
        <v>1905</v>
      </c>
      <c r="B3852" s="5" t="s">
        <v>1901</v>
      </c>
      <c r="C3852" s="5" t="s">
        <v>63</v>
      </c>
      <c r="D3852" s="21">
        <v>1</v>
      </c>
      <c r="E3852" s="12">
        <v>79</v>
      </c>
      <c r="F3852" s="10" t="str">
        <f>_xlfn.XLOOKUP(C3852,menu!A:A,menu!B:B)</f>
        <v>Virgin Mojito</v>
      </c>
      <c r="G3852" s="10" t="str">
        <f>_xlfn.XLOOKUP(C3852,menu!A:A,menu!C:C)</f>
        <v>Beverages</v>
      </c>
      <c r="H3852" s="10">
        <f>_xlfn.XLOOKUP(C3852,menu!A:A,menu!E:E)</f>
        <v>24</v>
      </c>
      <c r="I3852" s="10">
        <f t="shared" si="60"/>
        <v>24</v>
      </c>
      <c r="K3852" s="10"/>
      <c r="L3852" s="5"/>
    </row>
    <row r="3853" spans="1:12" x14ac:dyDescent="0.25">
      <c r="A3853" s="5" t="s">
        <v>1904</v>
      </c>
      <c r="B3853" s="5" t="s">
        <v>1901</v>
      </c>
      <c r="C3853" s="5" t="s">
        <v>35</v>
      </c>
      <c r="D3853" s="21">
        <v>3</v>
      </c>
      <c r="E3853" s="12">
        <v>357</v>
      </c>
      <c r="F3853" s="10" t="str">
        <f>_xlfn.XLOOKUP(C3853,menu!A:A,menu!B:B)</f>
        <v>Chicken Nuggets</v>
      </c>
      <c r="G3853" s="10" t="str">
        <f>_xlfn.XLOOKUP(C3853,menu!A:A,menu!C:C)</f>
        <v>Starters</v>
      </c>
      <c r="H3853" s="10">
        <f>_xlfn.XLOOKUP(C3853,menu!A:A,menu!E:E)</f>
        <v>36</v>
      </c>
      <c r="I3853" s="10">
        <f t="shared" si="60"/>
        <v>108</v>
      </c>
      <c r="K3853" s="10"/>
      <c r="L3853" s="5"/>
    </row>
    <row r="3854" spans="1:12" x14ac:dyDescent="0.25">
      <c r="A3854" s="5" t="s">
        <v>1903</v>
      </c>
      <c r="B3854" s="5" t="s">
        <v>1901</v>
      </c>
      <c r="C3854" s="5" t="s">
        <v>56</v>
      </c>
      <c r="D3854" s="21">
        <v>1</v>
      </c>
      <c r="E3854" s="12">
        <v>79</v>
      </c>
      <c r="F3854" s="10" t="str">
        <f>_xlfn.XLOOKUP(C3854,menu!A:A,menu!B:B)</f>
        <v>Mint Mojito</v>
      </c>
      <c r="G3854" s="10" t="str">
        <f>_xlfn.XLOOKUP(C3854,menu!A:A,menu!C:C)</f>
        <v>Beverages</v>
      </c>
      <c r="H3854" s="10">
        <f>_xlfn.XLOOKUP(C3854,menu!A:A,menu!E:E)</f>
        <v>24</v>
      </c>
      <c r="I3854" s="10">
        <f t="shared" si="60"/>
        <v>24</v>
      </c>
      <c r="K3854" s="10"/>
      <c r="L3854" s="5"/>
    </row>
    <row r="3855" spans="1:12" x14ac:dyDescent="0.25">
      <c r="A3855" s="5" t="s">
        <v>1902</v>
      </c>
      <c r="B3855" s="5" t="s">
        <v>1901</v>
      </c>
      <c r="C3855" s="5" t="s">
        <v>48</v>
      </c>
      <c r="D3855" s="21">
        <v>2</v>
      </c>
      <c r="E3855" s="12">
        <v>318</v>
      </c>
      <c r="F3855" s="10" t="str">
        <f>_xlfn.XLOOKUP(C3855,menu!A:A,menu!B:B)</f>
        <v>Chicken Lollipop</v>
      </c>
      <c r="G3855" s="10" t="str">
        <f>_xlfn.XLOOKUP(C3855,menu!A:A,menu!C:C)</f>
        <v>Starters</v>
      </c>
      <c r="H3855" s="10">
        <f>_xlfn.XLOOKUP(C3855,menu!A:A,menu!E:E)</f>
        <v>48</v>
      </c>
      <c r="I3855" s="10">
        <f t="shared" si="60"/>
        <v>96</v>
      </c>
      <c r="K3855" s="10"/>
      <c r="L3855" s="5"/>
    </row>
    <row r="3856" spans="1:12" x14ac:dyDescent="0.25">
      <c r="A3856" s="5" t="s">
        <v>1900</v>
      </c>
      <c r="B3856" s="5" t="s">
        <v>1898</v>
      </c>
      <c r="C3856" s="5" t="s">
        <v>56</v>
      </c>
      <c r="D3856" s="21">
        <v>2</v>
      </c>
      <c r="E3856" s="12">
        <v>158</v>
      </c>
      <c r="F3856" s="10" t="str">
        <f>_xlfn.XLOOKUP(C3856,menu!A:A,menu!B:B)</f>
        <v>Mint Mojito</v>
      </c>
      <c r="G3856" s="10" t="str">
        <f>_xlfn.XLOOKUP(C3856,menu!A:A,menu!C:C)</f>
        <v>Beverages</v>
      </c>
      <c r="H3856" s="10">
        <f>_xlfn.XLOOKUP(C3856,menu!A:A,menu!E:E)</f>
        <v>24</v>
      </c>
      <c r="I3856" s="10">
        <f t="shared" si="60"/>
        <v>48</v>
      </c>
      <c r="K3856" s="10"/>
      <c r="L3856" s="5"/>
    </row>
    <row r="3857" spans="1:12" x14ac:dyDescent="0.25">
      <c r="A3857" s="5" t="s">
        <v>1899</v>
      </c>
      <c r="B3857" s="5" t="s">
        <v>1898</v>
      </c>
      <c r="C3857" s="5" t="s">
        <v>44</v>
      </c>
      <c r="D3857" s="21">
        <v>4</v>
      </c>
      <c r="E3857" s="12">
        <v>636</v>
      </c>
      <c r="F3857" s="10" t="str">
        <f>_xlfn.XLOOKUP(C3857,menu!A:A,menu!B:B)</f>
        <v>Fried Chicken</v>
      </c>
      <c r="G3857" s="10" t="str">
        <f>_xlfn.XLOOKUP(C3857,menu!A:A,menu!C:C)</f>
        <v>Starters</v>
      </c>
      <c r="H3857" s="10">
        <f>_xlfn.XLOOKUP(C3857,menu!A:A,menu!E:E)</f>
        <v>48</v>
      </c>
      <c r="I3857" s="10">
        <f t="shared" si="60"/>
        <v>192</v>
      </c>
      <c r="K3857" s="10"/>
      <c r="L3857" s="5"/>
    </row>
    <row r="3858" spans="1:12" x14ac:dyDescent="0.25">
      <c r="A3858" s="5" t="s">
        <v>1897</v>
      </c>
      <c r="B3858" s="5" t="s">
        <v>1895</v>
      </c>
      <c r="C3858" s="5" t="s">
        <v>19</v>
      </c>
      <c r="D3858" s="21">
        <v>1</v>
      </c>
      <c r="E3858" s="12">
        <v>79</v>
      </c>
      <c r="F3858" s="10" t="str">
        <f>_xlfn.XLOOKUP(C3858,menu!A:A,menu!B:B)</f>
        <v>Veg Burger</v>
      </c>
      <c r="G3858" s="10" t="str">
        <f>_xlfn.XLOOKUP(C3858,menu!A:A,menu!C:C)</f>
        <v>Burger</v>
      </c>
      <c r="H3858" s="10">
        <f>_xlfn.XLOOKUP(C3858,menu!A:A,menu!E:E)</f>
        <v>24</v>
      </c>
      <c r="I3858" s="10">
        <f t="shared" si="60"/>
        <v>24</v>
      </c>
      <c r="K3858" s="10"/>
      <c r="L3858" s="5"/>
    </row>
    <row r="3859" spans="1:12" x14ac:dyDescent="0.25">
      <c r="A3859" s="5" t="s">
        <v>1896</v>
      </c>
      <c r="B3859" s="5" t="s">
        <v>1895</v>
      </c>
      <c r="C3859" s="5" t="s">
        <v>33</v>
      </c>
      <c r="D3859" s="21">
        <v>3</v>
      </c>
      <c r="E3859" s="12">
        <v>207</v>
      </c>
      <c r="F3859" s="10" t="str">
        <f>_xlfn.XLOOKUP(C3859,menu!A:A,menu!B:B)</f>
        <v>Spring Roll</v>
      </c>
      <c r="G3859" s="10" t="str">
        <f>_xlfn.XLOOKUP(C3859,menu!A:A,menu!C:C)</f>
        <v>Rolls</v>
      </c>
      <c r="H3859" s="10">
        <f>_xlfn.XLOOKUP(C3859,menu!A:A,menu!E:E)</f>
        <v>21</v>
      </c>
      <c r="I3859" s="10">
        <f t="shared" si="60"/>
        <v>63</v>
      </c>
      <c r="K3859" s="10"/>
      <c r="L3859" s="5"/>
    </row>
    <row r="3860" spans="1:12" x14ac:dyDescent="0.25">
      <c r="A3860" s="5" t="s">
        <v>1894</v>
      </c>
      <c r="B3860" s="5" t="s">
        <v>1891</v>
      </c>
      <c r="C3860" s="5" t="s">
        <v>38</v>
      </c>
      <c r="D3860" s="21">
        <v>1</v>
      </c>
      <c r="E3860" s="12">
        <v>149</v>
      </c>
      <c r="F3860" s="10" t="str">
        <f>_xlfn.XLOOKUP(C3860,menu!A:A,menu!B:B)</f>
        <v>Chicken Wings</v>
      </c>
      <c r="G3860" s="10" t="str">
        <f>_xlfn.XLOOKUP(C3860,menu!A:A,menu!C:C)</f>
        <v>Starters</v>
      </c>
      <c r="H3860" s="10">
        <f>_xlfn.XLOOKUP(C3860,menu!A:A,menu!E:E)</f>
        <v>45</v>
      </c>
      <c r="I3860" s="10">
        <f t="shared" si="60"/>
        <v>45</v>
      </c>
      <c r="K3860" s="10"/>
      <c r="L3860" s="5"/>
    </row>
    <row r="3861" spans="1:12" x14ac:dyDescent="0.25">
      <c r="A3861" s="5" t="s">
        <v>1893</v>
      </c>
      <c r="B3861" s="5" t="s">
        <v>1891</v>
      </c>
      <c r="C3861" s="5" t="s">
        <v>22</v>
      </c>
      <c r="D3861" s="21">
        <v>1</v>
      </c>
      <c r="E3861" s="12">
        <v>99</v>
      </c>
      <c r="F3861" s="10" t="str">
        <f>_xlfn.XLOOKUP(C3861,menu!A:A,menu!B:B)</f>
        <v>Chicken Burger</v>
      </c>
      <c r="G3861" s="10" t="str">
        <f>_xlfn.XLOOKUP(C3861,menu!A:A,menu!C:C)</f>
        <v>Burger</v>
      </c>
      <c r="H3861" s="10">
        <f>_xlfn.XLOOKUP(C3861,menu!A:A,menu!E:E)</f>
        <v>30</v>
      </c>
      <c r="I3861" s="10">
        <f t="shared" si="60"/>
        <v>30</v>
      </c>
      <c r="K3861" s="10"/>
      <c r="L3861" s="5"/>
    </row>
    <row r="3862" spans="1:12" x14ac:dyDescent="0.25">
      <c r="A3862" s="5" t="s">
        <v>1892</v>
      </c>
      <c r="B3862" s="5" t="s">
        <v>1891</v>
      </c>
      <c r="C3862" s="5" t="s">
        <v>48</v>
      </c>
      <c r="D3862" s="21">
        <v>5</v>
      </c>
      <c r="E3862" s="12">
        <v>795</v>
      </c>
      <c r="F3862" s="10" t="str">
        <f>_xlfn.XLOOKUP(C3862,menu!A:A,menu!B:B)</f>
        <v>Chicken Lollipop</v>
      </c>
      <c r="G3862" s="10" t="str">
        <f>_xlfn.XLOOKUP(C3862,menu!A:A,menu!C:C)</f>
        <v>Starters</v>
      </c>
      <c r="H3862" s="10">
        <f>_xlfn.XLOOKUP(C3862,menu!A:A,menu!E:E)</f>
        <v>48</v>
      </c>
      <c r="I3862" s="10">
        <f t="shared" si="60"/>
        <v>240</v>
      </c>
      <c r="K3862" s="10"/>
      <c r="L3862" s="5"/>
    </row>
    <row r="3863" spans="1:12" x14ac:dyDescent="0.25">
      <c r="A3863" s="5" t="s">
        <v>1890</v>
      </c>
      <c r="B3863" s="5" t="s">
        <v>1886</v>
      </c>
      <c r="C3863" s="5" t="s">
        <v>61</v>
      </c>
      <c r="D3863" s="21">
        <v>2</v>
      </c>
      <c r="E3863" s="12">
        <v>158</v>
      </c>
      <c r="F3863" s="10" t="str">
        <f>_xlfn.XLOOKUP(C3863,menu!A:A,menu!B:B)</f>
        <v>Watermelon Mojito</v>
      </c>
      <c r="G3863" s="10" t="str">
        <f>_xlfn.XLOOKUP(C3863,menu!A:A,menu!C:C)</f>
        <v>Beverages</v>
      </c>
      <c r="H3863" s="10">
        <f>_xlfn.XLOOKUP(C3863,menu!A:A,menu!E:E)</f>
        <v>24</v>
      </c>
      <c r="I3863" s="10">
        <f t="shared" si="60"/>
        <v>48</v>
      </c>
      <c r="K3863" s="10"/>
      <c r="L3863" s="5"/>
    </row>
    <row r="3864" spans="1:12" x14ac:dyDescent="0.25">
      <c r="A3864" s="5" t="s">
        <v>1889</v>
      </c>
      <c r="B3864" s="5" t="s">
        <v>1886</v>
      </c>
      <c r="C3864" s="5" t="s">
        <v>42</v>
      </c>
      <c r="D3864" s="21">
        <v>3</v>
      </c>
      <c r="E3864" s="12">
        <v>447</v>
      </c>
      <c r="F3864" s="10" t="str">
        <f>_xlfn.XLOOKUP(C3864,menu!A:A,menu!B:B)</f>
        <v>Chicken Popcorn</v>
      </c>
      <c r="G3864" s="10" t="str">
        <f>_xlfn.XLOOKUP(C3864,menu!A:A,menu!C:C)</f>
        <v>Starters</v>
      </c>
      <c r="H3864" s="10">
        <f>_xlfn.XLOOKUP(C3864,menu!A:A,menu!E:E)</f>
        <v>45</v>
      </c>
      <c r="I3864" s="10">
        <f t="shared" si="60"/>
        <v>135</v>
      </c>
      <c r="K3864" s="10"/>
      <c r="L3864" s="5"/>
    </row>
    <row r="3865" spans="1:12" x14ac:dyDescent="0.25">
      <c r="A3865" s="5" t="s">
        <v>1888</v>
      </c>
      <c r="B3865" s="5" t="s">
        <v>1886</v>
      </c>
      <c r="C3865" s="5" t="s">
        <v>46</v>
      </c>
      <c r="D3865" s="21">
        <v>1</v>
      </c>
      <c r="E3865" s="12">
        <v>149</v>
      </c>
      <c r="F3865" s="10" t="str">
        <f>_xlfn.XLOOKUP(C3865,menu!A:A,menu!B:B)</f>
        <v>Fish Finger</v>
      </c>
      <c r="G3865" s="10" t="str">
        <f>_xlfn.XLOOKUP(C3865,menu!A:A,menu!C:C)</f>
        <v>Starters</v>
      </c>
      <c r="H3865" s="10">
        <f>_xlfn.XLOOKUP(C3865,menu!A:A,menu!E:E)</f>
        <v>45</v>
      </c>
      <c r="I3865" s="10">
        <f t="shared" si="60"/>
        <v>45</v>
      </c>
      <c r="K3865" s="10"/>
      <c r="L3865" s="5"/>
    </row>
    <row r="3866" spans="1:12" x14ac:dyDescent="0.25">
      <c r="A3866" s="5" t="s">
        <v>1887</v>
      </c>
      <c r="B3866" s="5" t="s">
        <v>1886</v>
      </c>
      <c r="C3866" s="5" t="s">
        <v>38</v>
      </c>
      <c r="D3866" s="21">
        <v>1</v>
      </c>
      <c r="E3866" s="12">
        <v>149</v>
      </c>
      <c r="F3866" s="10" t="str">
        <f>_xlfn.XLOOKUP(C3866,menu!A:A,menu!B:B)</f>
        <v>Chicken Wings</v>
      </c>
      <c r="G3866" s="10" t="str">
        <f>_xlfn.XLOOKUP(C3866,menu!A:A,menu!C:C)</f>
        <v>Starters</v>
      </c>
      <c r="H3866" s="10">
        <f>_xlfn.XLOOKUP(C3866,menu!A:A,menu!E:E)</f>
        <v>45</v>
      </c>
      <c r="I3866" s="10">
        <f t="shared" si="60"/>
        <v>45</v>
      </c>
      <c r="K3866" s="10"/>
      <c r="L3866" s="5"/>
    </row>
    <row r="3867" spans="1:12" x14ac:dyDescent="0.25">
      <c r="A3867" s="5" t="s">
        <v>1885</v>
      </c>
      <c r="B3867" s="5" t="s">
        <v>1883</v>
      </c>
      <c r="C3867" s="5" t="s">
        <v>40</v>
      </c>
      <c r="D3867" s="21">
        <v>1</v>
      </c>
      <c r="E3867" s="12">
        <v>99</v>
      </c>
      <c r="F3867" s="10" t="str">
        <f>_xlfn.XLOOKUP(C3867,menu!A:A,menu!B:B)</f>
        <v>Veg Nuggets</v>
      </c>
      <c r="G3867" s="10" t="str">
        <f>_xlfn.XLOOKUP(C3867,menu!A:A,menu!C:C)</f>
        <v>Starters</v>
      </c>
      <c r="H3867" s="10">
        <f>_xlfn.XLOOKUP(C3867,menu!A:A,menu!E:E)</f>
        <v>30</v>
      </c>
      <c r="I3867" s="10">
        <f t="shared" si="60"/>
        <v>30</v>
      </c>
      <c r="K3867" s="10"/>
      <c r="L3867" s="5"/>
    </row>
    <row r="3868" spans="1:12" x14ac:dyDescent="0.25">
      <c r="A3868" s="5" t="s">
        <v>1884</v>
      </c>
      <c r="B3868" s="5" t="s">
        <v>1883</v>
      </c>
      <c r="C3868" s="5" t="s">
        <v>29</v>
      </c>
      <c r="D3868" s="21">
        <v>2</v>
      </c>
      <c r="E3868" s="12">
        <v>158</v>
      </c>
      <c r="F3868" s="10" t="str">
        <f>_xlfn.XLOOKUP(C3868,menu!A:A,menu!B:B)</f>
        <v>Paneer Roll</v>
      </c>
      <c r="G3868" s="10" t="str">
        <f>_xlfn.XLOOKUP(C3868,menu!A:A,menu!C:C)</f>
        <v>Rolls</v>
      </c>
      <c r="H3868" s="10">
        <f>_xlfn.XLOOKUP(C3868,menu!A:A,menu!E:E)</f>
        <v>24</v>
      </c>
      <c r="I3868" s="10">
        <f t="shared" si="60"/>
        <v>48</v>
      </c>
      <c r="K3868" s="10"/>
      <c r="L3868" s="5"/>
    </row>
    <row r="3869" spans="1:12" x14ac:dyDescent="0.25">
      <c r="A3869" s="5" t="s">
        <v>1882</v>
      </c>
      <c r="B3869" s="5" t="s">
        <v>1878</v>
      </c>
      <c r="C3869" s="5" t="s">
        <v>52</v>
      </c>
      <c r="D3869" s="21">
        <v>1</v>
      </c>
      <c r="E3869" s="12">
        <v>99</v>
      </c>
      <c r="F3869" s="10" t="str">
        <f>_xlfn.XLOOKUP(C3869,menu!A:A,menu!B:B)</f>
        <v>French Fries</v>
      </c>
      <c r="G3869" s="10" t="str">
        <f>_xlfn.XLOOKUP(C3869,menu!A:A,menu!C:C)</f>
        <v>Starters</v>
      </c>
      <c r="H3869" s="10">
        <f>_xlfn.XLOOKUP(C3869,menu!A:A,menu!E:E)</f>
        <v>30</v>
      </c>
      <c r="I3869" s="10">
        <f t="shared" si="60"/>
        <v>30</v>
      </c>
      <c r="K3869" s="10"/>
      <c r="L3869" s="5"/>
    </row>
    <row r="3870" spans="1:12" x14ac:dyDescent="0.25">
      <c r="A3870" s="5" t="s">
        <v>1881</v>
      </c>
      <c r="B3870" s="5" t="s">
        <v>1878</v>
      </c>
      <c r="C3870" s="5" t="s">
        <v>54</v>
      </c>
      <c r="D3870" s="21">
        <v>4</v>
      </c>
      <c r="E3870" s="12">
        <v>556</v>
      </c>
      <c r="F3870" s="10" t="str">
        <f>_xlfn.XLOOKUP(C3870,menu!A:A,menu!B:B)</f>
        <v>Chicken Strips</v>
      </c>
      <c r="G3870" s="10" t="str">
        <f>_xlfn.XLOOKUP(C3870,menu!A:A,menu!C:C)</f>
        <v>Starters</v>
      </c>
      <c r="H3870" s="10">
        <f>_xlfn.XLOOKUP(C3870,menu!A:A,menu!E:E)</f>
        <v>42</v>
      </c>
      <c r="I3870" s="10">
        <f t="shared" si="60"/>
        <v>168</v>
      </c>
      <c r="K3870" s="10"/>
      <c r="L3870" s="5"/>
    </row>
    <row r="3871" spans="1:12" x14ac:dyDescent="0.25">
      <c r="A3871" s="5" t="s">
        <v>1880</v>
      </c>
      <c r="B3871" s="5" t="s">
        <v>1878</v>
      </c>
      <c r="C3871" s="5" t="s">
        <v>63</v>
      </c>
      <c r="D3871" s="21">
        <v>1</v>
      </c>
      <c r="E3871" s="12">
        <v>79</v>
      </c>
      <c r="F3871" s="10" t="str">
        <f>_xlfn.XLOOKUP(C3871,menu!A:A,menu!B:B)</f>
        <v>Virgin Mojito</v>
      </c>
      <c r="G3871" s="10" t="str">
        <f>_xlfn.XLOOKUP(C3871,menu!A:A,menu!C:C)</f>
        <v>Beverages</v>
      </c>
      <c r="H3871" s="10">
        <f>_xlfn.XLOOKUP(C3871,menu!A:A,menu!E:E)</f>
        <v>24</v>
      </c>
      <c r="I3871" s="10">
        <f t="shared" si="60"/>
        <v>24</v>
      </c>
      <c r="K3871" s="10"/>
      <c r="L3871" s="5"/>
    </row>
    <row r="3872" spans="1:12" x14ac:dyDescent="0.25">
      <c r="A3872" s="5" t="s">
        <v>1879</v>
      </c>
      <c r="B3872" s="5" t="s">
        <v>1878</v>
      </c>
      <c r="C3872" s="5" t="s">
        <v>31</v>
      </c>
      <c r="D3872" s="21">
        <v>1</v>
      </c>
      <c r="E3872" s="12">
        <v>89</v>
      </c>
      <c r="F3872" s="10" t="str">
        <f>_xlfn.XLOOKUP(C3872,menu!A:A,menu!B:B)</f>
        <v>Chicken Roll</v>
      </c>
      <c r="G3872" s="10" t="str">
        <f>_xlfn.XLOOKUP(C3872,menu!A:A,menu!C:C)</f>
        <v>Rolls</v>
      </c>
      <c r="H3872" s="10">
        <f>_xlfn.XLOOKUP(C3872,menu!A:A,menu!E:E)</f>
        <v>27</v>
      </c>
      <c r="I3872" s="10">
        <f t="shared" si="60"/>
        <v>27</v>
      </c>
      <c r="K3872" s="10"/>
      <c r="L3872" s="5"/>
    </row>
    <row r="3873" spans="1:12" x14ac:dyDescent="0.25">
      <c r="A3873" s="5" t="s">
        <v>1877</v>
      </c>
      <c r="B3873" s="5" t="s">
        <v>1874</v>
      </c>
      <c r="C3873" s="5" t="s">
        <v>50</v>
      </c>
      <c r="D3873" s="21">
        <v>1</v>
      </c>
      <c r="E3873" s="12">
        <v>149</v>
      </c>
      <c r="F3873" s="10" t="str">
        <f>_xlfn.XLOOKUP(C3873,menu!A:A,menu!B:B)</f>
        <v>Grab Lollipop</v>
      </c>
      <c r="G3873" s="10" t="str">
        <f>_xlfn.XLOOKUP(C3873,menu!A:A,menu!C:C)</f>
        <v>Starters</v>
      </c>
      <c r="H3873" s="10">
        <f>_xlfn.XLOOKUP(C3873,menu!A:A,menu!E:E)</f>
        <v>45</v>
      </c>
      <c r="I3873" s="10">
        <f t="shared" si="60"/>
        <v>45</v>
      </c>
      <c r="K3873" s="10"/>
      <c r="L3873" s="5"/>
    </row>
    <row r="3874" spans="1:12" x14ac:dyDescent="0.25">
      <c r="A3874" s="5" t="s">
        <v>1876</v>
      </c>
      <c r="B3874" s="5" t="s">
        <v>1874</v>
      </c>
      <c r="C3874" s="5" t="s">
        <v>42</v>
      </c>
      <c r="D3874" s="21">
        <v>2</v>
      </c>
      <c r="E3874" s="12">
        <v>298</v>
      </c>
      <c r="F3874" s="10" t="str">
        <f>_xlfn.XLOOKUP(C3874,menu!A:A,menu!B:B)</f>
        <v>Chicken Popcorn</v>
      </c>
      <c r="G3874" s="10" t="str">
        <f>_xlfn.XLOOKUP(C3874,menu!A:A,menu!C:C)</f>
        <v>Starters</v>
      </c>
      <c r="H3874" s="10">
        <f>_xlfn.XLOOKUP(C3874,menu!A:A,menu!E:E)</f>
        <v>45</v>
      </c>
      <c r="I3874" s="10">
        <f t="shared" si="60"/>
        <v>90</v>
      </c>
      <c r="K3874" s="10"/>
      <c r="L3874" s="5"/>
    </row>
    <row r="3875" spans="1:12" x14ac:dyDescent="0.25">
      <c r="A3875" s="5" t="s">
        <v>1875</v>
      </c>
      <c r="B3875" s="5" t="s">
        <v>1874</v>
      </c>
      <c r="C3875" s="5" t="s">
        <v>48</v>
      </c>
      <c r="D3875" s="21">
        <v>1</v>
      </c>
      <c r="E3875" s="12">
        <v>159</v>
      </c>
      <c r="F3875" s="10" t="str">
        <f>_xlfn.XLOOKUP(C3875,menu!A:A,menu!B:B)</f>
        <v>Chicken Lollipop</v>
      </c>
      <c r="G3875" s="10" t="str">
        <f>_xlfn.XLOOKUP(C3875,menu!A:A,menu!C:C)</f>
        <v>Starters</v>
      </c>
      <c r="H3875" s="10">
        <f>_xlfn.XLOOKUP(C3875,menu!A:A,menu!E:E)</f>
        <v>48</v>
      </c>
      <c r="I3875" s="10">
        <f t="shared" si="60"/>
        <v>48</v>
      </c>
      <c r="K3875" s="10"/>
      <c r="L3875" s="5"/>
    </row>
    <row r="3876" spans="1:12" x14ac:dyDescent="0.25">
      <c r="A3876" s="5" t="s">
        <v>1873</v>
      </c>
      <c r="B3876" s="5" t="s">
        <v>1870</v>
      </c>
      <c r="C3876" s="5" t="s">
        <v>44</v>
      </c>
      <c r="D3876" s="21">
        <v>2</v>
      </c>
      <c r="E3876" s="12">
        <v>318</v>
      </c>
      <c r="F3876" s="10" t="str">
        <f>_xlfn.XLOOKUP(C3876,menu!A:A,menu!B:B)</f>
        <v>Fried Chicken</v>
      </c>
      <c r="G3876" s="10" t="str">
        <f>_xlfn.XLOOKUP(C3876,menu!A:A,menu!C:C)</f>
        <v>Starters</v>
      </c>
      <c r="H3876" s="10">
        <f>_xlfn.XLOOKUP(C3876,menu!A:A,menu!E:E)</f>
        <v>48</v>
      </c>
      <c r="I3876" s="10">
        <f t="shared" si="60"/>
        <v>96</v>
      </c>
      <c r="K3876" s="10"/>
      <c r="L3876" s="5"/>
    </row>
    <row r="3877" spans="1:12" x14ac:dyDescent="0.25">
      <c r="A3877" s="5" t="s">
        <v>1872</v>
      </c>
      <c r="B3877" s="5" t="s">
        <v>1870</v>
      </c>
      <c r="C3877" s="5" t="s">
        <v>46</v>
      </c>
      <c r="D3877" s="21">
        <v>2</v>
      </c>
      <c r="E3877" s="12">
        <v>298</v>
      </c>
      <c r="F3877" s="10" t="str">
        <f>_xlfn.XLOOKUP(C3877,menu!A:A,menu!B:B)</f>
        <v>Fish Finger</v>
      </c>
      <c r="G3877" s="10" t="str">
        <f>_xlfn.XLOOKUP(C3877,menu!A:A,menu!C:C)</f>
        <v>Starters</v>
      </c>
      <c r="H3877" s="10">
        <f>_xlfn.XLOOKUP(C3877,menu!A:A,menu!E:E)</f>
        <v>45</v>
      </c>
      <c r="I3877" s="10">
        <f t="shared" si="60"/>
        <v>90</v>
      </c>
      <c r="K3877" s="10"/>
      <c r="L3877" s="5"/>
    </row>
    <row r="3878" spans="1:12" x14ac:dyDescent="0.25">
      <c r="A3878" s="5" t="s">
        <v>1871</v>
      </c>
      <c r="B3878" s="5" t="s">
        <v>1870</v>
      </c>
      <c r="C3878" s="5" t="s">
        <v>22</v>
      </c>
      <c r="D3878" s="21">
        <v>1</v>
      </c>
      <c r="E3878" s="12">
        <v>99</v>
      </c>
      <c r="F3878" s="10" t="str">
        <f>_xlfn.XLOOKUP(C3878,menu!A:A,menu!B:B)</f>
        <v>Chicken Burger</v>
      </c>
      <c r="G3878" s="10" t="str">
        <f>_xlfn.XLOOKUP(C3878,menu!A:A,menu!C:C)</f>
        <v>Burger</v>
      </c>
      <c r="H3878" s="10">
        <f>_xlfn.XLOOKUP(C3878,menu!A:A,menu!E:E)</f>
        <v>30</v>
      </c>
      <c r="I3878" s="10">
        <f t="shared" si="60"/>
        <v>30</v>
      </c>
      <c r="K3878" s="10"/>
      <c r="L3878" s="5"/>
    </row>
    <row r="3879" spans="1:12" x14ac:dyDescent="0.25">
      <c r="A3879" s="5" t="s">
        <v>1869</v>
      </c>
      <c r="B3879" s="5" t="s">
        <v>1868</v>
      </c>
      <c r="C3879" s="5" t="s">
        <v>54</v>
      </c>
      <c r="D3879" s="21">
        <v>2</v>
      </c>
      <c r="E3879" s="12">
        <v>278</v>
      </c>
      <c r="F3879" s="10" t="str">
        <f>_xlfn.XLOOKUP(C3879,menu!A:A,menu!B:B)</f>
        <v>Chicken Strips</v>
      </c>
      <c r="G3879" s="10" t="str">
        <f>_xlfn.XLOOKUP(C3879,menu!A:A,menu!C:C)</f>
        <v>Starters</v>
      </c>
      <c r="H3879" s="10">
        <f>_xlfn.XLOOKUP(C3879,menu!A:A,menu!E:E)</f>
        <v>42</v>
      </c>
      <c r="I3879" s="10">
        <f t="shared" si="60"/>
        <v>84</v>
      </c>
      <c r="K3879" s="10"/>
      <c r="L3879" s="5"/>
    </row>
    <row r="3880" spans="1:12" x14ac:dyDescent="0.25">
      <c r="A3880" s="5" t="s">
        <v>1867</v>
      </c>
      <c r="B3880" s="5" t="s">
        <v>1864</v>
      </c>
      <c r="C3880" s="5" t="s">
        <v>40</v>
      </c>
      <c r="D3880" s="21">
        <v>1</v>
      </c>
      <c r="E3880" s="12">
        <v>99</v>
      </c>
      <c r="F3880" s="10" t="str">
        <f>_xlfn.XLOOKUP(C3880,menu!A:A,menu!B:B)</f>
        <v>Veg Nuggets</v>
      </c>
      <c r="G3880" s="10" t="str">
        <f>_xlfn.XLOOKUP(C3880,menu!A:A,menu!C:C)</f>
        <v>Starters</v>
      </c>
      <c r="H3880" s="10">
        <f>_xlfn.XLOOKUP(C3880,menu!A:A,menu!E:E)</f>
        <v>30</v>
      </c>
      <c r="I3880" s="10">
        <f t="shared" si="60"/>
        <v>30</v>
      </c>
      <c r="K3880" s="10"/>
      <c r="L3880" s="5"/>
    </row>
    <row r="3881" spans="1:12" x14ac:dyDescent="0.25">
      <c r="A3881" s="5" t="s">
        <v>1866</v>
      </c>
      <c r="B3881" s="5" t="s">
        <v>1864</v>
      </c>
      <c r="C3881" s="5" t="s">
        <v>38</v>
      </c>
      <c r="D3881" s="21">
        <v>1</v>
      </c>
      <c r="E3881" s="12">
        <v>149</v>
      </c>
      <c r="F3881" s="10" t="str">
        <f>_xlfn.XLOOKUP(C3881,menu!A:A,menu!B:B)</f>
        <v>Chicken Wings</v>
      </c>
      <c r="G3881" s="10" t="str">
        <f>_xlfn.XLOOKUP(C3881,menu!A:A,menu!C:C)</f>
        <v>Starters</v>
      </c>
      <c r="H3881" s="10">
        <f>_xlfn.XLOOKUP(C3881,menu!A:A,menu!E:E)</f>
        <v>45</v>
      </c>
      <c r="I3881" s="10">
        <f t="shared" si="60"/>
        <v>45</v>
      </c>
      <c r="K3881" s="10"/>
      <c r="L3881" s="5"/>
    </row>
    <row r="3882" spans="1:12" x14ac:dyDescent="0.25">
      <c r="A3882" s="5" t="s">
        <v>1865</v>
      </c>
      <c r="B3882" s="5" t="s">
        <v>1864</v>
      </c>
      <c r="C3882" s="5" t="s">
        <v>48</v>
      </c>
      <c r="D3882" s="21">
        <v>1</v>
      </c>
      <c r="E3882" s="12">
        <v>159</v>
      </c>
      <c r="F3882" s="10" t="str">
        <f>_xlfn.XLOOKUP(C3882,menu!A:A,menu!B:B)</f>
        <v>Chicken Lollipop</v>
      </c>
      <c r="G3882" s="10" t="str">
        <f>_xlfn.XLOOKUP(C3882,menu!A:A,menu!C:C)</f>
        <v>Starters</v>
      </c>
      <c r="H3882" s="10">
        <f>_xlfn.XLOOKUP(C3882,menu!A:A,menu!E:E)</f>
        <v>48</v>
      </c>
      <c r="I3882" s="10">
        <f t="shared" si="60"/>
        <v>48</v>
      </c>
      <c r="K3882" s="10"/>
      <c r="L3882" s="5"/>
    </row>
    <row r="3883" spans="1:12" x14ac:dyDescent="0.25">
      <c r="A3883" s="5" t="s">
        <v>1863</v>
      </c>
      <c r="B3883" s="5" t="s">
        <v>1861</v>
      </c>
      <c r="C3883" s="5" t="s">
        <v>42</v>
      </c>
      <c r="D3883" s="21">
        <v>1</v>
      </c>
      <c r="E3883" s="12">
        <v>149</v>
      </c>
      <c r="F3883" s="10" t="str">
        <f>_xlfn.XLOOKUP(C3883,menu!A:A,menu!B:B)</f>
        <v>Chicken Popcorn</v>
      </c>
      <c r="G3883" s="10" t="str">
        <f>_xlfn.XLOOKUP(C3883,menu!A:A,menu!C:C)</f>
        <v>Starters</v>
      </c>
      <c r="H3883" s="10">
        <f>_xlfn.XLOOKUP(C3883,menu!A:A,menu!E:E)</f>
        <v>45</v>
      </c>
      <c r="I3883" s="10">
        <f t="shared" si="60"/>
        <v>45</v>
      </c>
      <c r="K3883" s="10"/>
      <c r="L3883" s="5"/>
    </row>
    <row r="3884" spans="1:12" x14ac:dyDescent="0.25">
      <c r="A3884" s="5" t="s">
        <v>1862</v>
      </c>
      <c r="B3884" s="5" t="s">
        <v>1861</v>
      </c>
      <c r="C3884" s="5" t="s">
        <v>48</v>
      </c>
      <c r="D3884" s="21">
        <v>1</v>
      </c>
      <c r="E3884" s="12">
        <v>159</v>
      </c>
      <c r="F3884" s="10" t="str">
        <f>_xlfn.XLOOKUP(C3884,menu!A:A,menu!B:B)</f>
        <v>Chicken Lollipop</v>
      </c>
      <c r="G3884" s="10" t="str">
        <f>_xlfn.XLOOKUP(C3884,menu!A:A,menu!C:C)</f>
        <v>Starters</v>
      </c>
      <c r="H3884" s="10">
        <f>_xlfn.XLOOKUP(C3884,menu!A:A,menu!E:E)</f>
        <v>48</v>
      </c>
      <c r="I3884" s="10">
        <f t="shared" si="60"/>
        <v>48</v>
      </c>
      <c r="K3884" s="10"/>
      <c r="L3884" s="5"/>
    </row>
    <row r="3885" spans="1:12" x14ac:dyDescent="0.25">
      <c r="A3885" s="5" t="s">
        <v>1860</v>
      </c>
      <c r="B3885" s="5" t="s">
        <v>1858</v>
      </c>
      <c r="C3885" s="5" t="s">
        <v>44</v>
      </c>
      <c r="D3885" s="21">
        <v>1</v>
      </c>
      <c r="E3885" s="12">
        <v>159</v>
      </c>
      <c r="F3885" s="10" t="str">
        <f>_xlfn.XLOOKUP(C3885,menu!A:A,menu!B:B)</f>
        <v>Fried Chicken</v>
      </c>
      <c r="G3885" s="10" t="str">
        <f>_xlfn.XLOOKUP(C3885,menu!A:A,menu!C:C)</f>
        <v>Starters</v>
      </c>
      <c r="H3885" s="10">
        <f>_xlfn.XLOOKUP(C3885,menu!A:A,menu!E:E)</f>
        <v>48</v>
      </c>
      <c r="I3885" s="10">
        <f t="shared" si="60"/>
        <v>48</v>
      </c>
      <c r="K3885" s="10"/>
      <c r="L3885" s="5"/>
    </row>
    <row r="3886" spans="1:12" x14ac:dyDescent="0.25">
      <c r="A3886" s="5" t="s">
        <v>1859</v>
      </c>
      <c r="B3886" s="5" t="s">
        <v>1858</v>
      </c>
      <c r="C3886" s="5" t="s">
        <v>22</v>
      </c>
      <c r="D3886" s="21">
        <v>1</v>
      </c>
      <c r="E3886" s="12">
        <v>99</v>
      </c>
      <c r="F3886" s="10" t="str">
        <f>_xlfn.XLOOKUP(C3886,menu!A:A,menu!B:B)</f>
        <v>Chicken Burger</v>
      </c>
      <c r="G3886" s="10" t="str">
        <f>_xlfn.XLOOKUP(C3886,menu!A:A,menu!C:C)</f>
        <v>Burger</v>
      </c>
      <c r="H3886" s="10">
        <f>_xlfn.XLOOKUP(C3886,menu!A:A,menu!E:E)</f>
        <v>30</v>
      </c>
      <c r="I3886" s="10">
        <f t="shared" si="60"/>
        <v>30</v>
      </c>
      <c r="K3886" s="10"/>
      <c r="L3886" s="5"/>
    </row>
    <row r="3887" spans="1:12" x14ac:dyDescent="0.25">
      <c r="A3887" s="5" t="s">
        <v>1857</v>
      </c>
      <c r="B3887" s="5" t="s">
        <v>1855</v>
      </c>
      <c r="C3887" s="5" t="s">
        <v>46</v>
      </c>
      <c r="D3887" s="21">
        <v>1</v>
      </c>
      <c r="E3887" s="12">
        <v>149</v>
      </c>
      <c r="F3887" s="10" t="str">
        <f>_xlfn.XLOOKUP(C3887,menu!A:A,menu!B:B)</f>
        <v>Fish Finger</v>
      </c>
      <c r="G3887" s="10" t="str">
        <f>_xlfn.XLOOKUP(C3887,menu!A:A,menu!C:C)</f>
        <v>Starters</v>
      </c>
      <c r="H3887" s="10">
        <f>_xlfn.XLOOKUP(C3887,menu!A:A,menu!E:E)</f>
        <v>45</v>
      </c>
      <c r="I3887" s="10">
        <f t="shared" si="60"/>
        <v>45</v>
      </c>
      <c r="K3887" s="10"/>
      <c r="L3887" s="5"/>
    </row>
    <row r="3888" spans="1:12" x14ac:dyDescent="0.25">
      <c r="A3888" s="5" t="s">
        <v>1856</v>
      </c>
      <c r="B3888" s="5" t="s">
        <v>1855</v>
      </c>
      <c r="C3888" s="5" t="s">
        <v>31</v>
      </c>
      <c r="D3888" s="21">
        <v>4</v>
      </c>
      <c r="E3888" s="12">
        <v>356</v>
      </c>
      <c r="F3888" s="10" t="str">
        <f>_xlfn.XLOOKUP(C3888,menu!A:A,menu!B:B)</f>
        <v>Chicken Roll</v>
      </c>
      <c r="G3888" s="10" t="str">
        <f>_xlfn.XLOOKUP(C3888,menu!A:A,menu!C:C)</f>
        <v>Rolls</v>
      </c>
      <c r="H3888" s="10">
        <f>_xlfn.XLOOKUP(C3888,menu!A:A,menu!E:E)</f>
        <v>27</v>
      </c>
      <c r="I3888" s="10">
        <f t="shared" si="60"/>
        <v>108</v>
      </c>
      <c r="K3888" s="10"/>
      <c r="L3888" s="5"/>
    </row>
    <row r="3889" spans="1:12" x14ac:dyDescent="0.25">
      <c r="A3889" s="5" t="s">
        <v>1854</v>
      </c>
      <c r="B3889" s="5" t="s">
        <v>1851</v>
      </c>
      <c r="C3889" s="5" t="s">
        <v>19</v>
      </c>
      <c r="D3889" s="21">
        <v>3</v>
      </c>
      <c r="E3889" s="12">
        <v>237</v>
      </c>
      <c r="F3889" s="10" t="str">
        <f>_xlfn.XLOOKUP(C3889,menu!A:A,menu!B:B)</f>
        <v>Veg Burger</v>
      </c>
      <c r="G3889" s="10" t="str">
        <f>_xlfn.XLOOKUP(C3889,menu!A:A,menu!C:C)</f>
        <v>Burger</v>
      </c>
      <c r="H3889" s="10">
        <f>_xlfn.XLOOKUP(C3889,menu!A:A,menu!E:E)</f>
        <v>24</v>
      </c>
      <c r="I3889" s="10">
        <f t="shared" si="60"/>
        <v>72</v>
      </c>
      <c r="K3889" s="10"/>
      <c r="L3889" s="5"/>
    </row>
    <row r="3890" spans="1:12" x14ac:dyDescent="0.25">
      <c r="A3890" s="5" t="s">
        <v>1853</v>
      </c>
      <c r="B3890" s="5" t="s">
        <v>1851</v>
      </c>
      <c r="C3890" s="5" t="s">
        <v>52</v>
      </c>
      <c r="D3890" s="21">
        <v>1</v>
      </c>
      <c r="E3890" s="12">
        <v>99</v>
      </c>
      <c r="F3890" s="10" t="str">
        <f>_xlfn.XLOOKUP(C3890,menu!A:A,menu!B:B)</f>
        <v>French Fries</v>
      </c>
      <c r="G3890" s="10" t="str">
        <f>_xlfn.XLOOKUP(C3890,menu!A:A,menu!C:C)</f>
        <v>Starters</v>
      </c>
      <c r="H3890" s="10">
        <f>_xlfn.XLOOKUP(C3890,menu!A:A,menu!E:E)</f>
        <v>30</v>
      </c>
      <c r="I3890" s="10">
        <f t="shared" si="60"/>
        <v>30</v>
      </c>
      <c r="K3890" s="10"/>
      <c r="L3890" s="5"/>
    </row>
    <row r="3891" spans="1:12" x14ac:dyDescent="0.25">
      <c r="A3891" s="5" t="s">
        <v>1852</v>
      </c>
      <c r="B3891" s="5" t="s">
        <v>1851</v>
      </c>
      <c r="C3891" s="5" t="s">
        <v>42</v>
      </c>
      <c r="D3891" s="21">
        <v>3</v>
      </c>
      <c r="E3891" s="12">
        <v>447</v>
      </c>
      <c r="F3891" s="10" t="str">
        <f>_xlfn.XLOOKUP(C3891,menu!A:A,menu!B:B)</f>
        <v>Chicken Popcorn</v>
      </c>
      <c r="G3891" s="10" t="str">
        <f>_xlfn.XLOOKUP(C3891,menu!A:A,menu!C:C)</f>
        <v>Starters</v>
      </c>
      <c r="H3891" s="10">
        <f>_xlfn.XLOOKUP(C3891,menu!A:A,menu!E:E)</f>
        <v>45</v>
      </c>
      <c r="I3891" s="10">
        <f t="shared" si="60"/>
        <v>135</v>
      </c>
      <c r="K3891" s="10"/>
      <c r="L3891" s="5"/>
    </row>
    <row r="3892" spans="1:12" x14ac:dyDescent="0.25">
      <c r="A3892" s="5" t="s">
        <v>1850</v>
      </c>
      <c r="B3892" s="5" t="s">
        <v>1848</v>
      </c>
      <c r="C3892" s="5" t="s">
        <v>52</v>
      </c>
      <c r="D3892" s="21">
        <v>2</v>
      </c>
      <c r="E3892" s="12">
        <v>198</v>
      </c>
      <c r="F3892" s="10" t="str">
        <f>_xlfn.XLOOKUP(C3892,menu!A:A,menu!B:B)</f>
        <v>French Fries</v>
      </c>
      <c r="G3892" s="10" t="str">
        <f>_xlfn.XLOOKUP(C3892,menu!A:A,menu!C:C)</f>
        <v>Starters</v>
      </c>
      <c r="H3892" s="10">
        <f>_xlfn.XLOOKUP(C3892,menu!A:A,menu!E:E)</f>
        <v>30</v>
      </c>
      <c r="I3892" s="10">
        <f t="shared" si="60"/>
        <v>60</v>
      </c>
      <c r="K3892" s="10"/>
      <c r="L3892" s="5"/>
    </row>
    <row r="3893" spans="1:12" x14ac:dyDescent="0.25">
      <c r="A3893" s="5" t="s">
        <v>1849</v>
      </c>
      <c r="B3893" s="5" t="s">
        <v>1848</v>
      </c>
      <c r="C3893" s="5" t="s">
        <v>44</v>
      </c>
      <c r="D3893" s="21">
        <v>1</v>
      </c>
      <c r="E3893" s="12">
        <v>159</v>
      </c>
      <c r="F3893" s="10" t="str">
        <f>_xlfn.XLOOKUP(C3893,menu!A:A,menu!B:B)</f>
        <v>Fried Chicken</v>
      </c>
      <c r="G3893" s="10" t="str">
        <f>_xlfn.XLOOKUP(C3893,menu!A:A,menu!C:C)</f>
        <v>Starters</v>
      </c>
      <c r="H3893" s="10">
        <f>_xlfn.XLOOKUP(C3893,menu!A:A,menu!E:E)</f>
        <v>48</v>
      </c>
      <c r="I3893" s="10">
        <f t="shared" si="60"/>
        <v>48</v>
      </c>
      <c r="K3893" s="10"/>
      <c r="L3893" s="5"/>
    </row>
    <row r="3894" spans="1:12" x14ac:dyDescent="0.25">
      <c r="A3894" s="5" t="s">
        <v>1847</v>
      </c>
      <c r="B3894" s="5" t="s">
        <v>1844</v>
      </c>
      <c r="C3894" s="5" t="s">
        <v>5</v>
      </c>
      <c r="D3894" s="21">
        <v>2</v>
      </c>
      <c r="E3894" s="12">
        <v>158</v>
      </c>
      <c r="F3894" s="10" t="str">
        <f>_xlfn.XLOOKUP(C3894,menu!A:A,menu!B:B)</f>
        <v>Veg Sandwich</v>
      </c>
      <c r="G3894" s="10" t="str">
        <f>_xlfn.XLOOKUP(C3894,menu!A:A,menu!C:C)</f>
        <v>Sandwich</v>
      </c>
      <c r="H3894" s="10">
        <f>_xlfn.XLOOKUP(C3894,menu!A:A,menu!E:E)</f>
        <v>24</v>
      </c>
      <c r="I3894" s="10">
        <f t="shared" si="60"/>
        <v>48</v>
      </c>
      <c r="K3894" s="10"/>
      <c r="L3894" s="5"/>
    </row>
    <row r="3895" spans="1:12" x14ac:dyDescent="0.25">
      <c r="A3895" s="5" t="s">
        <v>1846</v>
      </c>
      <c r="B3895" s="5" t="s">
        <v>1844</v>
      </c>
      <c r="C3895" s="5" t="s">
        <v>59</v>
      </c>
      <c r="D3895" s="21">
        <v>1</v>
      </c>
      <c r="E3895" s="12">
        <v>79</v>
      </c>
      <c r="F3895" s="10" t="str">
        <f>_xlfn.XLOOKUP(C3895,menu!A:A,menu!B:B)</f>
        <v>Blue Curacao Mojito</v>
      </c>
      <c r="G3895" s="10" t="str">
        <f>_xlfn.XLOOKUP(C3895,menu!A:A,menu!C:C)</f>
        <v>Beverages</v>
      </c>
      <c r="H3895" s="10">
        <f>_xlfn.XLOOKUP(C3895,menu!A:A,menu!E:E)</f>
        <v>24</v>
      </c>
      <c r="I3895" s="10">
        <f t="shared" si="60"/>
        <v>24</v>
      </c>
      <c r="K3895" s="10"/>
      <c r="L3895" s="5"/>
    </row>
    <row r="3896" spans="1:12" x14ac:dyDescent="0.25">
      <c r="A3896" s="5" t="s">
        <v>1845</v>
      </c>
      <c r="B3896" s="5" t="s">
        <v>1844</v>
      </c>
      <c r="C3896" s="5" t="s">
        <v>12</v>
      </c>
      <c r="D3896" s="21">
        <v>2</v>
      </c>
      <c r="E3896" s="12">
        <v>158</v>
      </c>
      <c r="F3896" s="10" t="str">
        <f>_xlfn.XLOOKUP(C3896,menu!A:A,menu!B:B)</f>
        <v>Veg Momos</v>
      </c>
      <c r="G3896" s="10" t="str">
        <f>_xlfn.XLOOKUP(C3896,menu!A:A,menu!C:C)</f>
        <v>Momos</v>
      </c>
      <c r="H3896" s="10">
        <f>_xlfn.XLOOKUP(C3896,menu!A:A,menu!E:E)</f>
        <v>24</v>
      </c>
      <c r="I3896" s="10">
        <f t="shared" si="60"/>
        <v>48</v>
      </c>
      <c r="K3896" s="10"/>
      <c r="L3896" s="5"/>
    </row>
    <row r="3897" spans="1:12" x14ac:dyDescent="0.25">
      <c r="A3897" s="5" t="s">
        <v>1843</v>
      </c>
      <c r="B3897" s="5" t="s">
        <v>1841</v>
      </c>
      <c r="C3897" s="5" t="s">
        <v>50</v>
      </c>
      <c r="D3897" s="21">
        <v>1</v>
      </c>
      <c r="E3897" s="12">
        <v>149</v>
      </c>
      <c r="F3897" s="10" t="str">
        <f>_xlfn.XLOOKUP(C3897,menu!A:A,menu!B:B)</f>
        <v>Grab Lollipop</v>
      </c>
      <c r="G3897" s="10" t="str">
        <f>_xlfn.XLOOKUP(C3897,menu!A:A,menu!C:C)</f>
        <v>Starters</v>
      </c>
      <c r="H3897" s="10">
        <f>_xlfn.XLOOKUP(C3897,menu!A:A,menu!E:E)</f>
        <v>45</v>
      </c>
      <c r="I3897" s="10">
        <f t="shared" si="60"/>
        <v>45</v>
      </c>
      <c r="K3897" s="10"/>
      <c r="L3897" s="5"/>
    </row>
    <row r="3898" spans="1:12" x14ac:dyDescent="0.25">
      <c r="A3898" s="5" t="s">
        <v>1842</v>
      </c>
      <c r="B3898" s="5" t="s">
        <v>1841</v>
      </c>
      <c r="C3898" s="5" t="s">
        <v>24</v>
      </c>
      <c r="D3898" s="21">
        <v>2</v>
      </c>
      <c r="E3898" s="12">
        <v>178</v>
      </c>
      <c r="F3898" s="10" t="str">
        <f>_xlfn.XLOOKUP(C3898,menu!A:A,menu!B:B)</f>
        <v>Paneer Burger</v>
      </c>
      <c r="G3898" s="10" t="str">
        <f>_xlfn.XLOOKUP(C3898,menu!A:A,menu!C:C)</f>
        <v>Burger</v>
      </c>
      <c r="H3898" s="10">
        <f>_xlfn.XLOOKUP(C3898,menu!A:A,menu!E:E)</f>
        <v>27</v>
      </c>
      <c r="I3898" s="10">
        <f t="shared" si="60"/>
        <v>54</v>
      </c>
      <c r="K3898" s="10"/>
      <c r="L3898" s="5"/>
    </row>
    <row r="3899" spans="1:12" x14ac:dyDescent="0.25">
      <c r="A3899" s="5" t="s">
        <v>1840</v>
      </c>
      <c r="B3899" s="5" t="s">
        <v>1838</v>
      </c>
      <c r="C3899" s="5" t="s">
        <v>15</v>
      </c>
      <c r="D3899" s="21">
        <v>3</v>
      </c>
      <c r="E3899" s="12">
        <v>297</v>
      </c>
      <c r="F3899" s="10" t="str">
        <f>_xlfn.XLOOKUP(C3899,menu!A:A,menu!B:B)</f>
        <v>Chicken Momos</v>
      </c>
      <c r="G3899" s="10" t="str">
        <f>_xlfn.XLOOKUP(C3899,menu!A:A,menu!C:C)</f>
        <v>Momos</v>
      </c>
      <c r="H3899" s="10">
        <f>_xlfn.XLOOKUP(C3899,menu!A:A,menu!E:E)</f>
        <v>30</v>
      </c>
      <c r="I3899" s="10">
        <f t="shared" si="60"/>
        <v>90</v>
      </c>
      <c r="K3899" s="10"/>
      <c r="L3899" s="5"/>
    </row>
    <row r="3900" spans="1:12" x14ac:dyDescent="0.25">
      <c r="A3900" s="5" t="s">
        <v>1839</v>
      </c>
      <c r="B3900" s="5" t="s">
        <v>1838</v>
      </c>
      <c r="C3900" s="5" t="s">
        <v>8</v>
      </c>
      <c r="D3900" s="21">
        <v>1</v>
      </c>
      <c r="E3900" s="12">
        <v>99</v>
      </c>
      <c r="F3900" s="10" t="str">
        <f>_xlfn.XLOOKUP(C3900,menu!A:A,menu!B:B)</f>
        <v>Paneer Sandwich</v>
      </c>
      <c r="G3900" s="10" t="str">
        <f>_xlfn.XLOOKUP(C3900,menu!A:A,menu!C:C)</f>
        <v>Sandwich</v>
      </c>
      <c r="H3900" s="10">
        <f>_xlfn.XLOOKUP(C3900,menu!A:A,menu!E:E)</f>
        <v>30</v>
      </c>
      <c r="I3900" s="10">
        <f t="shared" si="60"/>
        <v>30</v>
      </c>
      <c r="K3900" s="10"/>
      <c r="L3900" s="5"/>
    </row>
    <row r="3901" spans="1:12" x14ac:dyDescent="0.25">
      <c r="A3901" s="5" t="s">
        <v>1837</v>
      </c>
      <c r="B3901" s="5" t="s">
        <v>1833</v>
      </c>
      <c r="C3901" s="5" t="s">
        <v>12</v>
      </c>
      <c r="D3901" s="21">
        <v>1</v>
      </c>
      <c r="E3901" s="12">
        <v>79</v>
      </c>
      <c r="F3901" s="10" t="str">
        <f>_xlfn.XLOOKUP(C3901,menu!A:A,menu!B:B)</f>
        <v>Veg Momos</v>
      </c>
      <c r="G3901" s="10" t="str">
        <f>_xlfn.XLOOKUP(C3901,menu!A:A,menu!C:C)</f>
        <v>Momos</v>
      </c>
      <c r="H3901" s="10">
        <f>_xlfn.XLOOKUP(C3901,menu!A:A,menu!E:E)</f>
        <v>24</v>
      </c>
      <c r="I3901" s="10">
        <f t="shared" si="60"/>
        <v>24</v>
      </c>
      <c r="K3901" s="10"/>
      <c r="L3901" s="5"/>
    </row>
    <row r="3902" spans="1:12" x14ac:dyDescent="0.25">
      <c r="A3902" s="5" t="s">
        <v>1836</v>
      </c>
      <c r="B3902" s="5" t="s">
        <v>1833</v>
      </c>
      <c r="C3902" s="5" t="s">
        <v>44</v>
      </c>
      <c r="D3902" s="21">
        <v>1</v>
      </c>
      <c r="E3902" s="12">
        <v>159</v>
      </c>
      <c r="F3902" s="10" t="str">
        <f>_xlfn.XLOOKUP(C3902,menu!A:A,menu!B:B)</f>
        <v>Fried Chicken</v>
      </c>
      <c r="G3902" s="10" t="str">
        <f>_xlfn.XLOOKUP(C3902,menu!A:A,menu!C:C)</f>
        <v>Starters</v>
      </c>
      <c r="H3902" s="10">
        <f>_xlfn.XLOOKUP(C3902,menu!A:A,menu!E:E)</f>
        <v>48</v>
      </c>
      <c r="I3902" s="10">
        <f t="shared" si="60"/>
        <v>48</v>
      </c>
      <c r="K3902" s="10"/>
      <c r="L3902" s="5"/>
    </row>
    <row r="3903" spans="1:12" x14ac:dyDescent="0.25">
      <c r="A3903" s="5" t="s">
        <v>1835</v>
      </c>
      <c r="B3903" s="5" t="s">
        <v>1833</v>
      </c>
      <c r="C3903" s="5" t="s">
        <v>48</v>
      </c>
      <c r="D3903" s="21">
        <v>2</v>
      </c>
      <c r="E3903" s="12">
        <v>318</v>
      </c>
      <c r="F3903" s="10" t="str">
        <f>_xlfn.XLOOKUP(C3903,menu!A:A,menu!B:B)</f>
        <v>Chicken Lollipop</v>
      </c>
      <c r="G3903" s="10" t="str">
        <f>_xlfn.XLOOKUP(C3903,menu!A:A,menu!C:C)</f>
        <v>Starters</v>
      </c>
      <c r="H3903" s="10">
        <f>_xlfn.XLOOKUP(C3903,menu!A:A,menu!E:E)</f>
        <v>48</v>
      </c>
      <c r="I3903" s="10">
        <f t="shared" si="60"/>
        <v>96</v>
      </c>
      <c r="K3903" s="10"/>
      <c r="L3903" s="5"/>
    </row>
    <row r="3904" spans="1:12" x14ac:dyDescent="0.25">
      <c r="A3904" s="5" t="s">
        <v>1834</v>
      </c>
      <c r="B3904" s="5" t="s">
        <v>1833</v>
      </c>
      <c r="C3904" s="5" t="s">
        <v>61</v>
      </c>
      <c r="D3904" s="21">
        <v>2</v>
      </c>
      <c r="E3904" s="12">
        <v>158</v>
      </c>
      <c r="F3904" s="10" t="str">
        <f>_xlfn.XLOOKUP(C3904,menu!A:A,menu!B:B)</f>
        <v>Watermelon Mojito</v>
      </c>
      <c r="G3904" s="10" t="str">
        <f>_xlfn.XLOOKUP(C3904,menu!A:A,menu!C:C)</f>
        <v>Beverages</v>
      </c>
      <c r="H3904" s="10">
        <f>_xlfn.XLOOKUP(C3904,menu!A:A,menu!E:E)</f>
        <v>24</v>
      </c>
      <c r="I3904" s="10">
        <f t="shared" si="60"/>
        <v>48</v>
      </c>
      <c r="K3904" s="10"/>
      <c r="L3904" s="5"/>
    </row>
    <row r="3905" spans="1:12" x14ac:dyDescent="0.25">
      <c r="A3905" s="5" t="s">
        <v>1832</v>
      </c>
      <c r="B3905" s="5" t="s">
        <v>1829</v>
      </c>
      <c r="C3905" s="5" t="s">
        <v>54</v>
      </c>
      <c r="D3905" s="21">
        <v>1</v>
      </c>
      <c r="E3905" s="12">
        <v>139</v>
      </c>
      <c r="F3905" s="10" t="str">
        <f>_xlfn.XLOOKUP(C3905,menu!A:A,menu!B:B)</f>
        <v>Chicken Strips</v>
      </c>
      <c r="G3905" s="10" t="str">
        <f>_xlfn.XLOOKUP(C3905,menu!A:A,menu!C:C)</f>
        <v>Starters</v>
      </c>
      <c r="H3905" s="10">
        <f>_xlfn.XLOOKUP(C3905,menu!A:A,menu!E:E)</f>
        <v>42</v>
      </c>
      <c r="I3905" s="10">
        <f t="shared" si="60"/>
        <v>42</v>
      </c>
      <c r="K3905" s="10"/>
      <c r="L3905" s="5"/>
    </row>
    <row r="3906" spans="1:12" x14ac:dyDescent="0.25">
      <c r="A3906" s="5" t="s">
        <v>1831</v>
      </c>
      <c r="B3906" s="5" t="s">
        <v>1829</v>
      </c>
      <c r="C3906" s="5" t="s">
        <v>31</v>
      </c>
      <c r="D3906" s="21">
        <v>3</v>
      </c>
      <c r="E3906" s="12">
        <v>267</v>
      </c>
      <c r="F3906" s="10" t="str">
        <f>_xlfn.XLOOKUP(C3906,menu!A:A,menu!B:B)</f>
        <v>Chicken Roll</v>
      </c>
      <c r="G3906" s="10" t="str">
        <f>_xlfn.XLOOKUP(C3906,menu!A:A,menu!C:C)</f>
        <v>Rolls</v>
      </c>
      <c r="H3906" s="10">
        <f>_xlfn.XLOOKUP(C3906,menu!A:A,menu!E:E)</f>
        <v>27</v>
      </c>
      <c r="I3906" s="10">
        <f t="shared" si="60"/>
        <v>81</v>
      </c>
      <c r="K3906" s="10"/>
      <c r="L3906" s="5"/>
    </row>
    <row r="3907" spans="1:12" x14ac:dyDescent="0.25">
      <c r="A3907" s="5" t="s">
        <v>1830</v>
      </c>
      <c r="B3907" s="5" t="s">
        <v>1829</v>
      </c>
      <c r="C3907" s="5" t="s">
        <v>48</v>
      </c>
      <c r="D3907" s="21">
        <v>1</v>
      </c>
      <c r="E3907" s="12">
        <v>159</v>
      </c>
      <c r="F3907" s="10" t="str">
        <f>_xlfn.XLOOKUP(C3907,menu!A:A,menu!B:B)</f>
        <v>Chicken Lollipop</v>
      </c>
      <c r="G3907" s="10" t="str">
        <f>_xlfn.XLOOKUP(C3907,menu!A:A,menu!C:C)</f>
        <v>Starters</v>
      </c>
      <c r="H3907" s="10">
        <f>_xlfn.XLOOKUP(C3907,menu!A:A,menu!E:E)</f>
        <v>48</v>
      </c>
      <c r="I3907" s="10">
        <f t="shared" ref="I3907:I3970" si="61">D3907*H3907</f>
        <v>48</v>
      </c>
      <c r="K3907" s="10"/>
      <c r="L3907" s="5"/>
    </row>
    <row r="3908" spans="1:12" x14ac:dyDescent="0.25">
      <c r="A3908" s="5" t="s">
        <v>1828</v>
      </c>
      <c r="B3908" s="5" t="s">
        <v>1825</v>
      </c>
      <c r="C3908" s="5" t="s">
        <v>17</v>
      </c>
      <c r="D3908" s="21">
        <v>3</v>
      </c>
      <c r="E3908" s="12">
        <v>267</v>
      </c>
      <c r="F3908" s="10" t="str">
        <f>_xlfn.XLOOKUP(C3908,menu!A:A,menu!B:B)</f>
        <v>Paneer Momos</v>
      </c>
      <c r="G3908" s="10" t="str">
        <f>_xlfn.XLOOKUP(C3908,menu!A:A,menu!C:C)</f>
        <v>Momos</v>
      </c>
      <c r="H3908" s="10">
        <f>_xlfn.XLOOKUP(C3908,menu!A:A,menu!E:E)</f>
        <v>27</v>
      </c>
      <c r="I3908" s="10">
        <f t="shared" si="61"/>
        <v>81</v>
      </c>
      <c r="K3908" s="10"/>
      <c r="L3908" s="5"/>
    </row>
    <row r="3909" spans="1:12" x14ac:dyDescent="0.25">
      <c r="A3909" s="5" t="s">
        <v>1827</v>
      </c>
      <c r="B3909" s="5" t="s">
        <v>1825</v>
      </c>
      <c r="C3909" s="5" t="s">
        <v>63</v>
      </c>
      <c r="D3909" s="21">
        <v>2</v>
      </c>
      <c r="E3909" s="12">
        <v>158</v>
      </c>
      <c r="F3909" s="10" t="str">
        <f>_xlfn.XLOOKUP(C3909,menu!A:A,menu!B:B)</f>
        <v>Virgin Mojito</v>
      </c>
      <c r="G3909" s="10" t="str">
        <f>_xlfn.XLOOKUP(C3909,menu!A:A,menu!C:C)</f>
        <v>Beverages</v>
      </c>
      <c r="H3909" s="10">
        <f>_xlfn.XLOOKUP(C3909,menu!A:A,menu!E:E)</f>
        <v>24</v>
      </c>
      <c r="I3909" s="10">
        <f t="shared" si="61"/>
        <v>48</v>
      </c>
      <c r="K3909" s="10"/>
      <c r="L3909" s="5"/>
    </row>
    <row r="3910" spans="1:12" x14ac:dyDescent="0.25">
      <c r="A3910" s="5" t="s">
        <v>1826</v>
      </c>
      <c r="B3910" s="5" t="s">
        <v>1825</v>
      </c>
      <c r="C3910" s="5" t="s">
        <v>44</v>
      </c>
      <c r="D3910" s="21">
        <v>3</v>
      </c>
      <c r="E3910" s="12">
        <v>477</v>
      </c>
      <c r="F3910" s="10" t="str">
        <f>_xlfn.XLOOKUP(C3910,menu!A:A,menu!B:B)</f>
        <v>Fried Chicken</v>
      </c>
      <c r="G3910" s="10" t="str">
        <f>_xlfn.XLOOKUP(C3910,menu!A:A,menu!C:C)</f>
        <v>Starters</v>
      </c>
      <c r="H3910" s="10">
        <f>_xlfn.XLOOKUP(C3910,menu!A:A,menu!E:E)</f>
        <v>48</v>
      </c>
      <c r="I3910" s="10">
        <f t="shared" si="61"/>
        <v>144</v>
      </c>
      <c r="K3910" s="10"/>
      <c r="L3910" s="5"/>
    </row>
    <row r="3911" spans="1:12" x14ac:dyDescent="0.25">
      <c r="A3911" s="5" t="s">
        <v>1824</v>
      </c>
      <c r="B3911" s="5" t="s">
        <v>1823</v>
      </c>
      <c r="C3911" s="5" t="s">
        <v>12</v>
      </c>
      <c r="D3911" s="21">
        <v>2</v>
      </c>
      <c r="E3911" s="12">
        <v>158</v>
      </c>
      <c r="F3911" s="10" t="str">
        <f>_xlfn.XLOOKUP(C3911,menu!A:A,menu!B:B)</f>
        <v>Veg Momos</v>
      </c>
      <c r="G3911" s="10" t="str">
        <f>_xlfn.XLOOKUP(C3911,menu!A:A,menu!C:C)</f>
        <v>Momos</v>
      </c>
      <c r="H3911" s="10">
        <f>_xlfn.XLOOKUP(C3911,menu!A:A,menu!E:E)</f>
        <v>24</v>
      </c>
      <c r="I3911" s="10">
        <f t="shared" si="61"/>
        <v>48</v>
      </c>
      <c r="K3911" s="10"/>
      <c r="L3911" s="5"/>
    </row>
    <row r="3912" spans="1:12" x14ac:dyDescent="0.25">
      <c r="A3912" s="5" t="s">
        <v>1822</v>
      </c>
      <c r="B3912" s="5" t="s">
        <v>1819</v>
      </c>
      <c r="C3912" s="5" t="s">
        <v>8</v>
      </c>
      <c r="D3912" s="21">
        <v>1</v>
      </c>
      <c r="E3912" s="12">
        <v>99</v>
      </c>
      <c r="F3912" s="10" t="str">
        <f>_xlfn.XLOOKUP(C3912,menu!A:A,menu!B:B)</f>
        <v>Paneer Sandwich</v>
      </c>
      <c r="G3912" s="10" t="str">
        <f>_xlfn.XLOOKUP(C3912,menu!A:A,menu!C:C)</f>
        <v>Sandwich</v>
      </c>
      <c r="H3912" s="10">
        <f>_xlfn.XLOOKUP(C3912,menu!A:A,menu!E:E)</f>
        <v>30</v>
      </c>
      <c r="I3912" s="10">
        <f t="shared" si="61"/>
        <v>30</v>
      </c>
      <c r="K3912" s="10"/>
      <c r="L3912" s="5"/>
    </row>
    <row r="3913" spans="1:12" x14ac:dyDescent="0.25">
      <c r="A3913" s="5" t="s">
        <v>1821</v>
      </c>
      <c r="B3913" s="5" t="s">
        <v>1819</v>
      </c>
      <c r="C3913" s="5" t="s">
        <v>33</v>
      </c>
      <c r="D3913" s="21">
        <v>1</v>
      </c>
      <c r="E3913" s="12">
        <v>69</v>
      </c>
      <c r="F3913" s="10" t="str">
        <f>_xlfn.XLOOKUP(C3913,menu!A:A,menu!B:B)</f>
        <v>Spring Roll</v>
      </c>
      <c r="G3913" s="10" t="str">
        <f>_xlfn.XLOOKUP(C3913,menu!A:A,menu!C:C)</f>
        <v>Rolls</v>
      </c>
      <c r="H3913" s="10">
        <f>_xlfn.XLOOKUP(C3913,menu!A:A,menu!E:E)</f>
        <v>21</v>
      </c>
      <c r="I3913" s="10">
        <f t="shared" si="61"/>
        <v>21</v>
      </c>
      <c r="K3913" s="10"/>
      <c r="L3913" s="5"/>
    </row>
    <row r="3914" spans="1:12" x14ac:dyDescent="0.25">
      <c r="A3914" s="5" t="s">
        <v>1820</v>
      </c>
      <c r="B3914" s="5" t="s">
        <v>1819</v>
      </c>
      <c r="C3914" s="5" t="s">
        <v>59</v>
      </c>
      <c r="D3914" s="21">
        <v>2</v>
      </c>
      <c r="E3914" s="12">
        <v>158</v>
      </c>
      <c r="F3914" s="10" t="str">
        <f>_xlfn.XLOOKUP(C3914,menu!A:A,menu!B:B)</f>
        <v>Blue Curacao Mojito</v>
      </c>
      <c r="G3914" s="10" t="str">
        <f>_xlfn.XLOOKUP(C3914,menu!A:A,menu!C:C)</f>
        <v>Beverages</v>
      </c>
      <c r="H3914" s="10">
        <f>_xlfn.XLOOKUP(C3914,menu!A:A,menu!E:E)</f>
        <v>24</v>
      </c>
      <c r="I3914" s="10">
        <f t="shared" si="61"/>
        <v>48</v>
      </c>
      <c r="K3914" s="10"/>
      <c r="L3914" s="5"/>
    </row>
    <row r="3915" spans="1:12" x14ac:dyDescent="0.25">
      <c r="A3915" s="5" t="s">
        <v>1818</v>
      </c>
      <c r="B3915" s="5" t="s">
        <v>1816</v>
      </c>
      <c r="C3915" s="5" t="s">
        <v>48</v>
      </c>
      <c r="D3915" s="21">
        <v>1</v>
      </c>
      <c r="E3915" s="12">
        <v>159</v>
      </c>
      <c r="F3915" s="10" t="str">
        <f>_xlfn.XLOOKUP(C3915,menu!A:A,menu!B:B)</f>
        <v>Chicken Lollipop</v>
      </c>
      <c r="G3915" s="10" t="str">
        <f>_xlfn.XLOOKUP(C3915,menu!A:A,menu!C:C)</f>
        <v>Starters</v>
      </c>
      <c r="H3915" s="10">
        <f>_xlfn.XLOOKUP(C3915,menu!A:A,menu!E:E)</f>
        <v>48</v>
      </c>
      <c r="I3915" s="10">
        <f t="shared" si="61"/>
        <v>48</v>
      </c>
      <c r="K3915" s="10"/>
      <c r="L3915" s="5"/>
    </row>
    <row r="3916" spans="1:12" x14ac:dyDescent="0.25">
      <c r="A3916" s="5" t="s">
        <v>1817</v>
      </c>
      <c r="B3916" s="5" t="s">
        <v>1816</v>
      </c>
      <c r="C3916" s="5" t="s">
        <v>38</v>
      </c>
      <c r="D3916" s="21">
        <v>4</v>
      </c>
      <c r="E3916" s="12">
        <v>596</v>
      </c>
      <c r="F3916" s="10" t="str">
        <f>_xlfn.XLOOKUP(C3916,menu!A:A,menu!B:B)</f>
        <v>Chicken Wings</v>
      </c>
      <c r="G3916" s="10" t="str">
        <f>_xlfn.XLOOKUP(C3916,menu!A:A,menu!C:C)</f>
        <v>Starters</v>
      </c>
      <c r="H3916" s="10">
        <f>_xlfn.XLOOKUP(C3916,menu!A:A,menu!E:E)</f>
        <v>45</v>
      </c>
      <c r="I3916" s="10">
        <f t="shared" si="61"/>
        <v>180</v>
      </c>
      <c r="K3916" s="10"/>
      <c r="L3916" s="5"/>
    </row>
    <row r="3917" spans="1:12" x14ac:dyDescent="0.25">
      <c r="A3917" s="5" t="s">
        <v>1815</v>
      </c>
      <c r="B3917" s="5" t="s">
        <v>1811</v>
      </c>
      <c r="C3917" s="5" t="s">
        <v>31</v>
      </c>
      <c r="D3917" s="21">
        <v>1</v>
      </c>
      <c r="E3917" s="12">
        <v>89</v>
      </c>
      <c r="F3917" s="10" t="str">
        <f>_xlfn.XLOOKUP(C3917,menu!A:A,menu!B:B)</f>
        <v>Chicken Roll</v>
      </c>
      <c r="G3917" s="10" t="str">
        <f>_xlfn.XLOOKUP(C3917,menu!A:A,menu!C:C)</f>
        <v>Rolls</v>
      </c>
      <c r="H3917" s="10">
        <f>_xlfn.XLOOKUP(C3917,menu!A:A,menu!E:E)</f>
        <v>27</v>
      </c>
      <c r="I3917" s="10">
        <f t="shared" si="61"/>
        <v>27</v>
      </c>
      <c r="K3917" s="10"/>
      <c r="L3917" s="5"/>
    </row>
    <row r="3918" spans="1:12" x14ac:dyDescent="0.25">
      <c r="A3918" s="5" t="s">
        <v>1814</v>
      </c>
      <c r="B3918" s="5" t="s">
        <v>1811</v>
      </c>
      <c r="C3918" s="5" t="s">
        <v>65</v>
      </c>
      <c r="D3918" s="21">
        <v>3</v>
      </c>
      <c r="E3918" s="12">
        <v>147</v>
      </c>
      <c r="F3918" s="10" t="str">
        <f>_xlfn.XLOOKUP(C3918,menu!A:A,menu!B:B)</f>
        <v>Lemon Juice</v>
      </c>
      <c r="G3918" s="10" t="str">
        <f>_xlfn.XLOOKUP(C3918,menu!A:A,menu!C:C)</f>
        <v>Beverages</v>
      </c>
      <c r="H3918" s="10">
        <f>_xlfn.XLOOKUP(C3918,menu!A:A,menu!E:E)</f>
        <v>15</v>
      </c>
      <c r="I3918" s="10">
        <f t="shared" si="61"/>
        <v>45</v>
      </c>
      <c r="K3918" s="10"/>
      <c r="L3918" s="5"/>
    </row>
    <row r="3919" spans="1:12" x14ac:dyDescent="0.25">
      <c r="A3919" s="5" t="s">
        <v>1813</v>
      </c>
      <c r="B3919" s="5" t="s">
        <v>1811</v>
      </c>
      <c r="C3919" s="5" t="s">
        <v>59</v>
      </c>
      <c r="D3919" s="21">
        <v>3</v>
      </c>
      <c r="E3919" s="12">
        <v>237</v>
      </c>
      <c r="F3919" s="10" t="str">
        <f>_xlfn.XLOOKUP(C3919,menu!A:A,menu!B:B)</f>
        <v>Blue Curacao Mojito</v>
      </c>
      <c r="G3919" s="10" t="str">
        <f>_xlfn.XLOOKUP(C3919,menu!A:A,menu!C:C)</f>
        <v>Beverages</v>
      </c>
      <c r="H3919" s="10">
        <f>_xlfn.XLOOKUP(C3919,menu!A:A,menu!E:E)</f>
        <v>24</v>
      </c>
      <c r="I3919" s="10">
        <f t="shared" si="61"/>
        <v>72</v>
      </c>
      <c r="K3919" s="10"/>
      <c r="L3919" s="5"/>
    </row>
    <row r="3920" spans="1:12" x14ac:dyDescent="0.25">
      <c r="A3920" s="5" t="s">
        <v>1812</v>
      </c>
      <c r="B3920" s="5" t="s">
        <v>1811</v>
      </c>
      <c r="C3920" s="5" t="s">
        <v>48</v>
      </c>
      <c r="D3920" s="21">
        <v>1</v>
      </c>
      <c r="E3920" s="12">
        <v>159</v>
      </c>
      <c r="F3920" s="10" t="str">
        <f>_xlfn.XLOOKUP(C3920,menu!A:A,menu!B:B)</f>
        <v>Chicken Lollipop</v>
      </c>
      <c r="G3920" s="10" t="str">
        <f>_xlfn.XLOOKUP(C3920,menu!A:A,menu!C:C)</f>
        <v>Starters</v>
      </c>
      <c r="H3920" s="10">
        <f>_xlfn.XLOOKUP(C3920,menu!A:A,menu!E:E)</f>
        <v>48</v>
      </c>
      <c r="I3920" s="10">
        <f t="shared" si="61"/>
        <v>48</v>
      </c>
      <c r="K3920" s="10"/>
      <c r="L3920" s="5"/>
    </row>
    <row r="3921" spans="1:12" x14ac:dyDescent="0.25">
      <c r="A3921" s="5" t="s">
        <v>1810</v>
      </c>
      <c r="B3921" s="5" t="s">
        <v>1807</v>
      </c>
      <c r="C3921" s="5" t="s">
        <v>26</v>
      </c>
      <c r="D3921" s="21">
        <v>3</v>
      </c>
      <c r="E3921" s="12">
        <v>177</v>
      </c>
      <c r="F3921" s="10" t="str">
        <f>_xlfn.XLOOKUP(C3921,menu!A:A,menu!B:B)</f>
        <v>Veg Roll</v>
      </c>
      <c r="G3921" s="10" t="str">
        <f>_xlfn.XLOOKUP(C3921,menu!A:A,menu!C:C)</f>
        <v>Rolls</v>
      </c>
      <c r="H3921" s="10">
        <f>_xlfn.XLOOKUP(C3921,menu!A:A,menu!E:E)</f>
        <v>18</v>
      </c>
      <c r="I3921" s="10">
        <f t="shared" si="61"/>
        <v>54</v>
      </c>
      <c r="K3921" s="10"/>
      <c r="L3921" s="5"/>
    </row>
    <row r="3922" spans="1:12" x14ac:dyDescent="0.25">
      <c r="A3922" s="5" t="s">
        <v>1809</v>
      </c>
      <c r="B3922" s="5" t="s">
        <v>1807</v>
      </c>
      <c r="C3922" s="5" t="s">
        <v>15</v>
      </c>
      <c r="D3922" s="21">
        <v>2</v>
      </c>
      <c r="E3922" s="12">
        <v>198</v>
      </c>
      <c r="F3922" s="10" t="str">
        <f>_xlfn.XLOOKUP(C3922,menu!A:A,menu!B:B)</f>
        <v>Chicken Momos</v>
      </c>
      <c r="G3922" s="10" t="str">
        <f>_xlfn.XLOOKUP(C3922,menu!A:A,menu!C:C)</f>
        <v>Momos</v>
      </c>
      <c r="H3922" s="10">
        <f>_xlfn.XLOOKUP(C3922,menu!A:A,menu!E:E)</f>
        <v>30</v>
      </c>
      <c r="I3922" s="10">
        <f t="shared" si="61"/>
        <v>60</v>
      </c>
      <c r="K3922" s="10"/>
      <c r="L3922" s="5"/>
    </row>
    <row r="3923" spans="1:12" x14ac:dyDescent="0.25">
      <c r="A3923" s="5" t="s">
        <v>1808</v>
      </c>
      <c r="B3923" s="5" t="s">
        <v>1807</v>
      </c>
      <c r="C3923" s="5" t="s">
        <v>31</v>
      </c>
      <c r="D3923" s="21">
        <v>1</v>
      </c>
      <c r="E3923" s="12">
        <v>89</v>
      </c>
      <c r="F3923" s="10" t="str">
        <f>_xlfn.XLOOKUP(C3923,menu!A:A,menu!B:B)</f>
        <v>Chicken Roll</v>
      </c>
      <c r="G3923" s="10" t="str">
        <f>_xlfn.XLOOKUP(C3923,menu!A:A,menu!C:C)</f>
        <v>Rolls</v>
      </c>
      <c r="H3923" s="10">
        <f>_xlfn.XLOOKUP(C3923,menu!A:A,menu!E:E)</f>
        <v>27</v>
      </c>
      <c r="I3923" s="10">
        <f t="shared" si="61"/>
        <v>27</v>
      </c>
      <c r="K3923" s="10"/>
      <c r="L3923" s="5"/>
    </row>
    <row r="3924" spans="1:12" x14ac:dyDescent="0.25">
      <c r="A3924" s="5" t="s">
        <v>1806</v>
      </c>
      <c r="B3924" s="5" t="s">
        <v>1804</v>
      </c>
      <c r="C3924" s="5" t="s">
        <v>10</v>
      </c>
      <c r="D3924" s="21">
        <v>1</v>
      </c>
      <c r="E3924" s="12">
        <v>119</v>
      </c>
      <c r="F3924" s="10" t="str">
        <f>_xlfn.XLOOKUP(C3924,menu!A:A,menu!B:B)</f>
        <v>Chicken Sandwich</v>
      </c>
      <c r="G3924" s="10" t="str">
        <f>_xlfn.XLOOKUP(C3924,menu!A:A,menu!C:C)</f>
        <v>Sandwich</v>
      </c>
      <c r="H3924" s="10">
        <f>_xlfn.XLOOKUP(C3924,menu!A:A,menu!E:E)</f>
        <v>36</v>
      </c>
      <c r="I3924" s="10">
        <f t="shared" si="61"/>
        <v>36</v>
      </c>
      <c r="K3924" s="10"/>
      <c r="L3924" s="5"/>
    </row>
    <row r="3925" spans="1:12" x14ac:dyDescent="0.25">
      <c r="A3925" s="5" t="s">
        <v>1805</v>
      </c>
      <c r="B3925" s="5" t="s">
        <v>1804</v>
      </c>
      <c r="C3925" s="5" t="s">
        <v>46</v>
      </c>
      <c r="D3925" s="21">
        <v>1</v>
      </c>
      <c r="E3925" s="12">
        <v>149</v>
      </c>
      <c r="F3925" s="10" t="str">
        <f>_xlfn.XLOOKUP(C3925,menu!A:A,menu!B:B)</f>
        <v>Fish Finger</v>
      </c>
      <c r="G3925" s="10" t="str">
        <f>_xlfn.XLOOKUP(C3925,menu!A:A,menu!C:C)</f>
        <v>Starters</v>
      </c>
      <c r="H3925" s="10">
        <f>_xlfn.XLOOKUP(C3925,menu!A:A,menu!E:E)</f>
        <v>45</v>
      </c>
      <c r="I3925" s="10">
        <f t="shared" si="61"/>
        <v>45</v>
      </c>
      <c r="K3925" s="10"/>
      <c r="L3925" s="5"/>
    </row>
    <row r="3926" spans="1:12" x14ac:dyDescent="0.25">
      <c r="A3926" s="5" t="s">
        <v>1803</v>
      </c>
      <c r="B3926" s="5" t="s">
        <v>1799</v>
      </c>
      <c r="C3926" s="5" t="s">
        <v>17</v>
      </c>
      <c r="D3926" s="21">
        <v>5</v>
      </c>
      <c r="E3926" s="12">
        <v>445</v>
      </c>
      <c r="F3926" s="10" t="str">
        <f>_xlfn.XLOOKUP(C3926,menu!A:A,menu!B:B)</f>
        <v>Paneer Momos</v>
      </c>
      <c r="G3926" s="10" t="str">
        <f>_xlfn.XLOOKUP(C3926,menu!A:A,menu!C:C)</f>
        <v>Momos</v>
      </c>
      <c r="H3926" s="10">
        <f>_xlfn.XLOOKUP(C3926,menu!A:A,menu!E:E)</f>
        <v>27</v>
      </c>
      <c r="I3926" s="10">
        <f t="shared" si="61"/>
        <v>135</v>
      </c>
      <c r="K3926" s="10"/>
      <c r="L3926" s="5"/>
    </row>
    <row r="3927" spans="1:12" x14ac:dyDescent="0.25">
      <c r="A3927" s="5" t="s">
        <v>1802</v>
      </c>
      <c r="B3927" s="5" t="s">
        <v>1799</v>
      </c>
      <c r="C3927" s="5" t="s">
        <v>44</v>
      </c>
      <c r="D3927" s="21">
        <v>1</v>
      </c>
      <c r="E3927" s="12">
        <v>159</v>
      </c>
      <c r="F3927" s="10" t="str">
        <f>_xlfn.XLOOKUP(C3927,menu!A:A,menu!B:B)</f>
        <v>Fried Chicken</v>
      </c>
      <c r="G3927" s="10" t="str">
        <f>_xlfn.XLOOKUP(C3927,menu!A:A,menu!C:C)</f>
        <v>Starters</v>
      </c>
      <c r="H3927" s="10">
        <f>_xlfn.XLOOKUP(C3927,menu!A:A,menu!E:E)</f>
        <v>48</v>
      </c>
      <c r="I3927" s="10">
        <f t="shared" si="61"/>
        <v>48</v>
      </c>
      <c r="K3927" s="10"/>
      <c r="L3927" s="5"/>
    </row>
    <row r="3928" spans="1:12" x14ac:dyDescent="0.25">
      <c r="A3928" s="5" t="s">
        <v>1801</v>
      </c>
      <c r="B3928" s="5" t="s">
        <v>1799</v>
      </c>
      <c r="C3928" s="5" t="s">
        <v>8</v>
      </c>
      <c r="D3928" s="21">
        <v>1</v>
      </c>
      <c r="E3928" s="12">
        <v>99</v>
      </c>
      <c r="F3928" s="10" t="str">
        <f>_xlfn.XLOOKUP(C3928,menu!A:A,menu!B:B)</f>
        <v>Paneer Sandwich</v>
      </c>
      <c r="G3928" s="10" t="str">
        <f>_xlfn.XLOOKUP(C3928,menu!A:A,menu!C:C)</f>
        <v>Sandwich</v>
      </c>
      <c r="H3928" s="10">
        <f>_xlfn.XLOOKUP(C3928,menu!A:A,menu!E:E)</f>
        <v>30</v>
      </c>
      <c r="I3928" s="10">
        <f t="shared" si="61"/>
        <v>30</v>
      </c>
      <c r="K3928" s="10"/>
      <c r="L3928" s="5"/>
    </row>
    <row r="3929" spans="1:12" x14ac:dyDescent="0.25">
      <c r="A3929" s="5" t="s">
        <v>1800</v>
      </c>
      <c r="B3929" s="5" t="s">
        <v>1799</v>
      </c>
      <c r="C3929" s="5" t="s">
        <v>48</v>
      </c>
      <c r="D3929" s="21">
        <v>2</v>
      </c>
      <c r="E3929" s="12">
        <v>318</v>
      </c>
      <c r="F3929" s="10" t="str">
        <f>_xlfn.XLOOKUP(C3929,menu!A:A,menu!B:B)</f>
        <v>Chicken Lollipop</v>
      </c>
      <c r="G3929" s="10" t="str">
        <f>_xlfn.XLOOKUP(C3929,menu!A:A,menu!C:C)</f>
        <v>Starters</v>
      </c>
      <c r="H3929" s="10">
        <f>_xlfn.XLOOKUP(C3929,menu!A:A,menu!E:E)</f>
        <v>48</v>
      </c>
      <c r="I3929" s="10">
        <f t="shared" si="61"/>
        <v>96</v>
      </c>
      <c r="K3929" s="10"/>
      <c r="L3929" s="5"/>
    </row>
    <row r="3930" spans="1:12" x14ac:dyDescent="0.25">
      <c r="A3930" s="5" t="s">
        <v>1798</v>
      </c>
      <c r="B3930" s="5" t="s">
        <v>1796</v>
      </c>
      <c r="C3930" s="5" t="s">
        <v>40</v>
      </c>
      <c r="D3930" s="21">
        <v>1</v>
      </c>
      <c r="E3930" s="12">
        <v>99</v>
      </c>
      <c r="F3930" s="10" t="str">
        <f>_xlfn.XLOOKUP(C3930,menu!A:A,menu!B:B)</f>
        <v>Veg Nuggets</v>
      </c>
      <c r="G3930" s="10" t="str">
        <f>_xlfn.XLOOKUP(C3930,menu!A:A,menu!C:C)</f>
        <v>Starters</v>
      </c>
      <c r="H3930" s="10">
        <f>_xlfn.XLOOKUP(C3930,menu!A:A,menu!E:E)</f>
        <v>30</v>
      </c>
      <c r="I3930" s="10">
        <f t="shared" si="61"/>
        <v>30</v>
      </c>
      <c r="K3930" s="10"/>
      <c r="L3930" s="5"/>
    </row>
    <row r="3931" spans="1:12" x14ac:dyDescent="0.25">
      <c r="A3931" s="5" t="s">
        <v>1797</v>
      </c>
      <c r="B3931" s="5" t="s">
        <v>1796</v>
      </c>
      <c r="C3931" s="5" t="s">
        <v>42</v>
      </c>
      <c r="D3931" s="21">
        <v>2</v>
      </c>
      <c r="E3931" s="12">
        <v>298</v>
      </c>
      <c r="F3931" s="10" t="str">
        <f>_xlfn.XLOOKUP(C3931,menu!A:A,menu!B:B)</f>
        <v>Chicken Popcorn</v>
      </c>
      <c r="G3931" s="10" t="str">
        <f>_xlfn.XLOOKUP(C3931,menu!A:A,menu!C:C)</f>
        <v>Starters</v>
      </c>
      <c r="H3931" s="10">
        <f>_xlfn.XLOOKUP(C3931,menu!A:A,menu!E:E)</f>
        <v>45</v>
      </c>
      <c r="I3931" s="10">
        <f t="shared" si="61"/>
        <v>90</v>
      </c>
      <c r="K3931" s="10"/>
      <c r="L3931" s="5"/>
    </row>
    <row r="3932" spans="1:12" x14ac:dyDescent="0.25">
      <c r="A3932" s="5" t="s">
        <v>1795</v>
      </c>
      <c r="B3932" s="5" t="s">
        <v>1792</v>
      </c>
      <c r="C3932" s="5" t="s">
        <v>19</v>
      </c>
      <c r="D3932" s="21">
        <v>1</v>
      </c>
      <c r="E3932" s="12">
        <v>79</v>
      </c>
      <c r="F3932" s="10" t="str">
        <f>_xlfn.XLOOKUP(C3932,menu!A:A,menu!B:B)</f>
        <v>Veg Burger</v>
      </c>
      <c r="G3932" s="10" t="str">
        <f>_xlfn.XLOOKUP(C3932,menu!A:A,menu!C:C)</f>
        <v>Burger</v>
      </c>
      <c r="H3932" s="10">
        <f>_xlfn.XLOOKUP(C3932,menu!A:A,menu!E:E)</f>
        <v>24</v>
      </c>
      <c r="I3932" s="10">
        <f t="shared" si="61"/>
        <v>24</v>
      </c>
      <c r="K3932" s="10"/>
      <c r="L3932" s="5"/>
    </row>
    <row r="3933" spans="1:12" x14ac:dyDescent="0.25">
      <c r="A3933" s="5" t="s">
        <v>1794</v>
      </c>
      <c r="B3933" s="5" t="s">
        <v>1792</v>
      </c>
      <c r="C3933" s="5" t="s">
        <v>65</v>
      </c>
      <c r="D3933" s="21">
        <v>1</v>
      </c>
      <c r="E3933" s="12">
        <v>49</v>
      </c>
      <c r="F3933" s="10" t="str">
        <f>_xlfn.XLOOKUP(C3933,menu!A:A,menu!B:B)</f>
        <v>Lemon Juice</v>
      </c>
      <c r="G3933" s="10" t="str">
        <f>_xlfn.XLOOKUP(C3933,menu!A:A,menu!C:C)</f>
        <v>Beverages</v>
      </c>
      <c r="H3933" s="10">
        <f>_xlfn.XLOOKUP(C3933,menu!A:A,menu!E:E)</f>
        <v>15</v>
      </c>
      <c r="I3933" s="10">
        <f t="shared" si="61"/>
        <v>15</v>
      </c>
      <c r="K3933" s="10"/>
      <c r="L3933" s="5"/>
    </row>
    <row r="3934" spans="1:12" x14ac:dyDescent="0.25">
      <c r="A3934" s="5" t="s">
        <v>1793</v>
      </c>
      <c r="B3934" s="5" t="s">
        <v>1792</v>
      </c>
      <c r="C3934" s="5" t="s">
        <v>48</v>
      </c>
      <c r="D3934" s="21">
        <v>4</v>
      </c>
      <c r="E3934" s="12">
        <v>636</v>
      </c>
      <c r="F3934" s="10" t="str">
        <f>_xlfn.XLOOKUP(C3934,menu!A:A,menu!B:B)</f>
        <v>Chicken Lollipop</v>
      </c>
      <c r="G3934" s="10" t="str">
        <f>_xlfn.XLOOKUP(C3934,menu!A:A,menu!C:C)</f>
        <v>Starters</v>
      </c>
      <c r="H3934" s="10">
        <f>_xlfn.XLOOKUP(C3934,menu!A:A,menu!E:E)</f>
        <v>48</v>
      </c>
      <c r="I3934" s="10">
        <f t="shared" si="61"/>
        <v>192</v>
      </c>
      <c r="K3934" s="10"/>
      <c r="L3934" s="5"/>
    </row>
    <row r="3935" spans="1:12" x14ac:dyDescent="0.25">
      <c r="A3935" s="5" t="s">
        <v>1791</v>
      </c>
      <c r="B3935" s="5" t="s">
        <v>1788</v>
      </c>
      <c r="C3935" s="5" t="s">
        <v>10</v>
      </c>
      <c r="D3935" s="21">
        <v>1</v>
      </c>
      <c r="E3935" s="12">
        <v>119</v>
      </c>
      <c r="F3935" s="10" t="str">
        <f>_xlfn.XLOOKUP(C3935,menu!A:A,menu!B:B)</f>
        <v>Chicken Sandwich</v>
      </c>
      <c r="G3935" s="10" t="str">
        <f>_xlfn.XLOOKUP(C3935,menu!A:A,menu!C:C)</f>
        <v>Sandwich</v>
      </c>
      <c r="H3935" s="10">
        <f>_xlfn.XLOOKUP(C3935,menu!A:A,menu!E:E)</f>
        <v>36</v>
      </c>
      <c r="I3935" s="10">
        <f t="shared" si="61"/>
        <v>36</v>
      </c>
      <c r="K3935" s="10"/>
      <c r="L3935" s="5"/>
    </row>
    <row r="3936" spans="1:12" x14ac:dyDescent="0.25">
      <c r="A3936" s="5" t="s">
        <v>1790</v>
      </c>
      <c r="B3936" s="5" t="s">
        <v>1788</v>
      </c>
      <c r="C3936" s="5" t="s">
        <v>50</v>
      </c>
      <c r="D3936" s="21">
        <v>2</v>
      </c>
      <c r="E3936" s="12">
        <v>298</v>
      </c>
      <c r="F3936" s="10" t="str">
        <f>_xlfn.XLOOKUP(C3936,menu!A:A,menu!B:B)</f>
        <v>Grab Lollipop</v>
      </c>
      <c r="G3936" s="10" t="str">
        <f>_xlfn.XLOOKUP(C3936,menu!A:A,menu!C:C)</f>
        <v>Starters</v>
      </c>
      <c r="H3936" s="10">
        <f>_xlfn.XLOOKUP(C3936,menu!A:A,menu!E:E)</f>
        <v>45</v>
      </c>
      <c r="I3936" s="10">
        <f t="shared" si="61"/>
        <v>90</v>
      </c>
      <c r="K3936" s="10"/>
      <c r="L3936" s="5"/>
    </row>
    <row r="3937" spans="1:12" x14ac:dyDescent="0.25">
      <c r="A3937" s="5" t="s">
        <v>1789</v>
      </c>
      <c r="B3937" s="5" t="s">
        <v>1788</v>
      </c>
      <c r="C3937" s="5" t="s">
        <v>33</v>
      </c>
      <c r="D3937" s="21">
        <v>2</v>
      </c>
      <c r="E3937" s="12">
        <v>138</v>
      </c>
      <c r="F3937" s="10" t="str">
        <f>_xlfn.XLOOKUP(C3937,menu!A:A,menu!B:B)</f>
        <v>Spring Roll</v>
      </c>
      <c r="G3937" s="10" t="str">
        <f>_xlfn.XLOOKUP(C3937,menu!A:A,menu!C:C)</f>
        <v>Rolls</v>
      </c>
      <c r="H3937" s="10">
        <f>_xlfn.XLOOKUP(C3937,menu!A:A,menu!E:E)</f>
        <v>21</v>
      </c>
      <c r="I3937" s="10">
        <f t="shared" si="61"/>
        <v>42</v>
      </c>
      <c r="K3937" s="10"/>
      <c r="L3937" s="5"/>
    </row>
    <row r="3938" spans="1:12" x14ac:dyDescent="0.25">
      <c r="A3938" s="5" t="s">
        <v>1787</v>
      </c>
      <c r="B3938" s="5" t="s">
        <v>1783</v>
      </c>
      <c r="C3938" s="5" t="s">
        <v>50</v>
      </c>
      <c r="D3938" s="21">
        <v>5</v>
      </c>
      <c r="E3938" s="12">
        <v>745</v>
      </c>
      <c r="F3938" s="10" t="str">
        <f>_xlfn.XLOOKUP(C3938,menu!A:A,menu!B:B)</f>
        <v>Grab Lollipop</v>
      </c>
      <c r="G3938" s="10" t="str">
        <f>_xlfn.XLOOKUP(C3938,menu!A:A,menu!C:C)</f>
        <v>Starters</v>
      </c>
      <c r="H3938" s="10">
        <f>_xlfn.XLOOKUP(C3938,menu!A:A,menu!E:E)</f>
        <v>45</v>
      </c>
      <c r="I3938" s="10">
        <f t="shared" si="61"/>
        <v>225</v>
      </c>
      <c r="K3938" s="10"/>
      <c r="L3938" s="5"/>
    </row>
    <row r="3939" spans="1:12" x14ac:dyDescent="0.25">
      <c r="A3939" s="5" t="s">
        <v>1786</v>
      </c>
      <c r="B3939" s="5" t="s">
        <v>1783</v>
      </c>
      <c r="C3939" s="5" t="s">
        <v>54</v>
      </c>
      <c r="D3939" s="21">
        <v>3</v>
      </c>
      <c r="E3939" s="12">
        <v>417</v>
      </c>
      <c r="F3939" s="10" t="str">
        <f>_xlfn.XLOOKUP(C3939,menu!A:A,menu!B:B)</f>
        <v>Chicken Strips</v>
      </c>
      <c r="G3939" s="10" t="str">
        <f>_xlfn.XLOOKUP(C3939,menu!A:A,menu!C:C)</f>
        <v>Starters</v>
      </c>
      <c r="H3939" s="10">
        <f>_xlfn.XLOOKUP(C3939,menu!A:A,menu!E:E)</f>
        <v>42</v>
      </c>
      <c r="I3939" s="10">
        <f t="shared" si="61"/>
        <v>126</v>
      </c>
      <c r="K3939" s="10"/>
      <c r="L3939" s="5"/>
    </row>
    <row r="3940" spans="1:12" x14ac:dyDescent="0.25">
      <c r="A3940" s="5" t="s">
        <v>1785</v>
      </c>
      <c r="B3940" s="5" t="s">
        <v>1783</v>
      </c>
      <c r="C3940" s="5" t="s">
        <v>42</v>
      </c>
      <c r="D3940" s="21">
        <v>3</v>
      </c>
      <c r="E3940" s="12">
        <v>447</v>
      </c>
      <c r="F3940" s="10" t="str">
        <f>_xlfn.XLOOKUP(C3940,menu!A:A,menu!B:B)</f>
        <v>Chicken Popcorn</v>
      </c>
      <c r="G3940" s="10" t="str">
        <f>_xlfn.XLOOKUP(C3940,menu!A:A,menu!C:C)</f>
        <v>Starters</v>
      </c>
      <c r="H3940" s="10">
        <f>_xlfn.XLOOKUP(C3940,menu!A:A,menu!E:E)</f>
        <v>45</v>
      </c>
      <c r="I3940" s="10">
        <f t="shared" si="61"/>
        <v>135</v>
      </c>
      <c r="K3940" s="10"/>
      <c r="L3940" s="5"/>
    </row>
    <row r="3941" spans="1:12" x14ac:dyDescent="0.25">
      <c r="A3941" s="5" t="s">
        <v>1784</v>
      </c>
      <c r="B3941" s="5" t="s">
        <v>1783</v>
      </c>
      <c r="C3941" s="5" t="s">
        <v>56</v>
      </c>
      <c r="D3941" s="21">
        <v>3</v>
      </c>
      <c r="E3941" s="12">
        <v>237</v>
      </c>
      <c r="F3941" s="10" t="str">
        <f>_xlfn.XLOOKUP(C3941,menu!A:A,menu!B:B)</f>
        <v>Mint Mojito</v>
      </c>
      <c r="G3941" s="10" t="str">
        <f>_xlfn.XLOOKUP(C3941,menu!A:A,menu!C:C)</f>
        <v>Beverages</v>
      </c>
      <c r="H3941" s="10">
        <f>_xlfn.XLOOKUP(C3941,menu!A:A,menu!E:E)</f>
        <v>24</v>
      </c>
      <c r="I3941" s="10">
        <f t="shared" si="61"/>
        <v>72</v>
      </c>
      <c r="K3941" s="10"/>
      <c r="L3941" s="5"/>
    </row>
    <row r="3942" spans="1:12" x14ac:dyDescent="0.25">
      <c r="A3942" s="5" t="s">
        <v>1782</v>
      </c>
      <c r="B3942" s="5" t="s">
        <v>1781</v>
      </c>
      <c r="C3942" s="5" t="s">
        <v>44</v>
      </c>
      <c r="D3942" s="21">
        <v>2</v>
      </c>
      <c r="E3942" s="12">
        <v>318</v>
      </c>
      <c r="F3942" s="10" t="str">
        <f>_xlfn.XLOOKUP(C3942,menu!A:A,menu!B:B)</f>
        <v>Fried Chicken</v>
      </c>
      <c r="G3942" s="10" t="str">
        <f>_xlfn.XLOOKUP(C3942,menu!A:A,menu!C:C)</f>
        <v>Starters</v>
      </c>
      <c r="H3942" s="10">
        <f>_xlfn.XLOOKUP(C3942,menu!A:A,menu!E:E)</f>
        <v>48</v>
      </c>
      <c r="I3942" s="10">
        <f t="shared" si="61"/>
        <v>96</v>
      </c>
      <c r="K3942" s="10"/>
      <c r="L3942" s="5"/>
    </row>
    <row r="3943" spans="1:12" x14ac:dyDescent="0.25">
      <c r="A3943" s="5" t="s">
        <v>1780</v>
      </c>
      <c r="B3943" s="5" t="s">
        <v>1778</v>
      </c>
      <c r="C3943" s="5" t="s">
        <v>19</v>
      </c>
      <c r="D3943" s="21">
        <v>5</v>
      </c>
      <c r="E3943" s="12">
        <v>395</v>
      </c>
      <c r="F3943" s="10" t="str">
        <f>_xlfn.XLOOKUP(C3943,menu!A:A,menu!B:B)</f>
        <v>Veg Burger</v>
      </c>
      <c r="G3943" s="10" t="str">
        <f>_xlfn.XLOOKUP(C3943,menu!A:A,menu!C:C)</f>
        <v>Burger</v>
      </c>
      <c r="H3943" s="10">
        <f>_xlfn.XLOOKUP(C3943,menu!A:A,menu!E:E)</f>
        <v>24</v>
      </c>
      <c r="I3943" s="10">
        <f t="shared" si="61"/>
        <v>120</v>
      </c>
      <c r="K3943" s="10"/>
      <c r="L3943" s="5"/>
    </row>
    <row r="3944" spans="1:12" x14ac:dyDescent="0.25">
      <c r="A3944" s="5" t="s">
        <v>1779</v>
      </c>
      <c r="B3944" s="5" t="s">
        <v>1778</v>
      </c>
      <c r="C3944" s="5" t="s">
        <v>33</v>
      </c>
      <c r="D3944" s="21">
        <v>3</v>
      </c>
      <c r="E3944" s="12">
        <v>207</v>
      </c>
      <c r="F3944" s="10" t="str">
        <f>_xlfn.XLOOKUP(C3944,menu!A:A,menu!B:B)</f>
        <v>Spring Roll</v>
      </c>
      <c r="G3944" s="10" t="str">
        <f>_xlfn.XLOOKUP(C3944,menu!A:A,menu!C:C)</f>
        <v>Rolls</v>
      </c>
      <c r="H3944" s="10">
        <f>_xlfn.XLOOKUP(C3944,menu!A:A,menu!E:E)</f>
        <v>21</v>
      </c>
      <c r="I3944" s="10">
        <f t="shared" si="61"/>
        <v>63</v>
      </c>
      <c r="K3944" s="10"/>
      <c r="L3944" s="5"/>
    </row>
    <row r="3945" spans="1:12" x14ac:dyDescent="0.25">
      <c r="A3945" s="5" t="s">
        <v>1777</v>
      </c>
      <c r="B3945" s="5" t="s">
        <v>1775</v>
      </c>
      <c r="C3945" s="5" t="s">
        <v>56</v>
      </c>
      <c r="D3945" s="21">
        <v>2</v>
      </c>
      <c r="E3945" s="12">
        <v>158</v>
      </c>
      <c r="F3945" s="10" t="str">
        <f>_xlfn.XLOOKUP(C3945,menu!A:A,menu!B:B)</f>
        <v>Mint Mojito</v>
      </c>
      <c r="G3945" s="10" t="str">
        <f>_xlfn.XLOOKUP(C3945,menu!A:A,menu!C:C)</f>
        <v>Beverages</v>
      </c>
      <c r="H3945" s="10">
        <f>_xlfn.XLOOKUP(C3945,menu!A:A,menu!E:E)</f>
        <v>24</v>
      </c>
      <c r="I3945" s="10">
        <f t="shared" si="61"/>
        <v>48</v>
      </c>
      <c r="K3945" s="10"/>
      <c r="L3945" s="5"/>
    </row>
    <row r="3946" spans="1:12" x14ac:dyDescent="0.25">
      <c r="A3946" s="5" t="s">
        <v>1776</v>
      </c>
      <c r="B3946" s="5" t="s">
        <v>1775</v>
      </c>
      <c r="C3946" s="5" t="s">
        <v>31</v>
      </c>
      <c r="D3946" s="21">
        <v>2</v>
      </c>
      <c r="E3946" s="12">
        <v>178</v>
      </c>
      <c r="F3946" s="10" t="str">
        <f>_xlfn.XLOOKUP(C3946,menu!A:A,menu!B:B)</f>
        <v>Chicken Roll</v>
      </c>
      <c r="G3946" s="10" t="str">
        <f>_xlfn.XLOOKUP(C3946,menu!A:A,menu!C:C)</f>
        <v>Rolls</v>
      </c>
      <c r="H3946" s="10">
        <f>_xlfn.XLOOKUP(C3946,menu!A:A,menu!E:E)</f>
        <v>27</v>
      </c>
      <c r="I3946" s="10">
        <f t="shared" si="61"/>
        <v>54</v>
      </c>
      <c r="K3946" s="10"/>
      <c r="L3946" s="5"/>
    </row>
    <row r="3947" spans="1:12" x14ac:dyDescent="0.25">
      <c r="A3947" s="5" t="s">
        <v>1774</v>
      </c>
      <c r="B3947" s="5" t="s">
        <v>1773</v>
      </c>
      <c r="C3947" s="5" t="s">
        <v>46</v>
      </c>
      <c r="D3947" s="21">
        <v>3</v>
      </c>
      <c r="E3947" s="12">
        <v>447</v>
      </c>
      <c r="F3947" s="10" t="str">
        <f>_xlfn.XLOOKUP(C3947,menu!A:A,menu!B:B)</f>
        <v>Fish Finger</v>
      </c>
      <c r="G3947" s="10" t="str">
        <f>_xlfn.XLOOKUP(C3947,menu!A:A,menu!C:C)</f>
        <v>Starters</v>
      </c>
      <c r="H3947" s="10">
        <f>_xlfn.XLOOKUP(C3947,menu!A:A,menu!E:E)</f>
        <v>45</v>
      </c>
      <c r="I3947" s="10">
        <f t="shared" si="61"/>
        <v>135</v>
      </c>
      <c r="K3947" s="10"/>
      <c r="L3947" s="5"/>
    </row>
    <row r="3948" spans="1:12" x14ac:dyDescent="0.25">
      <c r="A3948" s="5" t="s">
        <v>1772</v>
      </c>
      <c r="B3948" s="5" t="s">
        <v>1770</v>
      </c>
      <c r="C3948" s="5" t="s">
        <v>52</v>
      </c>
      <c r="D3948" s="21">
        <v>2</v>
      </c>
      <c r="E3948" s="12">
        <v>198</v>
      </c>
      <c r="F3948" s="10" t="str">
        <f>_xlfn.XLOOKUP(C3948,menu!A:A,menu!B:B)</f>
        <v>French Fries</v>
      </c>
      <c r="G3948" s="10" t="str">
        <f>_xlfn.XLOOKUP(C3948,menu!A:A,menu!C:C)</f>
        <v>Starters</v>
      </c>
      <c r="H3948" s="10">
        <f>_xlfn.XLOOKUP(C3948,menu!A:A,menu!E:E)</f>
        <v>30</v>
      </c>
      <c r="I3948" s="10">
        <f t="shared" si="61"/>
        <v>60</v>
      </c>
      <c r="K3948" s="10"/>
      <c r="L3948" s="5"/>
    </row>
    <row r="3949" spans="1:12" x14ac:dyDescent="0.25">
      <c r="A3949" s="5" t="s">
        <v>1771</v>
      </c>
      <c r="B3949" s="5" t="s">
        <v>1770</v>
      </c>
      <c r="C3949" s="5" t="s">
        <v>38</v>
      </c>
      <c r="D3949" s="21">
        <v>2</v>
      </c>
      <c r="E3949" s="12">
        <v>298</v>
      </c>
      <c r="F3949" s="10" t="str">
        <f>_xlfn.XLOOKUP(C3949,menu!A:A,menu!B:B)</f>
        <v>Chicken Wings</v>
      </c>
      <c r="G3949" s="10" t="str">
        <f>_xlfn.XLOOKUP(C3949,menu!A:A,menu!C:C)</f>
        <v>Starters</v>
      </c>
      <c r="H3949" s="10">
        <f>_xlfn.XLOOKUP(C3949,menu!A:A,menu!E:E)</f>
        <v>45</v>
      </c>
      <c r="I3949" s="10">
        <f t="shared" si="61"/>
        <v>90</v>
      </c>
      <c r="K3949" s="10"/>
      <c r="L3949" s="5"/>
    </row>
    <row r="3950" spans="1:12" x14ac:dyDescent="0.25">
      <c r="A3950" s="5" t="s">
        <v>1769</v>
      </c>
      <c r="B3950" s="5" t="s">
        <v>1767</v>
      </c>
      <c r="C3950" s="5" t="s">
        <v>52</v>
      </c>
      <c r="D3950" s="21">
        <v>2</v>
      </c>
      <c r="E3950" s="12">
        <v>198</v>
      </c>
      <c r="F3950" s="10" t="str">
        <f>_xlfn.XLOOKUP(C3950,menu!A:A,menu!B:B)</f>
        <v>French Fries</v>
      </c>
      <c r="G3950" s="10" t="str">
        <f>_xlfn.XLOOKUP(C3950,menu!A:A,menu!C:C)</f>
        <v>Starters</v>
      </c>
      <c r="H3950" s="10">
        <f>_xlfn.XLOOKUP(C3950,menu!A:A,menu!E:E)</f>
        <v>30</v>
      </c>
      <c r="I3950" s="10">
        <f t="shared" si="61"/>
        <v>60</v>
      </c>
      <c r="K3950" s="10"/>
      <c r="L3950" s="5"/>
    </row>
    <row r="3951" spans="1:12" x14ac:dyDescent="0.25">
      <c r="A3951" s="5" t="s">
        <v>1768</v>
      </c>
      <c r="B3951" s="5" t="s">
        <v>1767</v>
      </c>
      <c r="C3951" s="5" t="s">
        <v>42</v>
      </c>
      <c r="D3951" s="21">
        <v>1</v>
      </c>
      <c r="E3951" s="12">
        <v>149</v>
      </c>
      <c r="F3951" s="10" t="str">
        <f>_xlfn.XLOOKUP(C3951,menu!A:A,menu!B:B)</f>
        <v>Chicken Popcorn</v>
      </c>
      <c r="G3951" s="10" t="str">
        <f>_xlfn.XLOOKUP(C3951,menu!A:A,menu!C:C)</f>
        <v>Starters</v>
      </c>
      <c r="H3951" s="10">
        <f>_xlfn.XLOOKUP(C3951,menu!A:A,menu!E:E)</f>
        <v>45</v>
      </c>
      <c r="I3951" s="10">
        <f t="shared" si="61"/>
        <v>45</v>
      </c>
      <c r="K3951" s="10"/>
      <c r="L3951" s="5"/>
    </row>
    <row r="3952" spans="1:12" x14ac:dyDescent="0.25">
      <c r="A3952" s="5" t="s">
        <v>1766</v>
      </c>
      <c r="B3952" s="5" t="s">
        <v>1764</v>
      </c>
      <c r="C3952" s="5" t="s">
        <v>40</v>
      </c>
      <c r="D3952" s="21">
        <v>2</v>
      </c>
      <c r="E3952" s="12">
        <v>198</v>
      </c>
      <c r="F3952" s="10" t="str">
        <f>_xlfn.XLOOKUP(C3952,menu!A:A,menu!B:B)</f>
        <v>Veg Nuggets</v>
      </c>
      <c r="G3952" s="10" t="str">
        <f>_xlfn.XLOOKUP(C3952,menu!A:A,menu!C:C)</f>
        <v>Starters</v>
      </c>
      <c r="H3952" s="10">
        <f>_xlfn.XLOOKUP(C3952,menu!A:A,menu!E:E)</f>
        <v>30</v>
      </c>
      <c r="I3952" s="10">
        <f t="shared" si="61"/>
        <v>60</v>
      </c>
      <c r="K3952" s="10"/>
      <c r="L3952" s="5"/>
    </row>
    <row r="3953" spans="1:12" x14ac:dyDescent="0.25">
      <c r="A3953" s="5" t="s">
        <v>1765</v>
      </c>
      <c r="B3953" s="5" t="s">
        <v>1764</v>
      </c>
      <c r="C3953" s="5" t="s">
        <v>17</v>
      </c>
      <c r="D3953" s="21">
        <v>4</v>
      </c>
      <c r="E3953" s="12">
        <v>356</v>
      </c>
      <c r="F3953" s="10" t="str">
        <f>_xlfn.XLOOKUP(C3953,menu!A:A,menu!B:B)</f>
        <v>Paneer Momos</v>
      </c>
      <c r="G3953" s="10" t="str">
        <f>_xlfn.XLOOKUP(C3953,menu!A:A,menu!C:C)</f>
        <v>Momos</v>
      </c>
      <c r="H3953" s="10">
        <f>_xlfn.XLOOKUP(C3953,menu!A:A,menu!E:E)</f>
        <v>27</v>
      </c>
      <c r="I3953" s="10">
        <f t="shared" si="61"/>
        <v>108</v>
      </c>
      <c r="K3953" s="10"/>
      <c r="L3953" s="5"/>
    </row>
    <row r="3954" spans="1:12" x14ac:dyDescent="0.25">
      <c r="A3954" s="5" t="s">
        <v>1763</v>
      </c>
      <c r="B3954" s="5" t="s">
        <v>1762</v>
      </c>
      <c r="C3954" s="5" t="s">
        <v>42</v>
      </c>
      <c r="D3954" s="21">
        <v>4</v>
      </c>
      <c r="E3954" s="12">
        <v>596</v>
      </c>
      <c r="F3954" s="10" t="str">
        <f>_xlfn.XLOOKUP(C3954,menu!A:A,menu!B:B)</f>
        <v>Chicken Popcorn</v>
      </c>
      <c r="G3954" s="10" t="str">
        <f>_xlfn.XLOOKUP(C3954,menu!A:A,menu!C:C)</f>
        <v>Starters</v>
      </c>
      <c r="H3954" s="10">
        <f>_xlfn.XLOOKUP(C3954,menu!A:A,menu!E:E)</f>
        <v>45</v>
      </c>
      <c r="I3954" s="10">
        <f t="shared" si="61"/>
        <v>180</v>
      </c>
      <c r="K3954" s="10"/>
      <c r="L3954" s="5"/>
    </row>
    <row r="3955" spans="1:12" x14ac:dyDescent="0.25">
      <c r="A3955" s="5" t="s">
        <v>1761</v>
      </c>
      <c r="B3955" s="5" t="s">
        <v>1758</v>
      </c>
      <c r="C3955" s="5" t="s">
        <v>29</v>
      </c>
      <c r="D3955" s="21">
        <v>1</v>
      </c>
      <c r="E3955" s="12">
        <v>79</v>
      </c>
      <c r="F3955" s="10" t="str">
        <f>_xlfn.XLOOKUP(C3955,menu!A:A,menu!B:B)</f>
        <v>Paneer Roll</v>
      </c>
      <c r="G3955" s="10" t="str">
        <f>_xlfn.XLOOKUP(C3955,menu!A:A,menu!C:C)</f>
        <v>Rolls</v>
      </c>
      <c r="H3955" s="10">
        <f>_xlfn.XLOOKUP(C3955,menu!A:A,menu!E:E)</f>
        <v>24</v>
      </c>
      <c r="I3955" s="10">
        <f t="shared" si="61"/>
        <v>24</v>
      </c>
      <c r="K3955" s="10"/>
      <c r="L3955" s="5"/>
    </row>
    <row r="3956" spans="1:12" x14ac:dyDescent="0.25">
      <c r="A3956" s="5" t="s">
        <v>1760</v>
      </c>
      <c r="B3956" s="5" t="s">
        <v>1758</v>
      </c>
      <c r="C3956" s="5" t="s">
        <v>54</v>
      </c>
      <c r="D3956" s="21">
        <v>2</v>
      </c>
      <c r="E3956" s="12">
        <v>278</v>
      </c>
      <c r="F3956" s="10" t="str">
        <f>_xlfn.XLOOKUP(C3956,menu!A:A,menu!B:B)</f>
        <v>Chicken Strips</v>
      </c>
      <c r="G3956" s="10" t="str">
        <f>_xlfn.XLOOKUP(C3956,menu!A:A,menu!C:C)</f>
        <v>Starters</v>
      </c>
      <c r="H3956" s="10">
        <f>_xlfn.XLOOKUP(C3956,menu!A:A,menu!E:E)</f>
        <v>42</v>
      </c>
      <c r="I3956" s="10">
        <f t="shared" si="61"/>
        <v>84</v>
      </c>
      <c r="K3956" s="10"/>
      <c r="L3956" s="5"/>
    </row>
    <row r="3957" spans="1:12" x14ac:dyDescent="0.25">
      <c r="A3957" s="5" t="s">
        <v>1759</v>
      </c>
      <c r="B3957" s="5" t="s">
        <v>1758</v>
      </c>
      <c r="C3957" s="5" t="s">
        <v>8</v>
      </c>
      <c r="D3957" s="21">
        <v>1</v>
      </c>
      <c r="E3957" s="12">
        <v>99</v>
      </c>
      <c r="F3957" s="10" t="str">
        <f>_xlfn.XLOOKUP(C3957,menu!A:A,menu!B:B)</f>
        <v>Paneer Sandwich</v>
      </c>
      <c r="G3957" s="10" t="str">
        <f>_xlfn.XLOOKUP(C3957,menu!A:A,menu!C:C)</f>
        <v>Sandwich</v>
      </c>
      <c r="H3957" s="10">
        <f>_xlfn.XLOOKUP(C3957,menu!A:A,menu!E:E)</f>
        <v>30</v>
      </c>
      <c r="I3957" s="10">
        <f t="shared" si="61"/>
        <v>30</v>
      </c>
      <c r="K3957" s="10"/>
      <c r="L3957" s="5"/>
    </row>
    <row r="3958" spans="1:12" x14ac:dyDescent="0.25">
      <c r="A3958" s="5" t="s">
        <v>1757</v>
      </c>
      <c r="B3958" s="5" t="s">
        <v>1754</v>
      </c>
      <c r="C3958" s="5" t="s">
        <v>50</v>
      </c>
      <c r="D3958" s="21">
        <v>1</v>
      </c>
      <c r="E3958" s="12">
        <v>149</v>
      </c>
      <c r="F3958" s="10" t="str">
        <f>_xlfn.XLOOKUP(C3958,menu!A:A,menu!B:B)</f>
        <v>Grab Lollipop</v>
      </c>
      <c r="G3958" s="10" t="str">
        <f>_xlfn.XLOOKUP(C3958,menu!A:A,menu!C:C)</f>
        <v>Starters</v>
      </c>
      <c r="H3958" s="10">
        <f>_xlfn.XLOOKUP(C3958,menu!A:A,menu!E:E)</f>
        <v>45</v>
      </c>
      <c r="I3958" s="10">
        <f t="shared" si="61"/>
        <v>45</v>
      </c>
      <c r="K3958" s="10"/>
      <c r="L3958" s="5"/>
    </row>
    <row r="3959" spans="1:12" x14ac:dyDescent="0.25">
      <c r="A3959" s="5" t="s">
        <v>1756</v>
      </c>
      <c r="B3959" s="5" t="s">
        <v>1754</v>
      </c>
      <c r="C3959" s="5" t="s">
        <v>44</v>
      </c>
      <c r="D3959" s="21">
        <v>1</v>
      </c>
      <c r="E3959" s="12">
        <v>159</v>
      </c>
      <c r="F3959" s="10" t="str">
        <f>_xlfn.XLOOKUP(C3959,menu!A:A,menu!B:B)</f>
        <v>Fried Chicken</v>
      </c>
      <c r="G3959" s="10" t="str">
        <f>_xlfn.XLOOKUP(C3959,menu!A:A,menu!C:C)</f>
        <v>Starters</v>
      </c>
      <c r="H3959" s="10">
        <f>_xlfn.XLOOKUP(C3959,menu!A:A,menu!E:E)</f>
        <v>48</v>
      </c>
      <c r="I3959" s="10">
        <f t="shared" si="61"/>
        <v>48</v>
      </c>
      <c r="K3959" s="10"/>
      <c r="L3959" s="5"/>
    </row>
    <row r="3960" spans="1:12" x14ac:dyDescent="0.25">
      <c r="A3960" s="5" t="s">
        <v>1755</v>
      </c>
      <c r="B3960" s="5" t="s">
        <v>1754</v>
      </c>
      <c r="C3960" s="5" t="s">
        <v>42</v>
      </c>
      <c r="D3960" s="21">
        <v>3</v>
      </c>
      <c r="E3960" s="12">
        <v>447</v>
      </c>
      <c r="F3960" s="10" t="str">
        <f>_xlfn.XLOOKUP(C3960,menu!A:A,menu!B:B)</f>
        <v>Chicken Popcorn</v>
      </c>
      <c r="G3960" s="10" t="str">
        <f>_xlfn.XLOOKUP(C3960,menu!A:A,menu!C:C)</f>
        <v>Starters</v>
      </c>
      <c r="H3960" s="10">
        <f>_xlfn.XLOOKUP(C3960,menu!A:A,menu!E:E)</f>
        <v>45</v>
      </c>
      <c r="I3960" s="10">
        <f t="shared" si="61"/>
        <v>135</v>
      </c>
      <c r="K3960" s="10"/>
      <c r="L3960" s="5"/>
    </row>
    <row r="3961" spans="1:12" x14ac:dyDescent="0.25">
      <c r="A3961" s="5" t="s">
        <v>1753</v>
      </c>
      <c r="B3961" s="5" t="s">
        <v>1750</v>
      </c>
      <c r="C3961" s="5" t="s">
        <v>63</v>
      </c>
      <c r="D3961" s="21">
        <v>1</v>
      </c>
      <c r="E3961" s="12">
        <v>79</v>
      </c>
      <c r="F3961" s="10" t="str">
        <f>_xlfn.XLOOKUP(C3961,menu!A:A,menu!B:B)</f>
        <v>Virgin Mojito</v>
      </c>
      <c r="G3961" s="10" t="str">
        <f>_xlfn.XLOOKUP(C3961,menu!A:A,menu!C:C)</f>
        <v>Beverages</v>
      </c>
      <c r="H3961" s="10">
        <f>_xlfn.XLOOKUP(C3961,menu!A:A,menu!E:E)</f>
        <v>24</v>
      </c>
      <c r="I3961" s="10">
        <f t="shared" si="61"/>
        <v>24</v>
      </c>
      <c r="K3961" s="10"/>
      <c r="L3961" s="5"/>
    </row>
    <row r="3962" spans="1:12" x14ac:dyDescent="0.25">
      <c r="A3962" s="5" t="s">
        <v>1752</v>
      </c>
      <c r="B3962" s="5" t="s">
        <v>1750</v>
      </c>
      <c r="C3962" s="5" t="s">
        <v>44</v>
      </c>
      <c r="D3962" s="21">
        <v>5</v>
      </c>
      <c r="E3962" s="12">
        <v>795</v>
      </c>
      <c r="F3962" s="10" t="str">
        <f>_xlfn.XLOOKUP(C3962,menu!A:A,menu!B:B)</f>
        <v>Fried Chicken</v>
      </c>
      <c r="G3962" s="10" t="str">
        <f>_xlfn.XLOOKUP(C3962,menu!A:A,menu!C:C)</f>
        <v>Starters</v>
      </c>
      <c r="H3962" s="10">
        <f>_xlfn.XLOOKUP(C3962,menu!A:A,menu!E:E)</f>
        <v>48</v>
      </c>
      <c r="I3962" s="10">
        <f t="shared" si="61"/>
        <v>240</v>
      </c>
      <c r="K3962" s="10"/>
      <c r="L3962" s="5"/>
    </row>
    <row r="3963" spans="1:12" x14ac:dyDescent="0.25">
      <c r="A3963" s="5" t="s">
        <v>1751</v>
      </c>
      <c r="B3963" s="5" t="s">
        <v>1750</v>
      </c>
      <c r="C3963" s="5" t="s">
        <v>33</v>
      </c>
      <c r="D3963" s="21">
        <v>1</v>
      </c>
      <c r="E3963" s="12">
        <v>69</v>
      </c>
      <c r="F3963" s="10" t="str">
        <f>_xlfn.XLOOKUP(C3963,menu!A:A,menu!B:B)</f>
        <v>Spring Roll</v>
      </c>
      <c r="G3963" s="10" t="str">
        <f>_xlfn.XLOOKUP(C3963,menu!A:A,menu!C:C)</f>
        <v>Rolls</v>
      </c>
      <c r="H3963" s="10">
        <f>_xlfn.XLOOKUP(C3963,menu!A:A,menu!E:E)</f>
        <v>21</v>
      </c>
      <c r="I3963" s="10">
        <f t="shared" si="61"/>
        <v>21</v>
      </c>
      <c r="K3963" s="10"/>
      <c r="L3963" s="5"/>
    </row>
    <row r="3964" spans="1:12" x14ac:dyDescent="0.25">
      <c r="A3964" s="5" t="s">
        <v>1749</v>
      </c>
      <c r="B3964" s="5" t="s">
        <v>1748</v>
      </c>
      <c r="C3964" s="5" t="s">
        <v>63</v>
      </c>
      <c r="D3964" s="21">
        <v>2</v>
      </c>
      <c r="E3964" s="12">
        <v>158</v>
      </c>
      <c r="F3964" s="10" t="str">
        <f>_xlfn.XLOOKUP(C3964,menu!A:A,menu!B:B)</f>
        <v>Virgin Mojito</v>
      </c>
      <c r="G3964" s="10" t="str">
        <f>_xlfn.XLOOKUP(C3964,menu!A:A,menu!C:C)</f>
        <v>Beverages</v>
      </c>
      <c r="H3964" s="10">
        <f>_xlfn.XLOOKUP(C3964,menu!A:A,menu!E:E)</f>
        <v>24</v>
      </c>
      <c r="I3964" s="10">
        <f t="shared" si="61"/>
        <v>48</v>
      </c>
      <c r="K3964" s="10"/>
      <c r="L3964" s="5"/>
    </row>
    <row r="3965" spans="1:12" x14ac:dyDescent="0.25">
      <c r="A3965" s="5" t="s">
        <v>1747</v>
      </c>
      <c r="B3965" s="5" t="s">
        <v>1745</v>
      </c>
      <c r="C3965" s="5" t="s">
        <v>19</v>
      </c>
      <c r="D3965" s="21">
        <v>3</v>
      </c>
      <c r="E3965" s="12">
        <v>237</v>
      </c>
      <c r="F3965" s="10" t="str">
        <f>_xlfn.XLOOKUP(C3965,menu!A:A,menu!B:B)</f>
        <v>Veg Burger</v>
      </c>
      <c r="G3965" s="10" t="str">
        <f>_xlfn.XLOOKUP(C3965,menu!A:A,menu!C:C)</f>
        <v>Burger</v>
      </c>
      <c r="H3965" s="10">
        <f>_xlfn.XLOOKUP(C3965,menu!A:A,menu!E:E)</f>
        <v>24</v>
      </c>
      <c r="I3965" s="10">
        <f t="shared" si="61"/>
        <v>72</v>
      </c>
      <c r="K3965" s="10"/>
      <c r="L3965" s="5"/>
    </row>
    <row r="3966" spans="1:12" x14ac:dyDescent="0.25">
      <c r="A3966" s="5" t="s">
        <v>1746</v>
      </c>
      <c r="B3966" s="5" t="s">
        <v>1745</v>
      </c>
      <c r="C3966" s="5" t="s">
        <v>61</v>
      </c>
      <c r="D3966" s="21">
        <v>1</v>
      </c>
      <c r="E3966" s="12">
        <v>79</v>
      </c>
      <c r="F3966" s="10" t="str">
        <f>_xlfn.XLOOKUP(C3966,menu!A:A,menu!B:B)</f>
        <v>Watermelon Mojito</v>
      </c>
      <c r="G3966" s="10" t="str">
        <f>_xlfn.XLOOKUP(C3966,menu!A:A,menu!C:C)</f>
        <v>Beverages</v>
      </c>
      <c r="H3966" s="10">
        <f>_xlfn.XLOOKUP(C3966,menu!A:A,menu!E:E)</f>
        <v>24</v>
      </c>
      <c r="I3966" s="10">
        <f t="shared" si="61"/>
        <v>24</v>
      </c>
      <c r="K3966" s="10"/>
      <c r="L3966" s="5"/>
    </row>
    <row r="3967" spans="1:12" x14ac:dyDescent="0.25">
      <c r="A3967" s="5" t="s">
        <v>1744</v>
      </c>
      <c r="B3967" s="5" t="s">
        <v>1740</v>
      </c>
      <c r="C3967" s="5" t="s">
        <v>29</v>
      </c>
      <c r="D3967" s="21">
        <v>2</v>
      </c>
      <c r="E3967" s="12">
        <v>158</v>
      </c>
      <c r="F3967" s="10" t="str">
        <f>_xlfn.XLOOKUP(C3967,menu!A:A,menu!B:B)</f>
        <v>Paneer Roll</v>
      </c>
      <c r="G3967" s="10" t="str">
        <f>_xlfn.XLOOKUP(C3967,menu!A:A,menu!C:C)</f>
        <v>Rolls</v>
      </c>
      <c r="H3967" s="10">
        <f>_xlfn.XLOOKUP(C3967,menu!A:A,menu!E:E)</f>
        <v>24</v>
      </c>
      <c r="I3967" s="10">
        <f t="shared" si="61"/>
        <v>48</v>
      </c>
      <c r="K3967" s="10"/>
      <c r="L3967" s="5"/>
    </row>
    <row r="3968" spans="1:12" x14ac:dyDescent="0.25">
      <c r="A3968" s="5" t="s">
        <v>1743</v>
      </c>
      <c r="B3968" s="5" t="s">
        <v>1740</v>
      </c>
      <c r="C3968" s="5" t="s">
        <v>63</v>
      </c>
      <c r="D3968" s="21">
        <v>1</v>
      </c>
      <c r="E3968" s="12">
        <v>79</v>
      </c>
      <c r="F3968" s="10" t="str">
        <f>_xlfn.XLOOKUP(C3968,menu!A:A,menu!B:B)</f>
        <v>Virgin Mojito</v>
      </c>
      <c r="G3968" s="10" t="str">
        <f>_xlfn.XLOOKUP(C3968,menu!A:A,menu!C:C)</f>
        <v>Beverages</v>
      </c>
      <c r="H3968" s="10">
        <f>_xlfn.XLOOKUP(C3968,menu!A:A,menu!E:E)</f>
        <v>24</v>
      </c>
      <c r="I3968" s="10">
        <f t="shared" si="61"/>
        <v>24</v>
      </c>
      <c r="K3968" s="10"/>
      <c r="L3968" s="5"/>
    </row>
    <row r="3969" spans="1:12" x14ac:dyDescent="0.25">
      <c r="A3969" s="5" t="s">
        <v>1742</v>
      </c>
      <c r="B3969" s="5" t="s">
        <v>1740</v>
      </c>
      <c r="C3969" s="5" t="s">
        <v>50</v>
      </c>
      <c r="D3969" s="21">
        <v>1</v>
      </c>
      <c r="E3969" s="12">
        <v>149</v>
      </c>
      <c r="F3969" s="10" t="str">
        <f>_xlfn.XLOOKUP(C3969,menu!A:A,menu!B:B)</f>
        <v>Grab Lollipop</v>
      </c>
      <c r="G3969" s="10" t="str">
        <f>_xlfn.XLOOKUP(C3969,menu!A:A,menu!C:C)</f>
        <v>Starters</v>
      </c>
      <c r="H3969" s="10">
        <f>_xlfn.XLOOKUP(C3969,menu!A:A,menu!E:E)</f>
        <v>45</v>
      </c>
      <c r="I3969" s="10">
        <f t="shared" si="61"/>
        <v>45</v>
      </c>
      <c r="K3969" s="10"/>
      <c r="L3969" s="5"/>
    </row>
    <row r="3970" spans="1:12" x14ac:dyDescent="0.25">
      <c r="A3970" s="5" t="s">
        <v>1741</v>
      </c>
      <c r="B3970" s="5" t="s">
        <v>1740</v>
      </c>
      <c r="C3970" s="5" t="s">
        <v>33</v>
      </c>
      <c r="D3970" s="21">
        <v>4</v>
      </c>
      <c r="E3970" s="12">
        <v>276</v>
      </c>
      <c r="F3970" s="10" t="str">
        <f>_xlfn.XLOOKUP(C3970,menu!A:A,menu!B:B)</f>
        <v>Spring Roll</v>
      </c>
      <c r="G3970" s="10" t="str">
        <f>_xlfn.XLOOKUP(C3970,menu!A:A,menu!C:C)</f>
        <v>Rolls</v>
      </c>
      <c r="H3970" s="10">
        <f>_xlfn.XLOOKUP(C3970,menu!A:A,menu!E:E)</f>
        <v>21</v>
      </c>
      <c r="I3970" s="10">
        <f t="shared" si="61"/>
        <v>84</v>
      </c>
      <c r="K3970" s="10"/>
      <c r="L3970" s="5"/>
    </row>
    <row r="3971" spans="1:12" x14ac:dyDescent="0.25">
      <c r="A3971" s="5" t="s">
        <v>1739</v>
      </c>
      <c r="B3971" s="5" t="s">
        <v>1737</v>
      </c>
      <c r="C3971" s="5" t="s">
        <v>40</v>
      </c>
      <c r="D3971" s="21">
        <v>2</v>
      </c>
      <c r="E3971" s="12">
        <v>198</v>
      </c>
      <c r="F3971" s="10" t="str">
        <f>_xlfn.XLOOKUP(C3971,menu!A:A,menu!B:B)</f>
        <v>Veg Nuggets</v>
      </c>
      <c r="G3971" s="10" t="str">
        <f>_xlfn.XLOOKUP(C3971,menu!A:A,menu!C:C)</f>
        <v>Starters</v>
      </c>
      <c r="H3971" s="10">
        <f>_xlfn.XLOOKUP(C3971,menu!A:A,menu!E:E)</f>
        <v>30</v>
      </c>
      <c r="I3971" s="10">
        <f t="shared" ref="I3971:I4034" si="62">D3971*H3971</f>
        <v>60</v>
      </c>
      <c r="K3971" s="10"/>
      <c r="L3971" s="5"/>
    </row>
    <row r="3972" spans="1:12" x14ac:dyDescent="0.25">
      <c r="A3972" s="5" t="s">
        <v>1738</v>
      </c>
      <c r="B3972" s="5" t="s">
        <v>1737</v>
      </c>
      <c r="C3972" s="5" t="s">
        <v>33</v>
      </c>
      <c r="D3972" s="21">
        <v>3</v>
      </c>
      <c r="E3972" s="12">
        <v>207</v>
      </c>
      <c r="F3972" s="10" t="str">
        <f>_xlfn.XLOOKUP(C3972,menu!A:A,menu!B:B)</f>
        <v>Spring Roll</v>
      </c>
      <c r="G3972" s="10" t="str">
        <f>_xlfn.XLOOKUP(C3972,menu!A:A,menu!C:C)</f>
        <v>Rolls</v>
      </c>
      <c r="H3972" s="10">
        <f>_xlfn.XLOOKUP(C3972,menu!A:A,menu!E:E)</f>
        <v>21</v>
      </c>
      <c r="I3972" s="10">
        <f t="shared" si="62"/>
        <v>63</v>
      </c>
      <c r="K3972" s="10"/>
      <c r="L3972" s="5"/>
    </row>
    <row r="3973" spans="1:12" x14ac:dyDescent="0.25">
      <c r="A3973" s="5" t="s">
        <v>1736</v>
      </c>
      <c r="B3973" s="5" t="s">
        <v>1733</v>
      </c>
      <c r="C3973" s="5" t="s">
        <v>19</v>
      </c>
      <c r="D3973" s="21">
        <v>2</v>
      </c>
      <c r="E3973" s="12">
        <v>158</v>
      </c>
      <c r="F3973" s="10" t="str">
        <f>_xlfn.XLOOKUP(C3973,menu!A:A,menu!B:B)</f>
        <v>Veg Burger</v>
      </c>
      <c r="G3973" s="10" t="str">
        <f>_xlfn.XLOOKUP(C3973,menu!A:A,menu!C:C)</f>
        <v>Burger</v>
      </c>
      <c r="H3973" s="10">
        <f>_xlfn.XLOOKUP(C3973,menu!A:A,menu!E:E)</f>
        <v>24</v>
      </c>
      <c r="I3973" s="10">
        <f t="shared" si="62"/>
        <v>48</v>
      </c>
      <c r="K3973" s="10"/>
      <c r="L3973" s="5"/>
    </row>
    <row r="3974" spans="1:12" x14ac:dyDescent="0.25">
      <c r="A3974" s="5" t="s">
        <v>1735</v>
      </c>
      <c r="B3974" s="5" t="s">
        <v>1733</v>
      </c>
      <c r="C3974" s="5" t="s">
        <v>29</v>
      </c>
      <c r="D3974" s="21">
        <v>1</v>
      </c>
      <c r="E3974" s="12">
        <v>79</v>
      </c>
      <c r="F3974" s="10" t="str">
        <f>_xlfn.XLOOKUP(C3974,menu!A:A,menu!B:B)</f>
        <v>Paneer Roll</v>
      </c>
      <c r="G3974" s="10" t="str">
        <f>_xlfn.XLOOKUP(C3974,menu!A:A,menu!C:C)</f>
        <v>Rolls</v>
      </c>
      <c r="H3974" s="10">
        <f>_xlfn.XLOOKUP(C3974,menu!A:A,menu!E:E)</f>
        <v>24</v>
      </c>
      <c r="I3974" s="10">
        <f t="shared" si="62"/>
        <v>24</v>
      </c>
      <c r="K3974" s="10"/>
      <c r="L3974" s="5"/>
    </row>
    <row r="3975" spans="1:12" x14ac:dyDescent="0.25">
      <c r="A3975" s="5" t="s">
        <v>1734</v>
      </c>
      <c r="B3975" s="5" t="s">
        <v>1733</v>
      </c>
      <c r="C3975" s="5" t="s">
        <v>61</v>
      </c>
      <c r="D3975" s="21">
        <v>1</v>
      </c>
      <c r="E3975" s="12">
        <v>79</v>
      </c>
      <c r="F3975" s="10" t="str">
        <f>_xlfn.XLOOKUP(C3975,menu!A:A,menu!B:B)</f>
        <v>Watermelon Mojito</v>
      </c>
      <c r="G3975" s="10" t="str">
        <f>_xlfn.XLOOKUP(C3975,menu!A:A,menu!C:C)</f>
        <v>Beverages</v>
      </c>
      <c r="H3975" s="10">
        <f>_xlfn.XLOOKUP(C3975,menu!A:A,menu!E:E)</f>
        <v>24</v>
      </c>
      <c r="I3975" s="10">
        <f t="shared" si="62"/>
        <v>24</v>
      </c>
      <c r="K3975" s="10"/>
      <c r="L3975" s="5"/>
    </row>
    <row r="3976" spans="1:12" x14ac:dyDescent="0.25">
      <c r="A3976" s="5" t="s">
        <v>1732</v>
      </c>
      <c r="B3976" s="5" t="s">
        <v>1731</v>
      </c>
      <c r="C3976" s="5" t="s">
        <v>46</v>
      </c>
      <c r="D3976" s="21">
        <v>2</v>
      </c>
      <c r="E3976" s="12">
        <v>298</v>
      </c>
      <c r="F3976" s="10" t="str">
        <f>_xlfn.XLOOKUP(C3976,menu!A:A,menu!B:B)</f>
        <v>Fish Finger</v>
      </c>
      <c r="G3976" s="10" t="str">
        <f>_xlfn.XLOOKUP(C3976,menu!A:A,menu!C:C)</f>
        <v>Starters</v>
      </c>
      <c r="H3976" s="10">
        <f>_xlfn.XLOOKUP(C3976,menu!A:A,menu!E:E)</f>
        <v>45</v>
      </c>
      <c r="I3976" s="10">
        <f t="shared" si="62"/>
        <v>90</v>
      </c>
      <c r="K3976" s="10"/>
      <c r="L3976" s="5"/>
    </row>
    <row r="3977" spans="1:12" x14ac:dyDescent="0.25">
      <c r="A3977" s="5" t="s">
        <v>1730</v>
      </c>
      <c r="B3977" s="5" t="s">
        <v>1727</v>
      </c>
      <c r="C3977" s="5" t="s">
        <v>44</v>
      </c>
      <c r="D3977" s="21">
        <v>3</v>
      </c>
      <c r="E3977" s="12">
        <v>477</v>
      </c>
      <c r="F3977" s="10" t="str">
        <f>_xlfn.XLOOKUP(C3977,menu!A:A,menu!B:B)</f>
        <v>Fried Chicken</v>
      </c>
      <c r="G3977" s="10" t="str">
        <f>_xlfn.XLOOKUP(C3977,menu!A:A,menu!C:C)</f>
        <v>Starters</v>
      </c>
      <c r="H3977" s="10">
        <f>_xlfn.XLOOKUP(C3977,menu!A:A,menu!E:E)</f>
        <v>48</v>
      </c>
      <c r="I3977" s="10">
        <f t="shared" si="62"/>
        <v>144</v>
      </c>
      <c r="K3977" s="10"/>
      <c r="L3977" s="5"/>
    </row>
    <row r="3978" spans="1:12" x14ac:dyDescent="0.25">
      <c r="A3978" s="5" t="s">
        <v>1729</v>
      </c>
      <c r="B3978" s="5" t="s">
        <v>1727</v>
      </c>
      <c r="C3978" s="5" t="s">
        <v>46</v>
      </c>
      <c r="D3978" s="21">
        <v>2</v>
      </c>
      <c r="E3978" s="12">
        <v>298</v>
      </c>
      <c r="F3978" s="10" t="str">
        <f>_xlfn.XLOOKUP(C3978,menu!A:A,menu!B:B)</f>
        <v>Fish Finger</v>
      </c>
      <c r="G3978" s="10" t="str">
        <f>_xlfn.XLOOKUP(C3978,menu!A:A,menu!C:C)</f>
        <v>Starters</v>
      </c>
      <c r="H3978" s="10">
        <f>_xlfn.XLOOKUP(C3978,menu!A:A,menu!E:E)</f>
        <v>45</v>
      </c>
      <c r="I3978" s="10">
        <f t="shared" si="62"/>
        <v>90</v>
      </c>
      <c r="K3978" s="10"/>
      <c r="L3978" s="5"/>
    </row>
    <row r="3979" spans="1:12" x14ac:dyDescent="0.25">
      <c r="A3979" s="5" t="s">
        <v>1728</v>
      </c>
      <c r="B3979" s="5" t="s">
        <v>1727</v>
      </c>
      <c r="C3979" s="5" t="s">
        <v>24</v>
      </c>
      <c r="D3979" s="21">
        <v>5</v>
      </c>
      <c r="E3979" s="12">
        <v>445</v>
      </c>
      <c r="F3979" s="10" t="str">
        <f>_xlfn.XLOOKUP(C3979,menu!A:A,menu!B:B)</f>
        <v>Paneer Burger</v>
      </c>
      <c r="G3979" s="10" t="str">
        <f>_xlfn.XLOOKUP(C3979,menu!A:A,menu!C:C)</f>
        <v>Burger</v>
      </c>
      <c r="H3979" s="10">
        <f>_xlfn.XLOOKUP(C3979,menu!A:A,menu!E:E)</f>
        <v>27</v>
      </c>
      <c r="I3979" s="10">
        <f t="shared" si="62"/>
        <v>135</v>
      </c>
      <c r="K3979" s="10"/>
      <c r="L3979" s="5"/>
    </row>
    <row r="3980" spans="1:12" x14ac:dyDescent="0.25">
      <c r="A3980" s="5" t="s">
        <v>1726</v>
      </c>
      <c r="B3980" s="5" t="s">
        <v>1724</v>
      </c>
      <c r="C3980" s="5" t="s">
        <v>42</v>
      </c>
      <c r="D3980" s="21">
        <v>2</v>
      </c>
      <c r="E3980" s="12">
        <v>298</v>
      </c>
      <c r="F3980" s="10" t="str">
        <f>_xlfn.XLOOKUP(C3980,menu!A:A,menu!B:B)</f>
        <v>Chicken Popcorn</v>
      </c>
      <c r="G3980" s="10" t="str">
        <f>_xlfn.XLOOKUP(C3980,menu!A:A,menu!C:C)</f>
        <v>Starters</v>
      </c>
      <c r="H3980" s="10">
        <f>_xlfn.XLOOKUP(C3980,menu!A:A,menu!E:E)</f>
        <v>45</v>
      </c>
      <c r="I3980" s="10">
        <f t="shared" si="62"/>
        <v>90</v>
      </c>
      <c r="K3980" s="10"/>
      <c r="L3980" s="5"/>
    </row>
    <row r="3981" spans="1:12" x14ac:dyDescent="0.25">
      <c r="A3981" s="5" t="s">
        <v>1725</v>
      </c>
      <c r="B3981" s="5" t="s">
        <v>1724</v>
      </c>
      <c r="C3981" s="5" t="s">
        <v>48</v>
      </c>
      <c r="D3981" s="21">
        <v>1</v>
      </c>
      <c r="E3981" s="12">
        <v>159</v>
      </c>
      <c r="F3981" s="10" t="str">
        <f>_xlfn.XLOOKUP(C3981,menu!A:A,menu!B:B)</f>
        <v>Chicken Lollipop</v>
      </c>
      <c r="G3981" s="10" t="str">
        <f>_xlfn.XLOOKUP(C3981,menu!A:A,menu!C:C)</f>
        <v>Starters</v>
      </c>
      <c r="H3981" s="10">
        <f>_xlfn.XLOOKUP(C3981,menu!A:A,menu!E:E)</f>
        <v>48</v>
      </c>
      <c r="I3981" s="10">
        <f t="shared" si="62"/>
        <v>48</v>
      </c>
      <c r="K3981" s="10"/>
      <c r="L3981" s="5"/>
    </row>
    <row r="3982" spans="1:12" x14ac:dyDescent="0.25">
      <c r="A3982" s="5" t="s">
        <v>1723</v>
      </c>
      <c r="B3982" s="5" t="s">
        <v>1722</v>
      </c>
      <c r="C3982" s="5" t="s">
        <v>35</v>
      </c>
      <c r="D3982" s="21">
        <v>1</v>
      </c>
      <c r="E3982" s="12">
        <v>119</v>
      </c>
      <c r="F3982" s="10" t="str">
        <f>_xlfn.XLOOKUP(C3982,menu!A:A,menu!B:B)</f>
        <v>Chicken Nuggets</v>
      </c>
      <c r="G3982" s="10" t="str">
        <f>_xlfn.XLOOKUP(C3982,menu!A:A,menu!C:C)</f>
        <v>Starters</v>
      </c>
      <c r="H3982" s="10">
        <f>_xlfn.XLOOKUP(C3982,menu!A:A,menu!E:E)</f>
        <v>36</v>
      </c>
      <c r="I3982" s="10">
        <f t="shared" si="62"/>
        <v>36</v>
      </c>
      <c r="K3982" s="10"/>
      <c r="L3982" s="5"/>
    </row>
    <row r="3983" spans="1:12" x14ac:dyDescent="0.25">
      <c r="A3983" s="5" t="s">
        <v>1721</v>
      </c>
      <c r="B3983" s="5" t="s">
        <v>1719</v>
      </c>
      <c r="C3983" s="5" t="s">
        <v>10</v>
      </c>
      <c r="D3983" s="21">
        <v>1</v>
      </c>
      <c r="E3983" s="12">
        <v>119</v>
      </c>
      <c r="F3983" s="10" t="str">
        <f>_xlfn.XLOOKUP(C3983,menu!A:A,menu!B:B)</f>
        <v>Chicken Sandwich</v>
      </c>
      <c r="G3983" s="10" t="str">
        <f>_xlfn.XLOOKUP(C3983,menu!A:A,menu!C:C)</f>
        <v>Sandwich</v>
      </c>
      <c r="H3983" s="10">
        <f>_xlfn.XLOOKUP(C3983,menu!A:A,menu!E:E)</f>
        <v>36</v>
      </c>
      <c r="I3983" s="10">
        <f t="shared" si="62"/>
        <v>36</v>
      </c>
      <c r="K3983" s="10"/>
      <c r="L3983" s="5"/>
    </row>
    <row r="3984" spans="1:12" x14ac:dyDescent="0.25">
      <c r="A3984" s="5" t="s">
        <v>1720</v>
      </c>
      <c r="B3984" s="5" t="s">
        <v>1719</v>
      </c>
      <c r="C3984" s="5" t="s">
        <v>59</v>
      </c>
      <c r="D3984" s="21">
        <v>2</v>
      </c>
      <c r="E3984" s="12">
        <v>158</v>
      </c>
      <c r="F3984" s="10" t="str">
        <f>_xlfn.XLOOKUP(C3984,menu!A:A,menu!B:B)</f>
        <v>Blue Curacao Mojito</v>
      </c>
      <c r="G3984" s="10" t="str">
        <f>_xlfn.XLOOKUP(C3984,menu!A:A,menu!C:C)</f>
        <v>Beverages</v>
      </c>
      <c r="H3984" s="10">
        <f>_xlfn.XLOOKUP(C3984,menu!A:A,menu!E:E)</f>
        <v>24</v>
      </c>
      <c r="I3984" s="10">
        <f t="shared" si="62"/>
        <v>48</v>
      </c>
      <c r="K3984" s="10"/>
      <c r="L3984" s="5"/>
    </row>
    <row r="3985" spans="1:12" x14ac:dyDescent="0.25">
      <c r="A3985" s="5" t="s">
        <v>1718</v>
      </c>
      <c r="B3985" s="5" t="s">
        <v>1715</v>
      </c>
      <c r="C3985" s="5" t="s">
        <v>12</v>
      </c>
      <c r="D3985" s="21">
        <v>4</v>
      </c>
      <c r="E3985" s="12">
        <v>316</v>
      </c>
      <c r="F3985" s="10" t="str">
        <f>_xlfn.XLOOKUP(C3985,menu!A:A,menu!B:B)</f>
        <v>Veg Momos</v>
      </c>
      <c r="G3985" s="10" t="str">
        <f>_xlfn.XLOOKUP(C3985,menu!A:A,menu!C:C)</f>
        <v>Momos</v>
      </c>
      <c r="H3985" s="10">
        <f>_xlfn.XLOOKUP(C3985,menu!A:A,menu!E:E)</f>
        <v>24</v>
      </c>
      <c r="I3985" s="10">
        <f t="shared" si="62"/>
        <v>96</v>
      </c>
      <c r="K3985" s="10"/>
      <c r="L3985" s="5"/>
    </row>
    <row r="3986" spans="1:12" x14ac:dyDescent="0.25">
      <c r="A3986" s="5" t="s">
        <v>1717</v>
      </c>
      <c r="B3986" s="5" t="s">
        <v>1715</v>
      </c>
      <c r="C3986" s="5" t="s">
        <v>10</v>
      </c>
      <c r="D3986" s="21">
        <v>2</v>
      </c>
      <c r="E3986" s="12">
        <v>238</v>
      </c>
      <c r="F3986" s="10" t="str">
        <f>_xlfn.XLOOKUP(C3986,menu!A:A,menu!B:B)</f>
        <v>Chicken Sandwich</v>
      </c>
      <c r="G3986" s="10" t="str">
        <f>_xlfn.XLOOKUP(C3986,menu!A:A,menu!C:C)</f>
        <v>Sandwich</v>
      </c>
      <c r="H3986" s="10">
        <f>_xlfn.XLOOKUP(C3986,menu!A:A,menu!E:E)</f>
        <v>36</v>
      </c>
      <c r="I3986" s="10">
        <f t="shared" si="62"/>
        <v>72</v>
      </c>
      <c r="K3986" s="10"/>
      <c r="L3986" s="5"/>
    </row>
    <row r="3987" spans="1:12" x14ac:dyDescent="0.25">
      <c r="A3987" s="5" t="s">
        <v>1716</v>
      </c>
      <c r="B3987" s="5" t="s">
        <v>1715</v>
      </c>
      <c r="C3987" s="5" t="s">
        <v>19</v>
      </c>
      <c r="D3987" s="21">
        <v>3</v>
      </c>
      <c r="E3987" s="12">
        <v>237</v>
      </c>
      <c r="F3987" s="10" t="str">
        <f>_xlfn.XLOOKUP(C3987,menu!A:A,menu!B:B)</f>
        <v>Veg Burger</v>
      </c>
      <c r="G3987" s="10" t="str">
        <f>_xlfn.XLOOKUP(C3987,menu!A:A,menu!C:C)</f>
        <v>Burger</v>
      </c>
      <c r="H3987" s="10">
        <f>_xlfn.XLOOKUP(C3987,menu!A:A,menu!E:E)</f>
        <v>24</v>
      </c>
      <c r="I3987" s="10">
        <f t="shared" si="62"/>
        <v>72</v>
      </c>
      <c r="K3987" s="10"/>
      <c r="L3987" s="5"/>
    </row>
    <row r="3988" spans="1:12" x14ac:dyDescent="0.25">
      <c r="A3988" s="5" t="s">
        <v>1714</v>
      </c>
      <c r="B3988" s="5" t="s">
        <v>1713</v>
      </c>
      <c r="C3988" s="5" t="s">
        <v>48</v>
      </c>
      <c r="D3988" s="21">
        <v>4</v>
      </c>
      <c r="E3988" s="12">
        <v>636</v>
      </c>
      <c r="F3988" s="10" t="str">
        <f>_xlfn.XLOOKUP(C3988,menu!A:A,menu!B:B)</f>
        <v>Chicken Lollipop</v>
      </c>
      <c r="G3988" s="10" t="str">
        <f>_xlfn.XLOOKUP(C3988,menu!A:A,menu!C:C)</f>
        <v>Starters</v>
      </c>
      <c r="H3988" s="10">
        <f>_xlfn.XLOOKUP(C3988,menu!A:A,menu!E:E)</f>
        <v>48</v>
      </c>
      <c r="I3988" s="10">
        <f t="shared" si="62"/>
        <v>192</v>
      </c>
      <c r="K3988" s="10"/>
      <c r="L3988" s="5"/>
    </row>
    <row r="3989" spans="1:12" x14ac:dyDescent="0.25">
      <c r="A3989" s="5" t="s">
        <v>1712</v>
      </c>
      <c r="B3989" s="5" t="s">
        <v>1708</v>
      </c>
      <c r="C3989" s="5" t="s">
        <v>35</v>
      </c>
      <c r="D3989" s="21">
        <v>3</v>
      </c>
      <c r="E3989" s="12">
        <v>357</v>
      </c>
      <c r="F3989" s="10" t="str">
        <f>_xlfn.XLOOKUP(C3989,menu!A:A,menu!B:B)</f>
        <v>Chicken Nuggets</v>
      </c>
      <c r="G3989" s="10" t="str">
        <f>_xlfn.XLOOKUP(C3989,menu!A:A,menu!C:C)</f>
        <v>Starters</v>
      </c>
      <c r="H3989" s="10">
        <f>_xlfn.XLOOKUP(C3989,menu!A:A,menu!E:E)</f>
        <v>36</v>
      </c>
      <c r="I3989" s="10">
        <f t="shared" si="62"/>
        <v>108</v>
      </c>
      <c r="K3989" s="10"/>
      <c r="L3989" s="5"/>
    </row>
    <row r="3990" spans="1:12" x14ac:dyDescent="0.25">
      <c r="A3990" s="5" t="s">
        <v>1711</v>
      </c>
      <c r="B3990" s="5" t="s">
        <v>1708</v>
      </c>
      <c r="C3990" s="5" t="s">
        <v>15</v>
      </c>
      <c r="D3990" s="21">
        <v>1</v>
      </c>
      <c r="E3990" s="12">
        <v>99</v>
      </c>
      <c r="F3990" s="10" t="str">
        <f>_xlfn.XLOOKUP(C3990,menu!A:A,menu!B:B)</f>
        <v>Chicken Momos</v>
      </c>
      <c r="G3990" s="10" t="str">
        <f>_xlfn.XLOOKUP(C3990,menu!A:A,menu!C:C)</f>
        <v>Momos</v>
      </c>
      <c r="H3990" s="10">
        <f>_xlfn.XLOOKUP(C3990,menu!A:A,menu!E:E)</f>
        <v>30</v>
      </c>
      <c r="I3990" s="10">
        <f t="shared" si="62"/>
        <v>30</v>
      </c>
      <c r="K3990" s="10"/>
      <c r="L3990" s="5"/>
    </row>
    <row r="3991" spans="1:12" x14ac:dyDescent="0.25">
      <c r="A3991" s="5" t="s">
        <v>1710</v>
      </c>
      <c r="B3991" s="5" t="s">
        <v>1708</v>
      </c>
      <c r="C3991" s="5" t="s">
        <v>46</v>
      </c>
      <c r="D3991" s="21">
        <v>2</v>
      </c>
      <c r="E3991" s="12">
        <v>298</v>
      </c>
      <c r="F3991" s="10" t="str">
        <f>_xlfn.XLOOKUP(C3991,menu!A:A,menu!B:B)</f>
        <v>Fish Finger</v>
      </c>
      <c r="G3991" s="10" t="str">
        <f>_xlfn.XLOOKUP(C3991,menu!A:A,menu!C:C)</f>
        <v>Starters</v>
      </c>
      <c r="H3991" s="10">
        <f>_xlfn.XLOOKUP(C3991,menu!A:A,menu!E:E)</f>
        <v>45</v>
      </c>
      <c r="I3991" s="10">
        <f t="shared" si="62"/>
        <v>90</v>
      </c>
      <c r="K3991" s="10"/>
      <c r="L3991" s="5"/>
    </row>
    <row r="3992" spans="1:12" x14ac:dyDescent="0.25">
      <c r="A3992" s="5" t="s">
        <v>1709</v>
      </c>
      <c r="B3992" s="5" t="s">
        <v>1708</v>
      </c>
      <c r="C3992" s="5" t="s">
        <v>59</v>
      </c>
      <c r="D3992" s="21">
        <v>2</v>
      </c>
      <c r="E3992" s="12">
        <v>158</v>
      </c>
      <c r="F3992" s="10" t="str">
        <f>_xlfn.XLOOKUP(C3992,menu!A:A,menu!B:B)</f>
        <v>Blue Curacao Mojito</v>
      </c>
      <c r="G3992" s="10" t="str">
        <f>_xlfn.XLOOKUP(C3992,menu!A:A,menu!C:C)</f>
        <v>Beverages</v>
      </c>
      <c r="H3992" s="10">
        <f>_xlfn.XLOOKUP(C3992,menu!A:A,menu!E:E)</f>
        <v>24</v>
      </c>
      <c r="I3992" s="10">
        <f t="shared" si="62"/>
        <v>48</v>
      </c>
      <c r="K3992" s="10"/>
      <c r="L3992" s="5"/>
    </row>
    <row r="3993" spans="1:12" x14ac:dyDescent="0.25">
      <c r="A3993" s="5" t="s">
        <v>1707</v>
      </c>
      <c r="B3993" s="5" t="s">
        <v>1704</v>
      </c>
      <c r="C3993" s="5" t="s">
        <v>35</v>
      </c>
      <c r="D3993" s="21">
        <v>4</v>
      </c>
      <c r="E3993" s="12">
        <v>476</v>
      </c>
      <c r="F3993" s="10" t="str">
        <f>_xlfn.XLOOKUP(C3993,menu!A:A,menu!B:B)</f>
        <v>Chicken Nuggets</v>
      </c>
      <c r="G3993" s="10" t="str">
        <f>_xlfn.XLOOKUP(C3993,menu!A:A,menu!C:C)</f>
        <v>Starters</v>
      </c>
      <c r="H3993" s="10">
        <f>_xlfn.XLOOKUP(C3993,menu!A:A,menu!E:E)</f>
        <v>36</v>
      </c>
      <c r="I3993" s="10">
        <f t="shared" si="62"/>
        <v>144</v>
      </c>
      <c r="K3993" s="10"/>
      <c r="L3993" s="5"/>
    </row>
    <row r="3994" spans="1:12" x14ac:dyDescent="0.25">
      <c r="A3994" s="5" t="s">
        <v>1706</v>
      </c>
      <c r="B3994" s="5" t="s">
        <v>1704</v>
      </c>
      <c r="C3994" s="5" t="s">
        <v>42</v>
      </c>
      <c r="D3994" s="21">
        <v>1</v>
      </c>
      <c r="E3994" s="12">
        <v>149</v>
      </c>
      <c r="F3994" s="10" t="str">
        <f>_xlfn.XLOOKUP(C3994,menu!A:A,menu!B:B)</f>
        <v>Chicken Popcorn</v>
      </c>
      <c r="G3994" s="10" t="str">
        <f>_xlfn.XLOOKUP(C3994,menu!A:A,menu!C:C)</f>
        <v>Starters</v>
      </c>
      <c r="H3994" s="10">
        <f>_xlfn.XLOOKUP(C3994,menu!A:A,menu!E:E)</f>
        <v>45</v>
      </c>
      <c r="I3994" s="10">
        <f t="shared" si="62"/>
        <v>45</v>
      </c>
      <c r="K3994" s="10"/>
      <c r="L3994" s="5"/>
    </row>
    <row r="3995" spans="1:12" x14ac:dyDescent="0.25">
      <c r="A3995" s="5" t="s">
        <v>1705</v>
      </c>
      <c r="B3995" s="5" t="s">
        <v>1704</v>
      </c>
      <c r="C3995" s="5" t="s">
        <v>8</v>
      </c>
      <c r="D3995" s="21">
        <v>1</v>
      </c>
      <c r="E3995" s="12">
        <v>99</v>
      </c>
      <c r="F3995" s="10" t="str">
        <f>_xlfn.XLOOKUP(C3995,menu!A:A,menu!B:B)</f>
        <v>Paneer Sandwich</v>
      </c>
      <c r="G3995" s="10" t="str">
        <f>_xlfn.XLOOKUP(C3995,menu!A:A,menu!C:C)</f>
        <v>Sandwich</v>
      </c>
      <c r="H3995" s="10">
        <f>_xlfn.XLOOKUP(C3995,menu!A:A,menu!E:E)</f>
        <v>30</v>
      </c>
      <c r="I3995" s="10">
        <f t="shared" si="62"/>
        <v>30</v>
      </c>
      <c r="K3995" s="10"/>
      <c r="L3995" s="5"/>
    </row>
    <row r="3996" spans="1:12" x14ac:dyDescent="0.25">
      <c r="A3996" s="5" t="s">
        <v>1703</v>
      </c>
      <c r="B3996" s="5" t="s">
        <v>1700</v>
      </c>
      <c r="C3996" s="5" t="s">
        <v>35</v>
      </c>
      <c r="D3996" s="21">
        <v>2</v>
      </c>
      <c r="E3996" s="12">
        <v>238</v>
      </c>
      <c r="F3996" s="10" t="str">
        <f>_xlfn.XLOOKUP(C3996,menu!A:A,menu!B:B)</f>
        <v>Chicken Nuggets</v>
      </c>
      <c r="G3996" s="10" t="str">
        <f>_xlfn.XLOOKUP(C3996,menu!A:A,menu!C:C)</f>
        <v>Starters</v>
      </c>
      <c r="H3996" s="10">
        <f>_xlfn.XLOOKUP(C3996,menu!A:A,menu!E:E)</f>
        <v>36</v>
      </c>
      <c r="I3996" s="10">
        <f t="shared" si="62"/>
        <v>72</v>
      </c>
      <c r="K3996" s="10"/>
      <c r="L3996" s="5"/>
    </row>
    <row r="3997" spans="1:12" x14ac:dyDescent="0.25">
      <c r="A3997" s="5" t="s">
        <v>1702</v>
      </c>
      <c r="B3997" s="5" t="s">
        <v>1700</v>
      </c>
      <c r="C3997" s="5" t="s">
        <v>33</v>
      </c>
      <c r="D3997" s="21">
        <v>1</v>
      </c>
      <c r="E3997" s="12">
        <v>69</v>
      </c>
      <c r="F3997" s="10" t="str">
        <f>_xlfn.XLOOKUP(C3997,menu!A:A,menu!B:B)</f>
        <v>Spring Roll</v>
      </c>
      <c r="G3997" s="10" t="str">
        <f>_xlfn.XLOOKUP(C3997,menu!A:A,menu!C:C)</f>
        <v>Rolls</v>
      </c>
      <c r="H3997" s="10">
        <f>_xlfn.XLOOKUP(C3997,menu!A:A,menu!E:E)</f>
        <v>21</v>
      </c>
      <c r="I3997" s="10">
        <f t="shared" si="62"/>
        <v>21</v>
      </c>
      <c r="K3997" s="10"/>
      <c r="L3997" s="5"/>
    </row>
    <row r="3998" spans="1:12" x14ac:dyDescent="0.25">
      <c r="A3998" s="5" t="s">
        <v>1701</v>
      </c>
      <c r="B3998" s="5" t="s">
        <v>1700</v>
      </c>
      <c r="C3998" s="5" t="s">
        <v>59</v>
      </c>
      <c r="D3998" s="21">
        <v>2</v>
      </c>
      <c r="E3998" s="12">
        <v>158</v>
      </c>
      <c r="F3998" s="10" t="str">
        <f>_xlfn.XLOOKUP(C3998,menu!A:A,menu!B:B)</f>
        <v>Blue Curacao Mojito</v>
      </c>
      <c r="G3998" s="10" t="str">
        <f>_xlfn.XLOOKUP(C3998,menu!A:A,menu!C:C)</f>
        <v>Beverages</v>
      </c>
      <c r="H3998" s="10">
        <f>_xlfn.XLOOKUP(C3998,menu!A:A,menu!E:E)</f>
        <v>24</v>
      </c>
      <c r="I3998" s="10">
        <f t="shared" si="62"/>
        <v>48</v>
      </c>
      <c r="K3998" s="10"/>
      <c r="L3998" s="5"/>
    </row>
    <row r="3999" spans="1:12" x14ac:dyDescent="0.25">
      <c r="A3999" s="5" t="s">
        <v>1699</v>
      </c>
      <c r="B3999" s="5" t="s">
        <v>1697</v>
      </c>
      <c r="C3999" s="5" t="s">
        <v>50</v>
      </c>
      <c r="D3999" s="21">
        <v>1</v>
      </c>
      <c r="E3999" s="12">
        <v>149</v>
      </c>
      <c r="F3999" s="10" t="str">
        <f>_xlfn.XLOOKUP(C3999,menu!A:A,menu!B:B)</f>
        <v>Grab Lollipop</v>
      </c>
      <c r="G3999" s="10" t="str">
        <f>_xlfn.XLOOKUP(C3999,menu!A:A,menu!C:C)</f>
        <v>Starters</v>
      </c>
      <c r="H3999" s="10">
        <f>_xlfn.XLOOKUP(C3999,menu!A:A,menu!E:E)</f>
        <v>45</v>
      </c>
      <c r="I3999" s="10">
        <f t="shared" si="62"/>
        <v>45</v>
      </c>
      <c r="K3999" s="10"/>
      <c r="L3999" s="5"/>
    </row>
    <row r="4000" spans="1:12" x14ac:dyDescent="0.25">
      <c r="A4000" s="5" t="s">
        <v>1698</v>
      </c>
      <c r="B4000" s="5" t="s">
        <v>1697</v>
      </c>
      <c r="C4000" s="5" t="s">
        <v>48</v>
      </c>
      <c r="D4000" s="21">
        <v>1</v>
      </c>
      <c r="E4000" s="12">
        <v>159</v>
      </c>
      <c r="F4000" s="10" t="str">
        <f>_xlfn.XLOOKUP(C4000,menu!A:A,menu!B:B)</f>
        <v>Chicken Lollipop</v>
      </c>
      <c r="G4000" s="10" t="str">
        <f>_xlfn.XLOOKUP(C4000,menu!A:A,menu!C:C)</f>
        <v>Starters</v>
      </c>
      <c r="H4000" s="10">
        <f>_xlfn.XLOOKUP(C4000,menu!A:A,menu!E:E)</f>
        <v>48</v>
      </c>
      <c r="I4000" s="10">
        <f t="shared" si="62"/>
        <v>48</v>
      </c>
      <c r="K4000" s="10"/>
      <c r="L4000" s="5"/>
    </row>
    <row r="4001" spans="1:12" x14ac:dyDescent="0.25">
      <c r="A4001" s="5" t="s">
        <v>1696</v>
      </c>
      <c r="B4001" s="5" t="s">
        <v>1695</v>
      </c>
      <c r="C4001" s="5" t="s">
        <v>44</v>
      </c>
      <c r="D4001" s="21">
        <v>1</v>
      </c>
      <c r="E4001" s="12">
        <v>159</v>
      </c>
      <c r="F4001" s="10" t="str">
        <f>_xlfn.XLOOKUP(C4001,menu!A:A,menu!B:B)</f>
        <v>Fried Chicken</v>
      </c>
      <c r="G4001" s="10" t="str">
        <f>_xlfn.XLOOKUP(C4001,menu!A:A,menu!C:C)</f>
        <v>Starters</v>
      </c>
      <c r="H4001" s="10">
        <f>_xlfn.XLOOKUP(C4001,menu!A:A,menu!E:E)</f>
        <v>48</v>
      </c>
      <c r="I4001" s="10">
        <f t="shared" si="62"/>
        <v>48</v>
      </c>
      <c r="K4001" s="10"/>
      <c r="L4001" s="5"/>
    </row>
    <row r="4002" spans="1:12" x14ac:dyDescent="0.25">
      <c r="A4002" s="5" t="s">
        <v>1694</v>
      </c>
      <c r="B4002" s="5" t="s">
        <v>1692</v>
      </c>
      <c r="C4002" s="5" t="s">
        <v>8</v>
      </c>
      <c r="D4002" s="21">
        <v>1</v>
      </c>
      <c r="E4002" s="12">
        <v>99</v>
      </c>
      <c r="F4002" s="10" t="str">
        <f>_xlfn.XLOOKUP(C4002,menu!A:A,menu!B:B)</f>
        <v>Paneer Sandwich</v>
      </c>
      <c r="G4002" s="10" t="str">
        <f>_xlfn.XLOOKUP(C4002,menu!A:A,menu!C:C)</f>
        <v>Sandwich</v>
      </c>
      <c r="H4002" s="10">
        <f>_xlfn.XLOOKUP(C4002,menu!A:A,menu!E:E)</f>
        <v>30</v>
      </c>
      <c r="I4002" s="10">
        <f t="shared" si="62"/>
        <v>30</v>
      </c>
      <c r="K4002" s="10"/>
      <c r="L4002" s="5"/>
    </row>
    <row r="4003" spans="1:12" x14ac:dyDescent="0.25">
      <c r="A4003" s="5" t="s">
        <v>1693</v>
      </c>
      <c r="B4003" s="5" t="s">
        <v>1692</v>
      </c>
      <c r="C4003" s="5" t="s">
        <v>38</v>
      </c>
      <c r="D4003" s="21">
        <v>2</v>
      </c>
      <c r="E4003" s="12">
        <v>298</v>
      </c>
      <c r="F4003" s="10" t="str">
        <f>_xlfn.XLOOKUP(C4003,menu!A:A,menu!B:B)</f>
        <v>Chicken Wings</v>
      </c>
      <c r="G4003" s="10" t="str">
        <f>_xlfn.XLOOKUP(C4003,menu!A:A,menu!C:C)</f>
        <v>Starters</v>
      </c>
      <c r="H4003" s="10">
        <f>_xlfn.XLOOKUP(C4003,menu!A:A,menu!E:E)</f>
        <v>45</v>
      </c>
      <c r="I4003" s="10">
        <f t="shared" si="62"/>
        <v>90</v>
      </c>
      <c r="K4003" s="10"/>
      <c r="L4003" s="5"/>
    </row>
    <row r="4004" spans="1:12" x14ac:dyDescent="0.25">
      <c r="A4004" s="5" t="s">
        <v>1691</v>
      </c>
      <c r="B4004" s="5" t="s">
        <v>1689</v>
      </c>
      <c r="C4004" s="5" t="s">
        <v>52</v>
      </c>
      <c r="D4004" s="21">
        <v>4</v>
      </c>
      <c r="E4004" s="12">
        <v>396</v>
      </c>
      <c r="F4004" s="10" t="str">
        <f>_xlfn.XLOOKUP(C4004,menu!A:A,menu!B:B)</f>
        <v>French Fries</v>
      </c>
      <c r="G4004" s="10" t="str">
        <f>_xlfn.XLOOKUP(C4004,menu!A:A,menu!C:C)</f>
        <v>Starters</v>
      </c>
      <c r="H4004" s="10">
        <f>_xlfn.XLOOKUP(C4004,menu!A:A,menu!E:E)</f>
        <v>30</v>
      </c>
      <c r="I4004" s="10">
        <f t="shared" si="62"/>
        <v>120</v>
      </c>
      <c r="K4004" s="10"/>
      <c r="L4004" s="5"/>
    </row>
    <row r="4005" spans="1:12" x14ac:dyDescent="0.25">
      <c r="A4005" s="5" t="s">
        <v>1690</v>
      </c>
      <c r="B4005" s="5" t="s">
        <v>1689</v>
      </c>
      <c r="C4005" s="5" t="s">
        <v>61</v>
      </c>
      <c r="D4005" s="21">
        <v>1</v>
      </c>
      <c r="E4005" s="12">
        <v>79</v>
      </c>
      <c r="F4005" s="10" t="str">
        <f>_xlfn.XLOOKUP(C4005,menu!A:A,menu!B:B)</f>
        <v>Watermelon Mojito</v>
      </c>
      <c r="G4005" s="10" t="str">
        <f>_xlfn.XLOOKUP(C4005,menu!A:A,menu!C:C)</f>
        <v>Beverages</v>
      </c>
      <c r="H4005" s="10">
        <f>_xlfn.XLOOKUP(C4005,menu!A:A,menu!E:E)</f>
        <v>24</v>
      </c>
      <c r="I4005" s="10">
        <f t="shared" si="62"/>
        <v>24</v>
      </c>
      <c r="K4005" s="10"/>
      <c r="L4005" s="5"/>
    </row>
    <row r="4006" spans="1:12" x14ac:dyDescent="0.25">
      <c r="A4006" s="5" t="s">
        <v>1688</v>
      </c>
      <c r="B4006" s="5" t="s">
        <v>1685</v>
      </c>
      <c r="C4006" s="5" t="s">
        <v>29</v>
      </c>
      <c r="D4006" s="21">
        <v>3</v>
      </c>
      <c r="E4006" s="12">
        <v>237</v>
      </c>
      <c r="F4006" s="10" t="str">
        <f>_xlfn.XLOOKUP(C4006,menu!A:A,menu!B:B)</f>
        <v>Paneer Roll</v>
      </c>
      <c r="G4006" s="10" t="str">
        <f>_xlfn.XLOOKUP(C4006,menu!A:A,menu!C:C)</f>
        <v>Rolls</v>
      </c>
      <c r="H4006" s="10">
        <f>_xlfn.XLOOKUP(C4006,menu!A:A,menu!E:E)</f>
        <v>24</v>
      </c>
      <c r="I4006" s="10">
        <f t="shared" si="62"/>
        <v>72</v>
      </c>
      <c r="K4006" s="10"/>
      <c r="L4006" s="5"/>
    </row>
    <row r="4007" spans="1:12" x14ac:dyDescent="0.25">
      <c r="A4007" s="5" t="s">
        <v>1687</v>
      </c>
      <c r="B4007" s="5" t="s">
        <v>1685</v>
      </c>
      <c r="C4007" s="5" t="s">
        <v>44</v>
      </c>
      <c r="D4007" s="21">
        <v>1</v>
      </c>
      <c r="E4007" s="12">
        <v>159</v>
      </c>
      <c r="F4007" s="10" t="str">
        <f>_xlfn.XLOOKUP(C4007,menu!A:A,menu!B:B)</f>
        <v>Fried Chicken</v>
      </c>
      <c r="G4007" s="10" t="str">
        <f>_xlfn.XLOOKUP(C4007,menu!A:A,menu!C:C)</f>
        <v>Starters</v>
      </c>
      <c r="H4007" s="10">
        <f>_xlfn.XLOOKUP(C4007,menu!A:A,menu!E:E)</f>
        <v>48</v>
      </c>
      <c r="I4007" s="10">
        <f t="shared" si="62"/>
        <v>48</v>
      </c>
      <c r="K4007" s="10"/>
      <c r="L4007" s="5"/>
    </row>
    <row r="4008" spans="1:12" x14ac:dyDescent="0.25">
      <c r="A4008" s="5" t="s">
        <v>1686</v>
      </c>
      <c r="B4008" s="5" t="s">
        <v>1685</v>
      </c>
      <c r="C4008" s="5" t="s">
        <v>8</v>
      </c>
      <c r="D4008" s="21">
        <v>1</v>
      </c>
      <c r="E4008" s="12">
        <v>99</v>
      </c>
      <c r="F4008" s="10" t="str">
        <f>_xlfn.XLOOKUP(C4008,menu!A:A,menu!B:B)</f>
        <v>Paneer Sandwich</v>
      </c>
      <c r="G4008" s="10" t="str">
        <f>_xlfn.XLOOKUP(C4008,menu!A:A,menu!C:C)</f>
        <v>Sandwich</v>
      </c>
      <c r="H4008" s="10">
        <f>_xlfn.XLOOKUP(C4008,menu!A:A,menu!E:E)</f>
        <v>30</v>
      </c>
      <c r="I4008" s="10">
        <f t="shared" si="62"/>
        <v>30</v>
      </c>
      <c r="K4008" s="10"/>
      <c r="L4008" s="5"/>
    </row>
    <row r="4009" spans="1:12" x14ac:dyDescent="0.25">
      <c r="A4009" s="5" t="s">
        <v>1684</v>
      </c>
      <c r="B4009" s="5" t="s">
        <v>1682</v>
      </c>
      <c r="C4009" s="5" t="s">
        <v>29</v>
      </c>
      <c r="D4009" s="21">
        <v>1</v>
      </c>
      <c r="E4009" s="12">
        <v>79</v>
      </c>
      <c r="F4009" s="10" t="str">
        <f>_xlfn.XLOOKUP(C4009,menu!A:A,menu!B:B)</f>
        <v>Paneer Roll</v>
      </c>
      <c r="G4009" s="10" t="str">
        <f>_xlfn.XLOOKUP(C4009,menu!A:A,menu!C:C)</f>
        <v>Rolls</v>
      </c>
      <c r="H4009" s="10">
        <f>_xlfn.XLOOKUP(C4009,menu!A:A,menu!E:E)</f>
        <v>24</v>
      </c>
      <c r="I4009" s="10">
        <f t="shared" si="62"/>
        <v>24</v>
      </c>
      <c r="K4009" s="10"/>
      <c r="L4009" s="5"/>
    </row>
    <row r="4010" spans="1:12" x14ac:dyDescent="0.25">
      <c r="A4010" s="5" t="s">
        <v>1683</v>
      </c>
      <c r="B4010" s="5" t="s">
        <v>1682</v>
      </c>
      <c r="C4010" s="5" t="s">
        <v>31</v>
      </c>
      <c r="D4010" s="21">
        <v>2</v>
      </c>
      <c r="E4010" s="12">
        <v>178</v>
      </c>
      <c r="F4010" s="10" t="str">
        <f>_xlfn.XLOOKUP(C4010,menu!A:A,menu!B:B)</f>
        <v>Chicken Roll</v>
      </c>
      <c r="G4010" s="10" t="str">
        <f>_xlfn.XLOOKUP(C4010,menu!A:A,menu!C:C)</f>
        <v>Rolls</v>
      </c>
      <c r="H4010" s="10">
        <f>_xlfn.XLOOKUP(C4010,menu!A:A,menu!E:E)</f>
        <v>27</v>
      </c>
      <c r="I4010" s="10">
        <f t="shared" si="62"/>
        <v>54</v>
      </c>
      <c r="K4010" s="10"/>
      <c r="L4010" s="5"/>
    </row>
    <row r="4011" spans="1:12" x14ac:dyDescent="0.25">
      <c r="A4011" s="5" t="s">
        <v>1681</v>
      </c>
      <c r="B4011" s="5" t="s">
        <v>1677</v>
      </c>
      <c r="C4011" s="5" t="s">
        <v>17</v>
      </c>
      <c r="D4011" s="21">
        <v>1</v>
      </c>
      <c r="E4011" s="12">
        <v>89</v>
      </c>
      <c r="F4011" s="10" t="str">
        <f>_xlfn.XLOOKUP(C4011,menu!A:A,menu!B:B)</f>
        <v>Paneer Momos</v>
      </c>
      <c r="G4011" s="10" t="str">
        <f>_xlfn.XLOOKUP(C4011,menu!A:A,menu!C:C)</f>
        <v>Momos</v>
      </c>
      <c r="H4011" s="10">
        <f>_xlfn.XLOOKUP(C4011,menu!A:A,menu!E:E)</f>
        <v>27</v>
      </c>
      <c r="I4011" s="10">
        <f t="shared" si="62"/>
        <v>27</v>
      </c>
      <c r="K4011" s="10"/>
      <c r="L4011" s="5"/>
    </row>
    <row r="4012" spans="1:12" x14ac:dyDescent="0.25">
      <c r="A4012" s="5" t="s">
        <v>1680</v>
      </c>
      <c r="B4012" s="5" t="s">
        <v>1677</v>
      </c>
      <c r="C4012" s="5" t="s">
        <v>35</v>
      </c>
      <c r="D4012" s="21">
        <v>3</v>
      </c>
      <c r="E4012" s="12">
        <v>357</v>
      </c>
      <c r="F4012" s="10" t="str">
        <f>_xlfn.XLOOKUP(C4012,menu!A:A,menu!B:B)</f>
        <v>Chicken Nuggets</v>
      </c>
      <c r="G4012" s="10" t="str">
        <f>_xlfn.XLOOKUP(C4012,menu!A:A,menu!C:C)</f>
        <v>Starters</v>
      </c>
      <c r="H4012" s="10">
        <f>_xlfn.XLOOKUP(C4012,menu!A:A,menu!E:E)</f>
        <v>36</v>
      </c>
      <c r="I4012" s="10">
        <f t="shared" si="62"/>
        <v>108</v>
      </c>
      <c r="K4012" s="10"/>
      <c r="L4012" s="5"/>
    </row>
    <row r="4013" spans="1:12" x14ac:dyDescent="0.25">
      <c r="A4013" s="5" t="s">
        <v>1679</v>
      </c>
      <c r="B4013" s="5" t="s">
        <v>1677</v>
      </c>
      <c r="C4013" s="5" t="s">
        <v>44</v>
      </c>
      <c r="D4013" s="21">
        <v>4</v>
      </c>
      <c r="E4013" s="12">
        <v>636</v>
      </c>
      <c r="F4013" s="10" t="str">
        <f>_xlfn.XLOOKUP(C4013,menu!A:A,menu!B:B)</f>
        <v>Fried Chicken</v>
      </c>
      <c r="G4013" s="10" t="str">
        <f>_xlfn.XLOOKUP(C4013,menu!A:A,menu!C:C)</f>
        <v>Starters</v>
      </c>
      <c r="H4013" s="10">
        <f>_xlfn.XLOOKUP(C4013,menu!A:A,menu!E:E)</f>
        <v>48</v>
      </c>
      <c r="I4013" s="10">
        <f t="shared" si="62"/>
        <v>192</v>
      </c>
      <c r="K4013" s="10"/>
      <c r="L4013" s="5"/>
    </row>
    <row r="4014" spans="1:12" x14ac:dyDescent="0.25">
      <c r="A4014" s="5" t="s">
        <v>1678</v>
      </c>
      <c r="B4014" s="5" t="s">
        <v>1677</v>
      </c>
      <c r="C4014" s="5" t="s">
        <v>24</v>
      </c>
      <c r="D4014" s="21">
        <v>2</v>
      </c>
      <c r="E4014" s="12">
        <v>178</v>
      </c>
      <c r="F4014" s="10" t="str">
        <f>_xlfn.XLOOKUP(C4014,menu!A:A,menu!B:B)</f>
        <v>Paneer Burger</v>
      </c>
      <c r="G4014" s="10" t="str">
        <f>_xlfn.XLOOKUP(C4014,menu!A:A,menu!C:C)</f>
        <v>Burger</v>
      </c>
      <c r="H4014" s="10">
        <f>_xlfn.XLOOKUP(C4014,menu!A:A,menu!E:E)</f>
        <v>27</v>
      </c>
      <c r="I4014" s="10">
        <f t="shared" si="62"/>
        <v>54</v>
      </c>
      <c r="K4014" s="10"/>
      <c r="L4014" s="5"/>
    </row>
    <row r="4015" spans="1:12" x14ac:dyDescent="0.25">
      <c r="A4015" s="5" t="s">
        <v>1676</v>
      </c>
      <c r="B4015" s="5" t="s">
        <v>1674</v>
      </c>
      <c r="C4015" s="5" t="s">
        <v>12</v>
      </c>
      <c r="D4015" s="21">
        <v>2</v>
      </c>
      <c r="E4015" s="12">
        <v>158</v>
      </c>
      <c r="F4015" s="10" t="str">
        <f>_xlfn.XLOOKUP(C4015,menu!A:A,menu!B:B)</f>
        <v>Veg Momos</v>
      </c>
      <c r="G4015" s="10" t="str">
        <f>_xlfn.XLOOKUP(C4015,menu!A:A,menu!C:C)</f>
        <v>Momos</v>
      </c>
      <c r="H4015" s="10">
        <f>_xlfn.XLOOKUP(C4015,menu!A:A,menu!E:E)</f>
        <v>24</v>
      </c>
      <c r="I4015" s="10">
        <f t="shared" si="62"/>
        <v>48</v>
      </c>
      <c r="K4015" s="10"/>
      <c r="L4015" s="5"/>
    </row>
    <row r="4016" spans="1:12" x14ac:dyDescent="0.25">
      <c r="A4016" s="5" t="s">
        <v>1675</v>
      </c>
      <c r="B4016" s="5" t="s">
        <v>1674</v>
      </c>
      <c r="C4016" s="5" t="s">
        <v>46</v>
      </c>
      <c r="D4016" s="21">
        <v>2</v>
      </c>
      <c r="E4016" s="12">
        <v>298</v>
      </c>
      <c r="F4016" s="10" t="str">
        <f>_xlfn.XLOOKUP(C4016,menu!A:A,menu!B:B)</f>
        <v>Fish Finger</v>
      </c>
      <c r="G4016" s="10" t="str">
        <f>_xlfn.XLOOKUP(C4016,menu!A:A,menu!C:C)</f>
        <v>Starters</v>
      </c>
      <c r="H4016" s="10">
        <f>_xlfn.XLOOKUP(C4016,menu!A:A,menu!E:E)</f>
        <v>45</v>
      </c>
      <c r="I4016" s="10">
        <f t="shared" si="62"/>
        <v>90</v>
      </c>
      <c r="K4016" s="10"/>
      <c r="L4016" s="5"/>
    </row>
    <row r="4017" spans="1:12" x14ac:dyDescent="0.25">
      <c r="A4017" s="5" t="s">
        <v>1673</v>
      </c>
      <c r="B4017" s="5" t="s">
        <v>1670</v>
      </c>
      <c r="C4017" s="5" t="s">
        <v>10</v>
      </c>
      <c r="D4017" s="21">
        <v>1</v>
      </c>
      <c r="E4017" s="12">
        <v>119</v>
      </c>
      <c r="F4017" s="10" t="str">
        <f>_xlfn.XLOOKUP(C4017,menu!A:A,menu!B:B)</f>
        <v>Chicken Sandwich</v>
      </c>
      <c r="G4017" s="10" t="str">
        <f>_xlfn.XLOOKUP(C4017,menu!A:A,menu!C:C)</f>
        <v>Sandwich</v>
      </c>
      <c r="H4017" s="10">
        <f>_xlfn.XLOOKUP(C4017,menu!A:A,menu!E:E)</f>
        <v>36</v>
      </c>
      <c r="I4017" s="10">
        <f t="shared" si="62"/>
        <v>36</v>
      </c>
      <c r="K4017" s="10"/>
      <c r="L4017" s="5"/>
    </row>
    <row r="4018" spans="1:12" x14ac:dyDescent="0.25">
      <c r="A4018" s="5" t="s">
        <v>1672</v>
      </c>
      <c r="B4018" s="5" t="s">
        <v>1670</v>
      </c>
      <c r="C4018" s="5" t="s">
        <v>8</v>
      </c>
      <c r="D4018" s="21">
        <v>2</v>
      </c>
      <c r="E4018" s="12">
        <v>198</v>
      </c>
      <c r="F4018" s="10" t="str">
        <f>_xlfn.XLOOKUP(C4018,menu!A:A,menu!B:B)</f>
        <v>Paneer Sandwich</v>
      </c>
      <c r="G4018" s="10" t="str">
        <f>_xlfn.XLOOKUP(C4018,menu!A:A,menu!C:C)</f>
        <v>Sandwich</v>
      </c>
      <c r="H4018" s="10">
        <f>_xlfn.XLOOKUP(C4018,menu!A:A,menu!E:E)</f>
        <v>30</v>
      </c>
      <c r="I4018" s="10">
        <f t="shared" si="62"/>
        <v>60</v>
      </c>
      <c r="K4018" s="10"/>
      <c r="L4018" s="5"/>
    </row>
    <row r="4019" spans="1:12" x14ac:dyDescent="0.25">
      <c r="A4019" s="5" t="s">
        <v>1671</v>
      </c>
      <c r="B4019" s="5" t="s">
        <v>1670</v>
      </c>
      <c r="C4019" s="5" t="s">
        <v>38</v>
      </c>
      <c r="D4019" s="21">
        <v>1</v>
      </c>
      <c r="E4019" s="12">
        <v>149</v>
      </c>
      <c r="F4019" s="10" t="str">
        <f>_xlfn.XLOOKUP(C4019,menu!A:A,menu!B:B)</f>
        <v>Chicken Wings</v>
      </c>
      <c r="G4019" s="10" t="str">
        <f>_xlfn.XLOOKUP(C4019,menu!A:A,menu!C:C)</f>
        <v>Starters</v>
      </c>
      <c r="H4019" s="10">
        <f>_xlfn.XLOOKUP(C4019,menu!A:A,menu!E:E)</f>
        <v>45</v>
      </c>
      <c r="I4019" s="10">
        <f t="shared" si="62"/>
        <v>45</v>
      </c>
      <c r="K4019" s="10"/>
      <c r="L4019" s="5"/>
    </row>
    <row r="4020" spans="1:12" x14ac:dyDescent="0.25">
      <c r="A4020" s="5" t="s">
        <v>1669</v>
      </c>
      <c r="B4020" s="5" t="s">
        <v>1666</v>
      </c>
      <c r="C4020" s="5" t="s">
        <v>12</v>
      </c>
      <c r="D4020" s="21">
        <v>2</v>
      </c>
      <c r="E4020" s="12">
        <v>158</v>
      </c>
      <c r="F4020" s="10" t="str">
        <f>_xlfn.XLOOKUP(C4020,menu!A:A,menu!B:B)</f>
        <v>Veg Momos</v>
      </c>
      <c r="G4020" s="10" t="str">
        <f>_xlfn.XLOOKUP(C4020,menu!A:A,menu!C:C)</f>
        <v>Momos</v>
      </c>
      <c r="H4020" s="10">
        <f>_xlfn.XLOOKUP(C4020,menu!A:A,menu!E:E)</f>
        <v>24</v>
      </c>
      <c r="I4020" s="10">
        <f t="shared" si="62"/>
        <v>48</v>
      </c>
      <c r="K4020" s="10"/>
      <c r="L4020" s="5"/>
    </row>
    <row r="4021" spans="1:12" x14ac:dyDescent="0.25">
      <c r="A4021" s="5" t="s">
        <v>1668</v>
      </c>
      <c r="B4021" s="5" t="s">
        <v>1666</v>
      </c>
      <c r="C4021" s="5" t="s">
        <v>15</v>
      </c>
      <c r="D4021" s="21">
        <v>2</v>
      </c>
      <c r="E4021" s="12">
        <v>198</v>
      </c>
      <c r="F4021" s="10" t="str">
        <f>_xlfn.XLOOKUP(C4021,menu!A:A,menu!B:B)</f>
        <v>Chicken Momos</v>
      </c>
      <c r="G4021" s="10" t="str">
        <f>_xlfn.XLOOKUP(C4021,menu!A:A,menu!C:C)</f>
        <v>Momos</v>
      </c>
      <c r="H4021" s="10">
        <f>_xlfn.XLOOKUP(C4021,menu!A:A,menu!E:E)</f>
        <v>30</v>
      </c>
      <c r="I4021" s="10">
        <f t="shared" si="62"/>
        <v>60</v>
      </c>
      <c r="K4021" s="10"/>
      <c r="L4021" s="5"/>
    </row>
    <row r="4022" spans="1:12" x14ac:dyDescent="0.25">
      <c r="A4022" s="5" t="s">
        <v>1667</v>
      </c>
      <c r="B4022" s="5" t="s">
        <v>1666</v>
      </c>
      <c r="C4022" s="5" t="s">
        <v>5</v>
      </c>
      <c r="D4022" s="21">
        <v>1</v>
      </c>
      <c r="E4022" s="12">
        <v>79</v>
      </c>
      <c r="F4022" s="10" t="str">
        <f>_xlfn.XLOOKUP(C4022,menu!A:A,menu!B:B)</f>
        <v>Veg Sandwich</v>
      </c>
      <c r="G4022" s="10" t="str">
        <f>_xlfn.XLOOKUP(C4022,menu!A:A,menu!C:C)</f>
        <v>Sandwich</v>
      </c>
      <c r="H4022" s="10">
        <f>_xlfn.XLOOKUP(C4022,menu!A:A,menu!E:E)</f>
        <v>24</v>
      </c>
      <c r="I4022" s="10">
        <f t="shared" si="62"/>
        <v>24</v>
      </c>
      <c r="K4022" s="10"/>
      <c r="L4022" s="5"/>
    </row>
    <row r="4023" spans="1:12" x14ac:dyDescent="0.25">
      <c r="A4023" s="5" t="s">
        <v>1665</v>
      </c>
      <c r="B4023" s="5" t="s">
        <v>1663</v>
      </c>
      <c r="C4023" s="5" t="s">
        <v>5</v>
      </c>
      <c r="D4023" s="21">
        <v>5</v>
      </c>
      <c r="E4023" s="12">
        <v>395</v>
      </c>
      <c r="F4023" s="10" t="str">
        <f>_xlfn.XLOOKUP(C4023,menu!A:A,menu!B:B)</f>
        <v>Veg Sandwich</v>
      </c>
      <c r="G4023" s="10" t="str">
        <f>_xlfn.XLOOKUP(C4023,menu!A:A,menu!C:C)</f>
        <v>Sandwich</v>
      </c>
      <c r="H4023" s="10">
        <f>_xlfn.XLOOKUP(C4023,menu!A:A,menu!E:E)</f>
        <v>24</v>
      </c>
      <c r="I4023" s="10">
        <f t="shared" si="62"/>
        <v>120</v>
      </c>
      <c r="K4023" s="10"/>
      <c r="L4023" s="5"/>
    </row>
    <row r="4024" spans="1:12" x14ac:dyDescent="0.25">
      <c r="A4024" s="5" t="s">
        <v>1664</v>
      </c>
      <c r="B4024" s="5" t="s">
        <v>1663</v>
      </c>
      <c r="C4024" s="5" t="s">
        <v>26</v>
      </c>
      <c r="D4024" s="21">
        <v>1</v>
      </c>
      <c r="E4024" s="12">
        <v>59</v>
      </c>
      <c r="F4024" s="10" t="str">
        <f>_xlfn.XLOOKUP(C4024,menu!A:A,menu!B:B)</f>
        <v>Veg Roll</v>
      </c>
      <c r="G4024" s="10" t="str">
        <f>_xlfn.XLOOKUP(C4024,menu!A:A,menu!C:C)</f>
        <v>Rolls</v>
      </c>
      <c r="H4024" s="10">
        <f>_xlfn.XLOOKUP(C4024,menu!A:A,menu!E:E)</f>
        <v>18</v>
      </c>
      <c r="I4024" s="10">
        <f t="shared" si="62"/>
        <v>18</v>
      </c>
      <c r="K4024" s="10"/>
      <c r="L4024" s="5"/>
    </row>
    <row r="4025" spans="1:12" x14ac:dyDescent="0.25">
      <c r="A4025" s="5" t="s">
        <v>1662</v>
      </c>
      <c r="B4025" s="5" t="s">
        <v>1659</v>
      </c>
      <c r="C4025" s="5" t="s">
        <v>29</v>
      </c>
      <c r="D4025" s="21">
        <v>2</v>
      </c>
      <c r="E4025" s="12">
        <v>158</v>
      </c>
      <c r="F4025" s="10" t="str">
        <f>_xlfn.XLOOKUP(C4025,menu!A:A,menu!B:B)</f>
        <v>Paneer Roll</v>
      </c>
      <c r="G4025" s="10" t="str">
        <f>_xlfn.XLOOKUP(C4025,menu!A:A,menu!C:C)</f>
        <v>Rolls</v>
      </c>
      <c r="H4025" s="10">
        <f>_xlfn.XLOOKUP(C4025,menu!A:A,menu!E:E)</f>
        <v>24</v>
      </c>
      <c r="I4025" s="10">
        <f t="shared" si="62"/>
        <v>48</v>
      </c>
      <c r="K4025" s="10"/>
      <c r="L4025" s="5"/>
    </row>
    <row r="4026" spans="1:12" x14ac:dyDescent="0.25">
      <c r="A4026" s="5" t="s">
        <v>1661</v>
      </c>
      <c r="B4026" s="5" t="s">
        <v>1659</v>
      </c>
      <c r="C4026" s="5" t="s">
        <v>8</v>
      </c>
      <c r="D4026" s="21">
        <v>2</v>
      </c>
      <c r="E4026" s="12">
        <v>198</v>
      </c>
      <c r="F4026" s="10" t="str">
        <f>_xlfn.XLOOKUP(C4026,menu!A:A,menu!B:B)</f>
        <v>Paneer Sandwich</v>
      </c>
      <c r="G4026" s="10" t="str">
        <f>_xlfn.XLOOKUP(C4026,menu!A:A,menu!C:C)</f>
        <v>Sandwich</v>
      </c>
      <c r="H4026" s="10">
        <f>_xlfn.XLOOKUP(C4026,menu!A:A,menu!E:E)</f>
        <v>30</v>
      </c>
      <c r="I4026" s="10">
        <f t="shared" si="62"/>
        <v>60</v>
      </c>
      <c r="K4026" s="10"/>
      <c r="L4026" s="5"/>
    </row>
    <row r="4027" spans="1:12" x14ac:dyDescent="0.25">
      <c r="A4027" s="5" t="s">
        <v>1660</v>
      </c>
      <c r="B4027" s="5" t="s">
        <v>1659</v>
      </c>
      <c r="C4027" s="5" t="s">
        <v>24</v>
      </c>
      <c r="D4027" s="21">
        <v>2</v>
      </c>
      <c r="E4027" s="12">
        <v>178</v>
      </c>
      <c r="F4027" s="10" t="str">
        <f>_xlfn.XLOOKUP(C4027,menu!A:A,menu!B:B)</f>
        <v>Paneer Burger</v>
      </c>
      <c r="G4027" s="10" t="str">
        <f>_xlfn.XLOOKUP(C4027,menu!A:A,menu!C:C)</f>
        <v>Burger</v>
      </c>
      <c r="H4027" s="10">
        <f>_xlfn.XLOOKUP(C4027,menu!A:A,menu!E:E)</f>
        <v>27</v>
      </c>
      <c r="I4027" s="10">
        <f t="shared" si="62"/>
        <v>54</v>
      </c>
      <c r="K4027" s="10"/>
      <c r="L4027" s="5"/>
    </row>
    <row r="4028" spans="1:12" x14ac:dyDescent="0.25">
      <c r="A4028" s="5" t="s">
        <v>1658</v>
      </c>
      <c r="B4028" s="5" t="s">
        <v>1657</v>
      </c>
      <c r="C4028" s="5" t="s">
        <v>46</v>
      </c>
      <c r="D4028" s="21">
        <v>1</v>
      </c>
      <c r="E4028" s="12">
        <v>149</v>
      </c>
      <c r="F4028" s="10" t="str">
        <f>_xlfn.XLOOKUP(C4028,menu!A:A,menu!B:B)</f>
        <v>Fish Finger</v>
      </c>
      <c r="G4028" s="10" t="str">
        <f>_xlfn.XLOOKUP(C4028,menu!A:A,menu!C:C)</f>
        <v>Starters</v>
      </c>
      <c r="H4028" s="10">
        <f>_xlfn.XLOOKUP(C4028,menu!A:A,menu!E:E)</f>
        <v>45</v>
      </c>
      <c r="I4028" s="10">
        <f t="shared" si="62"/>
        <v>45</v>
      </c>
      <c r="K4028" s="10"/>
      <c r="L4028" s="5"/>
    </row>
    <row r="4029" spans="1:12" x14ac:dyDescent="0.25">
      <c r="A4029" s="5" t="s">
        <v>1656</v>
      </c>
      <c r="B4029" s="5" t="s">
        <v>1652</v>
      </c>
      <c r="C4029" s="5" t="s">
        <v>10</v>
      </c>
      <c r="D4029" s="21">
        <v>1</v>
      </c>
      <c r="E4029" s="12">
        <v>119</v>
      </c>
      <c r="F4029" s="10" t="str">
        <f>_xlfn.XLOOKUP(C4029,menu!A:A,menu!B:B)</f>
        <v>Chicken Sandwich</v>
      </c>
      <c r="G4029" s="10" t="str">
        <f>_xlfn.XLOOKUP(C4029,menu!A:A,menu!C:C)</f>
        <v>Sandwich</v>
      </c>
      <c r="H4029" s="10">
        <f>_xlfn.XLOOKUP(C4029,menu!A:A,menu!E:E)</f>
        <v>36</v>
      </c>
      <c r="I4029" s="10">
        <f t="shared" si="62"/>
        <v>36</v>
      </c>
      <c r="K4029" s="10"/>
      <c r="L4029" s="5"/>
    </row>
    <row r="4030" spans="1:12" x14ac:dyDescent="0.25">
      <c r="A4030" s="5" t="s">
        <v>1655</v>
      </c>
      <c r="B4030" s="5" t="s">
        <v>1652</v>
      </c>
      <c r="C4030" s="5" t="s">
        <v>35</v>
      </c>
      <c r="D4030" s="21">
        <v>1</v>
      </c>
      <c r="E4030" s="12">
        <v>119</v>
      </c>
      <c r="F4030" s="10" t="str">
        <f>_xlfn.XLOOKUP(C4030,menu!A:A,menu!B:B)</f>
        <v>Chicken Nuggets</v>
      </c>
      <c r="G4030" s="10" t="str">
        <f>_xlfn.XLOOKUP(C4030,menu!A:A,menu!C:C)</f>
        <v>Starters</v>
      </c>
      <c r="H4030" s="10">
        <f>_xlfn.XLOOKUP(C4030,menu!A:A,menu!E:E)</f>
        <v>36</v>
      </c>
      <c r="I4030" s="10">
        <f t="shared" si="62"/>
        <v>36</v>
      </c>
      <c r="K4030" s="10"/>
      <c r="L4030" s="5"/>
    </row>
    <row r="4031" spans="1:12" x14ac:dyDescent="0.25">
      <c r="A4031" s="5" t="s">
        <v>1654</v>
      </c>
      <c r="B4031" s="5" t="s">
        <v>1652</v>
      </c>
      <c r="C4031" s="5" t="s">
        <v>46</v>
      </c>
      <c r="D4031" s="21">
        <v>1</v>
      </c>
      <c r="E4031" s="12">
        <v>149</v>
      </c>
      <c r="F4031" s="10" t="str">
        <f>_xlfn.XLOOKUP(C4031,menu!A:A,menu!B:B)</f>
        <v>Fish Finger</v>
      </c>
      <c r="G4031" s="10" t="str">
        <f>_xlfn.XLOOKUP(C4031,menu!A:A,menu!C:C)</f>
        <v>Starters</v>
      </c>
      <c r="H4031" s="10">
        <f>_xlfn.XLOOKUP(C4031,menu!A:A,menu!E:E)</f>
        <v>45</v>
      </c>
      <c r="I4031" s="10">
        <f t="shared" si="62"/>
        <v>45</v>
      </c>
      <c r="K4031" s="10"/>
      <c r="L4031" s="5"/>
    </row>
    <row r="4032" spans="1:12" x14ac:dyDescent="0.25">
      <c r="A4032" s="5" t="s">
        <v>1653</v>
      </c>
      <c r="B4032" s="5" t="s">
        <v>1652</v>
      </c>
      <c r="C4032" s="5" t="s">
        <v>54</v>
      </c>
      <c r="D4032" s="21">
        <v>1</v>
      </c>
      <c r="E4032" s="12">
        <v>139</v>
      </c>
      <c r="F4032" s="10" t="str">
        <f>_xlfn.XLOOKUP(C4032,menu!A:A,menu!B:B)</f>
        <v>Chicken Strips</v>
      </c>
      <c r="G4032" s="10" t="str">
        <f>_xlfn.XLOOKUP(C4032,menu!A:A,menu!C:C)</f>
        <v>Starters</v>
      </c>
      <c r="H4032" s="10">
        <f>_xlfn.XLOOKUP(C4032,menu!A:A,menu!E:E)</f>
        <v>42</v>
      </c>
      <c r="I4032" s="10">
        <f t="shared" si="62"/>
        <v>42</v>
      </c>
      <c r="K4032" s="10"/>
      <c r="L4032" s="5"/>
    </row>
    <row r="4033" spans="1:12" x14ac:dyDescent="0.25">
      <c r="A4033" s="5" t="s">
        <v>1651</v>
      </c>
      <c r="B4033" s="5" t="s">
        <v>1649</v>
      </c>
      <c r="C4033" s="5" t="s">
        <v>50</v>
      </c>
      <c r="D4033" s="21">
        <v>2</v>
      </c>
      <c r="E4033" s="12">
        <v>298</v>
      </c>
      <c r="F4033" s="10" t="str">
        <f>_xlfn.XLOOKUP(C4033,menu!A:A,menu!B:B)</f>
        <v>Grab Lollipop</v>
      </c>
      <c r="G4033" s="10" t="str">
        <f>_xlfn.XLOOKUP(C4033,menu!A:A,menu!C:C)</f>
        <v>Starters</v>
      </c>
      <c r="H4033" s="10">
        <f>_xlfn.XLOOKUP(C4033,menu!A:A,menu!E:E)</f>
        <v>45</v>
      </c>
      <c r="I4033" s="10">
        <f t="shared" si="62"/>
        <v>90</v>
      </c>
      <c r="K4033" s="10"/>
      <c r="L4033" s="5"/>
    </row>
    <row r="4034" spans="1:12" x14ac:dyDescent="0.25">
      <c r="A4034" s="5" t="s">
        <v>1650</v>
      </c>
      <c r="B4034" s="5" t="s">
        <v>1649</v>
      </c>
      <c r="C4034" s="5" t="s">
        <v>48</v>
      </c>
      <c r="D4034" s="21">
        <v>1</v>
      </c>
      <c r="E4034" s="12">
        <v>159</v>
      </c>
      <c r="F4034" s="10" t="str">
        <f>_xlfn.XLOOKUP(C4034,menu!A:A,menu!B:B)</f>
        <v>Chicken Lollipop</v>
      </c>
      <c r="G4034" s="10" t="str">
        <f>_xlfn.XLOOKUP(C4034,menu!A:A,menu!C:C)</f>
        <v>Starters</v>
      </c>
      <c r="H4034" s="10">
        <f>_xlfn.XLOOKUP(C4034,menu!A:A,menu!E:E)</f>
        <v>48</v>
      </c>
      <c r="I4034" s="10">
        <f t="shared" si="62"/>
        <v>48</v>
      </c>
      <c r="K4034" s="10"/>
      <c r="L4034" s="5"/>
    </row>
    <row r="4035" spans="1:12" x14ac:dyDescent="0.25">
      <c r="A4035" s="5" t="s">
        <v>1648</v>
      </c>
      <c r="B4035" s="5" t="s">
        <v>1646</v>
      </c>
      <c r="C4035" s="5" t="s">
        <v>44</v>
      </c>
      <c r="D4035" s="21">
        <v>2</v>
      </c>
      <c r="E4035" s="12">
        <v>318</v>
      </c>
      <c r="F4035" s="10" t="str">
        <f>_xlfn.XLOOKUP(C4035,menu!A:A,menu!B:B)</f>
        <v>Fried Chicken</v>
      </c>
      <c r="G4035" s="10" t="str">
        <f>_xlfn.XLOOKUP(C4035,menu!A:A,menu!C:C)</f>
        <v>Starters</v>
      </c>
      <c r="H4035" s="10">
        <f>_xlfn.XLOOKUP(C4035,menu!A:A,menu!E:E)</f>
        <v>48</v>
      </c>
      <c r="I4035" s="10">
        <f t="shared" ref="I4035:I4098" si="63">D4035*H4035</f>
        <v>96</v>
      </c>
      <c r="K4035" s="10"/>
      <c r="L4035" s="5"/>
    </row>
    <row r="4036" spans="1:12" x14ac:dyDescent="0.25">
      <c r="A4036" s="5" t="s">
        <v>1647</v>
      </c>
      <c r="B4036" s="5" t="s">
        <v>1646</v>
      </c>
      <c r="C4036" s="5" t="s">
        <v>46</v>
      </c>
      <c r="D4036" s="21">
        <v>5</v>
      </c>
      <c r="E4036" s="12">
        <v>745</v>
      </c>
      <c r="F4036" s="10" t="str">
        <f>_xlfn.XLOOKUP(C4036,menu!A:A,menu!B:B)</f>
        <v>Fish Finger</v>
      </c>
      <c r="G4036" s="10" t="str">
        <f>_xlfn.XLOOKUP(C4036,menu!A:A,menu!C:C)</f>
        <v>Starters</v>
      </c>
      <c r="H4036" s="10">
        <f>_xlfn.XLOOKUP(C4036,menu!A:A,menu!E:E)</f>
        <v>45</v>
      </c>
      <c r="I4036" s="10">
        <f t="shared" si="63"/>
        <v>225</v>
      </c>
      <c r="K4036" s="10"/>
      <c r="L4036" s="5"/>
    </row>
    <row r="4037" spans="1:12" x14ac:dyDescent="0.25">
      <c r="A4037" s="5" t="s">
        <v>1645</v>
      </c>
      <c r="B4037" s="5" t="s">
        <v>1643</v>
      </c>
      <c r="C4037" s="5" t="s">
        <v>5</v>
      </c>
      <c r="D4037" s="21">
        <v>1</v>
      </c>
      <c r="E4037" s="12">
        <v>79</v>
      </c>
      <c r="F4037" s="10" t="str">
        <f>_xlfn.XLOOKUP(C4037,menu!A:A,menu!B:B)</f>
        <v>Veg Sandwich</v>
      </c>
      <c r="G4037" s="10" t="str">
        <f>_xlfn.XLOOKUP(C4037,menu!A:A,menu!C:C)</f>
        <v>Sandwich</v>
      </c>
      <c r="H4037" s="10">
        <f>_xlfn.XLOOKUP(C4037,menu!A:A,menu!E:E)</f>
        <v>24</v>
      </c>
      <c r="I4037" s="10">
        <f t="shared" si="63"/>
        <v>24</v>
      </c>
      <c r="K4037" s="10"/>
      <c r="L4037" s="5"/>
    </row>
    <row r="4038" spans="1:12" x14ac:dyDescent="0.25">
      <c r="A4038" s="5" t="s">
        <v>1644</v>
      </c>
      <c r="B4038" s="5" t="s">
        <v>1643</v>
      </c>
      <c r="C4038" s="5" t="s">
        <v>8</v>
      </c>
      <c r="D4038" s="21">
        <v>1</v>
      </c>
      <c r="E4038" s="12">
        <v>99</v>
      </c>
      <c r="F4038" s="10" t="str">
        <f>_xlfn.XLOOKUP(C4038,menu!A:A,menu!B:B)</f>
        <v>Paneer Sandwich</v>
      </c>
      <c r="G4038" s="10" t="str">
        <f>_xlfn.XLOOKUP(C4038,menu!A:A,menu!C:C)</f>
        <v>Sandwich</v>
      </c>
      <c r="H4038" s="10">
        <f>_xlfn.XLOOKUP(C4038,menu!A:A,menu!E:E)</f>
        <v>30</v>
      </c>
      <c r="I4038" s="10">
        <f t="shared" si="63"/>
        <v>30</v>
      </c>
      <c r="K4038" s="10"/>
      <c r="L4038" s="5"/>
    </row>
    <row r="4039" spans="1:12" x14ac:dyDescent="0.25">
      <c r="A4039" s="5" t="s">
        <v>1642</v>
      </c>
      <c r="B4039" s="5" t="s">
        <v>1641</v>
      </c>
      <c r="C4039" s="5" t="s">
        <v>52</v>
      </c>
      <c r="D4039" s="21">
        <v>2</v>
      </c>
      <c r="E4039" s="12">
        <v>198</v>
      </c>
      <c r="F4039" s="10" t="str">
        <f>_xlfn.XLOOKUP(C4039,menu!A:A,menu!B:B)</f>
        <v>French Fries</v>
      </c>
      <c r="G4039" s="10" t="str">
        <f>_xlfn.XLOOKUP(C4039,menu!A:A,menu!C:C)</f>
        <v>Starters</v>
      </c>
      <c r="H4039" s="10">
        <f>_xlfn.XLOOKUP(C4039,menu!A:A,menu!E:E)</f>
        <v>30</v>
      </c>
      <c r="I4039" s="10">
        <f t="shared" si="63"/>
        <v>60</v>
      </c>
      <c r="K4039" s="10"/>
      <c r="L4039" s="5"/>
    </row>
    <row r="4040" spans="1:12" x14ac:dyDescent="0.25">
      <c r="A4040" s="5" t="s">
        <v>1640</v>
      </c>
      <c r="B4040" s="5" t="s">
        <v>1637</v>
      </c>
      <c r="C4040" s="5" t="s">
        <v>52</v>
      </c>
      <c r="D4040" s="21">
        <v>1</v>
      </c>
      <c r="E4040" s="12">
        <v>99</v>
      </c>
      <c r="F4040" s="10" t="str">
        <f>_xlfn.XLOOKUP(C4040,menu!A:A,menu!B:B)</f>
        <v>French Fries</v>
      </c>
      <c r="G4040" s="10" t="str">
        <f>_xlfn.XLOOKUP(C4040,menu!A:A,menu!C:C)</f>
        <v>Starters</v>
      </c>
      <c r="H4040" s="10">
        <f>_xlfn.XLOOKUP(C4040,menu!A:A,menu!E:E)</f>
        <v>30</v>
      </c>
      <c r="I4040" s="10">
        <f t="shared" si="63"/>
        <v>30</v>
      </c>
      <c r="K4040" s="10"/>
      <c r="L4040" s="5"/>
    </row>
    <row r="4041" spans="1:12" x14ac:dyDescent="0.25">
      <c r="A4041" s="5" t="s">
        <v>1639</v>
      </c>
      <c r="B4041" s="5" t="s">
        <v>1637</v>
      </c>
      <c r="C4041" s="5" t="s">
        <v>44</v>
      </c>
      <c r="D4041" s="21">
        <v>1</v>
      </c>
      <c r="E4041" s="12">
        <v>159</v>
      </c>
      <c r="F4041" s="10" t="str">
        <f>_xlfn.XLOOKUP(C4041,menu!A:A,menu!B:B)</f>
        <v>Fried Chicken</v>
      </c>
      <c r="G4041" s="10" t="str">
        <f>_xlfn.XLOOKUP(C4041,menu!A:A,menu!C:C)</f>
        <v>Starters</v>
      </c>
      <c r="H4041" s="10">
        <f>_xlfn.XLOOKUP(C4041,menu!A:A,menu!E:E)</f>
        <v>48</v>
      </c>
      <c r="I4041" s="10">
        <f t="shared" si="63"/>
        <v>48</v>
      </c>
      <c r="K4041" s="10"/>
      <c r="L4041" s="5"/>
    </row>
    <row r="4042" spans="1:12" x14ac:dyDescent="0.25">
      <c r="A4042" s="5" t="s">
        <v>1638</v>
      </c>
      <c r="B4042" s="5" t="s">
        <v>1637</v>
      </c>
      <c r="C4042" s="5" t="s">
        <v>24</v>
      </c>
      <c r="D4042" s="21">
        <v>2</v>
      </c>
      <c r="E4042" s="12">
        <v>178</v>
      </c>
      <c r="F4042" s="10" t="str">
        <f>_xlfn.XLOOKUP(C4042,menu!A:A,menu!B:B)</f>
        <v>Paneer Burger</v>
      </c>
      <c r="G4042" s="10" t="str">
        <f>_xlfn.XLOOKUP(C4042,menu!A:A,menu!C:C)</f>
        <v>Burger</v>
      </c>
      <c r="H4042" s="10">
        <f>_xlfn.XLOOKUP(C4042,menu!A:A,menu!E:E)</f>
        <v>27</v>
      </c>
      <c r="I4042" s="10">
        <f t="shared" si="63"/>
        <v>54</v>
      </c>
      <c r="K4042" s="10"/>
      <c r="L4042" s="5"/>
    </row>
    <row r="4043" spans="1:12" x14ac:dyDescent="0.25">
      <c r="A4043" s="5" t="s">
        <v>1636</v>
      </c>
      <c r="B4043" s="5" t="s">
        <v>1634</v>
      </c>
      <c r="C4043" s="5" t="s">
        <v>35</v>
      </c>
      <c r="D4043" s="21">
        <v>1</v>
      </c>
      <c r="E4043" s="12">
        <v>119</v>
      </c>
      <c r="F4043" s="10" t="str">
        <f>_xlfn.XLOOKUP(C4043,menu!A:A,menu!B:B)</f>
        <v>Chicken Nuggets</v>
      </c>
      <c r="G4043" s="10" t="str">
        <f>_xlfn.XLOOKUP(C4043,menu!A:A,menu!C:C)</f>
        <v>Starters</v>
      </c>
      <c r="H4043" s="10">
        <f>_xlfn.XLOOKUP(C4043,menu!A:A,menu!E:E)</f>
        <v>36</v>
      </c>
      <c r="I4043" s="10">
        <f t="shared" si="63"/>
        <v>36</v>
      </c>
      <c r="K4043" s="10"/>
      <c r="L4043" s="5"/>
    </row>
    <row r="4044" spans="1:12" x14ac:dyDescent="0.25">
      <c r="A4044" s="5" t="s">
        <v>1635</v>
      </c>
      <c r="B4044" s="5" t="s">
        <v>1634</v>
      </c>
      <c r="C4044" s="5" t="s">
        <v>46</v>
      </c>
      <c r="D4044" s="21">
        <v>3</v>
      </c>
      <c r="E4044" s="12">
        <v>447</v>
      </c>
      <c r="F4044" s="10" t="str">
        <f>_xlfn.XLOOKUP(C4044,menu!A:A,menu!B:B)</f>
        <v>Fish Finger</v>
      </c>
      <c r="G4044" s="10" t="str">
        <f>_xlfn.XLOOKUP(C4044,menu!A:A,menu!C:C)</f>
        <v>Starters</v>
      </c>
      <c r="H4044" s="10">
        <f>_xlfn.XLOOKUP(C4044,menu!A:A,menu!E:E)</f>
        <v>45</v>
      </c>
      <c r="I4044" s="10">
        <f t="shared" si="63"/>
        <v>135</v>
      </c>
      <c r="K4044" s="10"/>
      <c r="L4044" s="5"/>
    </row>
    <row r="4045" spans="1:12" x14ac:dyDescent="0.25">
      <c r="A4045" s="5" t="s">
        <v>1633</v>
      </c>
      <c r="B4045" s="5" t="s">
        <v>1631</v>
      </c>
      <c r="C4045" s="5" t="s">
        <v>50</v>
      </c>
      <c r="D4045" s="21">
        <v>2</v>
      </c>
      <c r="E4045" s="12">
        <v>298</v>
      </c>
      <c r="F4045" s="10" t="str">
        <f>_xlfn.XLOOKUP(C4045,menu!A:A,menu!B:B)</f>
        <v>Grab Lollipop</v>
      </c>
      <c r="G4045" s="10" t="str">
        <f>_xlfn.XLOOKUP(C4045,menu!A:A,menu!C:C)</f>
        <v>Starters</v>
      </c>
      <c r="H4045" s="10">
        <f>_xlfn.XLOOKUP(C4045,menu!A:A,menu!E:E)</f>
        <v>45</v>
      </c>
      <c r="I4045" s="10">
        <f t="shared" si="63"/>
        <v>90</v>
      </c>
      <c r="K4045" s="10"/>
      <c r="L4045" s="5"/>
    </row>
    <row r="4046" spans="1:12" x14ac:dyDescent="0.25">
      <c r="A4046" s="5" t="s">
        <v>1632</v>
      </c>
      <c r="B4046" s="5" t="s">
        <v>1631</v>
      </c>
      <c r="C4046" s="5" t="s">
        <v>31</v>
      </c>
      <c r="D4046" s="21">
        <v>4</v>
      </c>
      <c r="E4046" s="12">
        <v>356</v>
      </c>
      <c r="F4046" s="10" t="str">
        <f>_xlfn.XLOOKUP(C4046,menu!A:A,menu!B:B)</f>
        <v>Chicken Roll</v>
      </c>
      <c r="G4046" s="10" t="str">
        <f>_xlfn.XLOOKUP(C4046,menu!A:A,menu!C:C)</f>
        <v>Rolls</v>
      </c>
      <c r="H4046" s="10">
        <f>_xlfn.XLOOKUP(C4046,menu!A:A,menu!E:E)</f>
        <v>27</v>
      </c>
      <c r="I4046" s="10">
        <f t="shared" si="63"/>
        <v>108</v>
      </c>
      <c r="K4046" s="10"/>
      <c r="L4046" s="5"/>
    </row>
    <row r="4047" spans="1:12" x14ac:dyDescent="0.25">
      <c r="A4047" s="5" t="s">
        <v>1630</v>
      </c>
      <c r="B4047" s="5" t="s">
        <v>1626</v>
      </c>
      <c r="C4047" s="5" t="s">
        <v>19</v>
      </c>
      <c r="D4047" s="21">
        <v>2</v>
      </c>
      <c r="E4047" s="12">
        <v>158</v>
      </c>
      <c r="F4047" s="10" t="str">
        <f>_xlfn.XLOOKUP(C4047,menu!A:A,menu!B:B)</f>
        <v>Veg Burger</v>
      </c>
      <c r="G4047" s="10" t="str">
        <f>_xlfn.XLOOKUP(C4047,menu!A:A,menu!C:C)</f>
        <v>Burger</v>
      </c>
      <c r="H4047" s="10">
        <f>_xlfn.XLOOKUP(C4047,menu!A:A,menu!E:E)</f>
        <v>24</v>
      </c>
      <c r="I4047" s="10">
        <f t="shared" si="63"/>
        <v>48</v>
      </c>
      <c r="K4047" s="10"/>
      <c r="L4047" s="5"/>
    </row>
    <row r="4048" spans="1:12" x14ac:dyDescent="0.25">
      <c r="A4048" s="5" t="s">
        <v>1629</v>
      </c>
      <c r="B4048" s="5" t="s">
        <v>1626</v>
      </c>
      <c r="C4048" s="5" t="s">
        <v>46</v>
      </c>
      <c r="D4048" s="21">
        <v>4</v>
      </c>
      <c r="E4048" s="12">
        <v>596</v>
      </c>
      <c r="F4048" s="10" t="str">
        <f>_xlfn.XLOOKUP(C4048,menu!A:A,menu!B:B)</f>
        <v>Fish Finger</v>
      </c>
      <c r="G4048" s="10" t="str">
        <f>_xlfn.XLOOKUP(C4048,menu!A:A,menu!C:C)</f>
        <v>Starters</v>
      </c>
      <c r="H4048" s="10">
        <f>_xlfn.XLOOKUP(C4048,menu!A:A,menu!E:E)</f>
        <v>45</v>
      </c>
      <c r="I4048" s="10">
        <f t="shared" si="63"/>
        <v>180</v>
      </c>
      <c r="K4048" s="10"/>
      <c r="L4048" s="5"/>
    </row>
    <row r="4049" spans="1:12" x14ac:dyDescent="0.25">
      <c r="A4049" s="5" t="s">
        <v>1628</v>
      </c>
      <c r="B4049" s="5" t="s">
        <v>1626</v>
      </c>
      <c r="C4049" s="5" t="s">
        <v>8</v>
      </c>
      <c r="D4049" s="21">
        <v>2</v>
      </c>
      <c r="E4049" s="12">
        <v>198</v>
      </c>
      <c r="F4049" s="10" t="str">
        <f>_xlfn.XLOOKUP(C4049,menu!A:A,menu!B:B)</f>
        <v>Paneer Sandwich</v>
      </c>
      <c r="G4049" s="10" t="str">
        <f>_xlfn.XLOOKUP(C4049,menu!A:A,menu!C:C)</f>
        <v>Sandwich</v>
      </c>
      <c r="H4049" s="10">
        <f>_xlfn.XLOOKUP(C4049,menu!A:A,menu!E:E)</f>
        <v>30</v>
      </c>
      <c r="I4049" s="10">
        <f t="shared" si="63"/>
        <v>60</v>
      </c>
      <c r="K4049" s="10"/>
      <c r="L4049" s="5"/>
    </row>
    <row r="4050" spans="1:12" x14ac:dyDescent="0.25">
      <c r="A4050" s="5" t="s">
        <v>1627</v>
      </c>
      <c r="B4050" s="5" t="s">
        <v>1626</v>
      </c>
      <c r="C4050" s="5" t="s">
        <v>48</v>
      </c>
      <c r="D4050" s="21">
        <v>5</v>
      </c>
      <c r="E4050" s="12">
        <v>795</v>
      </c>
      <c r="F4050" s="10" t="str">
        <f>_xlfn.XLOOKUP(C4050,menu!A:A,menu!B:B)</f>
        <v>Chicken Lollipop</v>
      </c>
      <c r="G4050" s="10" t="str">
        <f>_xlfn.XLOOKUP(C4050,menu!A:A,menu!C:C)</f>
        <v>Starters</v>
      </c>
      <c r="H4050" s="10">
        <f>_xlfn.XLOOKUP(C4050,menu!A:A,menu!E:E)</f>
        <v>48</v>
      </c>
      <c r="I4050" s="10">
        <f t="shared" si="63"/>
        <v>240</v>
      </c>
      <c r="K4050" s="10"/>
      <c r="L4050" s="5"/>
    </row>
    <row r="4051" spans="1:12" x14ac:dyDescent="0.25">
      <c r="A4051" s="5" t="s">
        <v>1625</v>
      </c>
      <c r="B4051" s="5" t="s">
        <v>1623</v>
      </c>
      <c r="C4051" s="5" t="s">
        <v>10</v>
      </c>
      <c r="D4051" s="21">
        <v>2</v>
      </c>
      <c r="E4051" s="12">
        <v>238</v>
      </c>
      <c r="F4051" s="10" t="str">
        <f>_xlfn.XLOOKUP(C4051,menu!A:A,menu!B:B)</f>
        <v>Chicken Sandwich</v>
      </c>
      <c r="G4051" s="10" t="str">
        <f>_xlfn.XLOOKUP(C4051,menu!A:A,menu!C:C)</f>
        <v>Sandwich</v>
      </c>
      <c r="H4051" s="10">
        <f>_xlfn.XLOOKUP(C4051,menu!A:A,menu!E:E)</f>
        <v>36</v>
      </c>
      <c r="I4051" s="10">
        <f t="shared" si="63"/>
        <v>72</v>
      </c>
      <c r="K4051" s="10"/>
      <c r="L4051" s="5"/>
    </row>
    <row r="4052" spans="1:12" x14ac:dyDescent="0.25">
      <c r="A4052" s="5" t="s">
        <v>1624</v>
      </c>
      <c r="B4052" s="5" t="s">
        <v>1623</v>
      </c>
      <c r="C4052" s="5" t="s">
        <v>46</v>
      </c>
      <c r="D4052" s="21">
        <v>3</v>
      </c>
      <c r="E4052" s="12">
        <v>447</v>
      </c>
      <c r="F4052" s="10" t="str">
        <f>_xlfn.XLOOKUP(C4052,menu!A:A,menu!B:B)</f>
        <v>Fish Finger</v>
      </c>
      <c r="G4052" s="10" t="str">
        <f>_xlfn.XLOOKUP(C4052,menu!A:A,menu!C:C)</f>
        <v>Starters</v>
      </c>
      <c r="H4052" s="10">
        <f>_xlfn.XLOOKUP(C4052,menu!A:A,menu!E:E)</f>
        <v>45</v>
      </c>
      <c r="I4052" s="10">
        <f t="shared" si="63"/>
        <v>135</v>
      </c>
      <c r="K4052" s="10"/>
      <c r="L4052" s="5"/>
    </row>
    <row r="4053" spans="1:12" x14ac:dyDescent="0.25">
      <c r="A4053" s="5" t="s">
        <v>1622</v>
      </c>
      <c r="B4053" s="5" t="s">
        <v>1620</v>
      </c>
      <c r="C4053" s="5" t="s">
        <v>40</v>
      </c>
      <c r="D4053" s="21">
        <v>4</v>
      </c>
      <c r="E4053" s="12">
        <v>396</v>
      </c>
      <c r="F4053" s="10" t="str">
        <f>_xlfn.XLOOKUP(C4053,menu!A:A,menu!B:B)</f>
        <v>Veg Nuggets</v>
      </c>
      <c r="G4053" s="10" t="str">
        <f>_xlfn.XLOOKUP(C4053,menu!A:A,menu!C:C)</f>
        <v>Starters</v>
      </c>
      <c r="H4053" s="10">
        <f>_xlfn.XLOOKUP(C4053,menu!A:A,menu!E:E)</f>
        <v>30</v>
      </c>
      <c r="I4053" s="10">
        <f t="shared" si="63"/>
        <v>120</v>
      </c>
      <c r="K4053" s="10"/>
      <c r="L4053" s="5"/>
    </row>
    <row r="4054" spans="1:12" x14ac:dyDescent="0.25">
      <c r="A4054" s="5" t="s">
        <v>1621</v>
      </c>
      <c r="B4054" s="5" t="s">
        <v>1620</v>
      </c>
      <c r="C4054" s="5" t="s">
        <v>33</v>
      </c>
      <c r="D4054" s="21">
        <v>1</v>
      </c>
      <c r="E4054" s="12">
        <v>69</v>
      </c>
      <c r="F4054" s="10" t="str">
        <f>_xlfn.XLOOKUP(C4054,menu!A:A,menu!B:B)</f>
        <v>Spring Roll</v>
      </c>
      <c r="G4054" s="10" t="str">
        <f>_xlfn.XLOOKUP(C4054,menu!A:A,menu!C:C)</f>
        <v>Rolls</v>
      </c>
      <c r="H4054" s="10">
        <f>_xlfn.XLOOKUP(C4054,menu!A:A,menu!E:E)</f>
        <v>21</v>
      </c>
      <c r="I4054" s="10">
        <f t="shared" si="63"/>
        <v>21</v>
      </c>
      <c r="K4054" s="10"/>
      <c r="L4054" s="5"/>
    </row>
    <row r="4055" spans="1:12" x14ac:dyDescent="0.25">
      <c r="A4055" s="5" t="s">
        <v>1619</v>
      </c>
      <c r="B4055" s="5" t="s">
        <v>1616</v>
      </c>
      <c r="C4055" s="5" t="s">
        <v>19</v>
      </c>
      <c r="D4055" s="21">
        <v>1</v>
      </c>
      <c r="E4055" s="12">
        <v>79</v>
      </c>
      <c r="F4055" s="10" t="str">
        <f>_xlfn.XLOOKUP(C4055,menu!A:A,menu!B:B)</f>
        <v>Veg Burger</v>
      </c>
      <c r="G4055" s="10" t="str">
        <f>_xlfn.XLOOKUP(C4055,menu!A:A,menu!C:C)</f>
        <v>Burger</v>
      </c>
      <c r="H4055" s="10">
        <f>_xlfn.XLOOKUP(C4055,menu!A:A,menu!E:E)</f>
        <v>24</v>
      </c>
      <c r="I4055" s="10">
        <f t="shared" si="63"/>
        <v>24</v>
      </c>
      <c r="K4055" s="10"/>
      <c r="L4055" s="5"/>
    </row>
    <row r="4056" spans="1:12" x14ac:dyDescent="0.25">
      <c r="A4056" s="5" t="s">
        <v>1618</v>
      </c>
      <c r="B4056" s="5" t="s">
        <v>1616</v>
      </c>
      <c r="C4056" s="5" t="s">
        <v>50</v>
      </c>
      <c r="D4056" s="21">
        <v>2</v>
      </c>
      <c r="E4056" s="12">
        <v>298</v>
      </c>
      <c r="F4056" s="10" t="str">
        <f>_xlfn.XLOOKUP(C4056,menu!A:A,menu!B:B)</f>
        <v>Grab Lollipop</v>
      </c>
      <c r="G4056" s="10" t="str">
        <f>_xlfn.XLOOKUP(C4056,menu!A:A,menu!C:C)</f>
        <v>Starters</v>
      </c>
      <c r="H4056" s="10">
        <f>_xlfn.XLOOKUP(C4056,menu!A:A,menu!E:E)</f>
        <v>45</v>
      </c>
      <c r="I4056" s="10">
        <f t="shared" si="63"/>
        <v>90</v>
      </c>
      <c r="K4056" s="10"/>
      <c r="L4056" s="5"/>
    </row>
    <row r="4057" spans="1:12" x14ac:dyDescent="0.25">
      <c r="A4057" s="5" t="s">
        <v>1617</v>
      </c>
      <c r="B4057" s="5" t="s">
        <v>1616</v>
      </c>
      <c r="C4057" s="5" t="s">
        <v>40</v>
      </c>
      <c r="D4057" s="21">
        <v>2</v>
      </c>
      <c r="E4057" s="12">
        <v>198</v>
      </c>
      <c r="F4057" s="10" t="str">
        <f>_xlfn.XLOOKUP(C4057,menu!A:A,menu!B:B)</f>
        <v>Veg Nuggets</v>
      </c>
      <c r="G4057" s="10" t="str">
        <f>_xlfn.XLOOKUP(C4057,menu!A:A,menu!C:C)</f>
        <v>Starters</v>
      </c>
      <c r="H4057" s="10">
        <f>_xlfn.XLOOKUP(C4057,menu!A:A,menu!E:E)</f>
        <v>30</v>
      </c>
      <c r="I4057" s="10">
        <f t="shared" si="63"/>
        <v>60</v>
      </c>
      <c r="K4057" s="10"/>
      <c r="L4057" s="5"/>
    </row>
    <row r="4058" spans="1:12" x14ac:dyDescent="0.25">
      <c r="A4058" s="5" t="s">
        <v>1615</v>
      </c>
      <c r="B4058" s="5" t="s">
        <v>1611</v>
      </c>
      <c r="C4058" s="5" t="s">
        <v>63</v>
      </c>
      <c r="D4058" s="21">
        <v>2</v>
      </c>
      <c r="E4058" s="12">
        <v>158</v>
      </c>
      <c r="F4058" s="10" t="str">
        <f>_xlfn.XLOOKUP(C4058,menu!A:A,menu!B:B)</f>
        <v>Virgin Mojito</v>
      </c>
      <c r="G4058" s="10" t="str">
        <f>_xlfn.XLOOKUP(C4058,menu!A:A,menu!C:C)</f>
        <v>Beverages</v>
      </c>
      <c r="H4058" s="10">
        <f>_xlfn.XLOOKUP(C4058,menu!A:A,menu!E:E)</f>
        <v>24</v>
      </c>
      <c r="I4058" s="10">
        <f t="shared" si="63"/>
        <v>48</v>
      </c>
      <c r="K4058" s="10"/>
      <c r="L4058" s="5"/>
    </row>
    <row r="4059" spans="1:12" x14ac:dyDescent="0.25">
      <c r="A4059" s="5" t="s">
        <v>1614</v>
      </c>
      <c r="B4059" s="5" t="s">
        <v>1611</v>
      </c>
      <c r="C4059" s="5" t="s">
        <v>50</v>
      </c>
      <c r="D4059" s="21">
        <v>2</v>
      </c>
      <c r="E4059" s="12">
        <v>298</v>
      </c>
      <c r="F4059" s="10" t="str">
        <f>_xlfn.XLOOKUP(C4059,menu!A:A,menu!B:B)</f>
        <v>Grab Lollipop</v>
      </c>
      <c r="G4059" s="10" t="str">
        <f>_xlfn.XLOOKUP(C4059,menu!A:A,menu!C:C)</f>
        <v>Starters</v>
      </c>
      <c r="H4059" s="10">
        <f>_xlfn.XLOOKUP(C4059,menu!A:A,menu!E:E)</f>
        <v>45</v>
      </c>
      <c r="I4059" s="10">
        <f t="shared" si="63"/>
        <v>90</v>
      </c>
      <c r="K4059" s="10"/>
      <c r="L4059" s="5"/>
    </row>
    <row r="4060" spans="1:12" x14ac:dyDescent="0.25">
      <c r="A4060" s="5" t="s">
        <v>1613</v>
      </c>
      <c r="B4060" s="5" t="s">
        <v>1611</v>
      </c>
      <c r="C4060" s="5" t="s">
        <v>15</v>
      </c>
      <c r="D4060" s="21">
        <v>1</v>
      </c>
      <c r="E4060" s="12">
        <v>99</v>
      </c>
      <c r="F4060" s="10" t="str">
        <f>_xlfn.XLOOKUP(C4060,menu!A:A,menu!B:B)</f>
        <v>Chicken Momos</v>
      </c>
      <c r="G4060" s="10" t="str">
        <f>_xlfn.XLOOKUP(C4060,menu!A:A,menu!C:C)</f>
        <v>Momos</v>
      </c>
      <c r="H4060" s="10">
        <f>_xlfn.XLOOKUP(C4060,menu!A:A,menu!E:E)</f>
        <v>30</v>
      </c>
      <c r="I4060" s="10">
        <f t="shared" si="63"/>
        <v>30</v>
      </c>
      <c r="K4060" s="10"/>
      <c r="L4060" s="5"/>
    </row>
    <row r="4061" spans="1:12" x14ac:dyDescent="0.25">
      <c r="A4061" s="5" t="s">
        <v>1612</v>
      </c>
      <c r="B4061" s="5" t="s">
        <v>1611</v>
      </c>
      <c r="C4061" s="5" t="s">
        <v>65</v>
      </c>
      <c r="D4061" s="21">
        <v>4</v>
      </c>
      <c r="E4061" s="12">
        <v>196</v>
      </c>
      <c r="F4061" s="10" t="str">
        <f>_xlfn.XLOOKUP(C4061,menu!A:A,menu!B:B)</f>
        <v>Lemon Juice</v>
      </c>
      <c r="G4061" s="10" t="str">
        <f>_xlfn.XLOOKUP(C4061,menu!A:A,menu!C:C)</f>
        <v>Beverages</v>
      </c>
      <c r="H4061" s="10">
        <f>_xlfn.XLOOKUP(C4061,menu!A:A,menu!E:E)</f>
        <v>15</v>
      </c>
      <c r="I4061" s="10">
        <f t="shared" si="63"/>
        <v>60</v>
      </c>
      <c r="K4061" s="10"/>
      <c r="L4061" s="5"/>
    </row>
    <row r="4062" spans="1:12" x14ac:dyDescent="0.25">
      <c r="A4062" s="5" t="s">
        <v>1610</v>
      </c>
      <c r="B4062" s="5" t="s">
        <v>1609</v>
      </c>
      <c r="C4062" s="5" t="s">
        <v>40</v>
      </c>
      <c r="D4062" s="21">
        <v>1</v>
      </c>
      <c r="E4062" s="12">
        <v>99</v>
      </c>
      <c r="F4062" s="10" t="str">
        <f>_xlfn.XLOOKUP(C4062,menu!A:A,menu!B:B)</f>
        <v>Veg Nuggets</v>
      </c>
      <c r="G4062" s="10" t="str">
        <f>_xlfn.XLOOKUP(C4062,menu!A:A,menu!C:C)</f>
        <v>Starters</v>
      </c>
      <c r="H4062" s="10">
        <f>_xlfn.XLOOKUP(C4062,menu!A:A,menu!E:E)</f>
        <v>30</v>
      </c>
      <c r="I4062" s="10">
        <f t="shared" si="63"/>
        <v>30</v>
      </c>
      <c r="K4062" s="10"/>
      <c r="L4062" s="5"/>
    </row>
    <row r="4063" spans="1:12" x14ac:dyDescent="0.25">
      <c r="A4063" s="5" t="s">
        <v>1608</v>
      </c>
      <c r="B4063" s="5" t="s">
        <v>1605</v>
      </c>
      <c r="C4063" s="5" t="s">
        <v>44</v>
      </c>
      <c r="D4063" s="21">
        <v>2</v>
      </c>
      <c r="E4063" s="12">
        <v>318</v>
      </c>
      <c r="F4063" s="10" t="str">
        <f>_xlfn.XLOOKUP(C4063,menu!A:A,menu!B:B)</f>
        <v>Fried Chicken</v>
      </c>
      <c r="G4063" s="10" t="str">
        <f>_xlfn.XLOOKUP(C4063,menu!A:A,menu!C:C)</f>
        <v>Starters</v>
      </c>
      <c r="H4063" s="10">
        <f>_xlfn.XLOOKUP(C4063,menu!A:A,menu!E:E)</f>
        <v>48</v>
      </c>
      <c r="I4063" s="10">
        <f t="shared" si="63"/>
        <v>96</v>
      </c>
      <c r="K4063" s="10"/>
      <c r="L4063" s="5"/>
    </row>
    <row r="4064" spans="1:12" x14ac:dyDescent="0.25">
      <c r="A4064" s="5" t="s">
        <v>1607</v>
      </c>
      <c r="B4064" s="5" t="s">
        <v>1605</v>
      </c>
      <c r="C4064" s="5" t="s">
        <v>54</v>
      </c>
      <c r="D4064" s="21">
        <v>2</v>
      </c>
      <c r="E4064" s="12">
        <v>278</v>
      </c>
      <c r="F4064" s="10" t="str">
        <f>_xlfn.XLOOKUP(C4064,menu!A:A,menu!B:B)</f>
        <v>Chicken Strips</v>
      </c>
      <c r="G4064" s="10" t="str">
        <f>_xlfn.XLOOKUP(C4064,menu!A:A,menu!C:C)</f>
        <v>Starters</v>
      </c>
      <c r="H4064" s="10">
        <f>_xlfn.XLOOKUP(C4064,menu!A:A,menu!E:E)</f>
        <v>42</v>
      </c>
      <c r="I4064" s="10">
        <f t="shared" si="63"/>
        <v>84</v>
      </c>
      <c r="K4064" s="10"/>
      <c r="L4064" s="5"/>
    </row>
    <row r="4065" spans="1:12" x14ac:dyDescent="0.25">
      <c r="A4065" s="5" t="s">
        <v>1606</v>
      </c>
      <c r="B4065" s="5" t="s">
        <v>1605</v>
      </c>
      <c r="C4065" s="5" t="s">
        <v>61</v>
      </c>
      <c r="D4065" s="21">
        <v>2</v>
      </c>
      <c r="E4065" s="12">
        <v>158</v>
      </c>
      <c r="F4065" s="10" t="str">
        <f>_xlfn.XLOOKUP(C4065,menu!A:A,menu!B:B)</f>
        <v>Watermelon Mojito</v>
      </c>
      <c r="G4065" s="10" t="str">
        <f>_xlfn.XLOOKUP(C4065,menu!A:A,menu!C:C)</f>
        <v>Beverages</v>
      </c>
      <c r="H4065" s="10">
        <f>_xlfn.XLOOKUP(C4065,menu!A:A,menu!E:E)</f>
        <v>24</v>
      </c>
      <c r="I4065" s="10">
        <f t="shared" si="63"/>
        <v>48</v>
      </c>
      <c r="K4065" s="10"/>
      <c r="L4065" s="5"/>
    </row>
    <row r="4066" spans="1:12" x14ac:dyDescent="0.25">
      <c r="A4066" s="5" t="s">
        <v>1604</v>
      </c>
      <c r="B4066" s="5" t="s">
        <v>1601</v>
      </c>
      <c r="C4066" s="5" t="s">
        <v>44</v>
      </c>
      <c r="D4066" s="21">
        <v>3</v>
      </c>
      <c r="E4066" s="12">
        <v>477</v>
      </c>
      <c r="F4066" s="10" t="str">
        <f>_xlfn.XLOOKUP(C4066,menu!A:A,menu!B:B)</f>
        <v>Fried Chicken</v>
      </c>
      <c r="G4066" s="10" t="str">
        <f>_xlfn.XLOOKUP(C4066,menu!A:A,menu!C:C)</f>
        <v>Starters</v>
      </c>
      <c r="H4066" s="10">
        <f>_xlfn.XLOOKUP(C4066,menu!A:A,menu!E:E)</f>
        <v>48</v>
      </c>
      <c r="I4066" s="10">
        <f t="shared" si="63"/>
        <v>144</v>
      </c>
      <c r="K4066" s="10"/>
      <c r="L4066" s="5"/>
    </row>
    <row r="4067" spans="1:12" x14ac:dyDescent="0.25">
      <c r="A4067" s="5" t="s">
        <v>1603</v>
      </c>
      <c r="B4067" s="5" t="s">
        <v>1601</v>
      </c>
      <c r="C4067" s="5" t="s">
        <v>15</v>
      </c>
      <c r="D4067" s="21">
        <v>1</v>
      </c>
      <c r="E4067" s="12">
        <v>99</v>
      </c>
      <c r="F4067" s="10" t="str">
        <f>_xlfn.XLOOKUP(C4067,menu!A:A,menu!B:B)</f>
        <v>Chicken Momos</v>
      </c>
      <c r="G4067" s="10" t="str">
        <f>_xlfn.XLOOKUP(C4067,menu!A:A,menu!C:C)</f>
        <v>Momos</v>
      </c>
      <c r="H4067" s="10">
        <f>_xlfn.XLOOKUP(C4067,menu!A:A,menu!E:E)</f>
        <v>30</v>
      </c>
      <c r="I4067" s="10">
        <f t="shared" si="63"/>
        <v>30</v>
      </c>
      <c r="K4067" s="10"/>
      <c r="L4067" s="5"/>
    </row>
    <row r="4068" spans="1:12" x14ac:dyDescent="0.25">
      <c r="A4068" s="5" t="s">
        <v>1602</v>
      </c>
      <c r="B4068" s="5" t="s">
        <v>1601</v>
      </c>
      <c r="C4068" s="5" t="s">
        <v>8</v>
      </c>
      <c r="D4068" s="21">
        <v>1</v>
      </c>
      <c r="E4068" s="12">
        <v>99</v>
      </c>
      <c r="F4068" s="10" t="str">
        <f>_xlfn.XLOOKUP(C4068,menu!A:A,menu!B:B)</f>
        <v>Paneer Sandwich</v>
      </c>
      <c r="G4068" s="10" t="str">
        <f>_xlfn.XLOOKUP(C4068,menu!A:A,menu!C:C)</f>
        <v>Sandwich</v>
      </c>
      <c r="H4068" s="10">
        <f>_xlfn.XLOOKUP(C4068,menu!A:A,menu!E:E)</f>
        <v>30</v>
      </c>
      <c r="I4068" s="10">
        <f t="shared" si="63"/>
        <v>30</v>
      </c>
      <c r="K4068" s="10"/>
      <c r="L4068" s="5"/>
    </row>
    <row r="4069" spans="1:12" x14ac:dyDescent="0.25">
      <c r="A4069" s="5" t="s">
        <v>1600</v>
      </c>
      <c r="B4069" s="5" t="s">
        <v>1596</v>
      </c>
      <c r="C4069" s="5" t="s">
        <v>5</v>
      </c>
      <c r="D4069" s="21">
        <v>3</v>
      </c>
      <c r="E4069" s="12">
        <v>237</v>
      </c>
      <c r="F4069" s="10" t="str">
        <f>_xlfn.XLOOKUP(C4069,menu!A:A,menu!B:B)</f>
        <v>Veg Sandwich</v>
      </c>
      <c r="G4069" s="10" t="str">
        <f>_xlfn.XLOOKUP(C4069,menu!A:A,menu!C:C)</f>
        <v>Sandwich</v>
      </c>
      <c r="H4069" s="10">
        <f>_xlfn.XLOOKUP(C4069,menu!A:A,menu!E:E)</f>
        <v>24</v>
      </c>
      <c r="I4069" s="10">
        <f t="shared" si="63"/>
        <v>72</v>
      </c>
      <c r="K4069" s="10"/>
      <c r="L4069" s="5"/>
    </row>
    <row r="4070" spans="1:12" x14ac:dyDescent="0.25">
      <c r="A4070" s="5" t="s">
        <v>1599</v>
      </c>
      <c r="B4070" s="5" t="s">
        <v>1596</v>
      </c>
      <c r="C4070" s="5" t="s">
        <v>56</v>
      </c>
      <c r="D4070" s="21">
        <v>3</v>
      </c>
      <c r="E4070" s="12">
        <v>237</v>
      </c>
      <c r="F4070" s="10" t="str">
        <f>_xlfn.XLOOKUP(C4070,menu!A:A,menu!B:B)</f>
        <v>Mint Mojito</v>
      </c>
      <c r="G4070" s="10" t="str">
        <f>_xlfn.XLOOKUP(C4070,menu!A:A,menu!C:C)</f>
        <v>Beverages</v>
      </c>
      <c r="H4070" s="10">
        <f>_xlfn.XLOOKUP(C4070,menu!A:A,menu!E:E)</f>
        <v>24</v>
      </c>
      <c r="I4070" s="10">
        <f t="shared" si="63"/>
        <v>72</v>
      </c>
      <c r="K4070" s="10"/>
      <c r="L4070" s="5"/>
    </row>
    <row r="4071" spans="1:12" x14ac:dyDescent="0.25">
      <c r="A4071" s="5" t="s">
        <v>1598</v>
      </c>
      <c r="B4071" s="5" t="s">
        <v>1596</v>
      </c>
      <c r="C4071" s="5" t="s">
        <v>19</v>
      </c>
      <c r="D4071" s="21">
        <v>3</v>
      </c>
      <c r="E4071" s="12">
        <v>237</v>
      </c>
      <c r="F4071" s="10" t="str">
        <f>_xlfn.XLOOKUP(C4071,menu!A:A,menu!B:B)</f>
        <v>Veg Burger</v>
      </c>
      <c r="G4071" s="10" t="str">
        <f>_xlfn.XLOOKUP(C4071,menu!A:A,menu!C:C)</f>
        <v>Burger</v>
      </c>
      <c r="H4071" s="10">
        <f>_xlfn.XLOOKUP(C4071,menu!A:A,menu!E:E)</f>
        <v>24</v>
      </c>
      <c r="I4071" s="10">
        <f t="shared" si="63"/>
        <v>72</v>
      </c>
      <c r="K4071" s="10"/>
      <c r="L4071" s="5"/>
    </row>
    <row r="4072" spans="1:12" x14ac:dyDescent="0.25">
      <c r="A4072" s="5" t="s">
        <v>1597</v>
      </c>
      <c r="B4072" s="5" t="s">
        <v>1596</v>
      </c>
      <c r="C4072" s="5" t="s">
        <v>10</v>
      </c>
      <c r="D4072" s="21">
        <v>1</v>
      </c>
      <c r="E4072" s="12">
        <v>119</v>
      </c>
      <c r="F4072" s="10" t="str">
        <f>_xlfn.XLOOKUP(C4072,menu!A:A,menu!B:B)</f>
        <v>Chicken Sandwich</v>
      </c>
      <c r="G4072" s="10" t="str">
        <f>_xlfn.XLOOKUP(C4072,menu!A:A,menu!C:C)</f>
        <v>Sandwich</v>
      </c>
      <c r="H4072" s="10">
        <f>_xlfn.XLOOKUP(C4072,menu!A:A,menu!E:E)</f>
        <v>36</v>
      </c>
      <c r="I4072" s="10">
        <f t="shared" si="63"/>
        <v>36</v>
      </c>
      <c r="K4072" s="10"/>
      <c r="L4072" s="5"/>
    </row>
    <row r="4073" spans="1:12" x14ac:dyDescent="0.25">
      <c r="A4073" s="5" t="s">
        <v>1595</v>
      </c>
      <c r="B4073" s="5" t="s">
        <v>1593</v>
      </c>
      <c r="C4073" s="5" t="s">
        <v>17</v>
      </c>
      <c r="D4073" s="21">
        <v>1</v>
      </c>
      <c r="E4073" s="12">
        <v>89</v>
      </c>
      <c r="F4073" s="10" t="str">
        <f>_xlfn.XLOOKUP(C4073,menu!A:A,menu!B:B)</f>
        <v>Paneer Momos</v>
      </c>
      <c r="G4073" s="10" t="str">
        <f>_xlfn.XLOOKUP(C4073,menu!A:A,menu!C:C)</f>
        <v>Momos</v>
      </c>
      <c r="H4073" s="10">
        <f>_xlfn.XLOOKUP(C4073,menu!A:A,menu!E:E)</f>
        <v>27</v>
      </c>
      <c r="I4073" s="10">
        <f t="shared" si="63"/>
        <v>27</v>
      </c>
      <c r="K4073" s="10"/>
      <c r="L4073" s="5"/>
    </row>
    <row r="4074" spans="1:12" x14ac:dyDescent="0.25">
      <c r="A4074" s="5" t="s">
        <v>1594</v>
      </c>
      <c r="B4074" s="5" t="s">
        <v>1593</v>
      </c>
      <c r="C4074" s="5" t="s">
        <v>54</v>
      </c>
      <c r="D4074" s="21">
        <v>1</v>
      </c>
      <c r="E4074" s="12">
        <v>139</v>
      </c>
      <c r="F4074" s="10" t="str">
        <f>_xlfn.XLOOKUP(C4074,menu!A:A,menu!B:B)</f>
        <v>Chicken Strips</v>
      </c>
      <c r="G4074" s="10" t="str">
        <f>_xlfn.XLOOKUP(C4074,menu!A:A,menu!C:C)</f>
        <v>Starters</v>
      </c>
      <c r="H4074" s="10">
        <f>_xlfn.XLOOKUP(C4074,menu!A:A,menu!E:E)</f>
        <v>42</v>
      </c>
      <c r="I4074" s="10">
        <f t="shared" si="63"/>
        <v>42</v>
      </c>
      <c r="K4074" s="10"/>
      <c r="L4074" s="5"/>
    </row>
    <row r="4075" spans="1:12" x14ac:dyDescent="0.25">
      <c r="A4075" s="5" t="s">
        <v>1592</v>
      </c>
      <c r="B4075" s="5" t="s">
        <v>1588</v>
      </c>
      <c r="C4075" s="5" t="s">
        <v>56</v>
      </c>
      <c r="D4075" s="21">
        <v>2</v>
      </c>
      <c r="E4075" s="12">
        <v>158</v>
      </c>
      <c r="F4075" s="10" t="str">
        <f>_xlfn.XLOOKUP(C4075,menu!A:A,menu!B:B)</f>
        <v>Mint Mojito</v>
      </c>
      <c r="G4075" s="10" t="str">
        <f>_xlfn.XLOOKUP(C4075,menu!A:A,menu!C:C)</f>
        <v>Beverages</v>
      </c>
      <c r="H4075" s="10">
        <f>_xlfn.XLOOKUP(C4075,menu!A:A,menu!E:E)</f>
        <v>24</v>
      </c>
      <c r="I4075" s="10">
        <f t="shared" si="63"/>
        <v>48</v>
      </c>
      <c r="K4075" s="10"/>
      <c r="L4075" s="5"/>
    </row>
    <row r="4076" spans="1:12" x14ac:dyDescent="0.25">
      <c r="A4076" s="5" t="s">
        <v>1591</v>
      </c>
      <c r="B4076" s="5" t="s">
        <v>1588</v>
      </c>
      <c r="C4076" s="5" t="s">
        <v>44</v>
      </c>
      <c r="D4076" s="21">
        <v>4</v>
      </c>
      <c r="E4076" s="12">
        <v>636</v>
      </c>
      <c r="F4076" s="10" t="str">
        <f>_xlfn.XLOOKUP(C4076,menu!A:A,menu!B:B)</f>
        <v>Fried Chicken</v>
      </c>
      <c r="G4076" s="10" t="str">
        <f>_xlfn.XLOOKUP(C4076,menu!A:A,menu!C:C)</f>
        <v>Starters</v>
      </c>
      <c r="H4076" s="10">
        <f>_xlfn.XLOOKUP(C4076,menu!A:A,menu!E:E)</f>
        <v>48</v>
      </c>
      <c r="I4076" s="10">
        <f t="shared" si="63"/>
        <v>192</v>
      </c>
      <c r="K4076" s="10"/>
      <c r="L4076" s="5"/>
    </row>
    <row r="4077" spans="1:12" x14ac:dyDescent="0.25">
      <c r="A4077" s="5" t="s">
        <v>1590</v>
      </c>
      <c r="B4077" s="5" t="s">
        <v>1588</v>
      </c>
      <c r="C4077" s="5" t="s">
        <v>8</v>
      </c>
      <c r="D4077" s="21">
        <v>2</v>
      </c>
      <c r="E4077" s="12">
        <v>198</v>
      </c>
      <c r="F4077" s="10" t="str">
        <f>_xlfn.XLOOKUP(C4077,menu!A:A,menu!B:B)</f>
        <v>Paneer Sandwich</v>
      </c>
      <c r="G4077" s="10" t="str">
        <f>_xlfn.XLOOKUP(C4077,menu!A:A,menu!C:C)</f>
        <v>Sandwich</v>
      </c>
      <c r="H4077" s="10">
        <f>_xlfn.XLOOKUP(C4077,menu!A:A,menu!E:E)</f>
        <v>30</v>
      </c>
      <c r="I4077" s="10">
        <f t="shared" si="63"/>
        <v>60</v>
      </c>
      <c r="K4077" s="10"/>
      <c r="L4077" s="5"/>
    </row>
    <row r="4078" spans="1:12" x14ac:dyDescent="0.25">
      <c r="A4078" s="5" t="s">
        <v>1589</v>
      </c>
      <c r="B4078" s="5" t="s">
        <v>1588</v>
      </c>
      <c r="C4078" s="5" t="s">
        <v>48</v>
      </c>
      <c r="D4078" s="21">
        <v>1</v>
      </c>
      <c r="E4078" s="12">
        <v>159</v>
      </c>
      <c r="F4078" s="10" t="str">
        <f>_xlfn.XLOOKUP(C4078,menu!A:A,menu!B:B)</f>
        <v>Chicken Lollipop</v>
      </c>
      <c r="G4078" s="10" t="str">
        <f>_xlfn.XLOOKUP(C4078,menu!A:A,menu!C:C)</f>
        <v>Starters</v>
      </c>
      <c r="H4078" s="10">
        <f>_xlfn.XLOOKUP(C4078,menu!A:A,menu!E:E)</f>
        <v>48</v>
      </c>
      <c r="I4078" s="10">
        <f t="shared" si="63"/>
        <v>48</v>
      </c>
      <c r="K4078" s="10"/>
      <c r="L4078" s="5"/>
    </row>
    <row r="4079" spans="1:12" x14ac:dyDescent="0.25">
      <c r="A4079" s="5" t="s">
        <v>1587</v>
      </c>
      <c r="B4079" s="5" t="s">
        <v>1585</v>
      </c>
      <c r="C4079" s="5" t="s">
        <v>52</v>
      </c>
      <c r="D4079" s="21">
        <v>1</v>
      </c>
      <c r="E4079" s="12">
        <v>99</v>
      </c>
      <c r="F4079" s="10" t="str">
        <f>_xlfn.XLOOKUP(C4079,menu!A:A,menu!B:B)</f>
        <v>French Fries</v>
      </c>
      <c r="G4079" s="10" t="str">
        <f>_xlfn.XLOOKUP(C4079,menu!A:A,menu!C:C)</f>
        <v>Starters</v>
      </c>
      <c r="H4079" s="10">
        <f>_xlfn.XLOOKUP(C4079,menu!A:A,menu!E:E)</f>
        <v>30</v>
      </c>
      <c r="I4079" s="10">
        <f t="shared" si="63"/>
        <v>30</v>
      </c>
      <c r="K4079" s="10"/>
      <c r="L4079" s="5"/>
    </row>
    <row r="4080" spans="1:12" x14ac:dyDescent="0.25">
      <c r="A4080" s="5" t="s">
        <v>1586</v>
      </c>
      <c r="B4080" s="5" t="s">
        <v>1585</v>
      </c>
      <c r="C4080" s="5" t="s">
        <v>46</v>
      </c>
      <c r="D4080" s="21">
        <v>1</v>
      </c>
      <c r="E4080" s="12">
        <v>149</v>
      </c>
      <c r="F4080" s="10" t="str">
        <f>_xlfn.XLOOKUP(C4080,menu!A:A,menu!B:B)</f>
        <v>Fish Finger</v>
      </c>
      <c r="G4080" s="10" t="str">
        <f>_xlfn.XLOOKUP(C4080,menu!A:A,menu!C:C)</f>
        <v>Starters</v>
      </c>
      <c r="H4080" s="10">
        <f>_xlfn.XLOOKUP(C4080,menu!A:A,menu!E:E)</f>
        <v>45</v>
      </c>
      <c r="I4080" s="10">
        <f t="shared" si="63"/>
        <v>45</v>
      </c>
      <c r="K4080" s="10"/>
      <c r="L4080" s="5"/>
    </row>
    <row r="4081" spans="1:12" x14ac:dyDescent="0.25">
      <c r="A4081" s="5" t="s">
        <v>1584</v>
      </c>
      <c r="B4081" s="5" t="s">
        <v>1581</v>
      </c>
      <c r="C4081" s="5" t="s">
        <v>54</v>
      </c>
      <c r="D4081" s="21">
        <v>2</v>
      </c>
      <c r="E4081" s="12">
        <v>278</v>
      </c>
      <c r="F4081" s="10" t="str">
        <f>_xlfn.XLOOKUP(C4081,menu!A:A,menu!B:B)</f>
        <v>Chicken Strips</v>
      </c>
      <c r="G4081" s="10" t="str">
        <f>_xlfn.XLOOKUP(C4081,menu!A:A,menu!C:C)</f>
        <v>Starters</v>
      </c>
      <c r="H4081" s="10">
        <f>_xlfn.XLOOKUP(C4081,menu!A:A,menu!E:E)</f>
        <v>42</v>
      </c>
      <c r="I4081" s="10">
        <f t="shared" si="63"/>
        <v>84</v>
      </c>
      <c r="K4081" s="10"/>
      <c r="L4081" s="5"/>
    </row>
    <row r="4082" spans="1:12" x14ac:dyDescent="0.25">
      <c r="A4082" s="5" t="s">
        <v>1583</v>
      </c>
      <c r="B4082" s="5" t="s">
        <v>1581</v>
      </c>
      <c r="C4082" s="5" t="s">
        <v>46</v>
      </c>
      <c r="D4082" s="21">
        <v>3</v>
      </c>
      <c r="E4082" s="12">
        <v>447</v>
      </c>
      <c r="F4082" s="10" t="str">
        <f>_xlfn.XLOOKUP(C4082,menu!A:A,menu!B:B)</f>
        <v>Fish Finger</v>
      </c>
      <c r="G4082" s="10" t="str">
        <f>_xlfn.XLOOKUP(C4082,menu!A:A,menu!C:C)</f>
        <v>Starters</v>
      </c>
      <c r="H4082" s="10">
        <f>_xlfn.XLOOKUP(C4082,menu!A:A,menu!E:E)</f>
        <v>45</v>
      </c>
      <c r="I4082" s="10">
        <f t="shared" si="63"/>
        <v>135</v>
      </c>
      <c r="K4082" s="10"/>
      <c r="L4082" s="5"/>
    </row>
    <row r="4083" spans="1:12" x14ac:dyDescent="0.25">
      <c r="A4083" s="5" t="s">
        <v>1582</v>
      </c>
      <c r="B4083" s="5" t="s">
        <v>1581</v>
      </c>
      <c r="C4083" s="5" t="s">
        <v>22</v>
      </c>
      <c r="D4083" s="21">
        <v>1</v>
      </c>
      <c r="E4083" s="12">
        <v>99</v>
      </c>
      <c r="F4083" s="10" t="str">
        <f>_xlfn.XLOOKUP(C4083,menu!A:A,menu!B:B)</f>
        <v>Chicken Burger</v>
      </c>
      <c r="G4083" s="10" t="str">
        <f>_xlfn.XLOOKUP(C4083,menu!A:A,menu!C:C)</f>
        <v>Burger</v>
      </c>
      <c r="H4083" s="10">
        <f>_xlfn.XLOOKUP(C4083,menu!A:A,menu!E:E)</f>
        <v>30</v>
      </c>
      <c r="I4083" s="10">
        <f t="shared" si="63"/>
        <v>30</v>
      </c>
      <c r="K4083" s="10"/>
      <c r="L4083" s="5"/>
    </row>
    <row r="4084" spans="1:12" x14ac:dyDescent="0.25">
      <c r="A4084" s="5" t="s">
        <v>1580</v>
      </c>
      <c r="B4084" s="5" t="s">
        <v>1578</v>
      </c>
      <c r="C4084" s="5" t="s">
        <v>48</v>
      </c>
      <c r="D4084" s="21">
        <v>2</v>
      </c>
      <c r="E4084" s="12">
        <v>318</v>
      </c>
      <c r="F4084" s="10" t="str">
        <f>_xlfn.XLOOKUP(C4084,menu!A:A,menu!B:B)</f>
        <v>Chicken Lollipop</v>
      </c>
      <c r="G4084" s="10" t="str">
        <f>_xlfn.XLOOKUP(C4084,menu!A:A,menu!C:C)</f>
        <v>Starters</v>
      </c>
      <c r="H4084" s="10">
        <f>_xlfn.XLOOKUP(C4084,menu!A:A,menu!E:E)</f>
        <v>48</v>
      </c>
      <c r="I4084" s="10">
        <f t="shared" si="63"/>
        <v>96</v>
      </c>
      <c r="K4084" s="10"/>
      <c r="L4084" s="5"/>
    </row>
    <row r="4085" spans="1:12" x14ac:dyDescent="0.25">
      <c r="A4085" s="5" t="s">
        <v>1579</v>
      </c>
      <c r="B4085" s="5" t="s">
        <v>1578</v>
      </c>
      <c r="C4085" s="5" t="s">
        <v>24</v>
      </c>
      <c r="D4085" s="21">
        <v>1</v>
      </c>
      <c r="E4085" s="12">
        <v>89</v>
      </c>
      <c r="F4085" s="10" t="str">
        <f>_xlfn.XLOOKUP(C4085,menu!A:A,menu!B:B)</f>
        <v>Paneer Burger</v>
      </c>
      <c r="G4085" s="10" t="str">
        <f>_xlfn.XLOOKUP(C4085,menu!A:A,menu!C:C)</f>
        <v>Burger</v>
      </c>
      <c r="H4085" s="10">
        <f>_xlfn.XLOOKUP(C4085,menu!A:A,menu!E:E)</f>
        <v>27</v>
      </c>
      <c r="I4085" s="10">
        <f t="shared" si="63"/>
        <v>27</v>
      </c>
      <c r="K4085" s="10"/>
      <c r="L4085" s="5"/>
    </row>
    <row r="4086" spans="1:12" x14ac:dyDescent="0.25">
      <c r="A4086" s="5" t="s">
        <v>1577</v>
      </c>
      <c r="B4086" s="5" t="s">
        <v>1574</v>
      </c>
      <c r="C4086" s="5" t="s">
        <v>56</v>
      </c>
      <c r="D4086" s="21">
        <v>4</v>
      </c>
      <c r="E4086" s="12">
        <v>316</v>
      </c>
      <c r="F4086" s="10" t="str">
        <f>_xlfn.XLOOKUP(C4086,menu!A:A,menu!B:B)</f>
        <v>Mint Mojito</v>
      </c>
      <c r="G4086" s="10" t="str">
        <f>_xlfn.XLOOKUP(C4086,menu!A:A,menu!C:C)</f>
        <v>Beverages</v>
      </c>
      <c r="H4086" s="10">
        <f>_xlfn.XLOOKUP(C4086,menu!A:A,menu!E:E)</f>
        <v>24</v>
      </c>
      <c r="I4086" s="10">
        <f t="shared" si="63"/>
        <v>96</v>
      </c>
      <c r="K4086" s="10"/>
      <c r="L4086" s="5"/>
    </row>
    <row r="4087" spans="1:12" x14ac:dyDescent="0.25">
      <c r="A4087" s="5" t="s">
        <v>1576</v>
      </c>
      <c r="B4087" s="5" t="s">
        <v>1574</v>
      </c>
      <c r="C4087" s="5" t="s">
        <v>44</v>
      </c>
      <c r="D4087" s="21">
        <v>3</v>
      </c>
      <c r="E4087" s="12">
        <v>477</v>
      </c>
      <c r="F4087" s="10" t="str">
        <f>_xlfn.XLOOKUP(C4087,menu!A:A,menu!B:B)</f>
        <v>Fried Chicken</v>
      </c>
      <c r="G4087" s="10" t="str">
        <f>_xlfn.XLOOKUP(C4087,menu!A:A,menu!C:C)</f>
        <v>Starters</v>
      </c>
      <c r="H4087" s="10">
        <f>_xlfn.XLOOKUP(C4087,menu!A:A,menu!E:E)</f>
        <v>48</v>
      </c>
      <c r="I4087" s="10">
        <f t="shared" si="63"/>
        <v>144</v>
      </c>
      <c r="K4087" s="10"/>
      <c r="L4087" s="5"/>
    </row>
    <row r="4088" spans="1:12" x14ac:dyDescent="0.25">
      <c r="A4088" s="5" t="s">
        <v>1575</v>
      </c>
      <c r="B4088" s="5" t="s">
        <v>1574</v>
      </c>
      <c r="C4088" s="5" t="s">
        <v>54</v>
      </c>
      <c r="D4088" s="21">
        <v>3</v>
      </c>
      <c r="E4088" s="12">
        <v>417</v>
      </c>
      <c r="F4088" s="10" t="str">
        <f>_xlfn.XLOOKUP(C4088,menu!A:A,menu!B:B)</f>
        <v>Chicken Strips</v>
      </c>
      <c r="G4088" s="10" t="str">
        <f>_xlfn.XLOOKUP(C4088,menu!A:A,menu!C:C)</f>
        <v>Starters</v>
      </c>
      <c r="H4088" s="10">
        <f>_xlfn.XLOOKUP(C4088,menu!A:A,menu!E:E)</f>
        <v>42</v>
      </c>
      <c r="I4088" s="10">
        <f t="shared" si="63"/>
        <v>126</v>
      </c>
      <c r="K4088" s="10"/>
      <c r="L4088" s="5"/>
    </row>
    <row r="4089" spans="1:12" x14ac:dyDescent="0.25">
      <c r="A4089" s="5" t="s">
        <v>1573</v>
      </c>
      <c r="B4089" s="5" t="s">
        <v>1569</v>
      </c>
      <c r="C4089" s="5" t="s">
        <v>12</v>
      </c>
      <c r="D4089" s="21">
        <v>1</v>
      </c>
      <c r="E4089" s="12">
        <v>79</v>
      </c>
      <c r="F4089" s="10" t="str">
        <f>_xlfn.XLOOKUP(C4089,menu!A:A,menu!B:B)</f>
        <v>Veg Momos</v>
      </c>
      <c r="G4089" s="10" t="str">
        <f>_xlfn.XLOOKUP(C4089,menu!A:A,menu!C:C)</f>
        <v>Momos</v>
      </c>
      <c r="H4089" s="10">
        <f>_xlfn.XLOOKUP(C4089,menu!A:A,menu!E:E)</f>
        <v>24</v>
      </c>
      <c r="I4089" s="10">
        <f t="shared" si="63"/>
        <v>24</v>
      </c>
      <c r="K4089" s="10"/>
      <c r="L4089" s="5"/>
    </row>
    <row r="4090" spans="1:12" x14ac:dyDescent="0.25">
      <c r="A4090" s="5" t="s">
        <v>1572</v>
      </c>
      <c r="B4090" s="5" t="s">
        <v>1569</v>
      </c>
      <c r="C4090" s="5" t="s">
        <v>19</v>
      </c>
      <c r="D4090" s="21">
        <v>1</v>
      </c>
      <c r="E4090" s="12">
        <v>79</v>
      </c>
      <c r="F4090" s="10" t="str">
        <f>_xlfn.XLOOKUP(C4090,menu!A:A,menu!B:B)</f>
        <v>Veg Burger</v>
      </c>
      <c r="G4090" s="10" t="str">
        <f>_xlfn.XLOOKUP(C4090,menu!A:A,menu!C:C)</f>
        <v>Burger</v>
      </c>
      <c r="H4090" s="10">
        <f>_xlfn.XLOOKUP(C4090,menu!A:A,menu!E:E)</f>
        <v>24</v>
      </c>
      <c r="I4090" s="10">
        <f t="shared" si="63"/>
        <v>24</v>
      </c>
      <c r="K4090" s="10"/>
      <c r="L4090" s="5"/>
    </row>
    <row r="4091" spans="1:12" x14ac:dyDescent="0.25">
      <c r="A4091" s="5" t="s">
        <v>1571</v>
      </c>
      <c r="B4091" s="5" t="s">
        <v>1569</v>
      </c>
      <c r="C4091" s="5" t="s">
        <v>42</v>
      </c>
      <c r="D4091" s="21">
        <v>1</v>
      </c>
      <c r="E4091" s="12">
        <v>149</v>
      </c>
      <c r="F4091" s="10" t="str">
        <f>_xlfn.XLOOKUP(C4091,menu!A:A,menu!B:B)</f>
        <v>Chicken Popcorn</v>
      </c>
      <c r="G4091" s="10" t="str">
        <f>_xlfn.XLOOKUP(C4091,menu!A:A,menu!C:C)</f>
        <v>Starters</v>
      </c>
      <c r="H4091" s="10">
        <f>_xlfn.XLOOKUP(C4091,menu!A:A,menu!E:E)</f>
        <v>45</v>
      </c>
      <c r="I4091" s="10">
        <f t="shared" si="63"/>
        <v>45</v>
      </c>
      <c r="K4091" s="10"/>
      <c r="L4091" s="5"/>
    </row>
    <row r="4092" spans="1:12" x14ac:dyDescent="0.25">
      <c r="A4092" s="5" t="s">
        <v>1570</v>
      </c>
      <c r="B4092" s="5" t="s">
        <v>1569</v>
      </c>
      <c r="C4092" s="5" t="s">
        <v>40</v>
      </c>
      <c r="D4092" s="21">
        <v>3</v>
      </c>
      <c r="E4092" s="12">
        <v>297</v>
      </c>
      <c r="F4092" s="10" t="str">
        <f>_xlfn.XLOOKUP(C4092,menu!A:A,menu!B:B)</f>
        <v>Veg Nuggets</v>
      </c>
      <c r="G4092" s="10" t="str">
        <f>_xlfn.XLOOKUP(C4092,menu!A:A,menu!C:C)</f>
        <v>Starters</v>
      </c>
      <c r="H4092" s="10">
        <f>_xlfn.XLOOKUP(C4092,menu!A:A,menu!E:E)</f>
        <v>30</v>
      </c>
      <c r="I4092" s="10">
        <f t="shared" si="63"/>
        <v>90</v>
      </c>
      <c r="K4092" s="10"/>
      <c r="L4092" s="5"/>
    </row>
    <row r="4093" spans="1:12" x14ac:dyDescent="0.25">
      <c r="A4093" s="5" t="s">
        <v>1568</v>
      </c>
      <c r="B4093" s="5" t="s">
        <v>1565</v>
      </c>
      <c r="C4093" s="5" t="s">
        <v>40</v>
      </c>
      <c r="D4093" s="21">
        <v>2</v>
      </c>
      <c r="E4093" s="12">
        <v>198</v>
      </c>
      <c r="F4093" s="10" t="str">
        <f>_xlfn.XLOOKUP(C4093,menu!A:A,menu!B:B)</f>
        <v>Veg Nuggets</v>
      </c>
      <c r="G4093" s="10" t="str">
        <f>_xlfn.XLOOKUP(C4093,menu!A:A,menu!C:C)</f>
        <v>Starters</v>
      </c>
      <c r="H4093" s="10">
        <f>_xlfn.XLOOKUP(C4093,menu!A:A,menu!E:E)</f>
        <v>30</v>
      </c>
      <c r="I4093" s="10">
        <f t="shared" si="63"/>
        <v>60</v>
      </c>
      <c r="K4093" s="10"/>
      <c r="L4093" s="5"/>
    </row>
    <row r="4094" spans="1:12" x14ac:dyDescent="0.25">
      <c r="A4094" s="5" t="s">
        <v>1567</v>
      </c>
      <c r="B4094" s="5" t="s">
        <v>1565</v>
      </c>
      <c r="C4094" s="5" t="s">
        <v>50</v>
      </c>
      <c r="D4094" s="21">
        <v>2</v>
      </c>
      <c r="E4094" s="12">
        <v>298</v>
      </c>
      <c r="F4094" s="10" t="str">
        <f>_xlfn.XLOOKUP(C4094,menu!A:A,menu!B:B)</f>
        <v>Grab Lollipop</v>
      </c>
      <c r="G4094" s="10" t="str">
        <f>_xlfn.XLOOKUP(C4094,menu!A:A,menu!C:C)</f>
        <v>Starters</v>
      </c>
      <c r="H4094" s="10">
        <f>_xlfn.XLOOKUP(C4094,menu!A:A,menu!E:E)</f>
        <v>45</v>
      </c>
      <c r="I4094" s="10">
        <f t="shared" si="63"/>
        <v>90</v>
      </c>
      <c r="K4094" s="10"/>
      <c r="L4094" s="5"/>
    </row>
    <row r="4095" spans="1:12" x14ac:dyDescent="0.25">
      <c r="A4095" s="5" t="s">
        <v>1566</v>
      </c>
      <c r="B4095" s="5" t="s">
        <v>1565</v>
      </c>
      <c r="C4095" s="5" t="s">
        <v>48</v>
      </c>
      <c r="D4095" s="21">
        <v>1</v>
      </c>
      <c r="E4095" s="12">
        <v>159</v>
      </c>
      <c r="F4095" s="10" t="str">
        <f>_xlfn.XLOOKUP(C4095,menu!A:A,menu!B:B)</f>
        <v>Chicken Lollipop</v>
      </c>
      <c r="G4095" s="10" t="str">
        <f>_xlfn.XLOOKUP(C4095,menu!A:A,menu!C:C)</f>
        <v>Starters</v>
      </c>
      <c r="H4095" s="10">
        <f>_xlfn.XLOOKUP(C4095,menu!A:A,menu!E:E)</f>
        <v>48</v>
      </c>
      <c r="I4095" s="10">
        <f t="shared" si="63"/>
        <v>48</v>
      </c>
      <c r="K4095" s="10"/>
      <c r="L4095" s="5"/>
    </row>
    <row r="4096" spans="1:12" x14ac:dyDescent="0.25">
      <c r="A4096" s="5" t="s">
        <v>1564</v>
      </c>
      <c r="B4096" s="5" t="s">
        <v>1560</v>
      </c>
      <c r="C4096" s="5" t="s">
        <v>48</v>
      </c>
      <c r="D4096" s="21">
        <v>2</v>
      </c>
      <c r="E4096" s="12">
        <v>318</v>
      </c>
      <c r="F4096" s="10" t="str">
        <f>_xlfn.XLOOKUP(C4096,menu!A:A,menu!B:B)</f>
        <v>Chicken Lollipop</v>
      </c>
      <c r="G4096" s="10" t="str">
        <f>_xlfn.XLOOKUP(C4096,menu!A:A,menu!C:C)</f>
        <v>Starters</v>
      </c>
      <c r="H4096" s="10">
        <f>_xlfn.XLOOKUP(C4096,menu!A:A,menu!E:E)</f>
        <v>48</v>
      </c>
      <c r="I4096" s="10">
        <f t="shared" si="63"/>
        <v>96</v>
      </c>
      <c r="K4096" s="10"/>
      <c r="L4096" s="5"/>
    </row>
    <row r="4097" spans="1:12" x14ac:dyDescent="0.25">
      <c r="A4097" s="5" t="s">
        <v>1563</v>
      </c>
      <c r="B4097" s="5" t="s">
        <v>1560</v>
      </c>
      <c r="C4097" s="5" t="s">
        <v>44</v>
      </c>
      <c r="D4097" s="21">
        <v>4</v>
      </c>
      <c r="E4097" s="12">
        <v>636</v>
      </c>
      <c r="F4097" s="10" t="str">
        <f>_xlfn.XLOOKUP(C4097,menu!A:A,menu!B:B)</f>
        <v>Fried Chicken</v>
      </c>
      <c r="G4097" s="10" t="str">
        <f>_xlfn.XLOOKUP(C4097,menu!A:A,menu!C:C)</f>
        <v>Starters</v>
      </c>
      <c r="H4097" s="10">
        <f>_xlfn.XLOOKUP(C4097,menu!A:A,menu!E:E)</f>
        <v>48</v>
      </c>
      <c r="I4097" s="10">
        <f t="shared" si="63"/>
        <v>192</v>
      </c>
      <c r="K4097" s="10"/>
      <c r="L4097" s="5"/>
    </row>
    <row r="4098" spans="1:12" x14ac:dyDescent="0.25">
      <c r="A4098" s="5" t="s">
        <v>1562</v>
      </c>
      <c r="B4098" s="5" t="s">
        <v>1560</v>
      </c>
      <c r="C4098" s="5" t="s">
        <v>35</v>
      </c>
      <c r="D4098" s="21">
        <v>1</v>
      </c>
      <c r="E4098" s="12">
        <v>119</v>
      </c>
      <c r="F4098" s="10" t="str">
        <f>_xlfn.XLOOKUP(C4098,menu!A:A,menu!B:B)</f>
        <v>Chicken Nuggets</v>
      </c>
      <c r="G4098" s="10" t="str">
        <f>_xlfn.XLOOKUP(C4098,menu!A:A,menu!C:C)</f>
        <v>Starters</v>
      </c>
      <c r="H4098" s="10">
        <f>_xlfn.XLOOKUP(C4098,menu!A:A,menu!E:E)</f>
        <v>36</v>
      </c>
      <c r="I4098" s="10">
        <f t="shared" si="63"/>
        <v>36</v>
      </c>
      <c r="K4098" s="10"/>
      <c r="L4098" s="5"/>
    </row>
    <row r="4099" spans="1:12" x14ac:dyDescent="0.25">
      <c r="A4099" s="5" t="s">
        <v>1561</v>
      </c>
      <c r="B4099" s="5" t="s">
        <v>1560</v>
      </c>
      <c r="C4099" s="5" t="s">
        <v>54</v>
      </c>
      <c r="D4099" s="21">
        <v>4</v>
      </c>
      <c r="E4099" s="12">
        <v>556</v>
      </c>
      <c r="F4099" s="10" t="str">
        <f>_xlfn.XLOOKUP(C4099,menu!A:A,menu!B:B)</f>
        <v>Chicken Strips</v>
      </c>
      <c r="G4099" s="10" t="str">
        <f>_xlfn.XLOOKUP(C4099,menu!A:A,menu!C:C)</f>
        <v>Starters</v>
      </c>
      <c r="H4099" s="10">
        <f>_xlfn.XLOOKUP(C4099,menu!A:A,menu!E:E)</f>
        <v>42</v>
      </c>
      <c r="I4099" s="10">
        <f t="shared" ref="I4099:I4162" si="64">D4099*H4099</f>
        <v>168</v>
      </c>
      <c r="K4099" s="10"/>
      <c r="L4099" s="5"/>
    </row>
    <row r="4100" spans="1:12" x14ac:dyDescent="0.25">
      <c r="A4100" s="5" t="s">
        <v>1559</v>
      </c>
      <c r="B4100" s="5" t="s">
        <v>1556</v>
      </c>
      <c r="C4100" s="5" t="s">
        <v>35</v>
      </c>
      <c r="D4100" s="21">
        <v>1</v>
      </c>
      <c r="E4100" s="12">
        <v>119</v>
      </c>
      <c r="F4100" s="10" t="str">
        <f>_xlfn.XLOOKUP(C4100,menu!A:A,menu!B:B)</f>
        <v>Chicken Nuggets</v>
      </c>
      <c r="G4100" s="10" t="str">
        <f>_xlfn.XLOOKUP(C4100,menu!A:A,menu!C:C)</f>
        <v>Starters</v>
      </c>
      <c r="H4100" s="10">
        <f>_xlfn.XLOOKUP(C4100,menu!A:A,menu!E:E)</f>
        <v>36</v>
      </c>
      <c r="I4100" s="10">
        <f t="shared" si="64"/>
        <v>36</v>
      </c>
      <c r="K4100" s="10"/>
      <c r="L4100" s="5"/>
    </row>
    <row r="4101" spans="1:12" x14ac:dyDescent="0.25">
      <c r="A4101" s="5" t="s">
        <v>1558</v>
      </c>
      <c r="B4101" s="5" t="s">
        <v>1556</v>
      </c>
      <c r="C4101" s="5" t="s">
        <v>15</v>
      </c>
      <c r="D4101" s="21">
        <v>1</v>
      </c>
      <c r="E4101" s="12">
        <v>99</v>
      </c>
      <c r="F4101" s="10" t="str">
        <f>_xlfn.XLOOKUP(C4101,menu!A:A,menu!B:B)</f>
        <v>Chicken Momos</v>
      </c>
      <c r="G4101" s="10" t="str">
        <f>_xlfn.XLOOKUP(C4101,menu!A:A,menu!C:C)</f>
        <v>Momos</v>
      </c>
      <c r="H4101" s="10">
        <f>_xlfn.XLOOKUP(C4101,menu!A:A,menu!E:E)</f>
        <v>30</v>
      </c>
      <c r="I4101" s="10">
        <f t="shared" si="64"/>
        <v>30</v>
      </c>
      <c r="K4101" s="10"/>
      <c r="L4101" s="5"/>
    </row>
    <row r="4102" spans="1:12" x14ac:dyDescent="0.25">
      <c r="A4102" s="5" t="s">
        <v>1557</v>
      </c>
      <c r="B4102" s="5" t="s">
        <v>1556</v>
      </c>
      <c r="C4102" s="5" t="s">
        <v>38</v>
      </c>
      <c r="D4102" s="21">
        <v>1</v>
      </c>
      <c r="E4102" s="12">
        <v>149</v>
      </c>
      <c r="F4102" s="10" t="str">
        <f>_xlfn.XLOOKUP(C4102,menu!A:A,menu!B:B)</f>
        <v>Chicken Wings</v>
      </c>
      <c r="G4102" s="10" t="str">
        <f>_xlfn.XLOOKUP(C4102,menu!A:A,menu!C:C)</f>
        <v>Starters</v>
      </c>
      <c r="H4102" s="10">
        <f>_xlfn.XLOOKUP(C4102,menu!A:A,menu!E:E)</f>
        <v>45</v>
      </c>
      <c r="I4102" s="10">
        <f t="shared" si="64"/>
        <v>45</v>
      </c>
      <c r="K4102" s="10"/>
      <c r="L4102" s="5"/>
    </row>
    <row r="4103" spans="1:12" x14ac:dyDescent="0.25">
      <c r="A4103" s="5" t="s">
        <v>1555</v>
      </c>
      <c r="B4103" s="5" t="s">
        <v>1552</v>
      </c>
      <c r="C4103" s="5" t="s">
        <v>40</v>
      </c>
      <c r="D4103" s="21">
        <v>3</v>
      </c>
      <c r="E4103" s="12">
        <v>297</v>
      </c>
      <c r="F4103" s="10" t="str">
        <f>_xlfn.XLOOKUP(C4103,menu!A:A,menu!B:B)</f>
        <v>Veg Nuggets</v>
      </c>
      <c r="G4103" s="10" t="str">
        <f>_xlfn.XLOOKUP(C4103,menu!A:A,menu!C:C)</f>
        <v>Starters</v>
      </c>
      <c r="H4103" s="10">
        <f>_xlfn.XLOOKUP(C4103,menu!A:A,menu!E:E)</f>
        <v>30</v>
      </c>
      <c r="I4103" s="10">
        <f t="shared" si="64"/>
        <v>90</v>
      </c>
      <c r="K4103" s="10"/>
      <c r="L4103" s="5"/>
    </row>
    <row r="4104" spans="1:12" x14ac:dyDescent="0.25">
      <c r="A4104" s="5" t="s">
        <v>1554</v>
      </c>
      <c r="B4104" s="5" t="s">
        <v>1552</v>
      </c>
      <c r="C4104" s="5" t="s">
        <v>52</v>
      </c>
      <c r="D4104" s="21">
        <v>1</v>
      </c>
      <c r="E4104" s="12">
        <v>99</v>
      </c>
      <c r="F4104" s="10" t="str">
        <f>_xlfn.XLOOKUP(C4104,menu!A:A,menu!B:B)</f>
        <v>French Fries</v>
      </c>
      <c r="G4104" s="10" t="str">
        <f>_xlfn.XLOOKUP(C4104,menu!A:A,menu!C:C)</f>
        <v>Starters</v>
      </c>
      <c r="H4104" s="10">
        <f>_xlfn.XLOOKUP(C4104,menu!A:A,menu!E:E)</f>
        <v>30</v>
      </c>
      <c r="I4104" s="10">
        <f t="shared" si="64"/>
        <v>30</v>
      </c>
      <c r="K4104" s="10"/>
      <c r="L4104" s="5"/>
    </row>
    <row r="4105" spans="1:12" x14ac:dyDescent="0.25">
      <c r="A4105" s="5" t="s">
        <v>1553</v>
      </c>
      <c r="B4105" s="5" t="s">
        <v>1552</v>
      </c>
      <c r="C4105" s="5" t="s">
        <v>48</v>
      </c>
      <c r="D4105" s="21">
        <v>2</v>
      </c>
      <c r="E4105" s="12">
        <v>318</v>
      </c>
      <c r="F4105" s="10" t="str">
        <f>_xlfn.XLOOKUP(C4105,menu!A:A,menu!B:B)</f>
        <v>Chicken Lollipop</v>
      </c>
      <c r="G4105" s="10" t="str">
        <f>_xlfn.XLOOKUP(C4105,menu!A:A,menu!C:C)</f>
        <v>Starters</v>
      </c>
      <c r="H4105" s="10">
        <f>_xlfn.XLOOKUP(C4105,menu!A:A,menu!E:E)</f>
        <v>48</v>
      </c>
      <c r="I4105" s="10">
        <f t="shared" si="64"/>
        <v>96</v>
      </c>
      <c r="K4105" s="10"/>
      <c r="L4105" s="5"/>
    </row>
    <row r="4106" spans="1:12" x14ac:dyDescent="0.25">
      <c r="A4106" s="5" t="s">
        <v>1551</v>
      </c>
      <c r="B4106" s="5" t="s">
        <v>1549</v>
      </c>
      <c r="C4106" s="5" t="s">
        <v>50</v>
      </c>
      <c r="D4106" s="21">
        <v>2</v>
      </c>
      <c r="E4106" s="12">
        <v>298</v>
      </c>
      <c r="F4106" s="10" t="str">
        <f>_xlfn.XLOOKUP(C4106,menu!A:A,menu!B:B)</f>
        <v>Grab Lollipop</v>
      </c>
      <c r="G4106" s="10" t="str">
        <f>_xlfn.XLOOKUP(C4106,menu!A:A,menu!C:C)</f>
        <v>Starters</v>
      </c>
      <c r="H4106" s="10">
        <f>_xlfn.XLOOKUP(C4106,menu!A:A,menu!E:E)</f>
        <v>45</v>
      </c>
      <c r="I4106" s="10">
        <f t="shared" si="64"/>
        <v>90</v>
      </c>
      <c r="K4106" s="10"/>
      <c r="L4106" s="5"/>
    </row>
    <row r="4107" spans="1:12" x14ac:dyDescent="0.25">
      <c r="A4107" s="5" t="s">
        <v>1550</v>
      </c>
      <c r="B4107" s="5" t="s">
        <v>1549</v>
      </c>
      <c r="C4107" s="5" t="s">
        <v>15</v>
      </c>
      <c r="D4107" s="21">
        <v>3</v>
      </c>
      <c r="E4107" s="12">
        <v>297</v>
      </c>
      <c r="F4107" s="10" t="str">
        <f>_xlfn.XLOOKUP(C4107,menu!A:A,menu!B:B)</f>
        <v>Chicken Momos</v>
      </c>
      <c r="G4107" s="10" t="str">
        <f>_xlfn.XLOOKUP(C4107,menu!A:A,menu!C:C)</f>
        <v>Momos</v>
      </c>
      <c r="H4107" s="10">
        <f>_xlfn.XLOOKUP(C4107,menu!A:A,menu!E:E)</f>
        <v>30</v>
      </c>
      <c r="I4107" s="10">
        <f t="shared" si="64"/>
        <v>90</v>
      </c>
      <c r="K4107" s="10"/>
      <c r="L4107" s="5"/>
    </row>
    <row r="4108" spans="1:12" x14ac:dyDescent="0.25">
      <c r="A4108" s="5" t="s">
        <v>1548</v>
      </c>
      <c r="B4108" s="5" t="s">
        <v>1545</v>
      </c>
      <c r="C4108" s="5" t="s">
        <v>48</v>
      </c>
      <c r="D4108" s="21">
        <v>4</v>
      </c>
      <c r="E4108" s="12">
        <v>636</v>
      </c>
      <c r="F4108" s="10" t="str">
        <f>_xlfn.XLOOKUP(C4108,menu!A:A,menu!B:B)</f>
        <v>Chicken Lollipop</v>
      </c>
      <c r="G4108" s="10" t="str">
        <f>_xlfn.XLOOKUP(C4108,menu!A:A,menu!C:C)</f>
        <v>Starters</v>
      </c>
      <c r="H4108" s="10">
        <f>_xlfn.XLOOKUP(C4108,menu!A:A,menu!E:E)</f>
        <v>48</v>
      </c>
      <c r="I4108" s="10">
        <f t="shared" si="64"/>
        <v>192</v>
      </c>
      <c r="K4108" s="10"/>
      <c r="L4108" s="5"/>
    </row>
    <row r="4109" spans="1:12" x14ac:dyDescent="0.25">
      <c r="A4109" s="5" t="s">
        <v>1547</v>
      </c>
      <c r="B4109" s="5" t="s">
        <v>1545</v>
      </c>
      <c r="C4109" s="5" t="s">
        <v>33</v>
      </c>
      <c r="D4109" s="21">
        <v>1</v>
      </c>
      <c r="E4109" s="12">
        <v>69</v>
      </c>
      <c r="F4109" s="10" t="str">
        <f>_xlfn.XLOOKUP(C4109,menu!A:A,menu!B:B)</f>
        <v>Spring Roll</v>
      </c>
      <c r="G4109" s="10" t="str">
        <f>_xlfn.XLOOKUP(C4109,menu!A:A,menu!C:C)</f>
        <v>Rolls</v>
      </c>
      <c r="H4109" s="10">
        <f>_xlfn.XLOOKUP(C4109,menu!A:A,menu!E:E)</f>
        <v>21</v>
      </c>
      <c r="I4109" s="10">
        <f t="shared" si="64"/>
        <v>21</v>
      </c>
      <c r="K4109" s="10"/>
      <c r="L4109" s="5"/>
    </row>
    <row r="4110" spans="1:12" x14ac:dyDescent="0.25">
      <c r="A4110" s="5" t="s">
        <v>1546</v>
      </c>
      <c r="B4110" s="5" t="s">
        <v>1545</v>
      </c>
      <c r="C4110" s="5" t="s">
        <v>24</v>
      </c>
      <c r="D4110" s="21">
        <v>3</v>
      </c>
      <c r="E4110" s="12">
        <v>267</v>
      </c>
      <c r="F4110" s="10" t="str">
        <f>_xlfn.XLOOKUP(C4110,menu!A:A,menu!B:B)</f>
        <v>Paneer Burger</v>
      </c>
      <c r="G4110" s="10" t="str">
        <f>_xlfn.XLOOKUP(C4110,menu!A:A,menu!C:C)</f>
        <v>Burger</v>
      </c>
      <c r="H4110" s="10">
        <f>_xlfn.XLOOKUP(C4110,menu!A:A,menu!E:E)</f>
        <v>27</v>
      </c>
      <c r="I4110" s="10">
        <f t="shared" si="64"/>
        <v>81</v>
      </c>
      <c r="K4110" s="10"/>
      <c r="L4110" s="5"/>
    </row>
    <row r="4111" spans="1:12" x14ac:dyDescent="0.25">
      <c r="A4111" s="5" t="s">
        <v>1544</v>
      </c>
      <c r="B4111" s="5" t="s">
        <v>1542</v>
      </c>
      <c r="C4111" s="5" t="s">
        <v>29</v>
      </c>
      <c r="D4111" s="21">
        <v>2</v>
      </c>
      <c r="E4111" s="12">
        <v>158</v>
      </c>
      <c r="F4111" s="10" t="str">
        <f>_xlfn.XLOOKUP(C4111,menu!A:A,menu!B:B)</f>
        <v>Paneer Roll</v>
      </c>
      <c r="G4111" s="10" t="str">
        <f>_xlfn.XLOOKUP(C4111,menu!A:A,menu!C:C)</f>
        <v>Rolls</v>
      </c>
      <c r="H4111" s="10">
        <f>_xlfn.XLOOKUP(C4111,menu!A:A,menu!E:E)</f>
        <v>24</v>
      </c>
      <c r="I4111" s="10">
        <f t="shared" si="64"/>
        <v>48</v>
      </c>
      <c r="K4111" s="10"/>
      <c r="L4111" s="5"/>
    </row>
    <row r="4112" spans="1:12" x14ac:dyDescent="0.25">
      <c r="A4112" s="5" t="s">
        <v>1543</v>
      </c>
      <c r="B4112" s="5" t="s">
        <v>1542</v>
      </c>
      <c r="C4112" s="5" t="s">
        <v>44</v>
      </c>
      <c r="D4112" s="21">
        <v>1</v>
      </c>
      <c r="E4112" s="12">
        <v>159</v>
      </c>
      <c r="F4112" s="10" t="str">
        <f>_xlfn.XLOOKUP(C4112,menu!A:A,menu!B:B)</f>
        <v>Fried Chicken</v>
      </c>
      <c r="G4112" s="10" t="str">
        <f>_xlfn.XLOOKUP(C4112,menu!A:A,menu!C:C)</f>
        <v>Starters</v>
      </c>
      <c r="H4112" s="10">
        <f>_xlfn.XLOOKUP(C4112,menu!A:A,menu!E:E)</f>
        <v>48</v>
      </c>
      <c r="I4112" s="10">
        <f t="shared" si="64"/>
        <v>48</v>
      </c>
      <c r="K4112" s="10"/>
      <c r="L4112" s="5"/>
    </row>
    <row r="4113" spans="1:12" x14ac:dyDescent="0.25">
      <c r="A4113" s="5" t="s">
        <v>1541</v>
      </c>
      <c r="B4113" s="5" t="s">
        <v>1540</v>
      </c>
      <c r="C4113" s="5" t="s">
        <v>59</v>
      </c>
      <c r="D4113" s="21">
        <v>1</v>
      </c>
      <c r="E4113" s="12">
        <v>79</v>
      </c>
      <c r="F4113" s="10" t="str">
        <f>_xlfn.XLOOKUP(C4113,menu!A:A,menu!B:B)</f>
        <v>Blue Curacao Mojito</v>
      </c>
      <c r="G4113" s="10" t="str">
        <f>_xlfn.XLOOKUP(C4113,menu!A:A,menu!C:C)</f>
        <v>Beverages</v>
      </c>
      <c r="H4113" s="10">
        <f>_xlfn.XLOOKUP(C4113,menu!A:A,menu!E:E)</f>
        <v>24</v>
      </c>
      <c r="I4113" s="10">
        <f t="shared" si="64"/>
        <v>24</v>
      </c>
      <c r="K4113" s="10"/>
      <c r="L4113" s="5"/>
    </row>
    <row r="4114" spans="1:12" x14ac:dyDescent="0.25">
      <c r="A4114" s="5" t="s">
        <v>1539</v>
      </c>
      <c r="B4114" s="5" t="s">
        <v>1536</v>
      </c>
      <c r="C4114" s="5" t="s">
        <v>17</v>
      </c>
      <c r="D4114" s="21">
        <v>1</v>
      </c>
      <c r="E4114" s="12">
        <v>89</v>
      </c>
      <c r="F4114" s="10" t="str">
        <f>_xlfn.XLOOKUP(C4114,menu!A:A,menu!B:B)</f>
        <v>Paneer Momos</v>
      </c>
      <c r="G4114" s="10" t="str">
        <f>_xlfn.XLOOKUP(C4114,menu!A:A,menu!C:C)</f>
        <v>Momos</v>
      </c>
      <c r="H4114" s="10">
        <f>_xlfn.XLOOKUP(C4114,menu!A:A,menu!E:E)</f>
        <v>27</v>
      </c>
      <c r="I4114" s="10">
        <f t="shared" si="64"/>
        <v>27</v>
      </c>
      <c r="K4114" s="10"/>
      <c r="L4114" s="5"/>
    </row>
    <row r="4115" spans="1:12" x14ac:dyDescent="0.25">
      <c r="A4115" s="5" t="s">
        <v>1538</v>
      </c>
      <c r="B4115" s="5" t="s">
        <v>1536</v>
      </c>
      <c r="C4115" s="5" t="s">
        <v>42</v>
      </c>
      <c r="D4115" s="21">
        <v>4</v>
      </c>
      <c r="E4115" s="12">
        <v>596</v>
      </c>
      <c r="F4115" s="10" t="str">
        <f>_xlfn.XLOOKUP(C4115,menu!A:A,menu!B:B)</f>
        <v>Chicken Popcorn</v>
      </c>
      <c r="G4115" s="10" t="str">
        <f>_xlfn.XLOOKUP(C4115,menu!A:A,menu!C:C)</f>
        <v>Starters</v>
      </c>
      <c r="H4115" s="10">
        <f>_xlfn.XLOOKUP(C4115,menu!A:A,menu!E:E)</f>
        <v>45</v>
      </c>
      <c r="I4115" s="10">
        <f t="shared" si="64"/>
        <v>180</v>
      </c>
      <c r="K4115" s="10"/>
      <c r="L4115" s="5"/>
    </row>
    <row r="4116" spans="1:12" x14ac:dyDescent="0.25">
      <c r="A4116" s="5" t="s">
        <v>1537</v>
      </c>
      <c r="B4116" s="5" t="s">
        <v>1536</v>
      </c>
      <c r="C4116" s="5" t="s">
        <v>65</v>
      </c>
      <c r="D4116" s="21">
        <v>1</v>
      </c>
      <c r="E4116" s="12">
        <v>49</v>
      </c>
      <c r="F4116" s="10" t="str">
        <f>_xlfn.XLOOKUP(C4116,menu!A:A,menu!B:B)</f>
        <v>Lemon Juice</v>
      </c>
      <c r="G4116" s="10" t="str">
        <f>_xlfn.XLOOKUP(C4116,menu!A:A,menu!C:C)</f>
        <v>Beverages</v>
      </c>
      <c r="H4116" s="10">
        <f>_xlfn.XLOOKUP(C4116,menu!A:A,menu!E:E)</f>
        <v>15</v>
      </c>
      <c r="I4116" s="10">
        <f t="shared" si="64"/>
        <v>15</v>
      </c>
      <c r="K4116" s="10"/>
      <c r="L4116" s="5"/>
    </row>
    <row r="4117" spans="1:12" x14ac:dyDescent="0.25">
      <c r="A4117" s="5" t="s">
        <v>1535</v>
      </c>
      <c r="B4117" s="5" t="s">
        <v>1533</v>
      </c>
      <c r="C4117" s="5" t="s">
        <v>19</v>
      </c>
      <c r="D4117" s="21">
        <v>2</v>
      </c>
      <c r="E4117" s="12">
        <v>158</v>
      </c>
      <c r="F4117" s="10" t="str">
        <f>_xlfn.XLOOKUP(C4117,menu!A:A,menu!B:B)</f>
        <v>Veg Burger</v>
      </c>
      <c r="G4117" s="10" t="str">
        <f>_xlfn.XLOOKUP(C4117,menu!A:A,menu!C:C)</f>
        <v>Burger</v>
      </c>
      <c r="H4117" s="10">
        <f>_xlfn.XLOOKUP(C4117,menu!A:A,menu!E:E)</f>
        <v>24</v>
      </c>
      <c r="I4117" s="10">
        <f t="shared" si="64"/>
        <v>48</v>
      </c>
      <c r="K4117" s="10"/>
      <c r="L4117" s="5"/>
    </row>
    <row r="4118" spans="1:12" x14ac:dyDescent="0.25">
      <c r="A4118" s="5" t="s">
        <v>1534</v>
      </c>
      <c r="B4118" s="5" t="s">
        <v>1533</v>
      </c>
      <c r="C4118" s="5" t="s">
        <v>31</v>
      </c>
      <c r="D4118" s="21">
        <v>1</v>
      </c>
      <c r="E4118" s="12">
        <v>89</v>
      </c>
      <c r="F4118" s="10" t="str">
        <f>_xlfn.XLOOKUP(C4118,menu!A:A,menu!B:B)</f>
        <v>Chicken Roll</v>
      </c>
      <c r="G4118" s="10" t="str">
        <f>_xlfn.XLOOKUP(C4118,menu!A:A,menu!C:C)</f>
        <v>Rolls</v>
      </c>
      <c r="H4118" s="10">
        <f>_xlfn.XLOOKUP(C4118,menu!A:A,menu!E:E)</f>
        <v>27</v>
      </c>
      <c r="I4118" s="10">
        <f t="shared" si="64"/>
        <v>27</v>
      </c>
      <c r="K4118" s="10"/>
      <c r="L4118" s="5"/>
    </row>
    <row r="4119" spans="1:12" x14ac:dyDescent="0.25">
      <c r="A4119" s="5" t="s">
        <v>1532</v>
      </c>
      <c r="B4119" s="5" t="s">
        <v>1530</v>
      </c>
      <c r="C4119" s="5" t="s">
        <v>54</v>
      </c>
      <c r="D4119" s="21">
        <v>1</v>
      </c>
      <c r="E4119" s="12">
        <v>139</v>
      </c>
      <c r="F4119" s="10" t="str">
        <f>_xlfn.XLOOKUP(C4119,menu!A:A,menu!B:B)</f>
        <v>Chicken Strips</v>
      </c>
      <c r="G4119" s="10" t="str">
        <f>_xlfn.XLOOKUP(C4119,menu!A:A,menu!C:C)</f>
        <v>Starters</v>
      </c>
      <c r="H4119" s="10">
        <f>_xlfn.XLOOKUP(C4119,menu!A:A,menu!E:E)</f>
        <v>42</v>
      </c>
      <c r="I4119" s="10">
        <f t="shared" si="64"/>
        <v>42</v>
      </c>
      <c r="K4119" s="10"/>
      <c r="L4119" s="5"/>
    </row>
    <row r="4120" spans="1:12" x14ac:dyDescent="0.25">
      <c r="A4120" s="5" t="s">
        <v>1531</v>
      </c>
      <c r="B4120" s="5" t="s">
        <v>1530</v>
      </c>
      <c r="C4120" s="5" t="s">
        <v>46</v>
      </c>
      <c r="D4120" s="21">
        <v>1</v>
      </c>
      <c r="E4120" s="12">
        <v>149</v>
      </c>
      <c r="F4120" s="10" t="str">
        <f>_xlfn.XLOOKUP(C4120,menu!A:A,menu!B:B)</f>
        <v>Fish Finger</v>
      </c>
      <c r="G4120" s="10" t="str">
        <f>_xlfn.XLOOKUP(C4120,menu!A:A,menu!C:C)</f>
        <v>Starters</v>
      </c>
      <c r="H4120" s="10">
        <f>_xlfn.XLOOKUP(C4120,menu!A:A,menu!E:E)</f>
        <v>45</v>
      </c>
      <c r="I4120" s="10">
        <f t="shared" si="64"/>
        <v>45</v>
      </c>
      <c r="K4120" s="10"/>
      <c r="L4120" s="5"/>
    </row>
    <row r="4121" spans="1:12" x14ac:dyDescent="0.25">
      <c r="A4121" s="5" t="s">
        <v>1529</v>
      </c>
      <c r="B4121" s="5" t="s">
        <v>1526</v>
      </c>
      <c r="C4121" s="5" t="s">
        <v>63</v>
      </c>
      <c r="D4121" s="21">
        <v>1</v>
      </c>
      <c r="E4121" s="12">
        <v>79</v>
      </c>
      <c r="F4121" s="10" t="str">
        <f>_xlfn.XLOOKUP(C4121,menu!A:A,menu!B:B)</f>
        <v>Virgin Mojito</v>
      </c>
      <c r="G4121" s="10" t="str">
        <f>_xlfn.XLOOKUP(C4121,menu!A:A,menu!C:C)</f>
        <v>Beverages</v>
      </c>
      <c r="H4121" s="10">
        <f>_xlfn.XLOOKUP(C4121,menu!A:A,menu!E:E)</f>
        <v>24</v>
      </c>
      <c r="I4121" s="10">
        <f t="shared" si="64"/>
        <v>24</v>
      </c>
      <c r="K4121" s="10"/>
      <c r="L4121" s="5"/>
    </row>
    <row r="4122" spans="1:12" x14ac:dyDescent="0.25">
      <c r="A4122" s="5" t="s">
        <v>1528</v>
      </c>
      <c r="B4122" s="5" t="s">
        <v>1526</v>
      </c>
      <c r="C4122" s="5" t="s">
        <v>35</v>
      </c>
      <c r="D4122" s="21">
        <v>4</v>
      </c>
      <c r="E4122" s="12">
        <v>476</v>
      </c>
      <c r="F4122" s="10" t="str">
        <f>_xlfn.XLOOKUP(C4122,menu!A:A,menu!B:B)</f>
        <v>Chicken Nuggets</v>
      </c>
      <c r="G4122" s="10" t="str">
        <f>_xlfn.XLOOKUP(C4122,menu!A:A,menu!C:C)</f>
        <v>Starters</v>
      </c>
      <c r="H4122" s="10">
        <f>_xlfn.XLOOKUP(C4122,menu!A:A,menu!E:E)</f>
        <v>36</v>
      </c>
      <c r="I4122" s="10">
        <f t="shared" si="64"/>
        <v>144</v>
      </c>
      <c r="K4122" s="10"/>
      <c r="L4122" s="5"/>
    </row>
    <row r="4123" spans="1:12" x14ac:dyDescent="0.25">
      <c r="A4123" s="5" t="s">
        <v>1527</v>
      </c>
      <c r="B4123" s="5" t="s">
        <v>1526</v>
      </c>
      <c r="C4123" s="5" t="s">
        <v>22</v>
      </c>
      <c r="D4123" s="21">
        <v>2</v>
      </c>
      <c r="E4123" s="12">
        <v>198</v>
      </c>
      <c r="F4123" s="10" t="str">
        <f>_xlfn.XLOOKUP(C4123,menu!A:A,menu!B:B)</f>
        <v>Chicken Burger</v>
      </c>
      <c r="G4123" s="10" t="str">
        <f>_xlfn.XLOOKUP(C4123,menu!A:A,menu!C:C)</f>
        <v>Burger</v>
      </c>
      <c r="H4123" s="10">
        <f>_xlfn.XLOOKUP(C4123,menu!A:A,menu!E:E)</f>
        <v>30</v>
      </c>
      <c r="I4123" s="10">
        <f t="shared" si="64"/>
        <v>60</v>
      </c>
      <c r="K4123" s="10"/>
      <c r="L4123" s="5"/>
    </row>
    <row r="4124" spans="1:12" x14ac:dyDescent="0.25">
      <c r="A4124" s="5" t="s">
        <v>1525</v>
      </c>
      <c r="B4124" s="5" t="s">
        <v>1523</v>
      </c>
      <c r="C4124" s="5" t="s">
        <v>17</v>
      </c>
      <c r="D4124" s="21">
        <v>4</v>
      </c>
      <c r="E4124" s="12">
        <v>356</v>
      </c>
      <c r="F4124" s="10" t="str">
        <f>_xlfn.XLOOKUP(C4124,menu!A:A,menu!B:B)</f>
        <v>Paneer Momos</v>
      </c>
      <c r="G4124" s="10" t="str">
        <f>_xlfn.XLOOKUP(C4124,menu!A:A,menu!C:C)</f>
        <v>Momos</v>
      </c>
      <c r="H4124" s="10">
        <f>_xlfn.XLOOKUP(C4124,menu!A:A,menu!E:E)</f>
        <v>27</v>
      </c>
      <c r="I4124" s="10">
        <f t="shared" si="64"/>
        <v>108</v>
      </c>
      <c r="K4124" s="10"/>
      <c r="L4124" s="5"/>
    </row>
    <row r="4125" spans="1:12" x14ac:dyDescent="0.25">
      <c r="A4125" s="5" t="s">
        <v>1524</v>
      </c>
      <c r="B4125" s="5" t="s">
        <v>1523</v>
      </c>
      <c r="C4125" s="5" t="s">
        <v>48</v>
      </c>
      <c r="D4125" s="21">
        <v>4</v>
      </c>
      <c r="E4125" s="12">
        <v>636</v>
      </c>
      <c r="F4125" s="10" t="str">
        <f>_xlfn.XLOOKUP(C4125,menu!A:A,menu!B:B)</f>
        <v>Chicken Lollipop</v>
      </c>
      <c r="G4125" s="10" t="str">
        <f>_xlfn.XLOOKUP(C4125,menu!A:A,menu!C:C)</f>
        <v>Starters</v>
      </c>
      <c r="H4125" s="10">
        <f>_xlfn.XLOOKUP(C4125,menu!A:A,menu!E:E)</f>
        <v>48</v>
      </c>
      <c r="I4125" s="10">
        <f t="shared" si="64"/>
        <v>192</v>
      </c>
      <c r="K4125" s="10"/>
      <c r="L4125" s="5"/>
    </row>
    <row r="4126" spans="1:12" x14ac:dyDescent="0.25">
      <c r="A4126" s="5" t="s">
        <v>1522</v>
      </c>
      <c r="B4126" s="5" t="s">
        <v>1518</v>
      </c>
      <c r="C4126" s="5" t="s">
        <v>52</v>
      </c>
      <c r="D4126" s="21">
        <v>5</v>
      </c>
      <c r="E4126" s="12">
        <v>495</v>
      </c>
      <c r="F4126" s="10" t="str">
        <f>_xlfn.XLOOKUP(C4126,menu!A:A,menu!B:B)</f>
        <v>French Fries</v>
      </c>
      <c r="G4126" s="10" t="str">
        <f>_xlfn.XLOOKUP(C4126,menu!A:A,menu!C:C)</f>
        <v>Starters</v>
      </c>
      <c r="H4126" s="10">
        <f>_xlfn.XLOOKUP(C4126,menu!A:A,menu!E:E)</f>
        <v>30</v>
      </c>
      <c r="I4126" s="10">
        <f t="shared" si="64"/>
        <v>150</v>
      </c>
      <c r="K4126" s="10"/>
      <c r="L4126" s="5"/>
    </row>
    <row r="4127" spans="1:12" x14ac:dyDescent="0.25">
      <c r="A4127" s="5" t="s">
        <v>1521</v>
      </c>
      <c r="B4127" s="5" t="s">
        <v>1518</v>
      </c>
      <c r="C4127" s="5" t="s">
        <v>54</v>
      </c>
      <c r="D4127" s="21">
        <v>2</v>
      </c>
      <c r="E4127" s="12">
        <v>278</v>
      </c>
      <c r="F4127" s="10" t="str">
        <f>_xlfn.XLOOKUP(C4127,menu!A:A,menu!B:B)</f>
        <v>Chicken Strips</v>
      </c>
      <c r="G4127" s="10" t="str">
        <f>_xlfn.XLOOKUP(C4127,menu!A:A,menu!C:C)</f>
        <v>Starters</v>
      </c>
      <c r="H4127" s="10">
        <f>_xlfn.XLOOKUP(C4127,menu!A:A,menu!E:E)</f>
        <v>42</v>
      </c>
      <c r="I4127" s="10">
        <f t="shared" si="64"/>
        <v>84</v>
      </c>
      <c r="K4127" s="10"/>
      <c r="L4127" s="5"/>
    </row>
    <row r="4128" spans="1:12" x14ac:dyDescent="0.25">
      <c r="A4128" s="5" t="s">
        <v>1520</v>
      </c>
      <c r="B4128" s="5" t="s">
        <v>1518</v>
      </c>
      <c r="C4128" s="5" t="s">
        <v>44</v>
      </c>
      <c r="D4128" s="21">
        <v>3</v>
      </c>
      <c r="E4128" s="12">
        <v>477</v>
      </c>
      <c r="F4128" s="10" t="str">
        <f>_xlfn.XLOOKUP(C4128,menu!A:A,menu!B:B)</f>
        <v>Fried Chicken</v>
      </c>
      <c r="G4128" s="10" t="str">
        <f>_xlfn.XLOOKUP(C4128,menu!A:A,menu!C:C)</f>
        <v>Starters</v>
      </c>
      <c r="H4128" s="10">
        <f>_xlfn.XLOOKUP(C4128,menu!A:A,menu!E:E)</f>
        <v>48</v>
      </c>
      <c r="I4128" s="10">
        <f t="shared" si="64"/>
        <v>144</v>
      </c>
      <c r="K4128" s="10"/>
      <c r="L4128" s="5"/>
    </row>
    <row r="4129" spans="1:12" x14ac:dyDescent="0.25">
      <c r="A4129" s="5" t="s">
        <v>1519</v>
      </c>
      <c r="B4129" s="5" t="s">
        <v>1518</v>
      </c>
      <c r="C4129" s="5" t="s">
        <v>61</v>
      </c>
      <c r="D4129" s="21">
        <v>4</v>
      </c>
      <c r="E4129" s="12">
        <v>316</v>
      </c>
      <c r="F4129" s="10" t="str">
        <f>_xlfn.XLOOKUP(C4129,menu!A:A,menu!B:B)</f>
        <v>Watermelon Mojito</v>
      </c>
      <c r="G4129" s="10" t="str">
        <f>_xlfn.XLOOKUP(C4129,menu!A:A,menu!C:C)</f>
        <v>Beverages</v>
      </c>
      <c r="H4129" s="10">
        <f>_xlfn.XLOOKUP(C4129,menu!A:A,menu!E:E)</f>
        <v>24</v>
      </c>
      <c r="I4129" s="10">
        <f t="shared" si="64"/>
        <v>96</v>
      </c>
      <c r="K4129" s="10"/>
      <c r="L4129" s="5"/>
    </row>
    <row r="4130" spans="1:12" x14ac:dyDescent="0.25">
      <c r="A4130" s="5" t="s">
        <v>1517</v>
      </c>
      <c r="B4130" s="5" t="s">
        <v>1515</v>
      </c>
      <c r="C4130" s="5" t="s">
        <v>12</v>
      </c>
      <c r="D4130" s="21">
        <v>3</v>
      </c>
      <c r="E4130" s="12">
        <v>237</v>
      </c>
      <c r="F4130" s="10" t="str">
        <f>_xlfn.XLOOKUP(C4130,menu!A:A,menu!B:B)</f>
        <v>Veg Momos</v>
      </c>
      <c r="G4130" s="10" t="str">
        <f>_xlfn.XLOOKUP(C4130,menu!A:A,menu!C:C)</f>
        <v>Momos</v>
      </c>
      <c r="H4130" s="10">
        <f>_xlfn.XLOOKUP(C4130,menu!A:A,menu!E:E)</f>
        <v>24</v>
      </c>
      <c r="I4130" s="10">
        <f t="shared" si="64"/>
        <v>72</v>
      </c>
      <c r="K4130" s="10"/>
      <c r="L4130" s="5"/>
    </row>
    <row r="4131" spans="1:12" x14ac:dyDescent="0.25">
      <c r="A4131" s="5" t="s">
        <v>1516</v>
      </c>
      <c r="B4131" s="5" t="s">
        <v>1515</v>
      </c>
      <c r="C4131" s="5" t="s">
        <v>26</v>
      </c>
      <c r="D4131" s="21">
        <v>1</v>
      </c>
      <c r="E4131" s="12">
        <v>59</v>
      </c>
      <c r="F4131" s="10" t="str">
        <f>_xlfn.XLOOKUP(C4131,menu!A:A,menu!B:B)</f>
        <v>Veg Roll</v>
      </c>
      <c r="G4131" s="10" t="str">
        <f>_xlfn.XLOOKUP(C4131,menu!A:A,menu!C:C)</f>
        <v>Rolls</v>
      </c>
      <c r="H4131" s="10">
        <f>_xlfn.XLOOKUP(C4131,menu!A:A,menu!E:E)</f>
        <v>18</v>
      </c>
      <c r="I4131" s="10">
        <f t="shared" si="64"/>
        <v>18</v>
      </c>
      <c r="K4131" s="10"/>
      <c r="L4131" s="5"/>
    </row>
    <row r="4132" spans="1:12" x14ac:dyDescent="0.25">
      <c r="A4132" s="5" t="s">
        <v>1514</v>
      </c>
      <c r="B4132" s="5" t="s">
        <v>1512</v>
      </c>
      <c r="C4132" s="5" t="s">
        <v>35</v>
      </c>
      <c r="D4132" s="21">
        <v>4</v>
      </c>
      <c r="E4132" s="12">
        <v>476</v>
      </c>
      <c r="F4132" s="10" t="str">
        <f>_xlfn.XLOOKUP(C4132,menu!A:A,menu!B:B)</f>
        <v>Chicken Nuggets</v>
      </c>
      <c r="G4132" s="10" t="str">
        <f>_xlfn.XLOOKUP(C4132,menu!A:A,menu!C:C)</f>
        <v>Starters</v>
      </c>
      <c r="H4132" s="10">
        <f>_xlfn.XLOOKUP(C4132,menu!A:A,menu!E:E)</f>
        <v>36</v>
      </c>
      <c r="I4132" s="10">
        <f t="shared" si="64"/>
        <v>144</v>
      </c>
      <c r="K4132" s="10"/>
      <c r="L4132" s="5"/>
    </row>
    <row r="4133" spans="1:12" x14ac:dyDescent="0.25">
      <c r="A4133" s="5" t="s">
        <v>1513</v>
      </c>
      <c r="B4133" s="5" t="s">
        <v>1512</v>
      </c>
      <c r="C4133" s="5" t="s">
        <v>38</v>
      </c>
      <c r="D4133" s="21">
        <v>5</v>
      </c>
      <c r="E4133" s="12">
        <v>745</v>
      </c>
      <c r="F4133" s="10" t="str">
        <f>_xlfn.XLOOKUP(C4133,menu!A:A,menu!B:B)</f>
        <v>Chicken Wings</v>
      </c>
      <c r="G4133" s="10" t="str">
        <f>_xlfn.XLOOKUP(C4133,menu!A:A,menu!C:C)</f>
        <v>Starters</v>
      </c>
      <c r="H4133" s="10">
        <f>_xlfn.XLOOKUP(C4133,menu!A:A,menu!E:E)</f>
        <v>45</v>
      </c>
      <c r="I4133" s="10">
        <f t="shared" si="64"/>
        <v>225</v>
      </c>
      <c r="K4133" s="10"/>
      <c r="L4133" s="5"/>
    </row>
    <row r="4134" spans="1:12" x14ac:dyDescent="0.25">
      <c r="A4134" s="5" t="s">
        <v>1511</v>
      </c>
      <c r="B4134" s="5" t="s">
        <v>1510</v>
      </c>
      <c r="C4134" s="5" t="s">
        <v>48</v>
      </c>
      <c r="D4134" s="21">
        <v>2</v>
      </c>
      <c r="E4134" s="12">
        <v>318</v>
      </c>
      <c r="F4134" s="10" t="str">
        <f>_xlfn.XLOOKUP(C4134,menu!A:A,menu!B:B)</f>
        <v>Chicken Lollipop</v>
      </c>
      <c r="G4134" s="10" t="str">
        <f>_xlfn.XLOOKUP(C4134,menu!A:A,menu!C:C)</f>
        <v>Starters</v>
      </c>
      <c r="H4134" s="10">
        <f>_xlfn.XLOOKUP(C4134,menu!A:A,menu!E:E)</f>
        <v>48</v>
      </c>
      <c r="I4134" s="10">
        <f t="shared" si="64"/>
        <v>96</v>
      </c>
      <c r="K4134" s="10"/>
      <c r="L4134" s="5"/>
    </row>
    <row r="4135" spans="1:12" x14ac:dyDescent="0.25">
      <c r="A4135" s="5" t="s">
        <v>1509</v>
      </c>
      <c r="B4135" s="5" t="s">
        <v>1507</v>
      </c>
      <c r="C4135" s="5" t="s">
        <v>5</v>
      </c>
      <c r="D4135" s="21">
        <v>3</v>
      </c>
      <c r="E4135" s="12">
        <v>237</v>
      </c>
      <c r="F4135" s="10" t="str">
        <f>_xlfn.XLOOKUP(C4135,menu!A:A,menu!B:B)</f>
        <v>Veg Sandwich</v>
      </c>
      <c r="G4135" s="10" t="str">
        <f>_xlfn.XLOOKUP(C4135,menu!A:A,menu!C:C)</f>
        <v>Sandwich</v>
      </c>
      <c r="H4135" s="10">
        <f>_xlfn.XLOOKUP(C4135,menu!A:A,menu!E:E)</f>
        <v>24</v>
      </c>
      <c r="I4135" s="10">
        <f t="shared" si="64"/>
        <v>72</v>
      </c>
      <c r="K4135" s="10"/>
      <c r="L4135" s="5"/>
    </row>
    <row r="4136" spans="1:12" x14ac:dyDescent="0.25">
      <c r="A4136" s="5" t="s">
        <v>1508</v>
      </c>
      <c r="B4136" s="5" t="s">
        <v>1507</v>
      </c>
      <c r="C4136" s="5" t="s">
        <v>10</v>
      </c>
      <c r="D4136" s="21">
        <v>3</v>
      </c>
      <c r="E4136" s="12">
        <v>357</v>
      </c>
      <c r="F4136" s="10" t="str">
        <f>_xlfn.XLOOKUP(C4136,menu!A:A,menu!B:B)</f>
        <v>Chicken Sandwich</v>
      </c>
      <c r="G4136" s="10" t="str">
        <f>_xlfn.XLOOKUP(C4136,menu!A:A,menu!C:C)</f>
        <v>Sandwich</v>
      </c>
      <c r="H4136" s="10">
        <f>_xlfn.XLOOKUP(C4136,menu!A:A,menu!E:E)</f>
        <v>36</v>
      </c>
      <c r="I4136" s="10">
        <f t="shared" si="64"/>
        <v>108</v>
      </c>
      <c r="K4136" s="10"/>
      <c r="L4136" s="5"/>
    </row>
    <row r="4137" spans="1:12" x14ac:dyDescent="0.25">
      <c r="A4137" s="5" t="s">
        <v>1506</v>
      </c>
      <c r="B4137" s="5" t="s">
        <v>1504</v>
      </c>
      <c r="C4137" s="5" t="s">
        <v>44</v>
      </c>
      <c r="D4137" s="21">
        <v>1</v>
      </c>
      <c r="E4137" s="12">
        <v>159</v>
      </c>
      <c r="F4137" s="10" t="str">
        <f>_xlfn.XLOOKUP(C4137,menu!A:A,menu!B:B)</f>
        <v>Fried Chicken</v>
      </c>
      <c r="G4137" s="10" t="str">
        <f>_xlfn.XLOOKUP(C4137,menu!A:A,menu!C:C)</f>
        <v>Starters</v>
      </c>
      <c r="H4137" s="10">
        <f>_xlfn.XLOOKUP(C4137,menu!A:A,menu!E:E)</f>
        <v>48</v>
      </c>
      <c r="I4137" s="10">
        <f t="shared" si="64"/>
        <v>48</v>
      </c>
      <c r="K4137" s="10"/>
      <c r="L4137" s="5"/>
    </row>
    <row r="4138" spans="1:12" x14ac:dyDescent="0.25">
      <c r="A4138" s="5" t="s">
        <v>1505</v>
      </c>
      <c r="B4138" s="5" t="s">
        <v>1504</v>
      </c>
      <c r="C4138" s="5" t="s">
        <v>26</v>
      </c>
      <c r="D4138" s="21">
        <v>2</v>
      </c>
      <c r="E4138" s="12">
        <v>118</v>
      </c>
      <c r="F4138" s="10" t="str">
        <f>_xlfn.XLOOKUP(C4138,menu!A:A,menu!B:B)</f>
        <v>Veg Roll</v>
      </c>
      <c r="G4138" s="10" t="str">
        <f>_xlfn.XLOOKUP(C4138,menu!A:A,menu!C:C)</f>
        <v>Rolls</v>
      </c>
      <c r="H4138" s="10">
        <f>_xlfn.XLOOKUP(C4138,menu!A:A,menu!E:E)</f>
        <v>18</v>
      </c>
      <c r="I4138" s="10">
        <f t="shared" si="64"/>
        <v>36</v>
      </c>
      <c r="K4138" s="10"/>
      <c r="L4138" s="5"/>
    </row>
    <row r="4139" spans="1:12" x14ac:dyDescent="0.25">
      <c r="A4139" s="5" t="s">
        <v>1503</v>
      </c>
      <c r="B4139" s="5" t="s">
        <v>1501</v>
      </c>
      <c r="C4139" s="5" t="s">
        <v>17</v>
      </c>
      <c r="D4139" s="21">
        <v>2</v>
      </c>
      <c r="E4139" s="12">
        <v>178</v>
      </c>
      <c r="F4139" s="10" t="str">
        <f>_xlfn.XLOOKUP(C4139,menu!A:A,menu!B:B)</f>
        <v>Paneer Momos</v>
      </c>
      <c r="G4139" s="10" t="str">
        <f>_xlfn.XLOOKUP(C4139,menu!A:A,menu!C:C)</f>
        <v>Momos</v>
      </c>
      <c r="H4139" s="10">
        <f>_xlfn.XLOOKUP(C4139,menu!A:A,menu!E:E)</f>
        <v>27</v>
      </c>
      <c r="I4139" s="10">
        <f t="shared" si="64"/>
        <v>54</v>
      </c>
      <c r="K4139" s="10"/>
      <c r="L4139" s="5"/>
    </row>
    <row r="4140" spans="1:12" x14ac:dyDescent="0.25">
      <c r="A4140" s="5" t="s">
        <v>1502</v>
      </c>
      <c r="B4140" s="5" t="s">
        <v>1501</v>
      </c>
      <c r="C4140" s="5" t="s">
        <v>63</v>
      </c>
      <c r="D4140" s="21">
        <v>2</v>
      </c>
      <c r="E4140" s="12">
        <v>158</v>
      </c>
      <c r="F4140" s="10" t="str">
        <f>_xlfn.XLOOKUP(C4140,menu!A:A,menu!B:B)</f>
        <v>Virgin Mojito</v>
      </c>
      <c r="G4140" s="10" t="str">
        <f>_xlfn.XLOOKUP(C4140,menu!A:A,menu!C:C)</f>
        <v>Beverages</v>
      </c>
      <c r="H4140" s="10">
        <f>_xlfn.XLOOKUP(C4140,menu!A:A,menu!E:E)</f>
        <v>24</v>
      </c>
      <c r="I4140" s="10">
        <f t="shared" si="64"/>
        <v>48</v>
      </c>
      <c r="K4140" s="10"/>
      <c r="L4140" s="5"/>
    </row>
    <row r="4141" spans="1:12" x14ac:dyDescent="0.25">
      <c r="A4141" s="5" t="s">
        <v>1500</v>
      </c>
      <c r="B4141" s="5" t="s">
        <v>1498</v>
      </c>
      <c r="C4141" s="5" t="s">
        <v>52</v>
      </c>
      <c r="D4141" s="21">
        <v>1</v>
      </c>
      <c r="E4141" s="12">
        <v>99</v>
      </c>
      <c r="F4141" s="10" t="str">
        <f>_xlfn.XLOOKUP(C4141,menu!A:A,menu!B:B)</f>
        <v>French Fries</v>
      </c>
      <c r="G4141" s="10" t="str">
        <f>_xlfn.XLOOKUP(C4141,menu!A:A,menu!C:C)</f>
        <v>Starters</v>
      </c>
      <c r="H4141" s="10">
        <f>_xlfn.XLOOKUP(C4141,menu!A:A,menu!E:E)</f>
        <v>30</v>
      </c>
      <c r="I4141" s="10">
        <f t="shared" si="64"/>
        <v>30</v>
      </c>
      <c r="K4141" s="10"/>
      <c r="L4141" s="5"/>
    </row>
    <row r="4142" spans="1:12" x14ac:dyDescent="0.25">
      <c r="A4142" s="5" t="s">
        <v>1499</v>
      </c>
      <c r="B4142" s="5" t="s">
        <v>1498</v>
      </c>
      <c r="C4142" s="5" t="s">
        <v>48</v>
      </c>
      <c r="D4142" s="21">
        <v>1</v>
      </c>
      <c r="E4142" s="12">
        <v>159</v>
      </c>
      <c r="F4142" s="10" t="str">
        <f>_xlfn.XLOOKUP(C4142,menu!A:A,menu!B:B)</f>
        <v>Chicken Lollipop</v>
      </c>
      <c r="G4142" s="10" t="str">
        <f>_xlfn.XLOOKUP(C4142,menu!A:A,menu!C:C)</f>
        <v>Starters</v>
      </c>
      <c r="H4142" s="10">
        <f>_xlfn.XLOOKUP(C4142,menu!A:A,menu!E:E)</f>
        <v>48</v>
      </c>
      <c r="I4142" s="10">
        <f t="shared" si="64"/>
        <v>48</v>
      </c>
      <c r="K4142" s="10"/>
      <c r="L4142" s="5"/>
    </row>
    <row r="4143" spans="1:12" x14ac:dyDescent="0.25">
      <c r="A4143" s="5" t="s">
        <v>1497</v>
      </c>
      <c r="B4143" s="5" t="s">
        <v>1494</v>
      </c>
      <c r="C4143" s="5" t="s">
        <v>12</v>
      </c>
      <c r="D4143" s="21">
        <v>4</v>
      </c>
      <c r="E4143" s="12">
        <v>316</v>
      </c>
      <c r="F4143" s="10" t="str">
        <f>_xlfn.XLOOKUP(C4143,menu!A:A,menu!B:B)</f>
        <v>Veg Momos</v>
      </c>
      <c r="G4143" s="10" t="str">
        <f>_xlfn.XLOOKUP(C4143,menu!A:A,menu!C:C)</f>
        <v>Momos</v>
      </c>
      <c r="H4143" s="10">
        <f>_xlfn.XLOOKUP(C4143,menu!A:A,menu!E:E)</f>
        <v>24</v>
      </c>
      <c r="I4143" s="10">
        <f t="shared" si="64"/>
        <v>96</v>
      </c>
      <c r="K4143" s="10"/>
      <c r="L4143" s="5"/>
    </row>
    <row r="4144" spans="1:12" x14ac:dyDescent="0.25">
      <c r="A4144" s="5" t="s">
        <v>1496</v>
      </c>
      <c r="B4144" s="5" t="s">
        <v>1494</v>
      </c>
      <c r="C4144" s="5" t="s">
        <v>56</v>
      </c>
      <c r="D4144" s="21">
        <v>3</v>
      </c>
      <c r="E4144" s="12">
        <v>237</v>
      </c>
      <c r="F4144" s="10" t="str">
        <f>_xlfn.XLOOKUP(C4144,menu!A:A,menu!B:B)</f>
        <v>Mint Mojito</v>
      </c>
      <c r="G4144" s="10" t="str">
        <f>_xlfn.XLOOKUP(C4144,menu!A:A,menu!C:C)</f>
        <v>Beverages</v>
      </c>
      <c r="H4144" s="10">
        <f>_xlfn.XLOOKUP(C4144,menu!A:A,menu!E:E)</f>
        <v>24</v>
      </c>
      <c r="I4144" s="10">
        <f t="shared" si="64"/>
        <v>72</v>
      </c>
      <c r="K4144" s="10"/>
      <c r="L4144" s="5"/>
    </row>
    <row r="4145" spans="1:12" x14ac:dyDescent="0.25">
      <c r="A4145" s="5" t="s">
        <v>1495</v>
      </c>
      <c r="B4145" s="5" t="s">
        <v>1494</v>
      </c>
      <c r="C4145" s="5" t="s">
        <v>52</v>
      </c>
      <c r="D4145" s="21">
        <v>1</v>
      </c>
      <c r="E4145" s="12">
        <v>99</v>
      </c>
      <c r="F4145" s="10" t="str">
        <f>_xlfn.XLOOKUP(C4145,menu!A:A,menu!B:B)</f>
        <v>French Fries</v>
      </c>
      <c r="G4145" s="10" t="str">
        <f>_xlfn.XLOOKUP(C4145,menu!A:A,menu!C:C)</f>
        <v>Starters</v>
      </c>
      <c r="H4145" s="10">
        <f>_xlfn.XLOOKUP(C4145,menu!A:A,menu!E:E)</f>
        <v>30</v>
      </c>
      <c r="I4145" s="10">
        <f t="shared" si="64"/>
        <v>30</v>
      </c>
      <c r="K4145" s="10"/>
      <c r="L4145" s="5"/>
    </row>
    <row r="4146" spans="1:12" x14ac:dyDescent="0.25">
      <c r="A4146" s="5" t="s">
        <v>1493</v>
      </c>
      <c r="B4146" s="5" t="s">
        <v>1490</v>
      </c>
      <c r="C4146" s="5" t="s">
        <v>54</v>
      </c>
      <c r="D4146" s="21">
        <v>1</v>
      </c>
      <c r="E4146" s="12">
        <v>139</v>
      </c>
      <c r="F4146" s="10" t="str">
        <f>_xlfn.XLOOKUP(C4146,menu!A:A,menu!B:B)</f>
        <v>Chicken Strips</v>
      </c>
      <c r="G4146" s="10" t="str">
        <f>_xlfn.XLOOKUP(C4146,menu!A:A,menu!C:C)</f>
        <v>Starters</v>
      </c>
      <c r="H4146" s="10">
        <f>_xlfn.XLOOKUP(C4146,menu!A:A,menu!E:E)</f>
        <v>42</v>
      </c>
      <c r="I4146" s="10">
        <f t="shared" si="64"/>
        <v>42</v>
      </c>
      <c r="K4146" s="10"/>
      <c r="L4146" s="5"/>
    </row>
    <row r="4147" spans="1:12" x14ac:dyDescent="0.25">
      <c r="A4147" s="5" t="s">
        <v>1492</v>
      </c>
      <c r="B4147" s="5" t="s">
        <v>1490</v>
      </c>
      <c r="C4147" s="5" t="s">
        <v>65</v>
      </c>
      <c r="D4147" s="21">
        <v>1</v>
      </c>
      <c r="E4147" s="12">
        <v>49</v>
      </c>
      <c r="F4147" s="10" t="str">
        <f>_xlfn.XLOOKUP(C4147,menu!A:A,menu!B:B)</f>
        <v>Lemon Juice</v>
      </c>
      <c r="G4147" s="10" t="str">
        <f>_xlfn.XLOOKUP(C4147,menu!A:A,menu!C:C)</f>
        <v>Beverages</v>
      </c>
      <c r="H4147" s="10">
        <f>_xlfn.XLOOKUP(C4147,menu!A:A,menu!E:E)</f>
        <v>15</v>
      </c>
      <c r="I4147" s="10">
        <f t="shared" si="64"/>
        <v>15</v>
      </c>
      <c r="K4147" s="10"/>
      <c r="L4147" s="5"/>
    </row>
    <row r="4148" spans="1:12" x14ac:dyDescent="0.25">
      <c r="A4148" s="5" t="s">
        <v>1491</v>
      </c>
      <c r="B4148" s="5" t="s">
        <v>1490</v>
      </c>
      <c r="C4148" s="5" t="s">
        <v>24</v>
      </c>
      <c r="D4148" s="21">
        <v>3</v>
      </c>
      <c r="E4148" s="12">
        <v>267</v>
      </c>
      <c r="F4148" s="10" t="str">
        <f>_xlfn.XLOOKUP(C4148,menu!A:A,menu!B:B)</f>
        <v>Paneer Burger</v>
      </c>
      <c r="G4148" s="10" t="str">
        <f>_xlfn.XLOOKUP(C4148,menu!A:A,menu!C:C)</f>
        <v>Burger</v>
      </c>
      <c r="H4148" s="10">
        <f>_xlfn.XLOOKUP(C4148,menu!A:A,menu!E:E)</f>
        <v>27</v>
      </c>
      <c r="I4148" s="10">
        <f t="shared" si="64"/>
        <v>81</v>
      </c>
      <c r="K4148" s="10"/>
      <c r="L4148" s="5"/>
    </row>
    <row r="4149" spans="1:12" x14ac:dyDescent="0.25">
      <c r="A4149" s="5" t="s">
        <v>1489</v>
      </c>
      <c r="B4149" s="5" t="s">
        <v>1487</v>
      </c>
      <c r="C4149" s="5" t="s">
        <v>29</v>
      </c>
      <c r="D4149" s="21">
        <v>3</v>
      </c>
      <c r="E4149" s="12">
        <v>237</v>
      </c>
      <c r="F4149" s="10" t="str">
        <f>_xlfn.XLOOKUP(C4149,menu!A:A,menu!B:B)</f>
        <v>Paneer Roll</v>
      </c>
      <c r="G4149" s="10" t="str">
        <f>_xlfn.XLOOKUP(C4149,menu!A:A,menu!C:C)</f>
        <v>Rolls</v>
      </c>
      <c r="H4149" s="10">
        <f>_xlfn.XLOOKUP(C4149,menu!A:A,menu!E:E)</f>
        <v>24</v>
      </c>
      <c r="I4149" s="10">
        <f t="shared" si="64"/>
        <v>72</v>
      </c>
      <c r="K4149" s="10"/>
      <c r="L4149" s="5"/>
    </row>
    <row r="4150" spans="1:12" x14ac:dyDescent="0.25">
      <c r="A4150" s="5" t="s">
        <v>1488</v>
      </c>
      <c r="B4150" s="5" t="s">
        <v>1487</v>
      </c>
      <c r="C4150" s="5" t="s">
        <v>5</v>
      </c>
      <c r="D4150" s="21">
        <v>1</v>
      </c>
      <c r="E4150" s="12">
        <v>79</v>
      </c>
      <c r="F4150" s="10" t="str">
        <f>_xlfn.XLOOKUP(C4150,menu!A:A,menu!B:B)</f>
        <v>Veg Sandwich</v>
      </c>
      <c r="G4150" s="10" t="str">
        <f>_xlfn.XLOOKUP(C4150,menu!A:A,menu!C:C)</f>
        <v>Sandwich</v>
      </c>
      <c r="H4150" s="10">
        <f>_xlfn.XLOOKUP(C4150,menu!A:A,menu!E:E)</f>
        <v>24</v>
      </c>
      <c r="I4150" s="10">
        <f t="shared" si="64"/>
        <v>24</v>
      </c>
      <c r="K4150" s="10"/>
      <c r="L4150" s="5"/>
    </row>
    <row r="4151" spans="1:12" x14ac:dyDescent="0.25">
      <c r="A4151" s="5" t="s">
        <v>1486</v>
      </c>
      <c r="B4151" s="5" t="s">
        <v>1483</v>
      </c>
      <c r="C4151" s="5" t="s">
        <v>29</v>
      </c>
      <c r="D4151" s="21">
        <v>4</v>
      </c>
      <c r="E4151" s="12">
        <v>316</v>
      </c>
      <c r="F4151" s="10" t="str">
        <f>_xlfn.XLOOKUP(C4151,menu!A:A,menu!B:B)</f>
        <v>Paneer Roll</v>
      </c>
      <c r="G4151" s="10" t="str">
        <f>_xlfn.XLOOKUP(C4151,menu!A:A,menu!C:C)</f>
        <v>Rolls</v>
      </c>
      <c r="H4151" s="10">
        <f>_xlfn.XLOOKUP(C4151,menu!A:A,menu!E:E)</f>
        <v>24</v>
      </c>
      <c r="I4151" s="10">
        <f t="shared" si="64"/>
        <v>96</v>
      </c>
      <c r="K4151" s="10"/>
      <c r="L4151" s="5"/>
    </row>
    <row r="4152" spans="1:12" x14ac:dyDescent="0.25">
      <c r="A4152" s="5" t="s">
        <v>1485</v>
      </c>
      <c r="B4152" s="5" t="s">
        <v>1483</v>
      </c>
      <c r="C4152" s="5" t="s">
        <v>44</v>
      </c>
      <c r="D4152" s="21">
        <v>4</v>
      </c>
      <c r="E4152" s="12">
        <v>636</v>
      </c>
      <c r="F4152" s="10" t="str">
        <f>_xlfn.XLOOKUP(C4152,menu!A:A,menu!B:B)</f>
        <v>Fried Chicken</v>
      </c>
      <c r="G4152" s="10" t="str">
        <f>_xlfn.XLOOKUP(C4152,menu!A:A,menu!C:C)</f>
        <v>Starters</v>
      </c>
      <c r="H4152" s="10">
        <f>_xlfn.XLOOKUP(C4152,menu!A:A,menu!E:E)</f>
        <v>48</v>
      </c>
      <c r="I4152" s="10">
        <f t="shared" si="64"/>
        <v>192</v>
      </c>
      <c r="K4152" s="10"/>
      <c r="L4152" s="5"/>
    </row>
    <row r="4153" spans="1:12" x14ac:dyDescent="0.25">
      <c r="A4153" s="5" t="s">
        <v>1484</v>
      </c>
      <c r="B4153" s="5" t="s">
        <v>1483</v>
      </c>
      <c r="C4153" s="5" t="s">
        <v>38</v>
      </c>
      <c r="D4153" s="21">
        <v>2</v>
      </c>
      <c r="E4153" s="12">
        <v>298</v>
      </c>
      <c r="F4153" s="10" t="str">
        <f>_xlfn.XLOOKUP(C4153,menu!A:A,menu!B:B)</f>
        <v>Chicken Wings</v>
      </c>
      <c r="G4153" s="10" t="str">
        <f>_xlfn.XLOOKUP(C4153,menu!A:A,menu!C:C)</f>
        <v>Starters</v>
      </c>
      <c r="H4153" s="10">
        <f>_xlfn.XLOOKUP(C4153,menu!A:A,menu!E:E)</f>
        <v>45</v>
      </c>
      <c r="I4153" s="10">
        <f t="shared" si="64"/>
        <v>90</v>
      </c>
      <c r="K4153" s="10"/>
      <c r="L4153" s="5"/>
    </row>
    <row r="4154" spans="1:12" x14ac:dyDescent="0.25">
      <c r="A4154" s="5" t="s">
        <v>1482</v>
      </c>
      <c r="B4154" s="5" t="s">
        <v>1480</v>
      </c>
      <c r="C4154" s="5" t="s">
        <v>19</v>
      </c>
      <c r="D4154" s="21">
        <v>2</v>
      </c>
      <c r="E4154" s="12">
        <v>158</v>
      </c>
      <c r="F4154" s="10" t="str">
        <f>_xlfn.XLOOKUP(C4154,menu!A:A,menu!B:B)</f>
        <v>Veg Burger</v>
      </c>
      <c r="G4154" s="10" t="str">
        <f>_xlfn.XLOOKUP(C4154,menu!A:A,menu!C:C)</f>
        <v>Burger</v>
      </c>
      <c r="H4154" s="10">
        <f>_xlfn.XLOOKUP(C4154,menu!A:A,menu!E:E)</f>
        <v>24</v>
      </c>
      <c r="I4154" s="10">
        <f t="shared" si="64"/>
        <v>48</v>
      </c>
      <c r="K4154" s="10"/>
      <c r="L4154" s="5"/>
    </row>
    <row r="4155" spans="1:12" x14ac:dyDescent="0.25">
      <c r="A4155" s="5" t="s">
        <v>1481</v>
      </c>
      <c r="B4155" s="5" t="s">
        <v>1480</v>
      </c>
      <c r="C4155" s="5" t="s">
        <v>24</v>
      </c>
      <c r="D4155" s="21">
        <v>1</v>
      </c>
      <c r="E4155" s="12">
        <v>89</v>
      </c>
      <c r="F4155" s="10" t="str">
        <f>_xlfn.XLOOKUP(C4155,menu!A:A,menu!B:B)</f>
        <v>Paneer Burger</v>
      </c>
      <c r="G4155" s="10" t="str">
        <f>_xlfn.XLOOKUP(C4155,menu!A:A,menu!C:C)</f>
        <v>Burger</v>
      </c>
      <c r="H4155" s="10">
        <f>_xlfn.XLOOKUP(C4155,menu!A:A,menu!E:E)</f>
        <v>27</v>
      </c>
      <c r="I4155" s="10">
        <f t="shared" si="64"/>
        <v>27</v>
      </c>
      <c r="K4155" s="10"/>
      <c r="L4155" s="5"/>
    </row>
    <row r="4156" spans="1:12" x14ac:dyDescent="0.25">
      <c r="A4156" s="5" t="s">
        <v>1479</v>
      </c>
      <c r="B4156" s="5" t="s">
        <v>1477</v>
      </c>
      <c r="C4156" s="5" t="s">
        <v>35</v>
      </c>
      <c r="D4156" s="21">
        <v>2</v>
      </c>
      <c r="E4156" s="12">
        <v>238</v>
      </c>
      <c r="F4156" s="10" t="str">
        <f>_xlfn.XLOOKUP(C4156,menu!A:A,menu!B:B)</f>
        <v>Chicken Nuggets</v>
      </c>
      <c r="G4156" s="10" t="str">
        <f>_xlfn.XLOOKUP(C4156,menu!A:A,menu!C:C)</f>
        <v>Starters</v>
      </c>
      <c r="H4156" s="10">
        <f>_xlfn.XLOOKUP(C4156,menu!A:A,menu!E:E)</f>
        <v>36</v>
      </c>
      <c r="I4156" s="10">
        <f t="shared" si="64"/>
        <v>72</v>
      </c>
      <c r="K4156" s="10"/>
      <c r="L4156" s="5"/>
    </row>
    <row r="4157" spans="1:12" x14ac:dyDescent="0.25">
      <c r="A4157" s="5" t="s">
        <v>1478</v>
      </c>
      <c r="B4157" s="5" t="s">
        <v>1477</v>
      </c>
      <c r="C4157" s="5" t="s">
        <v>33</v>
      </c>
      <c r="D4157" s="21">
        <v>3</v>
      </c>
      <c r="E4157" s="12">
        <v>207</v>
      </c>
      <c r="F4157" s="10" t="str">
        <f>_xlfn.XLOOKUP(C4157,menu!A:A,menu!B:B)</f>
        <v>Spring Roll</v>
      </c>
      <c r="G4157" s="10" t="str">
        <f>_xlfn.XLOOKUP(C4157,menu!A:A,menu!C:C)</f>
        <v>Rolls</v>
      </c>
      <c r="H4157" s="10">
        <f>_xlfn.XLOOKUP(C4157,menu!A:A,menu!E:E)</f>
        <v>21</v>
      </c>
      <c r="I4157" s="10">
        <f t="shared" si="64"/>
        <v>63</v>
      </c>
      <c r="K4157" s="10"/>
      <c r="L4157" s="5"/>
    </row>
    <row r="4158" spans="1:12" x14ac:dyDescent="0.25">
      <c r="A4158" s="5" t="s">
        <v>1476</v>
      </c>
      <c r="B4158" s="5" t="s">
        <v>1474</v>
      </c>
      <c r="C4158" s="5" t="s">
        <v>46</v>
      </c>
      <c r="D4158" s="21">
        <v>4</v>
      </c>
      <c r="E4158" s="12">
        <v>596</v>
      </c>
      <c r="F4158" s="10" t="str">
        <f>_xlfn.XLOOKUP(C4158,menu!A:A,menu!B:B)</f>
        <v>Fish Finger</v>
      </c>
      <c r="G4158" s="10" t="str">
        <f>_xlfn.XLOOKUP(C4158,menu!A:A,menu!C:C)</f>
        <v>Starters</v>
      </c>
      <c r="H4158" s="10">
        <f>_xlfn.XLOOKUP(C4158,menu!A:A,menu!E:E)</f>
        <v>45</v>
      </c>
      <c r="I4158" s="10">
        <f t="shared" si="64"/>
        <v>180</v>
      </c>
      <c r="K4158" s="10"/>
      <c r="L4158" s="5"/>
    </row>
    <row r="4159" spans="1:12" x14ac:dyDescent="0.25">
      <c r="A4159" s="5" t="s">
        <v>1475</v>
      </c>
      <c r="B4159" s="5" t="s">
        <v>1474</v>
      </c>
      <c r="C4159" s="5" t="s">
        <v>33</v>
      </c>
      <c r="D4159" s="21">
        <v>1</v>
      </c>
      <c r="E4159" s="12">
        <v>69</v>
      </c>
      <c r="F4159" s="10" t="str">
        <f>_xlfn.XLOOKUP(C4159,menu!A:A,menu!B:B)</f>
        <v>Spring Roll</v>
      </c>
      <c r="G4159" s="10" t="str">
        <f>_xlfn.XLOOKUP(C4159,menu!A:A,menu!C:C)</f>
        <v>Rolls</v>
      </c>
      <c r="H4159" s="10">
        <f>_xlfn.XLOOKUP(C4159,menu!A:A,menu!E:E)</f>
        <v>21</v>
      </c>
      <c r="I4159" s="10">
        <f t="shared" si="64"/>
        <v>21</v>
      </c>
      <c r="K4159" s="10"/>
      <c r="L4159" s="5"/>
    </row>
    <row r="4160" spans="1:12" x14ac:dyDescent="0.25">
      <c r="A4160" s="5" t="s">
        <v>1473</v>
      </c>
      <c r="B4160" s="5" t="s">
        <v>1471</v>
      </c>
      <c r="C4160" s="5" t="s">
        <v>50</v>
      </c>
      <c r="D4160" s="21">
        <v>1</v>
      </c>
      <c r="E4160" s="12">
        <v>149</v>
      </c>
      <c r="F4160" s="10" t="str">
        <f>_xlfn.XLOOKUP(C4160,menu!A:A,menu!B:B)</f>
        <v>Grab Lollipop</v>
      </c>
      <c r="G4160" s="10" t="str">
        <f>_xlfn.XLOOKUP(C4160,menu!A:A,menu!C:C)</f>
        <v>Starters</v>
      </c>
      <c r="H4160" s="10">
        <f>_xlfn.XLOOKUP(C4160,menu!A:A,menu!E:E)</f>
        <v>45</v>
      </c>
      <c r="I4160" s="10">
        <f t="shared" si="64"/>
        <v>45</v>
      </c>
      <c r="K4160" s="10"/>
      <c r="L4160" s="5"/>
    </row>
    <row r="4161" spans="1:12" x14ac:dyDescent="0.25">
      <c r="A4161" s="5" t="s">
        <v>1472</v>
      </c>
      <c r="B4161" s="5" t="s">
        <v>1471</v>
      </c>
      <c r="C4161" s="5" t="s">
        <v>38</v>
      </c>
      <c r="D4161" s="21">
        <v>1</v>
      </c>
      <c r="E4161" s="12">
        <v>149</v>
      </c>
      <c r="F4161" s="10" t="str">
        <f>_xlfn.XLOOKUP(C4161,menu!A:A,menu!B:B)</f>
        <v>Chicken Wings</v>
      </c>
      <c r="G4161" s="10" t="str">
        <f>_xlfn.XLOOKUP(C4161,menu!A:A,menu!C:C)</f>
        <v>Starters</v>
      </c>
      <c r="H4161" s="10">
        <f>_xlfn.XLOOKUP(C4161,menu!A:A,menu!E:E)</f>
        <v>45</v>
      </c>
      <c r="I4161" s="10">
        <f t="shared" si="64"/>
        <v>45</v>
      </c>
      <c r="K4161" s="10"/>
      <c r="L4161" s="5"/>
    </row>
    <row r="4162" spans="1:12" x14ac:dyDescent="0.25">
      <c r="A4162" s="5" t="s">
        <v>1470</v>
      </c>
      <c r="B4162" s="5" t="s">
        <v>1468</v>
      </c>
      <c r="C4162" s="5" t="s">
        <v>35</v>
      </c>
      <c r="D4162" s="21">
        <v>3</v>
      </c>
      <c r="E4162" s="12">
        <v>357</v>
      </c>
      <c r="F4162" s="10" t="str">
        <f>_xlfn.XLOOKUP(C4162,menu!A:A,menu!B:B)</f>
        <v>Chicken Nuggets</v>
      </c>
      <c r="G4162" s="10" t="str">
        <f>_xlfn.XLOOKUP(C4162,menu!A:A,menu!C:C)</f>
        <v>Starters</v>
      </c>
      <c r="H4162" s="10">
        <f>_xlfn.XLOOKUP(C4162,menu!A:A,menu!E:E)</f>
        <v>36</v>
      </c>
      <c r="I4162" s="10">
        <f t="shared" si="64"/>
        <v>108</v>
      </c>
      <c r="K4162" s="10"/>
      <c r="L4162" s="5"/>
    </row>
    <row r="4163" spans="1:12" x14ac:dyDescent="0.25">
      <c r="A4163" s="5" t="s">
        <v>1469</v>
      </c>
      <c r="B4163" s="5" t="s">
        <v>1468</v>
      </c>
      <c r="C4163" s="5" t="s">
        <v>22</v>
      </c>
      <c r="D4163" s="21">
        <v>1</v>
      </c>
      <c r="E4163" s="12">
        <v>99</v>
      </c>
      <c r="F4163" s="10" t="str">
        <f>_xlfn.XLOOKUP(C4163,menu!A:A,menu!B:B)</f>
        <v>Chicken Burger</v>
      </c>
      <c r="G4163" s="10" t="str">
        <f>_xlfn.XLOOKUP(C4163,menu!A:A,menu!C:C)</f>
        <v>Burger</v>
      </c>
      <c r="H4163" s="10">
        <f>_xlfn.XLOOKUP(C4163,menu!A:A,menu!E:E)</f>
        <v>30</v>
      </c>
      <c r="I4163" s="10">
        <f t="shared" ref="I4163:I4226" si="65">D4163*H4163</f>
        <v>30</v>
      </c>
      <c r="K4163" s="10"/>
      <c r="L4163" s="5"/>
    </row>
    <row r="4164" spans="1:12" x14ac:dyDescent="0.25">
      <c r="A4164" s="5" t="s">
        <v>1467</v>
      </c>
      <c r="B4164" s="5" t="s">
        <v>1466</v>
      </c>
      <c r="C4164" s="5" t="s">
        <v>54</v>
      </c>
      <c r="D4164" s="21">
        <v>1</v>
      </c>
      <c r="E4164" s="12">
        <v>139</v>
      </c>
      <c r="F4164" s="10" t="str">
        <f>_xlfn.XLOOKUP(C4164,menu!A:A,menu!B:B)</f>
        <v>Chicken Strips</v>
      </c>
      <c r="G4164" s="10" t="str">
        <f>_xlfn.XLOOKUP(C4164,menu!A:A,menu!C:C)</f>
        <v>Starters</v>
      </c>
      <c r="H4164" s="10">
        <f>_xlfn.XLOOKUP(C4164,menu!A:A,menu!E:E)</f>
        <v>42</v>
      </c>
      <c r="I4164" s="10">
        <f t="shared" si="65"/>
        <v>42</v>
      </c>
      <c r="K4164" s="10"/>
      <c r="L4164" s="5"/>
    </row>
    <row r="4165" spans="1:12" x14ac:dyDescent="0.25">
      <c r="A4165" s="5" t="s">
        <v>1465</v>
      </c>
      <c r="B4165" s="5" t="s">
        <v>1462</v>
      </c>
      <c r="C4165" s="5" t="s">
        <v>19</v>
      </c>
      <c r="D4165" s="21">
        <v>1</v>
      </c>
      <c r="E4165" s="12">
        <v>79</v>
      </c>
      <c r="F4165" s="10" t="str">
        <f>_xlfn.XLOOKUP(C4165,menu!A:A,menu!B:B)</f>
        <v>Veg Burger</v>
      </c>
      <c r="G4165" s="10" t="str">
        <f>_xlfn.XLOOKUP(C4165,menu!A:A,menu!C:C)</f>
        <v>Burger</v>
      </c>
      <c r="H4165" s="10">
        <f>_xlfn.XLOOKUP(C4165,menu!A:A,menu!E:E)</f>
        <v>24</v>
      </c>
      <c r="I4165" s="10">
        <f t="shared" si="65"/>
        <v>24</v>
      </c>
      <c r="K4165" s="10"/>
      <c r="L4165" s="5"/>
    </row>
    <row r="4166" spans="1:12" x14ac:dyDescent="0.25">
      <c r="A4166" s="5" t="s">
        <v>1464</v>
      </c>
      <c r="B4166" s="5" t="s">
        <v>1462</v>
      </c>
      <c r="C4166" s="5" t="s">
        <v>44</v>
      </c>
      <c r="D4166" s="21">
        <v>2</v>
      </c>
      <c r="E4166" s="12">
        <v>318</v>
      </c>
      <c r="F4166" s="10" t="str">
        <f>_xlfn.XLOOKUP(C4166,menu!A:A,menu!B:B)</f>
        <v>Fried Chicken</v>
      </c>
      <c r="G4166" s="10" t="str">
        <f>_xlfn.XLOOKUP(C4166,menu!A:A,menu!C:C)</f>
        <v>Starters</v>
      </c>
      <c r="H4166" s="10">
        <f>_xlfn.XLOOKUP(C4166,menu!A:A,menu!E:E)</f>
        <v>48</v>
      </c>
      <c r="I4166" s="10">
        <f t="shared" si="65"/>
        <v>96</v>
      </c>
      <c r="K4166" s="10"/>
      <c r="L4166" s="5"/>
    </row>
    <row r="4167" spans="1:12" x14ac:dyDescent="0.25">
      <c r="A4167" s="5" t="s">
        <v>1463</v>
      </c>
      <c r="B4167" s="5" t="s">
        <v>1462</v>
      </c>
      <c r="C4167" s="5" t="s">
        <v>8</v>
      </c>
      <c r="D4167" s="21">
        <v>2</v>
      </c>
      <c r="E4167" s="12">
        <v>198</v>
      </c>
      <c r="F4167" s="10" t="str">
        <f>_xlfn.XLOOKUP(C4167,menu!A:A,menu!B:B)</f>
        <v>Paneer Sandwich</v>
      </c>
      <c r="G4167" s="10" t="str">
        <f>_xlfn.XLOOKUP(C4167,menu!A:A,menu!C:C)</f>
        <v>Sandwich</v>
      </c>
      <c r="H4167" s="10">
        <f>_xlfn.XLOOKUP(C4167,menu!A:A,menu!E:E)</f>
        <v>30</v>
      </c>
      <c r="I4167" s="10">
        <f t="shared" si="65"/>
        <v>60</v>
      </c>
      <c r="K4167" s="10"/>
      <c r="L4167" s="5"/>
    </row>
    <row r="4168" spans="1:12" x14ac:dyDescent="0.25">
      <c r="A4168" s="5" t="s">
        <v>1461</v>
      </c>
      <c r="B4168" s="5" t="s">
        <v>1458</v>
      </c>
      <c r="C4168" s="5" t="s">
        <v>29</v>
      </c>
      <c r="D4168" s="21">
        <v>1</v>
      </c>
      <c r="E4168" s="12">
        <v>79</v>
      </c>
      <c r="F4168" s="10" t="str">
        <f>_xlfn.XLOOKUP(C4168,menu!A:A,menu!B:B)</f>
        <v>Paneer Roll</v>
      </c>
      <c r="G4168" s="10" t="str">
        <f>_xlfn.XLOOKUP(C4168,menu!A:A,menu!C:C)</f>
        <v>Rolls</v>
      </c>
      <c r="H4168" s="10">
        <f>_xlfn.XLOOKUP(C4168,menu!A:A,menu!E:E)</f>
        <v>24</v>
      </c>
      <c r="I4168" s="10">
        <f t="shared" si="65"/>
        <v>24</v>
      </c>
      <c r="K4168" s="10"/>
      <c r="L4168" s="5"/>
    </row>
    <row r="4169" spans="1:12" x14ac:dyDescent="0.25">
      <c r="A4169" s="5" t="s">
        <v>1460</v>
      </c>
      <c r="B4169" s="5" t="s">
        <v>1458</v>
      </c>
      <c r="C4169" s="5" t="s">
        <v>63</v>
      </c>
      <c r="D4169" s="21">
        <v>2</v>
      </c>
      <c r="E4169" s="12">
        <v>158</v>
      </c>
      <c r="F4169" s="10" t="str">
        <f>_xlfn.XLOOKUP(C4169,menu!A:A,menu!B:B)</f>
        <v>Virgin Mojito</v>
      </c>
      <c r="G4169" s="10" t="str">
        <f>_xlfn.XLOOKUP(C4169,menu!A:A,menu!C:C)</f>
        <v>Beverages</v>
      </c>
      <c r="H4169" s="10">
        <f>_xlfn.XLOOKUP(C4169,menu!A:A,menu!E:E)</f>
        <v>24</v>
      </c>
      <c r="I4169" s="10">
        <f t="shared" si="65"/>
        <v>48</v>
      </c>
      <c r="K4169" s="10"/>
      <c r="L4169" s="5"/>
    </row>
    <row r="4170" spans="1:12" x14ac:dyDescent="0.25">
      <c r="A4170" s="5" t="s">
        <v>1459</v>
      </c>
      <c r="B4170" s="5" t="s">
        <v>1458</v>
      </c>
      <c r="C4170" s="5" t="s">
        <v>40</v>
      </c>
      <c r="D4170" s="21">
        <v>1</v>
      </c>
      <c r="E4170" s="12">
        <v>99</v>
      </c>
      <c r="F4170" s="10" t="str">
        <f>_xlfn.XLOOKUP(C4170,menu!A:A,menu!B:B)</f>
        <v>Veg Nuggets</v>
      </c>
      <c r="G4170" s="10" t="str">
        <f>_xlfn.XLOOKUP(C4170,menu!A:A,menu!C:C)</f>
        <v>Starters</v>
      </c>
      <c r="H4170" s="10">
        <f>_xlfn.XLOOKUP(C4170,menu!A:A,menu!E:E)</f>
        <v>30</v>
      </c>
      <c r="I4170" s="10">
        <f t="shared" si="65"/>
        <v>30</v>
      </c>
      <c r="K4170" s="10"/>
      <c r="L4170" s="5"/>
    </row>
    <row r="4171" spans="1:12" x14ac:dyDescent="0.25">
      <c r="A4171" s="5" t="s">
        <v>1457</v>
      </c>
      <c r="B4171" s="5" t="s">
        <v>1453</v>
      </c>
      <c r="C4171" s="5" t="s">
        <v>35</v>
      </c>
      <c r="D4171" s="21">
        <v>1</v>
      </c>
      <c r="E4171" s="12">
        <v>119</v>
      </c>
      <c r="F4171" s="10" t="str">
        <f>_xlfn.XLOOKUP(C4171,menu!A:A,menu!B:B)</f>
        <v>Chicken Nuggets</v>
      </c>
      <c r="G4171" s="10" t="str">
        <f>_xlfn.XLOOKUP(C4171,menu!A:A,menu!C:C)</f>
        <v>Starters</v>
      </c>
      <c r="H4171" s="10">
        <f>_xlfn.XLOOKUP(C4171,menu!A:A,menu!E:E)</f>
        <v>36</v>
      </c>
      <c r="I4171" s="10">
        <f t="shared" si="65"/>
        <v>36</v>
      </c>
      <c r="K4171" s="10"/>
      <c r="L4171" s="5"/>
    </row>
    <row r="4172" spans="1:12" x14ac:dyDescent="0.25">
      <c r="A4172" s="5" t="s">
        <v>1456</v>
      </c>
      <c r="B4172" s="5" t="s">
        <v>1453</v>
      </c>
      <c r="C4172" s="5" t="s">
        <v>42</v>
      </c>
      <c r="D4172" s="21">
        <v>1</v>
      </c>
      <c r="E4172" s="12">
        <v>149</v>
      </c>
      <c r="F4172" s="10" t="str">
        <f>_xlfn.XLOOKUP(C4172,menu!A:A,menu!B:B)</f>
        <v>Chicken Popcorn</v>
      </c>
      <c r="G4172" s="10" t="str">
        <f>_xlfn.XLOOKUP(C4172,menu!A:A,menu!C:C)</f>
        <v>Starters</v>
      </c>
      <c r="H4172" s="10">
        <f>_xlfn.XLOOKUP(C4172,menu!A:A,menu!E:E)</f>
        <v>45</v>
      </c>
      <c r="I4172" s="10">
        <f t="shared" si="65"/>
        <v>45</v>
      </c>
      <c r="K4172" s="10"/>
      <c r="L4172" s="5"/>
    </row>
    <row r="4173" spans="1:12" x14ac:dyDescent="0.25">
      <c r="A4173" s="5" t="s">
        <v>1455</v>
      </c>
      <c r="B4173" s="5" t="s">
        <v>1453</v>
      </c>
      <c r="C4173" s="5" t="s">
        <v>8</v>
      </c>
      <c r="D4173" s="21">
        <v>1</v>
      </c>
      <c r="E4173" s="12">
        <v>99</v>
      </c>
      <c r="F4173" s="10" t="str">
        <f>_xlfn.XLOOKUP(C4173,menu!A:A,menu!B:B)</f>
        <v>Paneer Sandwich</v>
      </c>
      <c r="G4173" s="10" t="str">
        <f>_xlfn.XLOOKUP(C4173,menu!A:A,menu!C:C)</f>
        <v>Sandwich</v>
      </c>
      <c r="H4173" s="10">
        <f>_xlfn.XLOOKUP(C4173,menu!A:A,menu!E:E)</f>
        <v>30</v>
      </c>
      <c r="I4173" s="10">
        <f t="shared" si="65"/>
        <v>30</v>
      </c>
      <c r="K4173" s="10"/>
      <c r="L4173" s="5"/>
    </row>
    <row r="4174" spans="1:12" x14ac:dyDescent="0.25">
      <c r="A4174" s="5" t="s">
        <v>1454</v>
      </c>
      <c r="B4174" s="5" t="s">
        <v>1453</v>
      </c>
      <c r="C4174" s="5" t="s">
        <v>54</v>
      </c>
      <c r="D4174" s="21">
        <v>1</v>
      </c>
      <c r="E4174" s="12">
        <v>139</v>
      </c>
      <c r="F4174" s="10" t="str">
        <f>_xlfn.XLOOKUP(C4174,menu!A:A,menu!B:B)</f>
        <v>Chicken Strips</v>
      </c>
      <c r="G4174" s="10" t="str">
        <f>_xlfn.XLOOKUP(C4174,menu!A:A,menu!C:C)</f>
        <v>Starters</v>
      </c>
      <c r="H4174" s="10">
        <f>_xlfn.XLOOKUP(C4174,menu!A:A,menu!E:E)</f>
        <v>42</v>
      </c>
      <c r="I4174" s="10">
        <f t="shared" si="65"/>
        <v>42</v>
      </c>
      <c r="K4174" s="10"/>
      <c r="L4174" s="5"/>
    </row>
    <row r="4175" spans="1:12" x14ac:dyDescent="0.25">
      <c r="A4175" s="5" t="s">
        <v>1452</v>
      </c>
      <c r="B4175" s="5" t="s">
        <v>1449</v>
      </c>
      <c r="C4175" s="5" t="s">
        <v>26</v>
      </c>
      <c r="D4175" s="21">
        <v>2</v>
      </c>
      <c r="E4175" s="12">
        <v>118</v>
      </c>
      <c r="F4175" s="10" t="str">
        <f>_xlfn.XLOOKUP(C4175,menu!A:A,menu!B:B)</f>
        <v>Veg Roll</v>
      </c>
      <c r="G4175" s="10" t="str">
        <f>_xlfn.XLOOKUP(C4175,menu!A:A,menu!C:C)</f>
        <v>Rolls</v>
      </c>
      <c r="H4175" s="10">
        <f>_xlfn.XLOOKUP(C4175,menu!A:A,menu!E:E)</f>
        <v>18</v>
      </c>
      <c r="I4175" s="10">
        <f t="shared" si="65"/>
        <v>36</v>
      </c>
      <c r="K4175" s="10"/>
      <c r="L4175" s="5"/>
    </row>
    <row r="4176" spans="1:12" x14ac:dyDescent="0.25">
      <c r="A4176" s="5" t="s">
        <v>1451</v>
      </c>
      <c r="B4176" s="5" t="s">
        <v>1449</v>
      </c>
      <c r="C4176" s="5" t="s">
        <v>10</v>
      </c>
      <c r="D4176" s="21">
        <v>2</v>
      </c>
      <c r="E4176" s="12">
        <v>238</v>
      </c>
      <c r="F4176" s="10" t="str">
        <f>_xlfn.XLOOKUP(C4176,menu!A:A,menu!B:B)</f>
        <v>Chicken Sandwich</v>
      </c>
      <c r="G4176" s="10" t="str">
        <f>_xlfn.XLOOKUP(C4176,menu!A:A,menu!C:C)</f>
        <v>Sandwich</v>
      </c>
      <c r="H4176" s="10">
        <f>_xlfn.XLOOKUP(C4176,menu!A:A,menu!E:E)</f>
        <v>36</v>
      </c>
      <c r="I4176" s="10">
        <f t="shared" si="65"/>
        <v>72</v>
      </c>
      <c r="K4176" s="10"/>
      <c r="L4176" s="5"/>
    </row>
    <row r="4177" spans="1:12" x14ac:dyDescent="0.25">
      <c r="A4177" s="5" t="s">
        <v>1450</v>
      </c>
      <c r="B4177" s="5" t="s">
        <v>1449</v>
      </c>
      <c r="C4177" s="5" t="s">
        <v>31</v>
      </c>
      <c r="D4177" s="21">
        <v>1</v>
      </c>
      <c r="E4177" s="12">
        <v>89</v>
      </c>
      <c r="F4177" s="10" t="str">
        <f>_xlfn.XLOOKUP(C4177,menu!A:A,menu!B:B)</f>
        <v>Chicken Roll</v>
      </c>
      <c r="G4177" s="10" t="str">
        <f>_xlfn.XLOOKUP(C4177,menu!A:A,menu!C:C)</f>
        <v>Rolls</v>
      </c>
      <c r="H4177" s="10">
        <f>_xlfn.XLOOKUP(C4177,menu!A:A,menu!E:E)</f>
        <v>27</v>
      </c>
      <c r="I4177" s="10">
        <f t="shared" si="65"/>
        <v>27</v>
      </c>
      <c r="K4177" s="10"/>
      <c r="L4177" s="5"/>
    </row>
    <row r="4178" spans="1:12" x14ac:dyDescent="0.25">
      <c r="A4178" s="5" t="s">
        <v>1448</v>
      </c>
      <c r="B4178" s="5" t="s">
        <v>1446</v>
      </c>
      <c r="C4178" s="5" t="s">
        <v>59</v>
      </c>
      <c r="D4178" s="21">
        <v>3</v>
      </c>
      <c r="E4178" s="12">
        <v>237</v>
      </c>
      <c r="F4178" s="10" t="str">
        <f>_xlfn.XLOOKUP(C4178,menu!A:A,menu!B:B)</f>
        <v>Blue Curacao Mojito</v>
      </c>
      <c r="G4178" s="10" t="str">
        <f>_xlfn.XLOOKUP(C4178,menu!A:A,menu!C:C)</f>
        <v>Beverages</v>
      </c>
      <c r="H4178" s="10">
        <f>_xlfn.XLOOKUP(C4178,menu!A:A,menu!E:E)</f>
        <v>24</v>
      </c>
      <c r="I4178" s="10">
        <f t="shared" si="65"/>
        <v>72</v>
      </c>
      <c r="K4178" s="10"/>
      <c r="L4178" s="5"/>
    </row>
    <row r="4179" spans="1:12" x14ac:dyDescent="0.25">
      <c r="A4179" s="5" t="s">
        <v>1447</v>
      </c>
      <c r="B4179" s="5" t="s">
        <v>1446</v>
      </c>
      <c r="C4179" s="5" t="s">
        <v>38</v>
      </c>
      <c r="D4179" s="21">
        <v>1</v>
      </c>
      <c r="E4179" s="12">
        <v>149</v>
      </c>
      <c r="F4179" s="10" t="str">
        <f>_xlfn.XLOOKUP(C4179,menu!A:A,menu!B:B)</f>
        <v>Chicken Wings</v>
      </c>
      <c r="G4179" s="10" t="str">
        <f>_xlfn.XLOOKUP(C4179,menu!A:A,menu!C:C)</f>
        <v>Starters</v>
      </c>
      <c r="H4179" s="10">
        <f>_xlfn.XLOOKUP(C4179,menu!A:A,menu!E:E)</f>
        <v>45</v>
      </c>
      <c r="I4179" s="10">
        <f t="shared" si="65"/>
        <v>45</v>
      </c>
      <c r="K4179" s="10"/>
      <c r="L4179" s="5"/>
    </row>
    <row r="4180" spans="1:12" x14ac:dyDescent="0.25">
      <c r="A4180" s="5" t="s">
        <v>1445</v>
      </c>
      <c r="B4180" s="5" t="s">
        <v>1441</v>
      </c>
      <c r="C4180" s="5" t="s">
        <v>5</v>
      </c>
      <c r="D4180" s="21">
        <v>1</v>
      </c>
      <c r="E4180" s="12">
        <v>79</v>
      </c>
      <c r="F4180" s="10" t="str">
        <f>_xlfn.XLOOKUP(C4180,menu!A:A,menu!B:B)</f>
        <v>Veg Sandwich</v>
      </c>
      <c r="G4180" s="10" t="str">
        <f>_xlfn.XLOOKUP(C4180,menu!A:A,menu!C:C)</f>
        <v>Sandwich</v>
      </c>
      <c r="H4180" s="10">
        <f>_xlfn.XLOOKUP(C4180,menu!A:A,menu!E:E)</f>
        <v>24</v>
      </c>
      <c r="I4180" s="10">
        <f t="shared" si="65"/>
        <v>24</v>
      </c>
      <c r="K4180" s="10"/>
      <c r="L4180" s="5"/>
    </row>
    <row r="4181" spans="1:12" x14ac:dyDescent="0.25">
      <c r="A4181" s="5" t="s">
        <v>1444</v>
      </c>
      <c r="B4181" s="5" t="s">
        <v>1441</v>
      </c>
      <c r="C4181" s="5" t="s">
        <v>15</v>
      </c>
      <c r="D4181" s="21">
        <v>5</v>
      </c>
      <c r="E4181" s="12">
        <v>495</v>
      </c>
      <c r="F4181" s="10" t="str">
        <f>_xlfn.XLOOKUP(C4181,menu!A:A,menu!B:B)</f>
        <v>Chicken Momos</v>
      </c>
      <c r="G4181" s="10" t="str">
        <f>_xlfn.XLOOKUP(C4181,menu!A:A,menu!C:C)</f>
        <v>Momos</v>
      </c>
      <c r="H4181" s="10">
        <f>_xlfn.XLOOKUP(C4181,menu!A:A,menu!E:E)</f>
        <v>30</v>
      </c>
      <c r="I4181" s="10">
        <f t="shared" si="65"/>
        <v>150</v>
      </c>
      <c r="K4181" s="10"/>
      <c r="L4181" s="5"/>
    </row>
    <row r="4182" spans="1:12" x14ac:dyDescent="0.25">
      <c r="A4182" s="5" t="s">
        <v>1443</v>
      </c>
      <c r="B4182" s="5" t="s">
        <v>1441</v>
      </c>
      <c r="C4182" s="5" t="s">
        <v>31</v>
      </c>
      <c r="D4182" s="21">
        <v>2</v>
      </c>
      <c r="E4182" s="12">
        <v>178</v>
      </c>
      <c r="F4182" s="10" t="str">
        <f>_xlfn.XLOOKUP(C4182,menu!A:A,menu!B:B)</f>
        <v>Chicken Roll</v>
      </c>
      <c r="G4182" s="10" t="str">
        <f>_xlfn.XLOOKUP(C4182,menu!A:A,menu!C:C)</f>
        <v>Rolls</v>
      </c>
      <c r="H4182" s="10">
        <f>_xlfn.XLOOKUP(C4182,menu!A:A,menu!E:E)</f>
        <v>27</v>
      </c>
      <c r="I4182" s="10">
        <f t="shared" si="65"/>
        <v>54</v>
      </c>
      <c r="K4182" s="10"/>
      <c r="L4182" s="5"/>
    </row>
    <row r="4183" spans="1:12" x14ac:dyDescent="0.25">
      <c r="A4183" s="5" t="s">
        <v>1442</v>
      </c>
      <c r="B4183" s="5" t="s">
        <v>1441</v>
      </c>
      <c r="C4183" s="5" t="s">
        <v>48</v>
      </c>
      <c r="D4183" s="21">
        <v>1</v>
      </c>
      <c r="E4183" s="12">
        <v>159</v>
      </c>
      <c r="F4183" s="10" t="str">
        <f>_xlfn.XLOOKUP(C4183,menu!A:A,menu!B:B)</f>
        <v>Chicken Lollipop</v>
      </c>
      <c r="G4183" s="10" t="str">
        <f>_xlfn.XLOOKUP(C4183,menu!A:A,menu!C:C)</f>
        <v>Starters</v>
      </c>
      <c r="H4183" s="10">
        <f>_xlfn.XLOOKUP(C4183,menu!A:A,menu!E:E)</f>
        <v>48</v>
      </c>
      <c r="I4183" s="10">
        <f t="shared" si="65"/>
        <v>48</v>
      </c>
      <c r="K4183" s="10"/>
      <c r="L4183" s="5"/>
    </row>
    <row r="4184" spans="1:12" x14ac:dyDescent="0.25">
      <c r="A4184" s="5" t="s">
        <v>1440</v>
      </c>
      <c r="B4184" s="5" t="s">
        <v>1437</v>
      </c>
      <c r="C4184" s="5" t="s">
        <v>54</v>
      </c>
      <c r="D4184" s="21">
        <v>1</v>
      </c>
      <c r="E4184" s="12">
        <v>139</v>
      </c>
      <c r="F4184" s="10" t="str">
        <f>_xlfn.XLOOKUP(C4184,menu!A:A,menu!B:B)</f>
        <v>Chicken Strips</v>
      </c>
      <c r="G4184" s="10" t="str">
        <f>_xlfn.XLOOKUP(C4184,menu!A:A,menu!C:C)</f>
        <v>Starters</v>
      </c>
      <c r="H4184" s="10">
        <f>_xlfn.XLOOKUP(C4184,menu!A:A,menu!E:E)</f>
        <v>42</v>
      </c>
      <c r="I4184" s="10">
        <f t="shared" si="65"/>
        <v>42</v>
      </c>
      <c r="K4184" s="10"/>
      <c r="L4184" s="5"/>
    </row>
    <row r="4185" spans="1:12" x14ac:dyDescent="0.25">
      <c r="A4185" s="5" t="s">
        <v>1439</v>
      </c>
      <c r="B4185" s="5" t="s">
        <v>1437</v>
      </c>
      <c r="C4185" s="5" t="s">
        <v>59</v>
      </c>
      <c r="D4185" s="21">
        <v>3</v>
      </c>
      <c r="E4185" s="12">
        <v>237</v>
      </c>
      <c r="F4185" s="10" t="str">
        <f>_xlfn.XLOOKUP(C4185,menu!A:A,menu!B:B)</f>
        <v>Blue Curacao Mojito</v>
      </c>
      <c r="G4185" s="10" t="str">
        <f>_xlfn.XLOOKUP(C4185,menu!A:A,menu!C:C)</f>
        <v>Beverages</v>
      </c>
      <c r="H4185" s="10">
        <f>_xlfn.XLOOKUP(C4185,menu!A:A,menu!E:E)</f>
        <v>24</v>
      </c>
      <c r="I4185" s="10">
        <f t="shared" si="65"/>
        <v>72</v>
      </c>
      <c r="K4185" s="10"/>
      <c r="L4185" s="5"/>
    </row>
    <row r="4186" spans="1:12" x14ac:dyDescent="0.25">
      <c r="A4186" s="5" t="s">
        <v>1438</v>
      </c>
      <c r="B4186" s="5" t="s">
        <v>1437</v>
      </c>
      <c r="C4186" s="5" t="s">
        <v>38</v>
      </c>
      <c r="D4186" s="21">
        <v>2</v>
      </c>
      <c r="E4186" s="12">
        <v>298</v>
      </c>
      <c r="F4186" s="10" t="str">
        <f>_xlfn.XLOOKUP(C4186,menu!A:A,menu!B:B)</f>
        <v>Chicken Wings</v>
      </c>
      <c r="G4186" s="10" t="str">
        <f>_xlfn.XLOOKUP(C4186,menu!A:A,menu!C:C)</f>
        <v>Starters</v>
      </c>
      <c r="H4186" s="10">
        <f>_xlfn.XLOOKUP(C4186,menu!A:A,menu!E:E)</f>
        <v>45</v>
      </c>
      <c r="I4186" s="10">
        <f t="shared" si="65"/>
        <v>90</v>
      </c>
      <c r="K4186" s="10"/>
      <c r="L4186" s="5"/>
    </row>
    <row r="4187" spans="1:12" x14ac:dyDescent="0.25">
      <c r="A4187" s="5" t="s">
        <v>1436</v>
      </c>
      <c r="B4187" s="5" t="s">
        <v>1434</v>
      </c>
      <c r="C4187" s="5" t="s">
        <v>31</v>
      </c>
      <c r="D4187" s="21">
        <v>3</v>
      </c>
      <c r="E4187" s="12">
        <v>267</v>
      </c>
      <c r="F4187" s="10" t="str">
        <f>_xlfn.XLOOKUP(C4187,menu!A:A,menu!B:B)</f>
        <v>Chicken Roll</v>
      </c>
      <c r="G4187" s="10" t="str">
        <f>_xlfn.XLOOKUP(C4187,menu!A:A,menu!C:C)</f>
        <v>Rolls</v>
      </c>
      <c r="H4187" s="10">
        <f>_xlfn.XLOOKUP(C4187,menu!A:A,menu!E:E)</f>
        <v>27</v>
      </c>
      <c r="I4187" s="10">
        <f t="shared" si="65"/>
        <v>81</v>
      </c>
      <c r="K4187" s="10"/>
      <c r="L4187" s="5"/>
    </row>
    <row r="4188" spans="1:12" x14ac:dyDescent="0.25">
      <c r="A4188" s="5" t="s">
        <v>1435</v>
      </c>
      <c r="B4188" s="5" t="s">
        <v>1434</v>
      </c>
      <c r="C4188" s="5" t="s">
        <v>24</v>
      </c>
      <c r="D4188" s="21">
        <v>1</v>
      </c>
      <c r="E4188" s="12">
        <v>89</v>
      </c>
      <c r="F4188" s="10" t="str">
        <f>_xlfn.XLOOKUP(C4188,menu!A:A,menu!B:B)</f>
        <v>Paneer Burger</v>
      </c>
      <c r="G4188" s="10" t="str">
        <f>_xlfn.XLOOKUP(C4188,menu!A:A,menu!C:C)</f>
        <v>Burger</v>
      </c>
      <c r="H4188" s="10">
        <f>_xlfn.XLOOKUP(C4188,menu!A:A,menu!E:E)</f>
        <v>27</v>
      </c>
      <c r="I4188" s="10">
        <f t="shared" si="65"/>
        <v>27</v>
      </c>
      <c r="K4188" s="10"/>
      <c r="L4188" s="5"/>
    </row>
    <row r="4189" spans="1:12" x14ac:dyDescent="0.25">
      <c r="A4189" s="5" t="s">
        <v>1433</v>
      </c>
      <c r="B4189" s="5" t="s">
        <v>1429</v>
      </c>
      <c r="C4189" s="5" t="s">
        <v>5</v>
      </c>
      <c r="D4189" s="21">
        <v>4</v>
      </c>
      <c r="E4189" s="12">
        <v>316</v>
      </c>
      <c r="F4189" s="10" t="str">
        <f>_xlfn.XLOOKUP(C4189,menu!A:A,menu!B:B)</f>
        <v>Veg Sandwich</v>
      </c>
      <c r="G4189" s="10" t="str">
        <f>_xlfn.XLOOKUP(C4189,menu!A:A,menu!C:C)</f>
        <v>Sandwich</v>
      </c>
      <c r="H4189" s="10">
        <f>_xlfn.XLOOKUP(C4189,menu!A:A,menu!E:E)</f>
        <v>24</v>
      </c>
      <c r="I4189" s="10">
        <f t="shared" si="65"/>
        <v>96</v>
      </c>
      <c r="K4189" s="10"/>
      <c r="L4189" s="5"/>
    </row>
    <row r="4190" spans="1:12" x14ac:dyDescent="0.25">
      <c r="A4190" s="5" t="s">
        <v>1432</v>
      </c>
      <c r="B4190" s="5" t="s">
        <v>1429</v>
      </c>
      <c r="C4190" s="5" t="s">
        <v>22</v>
      </c>
      <c r="D4190" s="21">
        <v>3</v>
      </c>
      <c r="E4190" s="12">
        <v>297</v>
      </c>
      <c r="F4190" s="10" t="str">
        <f>_xlfn.XLOOKUP(C4190,menu!A:A,menu!B:B)</f>
        <v>Chicken Burger</v>
      </c>
      <c r="G4190" s="10" t="str">
        <f>_xlfn.XLOOKUP(C4190,menu!A:A,menu!C:C)</f>
        <v>Burger</v>
      </c>
      <c r="H4190" s="10">
        <f>_xlfn.XLOOKUP(C4190,menu!A:A,menu!E:E)</f>
        <v>30</v>
      </c>
      <c r="I4190" s="10">
        <f t="shared" si="65"/>
        <v>90</v>
      </c>
      <c r="K4190" s="10"/>
      <c r="L4190" s="5"/>
    </row>
    <row r="4191" spans="1:12" x14ac:dyDescent="0.25">
      <c r="A4191" s="5" t="s">
        <v>1431</v>
      </c>
      <c r="B4191" s="5" t="s">
        <v>1429</v>
      </c>
      <c r="C4191" s="5" t="s">
        <v>26</v>
      </c>
      <c r="D4191" s="21">
        <v>2</v>
      </c>
      <c r="E4191" s="12">
        <v>118</v>
      </c>
      <c r="F4191" s="10" t="str">
        <f>_xlfn.XLOOKUP(C4191,menu!A:A,menu!B:B)</f>
        <v>Veg Roll</v>
      </c>
      <c r="G4191" s="10" t="str">
        <f>_xlfn.XLOOKUP(C4191,menu!A:A,menu!C:C)</f>
        <v>Rolls</v>
      </c>
      <c r="H4191" s="10">
        <f>_xlfn.XLOOKUP(C4191,menu!A:A,menu!E:E)</f>
        <v>18</v>
      </c>
      <c r="I4191" s="10">
        <f t="shared" si="65"/>
        <v>36</v>
      </c>
      <c r="K4191" s="10"/>
      <c r="L4191" s="5"/>
    </row>
    <row r="4192" spans="1:12" x14ac:dyDescent="0.25">
      <c r="A4192" s="5" t="s">
        <v>1430</v>
      </c>
      <c r="B4192" s="5" t="s">
        <v>1429</v>
      </c>
      <c r="C4192" s="5" t="s">
        <v>12</v>
      </c>
      <c r="D4192" s="21">
        <v>4</v>
      </c>
      <c r="E4192" s="12">
        <v>316</v>
      </c>
      <c r="F4192" s="10" t="str">
        <f>_xlfn.XLOOKUP(C4192,menu!A:A,menu!B:B)</f>
        <v>Veg Momos</v>
      </c>
      <c r="G4192" s="10" t="str">
        <f>_xlfn.XLOOKUP(C4192,menu!A:A,menu!C:C)</f>
        <v>Momos</v>
      </c>
      <c r="H4192" s="10">
        <f>_xlfn.XLOOKUP(C4192,menu!A:A,menu!E:E)</f>
        <v>24</v>
      </c>
      <c r="I4192" s="10">
        <f t="shared" si="65"/>
        <v>96</v>
      </c>
      <c r="K4192" s="10"/>
      <c r="L4192" s="5"/>
    </row>
    <row r="4193" spans="1:12" x14ac:dyDescent="0.25">
      <c r="A4193" s="5" t="s">
        <v>1428</v>
      </c>
      <c r="B4193" s="5" t="s">
        <v>1426</v>
      </c>
      <c r="C4193" s="5" t="s">
        <v>54</v>
      </c>
      <c r="D4193" s="21">
        <v>1</v>
      </c>
      <c r="E4193" s="12">
        <v>139</v>
      </c>
      <c r="F4193" s="10" t="str">
        <f>_xlfn.XLOOKUP(C4193,menu!A:A,menu!B:B)</f>
        <v>Chicken Strips</v>
      </c>
      <c r="G4193" s="10" t="str">
        <f>_xlfn.XLOOKUP(C4193,menu!A:A,menu!C:C)</f>
        <v>Starters</v>
      </c>
      <c r="H4193" s="10">
        <f>_xlfn.XLOOKUP(C4193,menu!A:A,menu!E:E)</f>
        <v>42</v>
      </c>
      <c r="I4193" s="10">
        <f t="shared" si="65"/>
        <v>42</v>
      </c>
      <c r="K4193" s="10"/>
      <c r="L4193" s="5"/>
    </row>
    <row r="4194" spans="1:12" x14ac:dyDescent="0.25">
      <c r="A4194" s="5" t="s">
        <v>1427</v>
      </c>
      <c r="B4194" s="5" t="s">
        <v>1426</v>
      </c>
      <c r="C4194" s="5" t="s">
        <v>38</v>
      </c>
      <c r="D4194" s="21">
        <v>1</v>
      </c>
      <c r="E4194" s="12">
        <v>149</v>
      </c>
      <c r="F4194" s="10" t="str">
        <f>_xlfn.XLOOKUP(C4194,menu!A:A,menu!B:B)</f>
        <v>Chicken Wings</v>
      </c>
      <c r="G4194" s="10" t="str">
        <f>_xlfn.XLOOKUP(C4194,menu!A:A,menu!C:C)</f>
        <v>Starters</v>
      </c>
      <c r="H4194" s="10">
        <f>_xlfn.XLOOKUP(C4194,menu!A:A,menu!E:E)</f>
        <v>45</v>
      </c>
      <c r="I4194" s="10">
        <f t="shared" si="65"/>
        <v>45</v>
      </c>
      <c r="K4194" s="10"/>
      <c r="L4194" s="5"/>
    </row>
    <row r="4195" spans="1:12" x14ac:dyDescent="0.25">
      <c r="A4195" s="5" t="s">
        <v>1425</v>
      </c>
      <c r="B4195" s="5" t="s">
        <v>1423</v>
      </c>
      <c r="C4195" s="5" t="s">
        <v>56</v>
      </c>
      <c r="D4195" s="21">
        <v>3</v>
      </c>
      <c r="E4195" s="12">
        <v>237</v>
      </c>
      <c r="F4195" s="10" t="str">
        <f>_xlfn.XLOOKUP(C4195,menu!A:A,menu!B:B)</f>
        <v>Mint Mojito</v>
      </c>
      <c r="G4195" s="10" t="str">
        <f>_xlfn.XLOOKUP(C4195,menu!A:A,menu!C:C)</f>
        <v>Beverages</v>
      </c>
      <c r="H4195" s="10">
        <f>_xlfn.XLOOKUP(C4195,menu!A:A,menu!E:E)</f>
        <v>24</v>
      </c>
      <c r="I4195" s="10">
        <f t="shared" si="65"/>
        <v>72</v>
      </c>
      <c r="K4195" s="10"/>
      <c r="L4195" s="5"/>
    </row>
    <row r="4196" spans="1:12" x14ac:dyDescent="0.25">
      <c r="A4196" s="5" t="s">
        <v>1424</v>
      </c>
      <c r="B4196" s="5" t="s">
        <v>1423</v>
      </c>
      <c r="C4196" s="5" t="s">
        <v>63</v>
      </c>
      <c r="D4196" s="21">
        <v>2</v>
      </c>
      <c r="E4196" s="12">
        <v>158</v>
      </c>
      <c r="F4196" s="10" t="str">
        <f>_xlfn.XLOOKUP(C4196,menu!A:A,menu!B:B)</f>
        <v>Virgin Mojito</v>
      </c>
      <c r="G4196" s="10" t="str">
        <f>_xlfn.XLOOKUP(C4196,menu!A:A,menu!C:C)</f>
        <v>Beverages</v>
      </c>
      <c r="H4196" s="10">
        <f>_xlfn.XLOOKUP(C4196,menu!A:A,menu!E:E)</f>
        <v>24</v>
      </c>
      <c r="I4196" s="10">
        <f t="shared" si="65"/>
        <v>48</v>
      </c>
      <c r="K4196" s="10"/>
      <c r="L4196" s="5"/>
    </row>
    <row r="4197" spans="1:12" x14ac:dyDescent="0.25">
      <c r="A4197" s="5" t="s">
        <v>1422</v>
      </c>
      <c r="B4197" s="5" t="s">
        <v>1419</v>
      </c>
      <c r="C4197" s="5" t="s">
        <v>56</v>
      </c>
      <c r="D4197" s="21">
        <v>1</v>
      </c>
      <c r="E4197" s="12">
        <v>79</v>
      </c>
      <c r="F4197" s="10" t="str">
        <f>_xlfn.XLOOKUP(C4197,menu!A:A,menu!B:B)</f>
        <v>Mint Mojito</v>
      </c>
      <c r="G4197" s="10" t="str">
        <f>_xlfn.XLOOKUP(C4197,menu!A:A,menu!C:C)</f>
        <v>Beverages</v>
      </c>
      <c r="H4197" s="10">
        <f>_xlfn.XLOOKUP(C4197,menu!A:A,menu!E:E)</f>
        <v>24</v>
      </c>
      <c r="I4197" s="10">
        <f t="shared" si="65"/>
        <v>24</v>
      </c>
      <c r="K4197" s="10"/>
      <c r="L4197" s="5"/>
    </row>
    <row r="4198" spans="1:12" x14ac:dyDescent="0.25">
      <c r="A4198" s="5" t="s">
        <v>1421</v>
      </c>
      <c r="B4198" s="5" t="s">
        <v>1419</v>
      </c>
      <c r="C4198" s="5" t="s">
        <v>52</v>
      </c>
      <c r="D4198" s="21">
        <v>2</v>
      </c>
      <c r="E4198" s="12">
        <v>198</v>
      </c>
      <c r="F4198" s="10" t="str">
        <f>_xlfn.XLOOKUP(C4198,menu!A:A,menu!B:B)</f>
        <v>French Fries</v>
      </c>
      <c r="G4198" s="10" t="str">
        <f>_xlfn.XLOOKUP(C4198,menu!A:A,menu!C:C)</f>
        <v>Starters</v>
      </c>
      <c r="H4198" s="10">
        <f>_xlfn.XLOOKUP(C4198,menu!A:A,menu!E:E)</f>
        <v>30</v>
      </c>
      <c r="I4198" s="10">
        <f t="shared" si="65"/>
        <v>60</v>
      </c>
      <c r="K4198" s="10"/>
      <c r="L4198" s="5"/>
    </row>
    <row r="4199" spans="1:12" x14ac:dyDescent="0.25">
      <c r="A4199" s="5" t="s">
        <v>1420</v>
      </c>
      <c r="B4199" s="5" t="s">
        <v>1419</v>
      </c>
      <c r="C4199" s="5" t="s">
        <v>26</v>
      </c>
      <c r="D4199" s="21">
        <v>1</v>
      </c>
      <c r="E4199" s="12">
        <v>59</v>
      </c>
      <c r="F4199" s="10" t="str">
        <f>_xlfn.XLOOKUP(C4199,menu!A:A,menu!B:B)</f>
        <v>Veg Roll</v>
      </c>
      <c r="G4199" s="10" t="str">
        <f>_xlfn.XLOOKUP(C4199,menu!A:A,menu!C:C)</f>
        <v>Rolls</v>
      </c>
      <c r="H4199" s="10">
        <f>_xlfn.XLOOKUP(C4199,menu!A:A,menu!E:E)</f>
        <v>18</v>
      </c>
      <c r="I4199" s="10">
        <f t="shared" si="65"/>
        <v>18</v>
      </c>
      <c r="K4199" s="10"/>
      <c r="L4199" s="5"/>
    </row>
    <row r="4200" spans="1:12" x14ac:dyDescent="0.25">
      <c r="A4200" s="5" t="s">
        <v>1418</v>
      </c>
      <c r="B4200" s="5" t="s">
        <v>1416</v>
      </c>
      <c r="C4200" s="5" t="s">
        <v>29</v>
      </c>
      <c r="D4200" s="21">
        <v>1</v>
      </c>
      <c r="E4200" s="12">
        <v>79</v>
      </c>
      <c r="F4200" s="10" t="str">
        <f>_xlfn.XLOOKUP(C4200,menu!A:A,menu!B:B)</f>
        <v>Paneer Roll</v>
      </c>
      <c r="G4200" s="10" t="str">
        <f>_xlfn.XLOOKUP(C4200,menu!A:A,menu!C:C)</f>
        <v>Rolls</v>
      </c>
      <c r="H4200" s="10">
        <f>_xlfn.XLOOKUP(C4200,menu!A:A,menu!E:E)</f>
        <v>24</v>
      </c>
      <c r="I4200" s="10">
        <f t="shared" si="65"/>
        <v>24</v>
      </c>
      <c r="K4200" s="10"/>
      <c r="L4200" s="5"/>
    </row>
    <row r="4201" spans="1:12" x14ac:dyDescent="0.25">
      <c r="A4201" s="5" t="s">
        <v>1417</v>
      </c>
      <c r="B4201" s="5" t="s">
        <v>1416</v>
      </c>
      <c r="C4201" s="5" t="s">
        <v>44</v>
      </c>
      <c r="D4201" s="21">
        <v>1</v>
      </c>
      <c r="E4201" s="12">
        <v>159</v>
      </c>
      <c r="F4201" s="10" t="str">
        <f>_xlfn.XLOOKUP(C4201,menu!A:A,menu!B:B)</f>
        <v>Fried Chicken</v>
      </c>
      <c r="G4201" s="10" t="str">
        <f>_xlfn.XLOOKUP(C4201,menu!A:A,menu!C:C)</f>
        <v>Starters</v>
      </c>
      <c r="H4201" s="10">
        <f>_xlfn.XLOOKUP(C4201,menu!A:A,menu!E:E)</f>
        <v>48</v>
      </c>
      <c r="I4201" s="10">
        <f t="shared" si="65"/>
        <v>48</v>
      </c>
      <c r="K4201" s="10"/>
      <c r="L4201" s="5"/>
    </row>
    <row r="4202" spans="1:12" x14ac:dyDescent="0.25">
      <c r="A4202" s="5" t="s">
        <v>1415</v>
      </c>
      <c r="B4202" s="5" t="s">
        <v>1411</v>
      </c>
      <c r="C4202" s="5" t="s">
        <v>63</v>
      </c>
      <c r="D4202" s="21">
        <v>1</v>
      </c>
      <c r="E4202" s="12">
        <v>79</v>
      </c>
      <c r="F4202" s="10" t="str">
        <f>_xlfn.XLOOKUP(C4202,menu!A:A,menu!B:B)</f>
        <v>Virgin Mojito</v>
      </c>
      <c r="G4202" s="10" t="str">
        <f>_xlfn.XLOOKUP(C4202,menu!A:A,menu!C:C)</f>
        <v>Beverages</v>
      </c>
      <c r="H4202" s="10">
        <f>_xlfn.XLOOKUP(C4202,menu!A:A,menu!E:E)</f>
        <v>24</v>
      </c>
      <c r="I4202" s="10">
        <f t="shared" si="65"/>
        <v>24</v>
      </c>
      <c r="K4202" s="10"/>
      <c r="L4202" s="5"/>
    </row>
    <row r="4203" spans="1:12" x14ac:dyDescent="0.25">
      <c r="A4203" s="5" t="s">
        <v>1414</v>
      </c>
      <c r="B4203" s="5" t="s">
        <v>1411</v>
      </c>
      <c r="C4203" s="5" t="s">
        <v>10</v>
      </c>
      <c r="D4203" s="21">
        <v>2</v>
      </c>
      <c r="E4203" s="12">
        <v>238</v>
      </c>
      <c r="F4203" s="10" t="str">
        <f>_xlfn.XLOOKUP(C4203,menu!A:A,menu!B:B)</f>
        <v>Chicken Sandwich</v>
      </c>
      <c r="G4203" s="10" t="str">
        <f>_xlfn.XLOOKUP(C4203,menu!A:A,menu!C:C)</f>
        <v>Sandwich</v>
      </c>
      <c r="H4203" s="10">
        <f>_xlfn.XLOOKUP(C4203,menu!A:A,menu!E:E)</f>
        <v>36</v>
      </c>
      <c r="I4203" s="10">
        <f t="shared" si="65"/>
        <v>72</v>
      </c>
      <c r="K4203" s="10"/>
      <c r="L4203" s="5"/>
    </row>
    <row r="4204" spans="1:12" x14ac:dyDescent="0.25">
      <c r="A4204" s="5" t="s">
        <v>1413</v>
      </c>
      <c r="B4204" s="5" t="s">
        <v>1411</v>
      </c>
      <c r="C4204" s="5" t="s">
        <v>22</v>
      </c>
      <c r="D4204" s="21">
        <v>5</v>
      </c>
      <c r="E4204" s="12">
        <v>495</v>
      </c>
      <c r="F4204" s="10" t="str">
        <f>_xlfn.XLOOKUP(C4204,menu!A:A,menu!B:B)</f>
        <v>Chicken Burger</v>
      </c>
      <c r="G4204" s="10" t="str">
        <f>_xlfn.XLOOKUP(C4204,menu!A:A,menu!C:C)</f>
        <v>Burger</v>
      </c>
      <c r="H4204" s="10">
        <f>_xlfn.XLOOKUP(C4204,menu!A:A,menu!E:E)</f>
        <v>30</v>
      </c>
      <c r="I4204" s="10">
        <f t="shared" si="65"/>
        <v>150</v>
      </c>
      <c r="K4204" s="10"/>
      <c r="L4204" s="5"/>
    </row>
    <row r="4205" spans="1:12" x14ac:dyDescent="0.25">
      <c r="A4205" s="5" t="s">
        <v>1412</v>
      </c>
      <c r="B4205" s="5" t="s">
        <v>1411</v>
      </c>
      <c r="C4205" s="5" t="s">
        <v>31</v>
      </c>
      <c r="D4205" s="21">
        <v>1</v>
      </c>
      <c r="E4205" s="12">
        <v>89</v>
      </c>
      <c r="F4205" s="10" t="str">
        <f>_xlfn.XLOOKUP(C4205,menu!A:A,menu!B:B)</f>
        <v>Chicken Roll</v>
      </c>
      <c r="G4205" s="10" t="str">
        <f>_xlfn.XLOOKUP(C4205,menu!A:A,menu!C:C)</f>
        <v>Rolls</v>
      </c>
      <c r="H4205" s="10">
        <f>_xlfn.XLOOKUP(C4205,menu!A:A,menu!E:E)</f>
        <v>27</v>
      </c>
      <c r="I4205" s="10">
        <f t="shared" si="65"/>
        <v>27</v>
      </c>
      <c r="K4205" s="10"/>
      <c r="L4205" s="5"/>
    </row>
    <row r="4206" spans="1:12" x14ac:dyDescent="0.25">
      <c r="A4206" s="5" t="s">
        <v>1410</v>
      </c>
      <c r="B4206" s="5" t="s">
        <v>1406</v>
      </c>
      <c r="C4206" s="5" t="s">
        <v>12</v>
      </c>
      <c r="D4206" s="21">
        <v>2</v>
      </c>
      <c r="E4206" s="12">
        <v>158</v>
      </c>
      <c r="F4206" s="10" t="str">
        <f>_xlfn.XLOOKUP(C4206,menu!A:A,menu!B:B)</f>
        <v>Veg Momos</v>
      </c>
      <c r="G4206" s="10" t="str">
        <f>_xlfn.XLOOKUP(C4206,menu!A:A,menu!C:C)</f>
        <v>Momos</v>
      </c>
      <c r="H4206" s="10">
        <f>_xlfn.XLOOKUP(C4206,menu!A:A,menu!E:E)</f>
        <v>24</v>
      </c>
      <c r="I4206" s="10">
        <f t="shared" si="65"/>
        <v>48</v>
      </c>
      <c r="K4206" s="10"/>
      <c r="L4206" s="5"/>
    </row>
    <row r="4207" spans="1:12" x14ac:dyDescent="0.25">
      <c r="A4207" s="5" t="s">
        <v>1409</v>
      </c>
      <c r="B4207" s="5" t="s">
        <v>1406</v>
      </c>
      <c r="C4207" s="5" t="s">
        <v>10</v>
      </c>
      <c r="D4207" s="21">
        <v>1</v>
      </c>
      <c r="E4207" s="12">
        <v>119</v>
      </c>
      <c r="F4207" s="10" t="str">
        <f>_xlfn.XLOOKUP(C4207,menu!A:A,menu!B:B)</f>
        <v>Chicken Sandwich</v>
      </c>
      <c r="G4207" s="10" t="str">
        <f>_xlfn.XLOOKUP(C4207,menu!A:A,menu!C:C)</f>
        <v>Sandwich</v>
      </c>
      <c r="H4207" s="10">
        <f>_xlfn.XLOOKUP(C4207,menu!A:A,menu!E:E)</f>
        <v>36</v>
      </c>
      <c r="I4207" s="10">
        <f t="shared" si="65"/>
        <v>36</v>
      </c>
      <c r="K4207" s="10"/>
      <c r="L4207" s="5"/>
    </row>
    <row r="4208" spans="1:12" x14ac:dyDescent="0.25">
      <c r="A4208" s="5" t="s">
        <v>1408</v>
      </c>
      <c r="B4208" s="5" t="s">
        <v>1406</v>
      </c>
      <c r="C4208" s="5" t="s">
        <v>26</v>
      </c>
      <c r="D4208" s="21">
        <v>1</v>
      </c>
      <c r="E4208" s="12">
        <v>59</v>
      </c>
      <c r="F4208" s="10" t="str">
        <f>_xlfn.XLOOKUP(C4208,menu!A:A,menu!B:B)</f>
        <v>Veg Roll</v>
      </c>
      <c r="G4208" s="10" t="str">
        <f>_xlfn.XLOOKUP(C4208,menu!A:A,menu!C:C)</f>
        <v>Rolls</v>
      </c>
      <c r="H4208" s="10">
        <f>_xlfn.XLOOKUP(C4208,menu!A:A,menu!E:E)</f>
        <v>18</v>
      </c>
      <c r="I4208" s="10">
        <f t="shared" si="65"/>
        <v>18</v>
      </c>
      <c r="K4208" s="10"/>
      <c r="L4208" s="5"/>
    </row>
    <row r="4209" spans="1:12" x14ac:dyDescent="0.25">
      <c r="A4209" s="5" t="s">
        <v>1407</v>
      </c>
      <c r="B4209" s="5" t="s">
        <v>1406</v>
      </c>
      <c r="C4209" s="5" t="s">
        <v>48</v>
      </c>
      <c r="D4209" s="21">
        <v>1</v>
      </c>
      <c r="E4209" s="12">
        <v>159</v>
      </c>
      <c r="F4209" s="10" t="str">
        <f>_xlfn.XLOOKUP(C4209,menu!A:A,menu!B:B)</f>
        <v>Chicken Lollipop</v>
      </c>
      <c r="G4209" s="10" t="str">
        <f>_xlfn.XLOOKUP(C4209,menu!A:A,menu!C:C)</f>
        <v>Starters</v>
      </c>
      <c r="H4209" s="10">
        <f>_xlfn.XLOOKUP(C4209,menu!A:A,menu!E:E)</f>
        <v>48</v>
      </c>
      <c r="I4209" s="10">
        <f t="shared" si="65"/>
        <v>48</v>
      </c>
      <c r="K4209" s="10"/>
      <c r="L4209" s="5"/>
    </row>
    <row r="4210" spans="1:12" x14ac:dyDescent="0.25">
      <c r="A4210" s="5" t="s">
        <v>1405</v>
      </c>
      <c r="B4210" s="5" t="s">
        <v>1402</v>
      </c>
      <c r="C4210" s="5" t="s">
        <v>8</v>
      </c>
      <c r="D4210" s="21">
        <v>1</v>
      </c>
      <c r="E4210" s="12">
        <v>99</v>
      </c>
      <c r="F4210" s="10" t="str">
        <f>_xlfn.XLOOKUP(C4210,menu!A:A,menu!B:B)</f>
        <v>Paneer Sandwich</v>
      </c>
      <c r="G4210" s="10" t="str">
        <f>_xlfn.XLOOKUP(C4210,menu!A:A,menu!C:C)</f>
        <v>Sandwich</v>
      </c>
      <c r="H4210" s="10">
        <f>_xlfn.XLOOKUP(C4210,menu!A:A,menu!E:E)</f>
        <v>30</v>
      </c>
      <c r="I4210" s="10">
        <f t="shared" si="65"/>
        <v>30</v>
      </c>
      <c r="K4210" s="10"/>
      <c r="L4210" s="5"/>
    </row>
    <row r="4211" spans="1:12" x14ac:dyDescent="0.25">
      <c r="A4211" s="5" t="s">
        <v>1404</v>
      </c>
      <c r="B4211" s="5" t="s">
        <v>1402</v>
      </c>
      <c r="C4211" s="5" t="s">
        <v>26</v>
      </c>
      <c r="D4211" s="21">
        <v>1</v>
      </c>
      <c r="E4211" s="12">
        <v>59</v>
      </c>
      <c r="F4211" s="10" t="str">
        <f>_xlfn.XLOOKUP(C4211,menu!A:A,menu!B:B)</f>
        <v>Veg Roll</v>
      </c>
      <c r="G4211" s="10" t="str">
        <f>_xlfn.XLOOKUP(C4211,menu!A:A,menu!C:C)</f>
        <v>Rolls</v>
      </c>
      <c r="H4211" s="10">
        <f>_xlfn.XLOOKUP(C4211,menu!A:A,menu!E:E)</f>
        <v>18</v>
      </c>
      <c r="I4211" s="10">
        <f t="shared" si="65"/>
        <v>18</v>
      </c>
      <c r="K4211" s="10"/>
      <c r="L4211" s="5"/>
    </row>
    <row r="4212" spans="1:12" x14ac:dyDescent="0.25">
      <c r="A4212" s="5" t="s">
        <v>1403</v>
      </c>
      <c r="B4212" s="5" t="s">
        <v>1402</v>
      </c>
      <c r="C4212" s="5" t="s">
        <v>24</v>
      </c>
      <c r="D4212" s="21">
        <v>1</v>
      </c>
      <c r="E4212" s="12">
        <v>89</v>
      </c>
      <c r="F4212" s="10" t="str">
        <f>_xlfn.XLOOKUP(C4212,menu!A:A,menu!B:B)</f>
        <v>Paneer Burger</v>
      </c>
      <c r="G4212" s="10" t="str">
        <f>_xlfn.XLOOKUP(C4212,menu!A:A,menu!C:C)</f>
        <v>Burger</v>
      </c>
      <c r="H4212" s="10">
        <f>_xlfn.XLOOKUP(C4212,menu!A:A,menu!E:E)</f>
        <v>27</v>
      </c>
      <c r="I4212" s="10">
        <f t="shared" si="65"/>
        <v>27</v>
      </c>
      <c r="K4212" s="10"/>
      <c r="L4212" s="5"/>
    </row>
    <row r="4213" spans="1:12" x14ac:dyDescent="0.25">
      <c r="A4213" s="5" t="s">
        <v>1401</v>
      </c>
      <c r="B4213" s="5" t="s">
        <v>1399</v>
      </c>
      <c r="C4213" s="5" t="s">
        <v>54</v>
      </c>
      <c r="D4213" s="21">
        <v>1</v>
      </c>
      <c r="E4213" s="12">
        <v>139</v>
      </c>
      <c r="F4213" s="10" t="str">
        <f>_xlfn.XLOOKUP(C4213,menu!A:A,menu!B:B)</f>
        <v>Chicken Strips</v>
      </c>
      <c r="G4213" s="10" t="str">
        <f>_xlfn.XLOOKUP(C4213,menu!A:A,menu!C:C)</f>
        <v>Starters</v>
      </c>
      <c r="H4213" s="10">
        <f>_xlfn.XLOOKUP(C4213,menu!A:A,menu!E:E)</f>
        <v>42</v>
      </c>
      <c r="I4213" s="10">
        <f t="shared" si="65"/>
        <v>42</v>
      </c>
      <c r="K4213" s="10"/>
      <c r="L4213" s="5"/>
    </row>
    <row r="4214" spans="1:12" x14ac:dyDescent="0.25">
      <c r="A4214" s="5" t="s">
        <v>1400</v>
      </c>
      <c r="B4214" s="5" t="s">
        <v>1399</v>
      </c>
      <c r="C4214" s="5" t="s">
        <v>33</v>
      </c>
      <c r="D4214" s="21">
        <v>3</v>
      </c>
      <c r="E4214" s="12">
        <v>207</v>
      </c>
      <c r="F4214" s="10" t="str">
        <f>_xlfn.XLOOKUP(C4214,menu!A:A,menu!B:B)</f>
        <v>Spring Roll</v>
      </c>
      <c r="G4214" s="10" t="str">
        <f>_xlfn.XLOOKUP(C4214,menu!A:A,menu!C:C)</f>
        <v>Rolls</v>
      </c>
      <c r="H4214" s="10">
        <f>_xlfn.XLOOKUP(C4214,menu!A:A,menu!E:E)</f>
        <v>21</v>
      </c>
      <c r="I4214" s="10">
        <f t="shared" si="65"/>
        <v>63</v>
      </c>
      <c r="K4214" s="10"/>
      <c r="L4214" s="5"/>
    </row>
    <row r="4215" spans="1:12" x14ac:dyDescent="0.25">
      <c r="A4215" s="5" t="s">
        <v>1398</v>
      </c>
      <c r="B4215" s="5" t="s">
        <v>1396</v>
      </c>
      <c r="C4215" s="5" t="s">
        <v>44</v>
      </c>
      <c r="D4215" s="21">
        <v>1</v>
      </c>
      <c r="E4215" s="12">
        <v>159</v>
      </c>
      <c r="F4215" s="10" t="str">
        <f>_xlfn.XLOOKUP(C4215,menu!A:A,menu!B:B)</f>
        <v>Fried Chicken</v>
      </c>
      <c r="G4215" s="10" t="str">
        <f>_xlfn.XLOOKUP(C4215,menu!A:A,menu!C:C)</f>
        <v>Starters</v>
      </c>
      <c r="H4215" s="10">
        <f>_xlfn.XLOOKUP(C4215,menu!A:A,menu!E:E)</f>
        <v>48</v>
      </c>
      <c r="I4215" s="10">
        <f t="shared" si="65"/>
        <v>48</v>
      </c>
      <c r="K4215" s="10"/>
      <c r="L4215" s="5"/>
    </row>
    <row r="4216" spans="1:12" x14ac:dyDescent="0.25">
      <c r="A4216" s="5" t="s">
        <v>1397</v>
      </c>
      <c r="B4216" s="5" t="s">
        <v>1396</v>
      </c>
      <c r="C4216" s="5" t="s">
        <v>59</v>
      </c>
      <c r="D4216" s="21">
        <v>1</v>
      </c>
      <c r="E4216" s="12">
        <v>79</v>
      </c>
      <c r="F4216" s="10" t="str">
        <f>_xlfn.XLOOKUP(C4216,menu!A:A,menu!B:B)</f>
        <v>Blue Curacao Mojito</v>
      </c>
      <c r="G4216" s="10" t="str">
        <f>_xlfn.XLOOKUP(C4216,menu!A:A,menu!C:C)</f>
        <v>Beverages</v>
      </c>
      <c r="H4216" s="10">
        <f>_xlfn.XLOOKUP(C4216,menu!A:A,menu!E:E)</f>
        <v>24</v>
      </c>
      <c r="I4216" s="10">
        <f t="shared" si="65"/>
        <v>24</v>
      </c>
      <c r="K4216" s="10"/>
      <c r="L4216" s="5"/>
    </row>
    <row r="4217" spans="1:12" x14ac:dyDescent="0.25">
      <c r="A4217" s="5" t="s">
        <v>1395</v>
      </c>
      <c r="B4217" s="5" t="s">
        <v>1392</v>
      </c>
      <c r="C4217" s="5" t="s">
        <v>12</v>
      </c>
      <c r="D4217" s="21">
        <v>3</v>
      </c>
      <c r="E4217" s="12">
        <v>237</v>
      </c>
      <c r="F4217" s="10" t="str">
        <f>_xlfn.XLOOKUP(C4217,menu!A:A,menu!B:B)</f>
        <v>Veg Momos</v>
      </c>
      <c r="G4217" s="10" t="str">
        <f>_xlfn.XLOOKUP(C4217,menu!A:A,menu!C:C)</f>
        <v>Momos</v>
      </c>
      <c r="H4217" s="10">
        <f>_xlfn.XLOOKUP(C4217,menu!A:A,menu!E:E)</f>
        <v>24</v>
      </c>
      <c r="I4217" s="10">
        <f t="shared" si="65"/>
        <v>72</v>
      </c>
      <c r="K4217" s="10"/>
      <c r="L4217" s="5"/>
    </row>
    <row r="4218" spans="1:12" x14ac:dyDescent="0.25">
      <c r="A4218" s="5" t="s">
        <v>1394</v>
      </c>
      <c r="B4218" s="5" t="s">
        <v>1392</v>
      </c>
      <c r="C4218" s="5" t="s">
        <v>50</v>
      </c>
      <c r="D4218" s="21">
        <v>2</v>
      </c>
      <c r="E4218" s="12">
        <v>298</v>
      </c>
      <c r="F4218" s="10" t="str">
        <f>_xlfn.XLOOKUP(C4218,menu!A:A,menu!B:B)</f>
        <v>Grab Lollipop</v>
      </c>
      <c r="G4218" s="10" t="str">
        <f>_xlfn.XLOOKUP(C4218,menu!A:A,menu!C:C)</f>
        <v>Starters</v>
      </c>
      <c r="H4218" s="10">
        <f>_xlfn.XLOOKUP(C4218,menu!A:A,menu!E:E)</f>
        <v>45</v>
      </c>
      <c r="I4218" s="10">
        <f t="shared" si="65"/>
        <v>90</v>
      </c>
      <c r="K4218" s="10"/>
      <c r="L4218" s="5"/>
    </row>
    <row r="4219" spans="1:12" x14ac:dyDescent="0.25">
      <c r="A4219" s="5" t="s">
        <v>1393</v>
      </c>
      <c r="B4219" s="5" t="s">
        <v>1392</v>
      </c>
      <c r="C4219" s="5" t="s">
        <v>8</v>
      </c>
      <c r="D4219" s="21">
        <v>2</v>
      </c>
      <c r="E4219" s="12">
        <v>198</v>
      </c>
      <c r="F4219" s="10" t="str">
        <f>_xlfn.XLOOKUP(C4219,menu!A:A,menu!B:B)</f>
        <v>Paneer Sandwich</v>
      </c>
      <c r="G4219" s="10" t="str">
        <f>_xlfn.XLOOKUP(C4219,menu!A:A,menu!C:C)</f>
        <v>Sandwich</v>
      </c>
      <c r="H4219" s="10">
        <f>_xlfn.XLOOKUP(C4219,menu!A:A,menu!E:E)</f>
        <v>30</v>
      </c>
      <c r="I4219" s="10">
        <f t="shared" si="65"/>
        <v>60</v>
      </c>
      <c r="K4219" s="10"/>
      <c r="L4219" s="5"/>
    </row>
    <row r="4220" spans="1:12" x14ac:dyDescent="0.25">
      <c r="A4220" s="5" t="s">
        <v>1391</v>
      </c>
      <c r="B4220" s="5" t="s">
        <v>1389</v>
      </c>
      <c r="C4220" s="5" t="s">
        <v>10</v>
      </c>
      <c r="D4220" s="21">
        <v>1</v>
      </c>
      <c r="E4220" s="12">
        <v>119</v>
      </c>
      <c r="F4220" s="10" t="str">
        <f>_xlfn.XLOOKUP(C4220,menu!A:A,menu!B:B)</f>
        <v>Chicken Sandwich</v>
      </c>
      <c r="G4220" s="10" t="str">
        <f>_xlfn.XLOOKUP(C4220,menu!A:A,menu!C:C)</f>
        <v>Sandwich</v>
      </c>
      <c r="H4220" s="10">
        <f>_xlfn.XLOOKUP(C4220,menu!A:A,menu!E:E)</f>
        <v>36</v>
      </c>
      <c r="I4220" s="10">
        <f t="shared" si="65"/>
        <v>36</v>
      </c>
      <c r="K4220" s="10"/>
      <c r="L4220" s="5"/>
    </row>
    <row r="4221" spans="1:12" x14ac:dyDescent="0.25">
      <c r="A4221" s="5" t="s">
        <v>1390</v>
      </c>
      <c r="B4221" s="5" t="s">
        <v>1389</v>
      </c>
      <c r="C4221" s="5" t="s">
        <v>52</v>
      </c>
      <c r="D4221" s="21">
        <v>2</v>
      </c>
      <c r="E4221" s="12">
        <v>198</v>
      </c>
      <c r="F4221" s="10" t="str">
        <f>_xlfn.XLOOKUP(C4221,menu!A:A,menu!B:B)</f>
        <v>French Fries</v>
      </c>
      <c r="G4221" s="10" t="str">
        <f>_xlfn.XLOOKUP(C4221,menu!A:A,menu!C:C)</f>
        <v>Starters</v>
      </c>
      <c r="H4221" s="10">
        <f>_xlfn.XLOOKUP(C4221,menu!A:A,menu!E:E)</f>
        <v>30</v>
      </c>
      <c r="I4221" s="10">
        <f t="shared" si="65"/>
        <v>60</v>
      </c>
      <c r="K4221" s="10"/>
      <c r="L4221" s="5"/>
    </row>
    <row r="4222" spans="1:12" x14ac:dyDescent="0.25">
      <c r="A4222" s="5" t="s">
        <v>1388</v>
      </c>
      <c r="B4222" s="5" t="s">
        <v>1386</v>
      </c>
      <c r="C4222" s="5" t="s">
        <v>42</v>
      </c>
      <c r="D4222" s="21">
        <v>4</v>
      </c>
      <c r="E4222" s="12">
        <v>596</v>
      </c>
      <c r="F4222" s="10" t="str">
        <f>_xlfn.XLOOKUP(C4222,menu!A:A,menu!B:B)</f>
        <v>Chicken Popcorn</v>
      </c>
      <c r="G4222" s="10" t="str">
        <f>_xlfn.XLOOKUP(C4222,menu!A:A,menu!C:C)</f>
        <v>Starters</v>
      </c>
      <c r="H4222" s="10">
        <f>_xlfn.XLOOKUP(C4222,menu!A:A,menu!E:E)</f>
        <v>45</v>
      </c>
      <c r="I4222" s="10">
        <f t="shared" si="65"/>
        <v>180</v>
      </c>
      <c r="K4222" s="10"/>
      <c r="L4222" s="5"/>
    </row>
    <row r="4223" spans="1:12" x14ac:dyDescent="0.25">
      <c r="A4223" s="5" t="s">
        <v>1387</v>
      </c>
      <c r="B4223" s="5" t="s">
        <v>1386</v>
      </c>
      <c r="C4223" s="5" t="s">
        <v>22</v>
      </c>
      <c r="D4223" s="21">
        <v>1</v>
      </c>
      <c r="E4223" s="12">
        <v>99</v>
      </c>
      <c r="F4223" s="10" t="str">
        <f>_xlfn.XLOOKUP(C4223,menu!A:A,menu!B:B)</f>
        <v>Chicken Burger</v>
      </c>
      <c r="G4223" s="10" t="str">
        <f>_xlfn.XLOOKUP(C4223,menu!A:A,menu!C:C)</f>
        <v>Burger</v>
      </c>
      <c r="H4223" s="10">
        <f>_xlfn.XLOOKUP(C4223,menu!A:A,menu!E:E)</f>
        <v>30</v>
      </c>
      <c r="I4223" s="10">
        <f t="shared" si="65"/>
        <v>30</v>
      </c>
      <c r="K4223" s="10"/>
      <c r="L4223" s="5"/>
    </row>
    <row r="4224" spans="1:12" x14ac:dyDescent="0.25">
      <c r="A4224" s="5" t="s">
        <v>1385</v>
      </c>
      <c r="B4224" s="5" t="s">
        <v>1383</v>
      </c>
      <c r="C4224" s="5" t="s">
        <v>44</v>
      </c>
      <c r="D4224" s="21">
        <v>1</v>
      </c>
      <c r="E4224" s="12">
        <v>159</v>
      </c>
      <c r="F4224" s="10" t="str">
        <f>_xlfn.XLOOKUP(C4224,menu!A:A,menu!B:B)</f>
        <v>Fried Chicken</v>
      </c>
      <c r="G4224" s="10" t="str">
        <f>_xlfn.XLOOKUP(C4224,menu!A:A,menu!C:C)</f>
        <v>Starters</v>
      </c>
      <c r="H4224" s="10">
        <f>_xlfn.XLOOKUP(C4224,menu!A:A,menu!E:E)</f>
        <v>48</v>
      </c>
      <c r="I4224" s="10">
        <f t="shared" si="65"/>
        <v>48</v>
      </c>
      <c r="K4224" s="10"/>
      <c r="L4224" s="5"/>
    </row>
    <row r="4225" spans="1:12" x14ac:dyDescent="0.25">
      <c r="A4225" s="5" t="s">
        <v>1384</v>
      </c>
      <c r="B4225" s="5" t="s">
        <v>1383</v>
      </c>
      <c r="C4225" s="5" t="s">
        <v>15</v>
      </c>
      <c r="D4225" s="21">
        <v>1</v>
      </c>
      <c r="E4225" s="12">
        <v>99</v>
      </c>
      <c r="F4225" s="10" t="str">
        <f>_xlfn.XLOOKUP(C4225,menu!A:A,menu!B:B)</f>
        <v>Chicken Momos</v>
      </c>
      <c r="G4225" s="10" t="str">
        <f>_xlfn.XLOOKUP(C4225,menu!A:A,menu!C:C)</f>
        <v>Momos</v>
      </c>
      <c r="H4225" s="10">
        <f>_xlfn.XLOOKUP(C4225,menu!A:A,menu!E:E)</f>
        <v>30</v>
      </c>
      <c r="I4225" s="10">
        <f t="shared" si="65"/>
        <v>30</v>
      </c>
      <c r="K4225" s="10"/>
      <c r="L4225" s="5"/>
    </row>
    <row r="4226" spans="1:12" x14ac:dyDescent="0.25">
      <c r="A4226" s="5" t="s">
        <v>1382</v>
      </c>
      <c r="B4226" s="5" t="s">
        <v>1378</v>
      </c>
      <c r="C4226" s="5" t="s">
        <v>40</v>
      </c>
      <c r="D4226" s="21">
        <v>1</v>
      </c>
      <c r="E4226" s="12">
        <v>99</v>
      </c>
      <c r="F4226" s="10" t="str">
        <f>_xlfn.XLOOKUP(C4226,menu!A:A,menu!B:B)</f>
        <v>Veg Nuggets</v>
      </c>
      <c r="G4226" s="10" t="str">
        <f>_xlfn.XLOOKUP(C4226,menu!A:A,menu!C:C)</f>
        <v>Starters</v>
      </c>
      <c r="H4226" s="10">
        <f>_xlfn.XLOOKUP(C4226,menu!A:A,menu!E:E)</f>
        <v>30</v>
      </c>
      <c r="I4226" s="10">
        <f t="shared" si="65"/>
        <v>30</v>
      </c>
      <c r="K4226" s="10"/>
      <c r="L4226" s="5"/>
    </row>
    <row r="4227" spans="1:12" x14ac:dyDescent="0.25">
      <c r="A4227" s="5" t="s">
        <v>1381</v>
      </c>
      <c r="B4227" s="5" t="s">
        <v>1378</v>
      </c>
      <c r="C4227" s="5" t="s">
        <v>15</v>
      </c>
      <c r="D4227" s="21">
        <v>1</v>
      </c>
      <c r="E4227" s="12">
        <v>99</v>
      </c>
      <c r="F4227" s="10" t="str">
        <f>_xlfn.XLOOKUP(C4227,menu!A:A,menu!B:B)</f>
        <v>Chicken Momos</v>
      </c>
      <c r="G4227" s="10" t="str">
        <f>_xlfn.XLOOKUP(C4227,menu!A:A,menu!C:C)</f>
        <v>Momos</v>
      </c>
      <c r="H4227" s="10">
        <f>_xlfn.XLOOKUP(C4227,menu!A:A,menu!E:E)</f>
        <v>30</v>
      </c>
      <c r="I4227" s="10">
        <f t="shared" ref="I4227:I4290" si="66">D4227*H4227</f>
        <v>30</v>
      </c>
      <c r="K4227" s="10"/>
      <c r="L4227" s="5"/>
    </row>
    <row r="4228" spans="1:12" x14ac:dyDescent="0.25">
      <c r="A4228" s="5" t="s">
        <v>1380</v>
      </c>
      <c r="B4228" s="5" t="s">
        <v>1378</v>
      </c>
      <c r="C4228" s="5" t="s">
        <v>29</v>
      </c>
      <c r="D4228" s="21">
        <v>2</v>
      </c>
      <c r="E4228" s="12">
        <v>158</v>
      </c>
      <c r="F4228" s="10" t="str">
        <f>_xlfn.XLOOKUP(C4228,menu!A:A,menu!B:B)</f>
        <v>Paneer Roll</v>
      </c>
      <c r="G4228" s="10" t="str">
        <f>_xlfn.XLOOKUP(C4228,menu!A:A,menu!C:C)</f>
        <v>Rolls</v>
      </c>
      <c r="H4228" s="10">
        <f>_xlfn.XLOOKUP(C4228,menu!A:A,menu!E:E)</f>
        <v>24</v>
      </c>
      <c r="I4228" s="10">
        <f t="shared" si="66"/>
        <v>48</v>
      </c>
      <c r="K4228" s="10"/>
      <c r="L4228" s="5"/>
    </row>
    <row r="4229" spans="1:12" x14ac:dyDescent="0.25">
      <c r="A4229" s="5" t="s">
        <v>1379</v>
      </c>
      <c r="B4229" s="5" t="s">
        <v>1378</v>
      </c>
      <c r="C4229" s="5" t="s">
        <v>61</v>
      </c>
      <c r="D4229" s="21">
        <v>1</v>
      </c>
      <c r="E4229" s="12">
        <v>79</v>
      </c>
      <c r="F4229" s="10" t="str">
        <f>_xlfn.XLOOKUP(C4229,menu!A:A,menu!B:B)</f>
        <v>Watermelon Mojito</v>
      </c>
      <c r="G4229" s="10" t="str">
        <f>_xlfn.XLOOKUP(C4229,menu!A:A,menu!C:C)</f>
        <v>Beverages</v>
      </c>
      <c r="H4229" s="10">
        <f>_xlfn.XLOOKUP(C4229,menu!A:A,menu!E:E)</f>
        <v>24</v>
      </c>
      <c r="I4229" s="10">
        <f t="shared" si="66"/>
        <v>24</v>
      </c>
      <c r="K4229" s="10"/>
      <c r="L4229" s="5"/>
    </row>
    <row r="4230" spans="1:12" x14ac:dyDescent="0.25">
      <c r="A4230" s="5" t="s">
        <v>1377</v>
      </c>
      <c r="B4230" s="5" t="s">
        <v>1376</v>
      </c>
      <c r="C4230" s="5" t="s">
        <v>31</v>
      </c>
      <c r="D4230" s="21">
        <v>1</v>
      </c>
      <c r="E4230" s="12">
        <v>89</v>
      </c>
      <c r="F4230" s="10" t="str">
        <f>_xlfn.XLOOKUP(C4230,menu!A:A,menu!B:B)</f>
        <v>Chicken Roll</v>
      </c>
      <c r="G4230" s="10" t="str">
        <f>_xlfn.XLOOKUP(C4230,menu!A:A,menu!C:C)</f>
        <v>Rolls</v>
      </c>
      <c r="H4230" s="10">
        <f>_xlfn.XLOOKUP(C4230,menu!A:A,menu!E:E)</f>
        <v>27</v>
      </c>
      <c r="I4230" s="10">
        <f t="shared" si="66"/>
        <v>27</v>
      </c>
      <c r="K4230" s="10"/>
      <c r="L4230" s="5"/>
    </row>
    <row r="4231" spans="1:12" x14ac:dyDescent="0.25">
      <c r="A4231" s="5" t="s">
        <v>1375</v>
      </c>
      <c r="B4231" s="5" t="s">
        <v>1371</v>
      </c>
      <c r="C4231" s="5" t="s">
        <v>63</v>
      </c>
      <c r="D4231" s="21">
        <v>5</v>
      </c>
      <c r="E4231" s="12">
        <v>395</v>
      </c>
      <c r="F4231" s="10" t="str">
        <f>_xlfn.XLOOKUP(C4231,menu!A:A,menu!B:B)</f>
        <v>Virgin Mojito</v>
      </c>
      <c r="G4231" s="10" t="str">
        <f>_xlfn.XLOOKUP(C4231,menu!A:A,menu!C:C)</f>
        <v>Beverages</v>
      </c>
      <c r="H4231" s="10">
        <f>_xlfn.XLOOKUP(C4231,menu!A:A,menu!E:E)</f>
        <v>24</v>
      </c>
      <c r="I4231" s="10">
        <f t="shared" si="66"/>
        <v>120</v>
      </c>
      <c r="K4231" s="10"/>
      <c r="L4231" s="5"/>
    </row>
    <row r="4232" spans="1:12" x14ac:dyDescent="0.25">
      <c r="A4232" s="5" t="s">
        <v>1374</v>
      </c>
      <c r="B4232" s="5" t="s">
        <v>1371</v>
      </c>
      <c r="C4232" s="5" t="s">
        <v>65</v>
      </c>
      <c r="D4232" s="21">
        <v>1</v>
      </c>
      <c r="E4232" s="12">
        <v>49</v>
      </c>
      <c r="F4232" s="10" t="str">
        <f>_xlfn.XLOOKUP(C4232,menu!A:A,menu!B:B)</f>
        <v>Lemon Juice</v>
      </c>
      <c r="G4232" s="10" t="str">
        <f>_xlfn.XLOOKUP(C4232,menu!A:A,menu!C:C)</f>
        <v>Beverages</v>
      </c>
      <c r="H4232" s="10">
        <f>_xlfn.XLOOKUP(C4232,menu!A:A,menu!E:E)</f>
        <v>15</v>
      </c>
      <c r="I4232" s="10">
        <f t="shared" si="66"/>
        <v>15</v>
      </c>
      <c r="K4232" s="10"/>
      <c r="L4232" s="5"/>
    </row>
    <row r="4233" spans="1:12" x14ac:dyDescent="0.25">
      <c r="A4233" s="5" t="s">
        <v>1373</v>
      </c>
      <c r="B4233" s="5" t="s">
        <v>1371</v>
      </c>
      <c r="C4233" s="5" t="s">
        <v>22</v>
      </c>
      <c r="D4233" s="21">
        <v>2</v>
      </c>
      <c r="E4233" s="12">
        <v>198</v>
      </c>
      <c r="F4233" s="10" t="str">
        <f>_xlfn.XLOOKUP(C4233,menu!A:A,menu!B:B)</f>
        <v>Chicken Burger</v>
      </c>
      <c r="G4233" s="10" t="str">
        <f>_xlfn.XLOOKUP(C4233,menu!A:A,menu!C:C)</f>
        <v>Burger</v>
      </c>
      <c r="H4233" s="10">
        <f>_xlfn.XLOOKUP(C4233,menu!A:A,menu!E:E)</f>
        <v>30</v>
      </c>
      <c r="I4233" s="10">
        <f t="shared" si="66"/>
        <v>60</v>
      </c>
      <c r="K4233" s="10"/>
      <c r="L4233" s="5"/>
    </row>
    <row r="4234" spans="1:12" x14ac:dyDescent="0.25">
      <c r="A4234" s="5" t="s">
        <v>1372</v>
      </c>
      <c r="B4234" s="5" t="s">
        <v>1371</v>
      </c>
      <c r="C4234" s="5" t="s">
        <v>31</v>
      </c>
      <c r="D4234" s="21">
        <v>1</v>
      </c>
      <c r="E4234" s="12">
        <v>89</v>
      </c>
      <c r="F4234" s="10" t="str">
        <f>_xlfn.XLOOKUP(C4234,menu!A:A,menu!B:B)</f>
        <v>Chicken Roll</v>
      </c>
      <c r="G4234" s="10" t="str">
        <f>_xlfn.XLOOKUP(C4234,menu!A:A,menu!C:C)</f>
        <v>Rolls</v>
      </c>
      <c r="H4234" s="10">
        <f>_xlfn.XLOOKUP(C4234,menu!A:A,menu!E:E)</f>
        <v>27</v>
      </c>
      <c r="I4234" s="10">
        <f t="shared" si="66"/>
        <v>27</v>
      </c>
      <c r="K4234" s="10"/>
      <c r="L4234" s="5"/>
    </row>
    <row r="4235" spans="1:12" x14ac:dyDescent="0.25">
      <c r="A4235" s="5" t="s">
        <v>1370</v>
      </c>
      <c r="B4235" s="5" t="s">
        <v>1369</v>
      </c>
      <c r="C4235" s="5" t="s">
        <v>56</v>
      </c>
      <c r="D4235" s="21">
        <v>1</v>
      </c>
      <c r="E4235" s="12">
        <v>79</v>
      </c>
      <c r="F4235" s="10" t="str">
        <f>_xlfn.XLOOKUP(C4235,menu!A:A,menu!B:B)</f>
        <v>Mint Mojito</v>
      </c>
      <c r="G4235" s="10" t="str">
        <f>_xlfn.XLOOKUP(C4235,menu!A:A,menu!C:C)</f>
        <v>Beverages</v>
      </c>
      <c r="H4235" s="10">
        <f>_xlfn.XLOOKUP(C4235,menu!A:A,menu!E:E)</f>
        <v>24</v>
      </c>
      <c r="I4235" s="10">
        <f t="shared" si="66"/>
        <v>24</v>
      </c>
      <c r="K4235" s="10"/>
      <c r="L4235" s="5"/>
    </row>
    <row r="4236" spans="1:12" x14ac:dyDescent="0.25">
      <c r="A4236" s="5" t="s">
        <v>1368</v>
      </c>
      <c r="B4236" s="5" t="s">
        <v>1365</v>
      </c>
      <c r="C4236" s="5" t="s">
        <v>65</v>
      </c>
      <c r="D4236" s="21">
        <v>5</v>
      </c>
      <c r="E4236" s="12">
        <v>245</v>
      </c>
      <c r="F4236" s="10" t="str">
        <f>_xlfn.XLOOKUP(C4236,menu!A:A,menu!B:B)</f>
        <v>Lemon Juice</v>
      </c>
      <c r="G4236" s="10" t="str">
        <f>_xlfn.XLOOKUP(C4236,menu!A:A,menu!C:C)</f>
        <v>Beverages</v>
      </c>
      <c r="H4236" s="10">
        <f>_xlfn.XLOOKUP(C4236,menu!A:A,menu!E:E)</f>
        <v>15</v>
      </c>
      <c r="I4236" s="10">
        <f t="shared" si="66"/>
        <v>75</v>
      </c>
      <c r="K4236" s="10"/>
      <c r="L4236" s="5"/>
    </row>
    <row r="4237" spans="1:12" x14ac:dyDescent="0.25">
      <c r="A4237" s="5" t="s">
        <v>1367</v>
      </c>
      <c r="B4237" s="5" t="s">
        <v>1365</v>
      </c>
      <c r="C4237" s="5" t="s">
        <v>33</v>
      </c>
      <c r="D4237" s="21">
        <v>2</v>
      </c>
      <c r="E4237" s="12">
        <v>138</v>
      </c>
      <c r="F4237" s="10" t="str">
        <f>_xlfn.XLOOKUP(C4237,menu!A:A,menu!B:B)</f>
        <v>Spring Roll</v>
      </c>
      <c r="G4237" s="10" t="str">
        <f>_xlfn.XLOOKUP(C4237,menu!A:A,menu!C:C)</f>
        <v>Rolls</v>
      </c>
      <c r="H4237" s="10">
        <f>_xlfn.XLOOKUP(C4237,menu!A:A,menu!E:E)</f>
        <v>21</v>
      </c>
      <c r="I4237" s="10">
        <f t="shared" si="66"/>
        <v>42</v>
      </c>
      <c r="K4237" s="10"/>
      <c r="L4237" s="5"/>
    </row>
    <row r="4238" spans="1:12" x14ac:dyDescent="0.25">
      <c r="A4238" s="5" t="s">
        <v>1366</v>
      </c>
      <c r="B4238" s="5" t="s">
        <v>1365</v>
      </c>
      <c r="C4238" s="5" t="s">
        <v>31</v>
      </c>
      <c r="D4238" s="21">
        <v>1</v>
      </c>
      <c r="E4238" s="12">
        <v>89</v>
      </c>
      <c r="F4238" s="10" t="str">
        <f>_xlfn.XLOOKUP(C4238,menu!A:A,menu!B:B)</f>
        <v>Chicken Roll</v>
      </c>
      <c r="G4238" s="10" t="str">
        <f>_xlfn.XLOOKUP(C4238,menu!A:A,menu!C:C)</f>
        <v>Rolls</v>
      </c>
      <c r="H4238" s="10">
        <f>_xlfn.XLOOKUP(C4238,menu!A:A,menu!E:E)</f>
        <v>27</v>
      </c>
      <c r="I4238" s="10">
        <f t="shared" si="66"/>
        <v>27</v>
      </c>
      <c r="K4238" s="10"/>
      <c r="L4238" s="5"/>
    </row>
    <row r="4239" spans="1:12" x14ac:dyDescent="0.25">
      <c r="A4239" s="5" t="s">
        <v>1364</v>
      </c>
      <c r="B4239" s="5" t="s">
        <v>1360</v>
      </c>
      <c r="C4239" s="5" t="s">
        <v>40</v>
      </c>
      <c r="D4239" s="21">
        <v>1</v>
      </c>
      <c r="E4239" s="12">
        <v>99</v>
      </c>
      <c r="F4239" s="10" t="str">
        <f>_xlfn.XLOOKUP(C4239,menu!A:A,menu!B:B)</f>
        <v>Veg Nuggets</v>
      </c>
      <c r="G4239" s="10" t="str">
        <f>_xlfn.XLOOKUP(C4239,menu!A:A,menu!C:C)</f>
        <v>Starters</v>
      </c>
      <c r="H4239" s="10">
        <f>_xlfn.XLOOKUP(C4239,menu!A:A,menu!E:E)</f>
        <v>30</v>
      </c>
      <c r="I4239" s="10">
        <f t="shared" si="66"/>
        <v>30</v>
      </c>
      <c r="K4239" s="10"/>
      <c r="L4239" s="5"/>
    </row>
    <row r="4240" spans="1:12" x14ac:dyDescent="0.25">
      <c r="A4240" s="5" t="s">
        <v>1363</v>
      </c>
      <c r="B4240" s="5" t="s">
        <v>1360</v>
      </c>
      <c r="C4240" s="5" t="s">
        <v>52</v>
      </c>
      <c r="D4240" s="21">
        <v>3</v>
      </c>
      <c r="E4240" s="12">
        <v>297</v>
      </c>
      <c r="F4240" s="10" t="str">
        <f>_xlfn.XLOOKUP(C4240,menu!A:A,menu!B:B)</f>
        <v>French Fries</v>
      </c>
      <c r="G4240" s="10" t="str">
        <f>_xlfn.XLOOKUP(C4240,menu!A:A,menu!C:C)</f>
        <v>Starters</v>
      </c>
      <c r="H4240" s="10">
        <f>_xlfn.XLOOKUP(C4240,menu!A:A,menu!E:E)</f>
        <v>30</v>
      </c>
      <c r="I4240" s="10">
        <f t="shared" si="66"/>
        <v>90</v>
      </c>
      <c r="K4240" s="10"/>
      <c r="L4240" s="5"/>
    </row>
    <row r="4241" spans="1:12" x14ac:dyDescent="0.25">
      <c r="A4241" s="5" t="s">
        <v>1362</v>
      </c>
      <c r="B4241" s="5" t="s">
        <v>1360</v>
      </c>
      <c r="C4241" s="5" t="s">
        <v>54</v>
      </c>
      <c r="D4241" s="21">
        <v>1</v>
      </c>
      <c r="E4241" s="12">
        <v>139</v>
      </c>
      <c r="F4241" s="10" t="str">
        <f>_xlfn.XLOOKUP(C4241,menu!A:A,menu!B:B)</f>
        <v>Chicken Strips</v>
      </c>
      <c r="G4241" s="10" t="str">
        <f>_xlfn.XLOOKUP(C4241,menu!A:A,menu!C:C)</f>
        <v>Starters</v>
      </c>
      <c r="H4241" s="10">
        <f>_xlfn.XLOOKUP(C4241,menu!A:A,menu!E:E)</f>
        <v>42</v>
      </c>
      <c r="I4241" s="10">
        <f t="shared" si="66"/>
        <v>42</v>
      </c>
      <c r="K4241" s="10"/>
      <c r="L4241" s="5"/>
    </row>
    <row r="4242" spans="1:12" x14ac:dyDescent="0.25">
      <c r="A4242" s="5" t="s">
        <v>1361</v>
      </c>
      <c r="B4242" s="5" t="s">
        <v>1360</v>
      </c>
      <c r="C4242" s="5" t="s">
        <v>5</v>
      </c>
      <c r="D4242" s="21">
        <v>3</v>
      </c>
      <c r="E4242" s="12">
        <v>237</v>
      </c>
      <c r="F4242" s="10" t="str">
        <f>_xlfn.XLOOKUP(C4242,menu!A:A,menu!B:B)</f>
        <v>Veg Sandwich</v>
      </c>
      <c r="G4242" s="10" t="str">
        <f>_xlfn.XLOOKUP(C4242,menu!A:A,menu!C:C)</f>
        <v>Sandwich</v>
      </c>
      <c r="H4242" s="10">
        <f>_xlfn.XLOOKUP(C4242,menu!A:A,menu!E:E)</f>
        <v>24</v>
      </c>
      <c r="I4242" s="10">
        <f t="shared" si="66"/>
        <v>72</v>
      </c>
      <c r="K4242" s="10"/>
      <c r="L4242" s="5"/>
    </row>
    <row r="4243" spans="1:12" x14ac:dyDescent="0.25">
      <c r="A4243" s="5" t="s">
        <v>1359</v>
      </c>
      <c r="B4243" s="5" t="s">
        <v>1356</v>
      </c>
      <c r="C4243" s="5" t="s">
        <v>40</v>
      </c>
      <c r="D4243" s="21">
        <v>3</v>
      </c>
      <c r="E4243" s="12">
        <v>297</v>
      </c>
      <c r="F4243" s="10" t="str">
        <f>_xlfn.XLOOKUP(C4243,menu!A:A,menu!B:B)</f>
        <v>Veg Nuggets</v>
      </c>
      <c r="G4243" s="10" t="str">
        <f>_xlfn.XLOOKUP(C4243,menu!A:A,menu!C:C)</f>
        <v>Starters</v>
      </c>
      <c r="H4243" s="10">
        <f>_xlfn.XLOOKUP(C4243,menu!A:A,menu!E:E)</f>
        <v>30</v>
      </c>
      <c r="I4243" s="10">
        <f t="shared" si="66"/>
        <v>90</v>
      </c>
      <c r="K4243" s="10"/>
      <c r="L4243" s="5"/>
    </row>
    <row r="4244" spans="1:12" x14ac:dyDescent="0.25">
      <c r="A4244" s="5" t="s">
        <v>1358</v>
      </c>
      <c r="B4244" s="5" t="s">
        <v>1356</v>
      </c>
      <c r="C4244" s="5" t="s">
        <v>54</v>
      </c>
      <c r="D4244" s="21">
        <v>3</v>
      </c>
      <c r="E4244" s="12">
        <v>417</v>
      </c>
      <c r="F4244" s="10" t="str">
        <f>_xlfn.XLOOKUP(C4244,menu!A:A,menu!B:B)</f>
        <v>Chicken Strips</v>
      </c>
      <c r="G4244" s="10" t="str">
        <f>_xlfn.XLOOKUP(C4244,menu!A:A,menu!C:C)</f>
        <v>Starters</v>
      </c>
      <c r="H4244" s="10">
        <f>_xlfn.XLOOKUP(C4244,menu!A:A,menu!E:E)</f>
        <v>42</v>
      </c>
      <c r="I4244" s="10">
        <f t="shared" si="66"/>
        <v>126</v>
      </c>
      <c r="K4244" s="10"/>
      <c r="L4244" s="5"/>
    </row>
    <row r="4245" spans="1:12" x14ac:dyDescent="0.25">
      <c r="A4245" s="5" t="s">
        <v>1357</v>
      </c>
      <c r="B4245" s="5" t="s">
        <v>1356</v>
      </c>
      <c r="C4245" s="5" t="s">
        <v>48</v>
      </c>
      <c r="D4245" s="21">
        <v>2</v>
      </c>
      <c r="E4245" s="12">
        <v>318</v>
      </c>
      <c r="F4245" s="10" t="str">
        <f>_xlfn.XLOOKUP(C4245,menu!A:A,menu!B:B)</f>
        <v>Chicken Lollipop</v>
      </c>
      <c r="G4245" s="10" t="str">
        <f>_xlfn.XLOOKUP(C4245,menu!A:A,menu!C:C)</f>
        <v>Starters</v>
      </c>
      <c r="H4245" s="10">
        <f>_xlfn.XLOOKUP(C4245,menu!A:A,menu!E:E)</f>
        <v>48</v>
      </c>
      <c r="I4245" s="10">
        <f t="shared" si="66"/>
        <v>96</v>
      </c>
      <c r="K4245" s="10"/>
      <c r="L4245" s="5"/>
    </row>
    <row r="4246" spans="1:12" x14ac:dyDescent="0.25">
      <c r="A4246" s="5" t="s">
        <v>1355</v>
      </c>
      <c r="B4246" s="5" t="s">
        <v>1353</v>
      </c>
      <c r="C4246" s="5" t="s">
        <v>40</v>
      </c>
      <c r="D4246" s="21">
        <v>1</v>
      </c>
      <c r="E4246" s="12">
        <v>99</v>
      </c>
      <c r="F4246" s="10" t="str">
        <f>_xlfn.XLOOKUP(C4246,menu!A:A,menu!B:B)</f>
        <v>Veg Nuggets</v>
      </c>
      <c r="G4246" s="10" t="str">
        <f>_xlfn.XLOOKUP(C4246,menu!A:A,menu!C:C)</f>
        <v>Starters</v>
      </c>
      <c r="H4246" s="10">
        <f>_xlfn.XLOOKUP(C4246,menu!A:A,menu!E:E)</f>
        <v>30</v>
      </c>
      <c r="I4246" s="10">
        <f t="shared" si="66"/>
        <v>30</v>
      </c>
      <c r="K4246" s="10"/>
      <c r="L4246" s="5"/>
    </row>
    <row r="4247" spans="1:12" x14ac:dyDescent="0.25">
      <c r="A4247" s="5" t="s">
        <v>1354</v>
      </c>
      <c r="B4247" s="5" t="s">
        <v>1353</v>
      </c>
      <c r="C4247" s="5" t="s">
        <v>8</v>
      </c>
      <c r="D4247" s="21">
        <v>1</v>
      </c>
      <c r="E4247" s="12">
        <v>99</v>
      </c>
      <c r="F4247" s="10" t="str">
        <f>_xlfn.XLOOKUP(C4247,menu!A:A,menu!B:B)</f>
        <v>Paneer Sandwich</v>
      </c>
      <c r="G4247" s="10" t="str">
        <f>_xlfn.XLOOKUP(C4247,menu!A:A,menu!C:C)</f>
        <v>Sandwich</v>
      </c>
      <c r="H4247" s="10">
        <f>_xlfn.XLOOKUP(C4247,menu!A:A,menu!E:E)</f>
        <v>30</v>
      </c>
      <c r="I4247" s="10">
        <f t="shared" si="66"/>
        <v>30</v>
      </c>
      <c r="K4247" s="10"/>
      <c r="L4247" s="5"/>
    </row>
    <row r="4248" spans="1:12" x14ac:dyDescent="0.25">
      <c r="A4248" s="5" t="s">
        <v>1352</v>
      </c>
      <c r="B4248" s="5" t="s">
        <v>1350</v>
      </c>
      <c r="C4248" s="5" t="s">
        <v>38</v>
      </c>
      <c r="D4248" s="21">
        <v>3</v>
      </c>
      <c r="E4248" s="12">
        <v>447</v>
      </c>
      <c r="F4248" s="10" t="str">
        <f>_xlfn.XLOOKUP(C4248,menu!A:A,menu!B:B)</f>
        <v>Chicken Wings</v>
      </c>
      <c r="G4248" s="10" t="str">
        <f>_xlfn.XLOOKUP(C4248,menu!A:A,menu!C:C)</f>
        <v>Starters</v>
      </c>
      <c r="H4248" s="10">
        <f>_xlfn.XLOOKUP(C4248,menu!A:A,menu!E:E)</f>
        <v>45</v>
      </c>
      <c r="I4248" s="10">
        <f t="shared" si="66"/>
        <v>135</v>
      </c>
      <c r="K4248" s="10"/>
      <c r="L4248" s="5"/>
    </row>
    <row r="4249" spans="1:12" x14ac:dyDescent="0.25">
      <c r="A4249" s="5" t="s">
        <v>1351</v>
      </c>
      <c r="B4249" s="5" t="s">
        <v>1350</v>
      </c>
      <c r="C4249" s="5" t="s">
        <v>48</v>
      </c>
      <c r="D4249" s="21">
        <v>1</v>
      </c>
      <c r="E4249" s="12">
        <v>159</v>
      </c>
      <c r="F4249" s="10" t="str">
        <f>_xlfn.XLOOKUP(C4249,menu!A:A,menu!B:B)</f>
        <v>Chicken Lollipop</v>
      </c>
      <c r="G4249" s="10" t="str">
        <f>_xlfn.XLOOKUP(C4249,menu!A:A,menu!C:C)</f>
        <v>Starters</v>
      </c>
      <c r="H4249" s="10">
        <f>_xlfn.XLOOKUP(C4249,menu!A:A,menu!E:E)</f>
        <v>48</v>
      </c>
      <c r="I4249" s="10">
        <f t="shared" si="66"/>
        <v>48</v>
      </c>
      <c r="K4249" s="10"/>
      <c r="L4249" s="5"/>
    </row>
    <row r="4250" spans="1:12" x14ac:dyDescent="0.25">
      <c r="A4250" s="5" t="s">
        <v>1349</v>
      </c>
      <c r="B4250" s="5" t="s">
        <v>1346</v>
      </c>
      <c r="C4250" s="5" t="s">
        <v>29</v>
      </c>
      <c r="D4250" s="21">
        <v>2</v>
      </c>
      <c r="E4250" s="12">
        <v>158</v>
      </c>
      <c r="F4250" s="10" t="str">
        <f>_xlfn.XLOOKUP(C4250,menu!A:A,menu!B:B)</f>
        <v>Paneer Roll</v>
      </c>
      <c r="G4250" s="10" t="str">
        <f>_xlfn.XLOOKUP(C4250,menu!A:A,menu!C:C)</f>
        <v>Rolls</v>
      </c>
      <c r="H4250" s="10">
        <f>_xlfn.XLOOKUP(C4250,menu!A:A,menu!E:E)</f>
        <v>24</v>
      </c>
      <c r="I4250" s="10">
        <f t="shared" si="66"/>
        <v>48</v>
      </c>
      <c r="K4250" s="10"/>
      <c r="L4250" s="5"/>
    </row>
    <row r="4251" spans="1:12" x14ac:dyDescent="0.25">
      <c r="A4251" s="5" t="s">
        <v>1348</v>
      </c>
      <c r="B4251" s="5" t="s">
        <v>1346</v>
      </c>
      <c r="C4251" s="5" t="s">
        <v>56</v>
      </c>
      <c r="D4251" s="21">
        <v>2</v>
      </c>
      <c r="E4251" s="12">
        <v>158</v>
      </c>
      <c r="F4251" s="10" t="str">
        <f>_xlfn.XLOOKUP(C4251,menu!A:A,menu!B:B)</f>
        <v>Mint Mojito</v>
      </c>
      <c r="G4251" s="10" t="str">
        <f>_xlfn.XLOOKUP(C4251,menu!A:A,menu!C:C)</f>
        <v>Beverages</v>
      </c>
      <c r="H4251" s="10">
        <f>_xlfn.XLOOKUP(C4251,menu!A:A,menu!E:E)</f>
        <v>24</v>
      </c>
      <c r="I4251" s="10">
        <f t="shared" si="66"/>
        <v>48</v>
      </c>
      <c r="K4251" s="10"/>
      <c r="L4251" s="5"/>
    </row>
    <row r="4252" spans="1:12" x14ac:dyDescent="0.25">
      <c r="A4252" s="5" t="s">
        <v>1347</v>
      </c>
      <c r="B4252" s="5" t="s">
        <v>1346</v>
      </c>
      <c r="C4252" s="5" t="s">
        <v>15</v>
      </c>
      <c r="D4252" s="21">
        <v>2</v>
      </c>
      <c r="E4252" s="12">
        <v>198</v>
      </c>
      <c r="F4252" s="10" t="str">
        <f>_xlfn.XLOOKUP(C4252,menu!A:A,menu!B:B)</f>
        <v>Chicken Momos</v>
      </c>
      <c r="G4252" s="10" t="str">
        <f>_xlfn.XLOOKUP(C4252,menu!A:A,menu!C:C)</f>
        <v>Momos</v>
      </c>
      <c r="H4252" s="10">
        <f>_xlfn.XLOOKUP(C4252,menu!A:A,menu!E:E)</f>
        <v>30</v>
      </c>
      <c r="I4252" s="10">
        <f t="shared" si="66"/>
        <v>60</v>
      </c>
      <c r="K4252" s="10"/>
      <c r="L4252" s="5"/>
    </row>
    <row r="4253" spans="1:12" x14ac:dyDescent="0.25">
      <c r="A4253" s="5" t="s">
        <v>1345</v>
      </c>
      <c r="B4253" s="5" t="s">
        <v>1343</v>
      </c>
      <c r="C4253" s="5" t="s">
        <v>19</v>
      </c>
      <c r="D4253" s="21">
        <v>1</v>
      </c>
      <c r="E4253" s="12">
        <v>79</v>
      </c>
      <c r="F4253" s="10" t="str">
        <f>_xlfn.XLOOKUP(C4253,menu!A:A,menu!B:B)</f>
        <v>Veg Burger</v>
      </c>
      <c r="G4253" s="10" t="str">
        <f>_xlfn.XLOOKUP(C4253,menu!A:A,menu!C:C)</f>
        <v>Burger</v>
      </c>
      <c r="H4253" s="10">
        <f>_xlfn.XLOOKUP(C4253,menu!A:A,menu!E:E)</f>
        <v>24</v>
      </c>
      <c r="I4253" s="10">
        <f t="shared" si="66"/>
        <v>24</v>
      </c>
      <c r="K4253" s="10"/>
      <c r="L4253" s="5"/>
    </row>
    <row r="4254" spans="1:12" x14ac:dyDescent="0.25">
      <c r="A4254" s="5" t="s">
        <v>1344</v>
      </c>
      <c r="B4254" s="5" t="s">
        <v>1343</v>
      </c>
      <c r="C4254" s="5" t="s">
        <v>22</v>
      </c>
      <c r="D4254" s="21">
        <v>2</v>
      </c>
      <c r="E4254" s="12">
        <v>198</v>
      </c>
      <c r="F4254" s="10" t="str">
        <f>_xlfn.XLOOKUP(C4254,menu!A:A,menu!B:B)</f>
        <v>Chicken Burger</v>
      </c>
      <c r="G4254" s="10" t="str">
        <f>_xlfn.XLOOKUP(C4254,menu!A:A,menu!C:C)</f>
        <v>Burger</v>
      </c>
      <c r="H4254" s="10">
        <f>_xlfn.XLOOKUP(C4254,menu!A:A,menu!E:E)</f>
        <v>30</v>
      </c>
      <c r="I4254" s="10">
        <f t="shared" si="66"/>
        <v>60</v>
      </c>
      <c r="K4254" s="10"/>
      <c r="L4254" s="5"/>
    </row>
    <row r="4255" spans="1:12" x14ac:dyDescent="0.25">
      <c r="A4255" s="5" t="s">
        <v>1342</v>
      </c>
      <c r="B4255" s="5" t="s">
        <v>1341</v>
      </c>
      <c r="C4255" s="5" t="s">
        <v>61</v>
      </c>
      <c r="D4255" s="21">
        <v>1</v>
      </c>
      <c r="E4255" s="12">
        <v>79</v>
      </c>
      <c r="F4255" s="10" t="str">
        <f>_xlfn.XLOOKUP(C4255,menu!A:A,menu!B:B)</f>
        <v>Watermelon Mojito</v>
      </c>
      <c r="G4255" s="10" t="str">
        <f>_xlfn.XLOOKUP(C4255,menu!A:A,menu!C:C)</f>
        <v>Beverages</v>
      </c>
      <c r="H4255" s="10">
        <f>_xlfn.XLOOKUP(C4255,menu!A:A,menu!E:E)</f>
        <v>24</v>
      </c>
      <c r="I4255" s="10">
        <f t="shared" si="66"/>
        <v>24</v>
      </c>
      <c r="K4255" s="10"/>
      <c r="L4255" s="5"/>
    </row>
    <row r="4256" spans="1:12" x14ac:dyDescent="0.25">
      <c r="A4256" s="5" t="s">
        <v>1340</v>
      </c>
      <c r="B4256" s="5" t="s">
        <v>1338</v>
      </c>
      <c r="C4256" s="5" t="s">
        <v>19</v>
      </c>
      <c r="D4256" s="21">
        <v>1</v>
      </c>
      <c r="E4256" s="12">
        <v>79</v>
      </c>
      <c r="F4256" s="10" t="str">
        <f>_xlfn.XLOOKUP(C4256,menu!A:A,menu!B:B)</f>
        <v>Veg Burger</v>
      </c>
      <c r="G4256" s="10" t="str">
        <f>_xlfn.XLOOKUP(C4256,menu!A:A,menu!C:C)</f>
        <v>Burger</v>
      </c>
      <c r="H4256" s="10">
        <f>_xlfn.XLOOKUP(C4256,menu!A:A,menu!E:E)</f>
        <v>24</v>
      </c>
      <c r="I4256" s="10">
        <f t="shared" si="66"/>
        <v>24</v>
      </c>
      <c r="K4256" s="10"/>
      <c r="L4256" s="5"/>
    </row>
    <row r="4257" spans="1:12" x14ac:dyDescent="0.25">
      <c r="A4257" s="5" t="s">
        <v>1339</v>
      </c>
      <c r="B4257" s="5" t="s">
        <v>1338</v>
      </c>
      <c r="C4257" s="5" t="s">
        <v>44</v>
      </c>
      <c r="D4257" s="21">
        <v>2</v>
      </c>
      <c r="E4257" s="12">
        <v>318</v>
      </c>
      <c r="F4257" s="10" t="str">
        <f>_xlfn.XLOOKUP(C4257,menu!A:A,menu!B:B)</f>
        <v>Fried Chicken</v>
      </c>
      <c r="G4257" s="10" t="str">
        <f>_xlfn.XLOOKUP(C4257,menu!A:A,menu!C:C)</f>
        <v>Starters</v>
      </c>
      <c r="H4257" s="10">
        <f>_xlfn.XLOOKUP(C4257,menu!A:A,menu!E:E)</f>
        <v>48</v>
      </c>
      <c r="I4257" s="10">
        <f t="shared" si="66"/>
        <v>96</v>
      </c>
      <c r="K4257" s="10"/>
      <c r="L4257" s="5"/>
    </row>
    <row r="4258" spans="1:12" x14ac:dyDescent="0.25">
      <c r="A4258" s="5" t="s">
        <v>1337</v>
      </c>
      <c r="B4258" s="5" t="s">
        <v>1334</v>
      </c>
      <c r="C4258" s="5" t="s">
        <v>63</v>
      </c>
      <c r="D4258" s="21">
        <v>1</v>
      </c>
      <c r="E4258" s="12">
        <v>79</v>
      </c>
      <c r="F4258" s="10" t="str">
        <f>_xlfn.XLOOKUP(C4258,menu!A:A,menu!B:B)</f>
        <v>Virgin Mojito</v>
      </c>
      <c r="G4258" s="10" t="str">
        <f>_xlfn.XLOOKUP(C4258,menu!A:A,menu!C:C)</f>
        <v>Beverages</v>
      </c>
      <c r="H4258" s="10">
        <f>_xlfn.XLOOKUP(C4258,menu!A:A,menu!E:E)</f>
        <v>24</v>
      </c>
      <c r="I4258" s="10">
        <f t="shared" si="66"/>
        <v>24</v>
      </c>
      <c r="K4258" s="10"/>
      <c r="L4258" s="5"/>
    </row>
    <row r="4259" spans="1:12" x14ac:dyDescent="0.25">
      <c r="A4259" s="5" t="s">
        <v>1336</v>
      </c>
      <c r="B4259" s="5" t="s">
        <v>1334</v>
      </c>
      <c r="C4259" s="5" t="s">
        <v>35</v>
      </c>
      <c r="D4259" s="21">
        <v>2</v>
      </c>
      <c r="E4259" s="12">
        <v>238</v>
      </c>
      <c r="F4259" s="10" t="str">
        <f>_xlfn.XLOOKUP(C4259,menu!A:A,menu!B:B)</f>
        <v>Chicken Nuggets</v>
      </c>
      <c r="G4259" s="10" t="str">
        <f>_xlfn.XLOOKUP(C4259,menu!A:A,menu!C:C)</f>
        <v>Starters</v>
      </c>
      <c r="H4259" s="10">
        <f>_xlfn.XLOOKUP(C4259,menu!A:A,menu!E:E)</f>
        <v>36</v>
      </c>
      <c r="I4259" s="10">
        <f t="shared" si="66"/>
        <v>72</v>
      </c>
      <c r="K4259" s="10"/>
      <c r="L4259" s="5"/>
    </row>
    <row r="4260" spans="1:12" x14ac:dyDescent="0.25">
      <c r="A4260" s="5" t="s">
        <v>1335</v>
      </c>
      <c r="B4260" s="5" t="s">
        <v>1334</v>
      </c>
      <c r="C4260" s="5" t="s">
        <v>22</v>
      </c>
      <c r="D4260" s="21">
        <v>5</v>
      </c>
      <c r="E4260" s="12">
        <v>495</v>
      </c>
      <c r="F4260" s="10" t="str">
        <f>_xlfn.XLOOKUP(C4260,menu!A:A,menu!B:B)</f>
        <v>Chicken Burger</v>
      </c>
      <c r="G4260" s="10" t="str">
        <f>_xlfn.XLOOKUP(C4260,menu!A:A,menu!C:C)</f>
        <v>Burger</v>
      </c>
      <c r="H4260" s="10">
        <f>_xlfn.XLOOKUP(C4260,menu!A:A,menu!E:E)</f>
        <v>30</v>
      </c>
      <c r="I4260" s="10">
        <f t="shared" si="66"/>
        <v>150</v>
      </c>
      <c r="K4260" s="10"/>
      <c r="L4260" s="5"/>
    </row>
    <row r="4261" spans="1:12" x14ac:dyDescent="0.25">
      <c r="A4261" s="5" t="s">
        <v>1333</v>
      </c>
      <c r="B4261" s="5" t="s">
        <v>1330</v>
      </c>
      <c r="C4261" s="5" t="s">
        <v>22</v>
      </c>
      <c r="D4261" s="21">
        <v>1</v>
      </c>
      <c r="E4261" s="12">
        <v>99</v>
      </c>
      <c r="F4261" s="10" t="str">
        <f>_xlfn.XLOOKUP(C4261,menu!A:A,menu!B:B)</f>
        <v>Chicken Burger</v>
      </c>
      <c r="G4261" s="10" t="str">
        <f>_xlfn.XLOOKUP(C4261,menu!A:A,menu!C:C)</f>
        <v>Burger</v>
      </c>
      <c r="H4261" s="10">
        <f>_xlfn.XLOOKUP(C4261,menu!A:A,menu!E:E)</f>
        <v>30</v>
      </c>
      <c r="I4261" s="10">
        <f t="shared" si="66"/>
        <v>30</v>
      </c>
      <c r="K4261" s="10"/>
      <c r="L4261" s="5"/>
    </row>
    <row r="4262" spans="1:12" x14ac:dyDescent="0.25">
      <c r="A4262" s="5" t="s">
        <v>1332</v>
      </c>
      <c r="B4262" s="5" t="s">
        <v>1330</v>
      </c>
      <c r="C4262" s="5" t="s">
        <v>33</v>
      </c>
      <c r="D4262" s="21">
        <v>3</v>
      </c>
      <c r="E4262" s="12">
        <v>207</v>
      </c>
      <c r="F4262" s="10" t="str">
        <f>_xlfn.XLOOKUP(C4262,menu!A:A,menu!B:B)</f>
        <v>Spring Roll</v>
      </c>
      <c r="G4262" s="10" t="str">
        <f>_xlfn.XLOOKUP(C4262,menu!A:A,menu!C:C)</f>
        <v>Rolls</v>
      </c>
      <c r="H4262" s="10">
        <f>_xlfn.XLOOKUP(C4262,menu!A:A,menu!E:E)</f>
        <v>21</v>
      </c>
      <c r="I4262" s="10">
        <f t="shared" si="66"/>
        <v>63</v>
      </c>
      <c r="K4262" s="10"/>
      <c r="L4262" s="5"/>
    </row>
    <row r="4263" spans="1:12" x14ac:dyDescent="0.25">
      <c r="A4263" s="5" t="s">
        <v>1331</v>
      </c>
      <c r="B4263" s="5" t="s">
        <v>1330</v>
      </c>
      <c r="C4263" s="5" t="s">
        <v>26</v>
      </c>
      <c r="D4263" s="21">
        <v>1</v>
      </c>
      <c r="E4263" s="12">
        <v>59</v>
      </c>
      <c r="F4263" s="10" t="str">
        <f>_xlfn.XLOOKUP(C4263,menu!A:A,menu!B:B)</f>
        <v>Veg Roll</v>
      </c>
      <c r="G4263" s="10" t="str">
        <f>_xlfn.XLOOKUP(C4263,menu!A:A,menu!C:C)</f>
        <v>Rolls</v>
      </c>
      <c r="H4263" s="10">
        <f>_xlfn.XLOOKUP(C4263,menu!A:A,menu!E:E)</f>
        <v>18</v>
      </c>
      <c r="I4263" s="10">
        <f t="shared" si="66"/>
        <v>18</v>
      </c>
      <c r="K4263" s="10"/>
      <c r="L4263" s="5"/>
    </row>
    <row r="4264" spans="1:12" x14ac:dyDescent="0.25">
      <c r="A4264" s="5" t="s">
        <v>1329</v>
      </c>
      <c r="B4264" s="5" t="s">
        <v>1325</v>
      </c>
      <c r="C4264" s="5" t="s">
        <v>5</v>
      </c>
      <c r="D4264" s="21">
        <v>3</v>
      </c>
      <c r="E4264" s="12">
        <v>237</v>
      </c>
      <c r="F4264" s="10" t="str">
        <f>_xlfn.XLOOKUP(C4264,menu!A:A,menu!B:B)</f>
        <v>Veg Sandwich</v>
      </c>
      <c r="G4264" s="10" t="str">
        <f>_xlfn.XLOOKUP(C4264,menu!A:A,menu!C:C)</f>
        <v>Sandwich</v>
      </c>
      <c r="H4264" s="10">
        <f>_xlfn.XLOOKUP(C4264,menu!A:A,menu!E:E)</f>
        <v>24</v>
      </c>
      <c r="I4264" s="10">
        <f t="shared" si="66"/>
        <v>72</v>
      </c>
      <c r="K4264" s="10"/>
      <c r="L4264" s="5"/>
    </row>
    <row r="4265" spans="1:12" x14ac:dyDescent="0.25">
      <c r="A4265" s="5" t="s">
        <v>1328</v>
      </c>
      <c r="B4265" s="5" t="s">
        <v>1325</v>
      </c>
      <c r="C4265" s="5" t="s">
        <v>52</v>
      </c>
      <c r="D4265" s="21">
        <v>3</v>
      </c>
      <c r="E4265" s="12">
        <v>297</v>
      </c>
      <c r="F4265" s="10" t="str">
        <f>_xlfn.XLOOKUP(C4265,menu!A:A,menu!B:B)</f>
        <v>French Fries</v>
      </c>
      <c r="G4265" s="10" t="str">
        <f>_xlfn.XLOOKUP(C4265,menu!A:A,menu!C:C)</f>
        <v>Starters</v>
      </c>
      <c r="H4265" s="10">
        <f>_xlfn.XLOOKUP(C4265,menu!A:A,menu!E:E)</f>
        <v>30</v>
      </c>
      <c r="I4265" s="10">
        <f t="shared" si="66"/>
        <v>90</v>
      </c>
      <c r="K4265" s="10"/>
      <c r="L4265" s="5"/>
    </row>
    <row r="4266" spans="1:12" x14ac:dyDescent="0.25">
      <c r="A4266" s="5" t="s">
        <v>1327</v>
      </c>
      <c r="B4266" s="5" t="s">
        <v>1325</v>
      </c>
      <c r="C4266" s="5" t="s">
        <v>42</v>
      </c>
      <c r="D4266" s="21">
        <v>1</v>
      </c>
      <c r="E4266" s="12">
        <v>149</v>
      </c>
      <c r="F4266" s="10" t="str">
        <f>_xlfn.XLOOKUP(C4266,menu!A:A,menu!B:B)</f>
        <v>Chicken Popcorn</v>
      </c>
      <c r="G4266" s="10" t="str">
        <f>_xlfn.XLOOKUP(C4266,menu!A:A,menu!C:C)</f>
        <v>Starters</v>
      </c>
      <c r="H4266" s="10">
        <f>_xlfn.XLOOKUP(C4266,menu!A:A,menu!E:E)</f>
        <v>45</v>
      </c>
      <c r="I4266" s="10">
        <f t="shared" si="66"/>
        <v>45</v>
      </c>
      <c r="K4266" s="10"/>
      <c r="L4266" s="5"/>
    </row>
    <row r="4267" spans="1:12" x14ac:dyDescent="0.25">
      <c r="A4267" s="5" t="s">
        <v>1326</v>
      </c>
      <c r="B4267" s="5" t="s">
        <v>1325</v>
      </c>
      <c r="C4267" s="5" t="s">
        <v>17</v>
      </c>
      <c r="D4267" s="21">
        <v>1</v>
      </c>
      <c r="E4267" s="12">
        <v>89</v>
      </c>
      <c r="F4267" s="10" t="str">
        <f>_xlfn.XLOOKUP(C4267,menu!A:A,menu!B:B)</f>
        <v>Paneer Momos</v>
      </c>
      <c r="G4267" s="10" t="str">
        <f>_xlfn.XLOOKUP(C4267,menu!A:A,menu!C:C)</f>
        <v>Momos</v>
      </c>
      <c r="H4267" s="10">
        <f>_xlfn.XLOOKUP(C4267,menu!A:A,menu!E:E)</f>
        <v>27</v>
      </c>
      <c r="I4267" s="10">
        <f t="shared" si="66"/>
        <v>27</v>
      </c>
      <c r="K4267" s="10"/>
      <c r="L4267" s="5"/>
    </row>
    <row r="4268" spans="1:12" x14ac:dyDescent="0.25">
      <c r="A4268" s="5" t="s">
        <v>1324</v>
      </c>
      <c r="B4268" s="5" t="s">
        <v>1320</v>
      </c>
      <c r="C4268" s="5" t="s">
        <v>40</v>
      </c>
      <c r="D4268" s="21">
        <v>1</v>
      </c>
      <c r="E4268" s="12">
        <v>99</v>
      </c>
      <c r="F4268" s="10" t="str">
        <f>_xlfn.XLOOKUP(C4268,menu!A:A,menu!B:B)</f>
        <v>Veg Nuggets</v>
      </c>
      <c r="G4268" s="10" t="str">
        <f>_xlfn.XLOOKUP(C4268,menu!A:A,menu!C:C)</f>
        <v>Starters</v>
      </c>
      <c r="H4268" s="10">
        <f>_xlfn.XLOOKUP(C4268,menu!A:A,menu!E:E)</f>
        <v>30</v>
      </c>
      <c r="I4268" s="10">
        <f t="shared" si="66"/>
        <v>30</v>
      </c>
      <c r="K4268" s="10"/>
      <c r="L4268" s="5"/>
    </row>
    <row r="4269" spans="1:12" x14ac:dyDescent="0.25">
      <c r="A4269" s="5" t="s">
        <v>1323</v>
      </c>
      <c r="B4269" s="5" t="s">
        <v>1320</v>
      </c>
      <c r="C4269" s="5" t="s">
        <v>52</v>
      </c>
      <c r="D4269" s="21">
        <v>3</v>
      </c>
      <c r="E4269" s="12">
        <v>297</v>
      </c>
      <c r="F4269" s="10" t="str">
        <f>_xlfn.XLOOKUP(C4269,menu!A:A,menu!B:B)</f>
        <v>French Fries</v>
      </c>
      <c r="G4269" s="10" t="str">
        <f>_xlfn.XLOOKUP(C4269,menu!A:A,menu!C:C)</f>
        <v>Starters</v>
      </c>
      <c r="H4269" s="10">
        <f>_xlfn.XLOOKUP(C4269,menu!A:A,menu!E:E)</f>
        <v>30</v>
      </c>
      <c r="I4269" s="10">
        <f t="shared" si="66"/>
        <v>90</v>
      </c>
      <c r="K4269" s="10"/>
      <c r="L4269" s="5"/>
    </row>
    <row r="4270" spans="1:12" x14ac:dyDescent="0.25">
      <c r="A4270" s="5" t="s">
        <v>1322</v>
      </c>
      <c r="B4270" s="5" t="s">
        <v>1320</v>
      </c>
      <c r="C4270" s="5" t="s">
        <v>50</v>
      </c>
      <c r="D4270" s="21">
        <v>2</v>
      </c>
      <c r="E4270" s="12">
        <v>298</v>
      </c>
      <c r="F4270" s="10" t="str">
        <f>_xlfn.XLOOKUP(C4270,menu!A:A,menu!B:B)</f>
        <v>Grab Lollipop</v>
      </c>
      <c r="G4270" s="10" t="str">
        <f>_xlfn.XLOOKUP(C4270,menu!A:A,menu!C:C)</f>
        <v>Starters</v>
      </c>
      <c r="H4270" s="10">
        <f>_xlfn.XLOOKUP(C4270,menu!A:A,menu!E:E)</f>
        <v>45</v>
      </c>
      <c r="I4270" s="10">
        <f t="shared" si="66"/>
        <v>90</v>
      </c>
      <c r="K4270" s="10"/>
      <c r="L4270" s="5"/>
    </row>
    <row r="4271" spans="1:12" x14ac:dyDescent="0.25">
      <c r="A4271" s="5" t="s">
        <v>1321</v>
      </c>
      <c r="B4271" s="5" t="s">
        <v>1320</v>
      </c>
      <c r="C4271" s="5" t="s">
        <v>15</v>
      </c>
      <c r="D4271" s="21">
        <v>2</v>
      </c>
      <c r="E4271" s="12">
        <v>198</v>
      </c>
      <c r="F4271" s="10" t="str">
        <f>_xlfn.XLOOKUP(C4271,menu!A:A,menu!B:B)</f>
        <v>Chicken Momos</v>
      </c>
      <c r="G4271" s="10" t="str">
        <f>_xlfn.XLOOKUP(C4271,menu!A:A,menu!C:C)</f>
        <v>Momos</v>
      </c>
      <c r="H4271" s="10">
        <f>_xlfn.XLOOKUP(C4271,menu!A:A,menu!E:E)</f>
        <v>30</v>
      </c>
      <c r="I4271" s="10">
        <f t="shared" si="66"/>
        <v>60</v>
      </c>
      <c r="K4271" s="10"/>
      <c r="L4271" s="5"/>
    </row>
    <row r="4272" spans="1:12" x14ac:dyDescent="0.25">
      <c r="A4272" s="5" t="s">
        <v>1319</v>
      </c>
      <c r="B4272" s="5" t="s">
        <v>1315</v>
      </c>
      <c r="C4272" s="5" t="s">
        <v>63</v>
      </c>
      <c r="D4272" s="21">
        <v>1</v>
      </c>
      <c r="E4272" s="12">
        <v>79</v>
      </c>
      <c r="F4272" s="10" t="str">
        <f>_xlfn.XLOOKUP(C4272,menu!A:A,menu!B:B)</f>
        <v>Virgin Mojito</v>
      </c>
      <c r="G4272" s="10" t="str">
        <f>_xlfn.XLOOKUP(C4272,menu!A:A,menu!C:C)</f>
        <v>Beverages</v>
      </c>
      <c r="H4272" s="10">
        <f>_xlfn.XLOOKUP(C4272,menu!A:A,menu!E:E)</f>
        <v>24</v>
      </c>
      <c r="I4272" s="10">
        <f t="shared" si="66"/>
        <v>24</v>
      </c>
      <c r="K4272" s="10"/>
      <c r="L4272" s="5"/>
    </row>
    <row r="4273" spans="1:12" x14ac:dyDescent="0.25">
      <c r="A4273" s="5" t="s">
        <v>1318</v>
      </c>
      <c r="B4273" s="5" t="s">
        <v>1315</v>
      </c>
      <c r="C4273" s="5" t="s">
        <v>54</v>
      </c>
      <c r="D4273" s="21">
        <v>1</v>
      </c>
      <c r="E4273" s="12">
        <v>139</v>
      </c>
      <c r="F4273" s="10" t="str">
        <f>_xlfn.XLOOKUP(C4273,menu!A:A,menu!B:B)</f>
        <v>Chicken Strips</v>
      </c>
      <c r="G4273" s="10" t="str">
        <f>_xlfn.XLOOKUP(C4273,menu!A:A,menu!C:C)</f>
        <v>Starters</v>
      </c>
      <c r="H4273" s="10">
        <f>_xlfn.XLOOKUP(C4273,menu!A:A,menu!E:E)</f>
        <v>42</v>
      </c>
      <c r="I4273" s="10">
        <f t="shared" si="66"/>
        <v>42</v>
      </c>
      <c r="K4273" s="10"/>
      <c r="L4273" s="5"/>
    </row>
    <row r="4274" spans="1:12" x14ac:dyDescent="0.25">
      <c r="A4274" s="5" t="s">
        <v>1317</v>
      </c>
      <c r="B4274" s="5" t="s">
        <v>1315</v>
      </c>
      <c r="C4274" s="5" t="s">
        <v>52</v>
      </c>
      <c r="D4274" s="21">
        <v>1</v>
      </c>
      <c r="E4274" s="12">
        <v>99</v>
      </c>
      <c r="F4274" s="10" t="str">
        <f>_xlfn.XLOOKUP(C4274,menu!A:A,menu!B:B)</f>
        <v>French Fries</v>
      </c>
      <c r="G4274" s="10" t="str">
        <f>_xlfn.XLOOKUP(C4274,menu!A:A,menu!C:C)</f>
        <v>Starters</v>
      </c>
      <c r="H4274" s="10">
        <f>_xlfn.XLOOKUP(C4274,menu!A:A,menu!E:E)</f>
        <v>30</v>
      </c>
      <c r="I4274" s="10">
        <f t="shared" si="66"/>
        <v>30</v>
      </c>
      <c r="K4274" s="10"/>
      <c r="L4274" s="5"/>
    </row>
    <row r="4275" spans="1:12" x14ac:dyDescent="0.25">
      <c r="A4275" s="5" t="s">
        <v>1316</v>
      </c>
      <c r="B4275" s="5" t="s">
        <v>1315</v>
      </c>
      <c r="C4275" s="5" t="s">
        <v>22</v>
      </c>
      <c r="D4275" s="21">
        <v>3</v>
      </c>
      <c r="E4275" s="12">
        <v>297</v>
      </c>
      <c r="F4275" s="10" t="str">
        <f>_xlfn.XLOOKUP(C4275,menu!A:A,menu!B:B)</f>
        <v>Chicken Burger</v>
      </c>
      <c r="G4275" s="10" t="str">
        <f>_xlfn.XLOOKUP(C4275,menu!A:A,menu!C:C)</f>
        <v>Burger</v>
      </c>
      <c r="H4275" s="10">
        <f>_xlfn.XLOOKUP(C4275,menu!A:A,menu!E:E)</f>
        <v>30</v>
      </c>
      <c r="I4275" s="10">
        <f t="shared" si="66"/>
        <v>90</v>
      </c>
      <c r="K4275" s="10"/>
      <c r="L4275" s="5"/>
    </row>
    <row r="4276" spans="1:12" x14ac:dyDescent="0.25">
      <c r="A4276" s="5" t="s">
        <v>1314</v>
      </c>
      <c r="B4276" s="5" t="s">
        <v>1313</v>
      </c>
      <c r="C4276" s="5" t="s">
        <v>29</v>
      </c>
      <c r="D4276" s="21">
        <v>1</v>
      </c>
      <c r="E4276" s="12">
        <v>79</v>
      </c>
      <c r="F4276" s="10" t="str">
        <f>_xlfn.XLOOKUP(C4276,menu!A:A,menu!B:B)</f>
        <v>Paneer Roll</v>
      </c>
      <c r="G4276" s="10" t="str">
        <f>_xlfn.XLOOKUP(C4276,menu!A:A,menu!C:C)</f>
        <v>Rolls</v>
      </c>
      <c r="H4276" s="10">
        <f>_xlfn.XLOOKUP(C4276,menu!A:A,menu!E:E)</f>
        <v>24</v>
      </c>
      <c r="I4276" s="10">
        <f t="shared" si="66"/>
        <v>24</v>
      </c>
      <c r="K4276" s="10"/>
      <c r="L4276" s="5"/>
    </row>
    <row r="4277" spans="1:12" x14ac:dyDescent="0.25">
      <c r="A4277" s="5" t="s">
        <v>1312</v>
      </c>
      <c r="B4277" s="5" t="s">
        <v>1308</v>
      </c>
      <c r="C4277" s="5" t="s">
        <v>48</v>
      </c>
      <c r="D4277" s="21">
        <v>2</v>
      </c>
      <c r="E4277" s="12">
        <v>318</v>
      </c>
      <c r="F4277" s="10" t="str">
        <f>_xlfn.XLOOKUP(C4277,menu!A:A,menu!B:B)</f>
        <v>Chicken Lollipop</v>
      </c>
      <c r="G4277" s="10" t="str">
        <f>_xlfn.XLOOKUP(C4277,menu!A:A,menu!C:C)</f>
        <v>Starters</v>
      </c>
      <c r="H4277" s="10">
        <f>_xlfn.XLOOKUP(C4277,menu!A:A,menu!E:E)</f>
        <v>48</v>
      </c>
      <c r="I4277" s="10">
        <f t="shared" si="66"/>
        <v>96</v>
      </c>
      <c r="K4277" s="10"/>
      <c r="L4277" s="5"/>
    </row>
    <row r="4278" spans="1:12" x14ac:dyDescent="0.25">
      <c r="A4278" s="5" t="s">
        <v>1311</v>
      </c>
      <c r="B4278" s="5" t="s">
        <v>1308</v>
      </c>
      <c r="C4278" s="5" t="s">
        <v>52</v>
      </c>
      <c r="D4278" s="21">
        <v>1</v>
      </c>
      <c r="E4278" s="12">
        <v>99</v>
      </c>
      <c r="F4278" s="10" t="str">
        <f>_xlfn.XLOOKUP(C4278,menu!A:A,menu!B:B)</f>
        <v>French Fries</v>
      </c>
      <c r="G4278" s="10" t="str">
        <f>_xlfn.XLOOKUP(C4278,menu!A:A,menu!C:C)</f>
        <v>Starters</v>
      </c>
      <c r="H4278" s="10">
        <f>_xlfn.XLOOKUP(C4278,menu!A:A,menu!E:E)</f>
        <v>30</v>
      </c>
      <c r="I4278" s="10">
        <f t="shared" si="66"/>
        <v>30</v>
      </c>
      <c r="K4278" s="10"/>
      <c r="L4278" s="5"/>
    </row>
    <row r="4279" spans="1:12" x14ac:dyDescent="0.25">
      <c r="A4279" s="5" t="s">
        <v>1310</v>
      </c>
      <c r="B4279" s="5" t="s">
        <v>1308</v>
      </c>
      <c r="C4279" s="5" t="s">
        <v>33</v>
      </c>
      <c r="D4279" s="21">
        <v>1</v>
      </c>
      <c r="E4279" s="12">
        <v>69</v>
      </c>
      <c r="F4279" s="10" t="str">
        <f>_xlfn.XLOOKUP(C4279,menu!A:A,menu!B:B)</f>
        <v>Spring Roll</v>
      </c>
      <c r="G4279" s="10" t="str">
        <f>_xlfn.XLOOKUP(C4279,menu!A:A,menu!C:C)</f>
        <v>Rolls</v>
      </c>
      <c r="H4279" s="10">
        <f>_xlfn.XLOOKUP(C4279,menu!A:A,menu!E:E)</f>
        <v>21</v>
      </c>
      <c r="I4279" s="10">
        <f t="shared" si="66"/>
        <v>21</v>
      </c>
      <c r="K4279" s="10"/>
      <c r="L4279" s="5"/>
    </row>
    <row r="4280" spans="1:12" x14ac:dyDescent="0.25">
      <c r="A4280" s="5" t="s">
        <v>1309</v>
      </c>
      <c r="B4280" s="5" t="s">
        <v>1308</v>
      </c>
      <c r="C4280" s="5" t="s">
        <v>61</v>
      </c>
      <c r="D4280" s="21">
        <v>1</v>
      </c>
      <c r="E4280" s="12">
        <v>79</v>
      </c>
      <c r="F4280" s="10" t="str">
        <f>_xlfn.XLOOKUP(C4280,menu!A:A,menu!B:B)</f>
        <v>Watermelon Mojito</v>
      </c>
      <c r="G4280" s="10" t="str">
        <f>_xlfn.XLOOKUP(C4280,menu!A:A,menu!C:C)</f>
        <v>Beverages</v>
      </c>
      <c r="H4280" s="10">
        <f>_xlfn.XLOOKUP(C4280,menu!A:A,menu!E:E)</f>
        <v>24</v>
      </c>
      <c r="I4280" s="10">
        <f t="shared" si="66"/>
        <v>24</v>
      </c>
      <c r="K4280" s="10"/>
      <c r="L4280" s="5"/>
    </row>
    <row r="4281" spans="1:12" x14ac:dyDescent="0.25">
      <c r="A4281" s="5" t="s">
        <v>1307</v>
      </c>
      <c r="B4281" s="5" t="s">
        <v>1303</v>
      </c>
      <c r="C4281" s="5" t="s">
        <v>29</v>
      </c>
      <c r="D4281" s="21">
        <v>3</v>
      </c>
      <c r="E4281" s="12">
        <v>237</v>
      </c>
      <c r="F4281" s="10" t="str">
        <f>_xlfn.XLOOKUP(C4281,menu!A:A,menu!B:B)</f>
        <v>Paneer Roll</v>
      </c>
      <c r="G4281" s="10" t="str">
        <f>_xlfn.XLOOKUP(C4281,menu!A:A,menu!C:C)</f>
        <v>Rolls</v>
      </c>
      <c r="H4281" s="10">
        <f>_xlfn.XLOOKUP(C4281,menu!A:A,menu!E:E)</f>
        <v>24</v>
      </c>
      <c r="I4281" s="10">
        <f t="shared" si="66"/>
        <v>72</v>
      </c>
      <c r="K4281" s="10"/>
      <c r="L4281" s="5"/>
    </row>
    <row r="4282" spans="1:12" x14ac:dyDescent="0.25">
      <c r="A4282" s="5" t="s">
        <v>1306</v>
      </c>
      <c r="B4282" s="5" t="s">
        <v>1303</v>
      </c>
      <c r="C4282" s="5" t="s">
        <v>35</v>
      </c>
      <c r="D4282" s="21">
        <v>1</v>
      </c>
      <c r="E4282" s="12">
        <v>119</v>
      </c>
      <c r="F4282" s="10" t="str">
        <f>_xlfn.XLOOKUP(C4282,menu!A:A,menu!B:B)</f>
        <v>Chicken Nuggets</v>
      </c>
      <c r="G4282" s="10" t="str">
        <f>_xlfn.XLOOKUP(C4282,menu!A:A,menu!C:C)</f>
        <v>Starters</v>
      </c>
      <c r="H4282" s="10">
        <f>_xlfn.XLOOKUP(C4282,menu!A:A,menu!E:E)</f>
        <v>36</v>
      </c>
      <c r="I4282" s="10">
        <f t="shared" si="66"/>
        <v>36</v>
      </c>
      <c r="K4282" s="10"/>
      <c r="L4282" s="5"/>
    </row>
    <row r="4283" spans="1:12" x14ac:dyDescent="0.25">
      <c r="A4283" s="5" t="s">
        <v>1305</v>
      </c>
      <c r="B4283" s="5" t="s">
        <v>1303</v>
      </c>
      <c r="C4283" s="5" t="s">
        <v>46</v>
      </c>
      <c r="D4283" s="21">
        <v>1</v>
      </c>
      <c r="E4283" s="12">
        <v>149</v>
      </c>
      <c r="F4283" s="10" t="str">
        <f>_xlfn.XLOOKUP(C4283,menu!A:A,menu!B:B)</f>
        <v>Fish Finger</v>
      </c>
      <c r="G4283" s="10" t="str">
        <f>_xlfn.XLOOKUP(C4283,menu!A:A,menu!C:C)</f>
        <v>Starters</v>
      </c>
      <c r="H4283" s="10">
        <f>_xlfn.XLOOKUP(C4283,menu!A:A,menu!E:E)</f>
        <v>45</v>
      </c>
      <c r="I4283" s="10">
        <f t="shared" si="66"/>
        <v>45</v>
      </c>
      <c r="K4283" s="10"/>
      <c r="L4283" s="5"/>
    </row>
    <row r="4284" spans="1:12" x14ac:dyDescent="0.25">
      <c r="A4284" s="5" t="s">
        <v>1304</v>
      </c>
      <c r="B4284" s="5" t="s">
        <v>1303</v>
      </c>
      <c r="C4284" s="5" t="s">
        <v>44</v>
      </c>
      <c r="D4284" s="21">
        <v>5</v>
      </c>
      <c r="E4284" s="12">
        <v>795</v>
      </c>
      <c r="F4284" s="10" t="str">
        <f>_xlfn.XLOOKUP(C4284,menu!A:A,menu!B:B)</f>
        <v>Fried Chicken</v>
      </c>
      <c r="G4284" s="10" t="str">
        <f>_xlfn.XLOOKUP(C4284,menu!A:A,menu!C:C)</f>
        <v>Starters</v>
      </c>
      <c r="H4284" s="10">
        <f>_xlfn.XLOOKUP(C4284,menu!A:A,menu!E:E)</f>
        <v>48</v>
      </c>
      <c r="I4284" s="10">
        <f t="shared" si="66"/>
        <v>240</v>
      </c>
      <c r="K4284" s="10"/>
      <c r="L4284" s="5"/>
    </row>
    <row r="4285" spans="1:12" x14ac:dyDescent="0.25">
      <c r="A4285" s="5" t="s">
        <v>1302</v>
      </c>
      <c r="B4285" s="5" t="s">
        <v>1299</v>
      </c>
      <c r="C4285" s="5" t="s">
        <v>40</v>
      </c>
      <c r="D4285" s="21">
        <v>1</v>
      </c>
      <c r="E4285" s="12">
        <v>99</v>
      </c>
      <c r="F4285" s="10" t="str">
        <f>_xlfn.XLOOKUP(C4285,menu!A:A,menu!B:B)</f>
        <v>Veg Nuggets</v>
      </c>
      <c r="G4285" s="10" t="str">
        <f>_xlfn.XLOOKUP(C4285,menu!A:A,menu!C:C)</f>
        <v>Starters</v>
      </c>
      <c r="H4285" s="10">
        <f>_xlfn.XLOOKUP(C4285,menu!A:A,menu!E:E)</f>
        <v>30</v>
      </c>
      <c r="I4285" s="10">
        <f t="shared" si="66"/>
        <v>30</v>
      </c>
      <c r="K4285" s="10"/>
      <c r="L4285" s="5"/>
    </row>
    <row r="4286" spans="1:12" x14ac:dyDescent="0.25">
      <c r="A4286" s="5" t="s">
        <v>1301</v>
      </c>
      <c r="B4286" s="5" t="s">
        <v>1299</v>
      </c>
      <c r="C4286" s="5" t="s">
        <v>35</v>
      </c>
      <c r="D4286" s="21">
        <v>1</v>
      </c>
      <c r="E4286" s="12">
        <v>119</v>
      </c>
      <c r="F4286" s="10" t="str">
        <f>_xlfn.XLOOKUP(C4286,menu!A:A,menu!B:B)</f>
        <v>Chicken Nuggets</v>
      </c>
      <c r="G4286" s="10" t="str">
        <f>_xlfn.XLOOKUP(C4286,menu!A:A,menu!C:C)</f>
        <v>Starters</v>
      </c>
      <c r="H4286" s="10">
        <f>_xlfn.XLOOKUP(C4286,menu!A:A,menu!E:E)</f>
        <v>36</v>
      </c>
      <c r="I4286" s="10">
        <f t="shared" si="66"/>
        <v>36</v>
      </c>
      <c r="K4286" s="10"/>
      <c r="L4286" s="5"/>
    </row>
    <row r="4287" spans="1:12" x14ac:dyDescent="0.25">
      <c r="A4287" s="5" t="s">
        <v>1300</v>
      </c>
      <c r="B4287" s="5" t="s">
        <v>1299</v>
      </c>
      <c r="C4287" s="5" t="s">
        <v>54</v>
      </c>
      <c r="D4287" s="21">
        <v>1</v>
      </c>
      <c r="E4287" s="12">
        <v>139</v>
      </c>
      <c r="F4287" s="10" t="str">
        <f>_xlfn.XLOOKUP(C4287,menu!A:A,menu!B:B)</f>
        <v>Chicken Strips</v>
      </c>
      <c r="G4287" s="10" t="str">
        <f>_xlfn.XLOOKUP(C4287,menu!A:A,menu!C:C)</f>
        <v>Starters</v>
      </c>
      <c r="H4287" s="10">
        <f>_xlfn.XLOOKUP(C4287,menu!A:A,menu!E:E)</f>
        <v>42</v>
      </c>
      <c r="I4287" s="10">
        <f t="shared" si="66"/>
        <v>42</v>
      </c>
      <c r="K4287" s="10"/>
      <c r="L4287" s="5"/>
    </row>
    <row r="4288" spans="1:12" x14ac:dyDescent="0.25">
      <c r="A4288" s="5" t="s">
        <v>1298</v>
      </c>
      <c r="B4288" s="5" t="s">
        <v>1296</v>
      </c>
      <c r="C4288" s="5" t="s">
        <v>44</v>
      </c>
      <c r="D4288" s="21">
        <v>3</v>
      </c>
      <c r="E4288" s="12">
        <v>477</v>
      </c>
      <c r="F4288" s="10" t="str">
        <f>_xlfn.XLOOKUP(C4288,menu!A:A,menu!B:B)</f>
        <v>Fried Chicken</v>
      </c>
      <c r="G4288" s="10" t="str">
        <f>_xlfn.XLOOKUP(C4288,menu!A:A,menu!C:C)</f>
        <v>Starters</v>
      </c>
      <c r="H4288" s="10">
        <f>_xlfn.XLOOKUP(C4288,menu!A:A,menu!E:E)</f>
        <v>48</v>
      </c>
      <c r="I4288" s="10">
        <f t="shared" si="66"/>
        <v>144</v>
      </c>
      <c r="K4288" s="10"/>
      <c r="L4288" s="5"/>
    </row>
    <row r="4289" spans="1:12" x14ac:dyDescent="0.25">
      <c r="A4289" s="5" t="s">
        <v>1297</v>
      </c>
      <c r="B4289" s="5" t="s">
        <v>1296</v>
      </c>
      <c r="C4289" s="5" t="s">
        <v>54</v>
      </c>
      <c r="D4289" s="21">
        <v>3</v>
      </c>
      <c r="E4289" s="12">
        <v>417</v>
      </c>
      <c r="F4289" s="10" t="str">
        <f>_xlfn.XLOOKUP(C4289,menu!A:A,menu!B:B)</f>
        <v>Chicken Strips</v>
      </c>
      <c r="G4289" s="10" t="str">
        <f>_xlfn.XLOOKUP(C4289,menu!A:A,menu!C:C)</f>
        <v>Starters</v>
      </c>
      <c r="H4289" s="10">
        <f>_xlfn.XLOOKUP(C4289,menu!A:A,menu!E:E)</f>
        <v>42</v>
      </c>
      <c r="I4289" s="10">
        <f t="shared" si="66"/>
        <v>126</v>
      </c>
      <c r="K4289" s="10"/>
      <c r="L4289" s="5"/>
    </row>
    <row r="4290" spans="1:12" x14ac:dyDescent="0.25">
      <c r="A4290" s="5" t="s">
        <v>1295</v>
      </c>
      <c r="B4290" s="5" t="s">
        <v>1294</v>
      </c>
      <c r="C4290" s="5" t="s">
        <v>42</v>
      </c>
      <c r="D4290" s="21">
        <v>2</v>
      </c>
      <c r="E4290" s="12">
        <v>298</v>
      </c>
      <c r="F4290" s="10" t="str">
        <f>_xlfn.XLOOKUP(C4290,menu!A:A,menu!B:B)</f>
        <v>Chicken Popcorn</v>
      </c>
      <c r="G4290" s="10" t="str">
        <f>_xlfn.XLOOKUP(C4290,menu!A:A,menu!C:C)</f>
        <v>Starters</v>
      </c>
      <c r="H4290" s="10">
        <f>_xlfn.XLOOKUP(C4290,menu!A:A,menu!E:E)</f>
        <v>45</v>
      </c>
      <c r="I4290" s="10">
        <f t="shared" si="66"/>
        <v>90</v>
      </c>
      <c r="K4290" s="10"/>
      <c r="L4290" s="5"/>
    </row>
    <row r="4291" spans="1:12" x14ac:dyDescent="0.25">
      <c r="A4291" s="5" t="s">
        <v>1293</v>
      </c>
      <c r="B4291" s="5" t="s">
        <v>1291</v>
      </c>
      <c r="C4291" s="5" t="s">
        <v>17</v>
      </c>
      <c r="D4291" s="21">
        <v>2</v>
      </c>
      <c r="E4291" s="12">
        <v>178</v>
      </c>
      <c r="F4291" s="10" t="str">
        <f>_xlfn.XLOOKUP(C4291,menu!A:A,menu!B:B)</f>
        <v>Paneer Momos</v>
      </c>
      <c r="G4291" s="10" t="str">
        <f>_xlfn.XLOOKUP(C4291,menu!A:A,menu!C:C)</f>
        <v>Momos</v>
      </c>
      <c r="H4291" s="10">
        <f>_xlfn.XLOOKUP(C4291,menu!A:A,menu!E:E)</f>
        <v>27</v>
      </c>
      <c r="I4291" s="10">
        <f t="shared" ref="I4291:I4354" si="67">D4291*H4291</f>
        <v>54</v>
      </c>
      <c r="K4291" s="10"/>
      <c r="L4291" s="5"/>
    </row>
    <row r="4292" spans="1:12" x14ac:dyDescent="0.25">
      <c r="A4292" s="5" t="s">
        <v>1292</v>
      </c>
      <c r="B4292" s="5" t="s">
        <v>1291</v>
      </c>
      <c r="C4292" s="5" t="s">
        <v>50</v>
      </c>
      <c r="D4292" s="21">
        <v>2</v>
      </c>
      <c r="E4292" s="12">
        <v>298</v>
      </c>
      <c r="F4292" s="10" t="str">
        <f>_xlfn.XLOOKUP(C4292,menu!A:A,menu!B:B)</f>
        <v>Grab Lollipop</v>
      </c>
      <c r="G4292" s="10" t="str">
        <f>_xlfn.XLOOKUP(C4292,menu!A:A,menu!C:C)</f>
        <v>Starters</v>
      </c>
      <c r="H4292" s="10">
        <f>_xlfn.XLOOKUP(C4292,menu!A:A,menu!E:E)</f>
        <v>45</v>
      </c>
      <c r="I4292" s="10">
        <f t="shared" si="67"/>
        <v>90</v>
      </c>
      <c r="K4292" s="10"/>
      <c r="L4292" s="5"/>
    </row>
    <row r="4293" spans="1:12" x14ac:dyDescent="0.25">
      <c r="A4293" s="5" t="s">
        <v>1290</v>
      </c>
      <c r="B4293" s="5" t="s">
        <v>1289</v>
      </c>
      <c r="C4293" s="5" t="s">
        <v>26</v>
      </c>
      <c r="D4293" s="21">
        <v>2</v>
      </c>
      <c r="E4293" s="12">
        <v>118</v>
      </c>
      <c r="F4293" s="10" t="str">
        <f>_xlfn.XLOOKUP(C4293,menu!A:A,menu!B:B)</f>
        <v>Veg Roll</v>
      </c>
      <c r="G4293" s="10" t="str">
        <f>_xlfn.XLOOKUP(C4293,menu!A:A,menu!C:C)</f>
        <v>Rolls</v>
      </c>
      <c r="H4293" s="10">
        <f>_xlfn.XLOOKUP(C4293,menu!A:A,menu!E:E)</f>
        <v>18</v>
      </c>
      <c r="I4293" s="10">
        <f t="shared" si="67"/>
        <v>36</v>
      </c>
      <c r="K4293" s="10"/>
      <c r="L4293" s="5"/>
    </row>
    <row r="4294" spans="1:12" x14ac:dyDescent="0.25">
      <c r="A4294" s="5" t="s">
        <v>1288</v>
      </c>
      <c r="B4294" s="5" t="s">
        <v>1286</v>
      </c>
      <c r="C4294" s="5" t="s">
        <v>26</v>
      </c>
      <c r="D4294" s="21">
        <v>1</v>
      </c>
      <c r="E4294" s="12">
        <v>59</v>
      </c>
      <c r="F4294" s="10" t="str">
        <f>_xlfn.XLOOKUP(C4294,menu!A:A,menu!B:B)</f>
        <v>Veg Roll</v>
      </c>
      <c r="G4294" s="10" t="str">
        <f>_xlfn.XLOOKUP(C4294,menu!A:A,menu!C:C)</f>
        <v>Rolls</v>
      </c>
      <c r="H4294" s="10">
        <f>_xlfn.XLOOKUP(C4294,menu!A:A,menu!E:E)</f>
        <v>18</v>
      </c>
      <c r="I4294" s="10">
        <f t="shared" si="67"/>
        <v>18</v>
      </c>
      <c r="K4294" s="10"/>
      <c r="L4294" s="5"/>
    </row>
    <row r="4295" spans="1:12" x14ac:dyDescent="0.25">
      <c r="A4295" s="5" t="s">
        <v>1287</v>
      </c>
      <c r="B4295" s="5" t="s">
        <v>1286</v>
      </c>
      <c r="C4295" s="5" t="s">
        <v>38</v>
      </c>
      <c r="D4295" s="21">
        <v>2</v>
      </c>
      <c r="E4295" s="12">
        <v>298</v>
      </c>
      <c r="F4295" s="10" t="str">
        <f>_xlfn.XLOOKUP(C4295,menu!A:A,menu!B:B)</f>
        <v>Chicken Wings</v>
      </c>
      <c r="G4295" s="10" t="str">
        <f>_xlfn.XLOOKUP(C4295,menu!A:A,menu!C:C)</f>
        <v>Starters</v>
      </c>
      <c r="H4295" s="10">
        <f>_xlfn.XLOOKUP(C4295,menu!A:A,menu!E:E)</f>
        <v>45</v>
      </c>
      <c r="I4295" s="10">
        <f t="shared" si="67"/>
        <v>90</v>
      </c>
      <c r="K4295" s="10"/>
      <c r="L4295" s="5"/>
    </row>
    <row r="4296" spans="1:12" x14ac:dyDescent="0.25">
      <c r="A4296" s="5" t="s">
        <v>1285</v>
      </c>
      <c r="B4296" s="5" t="s">
        <v>1283</v>
      </c>
      <c r="C4296" s="5" t="s">
        <v>19</v>
      </c>
      <c r="D4296" s="21">
        <v>3</v>
      </c>
      <c r="E4296" s="12">
        <v>237</v>
      </c>
      <c r="F4296" s="10" t="str">
        <f>_xlfn.XLOOKUP(C4296,menu!A:A,menu!B:B)</f>
        <v>Veg Burger</v>
      </c>
      <c r="G4296" s="10" t="str">
        <f>_xlfn.XLOOKUP(C4296,menu!A:A,menu!C:C)</f>
        <v>Burger</v>
      </c>
      <c r="H4296" s="10">
        <f>_xlfn.XLOOKUP(C4296,menu!A:A,menu!E:E)</f>
        <v>24</v>
      </c>
      <c r="I4296" s="10">
        <f t="shared" si="67"/>
        <v>72</v>
      </c>
      <c r="K4296" s="10"/>
      <c r="L4296" s="5"/>
    </row>
    <row r="4297" spans="1:12" x14ac:dyDescent="0.25">
      <c r="A4297" s="5" t="s">
        <v>1284</v>
      </c>
      <c r="B4297" s="5" t="s">
        <v>1283</v>
      </c>
      <c r="C4297" s="5" t="s">
        <v>61</v>
      </c>
      <c r="D4297" s="21">
        <v>1</v>
      </c>
      <c r="E4297" s="12">
        <v>79</v>
      </c>
      <c r="F4297" s="10" t="str">
        <f>_xlfn.XLOOKUP(C4297,menu!A:A,menu!B:B)</f>
        <v>Watermelon Mojito</v>
      </c>
      <c r="G4297" s="10" t="str">
        <f>_xlfn.XLOOKUP(C4297,menu!A:A,menu!C:C)</f>
        <v>Beverages</v>
      </c>
      <c r="H4297" s="10">
        <f>_xlfn.XLOOKUP(C4297,menu!A:A,menu!E:E)</f>
        <v>24</v>
      </c>
      <c r="I4297" s="10">
        <f t="shared" si="67"/>
        <v>24</v>
      </c>
      <c r="K4297" s="10"/>
      <c r="L4297" s="5"/>
    </row>
    <row r="4298" spans="1:12" x14ac:dyDescent="0.25">
      <c r="A4298" s="5" t="s">
        <v>1282</v>
      </c>
      <c r="B4298" s="5" t="s">
        <v>1280</v>
      </c>
      <c r="C4298" s="5" t="s">
        <v>50</v>
      </c>
      <c r="D4298" s="21">
        <v>2</v>
      </c>
      <c r="E4298" s="12">
        <v>298</v>
      </c>
      <c r="F4298" s="10" t="str">
        <f>_xlfn.XLOOKUP(C4298,menu!A:A,menu!B:B)</f>
        <v>Grab Lollipop</v>
      </c>
      <c r="G4298" s="10" t="str">
        <f>_xlfn.XLOOKUP(C4298,menu!A:A,menu!C:C)</f>
        <v>Starters</v>
      </c>
      <c r="H4298" s="10">
        <f>_xlfn.XLOOKUP(C4298,menu!A:A,menu!E:E)</f>
        <v>45</v>
      </c>
      <c r="I4298" s="10">
        <f t="shared" si="67"/>
        <v>90</v>
      </c>
      <c r="K4298" s="10"/>
      <c r="L4298" s="5"/>
    </row>
    <row r="4299" spans="1:12" x14ac:dyDescent="0.25">
      <c r="A4299" s="5" t="s">
        <v>1281</v>
      </c>
      <c r="B4299" s="5" t="s">
        <v>1280</v>
      </c>
      <c r="C4299" s="5" t="s">
        <v>54</v>
      </c>
      <c r="D4299" s="21">
        <v>1</v>
      </c>
      <c r="E4299" s="12">
        <v>139</v>
      </c>
      <c r="F4299" s="10" t="str">
        <f>_xlfn.XLOOKUP(C4299,menu!A:A,menu!B:B)</f>
        <v>Chicken Strips</v>
      </c>
      <c r="G4299" s="10" t="str">
        <f>_xlfn.XLOOKUP(C4299,menu!A:A,menu!C:C)</f>
        <v>Starters</v>
      </c>
      <c r="H4299" s="10">
        <f>_xlfn.XLOOKUP(C4299,menu!A:A,menu!E:E)</f>
        <v>42</v>
      </c>
      <c r="I4299" s="10">
        <f t="shared" si="67"/>
        <v>42</v>
      </c>
      <c r="K4299" s="10"/>
      <c r="L4299" s="5"/>
    </row>
    <row r="4300" spans="1:12" x14ac:dyDescent="0.25">
      <c r="A4300" s="5" t="s">
        <v>1279</v>
      </c>
      <c r="B4300" s="5" t="s">
        <v>1276</v>
      </c>
      <c r="C4300" s="5" t="s">
        <v>19</v>
      </c>
      <c r="D4300" s="21">
        <v>5</v>
      </c>
      <c r="E4300" s="12">
        <v>395</v>
      </c>
      <c r="F4300" s="10" t="str">
        <f>_xlfn.XLOOKUP(C4300,menu!A:A,menu!B:B)</f>
        <v>Veg Burger</v>
      </c>
      <c r="G4300" s="10" t="str">
        <f>_xlfn.XLOOKUP(C4300,menu!A:A,menu!C:C)</f>
        <v>Burger</v>
      </c>
      <c r="H4300" s="10">
        <f>_xlfn.XLOOKUP(C4300,menu!A:A,menu!E:E)</f>
        <v>24</v>
      </c>
      <c r="I4300" s="10">
        <f t="shared" si="67"/>
        <v>120</v>
      </c>
      <c r="K4300" s="10"/>
      <c r="L4300" s="5"/>
    </row>
    <row r="4301" spans="1:12" x14ac:dyDescent="0.25">
      <c r="A4301" s="5" t="s">
        <v>1278</v>
      </c>
      <c r="B4301" s="5" t="s">
        <v>1276</v>
      </c>
      <c r="C4301" s="5" t="s">
        <v>22</v>
      </c>
      <c r="D4301" s="21">
        <v>2</v>
      </c>
      <c r="E4301" s="12">
        <v>198</v>
      </c>
      <c r="F4301" s="10" t="str">
        <f>_xlfn.XLOOKUP(C4301,menu!A:A,menu!B:B)</f>
        <v>Chicken Burger</v>
      </c>
      <c r="G4301" s="10" t="str">
        <f>_xlfn.XLOOKUP(C4301,menu!A:A,menu!C:C)</f>
        <v>Burger</v>
      </c>
      <c r="H4301" s="10">
        <f>_xlfn.XLOOKUP(C4301,menu!A:A,menu!E:E)</f>
        <v>30</v>
      </c>
      <c r="I4301" s="10">
        <f t="shared" si="67"/>
        <v>60</v>
      </c>
      <c r="K4301" s="10"/>
      <c r="L4301" s="5"/>
    </row>
    <row r="4302" spans="1:12" x14ac:dyDescent="0.25">
      <c r="A4302" s="5" t="s">
        <v>1277</v>
      </c>
      <c r="B4302" s="5" t="s">
        <v>1276</v>
      </c>
      <c r="C4302" s="5" t="s">
        <v>26</v>
      </c>
      <c r="D4302" s="21">
        <v>1</v>
      </c>
      <c r="E4302" s="12">
        <v>59</v>
      </c>
      <c r="F4302" s="10" t="str">
        <f>_xlfn.XLOOKUP(C4302,menu!A:A,menu!B:B)</f>
        <v>Veg Roll</v>
      </c>
      <c r="G4302" s="10" t="str">
        <f>_xlfn.XLOOKUP(C4302,menu!A:A,menu!C:C)</f>
        <v>Rolls</v>
      </c>
      <c r="H4302" s="10">
        <f>_xlfn.XLOOKUP(C4302,menu!A:A,menu!E:E)</f>
        <v>18</v>
      </c>
      <c r="I4302" s="10">
        <f t="shared" si="67"/>
        <v>18</v>
      </c>
      <c r="K4302" s="10"/>
      <c r="L4302" s="5"/>
    </row>
    <row r="4303" spans="1:12" x14ac:dyDescent="0.25">
      <c r="A4303" s="5" t="s">
        <v>1275</v>
      </c>
      <c r="B4303" s="5" t="s">
        <v>1273</v>
      </c>
      <c r="C4303" s="5" t="s">
        <v>29</v>
      </c>
      <c r="D4303" s="21">
        <v>1</v>
      </c>
      <c r="E4303" s="12">
        <v>79</v>
      </c>
      <c r="F4303" s="10" t="str">
        <f>_xlfn.XLOOKUP(C4303,menu!A:A,menu!B:B)</f>
        <v>Paneer Roll</v>
      </c>
      <c r="G4303" s="10" t="str">
        <f>_xlfn.XLOOKUP(C4303,menu!A:A,menu!C:C)</f>
        <v>Rolls</v>
      </c>
      <c r="H4303" s="10">
        <f>_xlfn.XLOOKUP(C4303,menu!A:A,menu!E:E)</f>
        <v>24</v>
      </c>
      <c r="I4303" s="10">
        <f t="shared" si="67"/>
        <v>24</v>
      </c>
      <c r="K4303" s="10"/>
      <c r="L4303" s="5"/>
    </row>
    <row r="4304" spans="1:12" x14ac:dyDescent="0.25">
      <c r="A4304" s="5" t="s">
        <v>1274</v>
      </c>
      <c r="B4304" s="5" t="s">
        <v>1273</v>
      </c>
      <c r="C4304" s="5" t="s">
        <v>15</v>
      </c>
      <c r="D4304" s="21">
        <v>2</v>
      </c>
      <c r="E4304" s="12">
        <v>198</v>
      </c>
      <c r="F4304" s="10" t="str">
        <f>_xlfn.XLOOKUP(C4304,menu!A:A,menu!B:B)</f>
        <v>Chicken Momos</v>
      </c>
      <c r="G4304" s="10" t="str">
        <f>_xlfn.XLOOKUP(C4304,menu!A:A,menu!C:C)</f>
        <v>Momos</v>
      </c>
      <c r="H4304" s="10">
        <f>_xlfn.XLOOKUP(C4304,menu!A:A,menu!E:E)</f>
        <v>30</v>
      </c>
      <c r="I4304" s="10">
        <f t="shared" si="67"/>
        <v>60</v>
      </c>
      <c r="K4304" s="10"/>
      <c r="L4304" s="5"/>
    </row>
    <row r="4305" spans="1:12" x14ac:dyDescent="0.25">
      <c r="A4305" s="5" t="s">
        <v>1272</v>
      </c>
      <c r="B4305" s="5" t="s">
        <v>1268</v>
      </c>
      <c r="C4305" s="5" t="s">
        <v>12</v>
      </c>
      <c r="D4305" s="21">
        <v>4</v>
      </c>
      <c r="E4305" s="12">
        <v>316</v>
      </c>
      <c r="F4305" s="10" t="str">
        <f>_xlfn.XLOOKUP(C4305,menu!A:A,menu!B:B)</f>
        <v>Veg Momos</v>
      </c>
      <c r="G4305" s="10" t="str">
        <f>_xlfn.XLOOKUP(C4305,menu!A:A,menu!C:C)</f>
        <v>Momos</v>
      </c>
      <c r="H4305" s="10">
        <f>_xlfn.XLOOKUP(C4305,menu!A:A,menu!E:E)</f>
        <v>24</v>
      </c>
      <c r="I4305" s="10">
        <f t="shared" si="67"/>
        <v>96</v>
      </c>
      <c r="K4305" s="10"/>
      <c r="L4305" s="5"/>
    </row>
    <row r="4306" spans="1:12" x14ac:dyDescent="0.25">
      <c r="A4306" s="5" t="s">
        <v>1271</v>
      </c>
      <c r="B4306" s="5" t="s">
        <v>1268</v>
      </c>
      <c r="C4306" s="5" t="s">
        <v>52</v>
      </c>
      <c r="D4306" s="21">
        <v>3</v>
      </c>
      <c r="E4306" s="12">
        <v>297</v>
      </c>
      <c r="F4306" s="10" t="str">
        <f>_xlfn.XLOOKUP(C4306,menu!A:A,menu!B:B)</f>
        <v>French Fries</v>
      </c>
      <c r="G4306" s="10" t="str">
        <f>_xlfn.XLOOKUP(C4306,menu!A:A,menu!C:C)</f>
        <v>Starters</v>
      </c>
      <c r="H4306" s="10">
        <f>_xlfn.XLOOKUP(C4306,menu!A:A,menu!E:E)</f>
        <v>30</v>
      </c>
      <c r="I4306" s="10">
        <f t="shared" si="67"/>
        <v>90</v>
      </c>
      <c r="K4306" s="10"/>
      <c r="L4306" s="5"/>
    </row>
    <row r="4307" spans="1:12" x14ac:dyDescent="0.25">
      <c r="A4307" s="5" t="s">
        <v>1270</v>
      </c>
      <c r="B4307" s="5" t="s">
        <v>1268</v>
      </c>
      <c r="C4307" s="5" t="s">
        <v>8</v>
      </c>
      <c r="D4307" s="21">
        <v>1</v>
      </c>
      <c r="E4307" s="12">
        <v>99</v>
      </c>
      <c r="F4307" s="10" t="str">
        <f>_xlfn.XLOOKUP(C4307,menu!A:A,menu!B:B)</f>
        <v>Paneer Sandwich</v>
      </c>
      <c r="G4307" s="10" t="str">
        <f>_xlfn.XLOOKUP(C4307,menu!A:A,menu!C:C)</f>
        <v>Sandwich</v>
      </c>
      <c r="H4307" s="10">
        <f>_xlfn.XLOOKUP(C4307,menu!A:A,menu!E:E)</f>
        <v>30</v>
      </c>
      <c r="I4307" s="10">
        <f t="shared" si="67"/>
        <v>30</v>
      </c>
      <c r="K4307" s="10"/>
      <c r="L4307" s="5"/>
    </row>
    <row r="4308" spans="1:12" x14ac:dyDescent="0.25">
      <c r="A4308" s="5" t="s">
        <v>1269</v>
      </c>
      <c r="B4308" s="5" t="s">
        <v>1268</v>
      </c>
      <c r="C4308" s="5" t="s">
        <v>33</v>
      </c>
      <c r="D4308" s="21">
        <v>2</v>
      </c>
      <c r="E4308" s="12">
        <v>138</v>
      </c>
      <c r="F4308" s="10" t="str">
        <f>_xlfn.XLOOKUP(C4308,menu!A:A,menu!B:B)</f>
        <v>Spring Roll</v>
      </c>
      <c r="G4308" s="10" t="str">
        <f>_xlfn.XLOOKUP(C4308,menu!A:A,menu!C:C)</f>
        <v>Rolls</v>
      </c>
      <c r="H4308" s="10">
        <f>_xlfn.XLOOKUP(C4308,menu!A:A,menu!E:E)</f>
        <v>21</v>
      </c>
      <c r="I4308" s="10">
        <f t="shared" si="67"/>
        <v>42</v>
      </c>
      <c r="K4308" s="10"/>
      <c r="L4308" s="5"/>
    </row>
    <row r="4309" spans="1:12" x14ac:dyDescent="0.25">
      <c r="A4309" s="5" t="s">
        <v>1267</v>
      </c>
      <c r="B4309" s="5" t="s">
        <v>1266</v>
      </c>
      <c r="C4309" s="5" t="s">
        <v>5</v>
      </c>
      <c r="D4309" s="21">
        <v>1</v>
      </c>
      <c r="E4309" s="12">
        <v>79</v>
      </c>
      <c r="F4309" s="10" t="str">
        <f>_xlfn.XLOOKUP(C4309,menu!A:A,menu!B:B)</f>
        <v>Veg Sandwich</v>
      </c>
      <c r="G4309" s="10" t="str">
        <f>_xlfn.XLOOKUP(C4309,menu!A:A,menu!C:C)</f>
        <v>Sandwich</v>
      </c>
      <c r="H4309" s="10">
        <f>_xlfn.XLOOKUP(C4309,menu!A:A,menu!E:E)</f>
        <v>24</v>
      </c>
      <c r="I4309" s="10">
        <f t="shared" si="67"/>
        <v>24</v>
      </c>
      <c r="K4309" s="10"/>
      <c r="L4309" s="5"/>
    </row>
    <row r="4310" spans="1:12" x14ac:dyDescent="0.25">
      <c r="A4310" s="5" t="s">
        <v>1265</v>
      </c>
      <c r="B4310" s="5" t="s">
        <v>1264</v>
      </c>
      <c r="C4310" s="5" t="s">
        <v>52</v>
      </c>
      <c r="D4310" s="21">
        <v>1</v>
      </c>
      <c r="E4310" s="12">
        <v>99</v>
      </c>
      <c r="F4310" s="10" t="str">
        <f>_xlfn.XLOOKUP(C4310,menu!A:A,menu!B:B)</f>
        <v>French Fries</v>
      </c>
      <c r="G4310" s="10" t="str">
        <f>_xlfn.XLOOKUP(C4310,menu!A:A,menu!C:C)</f>
        <v>Starters</v>
      </c>
      <c r="H4310" s="10">
        <f>_xlfn.XLOOKUP(C4310,menu!A:A,menu!E:E)</f>
        <v>30</v>
      </c>
      <c r="I4310" s="10">
        <f t="shared" si="67"/>
        <v>30</v>
      </c>
      <c r="K4310" s="10"/>
      <c r="L4310" s="5"/>
    </row>
    <row r="4311" spans="1:12" x14ac:dyDescent="0.25">
      <c r="A4311" s="5" t="s">
        <v>1263</v>
      </c>
      <c r="B4311" s="5" t="s">
        <v>1261</v>
      </c>
      <c r="C4311" s="5" t="s">
        <v>48</v>
      </c>
      <c r="D4311" s="21">
        <v>1</v>
      </c>
      <c r="E4311" s="12">
        <v>159</v>
      </c>
      <c r="F4311" s="10" t="str">
        <f>_xlfn.XLOOKUP(C4311,menu!A:A,menu!B:B)</f>
        <v>Chicken Lollipop</v>
      </c>
      <c r="G4311" s="10" t="str">
        <f>_xlfn.XLOOKUP(C4311,menu!A:A,menu!C:C)</f>
        <v>Starters</v>
      </c>
      <c r="H4311" s="10">
        <f>_xlfn.XLOOKUP(C4311,menu!A:A,menu!E:E)</f>
        <v>48</v>
      </c>
      <c r="I4311" s="10">
        <f t="shared" si="67"/>
        <v>48</v>
      </c>
      <c r="K4311" s="10"/>
      <c r="L4311" s="5"/>
    </row>
    <row r="4312" spans="1:12" x14ac:dyDescent="0.25">
      <c r="A4312" s="5" t="s">
        <v>1262</v>
      </c>
      <c r="B4312" s="5" t="s">
        <v>1261</v>
      </c>
      <c r="C4312" s="5" t="s">
        <v>24</v>
      </c>
      <c r="D4312" s="21">
        <v>1</v>
      </c>
      <c r="E4312" s="12">
        <v>89</v>
      </c>
      <c r="F4312" s="10" t="str">
        <f>_xlfn.XLOOKUP(C4312,menu!A:A,menu!B:B)</f>
        <v>Paneer Burger</v>
      </c>
      <c r="G4312" s="10" t="str">
        <f>_xlfn.XLOOKUP(C4312,menu!A:A,menu!C:C)</f>
        <v>Burger</v>
      </c>
      <c r="H4312" s="10">
        <f>_xlfn.XLOOKUP(C4312,menu!A:A,menu!E:E)</f>
        <v>27</v>
      </c>
      <c r="I4312" s="10">
        <f t="shared" si="67"/>
        <v>27</v>
      </c>
      <c r="K4312" s="10"/>
      <c r="L4312" s="5"/>
    </row>
    <row r="4313" spans="1:12" x14ac:dyDescent="0.25">
      <c r="A4313" s="5" t="s">
        <v>1260</v>
      </c>
      <c r="B4313" s="5" t="s">
        <v>1257</v>
      </c>
      <c r="C4313" s="5" t="s">
        <v>35</v>
      </c>
      <c r="D4313" s="21">
        <v>2</v>
      </c>
      <c r="E4313" s="12">
        <v>238</v>
      </c>
      <c r="F4313" s="10" t="str">
        <f>_xlfn.XLOOKUP(C4313,menu!A:A,menu!B:B)</f>
        <v>Chicken Nuggets</v>
      </c>
      <c r="G4313" s="10" t="str">
        <f>_xlfn.XLOOKUP(C4313,menu!A:A,menu!C:C)</f>
        <v>Starters</v>
      </c>
      <c r="H4313" s="10">
        <f>_xlfn.XLOOKUP(C4313,menu!A:A,menu!E:E)</f>
        <v>36</v>
      </c>
      <c r="I4313" s="10">
        <f t="shared" si="67"/>
        <v>72</v>
      </c>
      <c r="K4313" s="10"/>
      <c r="L4313" s="5"/>
    </row>
    <row r="4314" spans="1:12" x14ac:dyDescent="0.25">
      <c r="A4314" s="5" t="s">
        <v>1259</v>
      </c>
      <c r="B4314" s="5" t="s">
        <v>1257</v>
      </c>
      <c r="C4314" s="5" t="s">
        <v>8</v>
      </c>
      <c r="D4314" s="21">
        <v>2</v>
      </c>
      <c r="E4314" s="12">
        <v>198</v>
      </c>
      <c r="F4314" s="10" t="str">
        <f>_xlfn.XLOOKUP(C4314,menu!A:A,menu!B:B)</f>
        <v>Paneer Sandwich</v>
      </c>
      <c r="G4314" s="10" t="str">
        <f>_xlfn.XLOOKUP(C4314,menu!A:A,menu!C:C)</f>
        <v>Sandwich</v>
      </c>
      <c r="H4314" s="10">
        <f>_xlfn.XLOOKUP(C4314,menu!A:A,menu!E:E)</f>
        <v>30</v>
      </c>
      <c r="I4314" s="10">
        <f t="shared" si="67"/>
        <v>60</v>
      </c>
      <c r="K4314" s="10"/>
      <c r="L4314" s="5"/>
    </row>
    <row r="4315" spans="1:12" x14ac:dyDescent="0.25">
      <c r="A4315" s="5" t="s">
        <v>1258</v>
      </c>
      <c r="B4315" s="5" t="s">
        <v>1257</v>
      </c>
      <c r="C4315" s="5" t="s">
        <v>31</v>
      </c>
      <c r="D4315" s="21">
        <v>2</v>
      </c>
      <c r="E4315" s="12">
        <v>178</v>
      </c>
      <c r="F4315" s="10" t="str">
        <f>_xlfn.XLOOKUP(C4315,menu!A:A,menu!B:B)</f>
        <v>Chicken Roll</v>
      </c>
      <c r="G4315" s="10" t="str">
        <f>_xlfn.XLOOKUP(C4315,menu!A:A,menu!C:C)</f>
        <v>Rolls</v>
      </c>
      <c r="H4315" s="10">
        <f>_xlfn.XLOOKUP(C4315,menu!A:A,menu!E:E)</f>
        <v>27</v>
      </c>
      <c r="I4315" s="10">
        <f t="shared" si="67"/>
        <v>54</v>
      </c>
      <c r="K4315" s="10"/>
      <c r="L4315" s="5"/>
    </row>
    <row r="4316" spans="1:12" x14ac:dyDescent="0.25">
      <c r="A4316" s="5" t="s">
        <v>1256</v>
      </c>
      <c r="B4316" s="5" t="s">
        <v>1255</v>
      </c>
      <c r="C4316" s="5" t="s">
        <v>52</v>
      </c>
      <c r="D4316" s="21">
        <v>2</v>
      </c>
      <c r="E4316" s="12">
        <v>198</v>
      </c>
      <c r="F4316" s="10" t="str">
        <f>_xlfn.XLOOKUP(C4316,menu!A:A,menu!B:B)</f>
        <v>French Fries</v>
      </c>
      <c r="G4316" s="10" t="str">
        <f>_xlfn.XLOOKUP(C4316,menu!A:A,menu!C:C)</f>
        <v>Starters</v>
      </c>
      <c r="H4316" s="10">
        <f>_xlfn.XLOOKUP(C4316,menu!A:A,menu!E:E)</f>
        <v>30</v>
      </c>
      <c r="I4316" s="10">
        <f t="shared" si="67"/>
        <v>60</v>
      </c>
      <c r="K4316" s="10"/>
      <c r="L4316" s="5"/>
    </row>
    <row r="4317" spans="1:12" x14ac:dyDescent="0.25">
      <c r="A4317" s="5" t="s">
        <v>1254</v>
      </c>
      <c r="B4317" s="5" t="s">
        <v>1250</v>
      </c>
      <c r="C4317" s="5" t="s">
        <v>19</v>
      </c>
      <c r="D4317" s="21">
        <v>3</v>
      </c>
      <c r="E4317" s="12">
        <v>237</v>
      </c>
      <c r="F4317" s="10" t="str">
        <f>_xlfn.XLOOKUP(C4317,menu!A:A,menu!B:B)</f>
        <v>Veg Burger</v>
      </c>
      <c r="G4317" s="10" t="str">
        <f>_xlfn.XLOOKUP(C4317,menu!A:A,menu!C:C)</f>
        <v>Burger</v>
      </c>
      <c r="H4317" s="10">
        <f>_xlfn.XLOOKUP(C4317,menu!A:A,menu!E:E)</f>
        <v>24</v>
      </c>
      <c r="I4317" s="10">
        <f t="shared" si="67"/>
        <v>72</v>
      </c>
      <c r="K4317" s="10"/>
      <c r="L4317" s="5"/>
    </row>
    <row r="4318" spans="1:12" x14ac:dyDescent="0.25">
      <c r="A4318" s="5" t="s">
        <v>1253</v>
      </c>
      <c r="B4318" s="5" t="s">
        <v>1250</v>
      </c>
      <c r="C4318" s="5" t="s">
        <v>52</v>
      </c>
      <c r="D4318" s="21">
        <v>2</v>
      </c>
      <c r="E4318" s="12">
        <v>198</v>
      </c>
      <c r="F4318" s="10" t="str">
        <f>_xlfn.XLOOKUP(C4318,menu!A:A,menu!B:B)</f>
        <v>French Fries</v>
      </c>
      <c r="G4318" s="10" t="str">
        <f>_xlfn.XLOOKUP(C4318,menu!A:A,menu!C:C)</f>
        <v>Starters</v>
      </c>
      <c r="H4318" s="10">
        <f>_xlfn.XLOOKUP(C4318,menu!A:A,menu!E:E)</f>
        <v>30</v>
      </c>
      <c r="I4318" s="10">
        <f t="shared" si="67"/>
        <v>60</v>
      </c>
      <c r="K4318" s="10"/>
      <c r="L4318" s="5"/>
    </row>
    <row r="4319" spans="1:12" x14ac:dyDescent="0.25">
      <c r="A4319" s="5" t="s">
        <v>1252</v>
      </c>
      <c r="B4319" s="5" t="s">
        <v>1250</v>
      </c>
      <c r="C4319" s="5" t="s">
        <v>56</v>
      </c>
      <c r="D4319" s="21">
        <v>2</v>
      </c>
      <c r="E4319" s="12">
        <v>158</v>
      </c>
      <c r="F4319" s="10" t="str">
        <f>_xlfn.XLOOKUP(C4319,menu!A:A,menu!B:B)</f>
        <v>Mint Mojito</v>
      </c>
      <c r="G4319" s="10" t="str">
        <f>_xlfn.XLOOKUP(C4319,menu!A:A,menu!C:C)</f>
        <v>Beverages</v>
      </c>
      <c r="H4319" s="10">
        <f>_xlfn.XLOOKUP(C4319,menu!A:A,menu!E:E)</f>
        <v>24</v>
      </c>
      <c r="I4319" s="10">
        <f t="shared" si="67"/>
        <v>48</v>
      </c>
      <c r="K4319" s="10"/>
      <c r="L4319" s="5"/>
    </row>
    <row r="4320" spans="1:12" x14ac:dyDescent="0.25">
      <c r="A4320" s="5" t="s">
        <v>1251</v>
      </c>
      <c r="B4320" s="5" t="s">
        <v>1250</v>
      </c>
      <c r="C4320" s="5" t="s">
        <v>38</v>
      </c>
      <c r="D4320" s="21">
        <v>1</v>
      </c>
      <c r="E4320" s="12">
        <v>149</v>
      </c>
      <c r="F4320" s="10" t="str">
        <f>_xlfn.XLOOKUP(C4320,menu!A:A,menu!B:B)</f>
        <v>Chicken Wings</v>
      </c>
      <c r="G4320" s="10" t="str">
        <f>_xlfn.XLOOKUP(C4320,menu!A:A,menu!C:C)</f>
        <v>Starters</v>
      </c>
      <c r="H4320" s="10">
        <f>_xlfn.XLOOKUP(C4320,menu!A:A,menu!E:E)</f>
        <v>45</v>
      </c>
      <c r="I4320" s="10">
        <f t="shared" si="67"/>
        <v>45</v>
      </c>
      <c r="K4320" s="10"/>
      <c r="L4320" s="5"/>
    </row>
    <row r="4321" spans="1:12" x14ac:dyDescent="0.25">
      <c r="A4321" s="5" t="s">
        <v>1249</v>
      </c>
      <c r="B4321" s="5" t="s">
        <v>1245</v>
      </c>
      <c r="C4321" s="5" t="s">
        <v>17</v>
      </c>
      <c r="D4321" s="21">
        <v>2</v>
      </c>
      <c r="E4321" s="12">
        <v>178</v>
      </c>
      <c r="F4321" s="10" t="str">
        <f>_xlfn.XLOOKUP(C4321,menu!A:A,menu!B:B)</f>
        <v>Paneer Momos</v>
      </c>
      <c r="G4321" s="10" t="str">
        <f>_xlfn.XLOOKUP(C4321,menu!A:A,menu!C:C)</f>
        <v>Momos</v>
      </c>
      <c r="H4321" s="10">
        <f>_xlfn.XLOOKUP(C4321,menu!A:A,menu!E:E)</f>
        <v>27</v>
      </c>
      <c r="I4321" s="10">
        <f t="shared" si="67"/>
        <v>54</v>
      </c>
      <c r="K4321" s="10"/>
      <c r="L4321" s="5"/>
    </row>
    <row r="4322" spans="1:12" x14ac:dyDescent="0.25">
      <c r="A4322" s="5" t="s">
        <v>1248</v>
      </c>
      <c r="B4322" s="5" t="s">
        <v>1245</v>
      </c>
      <c r="C4322" s="5" t="s">
        <v>10</v>
      </c>
      <c r="D4322" s="21">
        <v>4</v>
      </c>
      <c r="E4322" s="12">
        <v>476</v>
      </c>
      <c r="F4322" s="10" t="str">
        <f>_xlfn.XLOOKUP(C4322,menu!A:A,menu!B:B)</f>
        <v>Chicken Sandwich</v>
      </c>
      <c r="G4322" s="10" t="str">
        <f>_xlfn.XLOOKUP(C4322,menu!A:A,menu!C:C)</f>
        <v>Sandwich</v>
      </c>
      <c r="H4322" s="10">
        <f>_xlfn.XLOOKUP(C4322,menu!A:A,menu!E:E)</f>
        <v>36</v>
      </c>
      <c r="I4322" s="10">
        <f t="shared" si="67"/>
        <v>144</v>
      </c>
      <c r="K4322" s="10"/>
      <c r="L4322" s="5"/>
    </row>
    <row r="4323" spans="1:12" x14ac:dyDescent="0.25">
      <c r="A4323" s="5" t="s">
        <v>1247</v>
      </c>
      <c r="B4323" s="5" t="s">
        <v>1245</v>
      </c>
      <c r="C4323" s="5" t="s">
        <v>50</v>
      </c>
      <c r="D4323" s="21">
        <v>1</v>
      </c>
      <c r="E4323" s="12">
        <v>149</v>
      </c>
      <c r="F4323" s="10" t="str">
        <f>_xlfn.XLOOKUP(C4323,menu!A:A,menu!B:B)</f>
        <v>Grab Lollipop</v>
      </c>
      <c r="G4323" s="10" t="str">
        <f>_xlfn.XLOOKUP(C4323,menu!A:A,menu!C:C)</f>
        <v>Starters</v>
      </c>
      <c r="H4323" s="10">
        <f>_xlfn.XLOOKUP(C4323,menu!A:A,menu!E:E)</f>
        <v>45</v>
      </c>
      <c r="I4323" s="10">
        <f t="shared" si="67"/>
        <v>45</v>
      </c>
      <c r="K4323" s="10"/>
      <c r="L4323" s="5"/>
    </row>
    <row r="4324" spans="1:12" x14ac:dyDescent="0.25">
      <c r="A4324" s="5" t="s">
        <v>1246</v>
      </c>
      <c r="B4324" s="5" t="s">
        <v>1245</v>
      </c>
      <c r="C4324" s="5" t="s">
        <v>44</v>
      </c>
      <c r="D4324" s="21">
        <v>2</v>
      </c>
      <c r="E4324" s="12">
        <v>318</v>
      </c>
      <c r="F4324" s="10" t="str">
        <f>_xlfn.XLOOKUP(C4324,menu!A:A,menu!B:B)</f>
        <v>Fried Chicken</v>
      </c>
      <c r="G4324" s="10" t="str">
        <f>_xlfn.XLOOKUP(C4324,menu!A:A,menu!C:C)</f>
        <v>Starters</v>
      </c>
      <c r="H4324" s="10">
        <f>_xlfn.XLOOKUP(C4324,menu!A:A,menu!E:E)</f>
        <v>48</v>
      </c>
      <c r="I4324" s="10">
        <f t="shared" si="67"/>
        <v>96</v>
      </c>
      <c r="K4324" s="10"/>
      <c r="L4324" s="5"/>
    </row>
    <row r="4325" spans="1:12" x14ac:dyDescent="0.25">
      <c r="A4325" s="5" t="s">
        <v>1244</v>
      </c>
      <c r="B4325" s="5" t="s">
        <v>1241</v>
      </c>
      <c r="C4325" s="5" t="s">
        <v>56</v>
      </c>
      <c r="D4325" s="21">
        <v>5</v>
      </c>
      <c r="E4325" s="12">
        <v>395</v>
      </c>
      <c r="F4325" s="10" t="str">
        <f>_xlfn.XLOOKUP(C4325,menu!A:A,menu!B:B)</f>
        <v>Mint Mojito</v>
      </c>
      <c r="G4325" s="10" t="str">
        <f>_xlfn.XLOOKUP(C4325,menu!A:A,menu!C:C)</f>
        <v>Beverages</v>
      </c>
      <c r="H4325" s="10">
        <f>_xlfn.XLOOKUP(C4325,menu!A:A,menu!E:E)</f>
        <v>24</v>
      </c>
      <c r="I4325" s="10">
        <f t="shared" si="67"/>
        <v>120</v>
      </c>
      <c r="K4325" s="10"/>
      <c r="L4325" s="5"/>
    </row>
    <row r="4326" spans="1:12" x14ac:dyDescent="0.25">
      <c r="A4326" s="5" t="s">
        <v>1243</v>
      </c>
      <c r="B4326" s="5" t="s">
        <v>1241</v>
      </c>
      <c r="C4326" s="5" t="s">
        <v>63</v>
      </c>
      <c r="D4326" s="21">
        <v>1</v>
      </c>
      <c r="E4326" s="12">
        <v>79</v>
      </c>
      <c r="F4326" s="10" t="str">
        <f>_xlfn.XLOOKUP(C4326,menu!A:A,menu!B:B)</f>
        <v>Virgin Mojito</v>
      </c>
      <c r="G4326" s="10" t="str">
        <f>_xlfn.XLOOKUP(C4326,menu!A:A,menu!C:C)</f>
        <v>Beverages</v>
      </c>
      <c r="H4326" s="10">
        <f>_xlfn.XLOOKUP(C4326,menu!A:A,menu!E:E)</f>
        <v>24</v>
      </c>
      <c r="I4326" s="10">
        <f t="shared" si="67"/>
        <v>24</v>
      </c>
      <c r="K4326" s="10"/>
      <c r="L4326" s="5"/>
    </row>
    <row r="4327" spans="1:12" x14ac:dyDescent="0.25">
      <c r="A4327" s="5" t="s">
        <v>1242</v>
      </c>
      <c r="B4327" s="5" t="s">
        <v>1241</v>
      </c>
      <c r="C4327" s="5" t="s">
        <v>22</v>
      </c>
      <c r="D4327" s="21">
        <v>3</v>
      </c>
      <c r="E4327" s="12">
        <v>297</v>
      </c>
      <c r="F4327" s="10" t="str">
        <f>_xlfn.XLOOKUP(C4327,menu!A:A,menu!B:B)</f>
        <v>Chicken Burger</v>
      </c>
      <c r="G4327" s="10" t="str">
        <f>_xlfn.XLOOKUP(C4327,menu!A:A,menu!C:C)</f>
        <v>Burger</v>
      </c>
      <c r="H4327" s="10">
        <f>_xlfn.XLOOKUP(C4327,menu!A:A,menu!E:E)</f>
        <v>30</v>
      </c>
      <c r="I4327" s="10">
        <f t="shared" si="67"/>
        <v>90</v>
      </c>
      <c r="K4327" s="10"/>
      <c r="L4327" s="5"/>
    </row>
    <row r="4328" spans="1:12" x14ac:dyDescent="0.25">
      <c r="A4328" s="5" t="s">
        <v>1240</v>
      </c>
      <c r="B4328" s="5" t="s">
        <v>1236</v>
      </c>
      <c r="C4328" s="5" t="s">
        <v>40</v>
      </c>
      <c r="D4328" s="21">
        <v>5</v>
      </c>
      <c r="E4328" s="12">
        <v>495</v>
      </c>
      <c r="F4328" s="10" t="str">
        <f>_xlfn.XLOOKUP(C4328,menu!A:A,menu!B:B)</f>
        <v>Veg Nuggets</v>
      </c>
      <c r="G4328" s="10" t="str">
        <f>_xlfn.XLOOKUP(C4328,menu!A:A,menu!C:C)</f>
        <v>Starters</v>
      </c>
      <c r="H4328" s="10">
        <f>_xlfn.XLOOKUP(C4328,menu!A:A,menu!E:E)</f>
        <v>30</v>
      </c>
      <c r="I4328" s="10">
        <f t="shared" si="67"/>
        <v>150</v>
      </c>
      <c r="K4328" s="10"/>
      <c r="L4328" s="5"/>
    </row>
    <row r="4329" spans="1:12" x14ac:dyDescent="0.25">
      <c r="A4329" s="5" t="s">
        <v>1239</v>
      </c>
      <c r="B4329" s="5" t="s">
        <v>1236</v>
      </c>
      <c r="C4329" s="5" t="s">
        <v>52</v>
      </c>
      <c r="D4329" s="21">
        <v>1</v>
      </c>
      <c r="E4329" s="12">
        <v>99</v>
      </c>
      <c r="F4329" s="10" t="str">
        <f>_xlfn.XLOOKUP(C4329,menu!A:A,menu!B:B)</f>
        <v>French Fries</v>
      </c>
      <c r="G4329" s="10" t="str">
        <f>_xlfn.XLOOKUP(C4329,menu!A:A,menu!C:C)</f>
        <v>Starters</v>
      </c>
      <c r="H4329" s="10">
        <f>_xlfn.XLOOKUP(C4329,menu!A:A,menu!E:E)</f>
        <v>30</v>
      </c>
      <c r="I4329" s="10">
        <f t="shared" si="67"/>
        <v>30</v>
      </c>
      <c r="K4329" s="10"/>
      <c r="L4329" s="5"/>
    </row>
    <row r="4330" spans="1:12" x14ac:dyDescent="0.25">
      <c r="A4330" s="5" t="s">
        <v>1238</v>
      </c>
      <c r="B4330" s="5" t="s">
        <v>1236</v>
      </c>
      <c r="C4330" s="5" t="s">
        <v>15</v>
      </c>
      <c r="D4330" s="21">
        <v>4</v>
      </c>
      <c r="E4330" s="12">
        <v>396</v>
      </c>
      <c r="F4330" s="10" t="str">
        <f>_xlfn.XLOOKUP(C4330,menu!A:A,menu!B:B)</f>
        <v>Chicken Momos</v>
      </c>
      <c r="G4330" s="10" t="str">
        <f>_xlfn.XLOOKUP(C4330,menu!A:A,menu!C:C)</f>
        <v>Momos</v>
      </c>
      <c r="H4330" s="10">
        <f>_xlfn.XLOOKUP(C4330,menu!A:A,menu!E:E)</f>
        <v>30</v>
      </c>
      <c r="I4330" s="10">
        <f t="shared" si="67"/>
        <v>120</v>
      </c>
      <c r="K4330" s="10"/>
      <c r="L4330" s="5"/>
    </row>
    <row r="4331" spans="1:12" x14ac:dyDescent="0.25">
      <c r="A4331" s="5" t="s">
        <v>1237</v>
      </c>
      <c r="B4331" s="5" t="s">
        <v>1236</v>
      </c>
      <c r="C4331" s="5" t="s">
        <v>38</v>
      </c>
      <c r="D4331" s="21">
        <v>2</v>
      </c>
      <c r="E4331" s="12">
        <v>298</v>
      </c>
      <c r="F4331" s="10" t="str">
        <f>_xlfn.XLOOKUP(C4331,menu!A:A,menu!B:B)</f>
        <v>Chicken Wings</v>
      </c>
      <c r="G4331" s="10" t="str">
        <f>_xlfn.XLOOKUP(C4331,menu!A:A,menu!C:C)</f>
        <v>Starters</v>
      </c>
      <c r="H4331" s="10">
        <f>_xlfn.XLOOKUP(C4331,menu!A:A,menu!E:E)</f>
        <v>45</v>
      </c>
      <c r="I4331" s="10">
        <f t="shared" si="67"/>
        <v>90</v>
      </c>
      <c r="K4331" s="10"/>
      <c r="L4331" s="5"/>
    </row>
    <row r="4332" spans="1:12" x14ac:dyDescent="0.25">
      <c r="A4332" s="5" t="s">
        <v>1235</v>
      </c>
      <c r="B4332" s="5" t="s">
        <v>1231</v>
      </c>
      <c r="C4332" s="5" t="s">
        <v>40</v>
      </c>
      <c r="D4332" s="21">
        <v>1</v>
      </c>
      <c r="E4332" s="12">
        <v>99</v>
      </c>
      <c r="F4332" s="10" t="str">
        <f>_xlfn.XLOOKUP(C4332,menu!A:A,menu!B:B)</f>
        <v>Veg Nuggets</v>
      </c>
      <c r="G4332" s="10" t="str">
        <f>_xlfn.XLOOKUP(C4332,menu!A:A,menu!C:C)</f>
        <v>Starters</v>
      </c>
      <c r="H4332" s="10">
        <f>_xlfn.XLOOKUP(C4332,menu!A:A,menu!E:E)</f>
        <v>30</v>
      </c>
      <c r="I4332" s="10">
        <f t="shared" si="67"/>
        <v>30</v>
      </c>
      <c r="K4332" s="10"/>
      <c r="L4332" s="5"/>
    </row>
    <row r="4333" spans="1:12" x14ac:dyDescent="0.25">
      <c r="A4333" s="5" t="s">
        <v>1234</v>
      </c>
      <c r="B4333" s="5" t="s">
        <v>1231</v>
      </c>
      <c r="C4333" s="5" t="s">
        <v>10</v>
      </c>
      <c r="D4333" s="21">
        <v>1</v>
      </c>
      <c r="E4333" s="12">
        <v>119</v>
      </c>
      <c r="F4333" s="10" t="str">
        <f>_xlfn.XLOOKUP(C4333,menu!A:A,menu!B:B)</f>
        <v>Chicken Sandwich</v>
      </c>
      <c r="G4333" s="10" t="str">
        <f>_xlfn.XLOOKUP(C4333,menu!A:A,menu!C:C)</f>
        <v>Sandwich</v>
      </c>
      <c r="H4333" s="10">
        <f>_xlfn.XLOOKUP(C4333,menu!A:A,menu!E:E)</f>
        <v>36</v>
      </c>
      <c r="I4333" s="10">
        <f t="shared" si="67"/>
        <v>36</v>
      </c>
      <c r="K4333" s="10"/>
      <c r="L4333" s="5"/>
    </row>
    <row r="4334" spans="1:12" x14ac:dyDescent="0.25">
      <c r="A4334" s="5" t="s">
        <v>1233</v>
      </c>
      <c r="B4334" s="5" t="s">
        <v>1231</v>
      </c>
      <c r="C4334" s="5" t="s">
        <v>42</v>
      </c>
      <c r="D4334" s="21">
        <v>1</v>
      </c>
      <c r="E4334" s="12">
        <v>149</v>
      </c>
      <c r="F4334" s="10" t="str">
        <f>_xlfn.XLOOKUP(C4334,menu!A:A,menu!B:B)</f>
        <v>Chicken Popcorn</v>
      </c>
      <c r="G4334" s="10" t="str">
        <f>_xlfn.XLOOKUP(C4334,menu!A:A,menu!C:C)</f>
        <v>Starters</v>
      </c>
      <c r="H4334" s="10">
        <f>_xlfn.XLOOKUP(C4334,menu!A:A,menu!E:E)</f>
        <v>45</v>
      </c>
      <c r="I4334" s="10">
        <f t="shared" si="67"/>
        <v>45</v>
      </c>
      <c r="K4334" s="10"/>
      <c r="L4334" s="5"/>
    </row>
    <row r="4335" spans="1:12" x14ac:dyDescent="0.25">
      <c r="A4335" s="5" t="s">
        <v>1232</v>
      </c>
      <c r="B4335" s="5" t="s">
        <v>1231</v>
      </c>
      <c r="C4335" s="5" t="s">
        <v>33</v>
      </c>
      <c r="D4335" s="21">
        <v>3</v>
      </c>
      <c r="E4335" s="12">
        <v>207</v>
      </c>
      <c r="F4335" s="10" t="str">
        <f>_xlfn.XLOOKUP(C4335,menu!A:A,menu!B:B)</f>
        <v>Spring Roll</v>
      </c>
      <c r="G4335" s="10" t="str">
        <f>_xlfn.XLOOKUP(C4335,menu!A:A,menu!C:C)</f>
        <v>Rolls</v>
      </c>
      <c r="H4335" s="10">
        <f>_xlfn.XLOOKUP(C4335,menu!A:A,menu!E:E)</f>
        <v>21</v>
      </c>
      <c r="I4335" s="10">
        <f t="shared" si="67"/>
        <v>63</v>
      </c>
      <c r="K4335" s="10"/>
      <c r="L4335" s="5"/>
    </row>
    <row r="4336" spans="1:12" x14ac:dyDescent="0.25">
      <c r="A4336" s="5" t="s">
        <v>1230</v>
      </c>
      <c r="B4336" s="5" t="s">
        <v>1228</v>
      </c>
      <c r="C4336" s="5" t="s">
        <v>44</v>
      </c>
      <c r="D4336" s="21">
        <v>5</v>
      </c>
      <c r="E4336" s="12">
        <v>795</v>
      </c>
      <c r="F4336" s="10" t="str">
        <f>_xlfn.XLOOKUP(C4336,menu!A:A,menu!B:B)</f>
        <v>Fried Chicken</v>
      </c>
      <c r="G4336" s="10" t="str">
        <f>_xlfn.XLOOKUP(C4336,menu!A:A,menu!C:C)</f>
        <v>Starters</v>
      </c>
      <c r="H4336" s="10">
        <f>_xlfn.XLOOKUP(C4336,menu!A:A,menu!E:E)</f>
        <v>48</v>
      </c>
      <c r="I4336" s="10">
        <f t="shared" si="67"/>
        <v>240</v>
      </c>
      <c r="K4336" s="10"/>
      <c r="L4336" s="5"/>
    </row>
    <row r="4337" spans="1:12" x14ac:dyDescent="0.25">
      <c r="A4337" s="5" t="s">
        <v>1229</v>
      </c>
      <c r="B4337" s="5" t="s">
        <v>1228</v>
      </c>
      <c r="C4337" s="5" t="s">
        <v>42</v>
      </c>
      <c r="D4337" s="21">
        <v>3</v>
      </c>
      <c r="E4337" s="12">
        <v>447</v>
      </c>
      <c r="F4337" s="10" t="str">
        <f>_xlfn.XLOOKUP(C4337,menu!A:A,menu!B:B)</f>
        <v>Chicken Popcorn</v>
      </c>
      <c r="G4337" s="10" t="str">
        <f>_xlfn.XLOOKUP(C4337,menu!A:A,menu!C:C)</f>
        <v>Starters</v>
      </c>
      <c r="H4337" s="10">
        <f>_xlfn.XLOOKUP(C4337,menu!A:A,menu!E:E)</f>
        <v>45</v>
      </c>
      <c r="I4337" s="10">
        <f t="shared" si="67"/>
        <v>135</v>
      </c>
      <c r="K4337" s="10"/>
      <c r="L4337" s="5"/>
    </row>
    <row r="4338" spans="1:12" x14ac:dyDescent="0.25">
      <c r="A4338" s="5" t="s">
        <v>1227</v>
      </c>
      <c r="B4338" s="5" t="s">
        <v>1223</v>
      </c>
      <c r="C4338" s="5" t="s">
        <v>17</v>
      </c>
      <c r="D4338" s="21">
        <v>1</v>
      </c>
      <c r="E4338" s="12">
        <v>89</v>
      </c>
      <c r="F4338" s="10" t="str">
        <f>_xlfn.XLOOKUP(C4338,menu!A:A,menu!B:B)</f>
        <v>Paneer Momos</v>
      </c>
      <c r="G4338" s="10" t="str">
        <f>_xlfn.XLOOKUP(C4338,menu!A:A,menu!C:C)</f>
        <v>Momos</v>
      </c>
      <c r="H4338" s="10">
        <f>_xlfn.XLOOKUP(C4338,menu!A:A,menu!E:E)</f>
        <v>27</v>
      </c>
      <c r="I4338" s="10">
        <f t="shared" si="67"/>
        <v>27</v>
      </c>
      <c r="K4338" s="10"/>
      <c r="L4338" s="5"/>
    </row>
    <row r="4339" spans="1:12" x14ac:dyDescent="0.25">
      <c r="A4339" s="5" t="s">
        <v>1226</v>
      </c>
      <c r="B4339" s="5" t="s">
        <v>1223</v>
      </c>
      <c r="C4339" s="5" t="s">
        <v>46</v>
      </c>
      <c r="D4339" s="21">
        <v>1</v>
      </c>
      <c r="E4339" s="12">
        <v>149</v>
      </c>
      <c r="F4339" s="10" t="str">
        <f>_xlfn.XLOOKUP(C4339,menu!A:A,menu!B:B)</f>
        <v>Fish Finger</v>
      </c>
      <c r="G4339" s="10" t="str">
        <f>_xlfn.XLOOKUP(C4339,menu!A:A,menu!C:C)</f>
        <v>Starters</v>
      </c>
      <c r="H4339" s="10">
        <f>_xlfn.XLOOKUP(C4339,menu!A:A,menu!E:E)</f>
        <v>45</v>
      </c>
      <c r="I4339" s="10">
        <f t="shared" si="67"/>
        <v>45</v>
      </c>
      <c r="K4339" s="10"/>
      <c r="L4339" s="5"/>
    </row>
    <row r="4340" spans="1:12" x14ac:dyDescent="0.25">
      <c r="A4340" s="5" t="s">
        <v>1225</v>
      </c>
      <c r="B4340" s="5" t="s">
        <v>1223</v>
      </c>
      <c r="C4340" s="5" t="s">
        <v>26</v>
      </c>
      <c r="D4340" s="21">
        <v>2</v>
      </c>
      <c r="E4340" s="12">
        <v>118</v>
      </c>
      <c r="F4340" s="10" t="str">
        <f>_xlfn.XLOOKUP(C4340,menu!A:A,menu!B:B)</f>
        <v>Veg Roll</v>
      </c>
      <c r="G4340" s="10" t="str">
        <f>_xlfn.XLOOKUP(C4340,menu!A:A,menu!C:C)</f>
        <v>Rolls</v>
      </c>
      <c r="H4340" s="10">
        <f>_xlfn.XLOOKUP(C4340,menu!A:A,menu!E:E)</f>
        <v>18</v>
      </c>
      <c r="I4340" s="10">
        <f t="shared" si="67"/>
        <v>36</v>
      </c>
      <c r="K4340" s="10"/>
      <c r="L4340" s="5"/>
    </row>
    <row r="4341" spans="1:12" x14ac:dyDescent="0.25">
      <c r="A4341" s="5" t="s">
        <v>1224</v>
      </c>
      <c r="B4341" s="5" t="s">
        <v>1223</v>
      </c>
      <c r="C4341" s="5" t="s">
        <v>48</v>
      </c>
      <c r="D4341" s="21">
        <v>3</v>
      </c>
      <c r="E4341" s="12">
        <v>477</v>
      </c>
      <c r="F4341" s="10" t="str">
        <f>_xlfn.XLOOKUP(C4341,menu!A:A,menu!B:B)</f>
        <v>Chicken Lollipop</v>
      </c>
      <c r="G4341" s="10" t="str">
        <f>_xlfn.XLOOKUP(C4341,menu!A:A,menu!C:C)</f>
        <v>Starters</v>
      </c>
      <c r="H4341" s="10">
        <f>_xlfn.XLOOKUP(C4341,menu!A:A,menu!E:E)</f>
        <v>48</v>
      </c>
      <c r="I4341" s="10">
        <f t="shared" si="67"/>
        <v>144</v>
      </c>
      <c r="K4341" s="10"/>
      <c r="L4341" s="5"/>
    </row>
    <row r="4342" spans="1:12" x14ac:dyDescent="0.25">
      <c r="A4342" s="5" t="s">
        <v>1222</v>
      </c>
      <c r="B4342" s="5" t="s">
        <v>1220</v>
      </c>
      <c r="C4342" s="5" t="s">
        <v>5</v>
      </c>
      <c r="D4342" s="21">
        <v>1</v>
      </c>
      <c r="E4342" s="12">
        <v>79</v>
      </c>
      <c r="F4342" s="10" t="str">
        <f>_xlfn.XLOOKUP(C4342,menu!A:A,menu!B:B)</f>
        <v>Veg Sandwich</v>
      </c>
      <c r="G4342" s="10" t="str">
        <f>_xlfn.XLOOKUP(C4342,menu!A:A,menu!C:C)</f>
        <v>Sandwich</v>
      </c>
      <c r="H4342" s="10">
        <f>_xlfn.XLOOKUP(C4342,menu!A:A,menu!E:E)</f>
        <v>24</v>
      </c>
      <c r="I4342" s="10">
        <f t="shared" si="67"/>
        <v>24</v>
      </c>
      <c r="K4342" s="10"/>
      <c r="L4342" s="5"/>
    </row>
    <row r="4343" spans="1:12" x14ac:dyDescent="0.25">
      <c r="A4343" s="5" t="s">
        <v>1221</v>
      </c>
      <c r="B4343" s="5" t="s">
        <v>1220</v>
      </c>
      <c r="C4343" s="5" t="s">
        <v>26</v>
      </c>
      <c r="D4343" s="21">
        <v>2</v>
      </c>
      <c r="E4343" s="12">
        <v>118</v>
      </c>
      <c r="F4343" s="10" t="str">
        <f>_xlfn.XLOOKUP(C4343,menu!A:A,menu!B:B)</f>
        <v>Veg Roll</v>
      </c>
      <c r="G4343" s="10" t="str">
        <f>_xlfn.XLOOKUP(C4343,menu!A:A,menu!C:C)</f>
        <v>Rolls</v>
      </c>
      <c r="H4343" s="10">
        <f>_xlfn.XLOOKUP(C4343,menu!A:A,menu!E:E)</f>
        <v>18</v>
      </c>
      <c r="I4343" s="10">
        <f t="shared" si="67"/>
        <v>36</v>
      </c>
      <c r="K4343" s="10"/>
      <c r="L4343" s="5"/>
    </row>
    <row r="4344" spans="1:12" x14ac:dyDescent="0.25">
      <c r="A4344" s="5" t="s">
        <v>1219</v>
      </c>
      <c r="B4344" s="5" t="s">
        <v>1217</v>
      </c>
      <c r="C4344" s="5" t="s">
        <v>12</v>
      </c>
      <c r="D4344" s="21">
        <v>1</v>
      </c>
      <c r="E4344" s="12">
        <v>79</v>
      </c>
      <c r="F4344" s="10" t="str">
        <f>_xlfn.XLOOKUP(C4344,menu!A:A,menu!B:B)</f>
        <v>Veg Momos</v>
      </c>
      <c r="G4344" s="10" t="str">
        <f>_xlfn.XLOOKUP(C4344,menu!A:A,menu!C:C)</f>
        <v>Momos</v>
      </c>
      <c r="H4344" s="10">
        <f>_xlfn.XLOOKUP(C4344,menu!A:A,menu!E:E)</f>
        <v>24</v>
      </c>
      <c r="I4344" s="10">
        <f t="shared" si="67"/>
        <v>24</v>
      </c>
      <c r="K4344" s="10"/>
      <c r="L4344" s="5"/>
    </row>
    <row r="4345" spans="1:12" x14ac:dyDescent="0.25">
      <c r="A4345" s="5" t="s">
        <v>1218</v>
      </c>
      <c r="B4345" s="5" t="s">
        <v>1217</v>
      </c>
      <c r="C4345" s="5" t="s">
        <v>50</v>
      </c>
      <c r="D4345" s="21">
        <v>2</v>
      </c>
      <c r="E4345" s="12">
        <v>298</v>
      </c>
      <c r="F4345" s="10" t="str">
        <f>_xlfn.XLOOKUP(C4345,menu!A:A,menu!B:B)</f>
        <v>Grab Lollipop</v>
      </c>
      <c r="G4345" s="10" t="str">
        <f>_xlfn.XLOOKUP(C4345,menu!A:A,menu!C:C)</f>
        <v>Starters</v>
      </c>
      <c r="H4345" s="10">
        <f>_xlfn.XLOOKUP(C4345,menu!A:A,menu!E:E)</f>
        <v>45</v>
      </c>
      <c r="I4345" s="10">
        <f t="shared" si="67"/>
        <v>90</v>
      </c>
      <c r="K4345" s="10"/>
      <c r="L4345" s="5"/>
    </row>
    <row r="4346" spans="1:12" x14ac:dyDescent="0.25">
      <c r="A4346" s="5" t="s">
        <v>1216</v>
      </c>
      <c r="B4346" s="5" t="s">
        <v>1214</v>
      </c>
      <c r="C4346" s="5" t="s">
        <v>63</v>
      </c>
      <c r="D4346" s="21">
        <v>1</v>
      </c>
      <c r="E4346" s="12">
        <v>79</v>
      </c>
      <c r="F4346" s="10" t="str">
        <f>_xlfn.XLOOKUP(C4346,menu!A:A,menu!B:B)</f>
        <v>Virgin Mojito</v>
      </c>
      <c r="G4346" s="10" t="str">
        <f>_xlfn.XLOOKUP(C4346,menu!A:A,menu!C:C)</f>
        <v>Beverages</v>
      </c>
      <c r="H4346" s="10">
        <f>_xlfn.XLOOKUP(C4346,menu!A:A,menu!E:E)</f>
        <v>24</v>
      </c>
      <c r="I4346" s="10">
        <f t="shared" si="67"/>
        <v>24</v>
      </c>
      <c r="K4346" s="10"/>
      <c r="L4346" s="5"/>
    </row>
    <row r="4347" spans="1:12" x14ac:dyDescent="0.25">
      <c r="A4347" s="5" t="s">
        <v>1215</v>
      </c>
      <c r="B4347" s="5" t="s">
        <v>1214</v>
      </c>
      <c r="C4347" s="5" t="s">
        <v>56</v>
      </c>
      <c r="D4347" s="21">
        <v>1</v>
      </c>
      <c r="E4347" s="12">
        <v>79</v>
      </c>
      <c r="F4347" s="10" t="str">
        <f>_xlfn.XLOOKUP(C4347,menu!A:A,menu!B:B)</f>
        <v>Mint Mojito</v>
      </c>
      <c r="G4347" s="10" t="str">
        <f>_xlfn.XLOOKUP(C4347,menu!A:A,menu!C:C)</f>
        <v>Beverages</v>
      </c>
      <c r="H4347" s="10">
        <f>_xlfn.XLOOKUP(C4347,menu!A:A,menu!E:E)</f>
        <v>24</v>
      </c>
      <c r="I4347" s="10">
        <f t="shared" si="67"/>
        <v>24</v>
      </c>
      <c r="K4347" s="10"/>
      <c r="L4347" s="5"/>
    </row>
    <row r="4348" spans="1:12" x14ac:dyDescent="0.25">
      <c r="A4348" s="5" t="s">
        <v>1213</v>
      </c>
      <c r="B4348" s="5" t="s">
        <v>1211</v>
      </c>
      <c r="C4348" s="5" t="s">
        <v>48</v>
      </c>
      <c r="D4348" s="21">
        <v>1</v>
      </c>
      <c r="E4348" s="12">
        <v>159</v>
      </c>
      <c r="F4348" s="10" t="str">
        <f>_xlfn.XLOOKUP(C4348,menu!A:A,menu!B:B)</f>
        <v>Chicken Lollipop</v>
      </c>
      <c r="G4348" s="10" t="str">
        <f>_xlfn.XLOOKUP(C4348,menu!A:A,menu!C:C)</f>
        <v>Starters</v>
      </c>
      <c r="H4348" s="10">
        <f>_xlfn.XLOOKUP(C4348,menu!A:A,menu!E:E)</f>
        <v>48</v>
      </c>
      <c r="I4348" s="10">
        <f t="shared" si="67"/>
        <v>48</v>
      </c>
      <c r="K4348" s="10"/>
      <c r="L4348" s="5"/>
    </row>
    <row r="4349" spans="1:12" x14ac:dyDescent="0.25">
      <c r="A4349" s="5" t="s">
        <v>1212</v>
      </c>
      <c r="B4349" s="5" t="s">
        <v>1211</v>
      </c>
      <c r="C4349" s="5" t="s">
        <v>38</v>
      </c>
      <c r="D4349" s="21">
        <v>1</v>
      </c>
      <c r="E4349" s="12">
        <v>149</v>
      </c>
      <c r="F4349" s="10" t="str">
        <f>_xlfn.XLOOKUP(C4349,menu!A:A,menu!B:B)</f>
        <v>Chicken Wings</v>
      </c>
      <c r="G4349" s="10" t="str">
        <f>_xlfn.XLOOKUP(C4349,menu!A:A,menu!C:C)</f>
        <v>Starters</v>
      </c>
      <c r="H4349" s="10">
        <f>_xlfn.XLOOKUP(C4349,menu!A:A,menu!E:E)</f>
        <v>45</v>
      </c>
      <c r="I4349" s="10">
        <f t="shared" si="67"/>
        <v>45</v>
      </c>
      <c r="K4349" s="10"/>
      <c r="L4349" s="5"/>
    </row>
    <row r="4350" spans="1:12" x14ac:dyDescent="0.25">
      <c r="A4350" s="5" t="s">
        <v>1210</v>
      </c>
      <c r="B4350" s="5" t="s">
        <v>1209</v>
      </c>
      <c r="C4350" s="5" t="s">
        <v>46</v>
      </c>
      <c r="D4350" s="21">
        <v>1</v>
      </c>
      <c r="E4350" s="12">
        <v>149</v>
      </c>
      <c r="F4350" s="10" t="str">
        <f>_xlfn.XLOOKUP(C4350,menu!A:A,menu!B:B)</f>
        <v>Fish Finger</v>
      </c>
      <c r="G4350" s="10" t="str">
        <f>_xlfn.XLOOKUP(C4350,menu!A:A,menu!C:C)</f>
        <v>Starters</v>
      </c>
      <c r="H4350" s="10">
        <f>_xlfn.XLOOKUP(C4350,menu!A:A,menu!E:E)</f>
        <v>45</v>
      </c>
      <c r="I4350" s="10">
        <f t="shared" si="67"/>
        <v>45</v>
      </c>
      <c r="K4350" s="10"/>
      <c r="L4350" s="5"/>
    </row>
    <row r="4351" spans="1:12" x14ac:dyDescent="0.25">
      <c r="A4351" s="5" t="s">
        <v>1208</v>
      </c>
      <c r="B4351" s="5" t="s">
        <v>1205</v>
      </c>
      <c r="C4351" s="5" t="s">
        <v>12</v>
      </c>
      <c r="D4351" s="21">
        <v>2</v>
      </c>
      <c r="E4351" s="12">
        <v>158</v>
      </c>
      <c r="F4351" s="10" t="str">
        <f>_xlfn.XLOOKUP(C4351,menu!A:A,menu!B:B)</f>
        <v>Veg Momos</v>
      </c>
      <c r="G4351" s="10" t="str">
        <f>_xlfn.XLOOKUP(C4351,menu!A:A,menu!C:C)</f>
        <v>Momos</v>
      </c>
      <c r="H4351" s="10">
        <f>_xlfn.XLOOKUP(C4351,menu!A:A,menu!E:E)</f>
        <v>24</v>
      </c>
      <c r="I4351" s="10">
        <f t="shared" si="67"/>
        <v>48</v>
      </c>
      <c r="K4351" s="10"/>
      <c r="L4351" s="5"/>
    </row>
    <row r="4352" spans="1:12" x14ac:dyDescent="0.25">
      <c r="A4352" s="5" t="s">
        <v>1207</v>
      </c>
      <c r="B4352" s="5" t="s">
        <v>1205</v>
      </c>
      <c r="C4352" s="5" t="s">
        <v>46</v>
      </c>
      <c r="D4352" s="21">
        <v>1</v>
      </c>
      <c r="E4352" s="12">
        <v>149</v>
      </c>
      <c r="F4352" s="10" t="str">
        <f>_xlfn.XLOOKUP(C4352,menu!A:A,menu!B:B)</f>
        <v>Fish Finger</v>
      </c>
      <c r="G4352" s="10" t="str">
        <f>_xlfn.XLOOKUP(C4352,menu!A:A,menu!C:C)</f>
        <v>Starters</v>
      </c>
      <c r="H4352" s="10">
        <f>_xlfn.XLOOKUP(C4352,menu!A:A,menu!E:E)</f>
        <v>45</v>
      </c>
      <c r="I4352" s="10">
        <f t="shared" si="67"/>
        <v>45</v>
      </c>
      <c r="K4352" s="10"/>
      <c r="L4352" s="5"/>
    </row>
    <row r="4353" spans="1:12" x14ac:dyDescent="0.25">
      <c r="A4353" s="5" t="s">
        <v>1206</v>
      </c>
      <c r="B4353" s="5" t="s">
        <v>1205</v>
      </c>
      <c r="C4353" s="5" t="s">
        <v>31</v>
      </c>
      <c r="D4353" s="21">
        <v>4</v>
      </c>
      <c r="E4353" s="12">
        <v>356</v>
      </c>
      <c r="F4353" s="10" t="str">
        <f>_xlfn.XLOOKUP(C4353,menu!A:A,menu!B:B)</f>
        <v>Chicken Roll</v>
      </c>
      <c r="G4353" s="10" t="str">
        <f>_xlfn.XLOOKUP(C4353,menu!A:A,menu!C:C)</f>
        <v>Rolls</v>
      </c>
      <c r="H4353" s="10">
        <f>_xlfn.XLOOKUP(C4353,menu!A:A,menu!E:E)</f>
        <v>27</v>
      </c>
      <c r="I4353" s="10">
        <f t="shared" si="67"/>
        <v>108</v>
      </c>
      <c r="K4353" s="10"/>
      <c r="L4353" s="5"/>
    </row>
    <row r="4354" spans="1:12" x14ac:dyDescent="0.25">
      <c r="A4354" s="5" t="s">
        <v>1204</v>
      </c>
      <c r="B4354" s="5" t="s">
        <v>1202</v>
      </c>
      <c r="C4354" s="5" t="s">
        <v>10</v>
      </c>
      <c r="D4354" s="21">
        <v>1</v>
      </c>
      <c r="E4354" s="12">
        <v>119</v>
      </c>
      <c r="F4354" s="10" t="str">
        <f>_xlfn.XLOOKUP(C4354,menu!A:A,menu!B:B)</f>
        <v>Chicken Sandwich</v>
      </c>
      <c r="G4354" s="10" t="str">
        <f>_xlfn.XLOOKUP(C4354,menu!A:A,menu!C:C)</f>
        <v>Sandwich</v>
      </c>
      <c r="H4354" s="10">
        <f>_xlfn.XLOOKUP(C4354,menu!A:A,menu!E:E)</f>
        <v>36</v>
      </c>
      <c r="I4354" s="10">
        <f t="shared" si="67"/>
        <v>36</v>
      </c>
      <c r="K4354" s="10"/>
      <c r="L4354" s="5"/>
    </row>
    <row r="4355" spans="1:12" x14ac:dyDescent="0.25">
      <c r="A4355" s="5" t="s">
        <v>1203</v>
      </c>
      <c r="B4355" s="5" t="s">
        <v>1202</v>
      </c>
      <c r="C4355" s="5" t="s">
        <v>42</v>
      </c>
      <c r="D4355" s="21">
        <v>2</v>
      </c>
      <c r="E4355" s="12">
        <v>298</v>
      </c>
      <c r="F4355" s="10" t="str">
        <f>_xlfn.XLOOKUP(C4355,menu!A:A,menu!B:B)</f>
        <v>Chicken Popcorn</v>
      </c>
      <c r="G4355" s="10" t="str">
        <f>_xlfn.XLOOKUP(C4355,menu!A:A,menu!C:C)</f>
        <v>Starters</v>
      </c>
      <c r="H4355" s="10">
        <f>_xlfn.XLOOKUP(C4355,menu!A:A,menu!E:E)</f>
        <v>45</v>
      </c>
      <c r="I4355" s="10">
        <f t="shared" ref="I4355:I4418" si="68">D4355*H4355</f>
        <v>90</v>
      </c>
      <c r="K4355" s="10"/>
      <c r="L4355" s="5"/>
    </row>
    <row r="4356" spans="1:12" x14ac:dyDescent="0.25">
      <c r="A4356" s="5" t="s">
        <v>1201</v>
      </c>
      <c r="B4356" s="5" t="s">
        <v>1198</v>
      </c>
      <c r="C4356" s="5" t="s">
        <v>19</v>
      </c>
      <c r="D4356" s="21">
        <v>1</v>
      </c>
      <c r="E4356" s="12">
        <v>79</v>
      </c>
      <c r="F4356" s="10" t="str">
        <f>_xlfn.XLOOKUP(C4356,menu!A:A,menu!B:B)</f>
        <v>Veg Burger</v>
      </c>
      <c r="G4356" s="10" t="str">
        <f>_xlfn.XLOOKUP(C4356,menu!A:A,menu!C:C)</f>
        <v>Burger</v>
      </c>
      <c r="H4356" s="10">
        <f>_xlfn.XLOOKUP(C4356,menu!A:A,menu!E:E)</f>
        <v>24</v>
      </c>
      <c r="I4356" s="10">
        <f t="shared" si="68"/>
        <v>24</v>
      </c>
      <c r="K4356" s="10"/>
      <c r="L4356" s="5"/>
    </row>
    <row r="4357" spans="1:12" x14ac:dyDescent="0.25">
      <c r="A4357" s="5" t="s">
        <v>1200</v>
      </c>
      <c r="B4357" s="5" t="s">
        <v>1198</v>
      </c>
      <c r="C4357" s="5" t="s">
        <v>50</v>
      </c>
      <c r="D4357" s="21">
        <v>3</v>
      </c>
      <c r="E4357" s="12">
        <v>447</v>
      </c>
      <c r="F4357" s="10" t="str">
        <f>_xlfn.XLOOKUP(C4357,menu!A:A,menu!B:B)</f>
        <v>Grab Lollipop</v>
      </c>
      <c r="G4357" s="10" t="str">
        <f>_xlfn.XLOOKUP(C4357,menu!A:A,menu!C:C)</f>
        <v>Starters</v>
      </c>
      <c r="H4357" s="10">
        <f>_xlfn.XLOOKUP(C4357,menu!A:A,menu!E:E)</f>
        <v>45</v>
      </c>
      <c r="I4357" s="10">
        <f t="shared" si="68"/>
        <v>135</v>
      </c>
      <c r="K4357" s="10"/>
      <c r="L4357" s="5"/>
    </row>
    <row r="4358" spans="1:12" x14ac:dyDescent="0.25">
      <c r="A4358" s="5" t="s">
        <v>1199</v>
      </c>
      <c r="B4358" s="5" t="s">
        <v>1198</v>
      </c>
      <c r="C4358" s="5" t="s">
        <v>44</v>
      </c>
      <c r="D4358" s="21">
        <v>5</v>
      </c>
      <c r="E4358" s="12">
        <v>795</v>
      </c>
      <c r="F4358" s="10" t="str">
        <f>_xlfn.XLOOKUP(C4358,menu!A:A,menu!B:B)</f>
        <v>Fried Chicken</v>
      </c>
      <c r="G4358" s="10" t="str">
        <f>_xlfn.XLOOKUP(C4358,menu!A:A,menu!C:C)</f>
        <v>Starters</v>
      </c>
      <c r="H4358" s="10">
        <f>_xlfn.XLOOKUP(C4358,menu!A:A,menu!E:E)</f>
        <v>48</v>
      </c>
      <c r="I4358" s="10">
        <f t="shared" si="68"/>
        <v>240</v>
      </c>
      <c r="K4358" s="10"/>
      <c r="L4358" s="5"/>
    </row>
    <row r="4359" spans="1:12" x14ac:dyDescent="0.25">
      <c r="A4359" s="5" t="s">
        <v>1197</v>
      </c>
      <c r="B4359" s="5" t="s">
        <v>1194</v>
      </c>
      <c r="C4359" s="5" t="s">
        <v>17</v>
      </c>
      <c r="D4359" s="21">
        <v>1</v>
      </c>
      <c r="E4359" s="12">
        <v>89</v>
      </c>
      <c r="F4359" s="10" t="str">
        <f>_xlfn.XLOOKUP(C4359,menu!A:A,menu!B:B)</f>
        <v>Paneer Momos</v>
      </c>
      <c r="G4359" s="10" t="str">
        <f>_xlfn.XLOOKUP(C4359,menu!A:A,menu!C:C)</f>
        <v>Momos</v>
      </c>
      <c r="H4359" s="10">
        <f>_xlfn.XLOOKUP(C4359,menu!A:A,menu!E:E)</f>
        <v>27</v>
      </c>
      <c r="I4359" s="10">
        <f t="shared" si="68"/>
        <v>27</v>
      </c>
      <c r="K4359" s="10"/>
      <c r="L4359" s="5"/>
    </row>
    <row r="4360" spans="1:12" x14ac:dyDescent="0.25">
      <c r="A4360" s="5" t="s">
        <v>1196</v>
      </c>
      <c r="B4360" s="5" t="s">
        <v>1194</v>
      </c>
      <c r="C4360" s="5" t="s">
        <v>15</v>
      </c>
      <c r="D4360" s="21">
        <v>4</v>
      </c>
      <c r="E4360" s="12">
        <v>396</v>
      </c>
      <c r="F4360" s="10" t="str">
        <f>_xlfn.XLOOKUP(C4360,menu!A:A,menu!B:B)</f>
        <v>Chicken Momos</v>
      </c>
      <c r="G4360" s="10" t="str">
        <f>_xlfn.XLOOKUP(C4360,menu!A:A,menu!C:C)</f>
        <v>Momos</v>
      </c>
      <c r="H4360" s="10">
        <f>_xlfn.XLOOKUP(C4360,menu!A:A,menu!E:E)</f>
        <v>30</v>
      </c>
      <c r="I4360" s="10">
        <f t="shared" si="68"/>
        <v>120</v>
      </c>
      <c r="K4360" s="10"/>
      <c r="L4360" s="5"/>
    </row>
    <row r="4361" spans="1:12" x14ac:dyDescent="0.25">
      <c r="A4361" s="5" t="s">
        <v>1195</v>
      </c>
      <c r="B4361" s="5" t="s">
        <v>1194</v>
      </c>
      <c r="C4361" s="5" t="s">
        <v>65</v>
      </c>
      <c r="D4361" s="21">
        <v>2</v>
      </c>
      <c r="E4361" s="12">
        <v>98</v>
      </c>
      <c r="F4361" s="10" t="str">
        <f>_xlfn.XLOOKUP(C4361,menu!A:A,menu!B:B)</f>
        <v>Lemon Juice</v>
      </c>
      <c r="G4361" s="10" t="str">
        <f>_xlfn.XLOOKUP(C4361,menu!A:A,menu!C:C)</f>
        <v>Beverages</v>
      </c>
      <c r="H4361" s="10">
        <f>_xlfn.XLOOKUP(C4361,menu!A:A,menu!E:E)</f>
        <v>15</v>
      </c>
      <c r="I4361" s="10">
        <f t="shared" si="68"/>
        <v>30</v>
      </c>
      <c r="K4361" s="10"/>
      <c r="L4361" s="5"/>
    </row>
    <row r="4362" spans="1:12" x14ac:dyDescent="0.25">
      <c r="A4362" s="5" t="s">
        <v>1193</v>
      </c>
      <c r="B4362" s="5" t="s">
        <v>1190</v>
      </c>
      <c r="C4362" s="5" t="s">
        <v>17</v>
      </c>
      <c r="D4362" s="21">
        <v>1</v>
      </c>
      <c r="E4362" s="12">
        <v>89</v>
      </c>
      <c r="F4362" s="10" t="str">
        <f>_xlfn.XLOOKUP(C4362,menu!A:A,menu!B:B)</f>
        <v>Paneer Momos</v>
      </c>
      <c r="G4362" s="10" t="str">
        <f>_xlfn.XLOOKUP(C4362,menu!A:A,menu!C:C)</f>
        <v>Momos</v>
      </c>
      <c r="H4362" s="10">
        <f>_xlfn.XLOOKUP(C4362,menu!A:A,menu!E:E)</f>
        <v>27</v>
      </c>
      <c r="I4362" s="10">
        <f t="shared" si="68"/>
        <v>27</v>
      </c>
      <c r="K4362" s="10"/>
      <c r="L4362" s="5"/>
    </row>
    <row r="4363" spans="1:12" x14ac:dyDescent="0.25">
      <c r="A4363" s="5" t="s">
        <v>1192</v>
      </c>
      <c r="B4363" s="5" t="s">
        <v>1190</v>
      </c>
      <c r="C4363" s="5" t="s">
        <v>52</v>
      </c>
      <c r="D4363" s="21">
        <v>1</v>
      </c>
      <c r="E4363" s="12">
        <v>99</v>
      </c>
      <c r="F4363" s="10" t="str">
        <f>_xlfn.XLOOKUP(C4363,menu!A:A,menu!B:B)</f>
        <v>French Fries</v>
      </c>
      <c r="G4363" s="10" t="str">
        <f>_xlfn.XLOOKUP(C4363,menu!A:A,menu!C:C)</f>
        <v>Starters</v>
      </c>
      <c r="H4363" s="10">
        <f>_xlfn.XLOOKUP(C4363,menu!A:A,menu!E:E)</f>
        <v>30</v>
      </c>
      <c r="I4363" s="10">
        <f t="shared" si="68"/>
        <v>30</v>
      </c>
      <c r="K4363" s="10"/>
      <c r="L4363" s="5"/>
    </row>
    <row r="4364" spans="1:12" x14ac:dyDescent="0.25">
      <c r="A4364" s="5" t="s">
        <v>1191</v>
      </c>
      <c r="B4364" s="5" t="s">
        <v>1190</v>
      </c>
      <c r="C4364" s="5" t="s">
        <v>26</v>
      </c>
      <c r="D4364" s="21">
        <v>2</v>
      </c>
      <c r="E4364" s="12">
        <v>118</v>
      </c>
      <c r="F4364" s="10" t="str">
        <f>_xlfn.XLOOKUP(C4364,menu!A:A,menu!B:B)</f>
        <v>Veg Roll</v>
      </c>
      <c r="G4364" s="10" t="str">
        <f>_xlfn.XLOOKUP(C4364,menu!A:A,menu!C:C)</f>
        <v>Rolls</v>
      </c>
      <c r="H4364" s="10">
        <f>_xlfn.XLOOKUP(C4364,menu!A:A,menu!E:E)</f>
        <v>18</v>
      </c>
      <c r="I4364" s="10">
        <f t="shared" si="68"/>
        <v>36</v>
      </c>
      <c r="K4364" s="10"/>
      <c r="L4364" s="5"/>
    </row>
    <row r="4365" spans="1:12" x14ac:dyDescent="0.25">
      <c r="A4365" s="5" t="s">
        <v>1189</v>
      </c>
      <c r="B4365" s="5" t="s">
        <v>1185</v>
      </c>
      <c r="C4365" s="5" t="s">
        <v>19</v>
      </c>
      <c r="D4365" s="21">
        <v>1</v>
      </c>
      <c r="E4365" s="12">
        <v>79</v>
      </c>
      <c r="F4365" s="10" t="str">
        <f>_xlfn.XLOOKUP(C4365,menu!A:A,menu!B:B)</f>
        <v>Veg Burger</v>
      </c>
      <c r="G4365" s="10" t="str">
        <f>_xlfn.XLOOKUP(C4365,menu!A:A,menu!C:C)</f>
        <v>Burger</v>
      </c>
      <c r="H4365" s="10">
        <f>_xlfn.XLOOKUP(C4365,menu!A:A,menu!E:E)</f>
        <v>24</v>
      </c>
      <c r="I4365" s="10">
        <f t="shared" si="68"/>
        <v>24</v>
      </c>
      <c r="K4365" s="10"/>
      <c r="L4365" s="5"/>
    </row>
    <row r="4366" spans="1:12" x14ac:dyDescent="0.25">
      <c r="A4366" s="5" t="s">
        <v>1188</v>
      </c>
      <c r="B4366" s="5" t="s">
        <v>1185</v>
      </c>
      <c r="C4366" s="5" t="s">
        <v>50</v>
      </c>
      <c r="D4366" s="21">
        <v>2</v>
      </c>
      <c r="E4366" s="12">
        <v>298</v>
      </c>
      <c r="F4366" s="10" t="str">
        <f>_xlfn.XLOOKUP(C4366,menu!A:A,menu!B:B)</f>
        <v>Grab Lollipop</v>
      </c>
      <c r="G4366" s="10" t="str">
        <f>_xlfn.XLOOKUP(C4366,menu!A:A,menu!C:C)</f>
        <v>Starters</v>
      </c>
      <c r="H4366" s="10">
        <f>_xlfn.XLOOKUP(C4366,menu!A:A,menu!E:E)</f>
        <v>45</v>
      </c>
      <c r="I4366" s="10">
        <f t="shared" si="68"/>
        <v>90</v>
      </c>
      <c r="K4366" s="10"/>
      <c r="L4366" s="5"/>
    </row>
    <row r="4367" spans="1:12" x14ac:dyDescent="0.25">
      <c r="A4367" s="5" t="s">
        <v>1187</v>
      </c>
      <c r="B4367" s="5" t="s">
        <v>1185</v>
      </c>
      <c r="C4367" s="5" t="s">
        <v>29</v>
      </c>
      <c r="D4367" s="21">
        <v>1</v>
      </c>
      <c r="E4367" s="12">
        <v>79</v>
      </c>
      <c r="F4367" s="10" t="str">
        <f>_xlfn.XLOOKUP(C4367,menu!A:A,menu!B:B)</f>
        <v>Paneer Roll</v>
      </c>
      <c r="G4367" s="10" t="str">
        <f>_xlfn.XLOOKUP(C4367,menu!A:A,menu!C:C)</f>
        <v>Rolls</v>
      </c>
      <c r="H4367" s="10">
        <f>_xlfn.XLOOKUP(C4367,menu!A:A,menu!E:E)</f>
        <v>24</v>
      </c>
      <c r="I4367" s="10">
        <f t="shared" si="68"/>
        <v>24</v>
      </c>
      <c r="K4367" s="10"/>
      <c r="L4367" s="5"/>
    </row>
    <row r="4368" spans="1:12" x14ac:dyDescent="0.25">
      <c r="A4368" s="5" t="s">
        <v>1186</v>
      </c>
      <c r="B4368" s="5" t="s">
        <v>1185</v>
      </c>
      <c r="C4368" s="5" t="s">
        <v>61</v>
      </c>
      <c r="D4368" s="21">
        <v>2</v>
      </c>
      <c r="E4368" s="12">
        <v>158</v>
      </c>
      <c r="F4368" s="10" t="str">
        <f>_xlfn.XLOOKUP(C4368,menu!A:A,menu!B:B)</f>
        <v>Watermelon Mojito</v>
      </c>
      <c r="G4368" s="10" t="str">
        <f>_xlfn.XLOOKUP(C4368,menu!A:A,menu!C:C)</f>
        <v>Beverages</v>
      </c>
      <c r="H4368" s="10">
        <f>_xlfn.XLOOKUP(C4368,menu!A:A,menu!E:E)</f>
        <v>24</v>
      </c>
      <c r="I4368" s="10">
        <f t="shared" si="68"/>
        <v>48</v>
      </c>
      <c r="K4368" s="10"/>
      <c r="L4368" s="5"/>
    </row>
    <row r="4369" spans="1:12" x14ac:dyDescent="0.25">
      <c r="A4369" s="5" t="s">
        <v>1184</v>
      </c>
      <c r="B4369" s="5" t="s">
        <v>1182</v>
      </c>
      <c r="C4369" s="5" t="s">
        <v>59</v>
      </c>
      <c r="D4369" s="21">
        <v>1</v>
      </c>
      <c r="E4369" s="12">
        <v>79</v>
      </c>
      <c r="F4369" s="10" t="str">
        <f>_xlfn.XLOOKUP(C4369,menu!A:A,menu!B:B)</f>
        <v>Blue Curacao Mojito</v>
      </c>
      <c r="G4369" s="10" t="str">
        <f>_xlfn.XLOOKUP(C4369,menu!A:A,menu!C:C)</f>
        <v>Beverages</v>
      </c>
      <c r="H4369" s="10">
        <f>_xlfn.XLOOKUP(C4369,menu!A:A,menu!E:E)</f>
        <v>24</v>
      </c>
      <c r="I4369" s="10">
        <f t="shared" si="68"/>
        <v>24</v>
      </c>
      <c r="K4369" s="10"/>
      <c r="L4369" s="5"/>
    </row>
    <row r="4370" spans="1:12" x14ac:dyDescent="0.25">
      <c r="A4370" s="5" t="s">
        <v>1183</v>
      </c>
      <c r="B4370" s="5" t="s">
        <v>1182</v>
      </c>
      <c r="C4370" s="5" t="s">
        <v>31</v>
      </c>
      <c r="D4370" s="21">
        <v>2</v>
      </c>
      <c r="E4370" s="12">
        <v>178</v>
      </c>
      <c r="F4370" s="10" t="str">
        <f>_xlfn.XLOOKUP(C4370,menu!A:A,menu!B:B)</f>
        <v>Chicken Roll</v>
      </c>
      <c r="G4370" s="10" t="str">
        <f>_xlfn.XLOOKUP(C4370,menu!A:A,menu!C:C)</f>
        <v>Rolls</v>
      </c>
      <c r="H4370" s="10">
        <f>_xlfn.XLOOKUP(C4370,menu!A:A,menu!E:E)</f>
        <v>27</v>
      </c>
      <c r="I4370" s="10">
        <f t="shared" si="68"/>
        <v>54</v>
      </c>
      <c r="K4370" s="10"/>
      <c r="L4370" s="5"/>
    </row>
    <row r="4371" spans="1:12" x14ac:dyDescent="0.25">
      <c r="A4371" s="5" t="s">
        <v>1181</v>
      </c>
      <c r="B4371" s="5" t="s">
        <v>1177</v>
      </c>
      <c r="C4371" s="5" t="s">
        <v>10</v>
      </c>
      <c r="D4371" s="21">
        <v>2</v>
      </c>
      <c r="E4371" s="12">
        <v>238</v>
      </c>
      <c r="F4371" s="10" t="str">
        <f>_xlfn.XLOOKUP(C4371,menu!A:A,menu!B:B)</f>
        <v>Chicken Sandwich</v>
      </c>
      <c r="G4371" s="10" t="str">
        <f>_xlfn.XLOOKUP(C4371,menu!A:A,menu!C:C)</f>
        <v>Sandwich</v>
      </c>
      <c r="H4371" s="10">
        <f>_xlfn.XLOOKUP(C4371,menu!A:A,menu!E:E)</f>
        <v>36</v>
      </c>
      <c r="I4371" s="10">
        <f t="shared" si="68"/>
        <v>72</v>
      </c>
      <c r="K4371" s="10"/>
      <c r="L4371" s="5"/>
    </row>
    <row r="4372" spans="1:12" x14ac:dyDescent="0.25">
      <c r="A4372" s="5" t="s">
        <v>1180</v>
      </c>
      <c r="B4372" s="5" t="s">
        <v>1177</v>
      </c>
      <c r="C4372" s="5" t="s">
        <v>22</v>
      </c>
      <c r="D4372" s="21">
        <v>2</v>
      </c>
      <c r="E4372" s="12">
        <v>198</v>
      </c>
      <c r="F4372" s="10" t="str">
        <f>_xlfn.XLOOKUP(C4372,menu!A:A,menu!B:B)</f>
        <v>Chicken Burger</v>
      </c>
      <c r="G4372" s="10" t="str">
        <f>_xlfn.XLOOKUP(C4372,menu!A:A,menu!C:C)</f>
        <v>Burger</v>
      </c>
      <c r="H4372" s="10">
        <f>_xlfn.XLOOKUP(C4372,menu!A:A,menu!E:E)</f>
        <v>30</v>
      </c>
      <c r="I4372" s="10">
        <f t="shared" si="68"/>
        <v>60</v>
      </c>
      <c r="K4372" s="10"/>
      <c r="L4372" s="5"/>
    </row>
    <row r="4373" spans="1:12" x14ac:dyDescent="0.25">
      <c r="A4373" s="5" t="s">
        <v>1179</v>
      </c>
      <c r="B4373" s="5" t="s">
        <v>1177</v>
      </c>
      <c r="C4373" s="5" t="s">
        <v>26</v>
      </c>
      <c r="D4373" s="21">
        <v>2</v>
      </c>
      <c r="E4373" s="12">
        <v>118</v>
      </c>
      <c r="F4373" s="10" t="str">
        <f>_xlfn.XLOOKUP(C4373,menu!A:A,menu!B:B)</f>
        <v>Veg Roll</v>
      </c>
      <c r="G4373" s="10" t="str">
        <f>_xlfn.XLOOKUP(C4373,menu!A:A,menu!C:C)</f>
        <v>Rolls</v>
      </c>
      <c r="H4373" s="10">
        <f>_xlfn.XLOOKUP(C4373,menu!A:A,menu!E:E)</f>
        <v>18</v>
      </c>
      <c r="I4373" s="10">
        <f t="shared" si="68"/>
        <v>36</v>
      </c>
      <c r="K4373" s="10"/>
      <c r="L4373" s="5"/>
    </row>
    <row r="4374" spans="1:12" x14ac:dyDescent="0.25">
      <c r="A4374" s="5" t="s">
        <v>1178</v>
      </c>
      <c r="B4374" s="5" t="s">
        <v>1177</v>
      </c>
      <c r="C4374" s="5" t="s">
        <v>38</v>
      </c>
      <c r="D4374" s="21">
        <v>1</v>
      </c>
      <c r="E4374" s="12">
        <v>149</v>
      </c>
      <c r="F4374" s="10" t="str">
        <f>_xlfn.XLOOKUP(C4374,menu!A:A,menu!B:B)</f>
        <v>Chicken Wings</v>
      </c>
      <c r="G4374" s="10" t="str">
        <f>_xlfn.XLOOKUP(C4374,menu!A:A,menu!C:C)</f>
        <v>Starters</v>
      </c>
      <c r="H4374" s="10">
        <f>_xlfn.XLOOKUP(C4374,menu!A:A,menu!E:E)</f>
        <v>45</v>
      </c>
      <c r="I4374" s="10">
        <f t="shared" si="68"/>
        <v>45</v>
      </c>
      <c r="K4374" s="10"/>
      <c r="L4374" s="5"/>
    </row>
    <row r="4375" spans="1:12" x14ac:dyDescent="0.25">
      <c r="A4375" s="5" t="s">
        <v>1176</v>
      </c>
      <c r="B4375" s="5" t="s">
        <v>1173</v>
      </c>
      <c r="C4375" s="5" t="s">
        <v>17</v>
      </c>
      <c r="D4375" s="21">
        <v>4</v>
      </c>
      <c r="E4375" s="12">
        <v>356</v>
      </c>
      <c r="F4375" s="10" t="str">
        <f>_xlfn.XLOOKUP(C4375,menu!A:A,menu!B:B)</f>
        <v>Paneer Momos</v>
      </c>
      <c r="G4375" s="10" t="str">
        <f>_xlfn.XLOOKUP(C4375,menu!A:A,menu!C:C)</f>
        <v>Momos</v>
      </c>
      <c r="H4375" s="10">
        <f>_xlfn.XLOOKUP(C4375,menu!A:A,menu!E:E)</f>
        <v>27</v>
      </c>
      <c r="I4375" s="10">
        <f t="shared" si="68"/>
        <v>108</v>
      </c>
      <c r="K4375" s="10"/>
      <c r="L4375" s="5"/>
    </row>
    <row r="4376" spans="1:12" x14ac:dyDescent="0.25">
      <c r="A4376" s="5" t="s">
        <v>1175</v>
      </c>
      <c r="B4376" s="5" t="s">
        <v>1173</v>
      </c>
      <c r="C4376" s="5" t="s">
        <v>38</v>
      </c>
      <c r="D4376" s="21">
        <v>4</v>
      </c>
      <c r="E4376" s="12">
        <v>596</v>
      </c>
      <c r="F4376" s="10" t="str">
        <f>_xlfn.XLOOKUP(C4376,menu!A:A,menu!B:B)</f>
        <v>Chicken Wings</v>
      </c>
      <c r="G4376" s="10" t="str">
        <f>_xlfn.XLOOKUP(C4376,menu!A:A,menu!C:C)</f>
        <v>Starters</v>
      </c>
      <c r="H4376" s="10">
        <f>_xlfn.XLOOKUP(C4376,menu!A:A,menu!E:E)</f>
        <v>45</v>
      </c>
      <c r="I4376" s="10">
        <f t="shared" si="68"/>
        <v>180</v>
      </c>
      <c r="K4376" s="10"/>
      <c r="L4376" s="5"/>
    </row>
    <row r="4377" spans="1:12" x14ac:dyDescent="0.25">
      <c r="A4377" s="5" t="s">
        <v>1174</v>
      </c>
      <c r="B4377" s="5" t="s">
        <v>1173</v>
      </c>
      <c r="C4377" s="5" t="s">
        <v>29</v>
      </c>
      <c r="D4377" s="21">
        <v>1</v>
      </c>
      <c r="E4377" s="12">
        <v>79</v>
      </c>
      <c r="F4377" s="10" t="str">
        <f>_xlfn.XLOOKUP(C4377,menu!A:A,menu!B:B)</f>
        <v>Paneer Roll</v>
      </c>
      <c r="G4377" s="10" t="str">
        <f>_xlfn.XLOOKUP(C4377,menu!A:A,menu!C:C)</f>
        <v>Rolls</v>
      </c>
      <c r="H4377" s="10">
        <f>_xlfn.XLOOKUP(C4377,menu!A:A,menu!E:E)</f>
        <v>24</v>
      </c>
      <c r="I4377" s="10">
        <f t="shared" si="68"/>
        <v>24</v>
      </c>
      <c r="K4377" s="10"/>
      <c r="L4377" s="5"/>
    </row>
    <row r="4378" spans="1:12" x14ac:dyDescent="0.25">
      <c r="A4378" s="5" t="s">
        <v>1172</v>
      </c>
      <c r="B4378" s="5" t="s">
        <v>1170</v>
      </c>
      <c r="C4378" s="5" t="s">
        <v>22</v>
      </c>
      <c r="D4378" s="21">
        <v>3</v>
      </c>
      <c r="E4378" s="12">
        <v>297</v>
      </c>
      <c r="F4378" s="10" t="str">
        <f>_xlfn.XLOOKUP(C4378,menu!A:A,menu!B:B)</f>
        <v>Chicken Burger</v>
      </c>
      <c r="G4378" s="10" t="str">
        <f>_xlfn.XLOOKUP(C4378,menu!A:A,menu!C:C)</f>
        <v>Burger</v>
      </c>
      <c r="H4378" s="10">
        <f>_xlfn.XLOOKUP(C4378,menu!A:A,menu!E:E)</f>
        <v>30</v>
      </c>
      <c r="I4378" s="10">
        <f t="shared" si="68"/>
        <v>90</v>
      </c>
      <c r="K4378" s="10"/>
      <c r="L4378" s="5"/>
    </row>
    <row r="4379" spans="1:12" x14ac:dyDescent="0.25">
      <c r="A4379" s="5" t="s">
        <v>1171</v>
      </c>
      <c r="B4379" s="5" t="s">
        <v>1170</v>
      </c>
      <c r="C4379" s="5" t="s">
        <v>31</v>
      </c>
      <c r="D4379" s="21">
        <v>2</v>
      </c>
      <c r="E4379" s="12">
        <v>178</v>
      </c>
      <c r="F4379" s="10" t="str">
        <f>_xlfn.XLOOKUP(C4379,menu!A:A,menu!B:B)</f>
        <v>Chicken Roll</v>
      </c>
      <c r="G4379" s="10" t="str">
        <f>_xlfn.XLOOKUP(C4379,menu!A:A,menu!C:C)</f>
        <v>Rolls</v>
      </c>
      <c r="H4379" s="10">
        <f>_xlfn.XLOOKUP(C4379,menu!A:A,menu!E:E)</f>
        <v>27</v>
      </c>
      <c r="I4379" s="10">
        <f t="shared" si="68"/>
        <v>54</v>
      </c>
      <c r="K4379" s="10"/>
      <c r="L4379" s="5"/>
    </row>
    <row r="4380" spans="1:12" x14ac:dyDescent="0.25">
      <c r="A4380" s="5" t="s">
        <v>1169</v>
      </c>
      <c r="B4380" s="5" t="s">
        <v>1167</v>
      </c>
      <c r="C4380" s="5" t="s">
        <v>46</v>
      </c>
      <c r="D4380" s="21">
        <v>2</v>
      </c>
      <c r="E4380" s="12">
        <v>298</v>
      </c>
      <c r="F4380" s="10" t="str">
        <f>_xlfn.XLOOKUP(C4380,menu!A:A,menu!B:B)</f>
        <v>Fish Finger</v>
      </c>
      <c r="G4380" s="10" t="str">
        <f>_xlfn.XLOOKUP(C4380,menu!A:A,menu!C:C)</f>
        <v>Starters</v>
      </c>
      <c r="H4380" s="10">
        <f>_xlfn.XLOOKUP(C4380,menu!A:A,menu!E:E)</f>
        <v>45</v>
      </c>
      <c r="I4380" s="10">
        <f t="shared" si="68"/>
        <v>90</v>
      </c>
      <c r="K4380" s="10"/>
      <c r="L4380" s="5"/>
    </row>
    <row r="4381" spans="1:12" x14ac:dyDescent="0.25">
      <c r="A4381" s="5" t="s">
        <v>1168</v>
      </c>
      <c r="B4381" s="5" t="s">
        <v>1167</v>
      </c>
      <c r="C4381" s="5" t="s">
        <v>61</v>
      </c>
      <c r="D4381" s="21">
        <v>2</v>
      </c>
      <c r="E4381" s="12">
        <v>158</v>
      </c>
      <c r="F4381" s="10" t="str">
        <f>_xlfn.XLOOKUP(C4381,menu!A:A,menu!B:B)</f>
        <v>Watermelon Mojito</v>
      </c>
      <c r="G4381" s="10" t="str">
        <f>_xlfn.XLOOKUP(C4381,menu!A:A,menu!C:C)</f>
        <v>Beverages</v>
      </c>
      <c r="H4381" s="10">
        <f>_xlfn.XLOOKUP(C4381,menu!A:A,menu!E:E)</f>
        <v>24</v>
      </c>
      <c r="I4381" s="10">
        <f t="shared" si="68"/>
        <v>48</v>
      </c>
      <c r="K4381" s="10"/>
      <c r="L4381" s="5"/>
    </row>
    <row r="4382" spans="1:12" x14ac:dyDescent="0.25">
      <c r="A4382" s="5" t="s">
        <v>1166</v>
      </c>
      <c r="B4382" s="5" t="s">
        <v>1165</v>
      </c>
      <c r="C4382" s="5" t="s">
        <v>19</v>
      </c>
      <c r="D4382" s="21">
        <v>1</v>
      </c>
      <c r="E4382" s="12">
        <v>79</v>
      </c>
      <c r="F4382" s="10" t="str">
        <f>_xlfn.XLOOKUP(C4382,menu!A:A,menu!B:B)</f>
        <v>Veg Burger</v>
      </c>
      <c r="G4382" s="10" t="str">
        <f>_xlfn.XLOOKUP(C4382,menu!A:A,menu!C:C)</f>
        <v>Burger</v>
      </c>
      <c r="H4382" s="10">
        <f>_xlfn.XLOOKUP(C4382,menu!A:A,menu!E:E)</f>
        <v>24</v>
      </c>
      <c r="I4382" s="10">
        <f t="shared" si="68"/>
        <v>24</v>
      </c>
      <c r="K4382" s="10"/>
      <c r="L4382" s="5"/>
    </row>
    <row r="4383" spans="1:12" x14ac:dyDescent="0.25">
      <c r="A4383" s="5" t="s">
        <v>1164</v>
      </c>
      <c r="B4383" s="5" t="s">
        <v>1161</v>
      </c>
      <c r="C4383" s="5" t="s">
        <v>50</v>
      </c>
      <c r="D4383" s="21">
        <v>2</v>
      </c>
      <c r="E4383" s="12">
        <v>298</v>
      </c>
      <c r="F4383" s="10" t="str">
        <f>_xlfn.XLOOKUP(C4383,menu!A:A,menu!B:B)</f>
        <v>Grab Lollipop</v>
      </c>
      <c r="G4383" s="10" t="str">
        <f>_xlfn.XLOOKUP(C4383,menu!A:A,menu!C:C)</f>
        <v>Starters</v>
      </c>
      <c r="H4383" s="10">
        <f>_xlfn.XLOOKUP(C4383,menu!A:A,menu!E:E)</f>
        <v>45</v>
      </c>
      <c r="I4383" s="10">
        <f t="shared" si="68"/>
        <v>90</v>
      </c>
      <c r="K4383" s="10"/>
      <c r="L4383" s="5"/>
    </row>
    <row r="4384" spans="1:12" x14ac:dyDescent="0.25">
      <c r="A4384" s="5" t="s">
        <v>1163</v>
      </c>
      <c r="B4384" s="5" t="s">
        <v>1161</v>
      </c>
      <c r="C4384" s="5" t="s">
        <v>26</v>
      </c>
      <c r="D4384" s="21">
        <v>1</v>
      </c>
      <c r="E4384" s="12">
        <v>59</v>
      </c>
      <c r="F4384" s="10" t="str">
        <f>_xlfn.XLOOKUP(C4384,menu!A:A,menu!B:B)</f>
        <v>Veg Roll</v>
      </c>
      <c r="G4384" s="10" t="str">
        <f>_xlfn.XLOOKUP(C4384,menu!A:A,menu!C:C)</f>
        <v>Rolls</v>
      </c>
      <c r="H4384" s="10">
        <f>_xlfn.XLOOKUP(C4384,menu!A:A,menu!E:E)</f>
        <v>18</v>
      </c>
      <c r="I4384" s="10">
        <f t="shared" si="68"/>
        <v>18</v>
      </c>
      <c r="K4384" s="10"/>
      <c r="L4384" s="5"/>
    </row>
    <row r="4385" spans="1:12" x14ac:dyDescent="0.25">
      <c r="A4385" s="5" t="s">
        <v>1162</v>
      </c>
      <c r="B4385" s="5" t="s">
        <v>1161</v>
      </c>
      <c r="C4385" s="5" t="s">
        <v>24</v>
      </c>
      <c r="D4385" s="21">
        <v>1</v>
      </c>
      <c r="E4385" s="12">
        <v>89</v>
      </c>
      <c r="F4385" s="10" t="str">
        <f>_xlfn.XLOOKUP(C4385,menu!A:A,menu!B:B)</f>
        <v>Paneer Burger</v>
      </c>
      <c r="G4385" s="10" t="str">
        <f>_xlfn.XLOOKUP(C4385,menu!A:A,menu!C:C)</f>
        <v>Burger</v>
      </c>
      <c r="H4385" s="10">
        <f>_xlfn.XLOOKUP(C4385,menu!A:A,menu!E:E)</f>
        <v>27</v>
      </c>
      <c r="I4385" s="10">
        <f t="shared" si="68"/>
        <v>27</v>
      </c>
      <c r="K4385" s="10"/>
      <c r="L4385" s="5"/>
    </row>
    <row r="4386" spans="1:12" x14ac:dyDescent="0.25">
      <c r="A4386" s="5" t="s">
        <v>1160</v>
      </c>
      <c r="B4386" s="5" t="s">
        <v>1156</v>
      </c>
      <c r="C4386" s="5" t="s">
        <v>54</v>
      </c>
      <c r="D4386" s="21">
        <v>3</v>
      </c>
      <c r="E4386" s="12">
        <v>417</v>
      </c>
      <c r="F4386" s="10" t="str">
        <f>_xlfn.XLOOKUP(C4386,menu!A:A,menu!B:B)</f>
        <v>Chicken Strips</v>
      </c>
      <c r="G4386" s="10" t="str">
        <f>_xlfn.XLOOKUP(C4386,menu!A:A,menu!C:C)</f>
        <v>Starters</v>
      </c>
      <c r="H4386" s="10">
        <f>_xlfn.XLOOKUP(C4386,menu!A:A,menu!E:E)</f>
        <v>42</v>
      </c>
      <c r="I4386" s="10">
        <f t="shared" si="68"/>
        <v>126</v>
      </c>
      <c r="K4386" s="10"/>
      <c r="L4386" s="5"/>
    </row>
    <row r="4387" spans="1:12" x14ac:dyDescent="0.25">
      <c r="A4387" s="5" t="s">
        <v>1159</v>
      </c>
      <c r="B4387" s="5" t="s">
        <v>1156</v>
      </c>
      <c r="C4387" s="5" t="s">
        <v>15</v>
      </c>
      <c r="D4387" s="21">
        <v>4</v>
      </c>
      <c r="E4387" s="12">
        <v>396</v>
      </c>
      <c r="F4387" s="10" t="str">
        <f>_xlfn.XLOOKUP(C4387,menu!A:A,menu!B:B)</f>
        <v>Chicken Momos</v>
      </c>
      <c r="G4387" s="10" t="str">
        <f>_xlfn.XLOOKUP(C4387,menu!A:A,menu!C:C)</f>
        <v>Momos</v>
      </c>
      <c r="H4387" s="10">
        <f>_xlfn.XLOOKUP(C4387,menu!A:A,menu!E:E)</f>
        <v>30</v>
      </c>
      <c r="I4387" s="10">
        <f t="shared" si="68"/>
        <v>120</v>
      </c>
      <c r="K4387" s="10"/>
      <c r="L4387" s="5"/>
    </row>
    <row r="4388" spans="1:12" x14ac:dyDescent="0.25">
      <c r="A4388" s="5" t="s">
        <v>1158</v>
      </c>
      <c r="B4388" s="5" t="s">
        <v>1156</v>
      </c>
      <c r="C4388" s="5" t="s">
        <v>42</v>
      </c>
      <c r="D4388" s="21">
        <v>1</v>
      </c>
      <c r="E4388" s="12">
        <v>149</v>
      </c>
      <c r="F4388" s="10" t="str">
        <f>_xlfn.XLOOKUP(C4388,menu!A:A,menu!B:B)</f>
        <v>Chicken Popcorn</v>
      </c>
      <c r="G4388" s="10" t="str">
        <f>_xlfn.XLOOKUP(C4388,menu!A:A,menu!C:C)</f>
        <v>Starters</v>
      </c>
      <c r="H4388" s="10">
        <f>_xlfn.XLOOKUP(C4388,menu!A:A,menu!E:E)</f>
        <v>45</v>
      </c>
      <c r="I4388" s="10">
        <f t="shared" si="68"/>
        <v>45</v>
      </c>
      <c r="K4388" s="10"/>
      <c r="L4388" s="5"/>
    </row>
    <row r="4389" spans="1:12" x14ac:dyDescent="0.25">
      <c r="A4389" s="5" t="s">
        <v>1157</v>
      </c>
      <c r="B4389" s="5" t="s">
        <v>1156</v>
      </c>
      <c r="C4389" s="5" t="s">
        <v>8</v>
      </c>
      <c r="D4389" s="21">
        <v>2</v>
      </c>
      <c r="E4389" s="12">
        <v>198</v>
      </c>
      <c r="F4389" s="10" t="str">
        <f>_xlfn.XLOOKUP(C4389,menu!A:A,menu!B:B)</f>
        <v>Paneer Sandwich</v>
      </c>
      <c r="G4389" s="10" t="str">
        <f>_xlfn.XLOOKUP(C4389,menu!A:A,menu!C:C)</f>
        <v>Sandwich</v>
      </c>
      <c r="H4389" s="10">
        <f>_xlfn.XLOOKUP(C4389,menu!A:A,menu!E:E)</f>
        <v>30</v>
      </c>
      <c r="I4389" s="10">
        <f t="shared" si="68"/>
        <v>60</v>
      </c>
      <c r="K4389" s="10"/>
      <c r="L4389" s="5"/>
    </row>
    <row r="4390" spans="1:12" x14ac:dyDescent="0.25">
      <c r="A4390" s="5" t="s">
        <v>1155</v>
      </c>
      <c r="B4390" s="5" t="s">
        <v>1153</v>
      </c>
      <c r="C4390" s="5" t="s">
        <v>35</v>
      </c>
      <c r="D4390" s="21">
        <v>3</v>
      </c>
      <c r="E4390" s="12">
        <v>357</v>
      </c>
      <c r="F4390" s="10" t="str">
        <f>_xlfn.XLOOKUP(C4390,menu!A:A,menu!B:B)</f>
        <v>Chicken Nuggets</v>
      </c>
      <c r="G4390" s="10" t="str">
        <f>_xlfn.XLOOKUP(C4390,menu!A:A,menu!C:C)</f>
        <v>Starters</v>
      </c>
      <c r="H4390" s="10">
        <f>_xlfn.XLOOKUP(C4390,menu!A:A,menu!E:E)</f>
        <v>36</v>
      </c>
      <c r="I4390" s="10">
        <f t="shared" si="68"/>
        <v>108</v>
      </c>
      <c r="K4390" s="10"/>
      <c r="L4390" s="5"/>
    </row>
    <row r="4391" spans="1:12" x14ac:dyDescent="0.25">
      <c r="A4391" s="5" t="s">
        <v>1154</v>
      </c>
      <c r="B4391" s="5" t="s">
        <v>1153</v>
      </c>
      <c r="C4391" s="5" t="s">
        <v>24</v>
      </c>
      <c r="D4391" s="21">
        <v>1</v>
      </c>
      <c r="E4391" s="12">
        <v>89</v>
      </c>
      <c r="F4391" s="10" t="str">
        <f>_xlfn.XLOOKUP(C4391,menu!A:A,menu!B:B)</f>
        <v>Paneer Burger</v>
      </c>
      <c r="G4391" s="10" t="str">
        <f>_xlfn.XLOOKUP(C4391,menu!A:A,menu!C:C)</f>
        <v>Burger</v>
      </c>
      <c r="H4391" s="10">
        <f>_xlfn.XLOOKUP(C4391,menu!A:A,menu!E:E)</f>
        <v>27</v>
      </c>
      <c r="I4391" s="10">
        <f t="shared" si="68"/>
        <v>27</v>
      </c>
      <c r="K4391" s="10"/>
      <c r="L4391" s="5"/>
    </row>
    <row r="4392" spans="1:12" x14ac:dyDescent="0.25">
      <c r="A4392" s="5" t="s">
        <v>1152</v>
      </c>
      <c r="B4392" s="5" t="s">
        <v>1150</v>
      </c>
      <c r="C4392" s="5" t="s">
        <v>22</v>
      </c>
      <c r="D4392" s="21">
        <v>1</v>
      </c>
      <c r="E4392" s="12">
        <v>99</v>
      </c>
      <c r="F4392" s="10" t="str">
        <f>_xlfn.XLOOKUP(C4392,menu!A:A,menu!B:B)</f>
        <v>Chicken Burger</v>
      </c>
      <c r="G4392" s="10" t="str">
        <f>_xlfn.XLOOKUP(C4392,menu!A:A,menu!C:C)</f>
        <v>Burger</v>
      </c>
      <c r="H4392" s="10">
        <f>_xlfn.XLOOKUP(C4392,menu!A:A,menu!E:E)</f>
        <v>30</v>
      </c>
      <c r="I4392" s="10">
        <f t="shared" si="68"/>
        <v>30</v>
      </c>
      <c r="K4392" s="10"/>
      <c r="L4392" s="5"/>
    </row>
    <row r="4393" spans="1:12" x14ac:dyDescent="0.25">
      <c r="A4393" s="5" t="s">
        <v>1151</v>
      </c>
      <c r="B4393" s="5" t="s">
        <v>1150</v>
      </c>
      <c r="C4393" s="5" t="s">
        <v>65</v>
      </c>
      <c r="D4393" s="21">
        <v>1</v>
      </c>
      <c r="E4393" s="12">
        <v>49</v>
      </c>
      <c r="F4393" s="10" t="str">
        <f>_xlfn.XLOOKUP(C4393,menu!A:A,menu!B:B)</f>
        <v>Lemon Juice</v>
      </c>
      <c r="G4393" s="10" t="str">
        <f>_xlfn.XLOOKUP(C4393,menu!A:A,menu!C:C)</f>
        <v>Beverages</v>
      </c>
      <c r="H4393" s="10">
        <f>_xlfn.XLOOKUP(C4393,menu!A:A,menu!E:E)</f>
        <v>15</v>
      </c>
      <c r="I4393" s="10">
        <f t="shared" si="68"/>
        <v>15</v>
      </c>
      <c r="K4393" s="10"/>
      <c r="L4393" s="5"/>
    </row>
    <row r="4394" spans="1:12" x14ac:dyDescent="0.25">
      <c r="A4394" s="5" t="s">
        <v>1149</v>
      </c>
      <c r="B4394" s="5" t="s">
        <v>1148</v>
      </c>
      <c r="C4394" s="5" t="s">
        <v>42</v>
      </c>
      <c r="D4394" s="21">
        <v>4</v>
      </c>
      <c r="E4394" s="12">
        <v>596</v>
      </c>
      <c r="F4394" s="10" t="str">
        <f>_xlfn.XLOOKUP(C4394,menu!A:A,menu!B:B)</f>
        <v>Chicken Popcorn</v>
      </c>
      <c r="G4394" s="10" t="str">
        <f>_xlfn.XLOOKUP(C4394,menu!A:A,menu!C:C)</f>
        <v>Starters</v>
      </c>
      <c r="H4394" s="10">
        <f>_xlfn.XLOOKUP(C4394,menu!A:A,menu!E:E)</f>
        <v>45</v>
      </c>
      <c r="I4394" s="10">
        <f t="shared" si="68"/>
        <v>180</v>
      </c>
      <c r="K4394" s="10"/>
      <c r="L4394" s="5"/>
    </row>
    <row r="4395" spans="1:12" x14ac:dyDescent="0.25">
      <c r="A4395" s="5" t="s">
        <v>1147</v>
      </c>
      <c r="B4395" s="5" t="s">
        <v>1145</v>
      </c>
      <c r="C4395" s="5" t="s">
        <v>56</v>
      </c>
      <c r="D4395" s="21">
        <v>1</v>
      </c>
      <c r="E4395" s="12">
        <v>79</v>
      </c>
      <c r="F4395" s="10" t="str">
        <f>_xlfn.XLOOKUP(C4395,menu!A:A,menu!B:B)</f>
        <v>Mint Mojito</v>
      </c>
      <c r="G4395" s="10" t="str">
        <f>_xlfn.XLOOKUP(C4395,menu!A:A,menu!C:C)</f>
        <v>Beverages</v>
      </c>
      <c r="H4395" s="10">
        <f>_xlfn.XLOOKUP(C4395,menu!A:A,menu!E:E)</f>
        <v>24</v>
      </c>
      <c r="I4395" s="10">
        <f t="shared" si="68"/>
        <v>24</v>
      </c>
      <c r="K4395" s="10"/>
      <c r="L4395" s="5"/>
    </row>
    <row r="4396" spans="1:12" x14ac:dyDescent="0.25">
      <c r="A4396" s="5" t="s">
        <v>1146</v>
      </c>
      <c r="B4396" s="5" t="s">
        <v>1145</v>
      </c>
      <c r="C4396" s="5" t="s">
        <v>54</v>
      </c>
      <c r="D4396" s="21">
        <v>1</v>
      </c>
      <c r="E4396" s="12">
        <v>139</v>
      </c>
      <c r="F4396" s="10" t="str">
        <f>_xlfn.XLOOKUP(C4396,menu!A:A,menu!B:B)</f>
        <v>Chicken Strips</v>
      </c>
      <c r="G4396" s="10" t="str">
        <f>_xlfn.XLOOKUP(C4396,menu!A:A,menu!C:C)</f>
        <v>Starters</v>
      </c>
      <c r="H4396" s="10">
        <f>_xlfn.XLOOKUP(C4396,menu!A:A,menu!E:E)</f>
        <v>42</v>
      </c>
      <c r="I4396" s="10">
        <f t="shared" si="68"/>
        <v>42</v>
      </c>
      <c r="K4396" s="10"/>
      <c r="L4396" s="5"/>
    </row>
    <row r="4397" spans="1:12" x14ac:dyDescent="0.25">
      <c r="A4397" s="5" t="s">
        <v>1144</v>
      </c>
      <c r="B4397" s="5" t="s">
        <v>1142</v>
      </c>
      <c r="C4397" s="5" t="s">
        <v>56</v>
      </c>
      <c r="D4397" s="21">
        <v>3</v>
      </c>
      <c r="E4397" s="12">
        <v>237</v>
      </c>
      <c r="F4397" s="10" t="str">
        <f>_xlfn.XLOOKUP(C4397,menu!A:A,menu!B:B)</f>
        <v>Mint Mojito</v>
      </c>
      <c r="G4397" s="10" t="str">
        <f>_xlfn.XLOOKUP(C4397,menu!A:A,menu!C:C)</f>
        <v>Beverages</v>
      </c>
      <c r="H4397" s="10">
        <f>_xlfn.XLOOKUP(C4397,menu!A:A,menu!E:E)</f>
        <v>24</v>
      </c>
      <c r="I4397" s="10">
        <f t="shared" si="68"/>
        <v>72</v>
      </c>
      <c r="K4397" s="10"/>
      <c r="L4397" s="5"/>
    </row>
    <row r="4398" spans="1:12" x14ac:dyDescent="0.25">
      <c r="A4398" s="5" t="s">
        <v>1143</v>
      </c>
      <c r="B4398" s="5" t="s">
        <v>1142</v>
      </c>
      <c r="C4398" s="5" t="s">
        <v>42</v>
      </c>
      <c r="D4398" s="21">
        <v>4</v>
      </c>
      <c r="E4398" s="12">
        <v>596</v>
      </c>
      <c r="F4398" s="10" t="str">
        <f>_xlfn.XLOOKUP(C4398,menu!A:A,menu!B:B)</f>
        <v>Chicken Popcorn</v>
      </c>
      <c r="G4398" s="10" t="str">
        <f>_xlfn.XLOOKUP(C4398,menu!A:A,menu!C:C)</f>
        <v>Starters</v>
      </c>
      <c r="H4398" s="10">
        <f>_xlfn.XLOOKUP(C4398,menu!A:A,menu!E:E)</f>
        <v>45</v>
      </c>
      <c r="I4398" s="10">
        <f t="shared" si="68"/>
        <v>180</v>
      </c>
      <c r="K4398" s="10"/>
      <c r="L4398" s="5"/>
    </row>
    <row r="4399" spans="1:12" x14ac:dyDescent="0.25">
      <c r="A4399" s="5" t="s">
        <v>1141</v>
      </c>
      <c r="B4399" s="5" t="s">
        <v>1139</v>
      </c>
      <c r="C4399" s="5" t="s">
        <v>52</v>
      </c>
      <c r="D4399" s="21">
        <v>5</v>
      </c>
      <c r="E4399" s="12">
        <v>495</v>
      </c>
      <c r="F4399" s="10" t="str">
        <f>_xlfn.XLOOKUP(C4399,menu!A:A,menu!B:B)</f>
        <v>French Fries</v>
      </c>
      <c r="G4399" s="10" t="str">
        <f>_xlfn.XLOOKUP(C4399,menu!A:A,menu!C:C)</f>
        <v>Starters</v>
      </c>
      <c r="H4399" s="10">
        <f>_xlfn.XLOOKUP(C4399,menu!A:A,menu!E:E)</f>
        <v>30</v>
      </c>
      <c r="I4399" s="10">
        <f t="shared" si="68"/>
        <v>150</v>
      </c>
      <c r="K4399" s="10"/>
      <c r="L4399" s="5"/>
    </row>
    <row r="4400" spans="1:12" x14ac:dyDescent="0.25">
      <c r="A4400" s="5" t="s">
        <v>1140</v>
      </c>
      <c r="B4400" s="5" t="s">
        <v>1139</v>
      </c>
      <c r="C4400" s="5" t="s">
        <v>33</v>
      </c>
      <c r="D4400" s="21">
        <v>2</v>
      </c>
      <c r="E4400" s="12">
        <v>138</v>
      </c>
      <c r="F4400" s="10" t="str">
        <f>_xlfn.XLOOKUP(C4400,menu!A:A,menu!B:B)</f>
        <v>Spring Roll</v>
      </c>
      <c r="G4400" s="10" t="str">
        <f>_xlfn.XLOOKUP(C4400,menu!A:A,menu!C:C)</f>
        <v>Rolls</v>
      </c>
      <c r="H4400" s="10">
        <f>_xlfn.XLOOKUP(C4400,menu!A:A,menu!E:E)</f>
        <v>21</v>
      </c>
      <c r="I4400" s="10">
        <f t="shared" si="68"/>
        <v>42</v>
      </c>
      <c r="K4400" s="10"/>
      <c r="L4400" s="5"/>
    </row>
    <row r="4401" spans="1:12" x14ac:dyDescent="0.25">
      <c r="A4401" s="5" t="s">
        <v>1138</v>
      </c>
      <c r="B4401" s="5" t="s">
        <v>1135</v>
      </c>
      <c r="C4401" s="5" t="s">
        <v>22</v>
      </c>
      <c r="D4401" s="21">
        <v>3</v>
      </c>
      <c r="E4401" s="12">
        <v>297</v>
      </c>
      <c r="F4401" s="10" t="str">
        <f>_xlfn.XLOOKUP(C4401,menu!A:A,menu!B:B)</f>
        <v>Chicken Burger</v>
      </c>
      <c r="G4401" s="10" t="str">
        <f>_xlfn.XLOOKUP(C4401,menu!A:A,menu!C:C)</f>
        <v>Burger</v>
      </c>
      <c r="H4401" s="10">
        <f>_xlfn.XLOOKUP(C4401,menu!A:A,menu!E:E)</f>
        <v>30</v>
      </c>
      <c r="I4401" s="10">
        <f t="shared" si="68"/>
        <v>90</v>
      </c>
      <c r="K4401" s="10"/>
      <c r="L4401" s="5"/>
    </row>
    <row r="4402" spans="1:12" x14ac:dyDescent="0.25">
      <c r="A4402" s="5" t="s">
        <v>1137</v>
      </c>
      <c r="B4402" s="5" t="s">
        <v>1135</v>
      </c>
      <c r="C4402" s="5" t="s">
        <v>31</v>
      </c>
      <c r="D4402" s="21">
        <v>3</v>
      </c>
      <c r="E4402" s="12">
        <v>267</v>
      </c>
      <c r="F4402" s="10" t="str">
        <f>_xlfn.XLOOKUP(C4402,menu!A:A,menu!B:B)</f>
        <v>Chicken Roll</v>
      </c>
      <c r="G4402" s="10" t="str">
        <f>_xlfn.XLOOKUP(C4402,menu!A:A,menu!C:C)</f>
        <v>Rolls</v>
      </c>
      <c r="H4402" s="10">
        <f>_xlfn.XLOOKUP(C4402,menu!A:A,menu!E:E)</f>
        <v>27</v>
      </c>
      <c r="I4402" s="10">
        <f t="shared" si="68"/>
        <v>81</v>
      </c>
      <c r="K4402" s="10"/>
      <c r="L4402" s="5"/>
    </row>
    <row r="4403" spans="1:12" x14ac:dyDescent="0.25">
      <c r="A4403" s="5" t="s">
        <v>1136</v>
      </c>
      <c r="B4403" s="5" t="s">
        <v>1135</v>
      </c>
      <c r="C4403" s="5" t="s">
        <v>61</v>
      </c>
      <c r="D4403" s="21">
        <v>4</v>
      </c>
      <c r="E4403" s="12">
        <v>316</v>
      </c>
      <c r="F4403" s="10" t="str">
        <f>_xlfn.XLOOKUP(C4403,menu!A:A,menu!B:B)</f>
        <v>Watermelon Mojito</v>
      </c>
      <c r="G4403" s="10" t="str">
        <f>_xlfn.XLOOKUP(C4403,menu!A:A,menu!C:C)</f>
        <v>Beverages</v>
      </c>
      <c r="H4403" s="10">
        <f>_xlfn.XLOOKUP(C4403,menu!A:A,menu!E:E)</f>
        <v>24</v>
      </c>
      <c r="I4403" s="10">
        <f t="shared" si="68"/>
        <v>96</v>
      </c>
      <c r="K4403" s="10"/>
      <c r="L4403" s="5"/>
    </row>
    <row r="4404" spans="1:12" x14ac:dyDescent="0.25">
      <c r="A4404" s="5" t="s">
        <v>1134</v>
      </c>
      <c r="B4404" s="5" t="s">
        <v>1131</v>
      </c>
      <c r="C4404" s="5" t="s">
        <v>17</v>
      </c>
      <c r="D4404" s="21">
        <v>3</v>
      </c>
      <c r="E4404" s="12">
        <v>267</v>
      </c>
      <c r="F4404" s="10" t="str">
        <f>_xlfn.XLOOKUP(C4404,menu!A:A,menu!B:B)</f>
        <v>Paneer Momos</v>
      </c>
      <c r="G4404" s="10" t="str">
        <f>_xlfn.XLOOKUP(C4404,menu!A:A,menu!C:C)</f>
        <v>Momos</v>
      </c>
      <c r="H4404" s="10">
        <f>_xlfn.XLOOKUP(C4404,menu!A:A,menu!E:E)</f>
        <v>27</v>
      </c>
      <c r="I4404" s="10">
        <f t="shared" si="68"/>
        <v>81</v>
      </c>
      <c r="K4404" s="10"/>
      <c r="L4404" s="5"/>
    </row>
    <row r="4405" spans="1:12" x14ac:dyDescent="0.25">
      <c r="A4405" s="5" t="s">
        <v>1133</v>
      </c>
      <c r="B4405" s="5" t="s">
        <v>1131</v>
      </c>
      <c r="C4405" s="5" t="s">
        <v>35</v>
      </c>
      <c r="D4405" s="21">
        <v>1</v>
      </c>
      <c r="E4405" s="12">
        <v>119</v>
      </c>
      <c r="F4405" s="10" t="str">
        <f>_xlfn.XLOOKUP(C4405,menu!A:A,menu!B:B)</f>
        <v>Chicken Nuggets</v>
      </c>
      <c r="G4405" s="10" t="str">
        <f>_xlfn.XLOOKUP(C4405,menu!A:A,menu!C:C)</f>
        <v>Starters</v>
      </c>
      <c r="H4405" s="10">
        <f>_xlfn.XLOOKUP(C4405,menu!A:A,menu!E:E)</f>
        <v>36</v>
      </c>
      <c r="I4405" s="10">
        <f t="shared" si="68"/>
        <v>36</v>
      </c>
      <c r="K4405" s="10"/>
      <c r="L4405" s="5"/>
    </row>
    <row r="4406" spans="1:12" x14ac:dyDescent="0.25">
      <c r="A4406" s="5" t="s">
        <v>1132</v>
      </c>
      <c r="B4406" s="5" t="s">
        <v>1131</v>
      </c>
      <c r="C4406" s="5" t="s">
        <v>46</v>
      </c>
      <c r="D4406" s="21">
        <v>1</v>
      </c>
      <c r="E4406" s="12">
        <v>149</v>
      </c>
      <c r="F4406" s="10" t="str">
        <f>_xlfn.XLOOKUP(C4406,menu!A:A,menu!B:B)</f>
        <v>Fish Finger</v>
      </c>
      <c r="G4406" s="10" t="str">
        <f>_xlfn.XLOOKUP(C4406,menu!A:A,menu!C:C)</f>
        <v>Starters</v>
      </c>
      <c r="H4406" s="10">
        <f>_xlfn.XLOOKUP(C4406,menu!A:A,menu!E:E)</f>
        <v>45</v>
      </c>
      <c r="I4406" s="10">
        <f t="shared" si="68"/>
        <v>45</v>
      </c>
      <c r="K4406" s="10"/>
      <c r="L4406" s="5"/>
    </row>
    <row r="4407" spans="1:12" x14ac:dyDescent="0.25">
      <c r="A4407" s="5" t="s">
        <v>1130</v>
      </c>
      <c r="B4407" s="5" t="s">
        <v>1126</v>
      </c>
      <c r="C4407" s="5" t="s">
        <v>40</v>
      </c>
      <c r="D4407" s="21">
        <v>2</v>
      </c>
      <c r="E4407" s="12">
        <v>198</v>
      </c>
      <c r="F4407" s="10" t="str">
        <f>_xlfn.XLOOKUP(C4407,menu!A:A,menu!B:B)</f>
        <v>Veg Nuggets</v>
      </c>
      <c r="G4407" s="10" t="str">
        <f>_xlfn.XLOOKUP(C4407,menu!A:A,menu!C:C)</f>
        <v>Starters</v>
      </c>
      <c r="H4407" s="10">
        <f>_xlfn.XLOOKUP(C4407,menu!A:A,menu!E:E)</f>
        <v>30</v>
      </c>
      <c r="I4407" s="10">
        <f t="shared" si="68"/>
        <v>60</v>
      </c>
      <c r="K4407" s="10"/>
      <c r="L4407" s="5"/>
    </row>
    <row r="4408" spans="1:12" x14ac:dyDescent="0.25">
      <c r="A4408" s="5" t="s">
        <v>1129</v>
      </c>
      <c r="B4408" s="5" t="s">
        <v>1126</v>
      </c>
      <c r="C4408" s="5" t="s">
        <v>52</v>
      </c>
      <c r="D4408" s="21">
        <v>3</v>
      </c>
      <c r="E4408" s="12">
        <v>297</v>
      </c>
      <c r="F4408" s="10" t="str">
        <f>_xlfn.XLOOKUP(C4408,menu!A:A,menu!B:B)</f>
        <v>French Fries</v>
      </c>
      <c r="G4408" s="10" t="str">
        <f>_xlfn.XLOOKUP(C4408,menu!A:A,menu!C:C)</f>
        <v>Starters</v>
      </c>
      <c r="H4408" s="10">
        <f>_xlfn.XLOOKUP(C4408,menu!A:A,menu!E:E)</f>
        <v>30</v>
      </c>
      <c r="I4408" s="10">
        <f t="shared" si="68"/>
        <v>90</v>
      </c>
      <c r="K4408" s="10"/>
      <c r="L4408" s="5"/>
    </row>
    <row r="4409" spans="1:12" x14ac:dyDescent="0.25">
      <c r="A4409" s="5" t="s">
        <v>1128</v>
      </c>
      <c r="B4409" s="5" t="s">
        <v>1126</v>
      </c>
      <c r="C4409" s="5" t="s">
        <v>22</v>
      </c>
      <c r="D4409" s="21">
        <v>1</v>
      </c>
      <c r="E4409" s="12">
        <v>99</v>
      </c>
      <c r="F4409" s="10" t="str">
        <f>_xlfn.XLOOKUP(C4409,menu!A:A,menu!B:B)</f>
        <v>Chicken Burger</v>
      </c>
      <c r="G4409" s="10" t="str">
        <f>_xlfn.XLOOKUP(C4409,menu!A:A,menu!C:C)</f>
        <v>Burger</v>
      </c>
      <c r="H4409" s="10">
        <f>_xlfn.XLOOKUP(C4409,menu!A:A,menu!E:E)</f>
        <v>30</v>
      </c>
      <c r="I4409" s="10">
        <f t="shared" si="68"/>
        <v>30</v>
      </c>
      <c r="K4409" s="10"/>
      <c r="L4409" s="5"/>
    </row>
    <row r="4410" spans="1:12" x14ac:dyDescent="0.25">
      <c r="A4410" s="5" t="s">
        <v>1127</v>
      </c>
      <c r="B4410" s="5" t="s">
        <v>1126</v>
      </c>
      <c r="C4410" s="5" t="s">
        <v>26</v>
      </c>
      <c r="D4410" s="21">
        <v>1</v>
      </c>
      <c r="E4410" s="12">
        <v>59</v>
      </c>
      <c r="F4410" s="10" t="str">
        <f>_xlfn.XLOOKUP(C4410,menu!A:A,menu!B:B)</f>
        <v>Veg Roll</v>
      </c>
      <c r="G4410" s="10" t="str">
        <f>_xlfn.XLOOKUP(C4410,menu!A:A,menu!C:C)</f>
        <v>Rolls</v>
      </c>
      <c r="H4410" s="10">
        <f>_xlfn.XLOOKUP(C4410,menu!A:A,menu!E:E)</f>
        <v>18</v>
      </c>
      <c r="I4410" s="10">
        <f t="shared" si="68"/>
        <v>18</v>
      </c>
      <c r="K4410" s="10"/>
      <c r="L4410" s="5"/>
    </row>
    <row r="4411" spans="1:12" x14ac:dyDescent="0.25">
      <c r="A4411" s="5" t="s">
        <v>1125</v>
      </c>
      <c r="B4411" s="5" t="s">
        <v>1121</v>
      </c>
      <c r="C4411" s="5" t="s">
        <v>40</v>
      </c>
      <c r="D4411" s="21">
        <v>1</v>
      </c>
      <c r="E4411" s="12">
        <v>99</v>
      </c>
      <c r="F4411" s="10" t="str">
        <f>_xlfn.XLOOKUP(C4411,menu!A:A,menu!B:B)</f>
        <v>Veg Nuggets</v>
      </c>
      <c r="G4411" s="10" t="str">
        <f>_xlfn.XLOOKUP(C4411,menu!A:A,menu!C:C)</f>
        <v>Starters</v>
      </c>
      <c r="H4411" s="10">
        <f>_xlfn.XLOOKUP(C4411,menu!A:A,menu!E:E)</f>
        <v>30</v>
      </c>
      <c r="I4411" s="10">
        <f t="shared" si="68"/>
        <v>30</v>
      </c>
      <c r="K4411" s="10"/>
      <c r="L4411" s="5"/>
    </row>
    <row r="4412" spans="1:12" x14ac:dyDescent="0.25">
      <c r="A4412" s="5" t="s">
        <v>1124</v>
      </c>
      <c r="B4412" s="5" t="s">
        <v>1121</v>
      </c>
      <c r="C4412" s="5" t="s">
        <v>22</v>
      </c>
      <c r="D4412" s="21">
        <v>3</v>
      </c>
      <c r="E4412" s="12">
        <v>297</v>
      </c>
      <c r="F4412" s="10" t="str">
        <f>_xlfn.XLOOKUP(C4412,menu!A:A,menu!B:B)</f>
        <v>Chicken Burger</v>
      </c>
      <c r="G4412" s="10" t="str">
        <f>_xlfn.XLOOKUP(C4412,menu!A:A,menu!C:C)</f>
        <v>Burger</v>
      </c>
      <c r="H4412" s="10">
        <f>_xlfn.XLOOKUP(C4412,menu!A:A,menu!E:E)</f>
        <v>30</v>
      </c>
      <c r="I4412" s="10">
        <f t="shared" si="68"/>
        <v>90</v>
      </c>
      <c r="K4412" s="10"/>
      <c r="L4412" s="5"/>
    </row>
    <row r="4413" spans="1:12" x14ac:dyDescent="0.25">
      <c r="A4413" s="5" t="s">
        <v>1123</v>
      </c>
      <c r="B4413" s="5" t="s">
        <v>1121</v>
      </c>
      <c r="C4413" s="5" t="s">
        <v>59</v>
      </c>
      <c r="D4413" s="21">
        <v>1</v>
      </c>
      <c r="E4413" s="12">
        <v>79</v>
      </c>
      <c r="F4413" s="10" t="str">
        <f>_xlfn.XLOOKUP(C4413,menu!A:A,menu!B:B)</f>
        <v>Blue Curacao Mojito</v>
      </c>
      <c r="G4413" s="10" t="str">
        <f>_xlfn.XLOOKUP(C4413,menu!A:A,menu!C:C)</f>
        <v>Beverages</v>
      </c>
      <c r="H4413" s="10">
        <f>_xlfn.XLOOKUP(C4413,menu!A:A,menu!E:E)</f>
        <v>24</v>
      </c>
      <c r="I4413" s="10">
        <f t="shared" si="68"/>
        <v>24</v>
      </c>
      <c r="K4413" s="10"/>
      <c r="L4413" s="5"/>
    </row>
    <row r="4414" spans="1:12" x14ac:dyDescent="0.25">
      <c r="A4414" s="5" t="s">
        <v>1122</v>
      </c>
      <c r="B4414" s="5" t="s">
        <v>1121</v>
      </c>
      <c r="C4414" s="5" t="s">
        <v>5</v>
      </c>
      <c r="D4414" s="21">
        <v>1</v>
      </c>
      <c r="E4414" s="12">
        <v>79</v>
      </c>
      <c r="F4414" s="10" t="str">
        <f>_xlfn.XLOOKUP(C4414,menu!A:A,menu!B:B)</f>
        <v>Veg Sandwich</v>
      </c>
      <c r="G4414" s="10" t="str">
        <f>_xlfn.XLOOKUP(C4414,menu!A:A,menu!C:C)</f>
        <v>Sandwich</v>
      </c>
      <c r="H4414" s="10">
        <f>_xlfn.XLOOKUP(C4414,menu!A:A,menu!E:E)</f>
        <v>24</v>
      </c>
      <c r="I4414" s="10">
        <f t="shared" si="68"/>
        <v>24</v>
      </c>
      <c r="K4414" s="10"/>
      <c r="L4414" s="5"/>
    </row>
    <row r="4415" spans="1:12" x14ac:dyDescent="0.25">
      <c r="A4415" s="5" t="s">
        <v>1120</v>
      </c>
      <c r="B4415" s="5" t="s">
        <v>1118</v>
      </c>
      <c r="C4415" s="5" t="s">
        <v>46</v>
      </c>
      <c r="D4415" s="21">
        <v>2</v>
      </c>
      <c r="E4415" s="12">
        <v>298</v>
      </c>
      <c r="F4415" s="10" t="str">
        <f>_xlfn.XLOOKUP(C4415,menu!A:A,menu!B:B)</f>
        <v>Fish Finger</v>
      </c>
      <c r="G4415" s="10" t="str">
        <f>_xlfn.XLOOKUP(C4415,menu!A:A,menu!C:C)</f>
        <v>Starters</v>
      </c>
      <c r="H4415" s="10">
        <f>_xlfn.XLOOKUP(C4415,menu!A:A,menu!E:E)</f>
        <v>45</v>
      </c>
      <c r="I4415" s="10">
        <f t="shared" si="68"/>
        <v>90</v>
      </c>
      <c r="K4415" s="10"/>
      <c r="L4415" s="5"/>
    </row>
    <row r="4416" spans="1:12" x14ac:dyDescent="0.25">
      <c r="A4416" s="5" t="s">
        <v>1119</v>
      </c>
      <c r="B4416" s="5" t="s">
        <v>1118</v>
      </c>
      <c r="C4416" s="5" t="s">
        <v>8</v>
      </c>
      <c r="D4416" s="21">
        <v>4</v>
      </c>
      <c r="E4416" s="12">
        <v>396</v>
      </c>
      <c r="F4416" s="10" t="str">
        <f>_xlfn.XLOOKUP(C4416,menu!A:A,menu!B:B)</f>
        <v>Paneer Sandwich</v>
      </c>
      <c r="G4416" s="10" t="str">
        <f>_xlfn.XLOOKUP(C4416,menu!A:A,menu!C:C)</f>
        <v>Sandwich</v>
      </c>
      <c r="H4416" s="10">
        <f>_xlfn.XLOOKUP(C4416,menu!A:A,menu!E:E)</f>
        <v>30</v>
      </c>
      <c r="I4416" s="10">
        <f t="shared" si="68"/>
        <v>120</v>
      </c>
      <c r="K4416" s="10"/>
      <c r="L4416" s="5"/>
    </row>
    <row r="4417" spans="1:12" x14ac:dyDescent="0.25">
      <c r="A4417" s="5" t="s">
        <v>1117</v>
      </c>
      <c r="B4417" s="5" t="s">
        <v>1115</v>
      </c>
      <c r="C4417" s="5" t="s">
        <v>19</v>
      </c>
      <c r="D4417" s="21">
        <v>2</v>
      </c>
      <c r="E4417" s="12">
        <v>158</v>
      </c>
      <c r="F4417" s="10" t="str">
        <f>_xlfn.XLOOKUP(C4417,menu!A:A,menu!B:B)</f>
        <v>Veg Burger</v>
      </c>
      <c r="G4417" s="10" t="str">
        <f>_xlfn.XLOOKUP(C4417,menu!A:A,menu!C:C)</f>
        <v>Burger</v>
      </c>
      <c r="H4417" s="10">
        <f>_xlfn.XLOOKUP(C4417,menu!A:A,menu!E:E)</f>
        <v>24</v>
      </c>
      <c r="I4417" s="10">
        <f t="shared" si="68"/>
        <v>48</v>
      </c>
      <c r="K4417" s="10"/>
      <c r="L4417" s="5"/>
    </row>
    <row r="4418" spans="1:12" x14ac:dyDescent="0.25">
      <c r="A4418" s="5" t="s">
        <v>1116</v>
      </c>
      <c r="B4418" s="5" t="s">
        <v>1115</v>
      </c>
      <c r="C4418" s="5" t="s">
        <v>33</v>
      </c>
      <c r="D4418" s="21">
        <v>2</v>
      </c>
      <c r="E4418" s="12">
        <v>138</v>
      </c>
      <c r="F4418" s="10" t="str">
        <f>_xlfn.XLOOKUP(C4418,menu!A:A,menu!B:B)</f>
        <v>Spring Roll</v>
      </c>
      <c r="G4418" s="10" t="str">
        <f>_xlfn.XLOOKUP(C4418,menu!A:A,menu!C:C)</f>
        <v>Rolls</v>
      </c>
      <c r="H4418" s="10">
        <f>_xlfn.XLOOKUP(C4418,menu!A:A,menu!E:E)</f>
        <v>21</v>
      </c>
      <c r="I4418" s="10">
        <f t="shared" si="68"/>
        <v>42</v>
      </c>
      <c r="K4418" s="10"/>
      <c r="L4418" s="5"/>
    </row>
    <row r="4419" spans="1:12" x14ac:dyDescent="0.25">
      <c r="A4419" s="5" t="s">
        <v>1114</v>
      </c>
      <c r="B4419" s="5" t="s">
        <v>1112</v>
      </c>
      <c r="C4419" s="5" t="s">
        <v>15</v>
      </c>
      <c r="D4419" s="21">
        <v>1</v>
      </c>
      <c r="E4419" s="12">
        <v>99</v>
      </c>
      <c r="F4419" s="10" t="str">
        <f>_xlfn.XLOOKUP(C4419,menu!A:A,menu!B:B)</f>
        <v>Chicken Momos</v>
      </c>
      <c r="G4419" s="10" t="str">
        <f>_xlfn.XLOOKUP(C4419,menu!A:A,menu!C:C)</f>
        <v>Momos</v>
      </c>
      <c r="H4419" s="10">
        <f>_xlfn.XLOOKUP(C4419,menu!A:A,menu!E:E)</f>
        <v>30</v>
      </c>
      <c r="I4419" s="10">
        <f t="shared" ref="I4419:I4482" si="69">D4419*H4419</f>
        <v>30</v>
      </c>
      <c r="K4419" s="10"/>
      <c r="L4419" s="5"/>
    </row>
    <row r="4420" spans="1:12" x14ac:dyDescent="0.25">
      <c r="A4420" s="5" t="s">
        <v>1113</v>
      </c>
      <c r="B4420" s="5" t="s">
        <v>1112</v>
      </c>
      <c r="C4420" s="5" t="s">
        <v>24</v>
      </c>
      <c r="D4420" s="21">
        <v>1</v>
      </c>
      <c r="E4420" s="12">
        <v>89</v>
      </c>
      <c r="F4420" s="10" t="str">
        <f>_xlfn.XLOOKUP(C4420,menu!A:A,menu!B:B)</f>
        <v>Paneer Burger</v>
      </c>
      <c r="G4420" s="10" t="str">
        <f>_xlfn.XLOOKUP(C4420,menu!A:A,menu!C:C)</f>
        <v>Burger</v>
      </c>
      <c r="H4420" s="10">
        <f>_xlfn.XLOOKUP(C4420,menu!A:A,menu!E:E)</f>
        <v>27</v>
      </c>
      <c r="I4420" s="10">
        <f t="shared" si="69"/>
        <v>27</v>
      </c>
      <c r="K4420" s="10"/>
      <c r="L4420" s="5"/>
    </row>
    <row r="4421" spans="1:12" x14ac:dyDescent="0.25">
      <c r="A4421" s="5" t="s">
        <v>1111</v>
      </c>
      <c r="B4421" s="5" t="s">
        <v>1109</v>
      </c>
      <c r="C4421" s="5" t="s">
        <v>40</v>
      </c>
      <c r="D4421" s="21">
        <v>2</v>
      </c>
      <c r="E4421" s="12">
        <v>198</v>
      </c>
      <c r="F4421" s="10" t="str">
        <f>_xlfn.XLOOKUP(C4421,menu!A:A,menu!B:B)</f>
        <v>Veg Nuggets</v>
      </c>
      <c r="G4421" s="10" t="str">
        <f>_xlfn.XLOOKUP(C4421,menu!A:A,menu!C:C)</f>
        <v>Starters</v>
      </c>
      <c r="H4421" s="10">
        <f>_xlfn.XLOOKUP(C4421,menu!A:A,menu!E:E)</f>
        <v>30</v>
      </c>
      <c r="I4421" s="10">
        <f t="shared" si="69"/>
        <v>60</v>
      </c>
      <c r="K4421" s="10"/>
      <c r="L4421" s="5"/>
    </row>
    <row r="4422" spans="1:12" x14ac:dyDescent="0.25">
      <c r="A4422" s="5" t="s">
        <v>1110</v>
      </c>
      <c r="B4422" s="5" t="s">
        <v>1109</v>
      </c>
      <c r="C4422" s="5" t="s">
        <v>50</v>
      </c>
      <c r="D4422" s="21">
        <v>2</v>
      </c>
      <c r="E4422" s="12">
        <v>298</v>
      </c>
      <c r="F4422" s="10" t="str">
        <f>_xlfn.XLOOKUP(C4422,menu!A:A,menu!B:B)</f>
        <v>Grab Lollipop</v>
      </c>
      <c r="G4422" s="10" t="str">
        <f>_xlfn.XLOOKUP(C4422,menu!A:A,menu!C:C)</f>
        <v>Starters</v>
      </c>
      <c r="H4422" s="10">
        <f>_xlfn.XLOOKUP(C4422,menu!A:A,menu!E:E)</f>
        <v>45</v>
      </c>
      <c r="I4422" s="10">
        <f t="shared" si="69"/>
        <v>90</v>
      </c>
      <c r="K4422" s="10"/>
      <c r="L4422" s="5"/>
    </row>
    <row r="4423" spans="1:12" x14ac:dyDescent="0.25">
      <c r="A4423" s="5" t="s">
        <v>1108</v>
      </c>
      <c r="B4423" s="5" t="s">
        <v>1106</v>
      </c>
      <c r="C4423" s="5" t="s">
        <v>15</v>
      </c>
      <c r="D4423" s="21">
        <v>3</v>
      </c>
      <c r="E4423" s="12">
        <v>297</v>
      </c>
      <c r="F4423" s="10" t="str">
        <f>_xlfn.XLOOKUP(C4423,menu!A:A,menu!B:B)</f>
        <v>Chicken Momos</v>
      </c>
      <c r="G4423" s="10" t="str">
        <f>_xlfn.XLOOKUP(C4423,menu!A:A,menu!C:C)</f>
        <v>Momos</v>
      </c>
      <c r="H4423" s="10">
        <f>_xlfn.XLOOKUP(C4423,menu!A:A,menu!E:E)</f>
        <v>30</v>
      </c>
      <c r="I4423" s="10">
        <f t="shared" si="69"/>
        <v>90</v>
      </c>
      <c r="K4423" s="10"/>
      <c r="L4423" s="5"/>
    </row>
    <row r="4424" spans="1:12" x14ac:dyDescent="0.25">
      <c r="A4424" s="5" t="s">
        <v>1107</v>
      </c>
      <c r="B4424" s="5" t="s">
        <v>1106</v>
      </c>
      <c r="C4424" s="5" t="s">
        <v>48</v>
      </c>
      <c r="D4424" s="21">
        <v>1</v>
      </c>
      <c r="E4424" s="12">
        <v>159</v>
      </c>
      <c r="F4424" s="10" t="str">
        <f>_xlfn.XLOOKUP(C4424,menu!A:A,menu!B:B)</f>
        <v>Chicken Lollipop</v>
      </c>
      <c r="G4424" s="10" t="str">
        <f>_xlfn.XLOOKUP(C4424,menu!A:A,menu!C:C)</f>
        <v>Starters</v>
      </c>
      <c r="H4424" s="10">
        <f>_xlfn.XLOOKUP(C4424,menu!A:A,menu!E:E)</f>
        <v>48</v>
      </c>
      <c r="I4424" s="10">
        <f t="shared" si="69"/>
        <v>48</v>
      </c>
      <c r="K4424" s="10"/>
      <c r="L4424" s="5"/>
    </row>
    <row r="4425" spans="1:12" x14ac:dyDescent="0.25">
      <c r="A4425" s="5" t="s">
        <v>1105</v>
      </c>
      <c r="B4425" s="5" t="s">
        <v>1103</v>
      </c>
      <c r="C4425" s="5" t="s">
        <v>10</v>
      </c>
      <c r="D4425" s="21">
        <v>3</v>
      </c>
      <c r="E4425" s="12">
        <v>357</v>
      </c>
      <c r="F4425" s="10" t="str">
        <f>_xlfn.XLOOKUP(C4425,menu!A:A,menu!B:B)</f>
        <v>Chicken Sandwich</v>
      </c>
      <c r="G4425" s="10" t="str">
        <f>_xlfn.XLOOKUP(C4425,menu!A:A,menu!C:C)</f>
        <v>Sandwich</v>
      </c>
      <c r="H4425" s="10">
        <f>_xlfn.XLOOKUP(C4425,menu!A:A,menu!E:E)</f>
        <v>36</v>
      </c>
      <c r="I4425" s="10">
        <f t="shared" si="69"/>
        <v>108</v>
      </c>
      <c r="K4425" s="10"/>
      <c r="L4425" s="5"/>
    </row>
    <row r="4426" spans="1:12" x14ac:dyDescent="0.25">
      <c r="A4426" s="5" t="s">
        <v>1104</v>
      </c>
      <c r="B4426" s="5" t="s">
        <v>1103</v>
      </c>
      <c r="C4426" s="5" t="s">
        <v>54</v>
      </c>
      <c r="D4426" s="21">
        <v>1</v>
      </c>
      <c r="E4426" s="12">
        <v>139</v>
      </c>
      <c r="F4426" s="10" t="str">
        <f>_xlfn.XLOOKUP(C4426,menu!A:A,menu!B:B)</f>
        <v>Chicken Strips</v>
      </c>
      <c r="G4426" s="10" t="str">
        <f>_xlfn.XLOOKUP(C4426,menu!A:A,menu!C:C)</f>
        <v>Starters</v>
      </c>
      <c r="H4426" s="10">
        <f>_xlfn.XLOOKUP(C4426,menu!A:A,menu!E:E)</f>
        <v>42</v>
      </c>
      <c r="I4426" s="10">
        <f t="shared" si="69"/>
        <v>42</v>
      </c>
      <c r="K4426" s="10"/>
      <c r="L4426" s="5"/>
    </row>
    <row r="4427" spans="1:12" x14ac:dyDescent="0.25">
      <c r="A4427" s="5" t="s">
        <v>1102</v>
      </c>
      <c r="B4427" s="5" t="s">
        <v>1099</v>
      </c>
      <c r="C4427" s="5" t="s">
        <v>17</v>
      </c>
      <c r="D4427" s="21">
        <v>1</v>
      </c>
      <c r="E4427" s="12">
        <v>89</v>
      </c>
      <c r="F4427" s="10" t="str">
        <f>_xlfn.XLOOKUP(C4427,menu!A:A,menu!B:B)</f>
        <v>Paneer Momos</v>
      </c>
      <c r="G4427" s="10" t="str">
        <f>_xlfn.XLOOKUP(C4427,menu!A:A,menu!C:C)</f>
        <v>Momos</v>
      </c>
      <c r="H4427" s="10">
        <f>_xlfn.XLOOKUP(C4427,menu!A:A,menu!E:E)</f>
        <v>27</v>
      </c>
      <c r="I4427" s="10">
        <f t="shared" si="69"/>
        <v>27</v>
      </c>
      <c r="K4427" s="10"/>
      <c r="L4427" s="5"/>
    </row>
    <row r="4428" spans="1:12" x14ac:dyDescent="0.25">
      <c r="A4428" s="5" t="s">
        <v>1101</v>
      </c>
      <c r="B4428" s="5" t="s">
        <v>1099</v>
      </c>
      <c r="C4428" s="5" t="s">
        <v>42</v>
      </c>
      <c r="D4428" s="21">
        <v>3</v>
      </c>
      <c r="E4428" s="12">
        <v>447</v>
      </c>
      <c r="F4428" s="10" t="str">
        <f>_xlfn.XLOOKUP(C4428,menu!A:A,menu!B:B)</f>
        <v>Chicken Popcorn</v>
      </c>
      <c r="G4428" s="10" t="str">
        <f>_xlfn.XLOOKUP(C4428,menu!A:A,menu!C:C)</f>
        <v>Starters</v>
      </c>
      <c r="H4428" s="10">
        <f>_xlfn.XLOOKUP(C4428,menu!A:A,menu!E:E)</f>
        <v>45</v>
      </c>
      <c r="I4428" s="10">
        <f t="shared" si="69"/>
        <v>135</v>
      </c>
      <c r="K4428" s="10"/>
      <c r="L4428" s="5"/>
    </row>
    <row r="4429" spans="1:12" x14ac:dyDescent="0.25">
      <c r="A4429" s="5" t="s">
        <v>1100</v>
      </c>
      <c r="B4429" s="5" t="s">
        <v>1099</v>
      </c>
      <c r="C4429" s="5" t="s">
        <v>22</v>
      </c>
      <c r="D4429" s="21">
        <v>1</v>
      </c>
      <c r="E4429" s="12">
        <v>99</v>
      </c>
      <c r="F4429" s="10" t="str">
        <f>_xlfn.XLOOKUP(C4429,menu!A:A,menu!B:B)</f>
        <v>Chicken Burger</v>
      </c>
      <c r="G4429" s="10" t="str">
        <f>_xlfn.XLOOKUP(C4429,menu!A:A,menu!C:C)</f>
        <v>Burger</v>
      </c>
      <c r="H4429" s="10">
        <f>_xlfn.XLOOKUP(C4429,menu!A:A,menu!E:E)</f>
        <v>30</v>
      </c>
      <c r="I4429" s="10">
        <f t="shared" si="69"/>
        <v>30</v>
      </c>
      <c r="K4429" s="10"/>
      <c r="L4429" s="5"/>
    </row>
    <row r="4430" spans="1:12" x14ac:dyDescent="0.25">
      <c r="A4430" s="5" t="s">
        <v>1098</v>
      </c>
      <c r="B4430" s="5" t="s">
        <v>1097</v>
      </c>
      <c r="C4430" s="5" t="s">
        <v>63</v>
      </c>
      <c r="D4430" s="21">
        <v>2</v>
      </c>
      <c r="E4430" s="12">
        <v>158</v>
      </c>
      <c r="F4430" s="10" t="str">
        <f>_xlfn.XLOOKUP(C4430,menu!A:A,menu!B:B)</f>
        <v>Virgin Mojito</v>
      </c>
      <c r="G4430" s="10" t="str">
        <f>_xlfn.XLOOKUP(C4430,menu!A:A,menu!C:C)</f>
        <v>Beverages</v>
      </c>
      <c r="H4430" s="10">
        <f>_xlfn.XLOOKUP(C4430,menu!A:A,menu!E:E)</f>
        <v>24</v>
      </c>
      <c r="I4430" s="10">
        <f t="shared" si="69"/>
        <v>48</v>
      </c>
      <c r="K4430" s="10"/>
      <c r="L4430" s="5"/>
    </row>
    <row r="4431" spans="1:12" x14ac:dyDescent="0.25">
      <c r="A4431" s="5" t="s">
        <v>1096</v>
      </c>
      <c r="B4431" s="5" t="s">
        <v>1095</v>
      </c>
      <c r="C4431" s="5" t="s">
        <v>10</v>
      </c>
      <c r="D4431" s="21">
        <v>1</v>
      </c>
      <c r="E4431" s="12">
        <v>119</v>
      </c>
      <c r="F4431" s="10" t="str">
        <f>_xlfn.XLOOKUP(C4431,menu!A:A,menu!B:B)</f>
        <v>Chicken Sandwich</v>
      </c>
      <c r="G4431" s="10" t="str">
        <f>_xlfn.XLOOKUP(C4431,menu!A:A,menu!C:C)</f>
        <v>Sandwich</v>
      </c>
      <c r="H4431" s="10">
        <f>_xlfn.XLOOKUP(C4431,menu!A:A,menu!E:E)</f>
        <v>36</v>
      </c>
      <c r="I4431" s="10">
        <f t="shared" si="69"/>
        <v>36</v>
      </c>
      <c r="K4431" s="10"/>
      <c r="L4431" s="5"/>
    </row>
    <row r="4432" spans="1:12" x14ac:dyDescent="0.25">
      <c r="A4432" s="5" t="s">
        <v>1094</v>
      </c>
      <c r="B4432" s="5" t="s">
        <v>1092</v>
      </c>
      <c r="C4432" s="5" t="s">
        <v>12</v>
      </c>
      <c r="D4432" s="21">
        <v>1</v>
      </c>
      <c r="E4432" s="12">
        <v>79</v>
      </c>
      <c r="F4432" s="10" t="str">
        <f>_xlfn.XLOOKUP(C4432,menu!A:A,menu!B:B)</f>
        <v>Veg Momos</v>
      </c>
      <c r="G4432" s="10" t="str">
        <f>_xlfn.XLOOKUP(C4432,menu!A:A,menu!C:C)</f>
        <v>Momos</v>
      </c>
      <c r="H4432" s="10">
        <f>_xlfn.XLOOKUP(C4432,menu!A:A,menu!E:E)</f>
        <v>24</v>
      </c>
      <c r="I4432" s="10">
        <f t="shared" si="69"/>
        <v>24</v>
      </c>
      <c r="K4432" s="10"/>
      <c r="L4432" s="5"/>
    </row>
    <row r="4433" spans="1:12" x14ac:dyDescent="0.25">
      <c r="A4433" s="5" t="s">
        <v>1093</v>
      </c>
      <c r="B4433" s="5" t="s">
        <v>1092</v>
      </c>
      <c r="C4433" s="5" t="s">
        <v>44</v>
      </c>
      <c r="D4433" s="21">
        <v>1</v>
      </c>
      <c r="E4433" s="12">
        <v>159</v>
      </c>
      <c r="F4433" s="10" t="str">
        <f>_xlfn.XLOOKUP(C4433,menu!A:A,menu!B:B)</f>
        <v>Fried Chicken</v>
      </c>
      <c r="G4433" s="10" t="str">
        <f>_xlfn.XLOOKUP(C4433,menu!A:A,menu!C:C)</f>
        <v>Starters</v>
      </c>
      <c r="H4433" s="10">
        <f>_xlfn.XLOOKUP(C4433,menu!A:A,menu!E:E)</f>
        <v>48</v>
      </c>
      <c r="I4433" s="10">
        <f t="shared" si="69"/>
        <v>48</v>
      </c>
      <c r="K4433" s="10"/>
      <c r="L4433" s="5"/>
    </row>
    <row r="4434" spans="1:12" x14ac:dyDescent="0.25">
      <c r="A4434" s="5" t="s">
        <v>1091</v>
      </c>
      <c r="B4434" s="5" t="s">
        <v>1090</v>
      </c>
      <c r="C4434" s="5" t="s">
        <v>15</v>
      </c>
      <c r="D4434" s="21">
        <v>1</v>
      </c>
      <c r="E4434" s="12">
        <v>99</v>
      </c>
      <c r="F4434" s="10" t="str">
        <f>_xlfn.XLOOKUP(C4434,menu!A:A,menu!B:B)</f>
        <v>Chicken Momos</v>
      </c>
      <c r="G4434" s="10" t="str">
        <f>_xlfn.XLOOKUP(C4434,menu!A:A,menu!C:C)</f>
        <v>Momos</v>
      </c>
      <c r="H4434" s="10">
        <f>_xlfn.XLOOKUP(C4434,menu!A:A,menu!E:E)</f>
        <v>30</v>
      </c>
      <c r="I4434" s="10">
        <f t="shared" si="69"/>
        <v>30</v>
      </c>
      <c r="K4434" s="10"/>
      <c r="L4434" s="5"/>
    </row>
    <row r="4435" spans="1:12" x14ac:dyDescent="0.25">
      <c r="A4435" s="5" t="s">
        <v>1089</v>
      </c>
      <c r="B4435" s="5" t="s">
        <v>1086</v>
      </c>
      <c r="C4435" s="5" t="s">
        <v>50</v>
      </c>
      <c r="D4435" s="21">
        <v>2</v>
      </c>
      <c r="E4435" s="12">
        <v>298</v>
      </c>
      <c r="F4435" s="10" t="str">
        <f>_xlfn.XLOOKUP(C4435,menu!A:A,menu!B:B)</f>
        <v>Grab Lollipop</v>
      </c>
      <c r="G4435" s="10" t="str">
        <f>_xlfn.XLOOKUP(C4435,menu!A:A,menu!C:C)</f>
        <v>Starters</v>
      </c>
      <c r="H4435" s="10">
        <f>_xlfn.XLOOKUP(C4435,menu!A:A,menu!E:E)</f>
        <v>45</v>
      </c>
      <c r="I4435" s="10">
        <f t="shared" si="69"/>
        <v>90</v>
      </c>
      <c r="K4435" s="10"/>
      <c r="L4435" s="5"/>
    </row>
    <row r="4436" spans="1:12" x14ac:dyDescent="0.25">
      <c r="A4436" s="5" t="s">
        <v>1088</v>
      </c>
      <c r="B4436" s="5" t="s">
        <v>1086</v>
      </c>
      <c r="C4436" s="5" t="s">
        <v>54</v>
      </c>
      <c r="D4436" s="21">
        <v>2</v>
      </c>
      <c r="E4436" s="12">
        <v>278</v>
      </c>
      <c r="F4436" s="10" t="str">
        <f>_xlfn.XLOOKUP(C4436,menu!A:A,menu!B:B)</f>
        <v>Chicken Strips</v>
      </c>
      <c r="G4436" s="10" t="str">
        <f>_xlfn.XLOOKUP(C4436,menu!A:A,menu!C:C)</f>
        <v>Starters</v>
      </c>
      <c r="H4436" s="10">
        <f>_xlfn.XLOOKUP(C4436,menu!A:A,menu!E:E)</f>
        <v>42</v>
      </c>
      <c r="I4436" s="10">
        <f t="shared" si="69"/>
        <v>84</v>
      </c>
      <c r="K4436" s="10"/>
      <c r="L4436" s="5"/>
    </row>
    <row r="4437" spans="1:12" x14ac:dyDescent="0.25">
      <c r="A4437" s="5" t="s">
        <v>1087</v>
      </c>
      <c r="B4437" s="5" t="s">
        <v>1086</v>
      </c>
      <c r="C4437" s="5" t="s">
        <v>42</v>
      </c>
      <c r="D4437" s="21">
        <v>1</v>
      </c>
      <c r="E4437" s="12">
        <v>149</v>
      </c>
      <c r="F4437" s="10" t="str">
        <f>_xlfn.XLOOKUP(C4437,menu!A:A,menu!B:B)</f>
        <v>Chicken Popcorn</v>
      </c>
      <c r="G4437" s="10" t="str">
        <f>_xlfn.XLOOKUP(C4437,menu!A:A,menu!C:C)</f>
        <v>Starters</v>
      </c>
      <c r="H4437" s="10">
        <f>_xlfn.XLOOKUP(C4437,menu!A:A,menu!E:E)</f>
        <v>45</v>
      </c>
      <c r="I4437" s="10">
        <f t="shared" si="69"/>
        <v>45</v>
      </c>
      <c r="K4437" s="10"/>
      <c r="L4437" s="5"/>
    </row>
    <row r="4438" spans="1:12" x14ac:dyDescent="0.25">
      <c r="A4438" s="5" t="s">
        <v>1085</v>
      </c>
      <c r="B4438" s="5" t="s">
        <v>1083</v>
      </c>
      <c r="C4438" s="5" t="s">
        <v>5</v>
      </c>
      <c r="D4438" s="21">
        <v>3</v>
      </c>
      <c r="E4438" s="12">
        <v>237</v>
      </c>
      <c r="F4438" s="10" t="str">
        <f>_xlfn.XLOOKUP(C4438,menu!A:A,menu!B:B)</f>
        <v>Veg Sandwich</v>
      </c>
      <c r="G4438" s="10" t="str">
        <f>_xlfn.XLOOKUP(C4438,menu!A:A,menu!C:C)</f>
        <v>Sandwich</v>
      </c>
      <c r="H4438" s="10">
        <f>_xlfn.XLOOKUP(C4438,menu!A:A,menu!E:E)</f>
        <v>24</v>
      </c>
      <c r="I4438" s="10">
        <f t="shared" si="69"/>
        <v>72</v>
      </c>
      <c r="K4438" s="10"/>
      <c r="L4438" s="5"/>
    </row>
    <row r="4439" spans="1:12" x14ac:dyDescent="0.25">
      <c r="A4439" s="5" t="s">
        <v>1084</v>
      </c>
      <c r="B4439" s="5" t="s">
        <v>1083</v>
      </c>
      <c r="C4439" s="5" t="s">
        <v>15</v>
      </c>
      <c r="D4439" s="21">
        <v>1</v>
      </c>
      <c r="E4439" s="12">
        <v>99</v>
      </c>
      <c r="F4439" s="10" t="str">
        <f>_xlfn.XLOOKUP(C4439,menu!A:A,menu!B:B)</f>
        <v>Chicken Momos</v>
      </c>
      <c r="G4439" s="10" t="str">
        <f>_xlfn.XLOOKUP(C4439,menu!A:A,menu!C:C)</f>
        <v>Momos</v>
      </c>
      <c r="H4439" s="10">
        <f>_xlfn.XLOOKUP(C4439,menu!A:A,menu!E:E)</f>
        <v>30</v>
      </c>
      <c r="I4439" s="10">
        <f t="shared" si="69"/>
        <v>30</v>
      </c>
      <c r="K4439" s="10"/>
      <c r="L4439" s="5"/>
    </row>
    <row r="4440" spans="1:12" x14ac:dyDescent="0.25">
      <c r="A4440" s="5" t="s">
        <v>1082</v>
      </c>
      <c r="B4440" s="5" t="s">
        <v>1080</v>
      </c>
      <c r="C4440" s="5" t="s">
        <v>15</v>
      </c>
      <c r="D4440" s="21">
        <v>2</v>
      </c>
      <c r="E4440" s="12">
        <v>198</v>
      </c>
      <c r="F4440" s="10" t="str">
        <f>_xlfn.XLOOKUP(C4440,menu!A:A,menu!B:B)</f>
        <v>Chicken Momos</v>
      </c>
      <c r="G4440" s="10" t="str">
        <f>_xlfn.XLOOKUP(C4440,menu!A:A,menu!C:C)</f>
        <v>Momos</v>
      </c>
      <c r="H4440" s="10">
        <f>_xlfn.XLOOKUP(C4440,menu!A:A,menu!E:E)</f>
        <v>30</v>
      </c>
      <c r="I4440" s="10">
        <f t="shared" si="69"/>
        <v>60</v>
      </c>
      <c r="K4440" s="10"/>
      <c r="L4440" s="5"/>
    </row>
    <row r="4441" spans="1:12" x14ac:dyDescent="0.25">
      <c r="A4441" s="5" t="s">
        <v>1081</v>
      </c>
      <c r="B4441" s="5" t="s">
        <v>1080</v>
      </c>
      <c r="C4441" s="5" t="s">
        <v>42</v>
      </c>
      <c r="D4441" s="21">
        <v>2</v>
      </c>
      <c r="E4441" s="12">
        <v>298</v>
      </c>
      <c r="F4441" s="10" t="str">
        <f>_xlfn.XLOOKUP(C4441,menu!A:A,menu!B:B)</f>
        <v>Chicken Popcorn</v>
      </c>
      <c r="G4441" s="10" t="str">
        <f>_xlfn.XLOOKUP(C4441,menu!A:A,menu!C:C)</f>
        <v>Starters</v>
      </c>
      <c r="H4441" s="10">
        <f>_xlfn.XLOOKUP(C4441,menu!A:A,menu!E:E)</f>
        <v>45</v>
      </c>
      <c r="I4441" s="10">
        <f t="shared" si="69"/>
        <v>90</v>
      </c>
      <c r="K4441" s="10"/>
      <c r="L4441" s="5"/>
    </row>
    <row r="4442" spans="1:12" x14ac:dyDescent="0.25">
      <c r="A4442" s="5" t="s">
        <v>1079</v>
      </c>
      <c r="B4442" s="5" t="s">
        <v>1077</v>
      </c>
      <c r="C4442" s="5" t="s">
        <v>56</v>
      </c>
      <c r="D4442" s="21">
        <v>1</v>
      </c>
      <c r="E4442" s="12">
        <v>79</v>
      </c>
      <c r="F4442" s="10" t="str">
        <f>_xlfn.XLOOKUP(C4442,menu!A:A,menu!B:B)</f>
        <v>Mint Mojito</v>
      </c>
      <c r="G4442" s="10" t="str">
        <f>_xlfn.XLOOKUP(C4442,menu!A:A,menu!C:C)</f>
        <v>Beverages</v>
      </c>
      <c r="H4442" s="10">
        <f>_xlfn.XLOOKUP(C4442,menu!A:A,menu!E:E)</f>
        <v>24</v>
      </c>
      <c r="I4442" s="10">
        <f t="shared" si="69"/>
        <v>24</v>
      </c>
      <c r="K4442" s="10"/>
      <c r="L4442" s="5"/>
    </row>
    <row r="4443" spans="1:12" x14ac:dyDescent="0.25">
      <c r="A4443" s="5" t="s">
        <v>1078</v>
      </c>
      <c r="B4443" s="5" t="s">
        <v>1077</v>
      </c>
      <c r="C4443" s="5" t="s">
        <v>22</v>
      </c>
      <c r="D4443" s="21">
        <v>1</v>
      </c>
      <c r="E4443" s="12">
        <v>99</v>
      </c>
      <c r="F4443" s="10" t="str">
        <f>_xlfn.XLOOKUP(C4443,menu!A:A,menu!B:B)</f>
        <v>Chicken Burger</v>
      </c>
      <c r="G4443" s="10" t="str">
        <f>_xlfn.XLOOKUP(C4443,menu!A:A,menu!C:C)</f>
        <v>Burger</v>
      </c>
      <c r="H4443" s="10">
        <f>_xlfn.XLOOKUP(C4443,menu!A:A,menu!E:E)</f>
        <v>30</v>
      </c>
      <c r="I4443" s="10">
        <f t="shared" si="69"/>
        <v>30</v>
      </c>
      <c r="K4443" s="10"/>
      <c r="L4443" s="5"/>
    </row>
    <row r="4444" spans="1:12" x14ac:dyDescent="0.25">
      <c r="A4444" s="5" t="s">
        <v>1076</v>
      </c>
      <c r="B4444" s="5" t="s">
        <v>1074</v>
      </c>
      <c r="C4444" s="5" t="s">
        <v>33</v>
      </c>
      <c r="D4444" s="21">
        <v>2</v>
      </c>
      <c r="E4444" s="12">
        <v>138</v>
      </c>
      <c r="F4444" s="10" t="str">
        <f>_xlfn.XLOOKUP(C4444,menu!A:A,menu!B:B)</f>
        <v>Spring Roll</v>
      </c>
      <c r="G4444" s="10" t="str">
        <f>_xlfn.XLOOKUP(C4444,menu!A:A,menu!C:C)</f>
        <v>Rolls</v>
      </c>
      <c r="H4444" s="10">
        <f>_xlfn.XLOOKUP(C4444,menu!A:A,menu!E:E)</f>
        <v>21</v>
      </c>
      <c r="I4444" s="10">
        <f t="shared" si="69"/>
        <v>42</v>
      </c>
      <c r="K4444" s="10"/>
      <c r="L4444" s="5"/>
    </row>
    <row r="4445" spans="1:12" x14ac:dyDescent="0.25">
      <c r="A4445" s="5" t="s">
        <v>1075</v>
      </c>
      <c r="B4445" s="5" t="s">
        <v>1074</v>
      </c>
      <c r="C4445" s="5" t="s">
        <v>26</v>
      </c>
      <c r="D4445" s="21">
        <v>1</v>
      </c>
      <c r="E4445" s="12">
        <v>59</v>
      </c>
      <c r="F4445" s="10" t="str">
        <f>_xlfn.XLOOKUP(C4445,menu!A:A,menu!B:B)</f>
        <v>Veg Roll</v>
      </c>
      <c r="G4445" s="10" t="str">
        <f>_xlfn.XLOOKUP(C4445,menu!A:A,menu!C:C)</f>
        <v>Rolls</v>
      </c>
      <c r="H4445" s="10">
        <f>_xlfn.XLOOKUP(C4445,menu!A:A,menu!E:E)</f>
        <v>18</v>
      </c>
      <c r="I4445" s="10">
        <f t="shared" si="69"/>
        <v>18</v>
      </c>
      <c r="K4445" s="10"/>
      <c r="L4445" s="5"/>
    </row>
    <row r="4446" spans="1:12" x14ac:dyDescent="0.25">
      <c r="A4446" s="5" t="s">
        <v>1073</v>
      </c>
      <c r="B4446" s="5" t="s">
        <v>1070</v>
      </c>
      <c r="C4446" s="5" t="s">
        <v>12</v>
      </c>
      <c r="D4446" s="21">
        <v>3</v>
      </c>
      <c r="E4446" s="12">
        <v>237</v>
      </c>
      <c r="F4446" s="10" t="str">
        <f>_xlfn.XLOOKUP(C4446,menu!A:A,menu!B:B)</f>
        <v>Veg Momos</v>
      </c>
      <c r="G4446" s="10" t="str">
        <f>_xlfn.XLOOKUP(C4446,menu!A:A,menu!C:C)</f>
        <v>Momos</v>
      </c>
      <c r="H4446" s="10">
        <f>_xlfn.XLOOKUP(C4446,menu!A:A,menu!E:E)</f>
        <v>24</v>
      </c>
      <c r="I4446" s="10">
        <f t="shared" si="69"/>
        <v>72</v>
      </c>
      <c r="K4446" s="10"/>
      <c r="L4446" s="5"/>
    </row>
    <row r="4447" spans="1:12" x14ac:dyDescent="0.25">
      <c r="A4447" s="5" t="s">
        <v>1072</v>
      </c>
      <c r="B4447" s="5" t="s">
        <v>1070</v>
      </c>
      <c r="C4447" s="5" t="s">
        <v>44</v>
      </c>
      <c r="D4447" s="21">
        <v>5</v>
      </c>
      <c r="E4447" s="12">
        <v>795</v>
      </c>
      <c r="F4447" s="10" t="str">
        <f>_xlfn.XLOOKUP(C4447,menu!A:A,menu!B:B)</f>
        <v>Fried Chicken</v>
      </c>
      <c r="G4447" s="10" t="str">
        <f>_xlfn.XLOOKUP(C4447,menu!A:A,menu!C:C)</f>
        <v>Starters</v>
      </c>
      <c r="H4447" s="10">
        <f>_xlfn.XLOOKUP(C4447,menu!A:A,menu!E:E)</f>
        <v>48</v>
      </c>
      <c r="I4447" s="10">
        <f t="shared" si="69"/>
        <v>240</v>
      </c>
      <c r="K4447" s="10"/>
      <c r="L4447" s="5"/>
    </row>
    <row r="4448" spans="1:12" x14ac:dyDescent="0.25">
      <c r="A4448" s="5" t="s">
        <v>1071</v>
      </c>
      <c r="B4448" s="5" t="s">
        <v>1070</v>
      </c>
      <c r="C4448" s="5" t="s">
        <v>35</v>
      </c>
      <c r="D4448" s="21">
        <v>2</v>
      </c>
      <c r="E4448" s="12">
        <v>238</v>
      </c>
      <c r="F4448" s="10" t="str">
        <f>_xlfn.XLOOKUP(C4448,menu!A:A,menu!B:B)</f>
        <v>Chicken Nuggets</v>
      </c>
      <c r="G4448" s="10" t="str">
        <f>_xlfn.XLOOKUP(C4448,menu!A:A,menu!C:C)</f>
        <v>Starters</v>
      </c>
      <c r="H4448" s="10">
        <f>_xlfn.XLOOKUP(C4448,menu!A:A,menu!E:E)</f>
        <v>36</v>
      </c>
      <c r="I4448" s="10">
        <f t="shared" si="69"/>
        <v>72</v>
      </c>
      <c r="K4448" s="10"/>
      <c r="L4448" s="5"/>
    </row>
    <row r="4449" spans="1:12" x14ac:dyDescent="0.25">
      <c r="A4449" s="5" t="s">
        <v>1069</v>
      </c>
      <c r="B4449" s="5" t="s">
        <v>1067</v>
      </c>
      <c r="C4449" s="5" t="s">
        <v>15</v>
      </c>
      <c r="D4449" s="21">
        <v>1</v>
      </c>
      <c r="E4449" s="12">
        <v>99</v>
      </c>
      <c r="F4449" s="10" t="str">
        <f>_xlfn.XLOOKUP(C4449,menu!A:A,menu!B:B)</f>
        <v>Chicken Momos</v>
      </c>
      <c r="G4449" s="10" t="str">
        <f>_xlfn.XLOOKUP(C4449,menu!A:A,menu!C:C)</f>
        <v>Momos</v>
      </c>
      <c r="H4449" s="10">
        <f>_xlfn.XLOOKUP(C4449,menu!A:A,menu!E:E)</f>
        <v>30</v>
      </c>
      <c r="I4449" s="10">
        <f t="shared" si="69"/>
        <v>30</v>
      </c>
      <c r="K4449" s="10"/>
      <c r="L4449" s="5"/>
    </row>
    <row r="4450" spans="1:12" x14ac:dyDescent="0.25">
      <c r="A4450" s="5" t="s">
        <v>1068</v>
      </c>
      <c r="B4450" s="5" t="s">
        <v>1067</v>
      </c>
      <c r="C4450" s="5" t="s">
        <v>24</v>
      </c>
      <c r="D4450" s="21">
        <v>3</v>
      </c>
      <c r="E4450" s="12">
        <v>267</v>
      </c>
      <c r="F4450" s="10" t="str">
        <f>_xlfn.XLOOKUP(C4450,menu!A:A,menu!B:B)</f>
        <v>Paneer Burger</v>
      </c>
      <c r="G4450" s="10" t="str">
        <f>_xlfn.XLOOKUP(C4450,menu!A:A,menu!C:C)</f>
        <v>Burger</v>
      </c>
      <c r="H4450" s="10">
        <f>_xlfn.XLOOKUP(C4450,menu!A:A,menu!E:E)</f>
        <v>27</v>
      </c>
      <c r="I4450" s="10">
        <f t="shared" si="69"/>
        <v>81</v>
      </c>
      <c r="K4450" s="10"/>
      <c r="L4450" s="5"/>
    </row>
    <row r="4451" spans="1:12" x14ac:dyDescent="0.25">
      <c r="A4451" s="5" t="s">
        <v>1066</v>
      </c>
      <c r="B4451" s="5" t="s">
        <v>1064</v>
      </c>
      <c r="C4451" s="5" t="s">
        <v>10</v>
      </c>
      <c r="D4451" s="21">
        <v>4</v>
      </c>
      <c r="E4451" s="12">
        <v>476</v>
      </c>
      <c r="F4451" s="10" t="str">
        <f>_xlfn.XLOOKUP(C4451,menu!A:A,menu!B:B)</f>
        <v>Chicken Sandwich</v>
      </c>
      <c r="G4451" s="10" t="str">
        <f>_xlfn.XLOOKUP(C4451,menu!A:A,menu!C:C)</f>
        <v>Sandwich</v>
      </c>
      <c r="H4451" s="10">
        <f>_xlfn.XLOOKUP(C4451,menu!A:A,menu!E:E)</f>
        <v>36</v>
      </c>
      <c r="I4451" s="10">
        <f t="shared" si="69"/>
        <v>144</v>
      </c>
      <c r="K4451" s="10"/>
      <c r="L4451" s="5"/>
    </row>
    <row r="4452" spans="1:12" x14ac:dyDescent="0.25">
      <c r="A4452" s="5" t="s">
        <v>1065</v>
      </c>
      <c r="B4452" s="5" t="s">
        <v>1064</v>
      </c>
      <c r="C4452" s="5" t="s">
        <v>42</v>
      </c>
      <c r="D4452" s="21">
        <v>4</v>
      </c>
      <c r="E4452" s="12">
        <v>596</v>
      </c>
      <c r="F4452" s="10" t="str">
        <f>_xlfn.XLOOKUP(C4452,menu!A:A,menu!B:B)</f>
        <v>Chicken Popcorn</v>
      </c>
      <c r="G4452" s="10" t="str">
        <f>_xlfn.XLOOKUP(C4452,menu!A:A,menu!C:C)</f>
        <v>Starters</v>
      </c>
      <c r="H4452" s="10">
        <f>_xlfn.XLOOKUP(C4452,menu!A:A,menu!E:E)</f>
        <v>45</v>
      </c>
      <c r="I4452" s="10">
        <f t="shared" si="69"/>
        <v>180</v>
      </c>
      <c r="K4452" s="10"/>
      <c r="L4452" s="5"/>
    </row>
    <row r="4453" spans="1:12" x14ac:dyDescent="0.25">
      <c r="A4453" s="5" t="s">
        <v>1063</v>
      </c>
      <c r="B4453" s="5" t="s">
        <v>1061</v>
      </c>
      <c r="C4453" s="5" t="s">
        <v>17</v>
      </c>
      <c r="D4453" s="21">
        <v>1</v>
      </c>
      <c r="E4453" s="12">
        <v>89</v>
      </c>
      <c r="F4453" s="10" t="str">
        <f>_xlfn.XLOOKUP(C4453,menu!A:A,menu!B:B)</f>
        <v>Paneer Momos</v>
      </c>
      <c r="G4453" s="10" t="str">
        <f>_xlfn.XLOOKUP(C4453,menu!A:A,menu!C:C)</f>
        <v>Momos</v>
      </c>
      <c r="H4453" s="10">
        <f>_xlfn.XLOOKUP(C4453,menu!A:A,menu!E:E)</f>
        <v>27</v>
      </c>
      <c r="I4453" s="10">
        <f t="shared" si="69"/>
        <v>27</v>
      </c>
      <c r="K4453" s="10"/>
      <c r="L4453" s="5"/>
    </row>
    <row r="4454" spans="1:12" x14ac:dyDescent="0.25">
      <c r="A4454" s="5" t="s">
        <v>1062</v>
      </c>
      <c r="B4454" s="5" t="s">
        <v>1061</v>
      </c>
      <c r="C4454" s="5" t="s">
        <v>24</v>
      </c>
      <c r="D4454" s="21">
        <v>2</v>
      </c>
      <c r="E4454" s="12">
        <v>178</v>
      </c>
      <c r="F4454" s="10" t="str">
        <f>_xlfn.XLOOKUP(C4454,menu!A:A,menu!B:B)</f>
        <v>Paneer Burger</v>
      </c>
      <c r="G4454" s="10" t="str">
        <f>_xlfn.XLOOKUP(C4454,menu!A:A,menu!C:C)</f>
        <v>Burger</v>
      </c>
      <c r="H4454" s="10">
        <f>_xlfn.XLOOKUP(C4454,menu!A:A,menu!E:E)</f>
        <v>27</v>
      </c>
      <c r="I4454" s="10">
        <f t="shared" si="69"/>
        <v>54</v>
      </c>
      <c r="K4454" s="10"/>
      <c r="L4454" s="5"/>
    </row>
    <row r="4455" spans="1:12" x14ac:dyDescent="0.25">
      <c r="A4455" s="5" t="s">
        <v>1060</v>
      </c>
      <c r="B4455" s="5" t="s">
        <v>1058</v>
      </c>
      <c r="C4455" s="5" t="s">
        <v>19</v>
      </c>
      <c r="D4455" s="21">
        <v>5</v>
      </c>
      <c r="E4455" s="12">
        <v>395</v>
      </c>
      <c r="F4455" s="10" t="str">
        <f>_xlfn.XLOOKUP(C4455,menu!A:A,menu!B:B)</f>
        <v>Veg Burger</v>
      </c>
      <c r="G4455" s="10" t="str">
        <f>_xlfn.XLOOKUP(C4455,menu!A:A,menu!C:C)</f>
        <v>Burger</v>
      </c>
      <c r="H4455" s="10">
        <f>_xlfn.XLOOKUP(C4455,menu!A:A,menu!E:E)</f>
        <v>24</v>
      </c>
      <c r="I4455" s="10">
        <f t="shared" si="69"/>
        <v>120</v>
      </c>
      <c r="K4455" s="10"/>
      <c r="L4455" s="5"/>
    </row>
    <row r="4456" spans="1:12" x14ac:dyDescent="0.25">
      <c r="A4456" s="5" t="s">
        <v>1059</v>
      </c>
      <c r="B4456" s="5" t="s">
        <v>1058</v>
      </c>
      <c r="C4456" s="5" t="s">
        <v>44</v>
      </c>
      <c r="D4456" s="21">
        <v>2</v>
      </c>
      <c r="E4456" s="12">
        <v>318</v>
      </c>
      <c r="F4456" s="10" t="str">
        <f>_xlfn.XLOOKUP(C4456,menu!A:A,menu!B:B)</f>
        <v>Fried Chicken</v>
      </c>
      <c r="G4456" s="10" t="str">
        <f>_xlfn.XLOOKUP(C4456,menu!A:A,menu!C:C)</f>
        <v>Starters</v>
      </c>
      <c r="H4456" s="10">
        <f>_xlfn.XLOOKUP(C4456,menu!A:A,menu!E:E)</f>
        <v>48</v>
      </c>
      <c r="I4456" s="10">
        <f t="shared" si="69"/>
        <v>96</v>
      </c>
      <c r="K4456" s="10"/>
      <c r="L4456" s="5"/>
    </row>
    <row r="4457" spans="1:12" x14ac:dyDescent="0.25">
      <c r="A4457" s="5" t="s">
        <v>1057</v>
      </c>
      <c r="B4457" s="5" t="s">
        <v>1054</v>
      </c>
      <c r="C4457" s="5" t="s">
        <v>46</v>
      </c>
      <c r="D4457" s="21">
        <v>2</v>
      </c>
      <c r="E4457" s="12">
        <v>298</v>
      </c>
      <c r="F4457" s="10" t="str">
        <f>_xlfn.XLOOKUP(C4457,menu!A:A,menu!B:B)</f>
        <v>Fish Finger</v>
      </c>
      <c r="G4457" s="10" t="str">
        <f>_xlfn.XLOOKUP(C4457,menu!A:A,menu!C:C)</f>
        <v>Starters</v>
      </c>
      <c r="H4457" s="10">
        <f>_xlfn.XLOOKUP(C4457,menu!A:A,menu!E:E)</f>
        <v>45</v>
      </c>
      <c r="I4457" s="10">
        <f t="shared" si="69"/>
        <v>90</v>
      </c>
      <c r="K4457" s="10"/>
      <c r="L4457" s="5"/>
    </row>
    <row r="4458" spans="1:12" x14ac:dyDescent="0.25">
      <c r="A4458" s="5" t="s">
        <v>1056</v>
      </c>
      <c r="B4458" s="5" t="s">
        <v>1054</v>
      </c>
      <c r="C4458" s="5" t="s">
        <v>59</v>
      </c>
      <c r="D4458" s="21">
        <v>4</v>
      </c>
      <c r="E4458" s="12">
        <v>316</v>
      </c>
      <c r="F4458" s="10" t="str">
        <f>_xlfn.XLOOKUP(C4458,menu!A:A,menu!B:B)</f>
        <v>Blue Curacao Mojito</v>
      </c>
      <c r="G4458" s="10" t="str">
        <f>_xlfn.XLOOKUP(C4458,menu!A:A,menu!C:C)</f>
        <v>Beverages</v>
      </c>
      <c r="H4458" s="10">
        <f>_xlfn.XLOOKUP(C4458,menu!A:A,menu!E:E)</f>
        <v>24</v>
      </c>
      <c r="I4458" s="10">
        <f t="shared" si="69"/>
        <v>96</v>
      </c>
      <c r="K4458" s="10"/>
      <c r="L4458" s="5"/>
    </row>
    <row r="4459" spans="1:12" x14ac:dyDescent="0.25">
      <c r="A4459" s="5" t="s">
        <v>1055</v>
      </c>
      <c r="B4459" s="5" t="s">
        <v>1054</v>
      </c>
      <c r="C4459" s="5" t="s">
        <v>38</v>
      </c>
      <c r="D4459" s="21">
        <v>5</v>
      </c>
      <c r="E4459" s="12">
        <v>745</v>
      </c>
      <c r="F4459" s="10" t="str">
        <f>_xlfn.XLOOKUP(C4459,menu!A:A,menu!B:B)</f>
        <v>Chicken Wings</v>
      </c>
      <c r="G4459" s="10" t="str">
        <f>_xlfn.XLOOKUP(C4459,menu!A:A,menu!C:C)</f>
        <v>Starters</v>
      </c>
      <c r="H4459" s="10">
        <f>_xlfn.XLOOKUP(C4459,menu!A:A,menu!E:E)</f>
        <v>45</v>
      </c>
      <c r="I4459" s="10">
        <f t="shared" si="69"/>
        <v>225</v>
      </c>
      <c r="K4459" s="10"/>
      <c r="L4459" s="5"/>
    </row>
    <row r="4460" spans="1:12" x14ac:dyDescent="0.25">
      <c r="A4460" s="5" t="s">
        <v>1053</v>
      </c>
      <c r="B4460" s="5" t="s">
        <v>1051</v>
      </c>
      <c r="C4460" s="5" t="s">
        <v>50</v>
      </c>
      <c r="D4460" s="21">
        <v>1</v>
      </c>
      <c r="E4460" s="12">
        <v>149</v>
      </c>
      <c r="F4460" s="10" t="str">
        <f>_xlfn.XLOOKUP(C4460,menu!A:A,menu!B:B)</f>
        <v>Grab Lollipop</v>
      </c>
      <c r="G4460" s="10" t="str">
        <f>_xlfn.XLOOKUP(C4460,menu!A:A,menu!C:C)</f>
        <v>Starters</v>
      </c>
      <c r="H4460" s="10">
        <f>_xlfn.XLOOKUP(C4460,menu!A:A,menu!E:E)</f>
        <v>45</v>
      </c>
      <c r="I4460" s="10">
        <f t="shared" si="69"/>
        <v>45</v>
      </c>
      <c r="K4460" s="10"/>
      <c r="L4460" s="5"/>
    </row>
    <row r="4461" spans="1:12" x14ac:dyDescent="0.25">
      <c r="A4461" s="5" t="s">
        <v>1052</v>
      </c>
      <c r="B4461" s="5" t="s">
        <v>1051</v>
      </c>
      <c r="C4461" s="5" t="s">
        <v>33</v>
      </c>
      <c r="D4461" s="21">
        <v>2</v>
      </c>
      <c r="E4461" s="12">
        <v>138</v>
      </c>
      <c r="F4461" s="10" t="str">
        <f>_xlfn.XLOOKUP(C4461,menu!A:A,menu!B:B)</f>
        <v>Spring Roll</v>
      </c>
      <c r="G4461" s="10" t="str">
        <f>_xlfn.XLOOKUP(C4461,menu!A:A,menu!C:C)</f>
        <v>Rolls</v>
      </c>
      <c r="H4461" s="10">
        <f>_xlfn.XLOOKUP(C4461,menu!A:A,menu!E:E)</f>
        <v>21</v>
      </c>
      <c r="I4461" s="10">
        <f t="shared" si="69"/>
        <v>42</v>
      </c>
      <c r="K4461" s="10"/>
      <c r="L4461" s="5"/>
    </row>
    <row r="4462" spans="1:12" x14ac:dyDescent="0.25">
      <c r="A4462" s="5" t="s">
        <v>1050</v>
      </c>
      <c r="B4462" s="5" t="s">
        <v>1049</v>
      </c>
      <c r="C4462" s="5" t="s">
        <v>54</v>
      </c>
      <c r="D4462" s="21">
        <v>1</v>
      </c>
      <c r="E4462" s="12">
        <v>139</v>
      </c>
      <c r="F4462" s="10" t="str">
        <f>_xlfn.XLOOKUP(C4462,menu!A:A,menu!B:B)</f>
        <v>Chicken Strips</v>
      </c>
      <c r="G4462" s="10" t="str">
        <f>_xlfn.XLOOKUP(C4462,menu!A:A,menu!C:C)</f>
        <v>Starters</v>
      </c>
      <c r="H4462" s="10">
        <f>_xlfn.XLOOKUP(C4462,menu!A:A,menu!E:E)</f>
        <v>42</v>
      </c>
      <c r="I4462" s="10">
        <f t="shared" si="69"/>
        <v>42</v>
      </c>
      <c r="K4462" s="10"/>
      <c r="L4462" s="5"/>
    </row>
    <row r="4463" spans="1:12" x14ac:dyDescent="0.25">
      <c r="A4463" s="5" t="s">
        <v>1048</v>
      </c>
      <c r="B4463" s="5" t="s">
        <v>1046</v>
      </c>
      <c r="C4463" s="5" t="s">
        <v>22</v>
      </c>
      <c r="D4463" s="21">
        <v>2</v>
      </c>
      <c r="E4463" s="12">
        <v>198</v>
      </c>
      <c r="F4463" s="10" t="str">
        <f>_xlfn.XLOOKUP(C4463,menu!A:A,menu!B:B)</f>
        <v>Chicken Burger</v>
      </c>
      <c r="G4463" s="10" t="str">
        <f>_xlfn.XLOOKUP(C4463,menu!A:A,menu!C:C)</f>
        <v>Burger</v>
      </c>
      <c r="H4463" s="10">
        <f>_xlfn.XLOOKUP(C4463,menu!A:A,menu!E:E)</f>
        <v>30</v>
      </c>
      <c r="I4463" s="10">
        <f t="shared" si="69"/>
        <v>60</v>
      </c>
      <c r="K4463" s="10"/>
      <c r="L4463" s="5"/>
    </row>
    <row r="4464" spans="1:12" x14ac:dyDescent="0.25">
      <c r="A4464" s="5" t="s">
        <v>1047</v>
      </c>
      <c r="B4464" s="5" t="s">
        <v>1046</v>
      </c>
      <c r="C4464" s="5" t="s">
        <v>31</v>
      </c>
      <c r="D4464" s="21">
        <v>1</v>
      </c>
      <c r="E4464" s="12">
        <v>89</v>
      </c>
      <c r="F4464" s="10" t="str">
        <f>_xlfn.XLOOKUP(C4464,menu!A:A,menu!B:B)</f>
        <v>Chicken Roll</v>
      </c>
      <c r="G4464" s="10" t="str">
        <f>_xlfn.XLOOKUP(C4464,menu!A:A,menu!C:C)</f>
        <v>Rolls</v>
      </c>
      <c r="H4464" s="10">
        <f>_xlfn.XLOOKUP(C4464,menu!A:A,menu!E:E)</f>
        <v>27</v>
      </c>
      <c r="I4464" s="10">
        <f t="shared" si="69"/>
        <v>27</v>
      </c>
      <c r="K4464" s="10"/>
      <c r="L4464" s="5"/>
    </row>
    <row r="4465" spans="1:12" x14ac:dyDescent="0.25">
      <c r="A4465" s="5" t="s">
        <v>1045</v>
      </c>
      <c r="B4465" s="5" t="s">
        <v>1043</v>
      </c>
      <c r="C4465" s="5" t="s">
        <v>63</v>
      </c>
      <c r="D4465" s="21">
        <v>1</v>
      </c>
      <c r="E4465" s="12">
        <v>79</v>
      </c>
      <c r="F4465" s="10" t="str">
        <f>_xlfn.XLOOKUP(C4465,menu!A:A,menu!B:B)</f>
        <v>Virgin Mojito</v>
      </c>
      <c r="G4465" s="10" t="str">
        <f>_xlfn.XLOOKUP(C4465,menu!A:A,menu!C:C)</f>
        <v>Beverages</v>
      </c>
      <c r="H4465" s="10">
        <f>_xlfn.XLOOKUP(C4465,menu!A:A,menu!E:E)</f>
        <v>24</v>
      </c>
      <c r="I4465" s="10">
        <f t="shared" si="69"/>
        <v>24</v>
      </c>
      <c r="K4465" s="10"/>
      <c r="L4465" s="5"/>
    </row>
    <row r="4466" spans="1:12" x14ac:dyDescent="0.25">
      <c r="A4466" s="5" t="s">
        <v>1044</v>
      </c>
      <c r="B4466" s="5" t="s">
        <v>1043</v>
      </c>
      <c r="C4466" s="5" t="s">
        <v>46</v>
      </c>
      <c r="D4466" s="21">
        <v>1</v>
      </c>
      <c r="E4466" s="12">
        <v>149</v>
      </c>
      <c r="F4466" s="10" t="str">
        <f>_xlfn.XLOOKUP(C4466,menu!A:A,menu!B:B)</f>
        <v>Fish Finger</v>
      </c>
      <c r="G4466" s="10" t="str">
        <f>_xlfn.XLOOKUP(C4466,menu!A:A,menu!C:C)</f>
        <v>Starters</v>
      </c>
      <c r="H4466" s="10">
        <f>_xlfn.XLOOKUP(C4466,menu!A:A,menu!E:E)</f>
        <v>45</v>
      </c>
      <c r="I4466" s="10">
        <f t="shared" si="69"/>
        <v>45</v>
      </c>
      <c r="K4466" s="10"/>
      <c r="L4466" s="5"/>
    </row>
    <row r="4467" spans="1:12" x14ac:dyDescent="0.25">
      <c r="A4467" s="5" t="s">
        <v>1042</v>
      </c>
      <c r="B4467" s="5" t="s">
        <v>1040</v>
      </c>
      <c r="C4467" s="5" t="s">
        <v>40</v>
      </c>
      <c r="D4467" s="21">
        <v>2</v>
      </c>
      <c r="E4467" s="12">
        <v>198</v>
      </c>
      <c r="F4467" s="10" t="str">
        <f>_xlfn.XLOOKUP(C4467,menu!A:A,menu!B:B)</f>
        <v>Veg Nuggets</v>
      </c>
      <c r="G4467" s="10" t="str">
        <f>_xlfn.XLOOKUP(C4467,menu!A:A,menu!C:C)</f>
        <v>Starters</v>
      </c>
      <c r="H4467" s="10">
        <f>_xlfn.XLOOKUP(C4467,menu!A:A,menu!E:E)</f>
        <v>30</v>
      </c>
      <c r="I4467" s="10">
        <f t="shared" si="69"/>
        <v>60</v>
      </c>
      <c r="K4467" s="10"/>
      <c r="L4467" s="5"/>
    </row>
    <row r="4468" spans="1:12" x14ac:dyDescent="0.25">
      <c r="A4468" s="5" t="s">
        <v>1041</v>
      </c>
      <c r="B4468" s="5" t="s">
        <v>1040</v>
      </c>
      <c r="C4468" s="5" t="s">
        <v>19</v>
      </c>
      <c r="D4468" s="21">
        <v>1</v>
      </c>
      <c r="E4468" s="12">
        <v>79</v>
      </c>
      <c r="F4468" s="10" t="str">
        <f>_xlfn.XLOOKUP(C4468,menu!A:A,menu!B:B)</f>
        <v>Veg Burger</v>
      </c>
      <c r="G4468" s="10" t="str">
        <f>_xlfn.XLOOKUP(C4468,menu!A:A,menu!C:C)</f>
        <v>Burger</v>
      </c>
      <c r="H4468" s="10">
        <f>_xlfn.XLOOKUP(C4468,menu!A:A,menu!E:E)</f>
        <v>24</v>
      </c>
      <c r="I4468" s="10">
        <f t="shared" si="69"/>
        <v>24</v>
      </c>
      <c r="K4468" s="10"/>
      <c r="L4468" s="5"/>
    </row>
    <row r="4469" spans="1:12" x14ac:dyDescent="0.25">
      <c r="A4469" s="5" t="s">
        <v>1039</v>
      </c>
      <c r="B4469" s="5" t="s">
        <v>1037</v>
      </c>
      <c r="C4469" s="5" t="s">
        <v>56</v>
      </c>
      <c r="D4469" s="21">
        <v>1</v>
      </c>
      <c r="E4469" s="12">
        <v>79</v>
      </c>
      <c r="F4469" s="10" t="str">
        <f>_xlfn.XLOOKUP(C4469,menu!A:A,menu!B:B)</f>
        <v>Mint Mojito</v>
      </c>
      <c r="G4469" s="10" t="str">
        <f>_xlfn.XLOOKUP(C4469,menu!A:A,menu!C:C)</f>
        <v>Beverages</v>
      </c>
      <c r="H4469" s="10">
        <f>_xlfn.XLOOKUP(C4469,menu!A:A,menu!E:E)</f>
        <v>24</v>
      </c>
      <c r="I4469" s="10">
        <f t="shared" si="69"/>
        <v>24</v>
      </c>
      <c r="K4469" s="10"/>
      <c r="L4469" s="5"/>
    </row>
    <row r="4470" spans="1:12" x14ac:dyDescent="0.25">
      <c r="A4470" s="5" t="s">
        <v>1038</v>
      </c>
      <c r="B4470" s="5" t="s">
        <v>1037</v>
      </c>
      <c r="C4470" s="5" t="s">
        <v>46</v>
      </c>
      <c r="D4470" s="21">
        <v>5</v>
      </c>
      <c r="E4470" s="12">
        <v>745</v>
      </c>
      <c r="F4470" s="10" t="str">
        <f>_xlfn.XLOOKUP(C4470,menu!A:A,menu!B:B)</f>
        <v>Fish Finger</v>
      </c>
      <c r="G4470" s="10" t="str">
        <f>_xlfn.XLOOKUP(C4470,menu!A:A,menu!C:C)</f>
        <v>Starters</v>
      </c>
      <c r="H4470" s="10">
        <f>_xlfn.XLOOKUP(C4470,menu!A:A,menu!E:E)</f>
        <v>45</v>
      </c>
      <c r="I4470" s="10">
        <f t="shared" si="69"/>
        <v>225</v>
      </c>
      <c r="K4470" s="10"/>
      <c r="L4470" s="5"/>
    </row>
    <row r="4471" spans="1:12" x14ac:dyDescent="0.25">
      <c r="A4471" s="5" t="s">
        <v>1036</v>
      </c>
      <c r="B4471" s="5" t="s">
        <v>1033</v>
      </c>
      <c r="C4471" s="5" t="s">
        <v>17</v>
      </c>
      <c r="D4471" s="21">
        <v>1</v>
      </c>
      <c r="E4471" s="12">
        <v>89</v>
      </c>
      <c r="F4471" s="10" t="str">
        <f>_xlfn.XLOOKUP(C4471,menu!A:A,menu!B:B)</f>
        <v>Paneer Momos</v>
      </c>
      <c r="G4471" s="10" t="str">
        <f>_xlfn.XLOOKUP(C4471,menu!A:A,menu!C:C)</f>
        <v>Momos</v>
      </c>
      <c r="H4471" s="10">
        <f>_xlfn.XLOOKUP(C4471,menu!A:A,menu!E:E)</f>
        <v>27</v>
      </c>
      <c r="I4471" s="10">
        <f t="shared" si="69"/>
        <v>27</v>
      </c>
      <c r="K4471" s="10"/>
      <c r="L4471" s="5"/>
    </row>
    <row r="4472" spans="1:12" x14ac:dyDescent="0.25">
      <c r="A4472" s="5" t="s">
        <v>1035</v>
      </c>
      <c r="B4472" s="5" t="s">
        <v>1033</v>
      </c>
      <c r="C4472" s="5" t="s">
        <v>52</v>
      </c>
      <c r="D4472" s="21">
        <v>1</v>
      </c>
      <c r="E4472" s="12">
        <v>99</v>
      </c>
      <c r="F4472" s="10" t="str">
        <f>_xlfn.XLOOKUP(C4472,menu!A:A,menu!B:B)</f>
        <v>French Fries</v>
      </c>
      <c r="G4472" s="10" t="str">
        <f>_xlfn.XLOOKUP(C4472,menu!A:A,menu!C:C)</f>
        <v>Starters</v>
      </c>
      <c r="H4472" s="10">
        <f>_xlfn.XLOOKUP(C4472,menu!A:A,menu!E:E)</f>
        <v>30</v>
      </c>
      <c r="I4472" s="10">
        <f t="shared" si="69"/>
        <v>30</v>
      </c>
      <c r="K4472" s="10"/>
      <c r="L4472" s="5"/>
    </row>
    <row r="4473" spans="1:12" x14ac:dyDescent="0.25">
      <c r="A4473" s="5" t="s">
        <v>1034</v>
      </c>
      <c r="B4473" s="5" t="s">
        <v>1033</v>
      </c>
      <c r="C4473" s="5" t="s">
        <v>15</v>
      </c>
      <c r="D4473" s="21">
        <v>1</v>
      </c>
      <c r="E4473" s="12">
        <v>99</v>
      </c>
      <c r="F4473" s="10" t="str">
        <f>_xlfn.XLOOKUP(C4473,menu!A:A,menu!B:B)</f>
        <v>Chicken Momos</v>
      </c>
      <c r="G4473" s="10" t="str">
        <f>_xlfn.XLOOKUP(C4473,menu!A:A,menu!C:C)</f>
        <v>Momos</v>
      </c>
      <c r="H4473" s="10">
        <f>_xlfn.XLOOKUP(C4473,menu!A:A,menu!E:E)</f>
        <v>30</v>
      </c>
      <c r="I4473" s="10">
        <f t="shared" si="69"/>
        <v>30</v>
      </c>
      <c r="K4473" s="10"/>
      <c r="L4473" s="5"/>
    </row>
    <row r="4474" spans="1:12" x14ac:dyDescent="0.25">
      <c r="A4474" s="5" t="s">
        <v>1032</v>
      </c>
      <c r="B4474" s="5" t="s">
        <v>1028</v>
      </c>
      <c r="C4474" s="5" t="s">
        <v>54</v>
      </c>
      <c r="D4474" s="21">
        <v>5</v>
      </c>
      <c r="E4474" s="12">
        <v>695</v>
      </c>
      <c r="F4474" s="10" t="str">
        <f>_xlfn.XLOOKUP(C4474,menu!A:A,menu!B:B)</f>
        <v>Chicken Strips</v>
      </c>
      <c r="G4474" s="10" t="str">
        <f>_xlfn.XLOOKUP(C4474,menu!A:A,menu!C:C)</f>
        <v>Starters</v>
      </c>
      <c r="H4474" s="10">
        <f>_xlfn.XLOOKUP(C4474,menu!A:A,menu!E:E)</f>
        <v>42</v>
      </c>
      <c r="I4474" s="10">
        <f t="shared" si="69"/>
        <v>210</v>
      </c>
      <c r="K4474" s="10"/>
      <c r="L4474" s="5"/>
    </row>
    <row r="4475" spans="1:12" x14ac:dyDescent="0.25">
      <c r="A4475" s="5" t="s">
        <v>1031</v>
      </c>
      <c r="B4475" s="5" t="s">
        <v>1028</v>
      </c>
      <c r="C4475" s="5" t="s">
        <v>42</v>
      </c>
      <c r="D4475" s="21">
        <v>2</v>
      </c>
      <c r="E4475" s="12">
        <v>298</v>
      </c>
      <c r="F4475" s="10" t="str">
        <f>_xlfn.XLOOKUP(C4475,menu!A:A,menu!B:B)</f>
        <v>Chicken Popcorn</v>
      </c>
      <c r="G4475" s="10" t="str">
        <f>_xlfn.XLOOKUP(C4475,menu!A:A,menu!C:C)</f>
        <v>Starters</v>
      </c>
      <c r="H4475" s="10">
        <f>_xlfn.XLOOKUP(C4475,menu!A:A,menu!E:E)</f>
        <v>45</v>
      </c>
      <c r="I4475" s="10">
        <f t="shared" si="69"/>
        <v>90</v>
      </c>
      <c r="K4475" s="10"/>
      <c r="L4475" s="5"/>
    </row>
    <row r="4476" spans="1:12" x14ac:dyDescent="0.25">
      <c r="A4476" s="5" t="s">
        <v>1030</v>
      </c>
      <c r="B4476" s="5" t="s">
        <v>1028</v>
      </c>
      <c r="C4476" s="5" t="s">
        <v>8</v>
      </c>
      <c r="D4476" s="21">
        <v>2</v>
      </c>
      <c r="E4476" s="12">
        <v>198</v>
      </c>
      <c r="F4476" s="10" t="str">
        <f>_xlfn.XLOOKUP(C4476,menu!A:A,menu!B:B)</f>
        <v>Paneer Sandwich</v>
      </c>
      <c r="G4476" s="10" t="str">
        <f>_xlfn.XLOOKUP(C4476,menu!A:A,menu!C:C)</f>
        <v>Sandwich</v>
      </c>
      <c r="H4476" s="10">
        <f>_xlfn.XLOOKUP(C4476,menu!A:A,menu!E:E)</f>
        <v>30</v>
      </c>
      <c r="I4476" s="10">
        <f t="shared" si="69"/>
        <v>60</v>
      </c>
      <c r="K4476" s="10"/>
      <c r="L4476" s="5"/>
    </row>
    <row r="4477" spans="1:12" x14ac:dyDescent="0.25">
      <c r="A4477" s="5" t="s">
        <v>1029</v>
      </c>
      <c r="B4477" s="5" t="s">
        <v>1028</v>
      </c>
      <c r="C4477" s="5" t="s">
        <v>26</v>
      </c>
      <c r="D4477" s="21">
        <v>1</v>
      </c>
      <c r="E4477" s="12">
        <v>59</v>
      </c>
      <c r="F4477" s="10" t="str">
        <f>_xlfn.XLOOKUP(C4477,menu!A:A,menu!B:B)</f>
        <v>Veg Roll</v>
      </c>
      <c r="G4477" s="10" t="str">
        <f>_xlfn.XLOOKUP(C4477,menu!A:A,menu!C:C)</f>
        <v>Rolls</v>
      </c>
      <c r="H4477" s="10">
        <f>_xlfn.XLOOKUP(C4477,menu!A:A,menu!E:E)</f>
        <v>18</v>
      </c>
      <c r="I4477" s="10">
        <f t="shared" si="69"/>
        <v>18</v>
      </c>
      <c r="K4477" s="10"/>
      <c r="L4477" s="5"/>
    </row>
    <row r="4478" spans="1:12" x14ac:dyDescent="0.25">
      <c r="A4478" s="5" t="s">
        <v>1027</v>
      </c>
      <c r="B4478" s="5" t="s">
        <v>1025</v>
      </c>
      <c r="C4478" s="5" t="s">
        <v>10</v>
      </c>
      <c r="D4478" s="21">
        <v>1</v>
      </c>
      <c r="E4478" s="12">
        <v>119</v>
      </c>
      <c r="F4478" s="10" t="str">
        <f>_xlfn.XLOOKUP(C4478,menu!A:A,menu!B:B)</f>
        <v>Chicken Sandwich</v>
      </c>
      <c r="G4478" s="10" t="str">
        <f>_xlfn.XLOOKUP(C4478,menu!A:A,menu!C:C)</f>
        <v>Sandwich</v>
      </c>
      <c r="H4478" s="10">
        <f>_xlfn.XLOOKUP(C4478,menu!A:A,menu!E:E)</f>
        <v>36</v>
      </c>
      <c r="I4478" s="10">
        <f t="shared" si="69"/>
        <v>36</v>
      </c>
      <c r="K4478" s="10"/>
      <c r="L4478" s="5"/>
    </row>
    <row r="4479" spans="1:12" x14ac:dyDescent="0.25">
      <c r="A4479" s="5" t="s">
        <v>1026</v>
      </c>
      <c r="B4479" s="5" t="s">
        <v>1025</v>
      </c>
      <c r="C4479" s="5" t="s">
        <v>31</v>
      </c>
      <c r="D4479" s="21">
        <v>2</v>
      </c>
      <c r="E4479" s="12">
        <v>178</v>
      </c>
      <c r="F4479" s="10" t="str">
        <f>_xlfn.XLOOKUP(C4479,menu!A:A,menu!B:B)</f>
        <v>Chicken Roll</v>
      </c>
      <c r="G4479" s="10" t="str">
        <f>_xlfn.XLOOKUP(C4479,menu!A:A,menu!C:C)</f>
        <v>Rolls</v>
      </c>
      <c r="H4479" s="10">
        <f>_xlfn.XLOOKUP(C4479,menu!A:A,menu!E:E)</f>
        <v>27</v>
      </c>
      <c r="I4479" s="10">
        <f t="shared" si="69"/>
        <v>54</v>
      </c>
      <c r="K4479" s="10"/>
      <c r="L4479" s="5"/>
    </row>
    <row r="4480" spans="1:12" x14ac:dyDescent="0.25">
      <c r="A4480" s="5" t="s">
        <v>1024</v>
      </c>
      <c r="B4480" s="5" t="s">
        <v>1022</v>
      </c>
      <c r="C4480" s="5" t="s">
        <v>50</v>
      </c>
      <c r="D4480" s="21">
        <v>1</v>
      </c>
      <c r="E4480" s="12">
        <v>149</v>
      </c>
      <c r="F4480" s="10" t="str">
        <f>_xlfn.XLOOKUP(C4480,menu!A:A,menu!B:B)</f>
        <v>Grab Lollipop</v>
      </c>
      <c r="G4480" s="10" t="str">
        <f>_xlfn.XLOOKUP(C4480,menu!A:A,menu!C:C)</f>
        <v>Starters</v>
      </c>
      <c r="H4480" s="10">
        <f>_xlfn.XLOOKUP(C4480,menu!A:A,menu!E:E)</f>
        <v>45</v>
      </c>
      <c r="I4480" s="10">
        <f t="shared" si="69"/>
        <v>45</v>
      </c>
      <c r="K4480" s="10"/>
      <c r="L4480" s="5"/>
    </row>
    <row r="4481" spans="1:12" x14ac:dyDescent="0.25">
      <c r="A4481" s="5" t="s">
        <v>1023</v>
      </c>
      <c r="B4481" s="5" t="s">
        <v>1022</v>
      </c>
      <c r="C4481" s="5" t="s">
        <v>48</v>
      </c>
      <c r="D4481" s="21">
        <v>5</v>
      </c>
      <c r="E4481" s="12">
        <v>795</v>
      </c>
      <c r="F4481" s="10" t="str">
        <f>_xlfn.XLOOKUP(C4481,menu!A:A,menu!B:B)</f>
        <v>Chicken Lollipop</v>
      </c>
      <c r="G4481" s="10" t="str">
        <f>_xlfn.XLOOKUP(C4481,menu!A:A,menu!C:C)</f>
        <v>Starters</v>
      </c>
      <c r="H4481" s="10">
        <f>_xlfn.XLOOKUP(C4481,menu!A:A,menu!E:E)</f>
        <v>48</v>
      </c>
      <c r="I4481" s="10">
        <f t="shared" si="69"/>
        <v>240</v>
      </c>
      <c r="K4481" s="10"/>
      <c r="L4481" s="5"/>
    </row>
    <row r="4482" spans="1:12" x14ac:dyDescent="0.25">
      <c r="A4482" s="5" t="s">
        <v>1021</v>
      </c>
      <c r="B4482" s="5" t="s">
        <v>1019</v>
      </c>
      <c r="C4482" s="5" t="s">
        <v>12</v>
      </c>
      <c r="D4482" s="21">
        <v>1</v>
      </c>
      <c r="E4482" s="12">
        <v>79</v>
      </c>
      <c r="F4482" s="10" t="str">
        <f>_xlfn.XLOOKUP(C4482,menu!A:A,menu!B:B)</f>
        <v>Veg Momos</v>
      </c>
      <c r="G4482" s="10" t="str">
        <f>_xlfn.XLOOKUP(C4482,menu!A:A,menu!C:C)</f>
        <v>Momos</v>
      </c>
      <c r="H4482" s="10">
        <f>_xlfn.XLOOKUP(C4482,menu!A:A,menu!E:E)</f>
        <v>24</v>
      </c>
      <c r="I4482" s="10">
        <f t="shared" si="69"/>
        <v>24</v>
      </c>
      <c r="K4482" s="10"/>
      <c r="L4482" s="5"/>
    </row>
    <row r="4483" spans="1:12" x14ac:dyDescent="0.25">
      <c r="A4483" s="5" t="s">
        <v>1020</v>
      </c>
      <c r="B4483" s="5" t="s">
        <v>1019</v>
      </c>
      <c r="C4483" s="5" t="s">
        <v>61</v>
      </c>
      <c r="D4483" s="21">
        <v>1</v>
      </c>
      <c r="E4483" s="12">
        <v>79</v>
      </c>
      <c r="F4483" s="10" t="str">
        <f>_xlfn.XLOOKUP(C4483,menu!A:A,menu!B:B)</f>
        <v>Watermelon Mojito</v>
      </c>
      <c r="G4483" s="10" t="str">
        <f>_xlfn.XLOOKUP(C4483,menu!A:A,menu!C:C)</f>
        <v>Beverages</v>
      </c>
      <c r="H4483" s="10">
        <f>_xlfn.XLOOKUP(C4483,menu!A:A,menu!E:E)</f>
        <v>24</v>
      </c>
      <c r="I4483" s="10">
        <f t="shared" ref="I4483:I4546" si="70">D4483*H4483</f>
        <v>24</v>
      </c>
      <c r="K4483" s="10"/>
      <c r="L4483" s="5"/>
    </row>
    <row r="4484" spans="1:12" x14ac:dyDescent="0.25">
      <c r="A4484" s="5" t="s">
        <v>1018</v>
      </c>
      <c r="B4484" s="5" t="s">
        <v>1014</v>
      </c>
      <c r="C4484" s="5" t="s">
        <v>40</v>
      </c>
      <c r="D4484" s="21">
        <v>4</v>
      </c>
      <c r="E4484" s="12">
        <v>396</v>
      </c>
      <c r="F4484" s="10" t="str">
        <f>_xlfn.XLOOKUP(C4484,menu!A:A,menu!B:B)</f>
        <v>Veg Nuggets</v>
      </c>
      <c r="G4484" s="10" t="str">
        <f>_xlfn.XLOOKUP(C4484,menu!A:A,menu!C:C)</f>
        <v>Starters</v>
      </c>
      <c r="H4484" s="10">
        <f>_xlfn.XLOOKUP(C4484,menu!A:A,menu!E:E)</f>
        <v>30</v>
      </c>
      <c r="I4484" s="10">
        <f t="shared" si="70"/>
        <v>120</v>
      </c>
      <c r="K4484" s="10"/>
      <c r="L4484" s="5"/>
    </row>
    <row r="4485" spans="1:12" x14ac:dyDescent="0.25">
      <c r="A4485" s="5" t="s">
        <v>1017</v>
      </c>
      <c r="B4485" s="5" t="s">
        <v>1014</v>
      </c>
      <c r="C4485" s="5" t="s">
        <v>10</v>
      </c>
      <c r="D4485" s="21">
        <v>1</v>
      </c>
      <c r="E4485" s="12">
        <v>119</v>
      </c>
      <c r="F4485" s="10" t="str">
        <f>_xlfn.XLOOKUP(C4485,menu!A:A,menu!B:B)</f>
        <v>Chicken Sandwich</v>
      </c>
      <c r="G4485" s="10" t="str">
        <f>_xlfn.XLOOKUP(C4485,menu!A:A,menu!C:C)</f>
        <v>Sandwich</v>
      </c>
      <c r="H4485" s="10">
        <f>_xlfn.XLOOKUP(C4485,menu!A:A,menu!E:E)</f>
        <v>36</v>
      </c>
      <c r="I4485" s="10">
        <f t="shared" si="70"/>
        <v>36</v>
      </c>
      <c r="K4485" s="10"/>
      <c r="L4485" s="5"/>
    </row>
    <row r="4486" spans="1:12" x14ac:dyDescent="0.25">
      <c r="A4486" s="5" t="s">
        <v>1016</v>
      </c>
      <c r="B4486" s="5" t="s">
        <v>1014</v>
      </c>
      <c r="C4486" s="5" t="s">
        <v>46</v>
      </c>
      <c r="D4486" s="21">
        <v>1</v>
      </c>
      <c r="E4486" s="12">
        <v>149</v>
      </c>
      <c r="F4486" s="10" t="str">
        <f>_xlfn.XLOOKUP(C4486,menu!A:A,menu!B:B)</f>
        <v>Fish Finger</v>
      </c>
      <c r="G4486" s="10" t="str">
        <f>_xlfn.XLOOKUP(C4486,menu!A:A,menu!C:C)</f>
        <v>Starters</v>
      </c>
      <c r="H4486" s="10">
        <f>_xlfn.XLOOKUP(C4486,menu!A:A,menu!E:E)</f>
        <v>45</v>
      </c>
      <c r="I4486" s="10">
        <f t="shared" si="70"/>
        <v>45</v>
      </c>
      <c r="K4486" s="10"/>
      <c r="L4486" s="5"/>
    </row>
    <row r="4487" spans="1:12" x14ac:dyDescent="0.25">
      <c r="A4487" s="5" t="s">
        <v>1015</v>
      </c>
      <c r="B4487" s="5" t="s">
        <v>1014</v>
      </c>
      <c r="C4487" s="5" t="s">
        <v>29</v>
      </c>
      <c r="D4487" s="21">
        <v>1</v>
      </c>
      <c r="E4487" s="12">
        <v>79</v>
      </c>
      <c r="F4487" s="10" t="str">
        <f>_xlfn.XLOOKUP(C4487,menu!A:A,menu!B:B)</f>
        <v>Paneer Roll</v>
      </c>
      <c r="G4487" s="10" t="str">
        <f>_xlfn.XLOOKUP(C4487,menu!A:A,menu!C:C)</f>
        <v>Rolls</v>
      </c>
      <c r="H4487" s="10">
        <f>_xlfn.XLOOKUP(C4487,menu!A:A,menu!E:E)</f>
        <v>24</v>
      </c>
      <c r="I4487" s="10">
        <f t="shared" si="70"/>
        <v>24</v>
      </c>
      <c r="K4487" s="10"/>
      <c r="L4487" s="5"/>
    </row>
    <row r="4488" spans="1:12" x14ac:dyDescent="0.25">
      <c r="A4488" s="5" t="s">
        <v>1013</v>
      </c>
      <c r="B4488" s="5" t="s">
        <v>1010</v>
      </c>
      <c r="C4488" s="5" t="s">
        <v>52</v>
      </c>
      <c r="D4488" s="21">
        <v>1</v>
      </c>
      <c r="E4488" s="12">
        <v>99</v>
      </c>
      <c r="F4488" s="10" t="str">
        <f>_xlfn.XLOOKUP(C4488,menu!A:A,menu!B:B)</f>
        <v>French Fries</v>
      </c>
      <c r="G4488" s="10" t="str">
        <f>_xlfn.XLOOKUP(C4488,menu!A:A,menu!C:C)</f>
        <v>Starters</v>
      </c>
      <c r="H4488" s="10">
        <f>_xlfn.XLOOKUP(C4488,menu!A:A,menu!E:E)</f>
        <v>30</v>
      </c>
      <c r="I4488" s="10">
        <f t="shared" si="70"/>
        <v>30</v>
      </c>
      <c r="K4488" s="10"/>
      <c r="L4488" s="5"/>
    </row>
    <row r="4489" spans="1:12" x14ac:dyDescent="0.25">
      <c r="A4489" s="5" t="s">
        <v>1012</v>
      </c>
      <c r="B4489" s="5" t="s">
        <v>1010</v>
      </c>
      <c r="C4489" s="5" t="s">
        <v>46</v>
      </c>
      <c r="D4489" s="21">
        <v>1</v>
      </c>
      <c r="E4489" s="12">
        <v>149</v>
      </c>
      <c r="F4489" s="10" t="str">
        <f>_xlfn.XLOOKUP(C4489,menu!A:A,menu!B:B)</f>
        <v>Fish Finger</v>
      </c>
      <c r="G4489" s="10" t="str">
        <f>_xlfn.XLOOKUP(C4489,menu!A:A,menu!C:C)</f>
        <v>Starters</v>
      </c>
      <c r="H4489" s="10">
        <f>_xlfn.XLOOKUP(C4489,menu!A:A,menu!E:E)</f>
        <v>45</v>
      </c>
      <c r="I4489" s="10">
        <f t="shared" si="70"/>
        <v>45</v>
      </c>
      <c r="K4489" s="10"/>
      <c r="L4489" s="5"/>
    </row>
    <row r="4490" spans="1:12" x14ac:dyDescent="0.25">
      <c r="A4490" s="5" t="s">
        <v>1011</v>
      </c>
      <c r="B4490" s="5" t="s">
        <v>1010</v>
      </c>
      <c r="C4490" s="5" t="s">
        <v>31</v>
      </c>
      <c r="D4490" s="21">
        <v>3</v>
      </c>
      <c r="E4490" s="12">
        <v>267</v>
      </c>
      <c r="F4490" s="10" t="str">
        <f>_xlfn.XLOOKUP(C4490,menu!A:A,menu!B:B)</f>
        <v>Chicken Roll</v>
      </c>
      <c r="G4490" s="10" t="str">
        <f>_xlfn.XLOOKUP(C4490,menu!A:A,menu!C:C)</f>
        <v>Rolls</v>
      </c>
      <c r="H4490" s="10">
        <f>_xlfn.XLOOKUP(C4490,menu!A:A,menu!E:E)</f>
        <v>27</v>
      </c>
      <c r="I4490" s="10">
        <f t="shared" si="70"/>
        <v>81</v>
      </c>
      <c r="K4490" s="10"/>
      <c r="L4490" s="5"/>
    </row>
    <row r="4491" spans="1:12" x14ac:dyDescent="0.25">
      <c r="A4491" s="5" t="s">
        <v>1009</v>
      </c>
      <c r="B4491" s="5" t="s">
        <v>1008</v>
      </c>
      <c r="C4491" s="5" t="s">
        <v>8</v>
      </c>
      <c r="D4491" s="21">
        <v>4</v>
      </c>
      <c r="E4491" s="12">
        <v>396</v>
      </c>
      <c r="F4491" s="10" t="str">
        <f>_xlfn.XLOOKUP(C4491,menu!A:A,menu!B:B)</f>
        <v>Paneer Sandwich</v>
      </c>
      <c r="G4491" s="10" t="str">
        <f>_xlfn.XLOOKUP(C4491,menu!A:A,menu!C:C)</f>
        <v>Sandwich</v>
      </c>
      <c r="H4491" s="10">
        <f>_xlfn.XLOOKUP(C4491,menu!A:A,menu!E:E)</f>
        <v>30</v>
      </c>
      <c r="I4491" s="10">
        <f t="shared" si="70"/>
        <v>120</v>
      </c>
      <c r="K4491" s="10"/>
      <c r="L4491" s="5"/>
    </row>
    <row r="4492" spans="1:12" x14ac:dyDescent="0.25">
      <c r="A4492" s="5" t="s">
        <v>1007</v>
      </c>
      <c r="B4492" s="5" t="s">
        <v>1005</v>
      </c>
      <c r="C4492" s="5" t="s">
        <v>40</v>
      </c>
      <c r="D4492" s="21">
        <v>1</v>
      </c>
      <c r="E4492" s="12">
        <v>99</v>
      </c>
      <c r="F4492" s="10" t="str">
        <f>_xlfn.XLOOKUP(C4492,menu!A:A,menu!B:B)</f>
        <v>Veg Nuggets</v>
      </c>
      <c r="G4492" s="10" t="str">
        <f>_xlfn.XLOOKUP(C4492,menu!A:A,menu!C:C)</f>
        <v>Starters</v>
      </c>
      <c r="H4492" s="10">
        <f>_xlfn.XLOOKUP(C4492,menu!A:A,menu!E:E)</f>
        <v>30</v>
      </c>
      <c r="I4492" s="10">
        <f t="shared" si="70"/>
        <v>30</v>
      </c>
      <c r="K4492" s="10"/>
      <c r="L4492" s="5"/>
    </row>
    <row r="4493" spans="1:12" x14ac:dyDescent="0.25">
      <c r="A4493" s="5" t="s">
        <v>1006</v>
      </c>
      <c r="B4493" s="5" t="s">
        <v>1005</v>
      </c>
      <c r="C4493" s="5" t="s">
        <v>17</v>
      </c>
      <c r="D4493" s="21">
        <v>5</v>
      </c>
      <c r="E4493" s="12">
        <v>445</v>
      </c>
      <c r="F4493" s="10" t="str">
        <f>_xlfn.XLOOKUP(C4493,menu!A:A,menu!B:B)</f>
        <v>Paneer Momos</v>
      </c>
      <c r="G4493" s="10" t="str">
        <f>_xlfn.XLOOKUP(C4493,menu!A:A,menu!C:C)</f>
        <v>Momos</v>
      </c>
      <c r="H4493" s="10">
        <f>_xlfn.XLOOKUP(C4493,menu!A:A,menu!E:E)</f>
        <v>27</v>
      </c>
      <c r="I4493" s="10">
        <f t="shared" si="70"/>
        <v>135</v>
      </c>
      <c r="K4493" s="10"/>
      <c r="L4493" s="5"/>
    </row>
    <row r="4494" spans="1:12" x14ac:dyDescent="0.25">
      <c r="A4494" s="5" t="s">
        <v>1004</v>
      </c>
      <c r="B4494" s="5" t="s">
        <v>1001</v>
      </c>
      <c r="C4494" s="5" t="s">
        <v>10</v>
      </c>
      <c r="D4494" s="21">
        <v>1</v>
      </c>
      <c r="E4494" s="12">
        <v>119</v>
      </c>
      <c r="F4494" s="10" t="str">
        <f>_xlfn.XLOOKUP(C4494,menu!A:A,menu!B:B)</f>
        <v>Chicken Sandwich</v>
      </c>
      <c r="G4494" s="10" t="str">
        <f>_xlfn.XLOOKUP(C4494,menu!A:A,menu!C:C)</f>
        <v>Sandwich</v>
      </c>
      <c r="H4494" s="10">
        <f>_xlfn.XLOOKUP(C4494,menu!A:A,menu!E:E)</f>
        <v>36</v>
      </c>
      <c r="I4494" s="10">
        <f t="shared" si="70"/>
        <v>36</v>
      </c>
      <c r="K4494" s="10"/>
      <c r="L4494" s="5"/>
    </row>
    <row r="4495" spans="1:12" x14ac:dyDescent="0.25">
      <c r="A4495" s="5" t="s">
        <v>1003</v>
      </c>
      <c r="B4495" s="5" t="s">
        <v>1001</v>
      </c>
      <c r="C4495" s="5" t="s">
        <v>52</v>
      </c>
      <c r="D4495" s="21">
        <v>1</v>
      </c>
      <c r="E4495" s="12">
        <v>99</v>
      </c>
      <c r="F4495" s="10" t="str">
        <f>_xlfn.XLOOKUP(C4495,menu!A:A,menu!B:B)</f>
        <v>French Fries</v>
      </c>
      <c r="G4495" s="10" t="str">
        <f>_xlfn.XLOOKUP(C4495,menu!A:A,menu!C:C)</f>
        <v>Starters</v>
      </c>
      <c r="H4495" s="10">
        <f>_xlfn.XLOOKUP(C4495,menu!A:A,menu!E:E)</f>
        <v>30</v>
      </c>
      <c r="I4495" s="10">
        <f t="shared" si="70"/>
        <v>30</v>
      </c>
      <c r="K4495" s="10"/>
      <c r="L4495" s="5"/>
    </row>
    <row r="4496" spans="1:12" x14ac:dyDescent="0.25">
      <c r="A4496" s="5" t="s">
        <v>1002</v>
      </c>
      <c r="B4496" s="5" t="s">
        <v>1001</v>
      </c>
      <c r="C4496" s="5" t="s">
        <v>48</v>
      </c>
      <c r="D4496" s="21">
        <v>2</v>
      </c>
      <c r="E4496" s="12">
        <v>318</v>
      </c>
      <c r="F4496" s="10" t="str">
        <f>_xlfn.XLOOKUP(C4496,menu!A:A,menu!B:B)</f>
        <v>Chicken Lollipop</v>
      </c>
      <c r="G4496" s="10" t="str">
        <f>_xlfn.XLOOKUP(C4496,menu!A:A,menu!C:C)</f>
        <v>Starters</v>
      </c>
      <c r="H4496" s="10">
        <f>_xlfn.XLOOKUP(C4496,menu!A:A,menu!E:E)</f>
        <v>48</v>
      </c>
      <c r="I4496" s="10">
        <f t="shared" si="70"/>
        <v>96</v>
      </c>
      <c r="K4496" s="10"/>
      <c r="L4496" s="5"/>
    </row>
    <row r="4497" spans="1:12" x14ac:dyDescent="0.25">
      <c r="A4497" s="5" t="s">
        <v>1000</v>
      </c>
      <c r="B4497" s="5" t="s">
        <v>998</v>
      </c>
      <c r="C4497" s="5" t="s">
        <v>17</v>
      </c>
      <c r="D4497" s="21">
        <v>2</v>
      </c>
      <c r="E4497" s="12">
        <v>178</v>
      </c>
      <c r="F4497" s="10" t="str">
        <f>_xlfn.XLOOKUP(C4497,menu!A:A,menu!B:B)</f>
        <v>Paneer Momos</v>
      </c>
      <c r="G4497" s="10" t="str">
        <f>_xlfn.XLOOKUP(C4497,menu!A:A,menu!C:C)</f>
        <v>Momos</v>
      </c>
      <c r="H4497" s="10">
        <f>_xlfn.XLOOKUP(C4497,menu!A:A,menu!E:E)</f>
        <v>27</v>
      </c>
      <c r="I4497" s="10">
        <f t="shared" si="70"/>
        <v>54</v>
      </c>
      <c r="K4497" s="10"/>
      <c r="L4497" s="5"/>
    </row>
    <row r="4498" spans="1:12" x14ac:dyDescent="0.25">
      <c r="A4498" s="5" t="s">
        <v>999</v>
      </c>
      <c r="B4498" s="5" t="s">
        <v>998</v>
      </c>
      <c r="C4498" s="5" t="s">
        <v>8</v>
      </c>
      <c r="D4498" s="21">
        <v>1</v>
      </c>
      <c r="E4498" s="12">
        <v>99</v>
      </c>
      <c r="F4498" s="10" t="str">
        <f>_xlfn.XLOOKUP(C4498,menu!A:A,menu!B:B)</f>
        <v>Paneer Sandwich</v>
      </c>
      <c r="G4498" s="10" t="str">
        <f>_xlfn.XLOOKUP(C4498,menu!A:A,menu!C:C)</f>
        <v>Sandwich</v>
      </c>
      <c r="H4498" s="10">
        <f>_xlfn.XLOOKUP(C4498,menu!A:A,menu!E:E)</f>
        <v>30</v>
      </c>
      <c r="I4498" s="10">
        <f t="shared" si="70"/>
        <v>30</v>
      </c>
      <c r="K4498" s="10"/>
      <c r="L4498" s="5"/>
    </row>
    <row r="4499" spans="1:12" x14ac:dyDescent="0.25">
      <c r="A4499" s="5" t="s">
        <v>997</v>
      </c>
      <c r="B4499" s="5" t="s">
        <v>995</v>
      </c>
      <c r="C4499" s="5" t="s">
        <v>17</v>
      </c>
      <c r="D4499" s="21">
        <v>1</v>
      </c>
      <c r="E4499" s="12">
        <v>89</v>
      </c>
      <c r="F4499" s="10" t="str">
        <f>_xlfn.XLOOKUP(C4499,menu!A:A,menu!B:B)</f>
        <v>Paneer Momos</v>
      </c>
      <c r="G4499" s="10" t="str">
        <f>_xlfn.XLOOKUP(C4499,menu!A:A,menu!C:C)</f>
        <v>Momos</v>
      </c>
      <c r="H4499" s="10">
        <f>_xlfn.XLOOKUP(C4499,menu!A:A,menu!E:E)</f>
        <v>27</v>
      </c>
      <c r="I4499" s="10">
        <f t="shared" si="70"/>
        <v>27</v>
      </c>
      <c r="K4499" s="10"/>
      <c r="L4499" s="5"/>
    </row>
    <row r="4500" spans="1:12" x14ac:dyDescent="0.25">
      <c r="A4500" s="5" t="s">
        <v>996</v>
      </c>
      <c r="B4500" s="5" t="s">
        <v>995</v>
      </c>
      <c r="C4500" s="5" t="s">
        <v>19</v>
      </c>
      <c r="D4500" s="21">
        <v>1</v>
      </c>
      <c r="E4500" s="12">
        <v>79</v>
      </c>
      <c r="F4500" s="10" t="str">
        <f>_xlfn.XLOOKUP(C4500,menu!A:A,menu!B:B)</f>
        <v>Veg Burger</v>
      </c>
      <c r="G4500" s="10" t="str">
        <f>_xlfn.XLOOKUP(C4500,menu!A:A,menu!C:C)</f>
        <v>Burger</v>
      </c>
      <c r="H4500" s="10">
        <f>_xlfn.XLOOKUP(C4500,menu!A:A,menu!E:E)</f>
        <v>24</v>
      </c>
      <c r="I4500" s="10">
        <f t="shared" si="70"/>
        <v>24</v>
      </c>
      <c r="K4500" s="10"/>
      <c r="L4500" s="5"/>
    </row>
    <row r="4501" spans="1:12" x14ac:dyDescent="0.25">
      <c r="A4501" s="5" t="s">
        <v>994</v>
      </c>
      <c r="B4501" s="5" t="s">
        <v>992</v>
      </c>
      <c r="C4501" s="5" t="s">
        <v>56</v>
      </c>
      <c r="D4501" s="21">
        <v>2</v>
      </c>
      <c r="E4501" s="12">
        <v>158</v>
      </c>
      <c r="F4501" s="10" t="str">
        <f>_xlfn.XLOOKUP(C4501,menu!A:A,menu!B:B)</f>
        <v>Mint Mojito</v>
      </c>
      <c r="G4501" s="10" t="str">
        <f>_xlfn.XLOOKUP(C4501,menu!A:A,menu!C:C)</f>
        <v>Beverages</v>
      </c>
      <c r="H4501" s="10">
        <f>_xlfn.XLOOKUP(C4501,menu!A:A,menu!E:E)</f>
        <v>24</v>
      </c>
      <c r="I4501" s="10">
        <f t="shared" si="70"/>
        <v>48</v>
      </c>
      <c r="K4501" s="10"/>
      <c r="L4501" s="5"/>
    </row>
    <row r="4502" spans="1:12" x14ac:dyDescent="0.25">
      <c r="A4502" s="5" t="s">
        <v>993</v>
      </c>
      <c r="B4502" s="5" t="s">
        <v>992</v>
      </c>
      <c r="C4502" s="5" t="s">
        <v>50</v>
      </c>
      <c r="D4502" s="21">
        <v>5</v>
      </c>
      <c r="E4502" s="12">
        <v>745</v>
      </c>
      <c r="F4502" s="10" t="str">
        <f>_xlfn.XLOOKUP(C4502,menu!A:A,menu!B:B)</f>
        <v>Grab Lollipop</v>
      </c>
      <c r="G4502" s="10" t="str">
        <f>_xlfn.XLOOKUP(C4502,menu!A:A,menu!C:C)</f>
        <v>Starters</v>
      </c>
      <c r="H4502" s="10">
        <f>_xlfn.XLOOKUP(C4502,menu!A:A,menu!E:E)</f>
        <v>45</v>
      </c>
      <c r="I4502" s="10">
        <f t="shared" si="70"/>
        <v>225</v>
      </c>
      <c r="K4502" s="10"/>
      <c r="L4502" s="5"/>
    </row>
    <row r="4503" spans="1:12" x14ac:dyDescent="0.25">
      <c r="A4503" s="5" t="s">
        <v>991</v>
      </c>
      <c r="B4503" s="5" t="s">
        <v>989</v>
      </c>
      <c r="C4503" s="5" t="s">
        <v>40</v>
      </c>
      <c r="D4503" s="21">
        <v>4</v>
      </c>
      <c r="E4503" s="12">
        <v>396</v>
      </c>
      <c r="F4503" s="10" t="str">
        <f>_xlfn.XLOOKUP(C4503,menu!A:A,menu!B:B)</f>
        <v>Veg Nuggets</v>
      </c>
      <c r="G4503" s="10" t="str">
        <f>_xlfn.XLOOKUP(C4503,menu!A:A,menu!C:C)</f>
        <v>Starters</v>
      </c>
      <c r="H4503" s="10">
        <f>_xlfn.XLOOKUP(C4503,menu!A:A,menu!E:E)</f>
        <v>30</v>
      </c>
      <c r="I4503" s="10">
        <f t="shared" si="70"/>
        <v>120</v>
      </c>
      <c r="K4503" s="10"/>
      <c r="L4503" s="5"/>
    </row>
    <row r="4504" spans="1:12" x14ac:dyDescent="0.25">
      <c r="A4504" s="5" t="s">
        <v>990</v>
      </c>
      <c r="B4504" s="5" t="s">
        <v>989</v>
      </c>
      <c r="C4504" s="5" t="s">
        <v>38</v>
      </c>
      <c r="D4504" s="21">
        <v>1</v>
      </c>
      <c r="E4504" s="12">
        <v>149</v>
      </c>
      <c r="F4504" s="10" t="str">
        <f>_xlfn.XLOOKUP(C4504,menu!A:A,menu!B:B)</f>
        <v>Chicken Wings</v>
      </c>
      <c r="G4504" s="10" t="str">
        <f>_xlfn.XLOOKUP(C4504,menu!A:A,menu!C:C)</f>
        <v>Starters</v>
      </c>
      <c r="H4504" s="10">
        <f>_xlfn.XLOOKUP(C4504,menu!A:A,menu!E:E)</f>
        <v>45</v>
      </c>
      <c r="I4504" s="10">
        <f t="shared" si="70"/>
        <v>45</v>
      </c>
      <c r="K4504" s="10"/>
      <c r="L4504" s="5"/>
    </row>
    <row r="4505" spans="1:12" x14ac:dyDescent="0.25">
      <c r="A4505" s="5" t="s">
        <v>988</v>
      </c>
      <c r="B4505" s="5" t="s">
        <v>986</v>
      </c>
      <c r="C4505" s="5" t="s">
        <v>29</v>
      </c>
      <c r="D4505" s="21">
        <v>2</v>
      </c>
      <c r="E4505" s="12">
        <v>158</v>
      </c>
      <c r="F4505" s="10" t="str">
        <f>_xlfn.XLOOKUP(C4505,menu!A:A,menu!B:B)</f>
        <v>Paneer Roll</v>
      </c>
      <c r="G4505" s="10" t="str">
        <f>_xlfn.XLOOKUP(C4505,menu!A:A,menu!C:C)</f>
        <v>Rolls</v>
      </c>
      <c r="H4505" s="10">
        <f>_xlfn.XLOOKUP(C4505,menu!A:A,menu!E:E)</f>
        <v>24</v>
      </c>
      <c r="I4505" s="10">
        <f t="shared" si="70"/>
        <v>48</v>
      </c>
      <c r="K4505" s="10"/>
      <c r="L4505" s="5"/>
    </row>
    <row r="4506" spans="1:12" x14ac:dyDescent="0.25">
      <c r="A4506" s="5" t="s">
        <v>987</v>
      </c>
      <c r="B4506" s="5" t="s">
        <v>986</v>
      </c>
      <c r="C4506" s="5" t="s">
        <v>8</v>
      </c>
      <c r="D4506" s="21">
        <v>3</v>
      </c>
      <c r="E4506" s="12">
        <v>297</v>
      </c>
      <c r="F4506" s="10" t="str">
        <f>_xlfn.XLOOKUP(C4506,menu!A:A,menu!B:B)</f>
        <v>Paneer Sandwich</v>
      </c>
      <c r="G4506" s="10" t="str">
        <f>_xlfn.XLOOKUP(C4506,menu!A:A,menu!C:C)</f>
        <v>Sandwich</v>
      </c>
      <c r="H4506" s="10">
        <f>_xlfn.XLOOKUP(C4506,menu!A:A,menu!E:E)</f>
        <v>30</v>
      </c>
      <c r="I4506" s="10">
        <f t="shared" si="70"/>
        <v>90</v>
      </c>
      <c r="K4506" s="10"/>
      <c r="L4506" s="5"/>
    </row>
    <row r="4507" spans="1:12" x14ac:dyDescent="0.25">
      <c r="A4507" s="5" t="s">
        <v>985</v>
      </c>
      <c r="B4507" s="5" t="s">
        <v>983</v>
      </c>
      <c r="C4507" s="5" t="s">
        <v>15</v>
      </c>
      <c r="D4507" s="21">
        <v>2</v>
      </c>
      <c r="E4507" s="12">
        <v>198</v>
      </c>
      <c r="F4507" s="10" t="str">
        <f>_xlfn.XLOOKUP(C4507,menu!A:A,menu!B:B)</f>
        <v>Chicken Momos</v>
      </c>
      <c r="G4507" s="10" t="str">
        <f>_xlfn.XLOOKUP(C4507,menu!A:A,menu!C:C)</f>
        <v>Momos</v>
      </c>
      <c r="H4507" s="10">
        <f>_xlfn.XLOOKUP(C4507,menu!A:A,menu!E:E)</f>
        <v>30</v>
      </c>
      <c r="I4507" s="10">
        <f t="shared" si="70"/>
        <v>60</v>
      </c>
      <c r="K4507" s="10"/>
      <c r="L4507" s="5"/>
    </row>
    <row r="4508" spans="1:12" x14ac:dyDescent="0.25">
      <c r="A4508" s="5" t="s">
        <v>984</v>
      </c>
      <c r="B4508" s="5" t="s">
        <v>983</v>
      </c>
      <c r="C4508" s="5" t="s">
        <v>48</v>
      </c>
      <c r="D4508" s="21">
        <v>5</v>
      </c>
      <c r="E4508" s="12">
        <v>795</v>
      </c>
      <c r="F4508" s="10" t="str">
        <f>_xlfn.XLOOKUP(C4508,menu!A:A,menu!B:B)</f>
        <v>Chicken Lollipop</v>
      </c>
      <c r="G4508" s="10" t="str">
        <f>_xlfn.XLOOKUP(C4508,menu!A:A,menu!C:C)</f>
        <v>Starters</v>
      </c>
      <c r="H4508" s="10">
        <f>_xlfn.XLOOKUP(C4508,menu!A:A,menu!E:E)</f>
        <v>48</v>
      </c>
      <c r="I4508" s="10">
        <f t="shared" si="70"/>
        <v>240</v>
      </c>
      <c r="K4508" s="10"/>
      <c r="L4508" s="5"/>
    </row>
    <row r="4509" spans="1:12" x14ac:dyDescent="0.25">
      <c r="A4509" s="5" t="s">
        <v>982</v>
      </c>
      <c r="B4509" s="5" t="s">
        <v>979</v>
      </c>
      <c r="C4509" s="5" t="s">
        <v>12</v>
      </c>
      <c r="D4509" s="21">
        <v>1</v>
      </c>
      <c r="E4509" s="12">
        <v>79</v>
      </c>
      <c r="F4509" s="10" t="str">
        <f>_xlfn.XLOOKUP(C4509,menu!A:A,menu!B:B)</f>
        <v>Veg Momos</v>
      </c>
      <c r="G4509" s="10" t="str">
        <f>_xlfn.XLOOKUP(C4509,menu!A:A,menu!C:C)</f>
        <v>Momos</v>
      </c>
      <c r="H4509" s="10">
        <f>_xlfn.XLOOKUP(C4509,menu!A:A,menu!E:E)</f>
        <v>24</v>
      </c>
      <c r="I4509" s="10">
        <f t="shared" si="70"/>
        <v>24</v>
      </c>
      <c r="K4509" s="10"/>
      <c r="L4509" s="5"/>
    </row>
    <row r="4510" spans="1:12" x14ac:dyDescent="0.25">
      <c r="A4510" s="5" t="s">
        <v>981</v>
      </c>
      <c r="B4510" s="5" t="s">
        <v>979</v>
      </c>
      <c r="C4510" s="5" t="s">
        <v>40</v>
      </c>
      <c r="D4510" s="21">
        <v>3</v>
      </c>
      <c r="E4510" s="12">
        <v>297</v>
      </c>
      <c r="F4510" s="10" t="str">
        <f>_xlfn.XLOOKUP(C4510,menu!A:A,menu!B:B)</f>
        <v>Veg Nuggets</v>
      </c>
      <c r="G4510" s="10" t="str">
        <f>_xlfn.XLOOKUP(C4510,menu!A:A,menu!C:C)</f>
        <v>Starters</v>
      </c>
      <c r="H4510" s="10">
        <f>_xlfn.XLOOKUP(C4510,menu!A:A,menu!E:E)</f>
        <v>30</v>
      </c>
      <c r="I4510" s="10">
        <f t="shared" si="70"/>
        <v>90</v>
      </c>
      <c r="K4510" s="10"/>
      <c r="L4510" s="5"/>
    </row>
    <row r="4511" spans="1:12" x14ac:dyDescent="0.25">
      <c r="A4511" s="5" t="s">
        <v>980</v>
      </c>
      <c r="B4511" s="5" t="s">
        <v>979</v>
      </c>
      <c r="C4511" s="5" t="s">
        <v>38</v>
      </c>
      <c r="D4511" s="21">
        <v>3</v>
      </c>
      <c r="E4511" s="12">
        <v>447</v>
      </c>
      <c r="F4511" s="10" t="str">
        <f>_xlfn.XLOOKUP(C4511,menu!A:A,menu!B:B)</f>
        <v>Chicken Wings</v>
      </c>
      <c r="G4511" s="10" t="str">
        <f>_xlfn.XLOOKUP(C4511,menu!A:A,menu!C:C)</f>
        <v>Starters</v>
      </c>
      <c r="H4511" s="10">
        <f>_xlfn.XLOOKUP(C4511,menu!A:A,menu!E:E)</f>
        <v>45</v>
      </c>
      <c r="I4511" s="10">
        <f t="shared" si="70"/>
        <v>135</v>
      </c>
      <c r="K4511" s="10"/>
      <c r="L4511" s="5"/>
    </row>
    <row r="4512" spans="1:12" x14ac:dyDescent="0.25">
      <c r="A4512" s="5" t="s">
        <v>978</v>
      </c>
      <c r="B4512" s="5" t="s">
        <v>974</v>
      </c>
      <c r="C4512" s="5" t="s">
        <v>63</v>
      </c>
      <c r="D4512" s="21">
        <v>5</v>
      </c>
      <c r="E4512" s="12">
        <v>395</v>
      </c>
      <c r="F4512" s="10" t="str">
        <f>_xlfn.XLOOKUP(C4512,menu!A:A,menu!B:B)</f>
        <v>Virgin Mojito</v>
      </c>
      <c r="G4512" s="10" t="str">
        <f>_xlfn.XLOOKUP(C4512,menu!A:A,menu!C:C)</f>
        <v>Beverages</v>
      </c>
      <c r="H4512" s="10">
        <f>_xlfn.XLOOKUP(C4512,menu!A:A,menu!E:E)</f>
        <v>24</v>
      </c>
      <c r="I4512" s="10">
        <f t="shared" si="70"/>
        <v>120</v>
      </c>
      <c r="K4512" s="10"/>
      <c r="L4512" s="5"/>
    </row>
    <row r="4513" spans="1:12" x14ac:dyDescent="0.25">
      <c r="A4513" s="5" t="s">
        <v>977</v>
      </c>
      <c r="B4513" s="5" t="s">
        <v>974</v>
      </c>
      <c r="C4513" s="5" t="s">
        <v>46</v>
      </c>
      <c r="D4513" s="21">
        <v>1</v>
      </c>
      <c r="E4513" s="12">
        <v>149</v>
      </c>
      <c r="F4513" s="10" t="str">
        <f>_xlfn.XLOOKUP(C4513,menu!A:A,menu!B:B)</f>
        <v>Fish Finger</v>
      </c>
      <c r="G4513" s="10" t="str">
        <f>_xlfn.XLOOKUP(C4513,menu!A:A,menu!C:C)</f>
        <v>Starters</v>
      </c>
      <c r="H4513" s="10">
        <f>_xlfn.XLOOKUP(C4513,menu!A:A,menu!E:E)</f>
        <v>45</v>
      </c>
      <c r="I4513" s="10">
        <f t="shared" si="70"/>
        <v>45</v>
      </c>
      <c r="K4513" s="10"/>
      <c r="L4513" s="5"/>
    </row>
    <row r="4514" spans="1:12" x14ac:dyDescent="0.25">
      <c r="A4514" s="5" t="s">
        <v>976</v>
      </c>
      <c r="B4514" s="5" t="s">
        <v>974</v>
      </c>
      <c r="C4514" s="5" t="s">
        <v>26</v>
      </c>
      <c r="D4514" s="21">
        <v>5</v>
      </c>
      <c r="E4514" s="12">
        <v>295</v>
      </c>
      <c r="F4514" s="10" t="str">
        <f>_xlfn.XLOOKUP(C4514,menu!A:A,menu!B:B)</f>
        <v>Veg Roll</v>
      </c>
      <c r="G4514" s="10" t="str">
        <f>_xlfn.XLOOKUP(C4514,menu!A:A,menu!C:C)</f>
        <v>Rolls</v>
      </c>
      <c r="H4514" s="10">
        <f>_xlfn.XLOOKUP(C4514,menu!A:A,menu!E:E)</f>
        <v>18</v>
      </c>
      <c r="I4514" s="10">
        <f t="shared" si="70"/>
        <v>90</v>
      </c>
      <c r="K4514" s="10"/>
      <c r="L4514" s="5"/>
    </row>
    <row r="4515" spans="1:12" x14ac:dyDescent="0.25">
      <c r="A4515" s="5" t="s">
        <v>975</v>
      </c>
      <c r="B4515" s="5" t="s">
        <v>974</v>
      </c>
      <c r="C4515" s="5" t="s">
        <v>24</v>
      </c>
      <c r="D4515" s="21">
        <v>2</v>
      </c>
      <c r="E4515" s="12">
        <v>178</v>
      </c>
      <c r="F4515" s="10" t="str">
        <f>_xlfn.XLOOKUP(C4515,menu!A:A,menu!B:B)</f>
        <v>Paneer Burger</v>
      </c>
      <c r="G4515" s="10" t="str">
        <f>_xlfn.XLOOKUP(C4515,menu!A:A,menu!C:C)</f>
        <v>Burger</v>
      </c>
      <c r="H4515" s="10">
        <f>_xlfn.XLOOKUP(C4515,menu!A:A,menu!E:E)</f>
        <v>27</v>
      </c>
      <c r="I4515" s="10">
        <f t="shared" si="70"/>
        <v>54</v>
      </c>
      <c r="K4515" s="10"/>
      <c r="L4515" s="5"/>
    </row>
    <row r="4516" spans="1:12" x14ac:dyDescent="0.25">
      <c r="A4516" s="5" t="s">
        <v>973</v>
      </c>
      <c r="B4516" s="5" t="s">
        <v>970</v>
      </c>
      <c r="C4516" s="5" t="s">
        <v>19</v>
      </c>
      <c r="D4516" s="21">
        <v>1</v>
      </c>
      <c r="E4516" s="12">
        <v>79</v>
      </c>
      <c r="F4516" s="10" t="str">
        <f>_xlfn.XLOOKUP(C4516,menu!A:A,menu!B:B)</f>
        <v>Veg Burger</v>
      </c>
      <c r="G4516" s="10" t="str">
        <f>_xlfn.XLOOKUP(C4516,menu!A:A,menu!C:C)</f>
        <v>Burger</v>
      </c>
      <c r="H4516" s="10">
        <f>_xlfn.XLOOKUP(C4516,menu!A:A,menu!E:E)</f>
        <v>24</v>
      </c>
      <c r="I4516" s="10">
        <f t="shared" si="70"/>
        <v>24</v>
      </c>
      <c r="K4516" s="10"/>
      <c r="L4516" s="5"/>
    </row>
    <row r="4517" spans="1:12" x14ac:dyDescent="0.25">
      <c r="A4517" s="5" t="s">
        <v>972</v>
      </c>
      <c r="B4517" s="5" t="s">
        <v>970</v>
      </c>
      <c r="C4517" s="5" t="s">
        <v>15</v>
      </c>
      <c r="D4517" s="21">
        <v>1</v>
      </c>
      <c r="E4517" s="12">
        <v>99</v>
      </c>
      <c r="F4517" s="10" t="str">
        <f>_xlfn.XLOOKUP(C4517,menu!A:A,menu!B:B)</f>
        <v>Chicken Momos</v>
      </c>
      <c r="G4517" s="10" t="str">
        <f>_xlfn.XLOOKUP(C4517,menu!A:A,menu!C:C)</f>
        <v>Momos</v>
      </c>
      <c r="H4517" s="10">
        <f>_xlfn.XLOOKUP(C4517,menu!A:A,menu!E:E)</f>
        <v>30</v>
      </c>
      <c r="I4517" s="10">
        <f t="shared" si="70"/>
        <v>30</v>
      </c>
      <c r="K4517" s="10"/>
      <c r="L4517" s="5"/>
    </row>
    <row r="4518" spans="1:12" x14ac:dyDescent="0.25">
      <c r="A4518" s="5" t="s">
        <v>971</v>
      </c>
      <c r="B4518" s="5" t="s">
        <v>970</v>
      </c>
      <c r="C4518" s="5" t="s">
        <v>38</v>
      </c>
      <c r="D4518" s="21">
        <v>1</v>
      </c>
      <c r="E4518" s="12">
        <v>149</v>
      </c>
      <c r="F4518" s="10" t="str">
        <f>_xlfn.XLOOKUP(C4518,menu!A:A,menu!B:B)</f>
        <v>Chicken Wings</v>
      </c>
      <c r="G4518" s="10" t="str">
        <f>_xlfn.XLOOKUP(C4518,menu!A:A,menu!C:C)</f>
        <v>Starters</v>
      </c>
      <c r="H4518" s="10">
        <f>_xlfn.XLOOKUP(C4518,menu!A:A,menu!E:E)</f>
        <v>45</v>
      </c>
      <c r="I4518" s="10">
        <f t="shared" si="70"/>
        <v>45</v>
      </c>
      <c r="K4518" s="10"/>
      <c r="L4518" s="5"/>
    </row>
    <row r="4519" spans="1:12" x14ac:dyDescent="0.25">
      <c r="A4519" s="5" t="s">
        <v>969</v>
      </c>
      <c r="B4519" s="5" t="s">
        <v>967</v>
      </c>
      <c r="C4519" s="5" t="s">
        <v>15</v>
      </c>
      <c r="D4519" s="21">
        <v>4</v>
      </c>
      <c r="E4519" s="12">
        <v>396</v>
      </c>
      <c r="F4519" s="10" t="str">
        <f>_xlfn.XLOOKUP(C4519,menu!A:A,menu!B:B)</f>
        <v>Chicken Momos</v>
      </c>
      <c r="G4519" s="10" t="str">
        <f>_xlfn.XLOOKUP(C4519,menu!A:A,menu!C:C)</f>
        <v>Momos</v>
      </c>
      <c r="H4519" s="10">
        <f>_xlfn.XLOOKUP(C4519,menu!A:A,menu!E:E)</f>
        <v>30</v>
      </c>
      <c r="I4519" s="10">
        <f t="shared" si="70"/>
        <v>120</v>
      </c>
      <c r="K4519" s="10"/>
      <c r="L4519" s="5"/>
    </row>
    <row r="4520" spans="1:12" x14ac:dyDescent="0.25">
      <c r="A4520" s="5" t="s">
        <v>968</v>
      </c>
      <c r="B4520" s="5" t="s">
        <v>967</v>
      </c>
      <c r="C4520" s="5" t="s">
        <v>24</v>
      </c>
      <c r="D4520" s="21">
        <v>5</v>
      </c>
      <c r="E4520" s="12">
        <v>445</v>
      </c>
      <c r="F4520" s="10" t="str">
        <f>_xlfn.XLOOKUP(C4520,menu!A:A,menu!B:B)</f>
        <v>Paneer Burger</v>
      </c>
      <c r="G4520" s="10" t="str">
        <f>_xlfn.XLOOKUP(C4520,menu!A:A,menu!C:C)</f>
        <v>Burger</v>
      </c>
      <c r="H4520" s="10">
        <f>_xlfn.XLOOKUP(C4520,menu!A:A,menu!E:E)</f>
        <v>27</v>
      </c>
      <c r="I4520" s="10">
        <f t="shared" si="70"/>
        <v>135</v>
      </c>
      <c r="K4520" s="10"/>
      <c r="L4520" s="5"/>
    </row>
    <row r="4521" spans="1:12" x14ac:dyDescent="0.25">
      <c r="A4521" s="5" t="s">
        <v>966</v>
      </c>
      <c r="B4521" s="5" t="s">
        <v>963</v>
      </c>
      <c r="C4521" s="5" t="s">
        <v>33</v>
      </c>
      <c r="D4521" s="21">
        <v>1</v>
      </c>
      <c r="E4521" s="12">
        <v>69</v>
      </c>
      <c r="F4521" s="10" t="str">
        <f>_xlfn.XLOOKUP(C4521,menu!A:A,menu!B:B)</f>
        <v>Spring Roll</v>
      </c>
      <c r="G4521" s="10" t="str">
        <f>_xlfn.XLOOKUP(C4521,menu!A:A,menu!C:C)</f>
        <v>Rolls</v>
      </c>
      <c r="H4521" s="10">
        <f>_xlfn.XLOOKUP(C4521,menu!A:A,menu!E:E)</f>
        <v>21</v>
      </c>
      <c r="I4521" s="10">
        <f t="shared" si="70"/>
        <v>21</v>
      </c>
      <c r="K4521" s="10"/>
      <c r="L4521" s="5"/>
    </row>
    <row r="4522" spans="1:12" x14ac:dyDescent="0.25">
      <c r="A4522" s="5" t="s">
        <v>965</v>
      </c>
      <c r="B4522" s="5" t="s">
        <v>963</v>
      </c>
      <c r="C4522" s="5" t="s">
        <v>31</v>
      </c>
      <c r="D4522" s="21">
        <v>1</v>
      </c>
      <c r="E4522" s="12">
        <v>89</v>
      </c>
      <c r="F4522" s="10" t="str">
        <f>_xlfn.XLOOKUP(C4522,menu!A:A,menu!B:B)</f>
        <v>Chicken Roll</v>
      </c>
      <c r="G4522" s="10" t="str">
        <f>_xlfn.XLOOKUP(C4522,menu!A:A,menu!C:C)</f>
        <v>Rolls</v>
      </c>
      <c r="H4522" s="10">
        <f>_xlfn.XLOOKUP(C4522,menu!A:A,menu!E:E)</f>
        <v>27</v>
      </c>
      <c r="I4522" s="10">
        <f t="shared" si="70"/>
        <v>27</v>
      </c>
      <c r="K4522" s="10"/>
      <c r="L4522" s="5"/>
    </row>
    <row r="4523" spans="1:12" x14ac:dyDescent="0.25">
      <c r="A4523" s="5" t="s">
        <v>964</v>
      </c>
      <c r="B4523" s="5" t="s">
        <v>963</v>
      </c>
      <c r="C4523" s="5" t="s">
        <v>38</v>
      </c>
      <c r="D4523" s="21">
        <v>2</v>
      </c>
      <c r="E4523" s="12">
        <v>298</v>
      </c>
      <c r="F4523" s="10" t="str">
        <f>_xlfn.XLOOKUP(C4523,menu!A:A,menu!B:B)</f>
        <v>Chicken Wings</v>
      </c>
      <c r="G4523" s="10" t="str">
        <f>_xlfn.XLOOKUP(C4523,menu!A:A,menu!C:C)</f>
        <v>Starters</v>
      </c>
      <c r="H4523" s="10">
        <f>_xlfn.XLOOKUP(C4523,menu!A:A,menu!E:E)</f>
        <v>45</v>
      </c>
      <c r="I4523" s="10">
        <f t="shared" si="70"/>
        <v>90</v>
      </c>
      <c r="K4523" s="10"/>
      <c r="L4523" s="5"/>
    </row>
    <row r="4524" spans="1:12" x14ac:dyDescent="0.25">
      <c r="A4524" s="5" t="s">
        <v>962</v>
      </c>
      <c r="B4524" s="5" t="s">
        <v>960</v>
      </c>
      <c r="C4524" s="5" t="s">
        <v>56</v>
      </c>
      <c r="D4524" s="21">
        <v>1</v>
      </c>
      <c r="E4524" s="12">
        <v>79</v>
      </c>
      <c r="F4524" s="10" t="str">
        <f>_xlfn.XLOOKUP(C4524,menu!A:A,menu!B:B)</f>
        <v>Mint Mojito</v>
      </c>
      <c r="G4524" s="10" t="str">
        <f>_xlfn.XLOOKUP(C4524,menu!A:A,menu!C:C)</f>
        <v>Beverages</v>
      </c>
      <c r="H4524" s="10">
        <f>_xlfn.XLOOKUP(C4524,menu!A:A,menu!E:E)</f>
        <v>24</v>
      </c>
      <c r="I4524" s="10">
        <f t="shared" si="70"/>
        <v>24</v>
      </c>
      <c r="K4524" s="10"/>
      <c r="L4524" s="5"/>
    </row>
    <row r="4525" spans="1:12" x14ac:dyDescent="0.25">
      <c r="A4525" s="5" t="s">
        <v>961</v>
      </c>
      <c r="B4525" s="5" t="s">
        <v>960</v>
      </c>
      <c r="C4525" s="5" t="s">
        <v>15</v>
      </c>
      <c r="D4525" s="21">
        <v>1</v>
      </c>
      <c r="E4525" s="12">
        <v>99</v>
      </c>
      <c r="F4525" s="10" t="str">
        <f>_xlfn.XLOOKUP(C4525,menu!A:A,menu!B:B)</f>
        <v>Chicken Momos</v>
      </c>
      <c r="G4525" s="10" t="str">
        <f>_xlfn.XLOOKUP(C4525,menu!A:A,menu!C:C)</f>
        <v>Momos</v>
      </c>
      <c r="H4525" s="10">
        <f>_xlfn.XLOOKUP(C4525,menu!A:A,menu!E:E)</f>
        <v>30</v>
      </c>
      <c r="I4525" s="10">
        <f t="shared" si="70"/>
        <v>30</v>
      </c>
      <c r="K4525" s="10"/>
      <c r="L4525" s="5"/>
    </row>
    <row r="4526" spans="1:12" x14ac:dyDescent="0.25">
      <c r="A4526" s="5" t="s">
        <v>959</v>
      </c>
      <c r="B4526" s="5" t="s">
        <v>956</v>
      </c>
      <c r="C4526" s="5" t="s">
        <v>22</v>
      </c>
      <c r="D4526" s="21">
        <v>3</v>
      </c>
      <c r="E4526" s="12">
        <v>297</v>
      </c>
      <c r="F4526" s="10" t="str">
        <f>_xlfn.XLOOKUP(C4526,menu!A:A,menu!B:B)</f>
        <v>Chicken Burger</v>
      </c>
      <c r="G4526" s="10" t="str">
        <f>_xlfn.XLOOKUP(C4526,menu!A:A,menu!C:C)</f>
        <v>Burger</v>
      </c>
      <c r="H4526" s="10">
        <f>_xlfn.XLOOKUP(C4526,menu!A:A,menu!E:E)</f>
        <v>30</v>
      </c>
      <c r="I4526" s="10">
        <f t="shared" si="70"/>
        <v>90</v>
      </c>
      <c r="K4526" s="10"/>
      <c r="L4526" s="5"/>
    </row>
    <row r="4527" spans="1:12" x14ac:dyDescent="0.25">
      <c r="A4527" s="5" t="s">
        <v>958</v>
      </c>
      <c r="B4527" s="5" t="s">
        <v>956</v>
      </c>
      <c r="C4527" s="5" t="s">
        <v>8</v>
      </c>
      <c r="D4527" s="21">
        <v>1</v>
      </c>
      <c r="E4527" s="12">
        <v>99</v>
      </c>
      <c r="F4527" s="10" t="str">
        <f>_xlfn.XLOOKUP(C4527,menu!A:A,menu!B:B)</f>
        <v>Paneer Sandwich</v>
      </c>
      <c r="G4527" s="10" t="str">
        <f>_xlfn.XLOOKUP(C4527,menu!A:A,menu!C:C)</f>
        <v>Sandwich</v>
      </c>
      <c r="H4527" s="10">
        <f>_xlfn.XLOOKUP(C4527,menu!A:A,menu!E:E)</f>
        <v>30</v>
      </c>
      <c r="I4527" s="10">
        <f t="shared" si="70"/>
        <v>30</v>
      </c>
      <c r="K4527" s="10"/>
      <c r="L4527" s="5"/>
    </row>
    <row r="4528" spans="1:12" x14ac:dyDescent="0.25">
      <c r="A4528" s="5" t="s">
        <v>957</v>
      </c>
      <c r="B4528" s="5" t="s">
        <v>956</v>
      </c>
      <c r="C4528" s="5" t="s">
        <v>59</v>
      </c>
      <c r="D4528" s="21">
        <v>3</v>
      </c>
      <c r="E4528" s="12">
        <v>237</v>
      </c>
      <c r="F4528" s="10" t="str">
        <f>_xlfn.XLOOKUP(C4528,menu!A:A,menu!B:B)</f>
        <v>Blue Curacao Mojito</v>
      </c>
      <c r="G4528" s="10" t="str">
        <f>_xlfn.XLOOKUP(C4528,menu!A:A,menu!C:C)</f>
        <v>Beverages</v>
      </c>
      <c r="H4528" s="10">
        <f>_xlfn.XLOOKUP(C4528,menu!A:A,menu!E:E)</f>
        <v>24</v>
      </c>
      <c r="I4528" s="10">
        <f t="shared" si="70"/>
        <v>72</v>
      </c>
      <c r="K4528" s="10"/>
      <c r="L4528" s="5"/>
    </row>
    <row r="4529" spans="1:12" x14ac:dyDescent="0.25">
      <c r="A4529" s="5" t="s">
        <v>955</v>
      </c>
      <c r="B4529" s="5" t="s">
        <v>953</v>
      </c>
      <c r="C4529" s="5" t="s">
        <v>12</v>
      </c>
      <c r="D4529" s="21">
        <v>1</v>
      </c>
      <c r="E4529" s="12">
        <v>79</v>
      </c>
      <c r="F4529" s="10" t="str">
        <f>_xlfn.XLOOKUP(C4529,menu!A:A,menu!B:B)</f>
        <v>Veg Momos</v>
      </c>
      <c r="G4529" s="10" t="str">
        <f>_xlfn.XLOOKUP(C4529,menu!A:A,menu!C:C)</f>
        <v>Momos</v>
      </c>
      <c r="H4529" s="10">
        <f>_xlfn.XLOOKUP(C4529,menu!A:A,menu!E:E)</f>
        <v>24</v>
      </c>
      <c r="I4529" s="10">
        <f t="shared" si="70"/>
        <v>24</v>
      </c>
      <c r="K4529" s="10"/>
      <c r="L4529" s="5"/>
    </row>
    <row r="4530" spans="1:12" x14ac:dyDescent="0.25">
      <c r="A4530" s="5" t="s">
        <v>954</v>
      </c>
      <c r="B4530" s="5" t="s">
        <v>953</v>
      </c>
      <c r="C4530" s="5" t="s">
        <v>40</v>
      </c>
      <c r="D4530" s="21">
        <v>1</v>
      </c>
      <c r="E4530" s="12">
        <v>99</v>
      </c>
      <c r="F4530" s="10" t="str">
        <f>_xlfn.XLOOKUP(C4530,menu!A:A,menu!B:B)</f>
        <v>Veg Nuggets</v>
      </c>
      <c r="G4530" s="10" t="str">
        <f>_xlfn.XLOOKUP(C4530,menu!A:A,menu!C:C)</f>
        <v>Starters</v>
      </c>
      <c r="H4530" s="10">
        <f>_xlfn.XLOOKUP(C4530,menu!A:A,menu!E:E)</f>
        <v>30</v>
      </c>
      <c r="I4530" s="10">
        <f t="shared" si="70"/>
        <v>30</v>
      </c>
      <c r="K4530" s="10"/>
      <c r="L4530" s="5"/>
    </row>
    <row r="4531" spans="1:12" x14ac:dyDescent="0.25">
      <c r="A4531" s="5" t="s">
        <v>952</v>
      </c>
      <c r="B4531" s="5" t="s">
        <v>950</v>
      </c>
      <c r="C4531" s="5" t="s">
        <v>52</v>
      </c>
      <c r="D4531" s="21">
        <v>1</v>
      </c>
      <c r="E4531" s="12">
        <v>99</v>
      </c>
      <c r="F4531" s="10" t="str">
        <f>_xlfn.XLOOKUP(C4531,menu!A:A,menu!B:B)</f>
        <v>French Fries</v>
      </c>
      <c r="G4531" s="10" t="str">
        <f>_xlfn.XLOOKUP(C4531,menu!A:A,menu!C:C)</f>
        <v>Starters</v>
      </c>
      <c r="H4531" s="10">
        <f>_xlfn.XLOOKUP(C4531,menu!A:A,menu!E:E)</f>
        <v>30</v>
      </c>
      <c r="I4531" s="10">
        <f t="shared" si="70"/>
        <v>30</v>
      </c>
      <c r="K4531" s="10"/>
      <c r="L4531" s="5"/>
    </row>
    <row r="4532" spans="1:12" x14ac:dyDescent="0.25">
      <c r="A4532" s="5" t="s">
        <v>951</v>
      </c>
      <c r="B4532" s="5" t="s">
        <v>950</v>
      </c>
      <c r="C4532" s="5" t="s">
        <v>54</v>
      </c>
      <c r="D4532" s="21">
        <v>1</v>
      </c>
      <c r="E4532" s="12">
        <v>139</v>
      </c>
      <c r="F4532" s="10" t="str">
        <f>_xlfn.XLOOKUP(C4532,menu!A:A,menu!B:B)</f>
        <v>Chicken Strips</v>
      </c>
      <c r="G4532" s="10" t="str">
        <f>_xlfn.XLOOKUP(C4532,menu!A:A,menu!C:C)</f>
        <v>Starters</v>
      </c>
      <c r="H4532" s="10">
        <f>_xlfn.XLOOKUP(C4532,menu!A:A,menu!E:E)</f>
        <v>42</v>
      </c>
      <c r="I4532" s="10">
        <f t="shared" si="70"/>
        <v>42</v>
      </c>
      <c r="K4532" s="10"/>
      <c r="L4532" s="5"/>
    </row>
    <row r="4533" spans="1:12" x14ac:dyDescent="0.25">
      <c r="A4533" s="5" t="s">
        <v>949</v>
      </c>
      <c r="B4533" s="5" t="s">
        <v>947</v>
      </c>
      <c r="C4533" s="5" t="s">
        <v>35</v>
      </c>
      <c r="D4533" s="21">
        <v>1</v>
      </c>
      <c r="E4533" s="12">
        <v>119</v>
      </c>
      <c r="F4533" s="10" t="str">
        <f>_xlfn.XLOOKUP(C4533,menu!A:A,menu!B:B)</f>
        <v>Chicken Nuggets</v>
      </c>
      <c r="G4533" s="10" t="str">
        <f>_xlfn.XLOOKUP(C4533,menu!A:A,menu!C:C)</f>
        <v>Starters</v>
      </c>
      <c r="H4533" s="10">
        <f>_xlfn.XLOOKUP(C4533,menu!A:A,menu!E:E)</f>
        <v>36</v>
      </c>
      <c r="I4533" s="10">
        <f t="shared" si="70"/>
        <v>36</v>
      </c>
      <c r="K4533" s="10"/>
      <c r="L4533" s="5"/>
    </row>
    <row r="4534" spans="1:12" x14ac:dyDescent="0.25">
      <c r="A4534" s="5" t="s">
        <v>948</v>
      </c>
      <c r="B4534" s="5" t="s">
        <v>947</v>
      </c>
      <c r="C4534" s="5" t="s">
        <v>22</v>
      </c>
      <c r="D4534" s="21">
        <v>1</v>
      </c>
      <c r="E4534" s="12">
        <v>99</v>
      </c>
      <c r="F4534" s="10" t="str">
        <f>_xlfn.XLOOKUP(C4534,menu!A:A,menu!B:B)</f>
        <v>Chicken Burger</v>
      </c>
      <c r="G4534" s="10" t="str">
        <f>_xlfn.XLOOKUP(C4534,menu!A:A,menu!C:C)</f>
        <v>Burger</v>
      </c>
      <c r="H4534" s="10">
        <f>_xlfn.XLOOKUP(C4534,menu!A:A,menu!E:E)</f>
        <v>30</v>
      </c>
      <c r="I4534" s="10">
        <f t="shared" si="70"/>
        <v>30</v>
      </c>
      <c r="K4534" s="10"/>
      <c r="L4534" s="5"/>
    </row>
    <row r="4535" spans="1:12" x14ac:dyDescent="0.25">
      <c r="A4535" s="5" t="s">
        <v>946</v>
      </c>
      <c r="B4535" s="5" t="s">
        <v>942</v>
      </c>
      <c r="C4535" s="5" t="s">
        <v>52</v>
      </c>
      <c r="D4535" s="21">
        <v>2</v>
      </c>
      <c r="E4535" s="12">
        <v>198</v>
      </c>
      <c r="F4535" s="10" t="str">
        <f>_xlfn.XLOOKUP(C4535,menu!A:A,menu!B:B)</f>
        <v>French Fries</v>
      </c>
      <c r="G4535" s="10" t="str">
        <f>_xlfn.XLOOKUP(C4535,menu!A:A,menu!C:C)</f>
        <v>Starters</v>
      </c>
      <c r="H4535" s="10">
        <f>_xlfn.XLOOKUP(C4535,menu!A:A,menu!E:E)</f>
        <v>30</v>
      </c>
      <c r="I4535" s="10">
        <f t="shared" si="70"/>
        <v>60</v>
      </c>
      <c r="K4535" s="10"/>
      <c r="L4535" s="5"/>
    </row>
    <row r="4536" spans="1:12" x14ac:dyDescent="0.25">
      <c r="A4536" s="5" t="s">
        <v>945</v>
      </c>
      <c r="B4536" s="5" t="s">
        <v>942</v>
      </c>
      <c r="C4536" s="5" t="s">
        <v>42</v>
      </c>
      <c r="D4536" s="21">
        <v>1</v>
      </c>
      <c r="E4536" s="12">
        <v>149</v>
      </c>
      <c r="F4536" s="10" t="str">
        <f>_xlfn.XLOOKUP(C4536,menu!A:A,menu!B:B)</f>
        <v>Chicken Popcorn</v>
      </c>
      <c r="G4536" s="10" t="str">
        <f>_xlfn.XLOOKUP(C4536,menu!A:A,menu!C:C)</f>
        <v>Starters</v>
      </c>
      <c r="H4536" s="10">
        <f>_xlfn.XLOOKUP(C4536,menu!A:A,menu!E:E)</f>
        <v>45</v>
      </c>
      <c r="I4536" s="10">
        <f t="shared" si="70"/>
        <v>45</v>
      </c>
      <c r="K4536" s="10"/>
      <c r="L4536" s="5"/>
    </row>
    <row r="4537" spans="1:12" x14ac:dyDescent="0.25">
      <c r="A4537" s="5" t="s">
        <v>944</v>
      </c>
      <c r="B4537" s="5" t="s">
        <v>942</v>
      </c>
      <c r="C4537" s="5" t="s">
        <v>22</v>
      </c>
      <c r="D4537" s="21">
        <v>1</v>
      </c>
      <c r="E4537" s="12">
        <v>99</v>
      </c>
      <c r="F4537" s="10" t="str">
        <f>_xlfn.XLOOKUP(C4537,menu!A:A,menu!B:B)</f>
        <v>Chicken Burger</v>
      </c>
      <c r="G4537" s="10" t="str">
        <f>_xlfn.XLOOKUP(C4537,menu!A:A,menu!C:C)</f>
        <v>Burger</v>
      </c>
      <c r="H4537" s="10">
        <f>_xlfn.XLOOKUP(C4537,menu!A:A,menu!E:E)</f>
        <v>30</v>
      </c>
      <c r="I4537" s="10">
        <f t="shared" si="70"/>
        <v>30</v>
      </c>
      <c r="K4537" s="10"/>
      <c r="L4537" s="5"/>
    </row>
    <row r="4538" spans="1:12" x14ac:dyDescent="0.25">
      <c r="A4538" s="5" t="s">
        <v>943</v>
      </c>
      <c r="B4538" s="5" t="s">
        <v>942</v>
      </c>
      <c r="C4538" s="5" t="s">
        <v>59</v>
      </c>
      <c r="D4538" s="21">
        <v>1</v>
      </c>
      <c r="E4538" s="12">
        <v>79</v>
      </c>
      <c r="F4538" s="10" t="str">
        <f>_xlfn.XLOOKUP(C4538,menu!A:A,menu!B:B)</f>
        <v>Blue Curacao Mojito</v>
      </c>
      <c r="G4538" s="10" t="str">
        <f>_xlfn.XLOOKUP(C4538,menu!A:A,menu!C:C)</f>
        <v>Beverages</v>
      </c>
      <c r="H4538" s="10">
        <f>_xlfn.XLOOKUP(C4538,menu!A:A,menu!E:E)</f>
        <v>24</v>
      </c>
      <c r="I4538" s="10">
        <f t="shared" si="70"/>
        <v>24</v>
      </c>
      <c r="K4538" s="10"/>
      <c r="L4538" s="5"/>
    </row>
    <row r="4539" spans="1:12" x14ac:dyDescent="0.25">
      <c r="A4539" s="5" t="s">
        <v>941</v>
      </c>
      <c r="B4539" s="5" t="s">
        <v>937</v>
      </c>
      <c r="C4539" s="5" t="s">
        <v>44</v>
      </c>
      <c r="D4539" s="21">
        <v>2</v>
      </c>
      <c r="E4539" s="12">
        <v>318</v>
      </c>
      <c r="F4539" s="10" t="str">
        <f>_xlfn.XLOOKUP(C4539,menu!A:A,menu!B:B)</f>
        <v>Fried Chicken</v>
      </c>
      <c r="G4539" s="10" t="str">
        <f>_xlfn.XLOOKUP(C4539,menu!A:A,menu!C:C)</f>
        <v>Starters</v>
      </c>
      <c r="H4539" s="10">
        <f>_xlfn.XLOOKUP(C4539,menu!A:A,menu!E:E)</f>
        <v>48</v>
      </c>
      <c r="I4539" s="10">
        <f t="shared" si="70"/>
        <v>96</v>
      </c>
      <c r="K4539" s="10"/>
      <c r="L4539" s="5"/>
    </row>
    <row r="4540" spans="1:12" x14ac:dyDescent="0.25">
      <c r="A4540" s="5" t="s">
        <v>940</v>
      </c>
      <c r="B4540" s="5" t="s">
        <v>937</v>
      </c>
      <c r="C4540" s="5" t="s">
        <v>54</v>
      </c>
      <c r="D4540" s="21">
        <v>2</v>
      </c>
      <c r="E4540" s="12">
        <v>278</v>
      </c>
      <c r="F4540" s="10" t="str">
        <f>_xlfn.XLOOKUP(C4540,menu!A:A,menu!B:B)</f>
        <v>Chicken Strips</v>
      </c>
      <c r="G4540" s="10" t="str">
        <f>_xlfn.XLOOKUP(C4540,menu!A:A,menu!C:C)</f>
        <v>Starters</v>
      </c>
      <c r="H4540" s="10">
        <f>_xlfn.XLOOKUP(C4540,menu!A:A,menu!E:E)</f>
        <v>42</v>
      </c>
      <c r="I4540" s="10">
        <f t="shared" si="70"/>
        <v>84</v>
      </c>
      <c r="K4540" s="10"/>
      <c r="L4540" s="5"/>
    </row>
    <row r="4541" spans="1:12" x14ac:dyDescent="0.25">
      <c r="A4541" s="5" t="s">
        <v>939</v>
      </c>
      <c r="B4541" s="5" t="s">
        <v>937</v>
      </c>
      <c r="C4541" s="5" t="s">
        <v>31</v>
      </c>
      <c r="D4541" s="21">
        <v>4</v>
      </c>
      <c r="E4541" s="12">
        <v>356</v>
      </c>
      <c r="F4541" s="10" t="str">
        <f>_xlfn.XLOOKUP(C4541,menu!A:A,menu!B:B)</f>
        <v>Chicken Roll</v>
      </c>
      <c r="G4541" s="10" t="str">
        <f>_xlfn.XLOOKUP(C4541,menu!A:A,menu!C:C)</f>
        <v>Rolls</v>
      </c>
      <c r="H4541" s="10">
        <f>_xlfn.XLOOKUP(C4541,menu!A:A,menu!E:E)</f>
        <v>27</v>
      </c>
      <c r="I4541" s="10">
        <f t="shared" si="70"/>
        <v>108</v>
      </c>
      <c r="K4541" s="10"/>
      <c r="L4541" s="5"/>
    </row>
    <row r="4542" spans="1:12" x14ac:dyDescent="0.25">
      <c r="A4542" s="5" t="s">
        <v>938</v>
      </c>
      <c r="B4542" s="5" t="s">
        <v>937</v>
      </c>
      <c r="C4542" s="5" t="s">
        <v>48</v>
      </c>
      <c r="D4542" s="21">
        <v>2</v>
      </c>
      <c r="E4542" s="12">
        <v>318</v>
      </c>
      <c r="F4542" s="10" t="str">
        <f>_xlfn.XLOOKUP(C4542,menu!A:A,menu!B:B)</f>
        <v>Chicken Lollipop</v>
      </c>
      <c r="G4542" s="10" t="str">
        <f>_xlfn.XLOOKUP(C4542,menu!A:A,menu!C:C)</f>
        <v>Starters</v>
      </c>
      <c r="H4542" s="10">
        <f>_xlfn.XLOOKUP(C4542,menu!A:A,menu!E:E)</f>
        <v>48</v>
      </c>
      <c r="I4542" s="10">
        <f t="shared" si="70"/>
        <v>96</v>
      </c>
      <c r="K4542" s="10"/>
      <c r="L4542" s="5"/>
    </row>
    <row r="4543" spans="1:12" x14ac:dyDescent="0.25">
      <c r="A4543" s="5" t="s">
        <v>936</v>
      </c>
      <c r="B4543" s="5" t="s">
        <v>935</v>
      </c>
      <c r="C4543" s="5" t="s">
        <v>50</v>
      </c>
      <c r="D4543" s="21">
        <v>2</v>
      </c>
      <c r="E4543" s="12">
        <v>298</v>
      </c>
      <c r="F4543" s="10" t="str">
        <f>_xlfn.XLOOKUP(C4543,menu!A:A,menu!B:B)</f>
        <v>Grab Lollipop</v>
      </c>
      <c r="G4543" s="10" t="str">
        <f>_xlfn.XLOOKUP(C4543,menu!A:A,menu!C:C)</f>
        <v>Starters</v>
      </c>
      <c r="H4543" s="10">
        <f>_xlfn.XLOOKUP(C4543,menu!A:A,menu!E:E)</f>
        <v>45</v>
      </c>
      <c r="I4543" s="10">
        <f t="shared" si="70"/>
        <v>90</v>
      </c>
      <c r="K4543" s="10"/>
      <c r="L4543" s="5"/>
    </row>
    <row r="4544" spans="1:12" x14ac:dyDescent="0.25">
      <c r="A4544" s="5" t="s">
        <v>934</v>
      </c>
      <c r="B4544" s="5" t="s">
        <v>932</v>
      </c>
      <c r="C4544" s="5" t="s">
        <v>12</v>
      </c>
      <c r="D4544" s="21">
        <v>2</v>
      </c>
      <c r="E4544" s="12">
        <v>158</v>
      </c>
      <c r="F4544" s="10" t="str">
        <f>_xlfn.XLOOKUP(C4544,menu!A:A,menu!B:B)</f>
        <v>Veg Momos</v>
      </c>
      <c r="G4544" s="10" t="str">
        <f>_xlfn.XLOOKUP(C4544,menu!A:A,menu!C:C)</f>
        <v>Momos</v>
      </c>
      <c r="H4544" s="10">
        <f>_xlfn.XLOOKUP(C4544,menu!A:A,menu!E:E)</f>
        <v>24</v>
      </c>
      <c r="I4544" s="10">
        <f t="shared" si="70"/>
        <v>48</v>
      </c>
      <c r="K4544" s="10"/>
      <c r="L4544" s="5"/>
    </row>
    <row r="4545" spans="1:12" x14ac:dyDescent="0.25">
      <c r="A4545" s="5" t="s">
        <v>933</v>
      </c>
      <c r="B4545" s="5" t="s">
        <v>932</v>
      </c>
      <c r="C4545" s="5" t="s">
        <v>54</v>
      </c>
      <c r="D4545" s="21">
        <v>1</v>
      </c>
      <c r="E4545" s="12">
        <v>139</v>
      </c>
      <c r="F4545" s="10" t="str">
        <f>_xlfn.XLOOKUP(C4545,menu!A:A,menu!B:B)</f>
        <v>Chicken Strips</v>
      </c>
      <c r="G4545" s="10" t="str">
        <f>_xlfn.XLOOKUP(C4545,menu!A:A,menu!C:C)</f>
        <v>Starters</v>
      </c>
      <c r="H4545" s="10">
        <f>_xlfn.XLOOKUP(C4545,menu!A:A,menu!E:E)</f>
        <v>42</v>
      </c>
      <c r="I4545" s="10">
        <f t="shared" si="70"/>
        <v>42</v>
      </c>
      <c r="K4545" s="10"/>
      <c r="L4545" s="5"/>
    </row>
    <row r="4546" spans="1:12" x14ac:dyDescent="0.25">
      <c r="A4546" s="5" t="s">
        <v>931</v>
      </c>
      <c r="B4546" s="5" t="s">
        <v>930</v>
      </c>
      <c r="C4546" s="5" t="s">
        <v>46</v>
      </c>
      <c r="D4546" s="21">
        <v>2</v>
      </c>
      <c r="E4546" s="12">
        <v>298</v>
      </c>
      <c r="F4546" s="10" t="str">
        <f>_xlfn.XLOOKUP(C4546,menu!A:A,menu!B:B)</f>
        <v>Fish Finger</v>
      </c>
      <c r="G4546" s="10" t="str">
        <f>_xlfn.XLOOKUP(C4546,menu!A:A,menu!C:C)</f>
        <v>Starters</v>
      </c>
      <c r="H4546" s="10">
        <f>_xlfn.XLOOKUP(C4546,menu!A:A,menu!E:E)</f>
        <v>45</v>
      </c>
      <c r="I4546" s="10">
        <f t="shared" si="70"/>
        <v>90</v>
      </c>
      <c r="K4546" s="10"/>
      <c r="L4546" s="5"/>
    </row>
    <row r="4547" spans="1:12" x14ac:dyDescent="0.25">
      <c r="A4547" s="5" t="s">
        <v>929</v>
      </c>
      <c r="B4547" s="5" t="s">
        <v>927</v>
      </c>
      <c r="C4547" s="5" t="s">
        <v>12</v>
      </c>
      <c r="D4547" s="21">
        <v>2</v>
      </c>
      <c r="E4547" s="12">
        <v>158</v>
      </c>
      <c r="F4547" s="10" t="str">
        <f>_xlfn.XLOOKUP(C4547,menu!A:A,menu!B:B)</f>
        <v>Veg Momos</v>
      </c>
      <c r="G4547" s="10" t="str">
        <f>_xlfn.XLOOKUP(C4547,menu!A:A,menu!C:C)</f>
        <v>Momos</v>
      </c>
      <c r="H4547" s="10">
        <f>_xlfn.XLOOKUP(C4547,menu!A:A,menu!E:E)</f>
        <v>24</v>
      </c>
      <c r="I4547" s="10">
        <f t="shared" ref="I4547:I4586" si="71">D4547*H4547</f>
        <v>48</v>
      </c>
      <c r="K4547" s="10"/>
      <c r="L4547" s="5"/>
    </row>
    <row r="4548" spans="1:12" x14ac:dyDescent="0.25">
      <c r="A4548" s="5" t="s">
        <v>928</v>
      </c>
      <c r="B4548" s="5" t="s">
        <v>927</v>
      </c>
      <c r="C4548" s="5" t="s">
        <v>50</v>
      </c>
      <c r="D4548" s="21">
        <v>2</v>
      </c>
      <c r="E4548" s="12">
        <v>298</v>
      </c>
      <c r="F4548" s="10" t="str">
        <f>_xlfn.XLOOKUP(C4548,menu!A:A,menu!B:B)</f>
        <v>Grab Lollipop</v>
      </c>
      <c r="G4548" s="10" t="str">
        <f>_xlfn.XLOOKUP(C4548,menu!A:A,menu!C:C)</f>
        <v>Starters</v>
      </c>
      <c r="H4548" s="10">
        <f>_xlfn.XLOOKUP(C4548,menu!A:A,menu!E:E)</f>
        <v>45</v>
      </c>
      <c r="I4548" s="10">
        <f t="shared" si="71"/>
        <v>90</v>
      </c>
      <c r="K4548" s="10"/>
      <c r="L4548" s="5"/>
    </row>
    <row r="4549" spans="1:12" x14ac:dyDescent="0.25">
      <c r="A4549" s="5" t="s">
        <v>926</v>
      </c>
      <c r="B4549" s="5" t="s">
        <v>925</v>
      </c>
      <c r="C4549" s="5" t="s">
        <v>44</v>
      </c>
      <c r="D4549" s="21">
        <v>5</v>
      </c>
      <c r="E4549" s="12">
        <v>795</v>
      </c>
      <c r="F4549" s="10" t="str">
        <f>_xlfn.XLOOKUP(C4549,menu!A:A,menu!B:B)</f>
        <v>Fried Chicken</v>
      </c>
      <c r="G4549" s="10" t="str">
        <f>_xlfn.XLOOKUP(C4549,menu!A:A,menu!C:C)</f>
        <v>Starters</v>
      </c>
      <c r="H4549" s="10">
        <f>_xlfn.XLOOKUP(C4549,menu!A:A,menu!E:E)</f>
        <v>48</v>
      </c>
      <c r="I4549" s="10">
        <f t="shared" si="71"/>
        <v>240</v>
      </c>
      <c r="K4549" s="10"/>
      <c r="L4549" s="5"/>
    </row>
    <row r="4550" spans="1:12" x14ac:dyDescent="0.25">
      <c r="A4550" s="5" t="s">
        <v>924</v>
      </c>
      <c r="B4550" s="5" t="s">
        <v>922</v>
      </c>
      <c r="C4550" s="5" t="s">
        <v>63</v>
      </c>
      <c r="D4550" s="21">
        <v>1</v>
      </c>
      <c r="E4550" s="12">
        <v>79</v>
      </c>
      <c r="F4550" s="10" t="str">
        <f>_xlfn.XLOOKUP(C4550,menu!A:A,menu!B:B)</f>
        <v>Virgin Mojito</v>
      </c>
      <c r="G4550" s="10" t="str">
        <f>_xlfn.XLOOKUP(C4550,menu!A:A,menu!C:C)</f>
        <v>Beverages</v>
      </c>
      <c r="H4550" s="10">
        <f>_xlfn.XLOOKUP(C4550,menu!A:A,menu!E:E)</f>
        <v>24</v>
      </c>
      <c r="I4550" s="10">
        <f t="shared" si="71"/>
        <v>24</v>
      </c>
      <c r="K4550" s="10"/>
      <c r="L4550" s="5"/>
    </row>
    <row r="4551" spans="1:12" x14ac:dyDescent="0.25">
      <c r="A4551" s="5" t="s">
        <v>923</v>
      </c>
      <c r="B4551" s="5" t="s">
        <v>922</v>
      </c>
      <c r="C4551" s="5" t="s">
        <v>44</v>
      </c>
      <c r="D4551" s="21">
        <v>3</v>
      </c>
      <c r="E4551" s="12">
        <v>477</v>
      </c>
      <c r="F4551" s="10" t="str">
        <f>_xlfn.XLOOKUP(C4551,menu!A:A,menu!B:B)</f>
        <v>Fried Chicken</v>
      </c>
      <c r="G4551" s="10" t="str">
        <f>_xlfn.XLOOKUP(C4551,menu!A:A,menu!C:C)</f>
        <v>Starters</v>
      </c>
      <c r="H4551" s="10">
        <f>_xlfn.XLOOKUP(C4551,menu!A:A,menu!E:E)</f>
        <v>48</v>
      </c>
      <c r="I4551" s="10">
        <f t="shared" si="71"/>
        <v>144</v>
      </c>
      <c r="K4551" s="10"/>
      <c r="L4551" s="5"/>
    </row>
    <row r="4552" spans="1:12" x14ac:dyDescent="0.25">
      <c r="A4552" s="5" t="s">
        <v>921</v>
      </c>
      <c r="B4552" s="5" t="s">
        <v>919</v>
      </c>
      <c r="C4552" s="5" t="s">
        <v>19</v>
      </c>
      <c r="D4552" s="21">
        <v>2</v>
      </c>
      <c r="E4552" s="12">
        <v>158</v>
      </c>
      <c r="F4552" s="10" t="str">
        <f>_xlfn.XLOOKUP(C4552,menu!A:A,menu!B:B)</f>
        <v>Veg Burger</v>
      </c>
      <c r="G4552" s="10" t="str">
        <f>_xlfn.XLOOKUP(C4552,menu!A:A,menu!C:C)</f>
        <v>Burger</v>
      </c>
      <c r="H4552" s="10">
        <f>_xlfn.XLOOKUP(C4552,menu!A:A,menu!E:E)</f>
        <v>24</v>
      </c>
      <c r="I4552" s="10">
        <f t="shared" si="71"/>
        <v>48</v>
      </c>
      <c r="K4552" s="10"/>
      <c r="L4552" s="5"/>
    </row>
    <row r="4553" spans="1:12" x14ac:dyDescent="0.25">
      <c r="A4553" s="5" t="s">
        <v>920</v>
      </c>
      <c r="B4553" s="5" t="s">
        <v>919</v>
      </c>
      <c r="C4553" s="5" t="s">
        <v>61</v>
      </c>
      <c r="D4553" s="21">
        <v>1</v>
      </c>
      <c r="E4553" s="12">
        <v>79</v>
      </c>
      <c r="F4553" s="10" t="str">
        <f>_xlfn.XLOOKUP(C4553,menu!A:A,menu!B:B)</f>
        <v>Watermelon Mojito</v>
      </c>
      <c r="G4553" s="10" t="str">
        <f>_xlfn.XLOOKUP(C4553,menu!A:A,menu!C:C)</f>
        <v>Beverages</v>
      </c>
      <c r="H4553" s="10">
        <f>_xlfn.XLOOKUP(C4553,menu!A:A,menu!E:E)</f>
        <v>24</v>
      </c>
      <c r="I4553" s="10">
        <f t="shared" si="71"/>
        <v>24</v>
      </c>
      <c r="K4553" s="10"/>
      <c r="L4553" s="5"/>
    </row>
    <row r="4554" spans="1:12" x14ac:dyDescent="0.25">
      <c r="A4554" s="5" t="s">
        <v>918</v>
      </c>
      <c r="B4554" s="5" t="s">
        <v>916</v>
      </c>
      <c r="C4554" s="5" t="s">
        <v>31</v>
      </c>
      <c r="D4554" s="21">
        <v>1</v>
      </c>
      <c r="E4554" s="12">
        <v>89</v>
      </c>
      <c r="F4554" s="10" t="str">
        <f>_xlfn.XLOOKUP(C4554,menu!A:A,menu!B:B)</f>
        <v>Chicken Roll</v>
      </c>
      <c r="G4554" s="10" t="str">
        <f>_xlfn.XLOOKUP(C4554,menu!A:A,menu!C:C)</f>
        <v>Rolls</v>
      </c>
      <c r="H4554" s="10">
        <f>_xlfn.XLOOKUP(C4554,menu!A:A,menu!E:E)</f>
        <v>27</v>
      </c>
      <c r="I4554" s="10">
        <f t="shared" si="71"/>
        <v>27</v>
      </c>
      <c r="K4554" s="10"/>
      <c r="L4554" s="5"/>
    </row>
    <row r="4555" spans="1:12" x14ac:dyDescent="0.25">
      <c r="A4555" s="5" t="s">
        <v>917</v>
      </c>
      <c r="B4555" s="5" t="s">
        <v>916</v>
      </c>
      <c r="C4555" s="5" t="s">
        <v>24</v>
      </c>
      <c r="D4555" s="21">
        <v>1</v>
      </c>
      <c r="E4555" s="12">
        <v>89</v>
      </c>
      <c r="F4555" s="10" t="str">
        <f>_xlfn.XLOOKUP(C4555,menu!A:A,menu!B:B)</f>
        <v>Paneer Burger</v>
      </c>
      <c r="G4555" s="10" t="str">
        <f>_xlfn.XLOOKUP(C4555,menu!A:A,menu!C:C)</f>
        <v>Burger</v>
      </c>
      <c r="H4555" s="10">
        <f>_xlfn.XLOOKUP(C4555,menu!A:A,menu!E:E)</f>
        <v>27</v>
      </c>
      <c r="I4555" s="10">
        <f t="shared" si="71"/>
        <v>27</v>
      </c>
      <c r="K4555" s="10"/>
      <c r="L4555" s="5"/>
    </row>
    <row r="4556" spans="1:12" x14ac:dyDescent="0.25">
      <c r="A4556" s="5" t="s">
        <v>915</v>
      </c>
      <c r="B4556" s="5" t="s">
        <v>913</v>
      </c>
      <c r="C4556" s="5" t="s">
        <v>10</v>
      </c>
      <c r="D4556" s="21">
        <v>1</v>
      </c>
      <c r="E4556" s="12">
        <v>119</v>
      </c>
      <c r="F4556" s="10" t="str">
        <f>_xlfn.XLOOKUP(C4556,menu!A:A,menu!B:B)</f>
        <v>Chicken Sandwich</v>
      </c>
      <c r="G4556" s="10" t="str">
        <f>_xlfn.XLOOKUP(C4556,menu!A:A,menu!C:C)</f>
        <v>Sandwich</v>
      </c>
      <c r="H4556" s="10">
        <f>_xlfn.XLOOKUP(C4556,menu!A:A,menu!E:E)</f>
        <v>36</v>
      </c>
      <c r="I4556" s="10">
        <f t="shared" si="71"/>
        <v>36</v>
      </c>
      <c r="K4556" s="10"/>
      <c r="L4556" s="5"/>
    </row>
    <row r="4557" spans="1:12" x14ac:dyDescent="0.25">
      <c r="A4557" s="5" t="s">
        <v>914</v>
      </c>
      <c r="B4557" s="5" t="s">
        <v>913</v>
      </c>
      <c r="C4557" s="5" t="s">
        <v>22</v>
      </c>
      <c r="D4557" s="21">
        <v>2</v>
      </c>
      <c r="E4557" s="12">
        <v>198</v>
      </c>
      <c r="F4557" s="10" t="str">
        <f>_xlfn.XLOOKUP(C4557,menu!A:A,menu!B:B)</f>
        <v>Chicken Burger</v>
      </c>
      <c r="G4557" s="10" t="str">
        <f>_xlfn.XLOOKUP(C4557,menu!A:A,menu!C:C)</f>
        <v>Burger</v>
      </c>
      <c r="H4557" s="10">
        <f>_xlfn.XLOOKUP(C4557,menu!A:A,menu!E:E)</f>
        <v>30</v>
      </c>
      <c r="I4557" s="10">
        <f t="shared" si="71"/>
        <v>60</v>
      </c>
      <c r="K4557" s="10"/>
      <c r="L4557" s="5"/>
    </row>
    <row r="4558" spans="1:12" x14ac:dyDescent="0.25">
      <c r="A4558" s="5" t="s">
        <v>912</v>
      </c>
      <c r="B4558" s="5" t="s">
        <v>909</v>
      </c>
      <c r="C4558" s="5" t="s">
        <v>50</v>
      </c>
      <c r="D4558" s="21">
        <v>1</v>
      </c>
      <c r="E4558" s="12">
        <v>149</v>
      </c>
      <c r="F4558" s="10" t="str">
        <f>_xlfn.XLOOKUP(C4558,menu!A:A,menu!B:B)</f>
        <v>Grab Lollipop</v>
      </c>
      <c r="G4558" s="10" t="str">
        <f>_xlfn.XLOOKUP(C4558,menu!A:A,menu!C:C)</f>
        <v>Starters</v>
      </c>
      <c r="H4558" s="10">
        <f>_xlfn.XLOOKUP(C4558,menu!A:A,menu!E:E)</f>
        <v>45</v>
      </c>
      <c r="I4558" s="10">
        <f t="shared" si="71"/>
        <v>45</v>
      </c>
      <c r="K4558" s="10"/>
      <c r="L4558" s="5"/>
    </row>
    <row r="4559" spans="1:12" x14ac:dyDescent="0.25">
      <c r="A4559" s="5" t="s">
        <v>911</v>
      </c>
      <c r="B4559" s="5" t="s">
        <v>909</v>
      </c>
      <c r="C4559" s="5" t="s">
        <v>35</v>
      </c>
      <c r="D4559" s="21">
        <v>2</v>
      </c>
      <c r="E4559" s="12">
        <v>238</v>
      </c>
      <c r="F4559" s="10" t="str">
        <f>_xlfn.XLOOKUP(C4559,menu!A:A,menu!B:B)</f>
        <v>Chicken Nuggets</v>
      </c>
      <c r="G4559" s="10" t="str">
        <f>_xlfn.XLOOKUP(C4559,menu!A:A,menu!C:C)</f>
        <v>Starters</v>
      </c>
      <c r="H4559" s="10">
        <f>_xlfn.XLOOKUP(C4559,menu!A:A,menu!E:E)</f>
        <v>36</v>
      </c>
      <c r="I4559" s="10">
        <f t="shared" si="71"/>
        <v>72</v>
      </c>
      <c r="K4559" s="10"/>
      <c r="L4559" s="5"/>
    </row>
    <row r="4560" spans="1:12" x14ac:dyDescent="0.25">
      <c r="A4560" s="5" t="s">
        <v>910</v>
      </c>
      <c r="B4560" s="5" t="s">
        <v>909</v>
      </c>
      <c r="C4560" s="5" t="s">
        <v>61</v>
      </c>
      <c r="D4560" s="21">
        <v>2</v>
      </c>
      <c r="E4560" s="12">
        <v>158</v>
      </c>
      <c r="F4560" s="10" t="str">
        <f>_xlfn.XLOOKUP(C4560,menu!A:A,menu!B:B)</f>
        <v>Watermelon Mojito</v>
      </c>
      <c r="G4560" s="10" t="str">
        <f>_xlfn.XLOOKUP(C4560,menu!A:A,menu!C:C)</f>
        <v>Beverages</v>
      </c>
      <c r="H4560" s="10">
        <f>_xlfn.XLOOKUP(C4560,menu!A:A,menu!E:E)</f>
        <v>24</v>
      </c>
      <c r="I4560" s="10">
        <f t="shared" si="71"/>
        <v>48</v>
      </c>
      <c r="K4560" s="10"/>
      <c r="L4560" s="5"/>
    </row>
    <row r="4561" spans="1:12" x14ac:dyDescent="0.25">
      <c r="A4561" s="5" t="s">
        <v>908</v>
      </c>
      <c r="B4561" s="5" t="s">
        <v>907</v>
      </c>
      <c r="C4561" s="5" t="s">
        <v>48</v>
      </c>
      <c r="D4561" s="21">
        <v>1</v>
      </c>
      <c r="E4561" s="12">
        <v>159</v>
      </c>
      <c r="F4561" s="10" t="str">
        <f>_xlfn.XLOOKUP(C4561,menu!A:A,menu!B:B)</f>
        <v>Chicken Lollipop</v>
      </c>
      <c r="G4561" s="10" t="str">
        <f>_xlfn.XLOOKUP(C4561,menu!A:A,menu!C:C)</f>
        <v>Starters</v>
      </c>
      <c r="H4561" s="10">
        <f>_xlfn.XLOOKUP(C4561,menu!A:A,menu!E:E)</f>
        <v>48</v>
      </c>
      <c r="I4561" s="10">
        <f t="shared" si="71"/>
        <v>48</v>
      </c>
      <c r="K4561" s="10"/>
      <c r="L4561" s="5"/>
    </row>
    <row r="4562" spans="1:12" x14ac:dyDescent="0.25">
      <c r="A4562" s="5" t="s">
        <v>906</v>
      </c>
      <c r="B4562" s="5" t="s">
        <v>902</v>
      </c>
      <c r="C4562" s="5" t="s">
        <v>19</v>
      </c>
      <c r="D4562" s="21">
        <v>2</v>
      </c>
      <c r="E4562" s="12">
        <v>158</v>
      </c>
      <c r="F4562" s="10" t="str">
        <f>_xlfn.XLOOKUP(C4562,menu!A:A,menu!B:B)</f>
        <v>Veg Burger</v>
      </c>
      <c r="G4562" s="10" t="str">
        <f>_xlfn.XLOOKUP(C4562,menu!A:A,menu!C:C)</f>
        <v>Burger</v>
      </c>
      <c r="H4562" s="10">
        <f>_xlfn.XLOOKUP(C4562,menu!A:A,menu!E:E)</f>
        <v>24</v>
      </c>
      <c r="I4562" s="10">
        <f t="shared" si="71"/>
        <v>48</v>
      </c>
      <c r="K4562" s="10"/>
      <c r="L4562" s="5"/>
    </row>
    <row r="4563" spans="1:12" x14ac:dyDescent="0.25">
      <c r="A4563" s="5" t="s">
        <v>905</v>
      </c>
      <c r="B4563" s="5" t="s">
        <v>902</v>
      </c>
      <c r="C4563" s="5" t="s">
        <v>46</v>
      </c>
      <c r="D4563" s="21">
        <v>2</v>
      </c>
      <c r="E4563" s="12">
        <v>298</v>
      </c>
      <c r="F4563" s="10" t="str">
        <f>_xlfn.XLOOKUP(C4563,menu!A:A,menu!B:B)</f>
        <v>Fish Finger</v>
      </c>
      <c r="G4563" s="10" t="str">
        <f>_xlfn.XLOOKUP(C4563,menu!A:A,menu!C:C)</f>
        <v>Starters</v>
      </c>
      <c r="H4563" s="10">
        <f>_xlfn.XLOOKUP(C4563,menu!A:A,menu!E:E)</f>
        <v>45</v>
      </c>
      <c r="I4563" s="10">
        <f t="shared" si="71"/>
        <v>90</v>
      </c>
      <c r="K4563" s="10"/>
      <c r="L4563" s="5"/>
    </row>
    <row r="4564" spans="1:12" x14ac:dyDescent="0.25">
      <c r="A4564" s="5" t="s">
        <v>904</v>
      </c>
      <c r="B4564" s="5" t="s">
        <v>902</v>
      </c>
      <c r="C4564" s="5" t="s">
        <v>33</v>
      </c>
      <c r="D4564" s="21">
        <v>3</v>
      </c>
      <c r="E4564" s="12">
        <v>207</v>
      </c>
      <c r="F4564" s="10" t="str">
        <f>_xlfn.XLOOKUP(C4564,menu!A:A,menu!B:B)</f>
        <v>Spring Roll</v>
      </c>
      <c r="G4564" s="10" t="str">
        <f>_xlfn.XLOOKUP(C4564,menu!A:A,menu!C:C)</f>
        <v>Rolls</v>
      </c>
      <c r="H4564" s="10">
        <f>_xlfn.XLOOKUP(C4564,menu!A:A,menu!E:E)</f>
        <v>21</v>
      </c>
      <c r="I4564" s="10">
        <f t="shared" si="71"/>
        <v>63</v>
      </c>
      <c r="K4564" s="10"/>
      <c r="L4564" s="5"/>
    </row>
    <row r="4565" spans="1:12" x14ac:dyDescent="0.25">
      <c r="A4565" s="5" t="s">
        <v>903</v>
      </c>
      <c r="B4565" s="5" t="s">
        <v>902</v>
      </c>
      <c r="C4565" s="5" t="s">
        <v>24</v>
      </c>
      <c r="D4565" s="21">
        <v>5</v>
      </c>
      <c r="E4565" s="12">
        <v>445</v>
      </c>
      <c r="F4565" s="10" t="str">
        <f>_xlfn.XLOOKUP(C4565,menu!A:A,menu!B:B)</f>
        <v>Paneer Burger</v>
      </c>
      <c r="G4565" s="10" t="str">
        <f>_xlfn.XLOOKUP(C4565,menu!A:A,menu!C:C)</f>
        <v>Burger</v>
      </c>
      <c r="H4565" s="10">
        <f>_xlfn.XLOOKUP(C4565,menu!A:A,menu!E:E)</f>
        <v>27</v>
      </c>
      <c r="I4565" s="10">
        <f t="shared" si="71"/>
        <v>135</v>
      </c>
      <c r="K4565" s="10"/>
      <c r="L4565" s="5"/>
    </row>
    <row r="4566" spans="1:12" x14ac:dyDescent="0.25">
      <c r="A4566" s="5" t="s">
        <v>901</v>
      </c>
      <c r="B4566" s="5" t="s">
        <v>898</v>
      </c>
      <c r="C4566" s="5" t="s">
        <v>29</v>
      </c>
      <c r="D4566" s="21">
        <v>3</v>
      </c>
      <c r="E4566" s="12">
        <v>237</v>
      </c>
      <c r="F4566" s="10" t="str">
        <f>_xlfn.XLOOKUP(C4566,menu!A:A,menu!B:B)</f>
        <v>Paneer Roll</v>
      </c>
      <c r="G4566" s="10" t="str">
        <f>_xlfn.XLOOKUP(C4566,menu!A:A,menu!C:C)</f>
        <v>Rolls</v>
      </c>
      <c r="H4566" s="10">
        <f>_xlfn.XLOOKUP(C4566,menu!A:A,menu!E:E)</f>
        <v>24</v>
      </c>
      <c r="I4566" s="10">
        <f t="shared" si="71"/>
        <v>72</v>
      </c>
      <c r="K4566" s="10"/>
      <c r="L4566" s="5"/>
    </row>
    <row r="4567" spans="1:12" x14ac:dyDescent="0.25">
      <c r="A4567" s="5" t="s">
        <v>900</v>
      </c>
      <c r="B4567" s="5" t="s">
        <v>898</v>
      </c>
      <c r="C4567" s="5" t="s">
        <v>56</v>
      </c>
      <c r="D4567" s="21">
        <v>1</v>
      </c>
      <c r="E4567" s="12">
        <v>79</v>
      </c>
      <c r="F4567" s="10" t="str">
        <f>_xlfn.XLOOKUP(C4567,menu!A:A,menu!B:B)</f>
        <v>Mint Mojito</v>
      </c>
      <c r="G4567" s="10" t="str">
        <f>_xlfn.XLOOKUP(C4567,menu!A:A,menu!C:C)</f>
        <v>Beverages</v>
      </c>
      <c r="H4567" s="10">
        <f>_xlfn.XLOOKUP(C4567,menu!A:A,menu!E:E)</f>
        <v>24</v>
      </c>
      <c r="I4567" s="10">
        <f t="shared" si="71"/>
        <v>24</v>
      </c>
      <c r="K4567" s="10"/>
      <c r="L4567" s="5"/>
    </row>
    <row r="4568" spans="1:12" x14ac:dyDescent="0.25">
      <c r="A4568" s="5" t="s">
        <v>899</v>
      </c>
      <c r="B4568" s="5" t="s">
        <v>898</v>
      </c>
      <c r="C4568" s="5" t="s">
        <v>59</v>
      </c>
      <c r="D4568" s="21">
        <v>2</v>
      </c>
      <c r="E4568" s="12">
        <v>158</v>
      </c>
      <c r="F4568" s="10" t="str">
        <f>_xlfn.XLOOKUP(C4568,menu!A:A,menu!B:B)</f>
        <v>Blue Curacao Mojito</v>
      </c>
      <c r="G4568" s="10" t="str">
        <f>_xlfn.XLOOKUP(C4568,menu!A:A,menu!C:C)</f>
        <v>Beverages</v>
      </c>
      <c r="H4568" s="10">
        <f>_xlfn.XLOOKUP(C4568,menu!A:A,menu!E:E)</f>
        <v>24</v>
      </c>
      <c r="I4568" s="10">
        <f t="shared" si="71"/>
        <v>48</v>
      </c>
      <c r="K4568" s="10"/>
      <c r="L4568" s="5"/>
    </row>
    <row r="4569" spans="1:12" x14ac:dyDescent="0.25">
      <c r="A4569" s="5" t="s">
        <v>897</v>
      </c>
      <c r="B4569" s="5" t="s">
        <v>895</v>
      </c>
      <c r="C4569" s="5" t="s">
        <v>19</v>
      </c>
      <c r="D4569" s="21">
        <v>5</v>
      </c>
      <c r="E4569" s="12">
        <v>395</v>
      </c>
      <c r="F4569" s="10" t="str">
        <f>_xlfn.XLOOKUP(C4569,menu!A:A,menu!B:B)</f>
        <v>Veg Burger</v>
      </c>
      <c r="G4569" s="10" t="str">
        <f>_xlfn.XLOOKUP(C4569,menu!A:A,menu!C:C)</f>
        <v>Burger</v>
      </c>
      <c r="H4569" s="10">
        <f>_xlfn.XLOOKUP(C4569,menu!A:A,menu!E:E)</f>
        <v>24</v>
      </c>
      <c r="I4569" s="10">
        <f t="shared" si="71"/>
        <v>120</v>
      </c>
      <c r="K4569" s="10"/>
      <c r="L4569" s="5"/>
    </row>
    <row r="4570" spans="1:12" x14ac:dyDescent="0.25">
      <c r="A4570" s="5" t="s">
        <v>896</v>
      </c>
      <c r="B4570" s="5" t="s">
        <v>895</v>
      </c>
      <c r="C4570" s="5" t="s">
        <v>52</v>
      </c>
      <c r="D4570" s="21">
        <v>1</v>
      </c>
      <c r="E4570" s="12">
        <v>99</v>
      </c>
      <c r="F4570" s="10" t="str">
        <f>_xlfn.XLOOKUP(C4570,menu!A:A,menu!B:B)</f>
        <v>French Fries</v>
      </c>
      <c r="G4570" s="10" t="str">
        <f>_xlfn.XLOOKUP(C4570,menu!A:A,menu!C:C)</f>
        <v>Starters</v>
      </c>
      <c r="H4570" s="10">
        <f>_xlfn.XLOOKUP(C4570,menu!A:A,menu!E:E)</f>
        <v>30</v>
      </c>
      <c r="I4570" s="10">
        <f t="shared" si="71"/>
        <v>30</v>
      </c>
      <c r="K4570" s="10"/>
      <c r="L4570" s="5"/>
    </row>
    <row r="4571" spans="1:12" x14ac:dyDescent="0.25">
      <c r="A4571" s="5" t="s">
        <v>894</v>
      </c>
      <c r="B4571" s="5" t="s">
        <v>892</v>
      </c>
      <c r="C4571" s="5" t="s">
        <v>52</v>
      </c>
      <c r="D4571" s="21">
        <v>1</v>
      </c>
      <c r="E4571" s="12">
        <v>99</v>
      </c>
      <c r="F4571" s="10" t="str">
        <f>_xlfn.XLOOKUP(C4571,menu!A:A,menu!B:B)</f>
        <v>French Fries</v>
      </c>
      <c r="G4571" s="10" t="str">
        <f>_xlfn.XLOOKUP(C4571,menu!A:A,menu!C:C)</f>
        <v>Starters</v>
      </c>
      <c r="H4571" s="10">
        <f>_xlfn.XLOOKUP(C4571,menu!A:A,menu!E:E)</f>
        <v>30</v>
      </c>
      <c r="I4571" s="10">
        <f t="shared" si="71"/>
        <v>30</v>
      </c>
      <c r="K4571" s="10"/>
      <c r="L4571" s="5"/>
    </row>
    <row r="4572" spans="1:12" x14ac:dyDescent="0.25">
      <c r="A4572" s="5" t="s">
        <v>893</v>
      </c>
      <c r="B4572" s="5" t="s">
        <v>892</v>
      </c>
      <c r="C4572" s="5" t="s">
        <v>54</v>
      </c>
      <c r="D4572" s="21">
        <v>1</v>
      </c>
      <c r="E4572" s="12">
        <v>139</v>
      </c>
      <c r="F4572" s="10" t="str">
        <f>_xlfn.XLOOKUP(C4572,menu!A:A,menu!B:B)</f>
        <v>Chicken Strips</v>
      </c>
      <c r="G4572" s="10" t="str">
        <f>_xlfn.XLOOKUP(C4572,menu!A:A,menu!C:C)</f>
        <v>Starters</v>
      </c>
      <c r="H4572" s="10">
        <f>_xlfn.XLOOKUP(C4572,menu!A:A,menu!E:E)</f>
        <v>42</v>
      </c>
      <c r="I4572" s="10">
        <f t="shared" si="71"/>
        <v>42</v>
      </c>
      <c r="K4572" s="10"/>
      <c r="L4572" s="5"/>
    </row>
    <row r="4573" spans="1:12" x14ac:dyDescent="0.25">
      <c r="A4573" s="5" t="s">
        <v>891</v>
      </c>
      <c r="B4573" s="5" t="s">
        <v>889</v>
      </c>
      <c r="C4573" s="5" t="s">
        <v>10</v>
      </c>
      <c r="D4573" s="21">
        <v>1</v>
      </c>
      <c r="E4573" s="12">
        <v>119</v>
      </c>
      <c r="F4573" s="10" t="str">
        <f>_xlfn.XLOOKUP(C4573,menu!A:A,menu!B:B)</f>
        <v>Chicken Sandwich</v>
      </c>
      <c r="G4573" s="10" t="str">
        <f>_xlfn.XLOOKUP(C4573,menu!A:A,menu!C:C)</f>
        <v>Sandwich</v>
      </c>
      <c r="H4573" s="10">
        <f>_xlfn.XLOOKUP(C4573,menu!A:A,menu!E:E)</f>
        <v>36</v>
      </c>
      <c r="I4573" s="10">
        <f t="shared" si="71"/>
        <v>36</v>
      </c>
      <c r="K4573" s="10"/>
      <c r="L4573" s="5"/>
    </row>
    <row r="4574" spans="1:12" x14ac:dyDescent="0.25">
      <c r="A4574" s="5" t="s">
        <v>890</v>
      </c>
      <c r="B4574" s="5" t="s">
        <v>889</v>
      </c>
      <c r="C4574" s="5" t="s">
        <v>59</v>
      </c>
      <c r="D4574" s="21">
        <v>2</v>
      </c>
      <c r="E4574" s="12">
        <v>158</v>
      </c>
      <c r="F4574" s="10" t="str">
        <f>_xlfn.XLOOKUP(C4574,menu!A:A,menu!B:B)</f>
        <v>Blue Curacao Mojito</v>
      </c>
      <c r="G4574" s="10" t="str">
        <f>_xlfn.XLOOKUP(C4574,menu!A:A,menu!C:C)</f>
        <v>Beverages</v>
      </c>
      <c r="H4574" s="10">
        <f>_xlfn.XLOOKUP(C4574,menu!A:A,menu!E:E)</f>
        <v>24</v>
      </c>
      <c r="I4574" s="10">
        <f t="shared" si="71"/>
        <v>48</v>
      </c>
      <c r="K4574" s="10"/>
      <c r="L4574" s="5"/>
    </row>
    <row r="4575" spans="1:12" x14ac:dyDescent="0.25">
      <c r="A4575" s="5" t="s">
        <v>888</v>
      </c>
      <c r="B4575" s="5" t="s">
        <v>886</v>
      </c>
      <c r="C4575" s="5" t="s">
        <v>40</v>
      </c>
      <c r="D4575" s="21">
        <v>3</v>
      </c>
      <c r="E4575" s="12">
        <v>297</v>
      </c>
      <c r="F4575" s="10" t="str">
        <f>_xlfn.XLOOKUP(C4575,menu!A:A,menu!B:B)</f>
        <v>Veg Nuggets</v>
      </c>
      <c r="G4575" s="10" t="str">
        <f>_xlfn.XLOOKUP(C4575,menu!A:A,menu!C:C)</f>
        <v>Starters</v>
      </c>
      <c r="H4575" s="10">
        <f>_xlfn.XLOOKUP(C4575,menu!A:A,menu!E:E)</f>
        <v>30</v>
      </c>
      <c r="I4575" s="10">
        <f t="shared" si="71"/>
        <v>90</v>
      </c>
      <c r="K4575" s="10"/>
      <c r="L4575" s="5"/>
    </row>
    <row r="4576" spans="1:12" x14ac:dyDescent="0.25">
      <c r="A4576" s="5" t="s">
        <v>887</v>
      </c>
      <c r="B4576" s="5" t="s">
        <v>886</v>
      </c>
      <c r="C4576" s="5" t="s">
        <v>12</v>
      </c>
      <c r="D4576" s="21">
        <v>3</v>
      </c>
      <c r="E4576" s="12">
        <v>237</v>
      </c>
      <c r="F4576" s="10" t="str">
        <f>_xlfn.XLOOKUP(C4576,menu!A:A,menu!B:B)</f>
        <v>Veg Momos</v>
      </c>
      <c r="G4576" s="10" t="str">
        <f>_xlfn.XLOOKUP(C4576,menu!A:A,menu!C:C)</f>
        <v>Momos</v>
      </c>
      <c r="H4576" s="10">
        <f>_xlfn.XLOOKUP(C4576,menu!A:A,menu!E:E)</f>
        <v>24</v>
      </c>
      <c r="I4576" s="10">
        <f t="shared" si="71"/>
        <v>72</v>
      </c>
      <c r="K4576" s="10"/>
      <c r="L4576" s="5"/>
    </row>
    <row r="4577" spans="1:12" x14ac:dyDescent="0.25">
      <c r="A4577" s="5" t="s">
        <v>885</v>
      </c>
      <c r="B4577" s="5" t="s">
        <v>882</v>
      </c>
      <c r="C4577" s="5" t="s">
        <v>17</v>
      </c>
      <c r="D4577" s="21">
        <v>1</v>
      </c>
      <c r="E4577" s="12">
        <v>89</v>
      </c>
      <c r="F4577" s="10" t="str">
        <f>_xlfn.XLOOKUP(C4577,menu!A:A,menu!B:B)</f>
        <v>Paneer Momos</v>
      </c>
      <c r="G4577" s="10" t="str">
        <f>_xlfn.XLOOKUP(C4577,menu!A:A,menu!C:C)</f>
        <v>Momos</v>
      </c>
      <c r="H4577" s="10">
        <f>_xlfn.XLOOKUP(C4577,menu!A:A,menu!E:E)</f>
        <v>27</v>
      </c>
      <c r="I4577" s="10">
        <f t="shared" si="71"/>
        <v>27</v>
      </c>
      <c r="K4577" s="10"/>
      <c r="L4577" s="5"/>
    </row>
    <row r="4578" spans="1:12" x14ac:dyDescent="0.25">
      <c r="A4578" s="5" t="s">
        <v>884</v>
      </c>
      <c r="B4578" s="5" t="s">
        <v>882</v>
      </c>
      <c r="C4578" s="5" t="s">
        <v>56</v>
      </c>
      <c r="D4578" s="21">
        <v>1</v>
      </c>
      <c r="E4578" s="12">
        <v>79</v>
      </c>
      <c r="F4578" s="10" t="str">
        <f>_xlfn.XLOOKUP(C4578,menu!A:A,menu!B:B)</f>
        <v>Mint Mojito</v>
      </c>
      <c r="G4578" s="10" t="str">
        <f>_xlfn.XLOOKUP(C4578,menu!A:A,menu!C:C)</f>
        <v>Beverages</v>
      </c>
      <c r="H4578" s="10">
        <f>_xlfn.XLOOKUP(C4578,menu!A:A,menu!E:E)</f>
        <v>24</v>
      </c>
      <c r="I4578" s="10">
        <f t="shared" si="71"/>
        <v>24</v>
      </c>
      <c r="K4578" s="10"/>
      <c r="L4578" s="5"/>
    </row>
    <row r="4579" spans="1:12" x14ac:dyDescent="0.25">
      <c r="A4579" s="5" t="s">
        <v>883</v>
      </c>
      <c r="B4579" s="5" t="s">
        <v>882</v>
      </c>
      <c r="C4579" s="5" t="s">
        <v>50</v>
      </c>
      <c r="D4579" s="21">
        <v>3</v>
      </c>
      <c r="E4579" s="12">
        <v>447</v>
      </c>
      <c r="F4579" s="10" t="str">
        <f>_xlfn.XLOOKUP(C4579,menu!A:A,menu!B:B)</f>
        <v>Grab Lollipop</v>
      </c>
      <c r="G4579" s="10" t="str">
        <f>_xlfn.XLOOKUP(C4579,menu!A:A,menu!C:C)</f>
        <v>Starters</v>
      </c>
      <c r="H4579" s="10">
        <f>_xlfn.XLOOKUP(C4579,menu!A:A,menu!E:E)</f>
        <v>45</v>
      </c>
      <c r="I4579" s="10">
        <f t="shared" si="71"/>
        <v>135</v>
      </c>
      <c r="K4579" s="10"/>
      <c r="L4579" s="5"/>
    </row>
    <row r="4580" spans="1:12" x14ac:dyDescent="0.25">
      <c r="A4580" s="5" t="s">
        <v>881</v>
      </c>
      <c r="B4580" s="5" t="s">
        <v>880</v>
      </c>
      <c r="C4580" s="5" t="s">
        <v>54</v>
      </c>
      <c r="D4580" s="21">
        <v>2</v>
      </c>
      <c r="E4580" s="12">
        <v>278</v>
      </c>
      <c r="F4580" s="10" t="str">
        <f>_xlfn.XLOOKUP(C4580,menu!A:A,menu!B:B)</f>
        <v>Chicken Strips</v>
      </c>
      <c r="G4580" s="10" t="str">
        <f>_xlfn.XLOOKUP(C4580,menu!A:A,menu!C:C)</f>
        <v>Starters</v>
      </c>
      <c r="H4580" s="10">
        <f>_xlfn.XLOOKUP(C4580,menu!A:A,menu!E:E)</f>
        <v>42</v>
      </c>
      <c r="I4580" s="10">
        <f t="shared" si="71"/>
        <v>84</v>
      </c>
      <c r="K4580" s="10"/>
      <c r="L4580" s="5"/>
    </row>
    <row r="4581" spans="1:12" x14ac:dyDescent="0.25">
      <c r="A4581" s="5" t="s">
        <v>879</v>
      </c>
      <c r="B4581" s="5" t="s">
        <v>875</v>
      </c>
      <c r="C4581" s="5" t="s">
        <v>29</v>
      </c>
      <c r="D4581" s="21">
        <v>1</v>
      </c>
      <c r="E4581" s="12">
        <v>79</v>
      </c>
      <c r="F4581" s="10" t="str">
        <f>_xlfn.XLOOKUP(C4581,menu!A:A,menu!B:B)</f>
        <v>Paneer Roll</v>
      </c>
      <c r="G4581" s="10" t="str">
        <f>_xlfn.XLOOKUP(C4581,menu!A:A,menu!C:C)</f>
        <v>Rolls</v>
      </c>
      <c r="H4581" s="10">
        <f>_xlfn.XLOOKUP(C4581,menu!A:A,menu!E:E)</f>
        <v>24</v>
      </c>
      <c r="I4581" s="10">
        <f t="shared" si="71"/>
        <v>24</v>
      </c>
      <c r="K4581" s="10"/>
      <c r="L4581" s="5"/>
    </row>
    <row r="4582" spans="1:12" x14ac:dyDescent="0.25">
      <c r="A4582" s="5" t="s">
        <v>878</v>
      </c>
      <c r="B4582" s="5" t="s">
        <v>875</v>
      </c>
      <c r="C4582" s="5" t="s">
        <v>54</v>
      </c>
      <c r="D4582" s="21">
        <v>2</v>
      </c>
      <c r="E4582" s="12">
        <v>278</v>
      </c>
      <c r="F4582" s="10" t="str">
        <f>_xlfn.XLOOKUP(C4582,menu!A:A,menu!B:B)</f>
        <v>Chicken Strips</v>
      </c>
      <c r="G4582" s="10" t="str">
        <f>_xlfn.XLOOKUP(C4582,menu!A:A,menu!C:C)</f>
        <v>Starters</v>
      </c>
      <c r="H4582" s="10">
        <f>_xlfn.XLOOKUP(C4582,menu!A:A,menu!E:E)</f>
        <v>42</v>
      </c>
      <c r="I4582" s="10">
        <f t="shared" si="71"/>
        <v>84</v>
      </c>
      <c r="K4582" s="10"/>
      <c r="L4582" s="5"/>
    </row>
    <row r="4583" spans="1:12" x14ac:dyDescent="0.25">
      <c r="A4583" s="5" t="s">
        <v>877</v>
      </c>
      <c r="B4583" s="5" t="s">
        <v>875</v>
      </c>
      <c r="C4583" s="5" t="s">
        <v>44</v>
      </c>
      <c r="D4583" s="21">
        <v>1</v>
      </c>
      <c r="E4583" s="12">
        <v>159</v>
      </c>
      <c r="F4583" s="10" t="str">
        <f>_xlfn.XLOOKUP(C4583,menu!A:A,menu!B:B)</f>
        <v>Fried Chicken</v>
      </c>
      <c r="G4583" s="10" t="str">
        <f>_xlfn.XLOOKUP(C4583,menu!A:A,menu!C:C)</f>
        <v>Starters</v>
      </c>
      <c r="H4583" s="10">
        <f>_xlfn.XLOOKUP(C4583,menu!A:A,menu!E:E)</f>
        <v>48</v>
      </c>
      <c r="I4583" s="10">
        <f t="shared" si="71"/>
        <v>48</v>
      </c>
      <c r="K4583" s="10"/>
      <c r="L4583" s="5"/>
    </row>
    <row r="4584" spans="1:12" x14ac:dyDescent="0.25">
      <c r="A4584" s="5" t="s">
        <v>876</v>
      </c>
      <c r="B4584" s="5" t="s">
        <v>875</v>
      </c>
      <c r="C4584" s="5" t="s">
        <v>12</v>
      </c>
      <c r="D4584" s="21">
        <v>5</v>
      </c>
      <c r="E4584" s="12">
        <v>395</v>
      </c>
      <c r="F4584" s="10" t="str">
        <f>_xlfn.XLOOKUP(C4584,menu!A:A,menu!B:B)</f>
        <v>Veg Momos</v>
      </c>
      <c r="G4584" s="10" t="str">
        <f>_xlfn.XLOOKUP(C4584,menu!A:A,menu!C:C)</f>
        <v>Momos</v>
      </c>
      <c r="H4584" s="10">
        <f>_xlfn.XLOOKUP(C4584,menu!A:A,menu!E:E)</f>
        <v>24</v>
      </c>
      <c r="I4584" s="10">
        <f t="shared" si="71"/>
        <v>120</v>
      </c>
      <c r="K4584" s="10"/>
      <c r="L4584" s="5"/>
    </row>
    <row r="4585" spans="1:12" x14ac:dyDescent="0.25">
      <c r="A4585" s="5" t="s">
        <v>874</v>
      </c>
      <c r="B4585" s="5" t="s">
        <v>872</v>
      </c>
      <c r="C4585" s="5" t="s">
        <v>54</v>
      </c>
      <c r="D4585" s="21">
        <v>2</v>
      </c>
      <c r="E4585" s="12">
        <v>278</v>
      </c>
      <c r="F4585" s="10" t="str">
        <f>_xlfn.XLOOKUP(C4585,menu!A:A,menu!B:B)</f>
        <v>Chicken Strips</v>
      </c>
      <c r="G4585" s="10" t="str">
        <f>_xlfn.XLOOKUP(C4585,menu!A:A,menu!C:C)</f>
        <v>Starters</v>
      </c>
      <c r="H4585" s="10">
        <f>_xlfn.XLOOKUP(C4585,menu!A:A,menu!E:E)</f>
        <v>42</v>
      </c>
      <c r="I4585" s="10">
        <f t="shared" si="71"/>
        <v>84</v>
      </c>
      <c r="K4585" s="10"/>
      <c r="L4585" s="5"/>
    </row>
    <row r="4586" spans="1:12" x14ac:dyDescent="0.25">
      <c r="A4586" s="5" t="s">
        <v>873</v>
      </c>
      <c r="B4586" s="5" t="s">
        <v>872</v>
      </c>
      <c r="C4586" s="5" t="s">
        <v>33</v>
      </c>
      <c r="D4586" s="21">
        <v>2</v>
      </c>
      <c r="E4586" s="12">
        <v>138</v>
      </c>
      <c r="F4586" s="10" t="str">
        <f>_xlfn.XLOOKUP(C4586,menu!A:A,menu!B:B)</f>
        <v>Spring Roll</v>
      </c>
      <c r="G4586" s="10" t="str">
        <f>_xlfn.XLOOKUP(C4586,menu!A:A,menu!C:C)</f>
        <v>Rolls</v>
      </c>
      <c r="H4586" s="10">
        <f>_xlfn.XLOOKUP(C4586,menu!A:A,menu!E:E)</f>
        <v>21</v>
      </c>
      <c r="I4586" s="10">
        <f t="shared" si="71"/>
        <v>42</v>
      </c>
      <c r="K4586" s="10"/>
      <c r="L4586" s="5"/>
    </row>
    <row r="4587" spans="1:12" x14ac:dyDescent="0.25">
      <c r="K4587" s="10"/>
      <c r="L458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B14" sqref="B14"/>
    </sheetView>
  </sheetViews>
  <sheetFormatPr defaultRowHeight="15" x14ac:dyDescent="0.25"/>
  <cols>
    <col min="1" max="1" width="8.42578125" style="5" bestFit="1" customWidth="1"/>
    <col min="2" max="2" width="19" style="5" bestFit="1" customWidth="1"/>
    <col min="3" max="3" width="10.140625" style="5" bestFit="1" customWidth="1"/>
    <col min="4" max="4" width="8.5703125" style="12" bestFit="1" customWidth="1"/>
    <col min="5" max="5" width="7.140625" style="12" bestFit="1" customWidth="1"/>
    <col min="6" max="16384" width="9.140625" style="5"/>
  </cols>
  <sheetData>
    <row r="1" spans="1:7" s="8" customFormat="1" ht="15.75" x14ac:dyDescent="0.25">
      <c r="A1" s="7" t="s">
        <v>0</v>
      </c>
      <c r="B1" s="7" t="s">
        <v>1</v>
      </c>
      <c r="C1" s="7" t="s">
        <v>2</v>
      </c>
      <c r="D1" s="11" t="s">
        <v>3</v>
      </c>
      <c r="E1" s="11" t="s">
        <v>4</v>
      </c>
    </row>
    <row r="2" spans="1:7" x14ac:dyDescent="0.25">
      <c r="A2" s="5" t="s">
        <v>5</v>
      </c>
      <c r="B2" s="5" t="s">
        <v>6</v>
      </c>
      <c r="C2" s="5" t="s">
        <v>7</v>
      </c>
      <c r="D2" s="12">
        <v>79</v>
      </c>
      <c r="E2" s="12">
        <f>ROUND(D2*30%,0)</f>
        <v>24</v>
      </c>
    </row>
    <row r="3" spans="1:7" x14ac:dyDescent="0.25">
      <c r="A3" s="5" t="s">
        <v>8</v>
      </c>
      <c r="B3" s="5" t="s">
        <v>9</v>
      </c>
      <c r="C3" s="5" t="s">
        <v>7</v>
      </c>
      <c r="D3" s="12">
        <v>99</v>
      </c>
      <c r="E3" s="12">
        <f t="shared" ref="E3:E29" si="0">ROUND(D3*30%,0)</f>
        <v>30</v>
      </c>
    </row>
    <row r="4" spans="1:7" x14ac:dyDescent="0.25">
      <c r="A4" s="5" t="s">
        <v>10</v>
      </c>
      <c r="B4" s="5" t="s">
        <v>11</v>
      </c>
      <c r="C4" s="5" t="s">
        <v>7</v>
      </c>
      <c r="D4" s="12">
        <v>119</v>
      </c>
      <c r="E4" s="12">
        <f t="shared" si="0"/>
        <v>36</v>
      </c>
    </row>
    <row r="5" spans="1:7" x14ac:dyDescent="0.25">
      <c r="A5" s="5" t="s">
        <v>12</v>
      </c>
      <c r="B5" s="5" t="s">
        <v>13</v>
      </c>
      <c r="C5" s="5" t="s">
        <v>14</v>
      </c>
      <c r="D5" s="12">
        <v>79</v>
      </c>
      <c r="E5" s="12">
        <f t="shared" si="0"/>
        <v>24</v>
      </c>
    </row>
    <row r="6" spans="1:7" x14ac:dyDescent="0.25">
      <c r="A6" s="5" t="s">
        <v>15</v>
      </c>
      <c r="B6" s="5" t="s">
        <v>16</v>
      </c>
      <c r="C6" s="5" t="s">
        <v>14</v>
      </c>
      <c r="D6" s="12">
        <v>99</v>
      </c>
      <c r="E6" s="12">
        <f t="shared" si="0"/>
        <v>30</v>
      </c>
    </row>
    <row r="7" spans="1:7" x14ac:dyDescent="0.25">
      <c r="A7" s="5" t="s">
        <v>17</v>
      </c>
      <c r="B7" s="5" t="s">
        <v>18</v>
      </c>
      <c r="C7" s="5" t="s">
        <v>14</v>
      </c>
      <c r="D7" s="12">
        <v>89</v>
      </c>
      <c r="E7" s="12">
        <f t="shared" si="0"/>
        <v>27</v>
      </c>
    </row>
    <row r="8" spans="1:7" x14ac:dyDescent="0.25">
      <c r="A8" s="5" t="s">
        <v>19</v>
      </c>
      <c r="B8" s="5" t="s">
        <v>20</v>
      </c>
      <c r="C8" s="5" t="s">
        <v>21</v>
      </c>
      <c r="D8" s="12">
        <v>79</v>
      </c>
      <c r="E8" s="12">
        <f t="shared" si="0"/>
        <v>24</v>
      </c>
      <c r="G8" s="9"/>
    </row>
    <row r="9" spans="1:7" x14ac:dyDescent="0.25">
      <c r="A9" s="5" t="s">
        <v>22</v>
      </c>
      <c r="B9" s="5" t="s">
        <v>23</v>
      </c>
      <c r="C9" s="5" t="s">
        <v>21</v>
      </c>
      <c r="D9" s="12">
        <v>99</v>
      </c>
      <c r="E9" s="12">
        <f t="shared" si="0"/>
        <v>30</v>
      </c>
    </row>
    <row r="10" spans="1:7" x14ac:dyDescent="0.25">
      <c r="A10" s="5" t="s">
        <v>24</v>
      </c>
      <c r="B10" s="5" t="s">
        <v>25</v>
      </c>
      <c r="C10" s="5" t="s">
        <v>21</v>
      </c>
      <c r="D10" s="12">
        <v>89</v>
      </c>
      <c r="E10" s="12">
        <f t="shared" si="0"/>
        <v>27</v>
      </c>
    </row>
    <row r="11" spans="1:7" x14ac:dyDescent="0.25">
      <c r="A11" s="5" t="s">
        <v>26</v>
      </c>
      <c r="B11" s="5" t="s">
        <v>27</v>
      </c>
      <c r="C11" s="5" t="s">
        <v>28</v>
      </c>
      <c r="D11" s="12">
        <v>59</v>
      </c>
      <c r="E11" s="12">
        <f t="shared" si="0"/>
        <v>18</v>
      </c>
    </row>
    <row r="12" spans="1:7" x14ac:dyDescent="0.25">
      <c r="A12" s="5" t="s">
        <v>29</v>
      </c>
      <c r="B12" s="5" t="s">
        <v>30</v>
      </c>
      <c r="C12" s="5" t="s">
        <v>28</v>
      </c>
      <c r="D12" s="12">
        <v>79</v>
      </c>
      <c r="E12" s="12">
        <f t="shared" si="0"/>
        <v>24</v>
      </c>
    </row>
    <row r="13" spans="1:7" x14ac:dyDescent="0.25">
      <c r="A13" s="5" t="s">
        <v>31</v>
      </c>
      <c r="B13" s="5" t="s">
        <v>32</v>
      </c>
      <c r="C13" s="5" t="s">
        <v>28</v>
      </c>
      <c r="D13" s="12">
        <v>89</v>
      </c>
      <c r="E13" s="12">
        <f t="shared" si="0"/>
        <v>27</v>
      </c>
    </row>
    <row r="14" spans="1:7" x14ac:dyDescent="0.25">
      <c r="A14" s="5" t="s">
        <v>33</v>
      </c>
      <c r="B14" s="5" t="s">
        <v>34</v>
      </c>
      <c r="C14" s="5" t="s">
        <v>28</v>
      </c>
      <c r="D14" s="12">
        <v>69</v>
      </c>
      <c r="E14" s="12">
        <f t="shared" si="0"/>
        <v>21</v>
      </c>
    </row>
    <row r="15" spans="1:7" x14ac:dyDescent="0.25">
      <c r="A15" s="5" t="s">
        <v>35</v>
      </c>
      <c r="B15" s="5" t="s">
        <v>36</v>
      </c>
      <c r="C15" s="5" t="s">
        <v>37</v>
      </c>
      <c r="D15" s="12">
        <v>119</v>
      </c>
      <c r="E15" s="12">
        <f t="shared" si="0"/>
        <v>36</v>
      </c>
    </row>
    <row r="16" spans="1:7" x14ac:dyDescent="0.25">
      <c r="A16" s="5" t="s">
        <v>38</v>
      </c>
      <c r="B16" s="5" t="s">
        <v>39</v>
      </c>
      <c r="C16" s="5" t="s">
        <v>37</v>
      </c>
      <c r="D16" s="12">
        <v>149</v>
      </c>
      <c r="E16" s="12">
        <f t="shared" si="0"/>
        <v>45</v>
      </c>
    </row>
    <row r="17" spans="1:5" x14ac:dyDescent="0.25">
      <c r="A17" s="5" t="s">
        <v>40</v>
      </c>
      <c r="B17" s="5" t="s">
        <v>41</v>
      </c>
      <c r="C17" s="5" t="s">
        <v>37</v>
      </c>
      <c r="D17" s="12">
        <v>99</v>
      </c>
      <c r="E17" s="12">
        <f t="shared" si="0"/>
        <v>30</v>
      </c>
    </row>
    <row r="18" spans="1:5" x14ac:dyDescent="0.25">
      <c r="A18" s="5" t="s">
        <v>42</v>
      </c>
      <c r="B18" s="5" t="s">
        <v>43</v>
      </c>
      <c r="C18" s="5" t="s">
        <v>37</v>
      </c>
      <c r="D18" s="12">
        <v>149</v>
      </c>
      <c r="E18" s="12">
        <f t="shared" si="0"/>
        <v>45</v>
      </c>
    </row>
    <row r="19" spans="1:5" x14ac:dyDescent="0.25">
      <c r="A19" s="5" t="s">
        <v>44</v>
      </c>
      <c r="B19" s="5" t="s">
        <v>45</v>
      </c>
      <c r="C19" s="5" t="s">
        <v>37</v>
      </c>
      <c r="D19" s="12">
        <v>159</v>
      </c>
      <c r="E19" s="12">
        <f t="shared" si="0"/>
        <v>48</v>
      </c>
    </row>
    <row r="20" spans="1:5" x14ac:dyDescent="0.25">
      <c r="A20" s="5" t="s">
        <v>46</v>
      </c>
      <c r="B20" s="5" t="s">
        <v>47</v>
      </c>
      <c r="C20" s="5" t="s">
        <v>37</v>
      </c>
      <c r="D20" s="12">
        <v>149</v>
      </c>
      <c r="E20" s="12">
        <f t="shared" si="0"/>
        <v>45</v>
      </c>
    </row>
    <row r="21" spans="1:5" x14ac:dyDescent="0.25">
      <c r="A21" s="5" t="s">
        <v>48</v>
      </c>
      <c r="B21" s="5" t="s">
        <v>49</v>
      </c>
      <c r="C21" s="5" t="s">
        <v>37</v>
      </c>
      <c r="D21" s="12">
        <v>159</v>
      </c>
      <c r="E21" s="12">
        <f t="shared" si="0"/>
        <v>48</v>
      </c>
    </row>
    <row r="22" spans="1:5" x14ac:dyDescent="0.25">
      <c r="A22" s="5" t="s">
        <v>50</v>
      </c>
      <c r="B22" s="5" t="s">
        <v>51</v>
      </c>
      <c r="C22" s="5" t="s">
        <v>37</v>
      </c>
      <c r="D22" s="12">
        <v>149</v>
      </c>
      <c r="E22" s="12">
        <f t="shared" si="0"/>
        <v>45</v>
      </c>
    </row>
    <row r="23" spans="1:5" x14ac:dyDescent="0.25">
      <c r="A23" s="5" t="s">
        <v>52</v>
      </c>
      <c r="B23" s="5" t="s">
        <v>53</v>
      </c>
      <c r="C23" s="5" t="s">
        <v>37</v>
      </c>
      <c r="D23" s="12">
        <v>99</v>
      </c>
      <c r="E23" s="12">
        <f t="shared" si="0"/>
        <v>30</v>
      </c>
    </row>
    <row r="24" spans="1:5" x14ac:dyDescent="0.25">
      <c r="A24" s="5" t="s">
        <v>54</v>
      </c>
      <c r="B24" s="5" t="s">
        <v>55</v>
      </c>
      <c r="C24" s="5" t="s">
        <v>37</v>
      </c>
      <c r="D24" s="12">
        <v>139</v>
      </c>
      <c r="E24" s="12">
        <f t="shared" si="0"/>
        <v>42</v>
      </c>
    </row>
    <row r="25" spans="1:5" x14ac:dyDescent="0.25">
      <c r="A25" s="5" t="s">
        <v>56</v>
      </c>
      <c r="B25" s="5" t="s">
        <v>57</v>
      </c>
      <c r="C25" s="5" t="s">
        <v>58</v>
      </c>
      <c r="D25" s="12">
        <v>79</v>
      </c>
      <c r="E25" s="12">
        <f t="shared" si="0"/>
        <v>24</v>
      </c>
    </row>
    <row r="26" spans="1:5" x14ac:dyDescent="0.25">
      <c r="A26" s="5" t="s">
        <v>59</v>
      </c>
      <c r="B26" s="5" t="s">
        <v>60</v>
      </c>
      <c r="C26" s="5" t="s">
        <v>58</v>
      </c>
      <c r="D26" s="12">
        <v>79</v>
      </c>
      <c r="E26" s="12">
        <f t="shared" si="0"/>
        <v>24</v>
      </c>
    </row>
    <row r="27" spans="1:5" x14ac:dyDescent="0.25">
      <c r="A27" s="5" t="s">
        <v>61</v>
      </c>
      <c r="B27" s="5" t="s">
        <v>62</v>
      </c>
      <c r="C27" s="5" t="s">
        <v>58</v>
      </c>
      <c r="D27" s="12">
        <v>79</v>
      </c>
      <c r="E27" s="12">
        <f t="shared" si="0"/>
        <v>24</v>
      </c>
    </row>
    <row r="28" spans="1:5" x14ac:dyDescent="0.25">
      <c r="A28" s="5" t="s">
        <v>63</v>
      </c>
      <c r="B28" s="5" t="s">
        <v>64</v>
      </c>
      <c r="C28" s="5" t="s">
        <v>58</v>
      </c>
      <c r="D28" s="12">
        <v>79</v>
      </c>
      <c r="E28" s="12">
        <f t="shared" si="0"/>
        <v>24</v>
      </c>
    </row>
    <row r="29" spans="1:5" x14ac:dyDescent="0.25">
      <c r="A29" s="5" t="s">
        <v>65</v>
      </c>
      <c r="B29" s="5" t="s">
        <v>66</v>
      </c>
      <c r="C29" s="5" t="s">
        <v>58</v>
      </c>
      <c r="D29" s="12">
        <v>49</v>
      </c>
      <c r="E29" s="12">
        <f t="shared" si="0"/>
        <v>15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2724-E54F-4AA9-8E64-A9D563563B13}">
  <dimension ref="A2:D7"/>
  <sheetViews>
    <sheetView workbookViewId="0">
      <selection activeCell="D12" sqref="D12"/>
    </sheetView>
  </sheetViews>
  <sheetFormatPr defaultRowHeight="15" x14ac:dyDescent="0.25"/>
  <cols>
    <col min="1" max="1" width="13.140625" bestFit="1" customWidth="1"/>
    <col min="2" max="2" width="19.7109375" style="29" bestFit="1" customWidth="1"/>
    <col min="3" max="3" width="16.7109375" style="28" bestFit="1" customWidth="1"/>
    <col min="4" max="4" width="22.28515625" bestFit="1" customWidth="1"/>
  </cols>
  <sheetData>
    <row r="2" spans="1:4" x14ac:dyDescent="0.25">
      <c r="D2" s="12"/>
    </row>
    <row r="3" spans="1:4" x14ac:dyDescent="0.25">
      <c r="A3" s="26" t="s">
        <v>7329</v>
      </c>
      <c r="B3" s="29" t="s">
        <v>7331</v>
      </c>
      <c r="C3" s="28" t="s">
        <v>7338</v>
      </c>
      <c r="D3" s="30" t="s">
        <v>7326</v>
      </c>
    </row>
    <row r="4" spans="1:4" x14ac:dyDescent="0.25">
      <c r="A4" s="27" t="s">
        <v>74</v>
      </c>
      <c r="B4" s="29">
        <v>226553.8</v>
      </c>
      <c r="C4" s="28">
        <v>474</v>
      </c>
      <c r="D4" s="12">
        <f>B4/C4</f>
        <v>477.96160337552737</v>
      </c>
    </row>
    <row r="5" spans="1:4" x14ac:dyDescent="0.25">
      <c r="A5" s="27" t="s">
        <v>91</v>
      </c>
      <c r="B5" s="29">
        <v>122193.45000000003</v>
      </c>
      <c r="C5" s="28">
        <v>276</v>
      </c>
      <c r="D5" s="12">
        <f t="shared" ref="D5:D7" si="0">B5/C5</f>
        <v>442.72989130434792</v>
      </c>
    </row>
    <row r="6" spans="1:4" x14ac:dyDescent="0.25">
      <c r="A6" s="27" t="s">
        <v>67</v>
      </c>
      <c r="B6" s="29">
        <v>520214.14999999991</v>
      </c>
      <c r="C6" s="28">
        <v>1094</v>
      </c>
      <c r="D6" s="12">
        <f t="shared" si="0"/>
        <v>475.51567641681891</v>
      </c>
    </row>
    <row r="7" spans="1:4" x14ac:dyDescent="0.25">
      <c r="A7" s="27" t="s">
        <v>7330</v>
      </c>
      <c r="B7" s="29">
        <v>868961.39999999967</v>
      </c>
      <c r="C7" s="28">
        <v>1844</v>
      </c>
      <c r="D7" s="12">
        <f t="shared" si="0"/>
        <v>471.23720173535776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831D-9862-4CCA-9C55-AE0DBBDA4C11}">
  <dimension ref="A3:C10"/>
  <sheetViews>
    <sheetView workbookViewId="0">
      <selection activeCell="C15" sqref="C15"/>
    </sheetView>
  </sheetViews>
  <sheetFormatPr defaultRowHeight="15" x14ac:dyDescent="0.25"/>
  <cols>
    <col min="1" max="1" width="13.140625" bestFit="1" customWidth="1"/>
    <col min="2" max="2" width="22.7109375" bestFit="1" customWidth="1"/>
    <col min="3" max="3" width="20.7109375" bestFit="1" customWidth="1"/>
  </cols>
  <sheetData>
    <row r="3" spans="1:3" x14ac:dyDescent="0.25">
      <c r="A3" s="26" t="s">
        <v>7329</v>
      </c>
      <c r="B3" t="s">
        <v>7335</v>
      </c>
      <c r="C3" s="29" t="s">
        <v>7336</v>
      </c>
    </row>
    <row r="4" spans="1:3" x14ac:dyDescent="0.25">
      <c r="A4" s="27" t="s">
        <v>58</v>
      </c>
      <c r="B4" s="29">
        <v>86683</v>
      </c>
      <c r="C4" s="29">
        <v>26358</v>
      </c>
    </row>
    <row r="5" spans="1:3" x14ac:dyDescent="0.25">
      <c r="A5" s="27" t="s">
        <v>21</v>
      </c>
      <c r="B5" s="29">
        <v>80990</v>
      </c>
      <c r="C5" s="29">
        <v>24570</v>
      </c>
    </row>
    <row r="6" spans="1:3" x14ac:dyDescent="0.25">
      <c r="A6" s="27" t="s">
        <v>14</v>
      </c>
      <c r="B6" s="29">
        <v>99406</v>
      </c>
      <c r="C6" s="29">
        <v>30159</v>
      </c>
    </row>
    <row r="7" spans="1:3" x14ac:dyDescent="0.25">
      <c r="A7" s="27" t="s">
        <v>28</v>
      </c>
      <c r="B7" s="29">
        <v>78008</v>
      </c>
      <c r="C7" s="29">
        <v>23715</v>
      </c>
    </row>
    <row r="8" spans="1:3" x14ac:dyDescent="0.25">
      <c r="A8" s="27" t="s">
        <v>7</v>
      </c>
      <c r="B8" s="29">
        <v>75818</v>
      </c>
      <c r="C8" s="29">
        <v>22974</v>
      </c>
    </row>
    <row r="9" spans="1:3" x14ac:dyDescent="0.25">
      <c r="A9" s="27" t="s">
        <v>37</v>
      </c>
      <c r="B9" s="29">
        <v>545149</v>
      </c>
      <c r="C9" s="29">
        <v>164736</v>
      </c>
    </row>
    <row r="10" spans="1:3" x14ac:dyDescent="0.25">
      <c r="A10" s="27" t="s">
        <v>7330</v>
      </c>
      <c r="B10" s="29">
        <v>966054</v>
      </c>
      <c r="C10" s="29">
        <v>292512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7"/>
  <sheetViews>
    <sheetView workbookViewId="0">
      <selection activeCell="K18" sqref="K18"/>
    </sheetView>
  </sheetViews>
  <sheetFormatPr defaultRowHeight="15" x14ac:dyDescent="0.25"/>
  <cols>
    <col min="1" max="1" width="13.140625" bestFit="1" customWidth="1"/>
    <col min="2" max="2" width="19.7109375" bestFit="1" customWidth="1"/>
    <col min="3" max="3" width="19.85546875" bestFit="1" customWidth="1"/>
  </cols>
  <sheetData>
    <row r="3" spans="1:2" x14ac:dyDescent="0.25">
      <c r="A3" s="26" t="s">
        <v>7329</v>
      </c>
      <c r="B3" t="s">
        <v>7331</v>
      </c>
    </row>
    <row r="4" spans="1:2" x14ac:dyDescent="0.25">
      <c r="A4" s="27" t="s">
        <v>7308</v>
      </c>
      <c r="B4" s="28">
        <v>128857.30000000003</v>
      </c>
    </row>
    <row r="5" spans="1:2" x14ac:dyDescent="0.25">
      <c r="A5" s="27" t="s">
        <v>7306</v>
      </c>
      <c r="B5" s="28">
        <v>296898.79999999993</v>
      </c>
    </row>
    <row r="6" spans="1:2" x14ac:dyDescent="0.25">
      <c r="A6" s="27" t="s">
        <v>7309</v>
      </c>
      <c r="B6" s="28">
        <v>443205.3000000001</v>
      </c>
    </row>
    <row r="7" spans="1:2" x14ac:dyDescent="0.25">
      <c r="A7" s="27" t="s">
        <v>7330</v>
      </c>
      <c r="B7" s="28">
        <v>868961.40000000014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selection activeCell="D2" sqref="D2"/>
    </sheetView>
  </sheetViews>
  <sheetFormatPr defaultRowHeight="15" x14ac:dyDescent="0.25"/>
  <cols>
    <col min="1" max="1" width="23.140625" style="3" bestFit="1" customWidth="1"/>
    <col min="2" max="2" width="10.7109375" style="22" bestFit="1" customWidth="1"/>
    <col min="3" max="3" width="9.140625" style="3"/>
    <col min="4" max="4" width="9.5703125" style="3" bestFit="1" customWidth="1"/>
    <col min="5" max="16384" width="9.140625" style="3"/>
  </cols>
  <sheetData>
    <row r="1" spans="1:4" ht="15.75" x14ac:dyDescent="0.25">
      <c r="A1" s="2" t="s">
        <v>7323</v>
      </c>
      <c r="B1" s="25" t="s">
        <v>7324</v>
      </c>
    </row>
    <row r="2" spans="1:4" ht="15.75" x14ac:dyDescent="0.25">
      <c r="A2" s="3" t="s">
        <v>7321</v>
      </c>
      <c r="B2" s="25">
        <f>SUM(orders!G2:G1845)</f>
        <v>966054</v>
      </c>
      <c r="D2" s="22">
        <f>B2-B3-B5+B4</f>
        <v>868961.4</v>
      </c>
    </row>
    <row r="3" spans="1:4" x14ac:dyDescent="0.25">
      <c r="A3" s="3" t="s">
        <v>7333</v>
      </c>
      <c r="B3" s="22">
        <f>SUM(orders!H2:H1845)</f>
        <v>24533.850000000009</v>
      </c>
    </row>
    <row r="4" spans="1:4" x14ac:dyDescent="0.25">
      <c r="A4" s="3" t="s">
        <v>7332</v>
      </c>
      <c r="B4" s="22">
        <f>SUMIF(orders!F2:F1845,"Cancelled",orders!H2:H1845)</f>
        <v>2055.2499999999995</v>
      </c>
    </row>
    <row r="5" spans="1:4" x14ac:dyDescent="0.25">
      <c r="A5" s="3" t="s">
        <v>7334</v>
      </c>
      <c r="B5" s="22">
        <f>SUMIF(orders!F2:F1845,"CANCELLED",orders!G2:G1845)</f>
        <v>74614</v>
      </c>
    </row>
    <row r="6" spans="1:4" x14ac:dyDescent="0.25">
      <c r="A6" s="3" t="s">
        <v>7325</v>
      </c>
      <c r="B6" s="22">
        <f>SUM(orders!I2:I1845)</f>
        <v>868961.39999999967</v>
      </c>
    </row>
    <row r="7" spans="1:4" x14ac:dyDescent="0.25">
      <c r="A7" s="3" t="s">
        <v>7322</v>
      </c>
      <c r="B7" s="22">
        <f>SUM(order_item!I2:I4586)</f>
        <v>292512</v>
      </c>
    </row>
    <row r="8" spans="1:4" x14ac:dyDescent="0.25">
      <c r="A8" s="3" t="s">
        <v>7328</v>
      </c>
      <c r="B8" s="22">
        <f>B7/B6*100</f>
        <v>33.66225473306411</v>
      </c>
    </row>
    <row r="9" spans="1:4" x14ac:dyDescent="0.25">
      <c r="A9" s="3" t="s">
        <v>7327</v>
      </c>
      <c r="B9" s="23">
        <f>COUNTA(orders!A2:A1845)</f>
        <v>1844</v>
      </c>
    </row>
    <row r="10" spans="1:4" x14ac:dyDescent="0.25">
      <c r="A10" s="3" t="s">
        <v>7326</v>
      </c>
      <c r="B10" s="24">
        <f>B6/B9</f>
        <v>471.23720173535776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customers</vt:lpstr>
      <vt:lpstr>Sheet5</vt:lpstr>
      <vt:lpstr>MONTH REVENUE</vt:lpstr>
      <vt:lpstr>orders</vt:lpstr>
      <vt:lpstr>Sheet7</vt:lpstr>
      <vt:lpstr>order_item</vt:lpstr>
      <vt:lpstr>menu</vt:lpstr>
      <vt:lpstr>CUSTOMER_TYPE</vt:lpstr>
      <vt:lpstr>PIVOT_CATAGORY</vt:lpstr>
      <vt:lpstr>Channel Revenue</vt:lpstr>
      <vt:lpstr>SUMMAEY</vt:lpstr>
      <vt:lpstr>JJJ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2026-07-13T07:23:58Z</dcterms:created>
  <dcterms:modified xsi:type="dcterms:W3CDTF">2026-07-18T05:21:50Z</dcterms:modified>
</cp:coreProperties>
</file>